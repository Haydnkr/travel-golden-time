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emil\Downloads\"/>
    </mc:Choice>
  </mc:AlternateContent>
  <xr:revisionPtr revIDLastSave="0" documentId="13_ncr:1_{9DC773CD-CF3D-418E-944A-F52F1C7D144D}" xr6:coauthVersionLast="47" xr6:coauthVersionMax="47" xr10:uidLastSave="{00000000-0000-0000-0000-000000000000}"/>
  <bookViews>
    <workbookView xWindow="-98" yWindow="-98" windowWidth="21795" windowHeight="12975" activeTab="7" xr2:uid="{00000000-000D-0000-FFFF-FFFF00000000}"/>
  </bookViews>
  <sheets>
    <sheet name="일별통합" sheetId="1" r:id="rId1"/>
    <sheet name="관광소비" sheetId="2" r:id="rId2"/>
    <sheet name="읍면별방문" sheetId="3" r:id="rId3"/>
    <sheet name="거주지" sheetId="4" r:id="rId4"/>
    <sheet name="검색량" sheetId="5" r:id="rId5"/>
    <sheet name="원본목록" sheetId="6" r:id="rId6"/>
    <sheet name="KOBIS일별" sheetId="7" r:id="rId7"/>
    <sheet name="변수설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16" i="1" l="1"/>
  <c r="AG1116" i="1" s="1"/>
  <c r="AC1116" i="1"/>
  <c r="AH1116" i="1" s="1"/>
  <c r="AB1116" i="1"/>
  <c r="AD1116" i="1" s="1"/>
  <c r="AA1116" i="1"/>
  <c r="O1116" i="1"/>
  <c r="P1116" i="1" s="1"/>
  <c r="N1116" i="1"/>
  <c r="M1116" i="1"/>
  <c r="L1116" i="1"/>
  <c r="H1116" i="1"/>
  <c r="G1116" i="1"/>
  <c r="F1116" i="1"/>
  <c r="E1116" i="1"/>
  <c r="AH1115" i="1"/>
  <c r="AF1115" i="1"/>
  <c r="AG1115" i="1" s="1"/>
  <c r="AC1115" i="1"/>
  <c r="AB1115" i="1"/>
  <c r="AA1115" i="1"/>
  <c r="P1115" i="1"/>
  <c r="O1115" i="1"/>
  <c r="N1115" i="1"/>
  <c r="M1115" i="1"/>
  <c r="L1115" i="1"/>
  <c r="H1115" i="1"/>
  <c r="G1115" i="1"/>
  <c r="E1115" i="1"/>
  <c r="F1115" i="1" s="1"/>
  <c r="AF1114" i="1"/>
  <c r="AG1114" i="1" s="1"/>
  <c r="AC1114" i="1"/>
  <c r="AH1114" i="1" s="1"/>
  <c r="AB1114" i="1"/>
  <c r="AD1114" i="1" s="1"/>
  <c r="AA1114" i="1"/>
  <c r="O1114" i="1"/>
  <c r="P1114" i="1" s="1"/>
  <c r="N1114" i="1"/>
  <c r="M1114" i="1"/>
  <c r="L1114" i="1"/>
  <c r="H1114" i="1"/>
  <c r="G1114" i="1"/>
  <c r="E1114" i="1"/>
  <c r="F1114" i="1" s="1"/>
  <c r="AG1113" i="1"/>
  <c r="AF1113" i="1"/>
  <c r="AD1113" i="1"/>
  <c r="AC1113" i="1"/>
  <c r="AH1113" i="1" s="1"/>
  <c r="AB1113" i="1"/>
  <c r="AA1113" i="1"/>
  <c r="O1113" i="1"/>
  <c r="P1113" i="1" s="1"/>
  <c r="N1113" i="1"/>
  <c r="M1113" i="1"/>
  <c r="L1113" i="1"/>
  <c r="H1113" i="1"/>
  <c r="G1113" i="1"/>
  <c r="E1113" i="1"/>
  <c r="F1113" i="1" s="1"/>
  <c r="AG1112" i="1"/>
  <c r="AF1112" i="1"/>
  <c r="AC1112" i="1"/>
  <c r="AH1112" i="1" s="1"/>
  <c r="AB1112" i="1"/>
  <c r="AA1112" i="1"/>
  <c r="O1112" i="1"/>
  <c r="P1112" i="1" s="1"/>
  <c r="N1112" i="1"/>
  <c r="M1112" i="1"/>
  <c r="L1112" i="1"/>
  <c r="H1112" i="1"/>
  <c r="G1112" i="1"/>
  <c r="E1112" i="1"/>
  <c r="F1112" i="1" s="1"/>
  <c r="AH1111" i="1"/>
  <c r="AG1111" i="1"/>
  <c r="AF1111" i="1"/>
  <c r="AC1111" i="1"/>
  <c r="AB1111" i="1"/>
  <c r="AD1111" i="1" s="1"/>
  <c r="AA1111" i="1"/>
  <c r="O1111" i="1"/>
  <c r="P1111" i="1" s="1"/>
  <c r="N1111" i="1"/>
  <c r="M1111" i="1"/>
  <c r="L1111" i="1"/>
  <c r="H1111" i="1"/>
  <c r="G1111" i="1"/>
  <c r="F1111" i="1"/>
  <c r="E1111" i="1"/>
  <c r="AF1110" i="1"/>
  <c r="AG1110" i="1" s="1"/>
  <c r="AC1110" i="1"/>
  <c r="AB1110" i="1"/>
  <c r="AA1110" i="1"/>
  <c r="O1110" i="1"/>
  <c r="P1110" i="1" s="1"/>
  <c r="N1110" i="1"/>
  <c r="M1110" i="1"/>
  <c r="L1110" i="1"/>
  <c r="H1110" i="1"/>
  <c r="G1110" i="1"/>
  <c r="E1110" i="1"/>
  <c r="F1110" i="1" s="1"/>
  <c r="AH1109" i="1"/>
  <c r="AG1109" i="1"/>
  <c r="AF1109" i="1"/>
  <c r="AC1109" i="1"/>
  <c r="AB1109" i="1"/>
  <c r="AD1109" i="1" s="1"/>
  <c r="AA1109" i="1"/>
  <c r="P1109" i="1"/>
  <c r="O1109" i="1"/>
  <c r="N1109" i="1"/>
  <c r="M1109" i="1"/>
  <c r="L1109" i="1"/>
  <c r="H1109" i="1"/>
  <c r="G1109" i="1"/>
  <c r="F1109" i="1"/>
  <c r="E1109" i="1"/>
  <c r="AH1108" i="1"/>
  <c r="AF1108" i="1"/>
  <c r="AG1108" i="1" s="1"/>
  <c r="AD1108" i="1"/>
  <c r="AC1108" i="1"/>
  <c r="AB1108" i="1"/>
  <c r="AA1108" i="1"/>
  <c r="O1108" i="1"/>
  <c r="P1108" i="1" s="1"/>
  <c r="N1108" i="1"/>
  <c r="M1108" i="1"/>
  <c r="L1108" i="1"/>
  <c r="H1108" i="1"/>
  <c r="G1108" i="1"/>
  <c r="F1108" i="1"/>
  <c r="E1108" i="1"/>
  <c r="AH1107" i="1"/>
  <c r="AF1107" i="1"/>
  <c r="AG1107" i="1" s="1"/>
  <c r="AC1107" i="1"/>
  <c r="AB1107" i="1"/>
  <c r="AD1107" i="1" s="1"/>
  <c r="AA1107" i="1"/>
  <c r="O1107" i="1"/>
  <c r="P1107" i="1" s="1"/>
  <c r="N1107" i="1"/>
  <c r="M1107" i="1"/>
  <c r="L1107" i="1"/>
  <c r="H1107" i="1"/>
  <c r="G1107" i="1"/>
  <c r="E1107" i="1"/>
  <c r="F1107" i="1" s="1"/>
  <c r="AH1106" i="1"/>
  <c r="AF1106" i="1"/>
  <c r="AG1106" i="1" s="1"/>
  <c r="AC1106" i="1"/>
  <c r="AB1106" i="1"/>
  <c r="AD1106" i="1" s="1"/>
  <c r="AA1106" i="1"/>
  <c r="P1106" i="1"/>
  <c r="O1106" i="1"/>
  <c r="N1106" i="1"/>
  <c r="M1106" i="1"/>
  <c r="L1106" i="1"/>
  <c r="H1106" i="1"/>
  <c r="G1106" i="1"/>
  <c r="E1106" i="1"/>
  <c r="F1106" i="1" s="1"/>
  <c r="AF1105" i="1"/>
  <c r="AG1105" i="1" s="1"/>
  <c r="AC1105" i="1"/>
  <c r="AH1105" i="1" s="1"/>
  <c r="AB1105" i="1"/>
  <c r="AD1105" i="1" s="1"/>
  <c r="AA1105" i="1"/>
  <c r="P1105" i="1"/>
  <c r="O1105" i="1"/>
  <c r="N1105" i="1"/>
  <c r="M1105" i="1"/>
  <c r="L1105" i="1"/>
  <c r="H1105" i="1"/>
  <c r="G1105" i="1"/>
  <c r="E1105" i="1"/>
  <c r="F1105" i="1" s="1"/>
  <c r="AG1104" i="1"/>
  <c r="AF1104" i="1"/>
  <c r="AD1104" i="1"/>
  <c r="AC1104" i="1"/>
  <c r="AH1104" i="1" s="1"/>
  <c r="AB1104" i="1"/>
  <c r="AA1104" i="1"/>
  <c r="P1104" i="1"/>
  <c r="O1104" i="1"/>
  <c r="N1104" i="1"/>
  <c r="M1104" i="1"/>
  <c r="L1104" i="1"/>
  <c r="H1104" i="1"/>
  <c r="G1104" i="1"/>
  <c r="E1104" i="1"/>
  <c r="F1104" i="1" s="1"/>
  <c r="AG1103" i="1"/>
  <c r="AF1103" i="1"/>
  <c r="AC1103" i="1"/>
  <c r="AH1103" i="1" s="1"/>
  <c r="AB1103" i="1"/>
  <c r="AD1103" i="1" s="1"/>
  <c r="AA1103" i="1"/>
  <c r="O1103" i="1"/>
  <c r="P1103" i="1" s="1"/>
  <c r="N1103" i="1"/>
  <c r="M1103" i="1"/>
  <c r="L1103" i="1"/>
  <c r="H1103" i="1"/>
  <c r="G1103" i="1"/>
  <c r="E1103" i="1"/>
  <c r="F1103" i="1" s="1"/>
  <c r="AH1102" i="1"/>
  <c r="AF1102" i="1"/>
  <c r="AG1102" i="1" s="1"/>
  <c r="AD1102" i="1"/>
  <c r="AC1102" i="1"/>
  <c r="AB1102" i="1"/>
  <c r="AA1102" i="1"/>
  <c r="P1102" i="1"/>
  <c r="O1102" i="1"/>
  <c r="N1102" i="1"/>
  <c r="M1102" i="1"/>
  <c r="L1102" i="1"/>
  <c r="H1102" i="1"/>
  <c r="G1102" i="1"/>
  <c r="E1102" i="1"/>
  <c r="F1102" i="1" s="1"/>
  <c r="AG1101" i="1"/>
  <c r="AF1101" i="1"/>
  <c r="AC1101" i="1"/>
  <c r="AH1101" i="1" s="1"/>
  <c r="AB1101" i="1"/>
  <c r="AD1101" i="1" s="1"/>
  <c r="AA1101" i="1"/>
  <c r="P1101" i="1"/>
  <c r="O1101" i="1"/>
  <c r="N1101" i="1"/>
  <c r="M1101" i="1"/>
  <c r="L1101" i="1"/>
  <c r="H1101" i="1"/>
  <c r="G1101" i="1"/>
  <c r="E1101" i="1"/>
  <c r="F1101" i="1" s="1"/>
  <c r="AH1100" i="1"/>
  <c r="AG1100" i="1"/>
  <c r="AF1100" i="1"/>
  <c r="AD1100" i="1"/>
  <c r="AC1100" i="1"/>
  <c r="AB1100" i="1"/>
  <c r="AA1100" i="1"/>
  <c r="P1100" i="1"/>
  <c r="O1100" i="1"/>
  <c r="N1100" i="1"/>
  <c r="M1100" i="1"/>
  <c r="L1100" i="1"/>
  <c r="H1100" i="1"/>
  <c r="G1100" i="1"/>
  <c r="F1100" i="1"/>
  <c r="E1100" i="1"/>
  <c r="AH1099" i="1"/>
  <c r="AF1099" i="1"/>
  <c r="AG1099" i="1" s="1"/>
  <c r="AD1099" i="1"/>
  <c r="AC1099" i="1"/>
  <c r="AB1099" i="1"/>
  <c r="AA1099" i="1"/>
  <c r="P1099" i="1"/>
  <c r="O1099" i="1"/>
  <c r="N1099" i="1"/>
  <c r="M1099" i="1"/>
  <c r="L1099" i="1"/>
  <c r="H1099" i="1"/>
  <c r="G1099" i="1"/>
  <c r="F1099" i="1"/>
  <c r="E1099" i="1"/>
  <c r="AG1098" i="1"/>
  <c r="AF1098" i="1"/>
  <c r="AC1098" i="1"/>
  <c r="AH1098" i="1" s="1"/>
  <c r="AB1098" i="1"/>
  <c r="AD1098" i="1" s="1"/>
  <c r="AA1098" i="1"/>
  <c r="P1098" i="1"/>
  <c r="O1098" i="1"/>
  <c r="N1098" i="1"/>
  <c r="M1098" i="1"/>
  <c r="L1098" i="1"/>
  <c r="H1098" i="1"/>
  <c r="G1098" i="1"/>
  <c r="E1098" i="1"/>
  <c r="F1098" i="1" s="1"/>
  <c r="AH1097" i="1"/>
  <c r="AF1097" i="1"/>
  <c r="AG1097" i="1" s="1"/>
  <c r="AD1097" i="1"/>
  <c r="AC1097" i="1"/>
  <c r="AB1097" i="1"/>
  <c r="AA1097" i="1"/>
  <c r="P1097" i="1"/>
  <c r="O1097" i="1"/>
  <c r="N1097" i="1"/>
  <c r="M1097" i="1"/>
  <c r="L1097" i="1"/>
  <c r="H1097" i="1"/>
  <c r="G1097" i="1"/>
  <c r="E1097" i="1"/>
  <c r="F1097" i="1" s="1"/>
  <c r="AG1096" i="1"/>
  <c r="AF1096" i="1"/>
  <c r="AC1096" i="1"/>
  <c r="AH1096" i="1" s="1"/>
  <c r="AB1096" i="1"/>
  <c r="AD1096" i="1" s="1"/>
  <c r="AA1096" i="1"/>
  <c r="O1096" i="1"/>
  <c r="P1096" i="1" s="1"/>
  <c r="N1096" i="1"/>
  <c r="M1096" i="1"/>
  <c r="L1096" i="1"/>
  <c r="H1096" i="1"/>
  <c r="G1096" i="1"/>
  <c r="F1096" i="1"/>
  <c r="E1096" i="1"/>
  <c r="AG1095" i="1"/>
  <c r="AF1095" i="1"/>
  <c r="AC1095" i="1"/>
  <c r="AH1095" i="1" s="1"/>
  <c r="AB1095" i="1"/>
  <c r="AA1095" i="1"/>
  <c r="P1095" i="1"/>
  <c r="O1095" i="1"/>
  <c r="N1095" i="1"/>
  <c r="M1095" i="1"/>
  <c r="L1095" i="1"/>
  <c r="H1095" i="1"/>
  <c r="G1095" i="1"/>
  <c r="E1095" i="1"/>
  <c r="F1095" i="1" s="1"/>
  <c r="AH1094" i="1"/>
  <c r="AG1094" i="1"/>
  <c r="AF1094" i="1"/>
  <c r="AD1094" i="1"/>
  <c r="AC1094" i="1"/>
  <c r="AB1094" i="1"/>
  <c r="AA1094" i="1"/>
  <c r="O1094" i="1"/>
  <c r="P1094" i="1" s="1"/>
  <c r="N1094" i="1"/>
  <c r="M1094" i="1"/>
  <c r="L1094" i="1"/>
  <c r="H1094" i="1"/>
  <c r="G1094" i="1"/>
  <c r="E1094" i="1"/>
  <c r="F1094" i="1" s="1"/>
  <c r="AH1093" i="1"/>
  <c r="AG1093" i="1"/>
  <c r="AF1093" i="1"/>
  <c r="AD1093" i="1"/>
  <c r="AC1093" i="1"/>
  <c r="AB1093" i="1"/>
  <c r="AA1093" i="1"/>
  <c r="P1093" i="1"/>
  <c r="O1093" i="1"/>
  <c r="N1093" i="1"/>
  <c r="M1093" i="1"/>
  <c r="L1093" i="1"/>
  <c r="H1093" i="1"/>
  <c r="G1093" i="1"/>
  <c r="F1093" i="1"/>
  <c r="E1093" i="1"/>
  <c r="AF1092" i="1"/>
  <c r="AG1092" i="1" s="1"/>
  <c r="AC1092" i="1"/>
  <c r="AH1092" i="1" s="1"/>
  <c r="AB1092" i="1"/>
  <c r="AA1092" i="1"/>
  <c r="O1092" i="1"/>
  <c r="P1092" i="1" s="1"/>
  <c r="N1092" i="1"/>
  <c r="M1092" i="1"/>
  <c r="L1092" i="1"/>
  <c r="H1092" i="1"/>
  <c r="G1092" i="1"/>
  <c r="F1092" i="1"/>
  <c r="E1092" i="1"/>
  <c r="AG1091" i="1"/>
  <c r="AF1091" i="1"/>
  <c r="AC1091" i="1"/>
  <c r="AB1091" i="1"/>
  <c r="AA1091" i="1"/>
  <c r="P1091" i="1"/>
  <c r="O1091" i="1"/>
  <c r="N1091" i="1"/>
  <c r="M1091" i="1"/>
  <c r="L1091" i="1"/>
  <c r="H1091" i="1"/>
  <c r="G1091" i="1"/>
  <c r="F1091" i="1"/>
  <c r="E1091" i="1"/>
  <c r="AH1090" i="1"/>
  <c r="AF1090" i="1"/>
  <c r="AG1090" i="1" s="1"/>
  <c r="AC1090" i="1"/>
  <c r="AB1090" i="1"/>
  <c r="AD1090" i="1" s="1"/>
  <c r="AA1090" i="1"/>
  <c r="O1090" i="1"/>
  <c r="P1090" i="1" s="1"/>
  <c r="N1090" i="1"/>
  <c r="M1090" i="1"/>
  <c r="L1090" i="1"/>
  <c r="H1090" i="1"/>
  <c r="G1090" i="1"/>
  <c r="F1090" i="1"/>
  <c r="E1090" i="1"/>
  <c r="AH1089" i="1"/>
  <c r="AG1089" i="1"/>
  <c r="AF1089" i="1"/>
  <c r="AC1089" i="1"/>
  <c r="AB1089" i="1"/>
  <c r="AD1089" i="1" s="1"/>
  <c r="AA1089" i="1"/>
  <c r="O1089" i="1"/>
  <c r="P1089" i="1" s="1"/>
  <c r="N1089" i="1"/>
  <c r="M1089" i="1"/>
  <c r="L1089" i="1"/>
  <c r="H1089" i="1"/>
  <c r="G1089" i="1"/>
  <c r="F1089" i="1"/>
  <c r="E1089" i="1"/>
  <c r="AF1088" i="1"/>
  <c r="AG1088" i="1" s="1"/>
  <c r="AC1088" i="1"/>
  <c r="AH1088" i="1" s="1"/>
  <c r="AB1088" i="1"/>
  <c r="AA1088" i="1"/>
  <c r="P1088" i="1"/>
  <c r="O1088" i="1"/>
  <c r="N1088" i="1"/>
  <c r="M1088" i="1"/>
  <c r="L1088" i="1"/>
  <c r="H1088" i="1"/>
  <c r="G1088" i="1"/>
  <c r="E1088" i="1"/>
  <c r="F1088" i="1" s="1"/>
  <c r="AH1087" i="1"/>
  <c r="AF1087" i="1"/>
  <c r="AG1087" i="1" s="1"/>
  <c r="AC1087" i="1"/>
  <c r="AB1087" i="1"/>
  <c r="AD1087" i="1" s="1"/>
  <c r="AA1087" i="1"/>
  <c r="O1087" i="1"/>
  <c r="P1087" i="1" s="1"/>
  <c r="N1087" i="1"/>
  <c r="M1087" i="1"/>
  <c r="L1087" i="1"/>
  <c r="H1087" i="1"/>
  <c r="G1087" i="1"/>
  <c r="F1087" i="1"/>
  <c r="E1087" i="1"/>
  <c r="AF1086" i="1"/>
  <c r="AG1086" i="1" s="1"/>
  <c r="AC1086" i="1"/>
  <c r="AB1086" i="1"/>
  <c r="AA1086" i="1"/>
  <c r="O1086" i="1"/>
  <c r="P1086" i="1" s="1"/>
  <c r="N1086" i="1"/>
  <c r="M1086" i="1"/>
  <c r="L1086" i="1"/>
  <c r="H1086" i="1"/>
  <c r="G1086" i="1"/>
  <c r="F1086" i="1"/>
  <c r="E1086" i="1"/>
  <c r="AG1085" i="1"/>
  <c r="AF1085" i="1"/>
  <c r="AC1085" i="1"/>
  <c r="AH1085" i="1" s="1"/>
  <c r="AB1085" i="1"/>
  <c r="AA1085" i="1"/>
  <c r="O1085" i="1"/>
  <c r="P1085" i="1" s="1"/>
  <c r="N1085" i="1"/>
  <c r="M1085" i="1"/>
  <c r="L1085" i="1"/>
  <c r="H1085" i="1"/>
  <c r="G1085" i="1"/>
  <c r="E1085" i="1"/>
  <c r="F1085" i="1" s="1"/>
  <c r="AH1084" i="1"/>
  <c r="AF1084" i="1"/>
  <c r="AG1084" i="1" s="1"/>
  <c r="AD1084" i="1"/>
  <c r="AC1084" i="1"/>
  <c r="AB1084" i="1"/>
  <c r="AA1084" i="1"/>
  <c r="O1084" i="1"/>
  <c r="P1084" i="1" s="1"/>
  <c r="N1084" i="1"/>
  <c r="M1084" i="1"/>
  <c r="L1084" i="1"/>
  <c r="H1084" i="1"/>
  <c r="G1084" i="1"/>
  <c r="F1084" i="1"/>
  <c r="E1084" i="1"/>
  <c r="AF1083" i="1"/>
  <c r="AG1083" i="1" s="1"/>
  <c r="AC1083" i="1"/>
  <c r="AH1083" i="1" s="1"/>
  <c r="AB1083" i="1"/>
  <c r="AD1083" i="1" s="1"/>
  <c r="AA1083" i="1"/>
  <c r="O1083" i="1"/>
  <c r="P1083" i="1" s="1"/>
  <c r="N1083" i="1"/>
  <c r="M1083" i="1"/>
  <c r="L1083" i="1"/>
  <c r="H1083" i="1"/>
  <c r="G1083" i="1"/>
  <c r="E1083" i="1"/>
  <c r="F1083" i="1" s="1"/>
  <c r="AG1082" i="1"/>
  <c r="AF1082" i="1"/>
  <c r="AD1082" i="1"/>
  <c r="AC1082" i="1"/>
  <c r="AH1082" i="1" s="1"/>
  <c r="AB1082" i="1"/>
  <c r="AA1082" i="1"/>
  <c r="P1082" i="1"/>
  <c r="O1082" i="1"/>
  <c r="N1082" i="1"/>
  <c r="M1082" i="1"/>
  <c r="L1082" i="1"/>
  <c r="H1082" i="1"/>
  <c r="G1082" i="1"/>
  <c r="E1082" i="1"/>
  <c r="F1082" i="1" s="1"/>
  <c r="AH1081" i="1"/>
  <c r="AG1081" i="1"/>
  <c r="AF1081" i="1"/>
  <c r="AD1081" i="1"/>
  <c r="AC1081" i="1"/>
  <c r="AB1081" i="1"/>
  <c r="AA1081" i="1"/>
  <c r="P1081" i="1"/>
  <c r="O1081" i="1"/>
  <c r="N1081" i="1"/>
  <c r="M1081" i="1"/>
  <c r="L1081" i="1"/>
  <c r="H1081" i="1"/>
  <c r="G1081" i="1"/>
  <c r="F1081" i="1"/>
  <c r="E1081" i="1"/>
  <c r="AH1080" i="1"/>
  <c r="AF1080" i="1"/>
  <c r="AG1080" i="1" s="1"/>
  <c r="AD1080" i="1"/>
  <c r="AC1080" i="1"/>
  <c r="AB1080" i="1"/>
  <c r="AA1080" i="1"/>
  <c r="P1080" i="1"/>
  <c r="O1080" i="1"/>
  <c r="N1080" i="1"/>
  <c r="M1080" i="1"/>
  <c r="L1080" i="1"/>
  <c r="H1080" i="1"/>
  <c r="G1080" i="1"/>
  <c r="F1080" i="1"/>
  <c r="E1080" i="1"/>
  <c r="AF1079" i="1"/>
  <c r="AG1079" i="1" s="1"/>
  <c r="AD1079" i="1"/>
  <c r="AC1079" i="1"/>
  <c r="AH1079" i="1" s="1"/>
  <c r="AB1079" i="1"/>
  <c r="AA1079" i="1"/>
  <c r="P1079" i="1"/>
  <c r="O1079" i="1"/>
  <c r="N1079" i="1"/>
  <c r="M1079" i="1"/>
  <c r="L1079" i="1"/>
  <c r="H1079" i="1"/>
  <c r="G1079" i="1"/>
  <c r="E1079" i="1"/>
  <c r="F1079" i="1" s="1"/>
  <c r="AH1078" i="1"/>
  <c r="AF1078" i="1"/>
  <c r="AG1078" i="1" s="1"/>
  <c r="AC1078" i="1"/>
  <c r="AB1078" i="1"/>
  <c r="AA1078" i="1"/>
  <c r="P1078" i="1"/>
  <c r="O1078" i="1"/>
  <c r="N1078" i="1"/>
  <c r="M1078" i="1"/>
  <c r="L1078" i="1"/>
  <c r="H1078" i="1"/>
  <c r="G1078" i="1"/>
  <c r="E1078" i="1"/>
  <c r="F1078" i="1" s="1"/>
  <c r="AG1077" i="1"/>
  <c r="AF1077" i="1"/>
  <c r="AD1077" i="1"/>
  <c r="AC1077" i="1"/>
  <c r="AH1077" i="1" s="1"/>
  <c r="AB1077" i="1"/>
  <c r="AA1077" i="1"/>
  <c r="P1077" i="1"/>
  <c r="O1077" i="1"/>
  <c r="N1077" i="1"/>
  <c r="M1077" i="1"/>
  <c r="L1077" i="1"/>
  <c r="H1077" i="1"/>
  <c r="G1077" i="1"/>
  <c r="E1077" i="1"/>
  <c r="F1077" i="1" s="1"/>
  <c r="AH1076" i="1"/>
  <c r="AG1076" i="1"/>
  <c r="AF1076" i="1"/>
  <c r="AC1076" i="1"/>
  <c r="AB1076" i="1"/>
  <c r="AD1076" i="1" s="1"/>
  <c r="AA1076" i="1"/>
  <c r="O1076" i="1"/>
  <c r="P1076" i="1" s="1"/>
  <c r="N1076" i="1"/>
  <c r="M1076" i="1"/>
  <c r="L1076" i="1"/>
  <c r="H1076" i="1"/>
  <c r="G1076" i="1"/>
  <c r="E1076" i="1"/>
  <c r="F1076" i="1" s="1"/>
  <c r="AH1075" i="1"/>
  <c r="AG1075" i="1"/>
  <c r="AF1075" i="1"/>
  <c r="AC1075" i="1"/>
  <c r="AB1075" i="1"/>
  <c r="AD1075" i="1" s="1"/>
  <c r="AA1075" i="1"/>
  <c r="P1075" i="1"/>
  <c r="O1075" i="1"/>
  <c r="N1075" i="1"/>
  <c r="M1075" i="1"/>
  <c r="L1075" i="1"/>
  <c r="H1075" i="1"/>
  <c r="G1075" i="1"/>
  <c r="E1075" i="1"/>
  <c r="F1075" i="1" s="1"/>
  <c r="AG1074" i="1"/>
  <c r="AF1074" i="1"/>
  <c r="AD1074" i="1"/>
  <c r="AC1074" i="1"/>
  <c r="AH1074" i="1" s="1"/>
  <c r="AB1074" i="1"/>
  <c r="AA1074" i="1"/>
  <c r="O1074" i="1"/>
  <c r="P1074" i="1" s="1"/>
  <c r="N1074" i="1"/>
  <c r="M1074" i="1"/>
  <c r="L1074" i="1"/>
  <c r="H1074" i="1"/>
  <c r="G1074" i="1"/>
  <c r="F1074" i="1"/>
  <c r="E1074" i="1"/>
  <c r="AG1073" i="1"/>
  <c r="AF1073" i="1"/>
  <c r="AC1073" i="1"/>
  <c r="AB1073" i="1"/>
  <c r="AA1073" i="1"/>
  <c r="P1073" i="1"/>
  <c r="O1073" i="1"/>
  <c r="N1073" i="1"/>
  <c r="M1073" i="1"/>
  <c r="L1073" i="1"/>
  <c r="H1073" i="1"/>
  <c r="G1073" i="1"/>
  <c r="E1073" i="1"/>
  <c r="F1073" i="1" s="1"/>
  <c r="AH1072" i="1"/>
  <c r="AG1072" i="1"/>
  <c r="AF1072" i="1"/>
  <c r="AC1072" i="1"/>
  <c r="AB1072" i="1"/>
  <c r="AD1072" i="1" s="1"/>
  <c r="AA1072" i="1"/>
  <c r="P1072" i="1"/>
  <c r="O1072" i="1"/>
  <c r="N1072" i="1"/>
  <c r="M1072" i="1"/>
  <c r="L1072" i="1"/>
  <c r="H1072" i="1"/>
  <c r="G1072" i="1"/>
  <c r="F1072" i="1"/>
  <c r="E1072" i="1"/>
  <c r="AG1071" i="1"/>
  <c r="AF1071" i="1"/>
  <c r="AD1071" i="1"/>
  <c r="AC1071" i="1"/>
  <c r="AH1071" i="1" s="1"/>
  <c r="AB1071" i="1"/>
  <c r="AA1071" i="1"/>
  <c r="O1071" i="1"/>
  <c r="P1071" i="1" s="1"/>
  <c r="N1071" i="1"/>
  <c r="M1071" i="1"/>
  <c r="L1071" i="1"/>
  <c r="H1071" i="1"/>
  <c r="G1071" i="1"/>
  <c r="F1071" i="1"/>
  <c r="E1071" i="1"/>
  <c r="AF1070" i="1"/>
  <c r="AG1070" i="1" s="1"/>
  <c r="AC1070" i="1"/>
  <c r="AH1070" i="1" s="1"/>
  <c r="AB1070" i="1"/>
  <c r="AD1070" i="1" s="1"/>
  <c r="AA1070" i="1"/>
  <c r="P1070" i="1"/>
  <c r="O1070" i="1"/>
  <c r="N1070" i="1"/>
  <c r="M1070" i="1"/>
  <c r="L1070" i="1"/>
  <c r="H1070" i="1"/>
  <c r="G1070" i="1"/>
  <c r="E1070" i="1"/>
  <c r="F1070" i="1" s="1"/>
  <c r="AF1069" i="1"/>
  <c r="AG1069" i="1" s="1"/>
  <c r="AC1069" i="1"/>
  <c r="AH1069" i="1" s="1"/>
  <c r="AB1069" i="1"/>
  <c r="AA1069" i="1"/>
  <c r="P1069" i="1"/>
  <c r="O1069" i="1"/>
  <c r="N1069" i="1"/>
  <c r="M1069" i="1"/>
  <c r="L1069" i="1"/>
  <c r="H1069" i="1"/>
  <c r="G1069" i="1"/>
  <c r="F1069" i="1"/>
  <c r="E1069" i="1"/>
  <c r="AF1068" i="1"/>
  <c r="AG1068" i="1" s="1"/>
  <c r="AC1068" i="1"/>
  <c r="AB1068" i="1"/>
  <c r="AA1068" i="1"/>
  <c r="P1068" i="1"/>
  <c r="O1068" i="1"/>
  <c r="N1068" i="1"/>
  <c r="M1068" i="1"/>
  <c r="L1068" i="1"/>
  <c r="H1068" i="1"/>
  <c r="G1068" i="1"/>
  <c r="F1068" i="1"/>
  <c r="E1068" i="1"/>
  <c r="AH1067" i="1"/>
  <c r="AG1067" i="1"/>
  <c r="AF1067" i="1"/>
  <c r="AD1067" i="1"/>
  <c r="AC1067" i="1"/>
  <c r="AB1067" i="1"/>
  <c r="AA1067" i="1"/>
  <c r="O1067" i="1"/>
  <c r="P1067" i="1" s="1"/>
  <c r="N1067" i="1"/>
  <c r="M1067" i="1"/>
  <c r="L1067" i="1"/>
  <c r="H1067" i="1"/>
  <c r="G1067" i="1"/>
  <c r="E1067" i="1"/>
  <c r="F1067" i="1" s="1"/>
  <c r="AH1066" i="1"/>
  <c r="AG1066" i="1"/>
  <c r="AF1066" i="1"/>
  <c r="AC1066" i="1"/>
  <c r="AB1066" i="1"/>
  <c r="AD1066" i="1" s="1"/>
  <c r="AA1066" i="1"/>
  <c r="P1066" i="1"/>
  <c r="O1066" i="1"/>
  <c r="N1066" i="1"/>
  <c r="M1066" i="1"/>
  <c r="L1066" i="1"/>
  <c r="H1066" i="1"/>
  <c r="G1066" i="1"/>
  <c r="F1066" i="1"/>
  <c r="E1066" i="1"/>
  <c r="AF1065" i="1"/>
  <c r="AG1065" i="1" s="1"/>
  <c r="AD1065" i="1"/>
  <c r="AC1065" i="1"/>
  <c r="AH1065" i="1" s="1"/>
  <c r="AB1065" i="1"/>
  <c r="AA1065" i="1"/>
  <c r="O1065" i="1"/>
  <c r="P1065" i="1" s="1"/>
  <c r="N1065" i="1"/>
  <c r="M1065" i="1"/>
  <c r="L1065" i="1"/>
  <c r="H1065" i="1"/>
  <c r="G1065" i="1"/>
  <c r="F1065" i="1"/>
  <c r="E1065" i="1"/>
  <c r="AG1064" i="1"/>
  <c r="AF1064" i="1"/>
  <c r="AC1064" i="1"/>
  <c r="AH1064" i="1" s="1"/>
  <c r="AB1064" i="1"/>
  <c r="AD1064" i="1" s="1"/>
  <c r="AA1064" i="1"/>
  <c r="P1064" i="1"/>
  <c r="O1064" i="1"/>
  <c r="N1064" i="1"/>
  <c r="M1064" i="1"/>
  <c r="L1064" i="1"/>
  <c r="H1064" i="1"/>
  <c r="G1064" i="1"/>
  <c r="E1064" i="1"/>
  <c r="F1064" i="1" s="1"/>
  <c r="AH1063" i="1"/>
  <c r="AG1063" i="1"/>
  <c r="AF1063" i="1"/>
  <c r="AC1063" i="1"/>
  <c r="AB1063" i="1"/>
  <c r="AD1063" i="1" s="1"/>
  <c r="AA1063" i="1"/>
  <c r="O1063" i="1"/>
  <c r="P1063" i="1" s="1"/>
  <c r="N1063" i="1"/>
  <c r="M1063" i="1"/>
  <c r="L1063" i="1"/>
  <c r="H1063" i="1"/>
  <c r="G1063" i="1"/>
  <c r="F1063" i="1"/>
  <c r="E1063" i="1"/>
  <c r="AF1062" i="1"/>
  <c r="AG1062" i="1" s="1"/>
  <c r="AD1062" i="1"/>
  <c r="AC1062" i="1"/>
  <c r="AH1062" i="1" s="1"/>
  <c r="AB1062" i="1"/>
  <c r="AA1062" i="1"/>
  <c r="O1062" i="1"/>
  <c r="P1062" i="1" s="1"/>
  <c r="N1062" i="1"/>
  <c r="M1062" i="1"/>
  <c r="L1062" i="1"/>
  <c r="H1062" i="1"/>
  <c r="G1062" i="1"/>
  <c r="E1062" i="1"/>
  <c r="F1062" i="1" s="1"/>
  <c r="AH1061" i="1"/>
  <c r="AF1061" i="1"/>
  <c r="AG1061" i="1" s="1"/>
  <c r="AC1061" i="1"/>
  <c r="AB1061" i="1"/>
  <c r="AD1061" i="1" s="1"/>
  <c r="AA1061" i="1"/>
  <c r="P1061" i="1"/>
  <c r="O1061" i="1"/>
  <c r="N1061" i="1"/>
  <c r="M1061" i="1"/>
  <c r="L1061" i="1"/>
  <c r="H1061" i="1"/>
  <c r="G1061" i="1"/>
  <c r="E1061" i="1"/>
  <c r="F1061" i="1" s="1"/>
  <c r="AF1060" i="1"/>
  <c r="AG1060" i="1" s="1"/>
  <c r="AC1060" i="1"/>
  <c r="AH1060" i="1" s="1"/>
  <c r="AB1060" i="1"/>
  <c r="AD1060" i="1" s="1"/>
  <c r="AA1060" i="1"/>
  <c r="O1060" i="1"/>
  <c r="P1060" i="1" s="1"/>
  <c r="N1060" i="1"/>
  <c r="M1060" i="1"/>
  <c r="L1060" i="1"/>
  <c r="H1060" i="1"/>
  <c r="G1060" i="1"/>
  <c r="F1060" i="1"/>
  <c r="E1060" i="1"/>
  <c r="AG1059" i="1"/>
  <c r="AF1059" i="1"/>
  <c r="AD1059" i="1"/>
  <c r="AC1059" i="1"/>
  <c r="AH1059" i="1" s="1"/>
  <c r="AB1059" i="1"/>
  <c r="AA1059" i="1"/>
  <c r="P1059" i="1"/>
  <c r="O1059" i="1"/>
  <c r="N1059" i="1"/>
  <c r="M1059" i="1"/>
  <c r="L1059" i="1"/>
  <c r="H1059" i="1"/>
  <c r="G1059" i="1"/>
  <c r="F1059" i="1"/>
  <c r="E1059" i="1"/>
  <c r="AG1058" i="1"/>
  <c r="AF1058" i="1"/>
  <c r="AD1058" i="1"/>
  <c r="AC1058" i="1"/>
  <c r="AH1058" i="1" s="1"/>
  <c r="AB1058" i="1"/>
  <c r="AA1058" i="1"/>
  <c r="O1058" i="1"/>
  <c r="P1058" i="1" s="1"/>
  <c r="N1058" i="1"/>
  <c r="M1058" i="1"/>
  <c r="L1058" i="1"/>
  <c r="H1058" i="1"/>
  <c r="G1058" i="1"/>
  <c r="E1058" i="1"/>
  <c r="F1058" i="1" s="1"/>
  <c r="AH1057" i="1"/>
  <c r="AF1057" i="1"/>
  <c r="AG1057" i="1" s="1"/>
  <c r="AC1057" i="1"/>
  <c r="AB1057" i="1"/>
  <c r="AD1057" i="1" s="1"/>
  <c r="AA1057" i="1"/>
  <c r="P1057" i="1"/>
  <c r="O1057" i="1"/>
  <c r="N1057" i="1"/>
  <c r="M1057" i="1"/>
  <c r="L1057" i="1"/>
  <c r="H1057" i="1"/>
  <c r="G1057" i="1"/>
  <c r="E1057" i="1"/>
  <c r="F1057" i="1" s="1"/>
  <c r="AF1056" i="1"/>
  <c r="AG1056" i="1" s="1"/>
  <c r="AC1056" i="1"/>
  <c r="AB1056" i="1"/>
  <c r="AA1056" i="1"/>
  <c r="O1056" i="1"/>
  <c r="P1056" i="1" s="1"/>
  <c r="N1056" i="1"/>
  <c r="M1056" i="1"/>
  <c r="L1056" i="1"/>
  <c r="H1056" i="1"/>
  <c r="G1056" i="1"/>
  <c r="F1056" i="1"/>
  <c r="E1056" i="1"/>
  <c r="AG1055" i="1"/>
  <c r="AF1055" i="1"/>
  <c r="AC1055" i="1"/>
  <c r="AH1055" i="1" s="1"/>
  <c r="AB1055" i="1"/>
  <c r="AA1055" i="1"/>
  <c r="P1055" i="1"/>
  <c r="O1055" i="1"/>
  <c r="N1055" i="1"/>
  <c r="M1055" i="1"/>
  <c r="L1055" i="1"/>
  <c r="H1055" i="1"/>
  <c r="G1055" i="1"/>
  <c r="F1055" i="1"/>
  <c r="E1055" i="1"/>
  <c r="AH1054" i="1"/>
  <c r="AG1054" i="1"/>
  <c r="AF1054" i="1"/>
  <c r="AD1054" i="1"/>
  <c r="AC1054" i="1"/>
  <c r="AB1054" i="1"/>
  <c r="AA1054" i="1"/>
  <c r="P1054" i="1"/>
  <c r="O1054" i="1"/>
  <c r="N1054" i="1"/>
  <c r="M1054" i="1"/>
  <c r="L1054" i="1"/>
  <c r="H1054" i="1"/>
  <c r="G1054" i="1"/>
  <c r="F1054" i="1"/>
  <c r="E1054" i="1"/>
  <c r="AH1053" i="1"/>
  <c r="AF1053" i="1"/>
  <c r="AG1053" i="1" s="1"/>
  <c r="AD1053" i="1"/>
  <c r="AC1053" i="1"/>
  <c r="AB1053" i="1"/>
  <c r="AA1053" i="1"/>
  <c r="O1053" i="1"/>
  <c r="P1053" i="1" s="1"/>
  <c r="N1053" i="1"/>
  <c r="M1053" i="1"/>
  <c r="L1053" i="1"/>
  <c r="H1053" i="1"/>
  <c r="G1053" i="1"/>
  <c r="E1053" i="1"/>
  <c r="F1053" i="1" s="1"/>
  <c r="AH1052" i="1"/>
  <c r="AF1052" i="1"/>
  <c r="AG1052" i="1" s="1"/>
  <c r="AD1052" i="1"/>
  <c r="AC1052" i="1"/>
  <c r="AB1052" i="1"/>
  <c r="AA1052" i="1"/>
  <c r="P1052" i="1"/>
  <c r="O1052" i="1"/>
  <c r="N1052" i="1"/>
  <c r="M1052" i="1"/>
  <c r="L1052" i="1"/>
  <c r="H1052" i="1"/>
  <c r="G1052" i="1"/>
  <c r="E1052" i="1"/>
  <c r="F1052" i="1" s="1"/>
  <c r="AF1051" i="1"/>
  <c r="AG1051" i="1" s="1"/>
  <c r="AC1051" i="1"/>
  <c r="AH1051" i="1" s="1"/>
  <c r="AB1051" i="1"/>
  <c r="AA1051" i="1"/>
  <c r="P1051" i="1"/>
  <c r="O1051" i="1"/>
  <c r="N1051" i="1"/>
  <c r="M1051" i="1"/>
  <c r="L1051" i="1"/>
  <c r="H1051" i="1"/>
  <c r="G1051" i="1"/>
  <c r="E1051" i="1"/>
  <c r="F1051" i="1" s="1"/>
  <c r="AG1050" i="1"/>
  <c r="AF1050" i="1"/>
  <c r="AD1050" i="1"/>
  <c r="AC1050" i="1"/>
  <c r="AH1050" i="1" s="1"/>
  <c r="AB1050" i="1"/>
  <c r="AA1050" i="1"/>
  <c r="O1050" i="1"/>
  <c r="P1050" i="1" s="1"/>
  <c r="N1050" i="1"/>
  <c r="M1050" i="1"/>
  <c r="L1050" i="1"/>
  <c r="H1050" i="1"/>
  <c r="G1050" i="1"/>
  <c r="F1050" i="1"/>
  <c r="E1050" i="1"/>
  <c r="AH1049" i="1"/>
  <c r="AG1049" i="1"/>
  <c r="AF1049" i="1"/>
  <c r="AC1049" i="1"/>
  <c r="AB1049" i="1"/>
  <c r="AD1049" i="1" s="1"/>
  <c r="AA1049" i="1"/>
  <c r="O1049" i="1"/>
  <c r="P1049" i="1" s="1"/>
  <c r="N1049" i="1"/>
  <c r="M1049" i="1"/>
  <c r="L1049" i="1"/>
  <c r="H1049" i="1"/>
  <c r="G1049" i="1"/>
  <c r="E1049" i="1"/>
  <c r="F1049" i="1" s="1"/>
  <c r="AH1048" i="1"/>
  <c r="AG1048" i="1"/>
  <c r="AF1048" i="1"/>
  <c r="AD1048" i="1"/>
  <c r="AC1048" i="1"/>
  <c r="AB1048" i="1"/>
  <c r="AA1048" i="1"/>
  <c r="P1048" i="1"/>
  <c r="O1048" i="1"/>
  <c r="N1048" i="1"/>
  <c r="M1048" i="1"/>
  <c r="L1048" i="1"/>
  <c r="H1048" i="1"/>
  <c r="G1048" i="1"/>
  <c r="E1048" i="1"/>
  <c r="F1048" i="1" s="1"/>
  <c r="AG1047" i="1"/>
  <c r="AF1047" i="1"/>
  <c r="AC1047" i="1"/>
  <c r="AB1047" i="1"/>
  <c r="AA1047" i="1"/>
  <c r="P1047" i="1"/>
  <c r="O1047" i="1"/>
  <c r="N1047" i="1"/>
  <c r="M1047" i="1"/>
  <c r="L1047" i="1"/>
  <c r="H1047" i="1"/>
  <c r="G1047" i="1"/>
  <c r="E1047" i="1"/>
  <c r="F1047" i="1" s="1"/>
  <c r="AH1046" i="1"/>
  <c r="AG1046" i="1"/>
  <c r="AF1046" i="1"/>
  <c r="AC1046" i="1"/>
  <c r="AB1046" i="1"/>
  <c r="AD1046" i="1" s="1"/>
  <c r="AA1046" i="1"/>
  <c r="P1046" i="1"/>
  <c r="O1046" i="1"/>
  <c r="N1046" i="1"/>
  <c r="M1046" i="1"/>
  <c r="L1046" i="1"/>
  <c r="H1046" i="1"/>
  <c r="G1046" i="1"/>
  <c r="F1046" i="1"/>
  <c r="E1046" i="1"/>
  <c r="AH1045" i="1"/>
  <c r="AG1045" i="1"/>
  <c r="AF1045" i="1"/>
  <c r="AC1045" i="1"/>
  <c r="AB1045" i="1"/>
  <c r="AD1045" i="1" s="1"/>
  <c r="AA1045" i="1"/>
  <c r="O1045" i="1"/>
  <c r="P1045" i="1" s="1"/>
  <c r="N1045" i="1"/>
  <c r="M1045" i="1"/>
  <c r="L1045" i="1"/>
  <c r="H1045" i="1"/>
  <c r="G1045" i="1"/>
  <c r="F1045" i="1"/>
  <c r="E1045" i="1"/>
  <c r="AG1044" i="1"/>
  <c r="AF1044" i="1"/>
  <c r="AC1044" i="1"/>
  <c r="AH1044" i="1" s="1"/>
  <c r="AB1044" i="1"/>
  <c r="AA1044" i="1"/>
  <c r="P1044" i="1"/>
  <c r="O1044" i="1"/>
  <c r="N1044" i="1"/>
  <c r="M1044" i="1"/>
  <c r="L1044" i="1"/>
  <c r="H1044" i="1"/>
  <c r="G1044" i="1"/>
  <c r="E1044" i="1"/>
  <c r="F1044" i="1" s="1"/>
  <c r="AH1043" i="1"/>
  <c r="AF1043" i="1"/>
  <c r="AG1043" i="1" s="1"/>
  <c r="AD1043" i="1"/>
  <c r="AC1043" i="1"/>
  <c r="AB1043" i="1"/>
  <c r="AA1043" i="1"/>
  <c r="P1043" i="1"/>
  <c r="O1043" i="1"/>
  <c r="N1043" i="1"/>
  <c r="M1043" i="1"/>
  <c r="L1043" i="1"/>
  <c r="H1043" i="1"/>
  <c r="G1043" i="1"/>
  <c r="E1043" i="1"/>
  <c r="F1043" i="1" s="1"/>
  <c r="AH1042" i="1"/>
  <c r="AG1042" i="1"/>
  <c r="AF1042" i="1"/>
  <c r="AC1042" i="1"/>
  <c r="AB1042" i="1"/>
  <c r="AD1042" i="1" s="1"/>
  <c r="AA1042" i="1"/>
  <c r="P1042" i="1"/>
  <c r="O1042" i="1"/>
  <c r="N1042" i="1"/>
  <c r="M1042" i="1"/>
  <c r="L1042" i="1"/>
  <c r="H1042" i="1"/>
  <c r="G1042" i="1"/>
  <c r="F1042" i="1"/>
  <c r="E1042" i="1"/>
  <c r="AF1041" i="1"/>
  <c r="AG1041" i="1" s="1"/>
  <c r="AC1041" i="1"/>
  <c r="AH1041" i="1" s="1"/>
  <c r="AB1041" i="1"/>
  <c r="AA1041" i="1"/>
  <c r="O1041" i="1"/>
  <c r="P1041" i="1" s="1"/>
  <c r="N1041" i="1"/>
  <c r="M1041" i="1"/>
  <c r="L1041" i="1"/>
  <c r="H1041" i="1"/>
  <c r="G1041" i="1"/>
  <c r="F1041" i="1"/>
  <c r="E1041" i="1"/>
  <c r="AG1040" i="1"/>
  <c r="AF1040" i="1"/>
  <c r="AC1040" i="1"/>
  <c r="AH1040" i="1" s="1"/>
  <c r="AB1040" i="1"/>
  <c r="AD1040" i="1" s="1"/>
  <c r="AA1040" i="1"/>
  <c r="O1040" i="1"/>
  <c r="P1040" i="1" s="1"/>
  <c r="N1040" i="1"/>
  <c r="M1040" i="1"/>
  <c r="L1040" i="1"/>
  <c r="H1040" i="1"/>
  <c r="G1040" i="1"/>
  <c r="E1040" i="1"/>
  <c r="F1040" i="1" s="1"/>
  <c r="AH1039" i="1"/>
  <c r="AG1039" i="1"/>
  <c r="AF1039" i="1"/>
  <c r="AD1039" i="1"/>
  <c r="AC1039" i="1"/>
  <c r="AB1039" i="1"/>
  <c r="AA1039" i="1"/>
  <c r="P1039" i="1"/>
  <c r="O1039" i="1"/>
  <c r="N1039" i="1"/>
  <c r="M1039" i="1"/>
  <c r="L1039" i="1"/>
  <c r="H1039" i="1"/>
  <c r="G1039" i="1"/>
  <c r="F1039" i="1"/>
  <c r="E1039" i="1"/>
  <c r="AG1038" i="1"/>
  <c r="AF1038" i="1"/>
  <c r="AC1038" i="1"/>
  <c r="AH1038" i="1" s="1"/>
  <c r="AB1038" i="1"/>
  <c r="AD1038" i="1" s="1"/>
  <c r="AA1038" i="1"/>
  <c r="P1038" i="1"/>
  <c r="O1038" i="1"/>
  <c r="N1038" i="1"/>
  <c r="M1038" i="1"/>
  <c r="L1038" i="1"/>
  <c r="H1038" i="1"/>
  <c r="G1038" i="1"/>
  <c r="F1038" i="1"/>
  <c r="E1038" i="1"/>
  <c r="AH1037" i="1"/>
  <c r="AG1037" i="1"/>
  <c r="AF1037" i="1"/>
  <c r="AD1037" i="1"/>
  <c r="AC1037" i="1"/>
  <c r="AB1037" i="1"/>
  <c r="AA1037" i="1"/>
  <c r="P1037" i="1"/>
  <c r="O1037" i="1"/>
  <c r="N1037" i="1"/>
  <c r="M1037" i="1"/>
  <c r="L1037" i="1"/>
  <c r="H1037" i="1"/>
  <c r="G1037" i="1"/>
  <c r="E1037" i="1"/>
  <c r="F1037" i="1" s="1"/>
  <c r="AH1036" i="1"/>
  <c r="AF1036" i="1"/>
  <c r="AG1036" i="1" s="1"/>
  <c r="AD1036" i="1"/>
  <c r="AC1036" i="1"/>
  <c r="AB1036" i="1"/>
  <c r="AA1036" i="1"/>
  <c r="O1036" i="1"/>
  <c r="P1036" i="1" s="1"/>
  <c r="N1036" i="1"/>
  <c r="M1036" i="1"/>
  <c r="L1036" i="1"/>
  <c r="H1036" i="1"/>
  <c r="G1036" i="1"/>
  <c r="F1036" i="1"/>
  <c r="E1036" i="1"/>
  <c r="AG1035" i="1"/>
  <c r="AF1035" i="1"/>
  <c r="AC1035" i="1"/>
  <c r="AH1035" i="1" s="1"/>
  <c r="AB1035" i="1"/>
  <c r="AD1035" i="1" s="1"/>
  <c r="AA1035" i="1"/>
  <c r="P1035" i="1"/>
  <c r="O1035" i="1"/>
  <c r="N1035" i="1"/>
  <c r="M1035" i="1"/>
  <c r="L1035" i="1"/>
  <c r="H1035" i="1"/>
  <c r="G1035" i="1"/>
  <c r="F1035" i="1"/>
  <c r="E1035" i="1"/>
  <c r="AH1034" i="1"/>
  <c r="AF1034" i="1"/>
  <c r="AG1034" i="1" s="1"/>
  <c r="AD1034" i="1"/>
  <c r="AC1034" i="1"/>
  <c r="AB1034" i="1"/>
  <c r="AA1034" i="1"/>
  <c r="P1034" i="1"/>
  <c r="O1034" i="1"/>
  <c r="N1034" i="1"/>
  <c r="M1034" i="1"/>
  <c r="L1034" i="1"/>
  <c r="H1034" i="1"/>
  <c r="G1034" i="1"/>
  <c r="E1034" i="1"/>
  <c r="F1034" i="1" s="1"/>
  <c r="AH1033" i="1"/>
  <c r="AF1033" i="1"/>
  <c r="AG1033" i="1" s="1"/>
  <c r="AC1033" i="1"/>
  <c r="AB1033" i="1"/>
  <c r="AD1033" i="1" s="1"/>
  <c r="AA1033" i="1"/>
  <c r="O1033" i="1"/>
  <c r="P1033" i="1" s="1"/>
  <c r="N1033" i="1"/>
  <c r="M1033" i="1"/>
  <c r="L1033" i="1"/>
  <c r="H1033" i="1"/>
  <c r="G1033" i="1"/>
  <c r="F1033" i="1"/>
  <c r="E1033" i="1"/>
  <c r="AF1032" i="1"/>
  <c r="AG1032" i="1" s="1"/>
  <c r="AD1032" i="1"/>
  <c r="AC1032" i="1"/>
  <c r="AH1032" i="1" s="1"/>
  <c r="AB1032" i="1"/>
  <c r="AA1032" i="1"/>
  <c r="O1032" i="1"/>
  <c r="P1032" i="1" s="1"/>
  <c r="N1032" i="1"/>
  <c r="M1032" i="1"/>
  <c r="L1032" i="1"/>
  <c r="H1032" i="1"/>
  <c r="G1032" i="1"/>
  <c r="F1032" i="1"/>
  <c r="E1032" i="1"/>
  <c r="AH1031" i="1"/>
  <c r="AG1031" i="1"/>
  <c r="AF1031" i="1"/>
  <c r="AC1031" i="1"/>
  <c r="AB1031" i="1"/>
  <c r="AA1031" i="1"/>
  <c r="O1031" i="1"/>
  <c r="P1031" i="1" s="1"/>
  <c r="N1031" i="1"/>
  <c r="M1031" i="1"/>
  <c r="L1031" i="1"/>
  <c r="H1031" i="1"/>
  <c r="G1031" i="1"/>
  <c r="E1031" i="1"/>
  <c r="F1031" i="1" s="1"/>
  <c r="AH1030" i="1"/>
  <c r="AF1030" i="1"/>
  <c r="AG1030" i="1" s="1"/>
  <c r="AD1030" i="1"/>
  <c r="AC1030" i="1"/>
  <c r="AB1030" i="1"/>
  <c r="AA1030" i="1"/>
  <c r="O1030" i="1"/>
  <c r="P1030" i="1" s="1"/>
  <c r="N1030" i="1"/>
  <c r="M1030" i="1"/>
  <c r="L1030" i="1"/>
  <c r="H1030" i="1"/>
  <c r="G1030" i="1"/>
  <c r="F1030" i="1"/>
  <c r="E1030" i="1"/>
  <c r="AF1029" i="1"/>
  <c r="AG1029" i="1" s="1"/>
  <c r="AD1029" i="1"/>
  <c r="AC1029" i="1"/>
  <c r="AH1029" i="1" s="1"/>
  <c r="AB1029" i="1"/>
  <c r="AA1029" i="1"/>
  <c r="P1029" i="1"/>
  <c r="O1029" i="1"/>
  <c r="N1029" i="1"/>
  <c r="M1029" i="1"/>
  <c r="L1029" i="1"/>
  <c r="H1029" i="1"/>
  <c r="G1029" i="1"/>
  <c r="F1029" i="1"/>
  <c r="E1029" i="1"/>
  <c r="AG1028" i="1"/>
  <c r="AF1028" i="1"/>
  <c r="AC1028" i="1"/>
  <c r="AH1028" i="1" s="1"/>
  <c r="AB1028" i="1"/>
  <c r="AA1028" i="1"/>
  <c r="P1028" i="1"/>
  <c r="O1028" i="1"/>
  <c r="N1028" i="1"/>
  <c r="M1028" i="1"/>
  <c r="L1028" i="1"/>
  <c r="H1028" i="1"/>
  <c r="G1028" i="1"/>
  <c r="E1028" i="1"/>
  <c r="F1028" i="1" s="1"/>
  <c r="AH1027" i="1"/>
  <c r="AG1027" i="1"/>
  <c r="AF1027" i="1"/>
  <c r="AD1027" i="1"/>
  <c r="AC1027" i="1"/>
  <c r="AB1027" i="1"/>
  <c r="AA1027" i="1"/>
  <c r="P1027" i="1"/>
  <c r="O1027" i="1"/>
  <c r="N1027" i="1"/>
  <c r="M1027" i="1"/>
  <c r="L1027" i="1"/>
  <c r="H1027" i="1"/>
  <c r="G1027" i="1"/>
  <c r="F1027" i="1"/>
  <c r="E1027" i="1"/>
  <c r="AH1026" i="1"/>
  <c r="AG1026" i="1"/>
  <c r="AF1026" i="1"/>
  <c r="AD1026" i="1"/>
  <c r="AC1026" i="1"/>
  <c r="AB1026" i="1"/>
  <c r="AA1026" i="1"/>
  <c r="O1026" i="1"/>
  <c r="P1026" i="1" s="1"/>
  <c r="N1026" i="1"/>
  <c r="M1026" i="1"/>
  <c r="L1026" i="1"/>
  <c r="H1026" i="1"/>
  <c r="G1026" i="1"/>
  <c r="F1026" i="1"/>
  <c r="E1026" i="1"/>
  <c r="AF1025" i="1"/>
  <c r="AG1025" i="1" s="1"/>
  <c r="AC1025" i="1"/>
  <c r="AH1025" i="1" s="1"/>
  <c r="AB1025" i="1"/>
  <c r="AD1025" i="1" s="1"/>
  <c r="AA1025" i="1"/>
  <c r="P1025" i="1"/>
  <c r="O1025" i="1"/>
  <c r="N1025" i="1"/>
  <c r="M1025" i="1"/>
  <c r="L1025" i="1"/>
  <c r="H1025" i="1"/>
  <c r="G1025" i="1"/>
  <c r="E1025" i="1"/>
  <c r="F1025" i="1" s="1"/>
  <c r="AH1024" i="1"/>
  <c r="AF1024" i="1"/>
  <c r="AG1024" i="1" s="1"/>
  <c r="AC1024" i="1"/>
  <c r="AB1024" i="1"/>
  <c r="AA1024" i="1"/>
  <c r="P1024" i="1"/>
  <c r="O1024" i="1"/>
  <c r="N1024" i="1"/>
  <c r="M1024" i="1"/>
  <c r="L1024" i="1"/>
  <c r="H1024" i="1"/>
  <c r="G1024" i="1"/>
  <c r="F1024" i="1"/>
  <c r="E1024" i="1"/>
  <c r="AG1023" i="1"/>
  <c r="AF1023" i="1"/>
  <c r="AC1023" i="1"/>
  <c r="AH1023" i="1" s="1"/>
  <c r="AB1023" i="1"/>
  <c r="AA1023" i="1"/>
  <c r="P1023" i="1"/>
  <c r="O1023" i="1"/>
  <c r="N1023" i="1"/>
  <c r="M1023" i="1"/>
  <c r="L1023" i="1"/>
  <c r="H1023" i="1"/>
  <c r="G1023" i="1"/>
  <c r="E1023" i="1"/>
  <c r="F1023" i="1" s="1"/>
  <c r="AH1022" i="1"/>
  <c r="AG1022" i="1"/>
  <c r="AF1022" i="1"/>
  <c r="AC1022" i="1"/>
  <c r="AB1022" i="1"/>
  <c r="AD1022" i="1" s="1"/>
  <c r="AA1022" i="1"/>
  <c r="O1022" i="1"/>
  <c r="P1022" i="1" s="1"/>
  <c r="N1022" i="1"/>
  <c r="M1022" i="1"/>
  <c r="L1022" i="1"/>
  <c r="H1022" i="1"/>
  <c r="G1022" i="1"/>
  <c r="E1022" i="1"/>
  <c r="F1022" i="1" s="1"/>
  <c r="AH1021" i="1"/>
  <c r="AG1021" i="1"/>
  <c r="AF1021" i="1"/>
  <c r="AD1021" i="1"/>
  <c r="AC1021" i="1"/>
  <c r="AB1021" i="1"/>
  <c r="AA1021" i="1"/>
  <c r="P1021" i="1"/>
  <c r="O1021" i="1"/>
  <c r="N1021" i="1"/>
  <c r="M1021" i="1"/>
  <c r="L1021" i="1"/>
  <c r="H1021" i="1"/>
  <c r="G1021" i="1"/>
  <c r="E1021" i="1"/>
  <c r="F1021" i="1" s="1"/>
  <c r="AG1020" i="1"/>
  <c r="AF1020" i="1"/>
  <c r="AD1020" i="1"/>
  <c r="AC1020" i="1"/>
  <c r="AH1020" i="1" s="1"/>
  <c r="AB1020" i="1"/>
  <c r="AA1020" i="1"/>
  <c r="P1020" i="1"/>
  <c r="O1020" i="1"/>
  <c r="N1020" i="1"/>
  <c r="M1020" i="1"/>
  <c r="L1020" i="1"/>
  <c r="H1020" i="1"/>
  <c r="G1020" i="1"/>
  <c r="E1020" i="1"/>
  <c r="F1020" i="1" s="1"/>
  <c r="AG1019" i="1"/>
  <c r="AF1019" i="1"/>
  <c r="AC1019" i="1"/>
  <c r="AH1019" i="1" s="1"/>
  <c r="AB1019" i="1"/>
  <c r="AD1019" i="1" s="1"/>
  <c r="AA1019" i="1"/>
  <c r="P1019" i="1"/>
  <c r="O1019" i="1"/>
  <c r="N1019" i="1"/>
  <c r="M1019" i="1"/>
  <c r="L1019" i="1"/>
  <c r="H1019" i="1"/>
  <c r="G1019" i="1"/>
  <c r="E1019" i="1"/>
  <c r="F1019" i="1" s="1"/>
  <c r="AH1018" i="1"/>
  <c r="AG1018" i="1"/>
  <c r="AF1018" i="1"/>
  <c r="AC1018" i="1"/>
  <c r="AB1018" i="1"/>
  <c r="AD1018" i="1" s="1"/>
  <c r="AA1018" i="1"/>
  <c r="O1018" i="1"/>
  <c r="P1018" i="1" s="1"/>
  <c r="N1018" i="1"/>
  <c r="M1018" i="1"/>
  <c r="L1018" i="1"/>
  <c r="H1018" i="1"/>
  <c r="G1018" i="1"/>
  <c r="F1018" i="1"/>
  <c r="E1018" i="1"/>
  <c r="AH1017" i="1"/>
  <c r="AF1017" i="1"/>
  <c r="AG1017" i="1" s="1"/>
  <c r="AD1017" i="1"/>
  <c r="AC1017" i="1"/>
  <c r="AB1017" i="1"/>
  <c r="AA1017" i="1"/>
  <c r="O1017" i="1"/>
  <c r="P1017" i="1" s="1"/>
  <c r="N1017" i="1"/>
  <c r="M1017" i="1"/>
  <c r="L1017" i="1"/>
  <c r="H1017" i="1"/>
  <c r="G1017" i="1"/>
  <c r="F1017" i="1"/>
  <c r="E1017" i="1"/>
  <c r="AH1016" i="1"/>
  <c r="AF1016" i="1"/>
  <c r="AG1016" i="1" s="1"/>
  <c r="AC1016" i="1"/>
  <c r="AB1016" i="1"/>
  <c r="AD1016" i="1" s="1"/>
  <c r="AA1016" i="1"/>
  <c r="P1016" i="1"/>
  <c r="O1016" i="1"/>
  <c r="N1016" i="1"/>
  <c r="M1016" i="1"/>
  <c r="L1016" i="1"/>
  <c r="H1016" i="1"/>
  <c r="G1016" i="1"/>
  <c r="E1016" i="1"/>
  <c r="F1016" i="1" s="1"/>
  <c r="AF1015" i="1"/>
  <c r="AG1015" i="1" s="1"/>
  <c r="AC1015" i="1"/>
  <c r="AH1015" i="1" s="1"/>
  <c r="AB1015" i="1"/>
  <c r="AA1015" i="1"/>
  <c r="P1015" i="1"/>
  <c r="O1015" i="1"/>
  <c r="N1015" i="1"/>
  <c r="M1015" i="1"/>
  <c r="L1015" i="1"/>
  <c r="H1015" i="1"/>
  <c r="G1015" i="1"/>
  <c r="E1015" i="1"/>
  <c r="F1015" i="1" s="1"/>
  <c r="AG1014" i="1"/>
  <c r="AF1014" i="1"/>
  <c r="AC1014" i="1"/>
  <c r="AB1014" i="1"/>
  <c r="AA1014" i="1"/>
  <c r="O1014" i="1"/>
  <c r="P1014" i="1" s="1"/>
  <c r="N1014" i="1"/>
  <c r="M1014" i="1"/>
  <c r="L1014" i="1"/>
  <c r="H1014" i="1"/>
  <c r="G1014" i="1"/>
  <c r="F1014" i="1"/>
  <c r="E1014" i="1"/>
  <c r="AG1013" i="1"/>
  <c r="AF1013" i="1"/>
  <c r="AC1013" i="1"/>
  <c r="AH1013" i="1" s="1"/>
  <c r="AB1013" i="1"/>
  <c r="AA1013" i="1"/>
  <c r="O1013" i="1"/>
  <c r="P1013" i="1" s="1"/>
  <c r="N1013" i="1"/>
  <c r="M1013" i="1"/>
  <c r="L1013" i="1"/>
  <c r="H1013" i="1"/>
  <c r="G1013" i="1"/>
  <c r="E1013" i="1"/>
  <c r="F1013" i="1" s="1"/>
  <c r="AH1012" i="1"/>
  <c r="AG1012" i="1"/>
  <c r="AF1012" i="1"/>
  <c r="AC1012" i="1"/>
  <c r="AB1012" i="1"/>
  <c r="AD1012" i="1" s="1"/>
  <c r="AA1012" i="1"/>
  <c r="P1012" i="1"/>
  <c r="O1012" i="1"/>
  <c r="N1012" i="1"/>
  <c r="M1012" i="1"/>
  <c r="L1012" i="1"/>
  <c r="H1012" i="1"/>
  <c r="G1012" i="1"/>
  <c r="F1012" i="1"/>
  <c r="E1012" i="1"/>
  <c r="AG1011" i="1"/>
  <c r="AF1011" i="1"/>
  <c r="AD1011" i="1"/>
  <c r="AC1011" i="1"/>
  <c r="AH1011" i="1" s="1"/>
  <c r="AB1011" i="1"/>
  <c r="AA1011" i="1"/>
  <c r="P1011" i="1"/>
  <c r="O1011" i="1"/>
  <c r="N1011" i="1"/>
  <c r="M1011" i="1"/>
  <c r="L1011" i="1"/>
  <c r="H1011" i="1"/>
  <c r="G1011" i="1"/>
  <c r="E1011" i="1"/>
  <c r="F1011" i="1" s="1"/>
  <c r="AH1010" i="1"/>
  <c r="AG1010" i="1"/>
  <c r="AF1010" i="1"/>
  <c r="AD1010" i="1"/>
  <c r="AC1010" i="1"/>
  <c r="AB1010" i="1"/>
  <c r="AA1010" i="1"/>
  <c r="P1010" i="1"/>
  <c r="O1010" i="1"/>
  <c r="N1010" i="1"/>
  <c r="M1010" i="1"/>
  <c r="L1010" i="1"/>
  <c r="H1010" i="1"/>
  <c r="G1010" i="1"/>
  <c r="E1010" i="1"/>
  <c r="F1010" i="1" s="1"/>
  <c r="AH1009" i="1"/>
  <c r="AF1009" i="1"/>
  <c r="AG1009" i="1" s="1"/>
  <c r="AD1009" i="1"/>
  <c r="AC1009" i="1"/>
  <c r="AB1009" i="1"/>
  <c r="AA1009" i="1"/>
  <c r="P1009" i="1"/>
  <c r="O1009" i="1"/>
  <c r="N1009" i="1"/>
  <c r="M1009" i="1"/>
  <c r="L1009" i="1"/>
  <c r="H1009" i="1"/>
  <c r="G1009" i="1"/>
  <c r="F1009" i="1"/>
  <c r="E1009" i="1"/>
  <c r="AG1008" i="1"/>
  <c r="AF1008" i="1"/>
  <c r="AC1008" i="1"/>
  <c r="AH1008" i="1" s="1"/>
  <c r="AB1008" i="1"/>
  <c r="AD1008" i="1" s="1"/>
  <c r="AA1008" i="1"/>
  <c r="P1008" i="1"/>
  <c r="O1008" i="1"/>
  <c r="N1008" i="1"/>
  <c r="M1008" i="1"/>
  <c r="L1008" i="1"/>
  <c r="H1008" i="1"/>
  <c r="G1008" i="1"/>
  <c r="E1008" i="1"/>
  <c r="F1008" i="1" s="1"/>
  <c r="AF1007" i="1"/>
  <c r="AG1007" i="1" s="1"/>
  <c r="AC1007" i="1"/>
  <c r="AH1007" i="1" s="1"/>
  <c r="AB1007" i="1"/>
  <c r="AD1007" i="1" s="1"/>
  <c r="AA1007" i="1"/>
  <c r="P1007" i="1"/>
  <c r="O1007" i="1"/>
  <c r="N1007" i="1"/>
  <c r="M1007" i="1"/>
  <c r="L1007" i="1"/>
  <c r="H1007" i="1"/>
  <c r="G1007" i="1"/>
  <c r="E1007" i="1"/>
  <c r="F1007" i="1" s="1"/>
  <c r="AG1006" i="1"/>
  <c r="AF1006" i="1"/>
  <c r="AC1006" i="1"/>
  <c r="AH1006" i="1" s="1"/>
  <c r="AB1006" i="1"/>
  <c r="AD1006" i="1" s="1"/>
  <c r="AA1006" i="1"/>
  <c r="O1006" i="1"/>
  <c r="P1006" i="1" s="1"/>
  <c r="N1006" i="1"/>
  <c r="M1006" i="1"/>
  <c r="L1006" i="1"/>
  <c r="H1006" i="1"/>
  <c r="G1006" i="1"/>
  <c r="E1006" i="1"/>
  <c r="F1006" i="1" s="1"/>
  <c r="AF1005" i="1"/>
  <c r="AG1005" i="1" s="1"/>
  <c r="AD1005" i="1"/>
  <c r="AC1005" i="1"/>
  <c r="AH1005" i="1" s="1"/>
  <c r="AB1005" i="1"/>
  <c r="AA1005" i="1"/>
  <c r="O1005" i="1"/>
  <c r="P1005" i="1" s="1"/>
  <c r="N1005" i="1"/>
  <c r="M1005" i="1"/>
  <c r="L1005" i="1"/>
  <c r="H1005" i="1"/>
  <c r="G1005" i="1"/>
  <c r="F1005" i="1"/>
  <c r="E1005" i="1"/>
  <c r="AG1004" i="1"/>
  <c r="AF1004" i="1"/>
  <c r="AC1004" i="1"/>
  <c r="AB1004" i="1"/>
  <c r="AA1004" i="1"/>
  <c r="O1004" i="1"/>
  <c r="P1004" i="1" s="1"/>
  <c r="N1004" i="1"/>
  <c r="M1004" i="1"/>
  <c r="L1004" i="1"/>
  <c r="H1004" i="1"/>
  <c r="G1004" i="1"/>
  <c r="E1004" i="1"/>
  <c r="F1004" i="1" s="1"/>
  <c r="AH1003" i="1"/>
  <c r="AF1003" i="1"/>
  <c r="AG1003" i="1" s="1"/>
  <c r="AD1003" i="1"/>
  <c r="AC1003" i="1"/>
  <c r="AB1003" i="1"/>
  <c r="AA1003" i="1"/>
  <c r="P1003" i="1"/>
  <c r="O1003" i="1"/>
  <c r="N1003" i="1"/>
  <c r="M1003" i="1"/>
  <c r="L1003" i="1"/>
  <c r="H1003" i="1"/>
  <c r="G1003" i="1"/>
  <c r="E1003" i="1"/>
  <c r="F1003" i="1" s="1"/>
  <c r="AF1002" i="1"/>
  <c r="AG1002" i="1" s="1"/>
  <c r="AC1002" i="1"/>
  <c r="AB1002" i="1"/>
  <c r="AA1002" i="1"/>
  <c r="O1002" i="1"/>
  <c r="P1002" i="1" s="1"/>
  <c r="N1002" i="1"/>
  <c r="M1002" i="1"/>
  <c r="L1002" i="1"/>
  <c r="H1002" i="1"/>
  <c r="G1002" i="1"/>
  <c r="E1002" i="1"/>
  <c r="F1002" i="1" s="1"/>
  <c r="AH1001" i="1"/>
  <c r="AG1001" i="1"/>
  <c r="AF1001" i="1"/>
  <c r="AC1001" i="1"/>
  <c r="AB1001" i="1"/>
  <c r="AD1001" i="1" s="1"/>
  <c r="AA1001" i="1"/>
  <c r="P1001" i="1"/>
  <c r="O1001" i="1"/>
  <c r="N1001" i="1"/>
  <c r="M1001" i="1"/>
  <c r="L1001" i="1"/>
  <c r="H1001" i="1"/>
  <c r="G1001" i="1"/>
  <c r="F1001" i="1"/>
  <c r="E1001" i="1"/>
  <c r="AH1000" i="1"/>
  <c r="AF1000" i="1"/>
  <c r="AG1000" i="1" s="1"/>
  <c r="AD1000" i="1"/>
  <c r="AC1000" i="1"/>
  <c r="AB1000" i="1"/>
  <c r="AA1000" i="1"/>
  <c r="O1000" i="1"/>
  <c r="P1000" i="1" s="1"/>
  <c r="N1000" i="1"/>
  <c r="M1000" i="1"/>
  <c r="L1000" i="1"/>
  <c r="H1000" i="1"/>
  <c r="G1000" i="1"/>
  <c r="F1000" i="1"/>
  <c r="E1000" i="1"/>
  <c r="AF999" i="1"/>
  <c r="AG999" i="1" s="1"/>
  <c r="AC999" i="1"/>
  <c r="AH999" i="1" s="1"/>
  <c r="AB999" i="1"/>
  <c r="AA999" i="1"/>
  <c r="O999" i="1"/>
  <c r="P999" i="1" s="1"/>
  <c r="N999" i="1"/>
  <c r="M999" i="1"/>
  <c r="L999" i="1"/>
  <c r="H999" i="1"/>
  <c r="G999" i="1"/>
  <c r="E999" i="1"/>
  <c r="F999" i="1" s="1"/>
  <c r="AH998" i="1"/>
  <c r="AF998" i="1"/>
  <c r="AG998" i="1" s="1"/>
  <c r="AC998" i="1"/>
  <c r="AB998" i="1"/>
  <c r="AD998" i="1" s="1"/>
  <c r="AA998" i="1"/>
  <c r="P998" i="1"/>
  <c r="O998" i="1"/>
  <c r="N998" i="1"/>
  <c r="M998" i="1"/>
  <c r="L998" i="1"/>
  <c r="H998" i="1"/>
  <c r="G998" i="1"/>
  <c r="E998" i="1"/>
  <c r="F998" i="1" s="1"/>
  <c r="AG997" i="1"/>
  <c r="AF997" i="1"/>
  <c r="AC997" i="1"/>
  <c r="AH997" i="1" s="1"/>
  <c r="AB997" i="1"/>
  <c r="AD997" i="1" s="1"/>
  <c r="AA997" i="1"/>
  <c r="P997" i="1"/>
  <c r="O997" i="1"/>
  <c r="N997" i="1"/>
  <c r="M997" i="1"/>
  <c r="L997" i="1"/>
  <c r="H997" i="1"/>
  <c r="G997" i="1"/>
  <c r="E997" i="1"/>
  <c r="F997" i="1" s="1"/>
  <c r="AF996" i="1"/>
  <c r="AG996" i="1" s="1"/>
  <c r="AD996" i="1"/>
  <c r="AC996" i="1"/>
  <c r="AH996" i="1" s="1"/>
  <c r="AB996" i="1"/>
  <c r="AA996" i="1"/>
  <c r="O996" i="1"/>
  <c r="P996" i="1" s="1"/>
  <c r="N996" i="1"/>
  <c r="M996" i="1"/>
  <c r="L996" i="1"/>
  <c r="H996" i="1"/>
  <c r="G996" i="1"/>
  <c r="F996" i="1"/>
  <c r="E996" i="1"/>
  <c r="AG995" i="1"/>
  <c r="AF995" i="1"/>
  <c r="AC995" i="1"/>
  <c r="AB995" i="1"/>
  <c r="AA995" i="1"/>
  <c r="O995" i="1"/>
  <c r="P995" i="1" s="1"/>
  <c r="N995" i="1"/>
  <c r="M995" i="1"/>
  <c r="L995" i="1"/>
  <c r="H995" i="1"/>
  <c r="G995" i="1"/>
  <c r="E995" i="1"/>
  <c r="F995" i="1" s="1"/>
  <c r="AH994" i="1"/>
  <c r="AF994" i="1"/>
  <c r="AG994" i="1" s="1"/>
  <c r="AD994" i="1"/>
  <c r="AC994" i="1"/>
  <c r="AB994" i="1"/>
  <c r="AA994" i="1"/>
  <c r="O994" i="1"/>
  <c r="P994" i="1" s="1"/>
  <c r="N994" i="1"/>
  <c r="M994" i="1"/>
  <c r="L994" i="1"/>
  <c r="H994" i="1"/>
  <c r="G994" i="1"/>
  <c r="F994" i="1"/>
  <c r="E994" i="1"/>
  <c r="AG993" i="1"/>
  <c r="AF993" i="1"/>
  <c r="AC993" i="1"/>
  <c r="AH993" i="1" s="1"/>
  <c r="AB993" i="1"/>
  <c r="AD993" i="1" s="1"/>
  <c r="AA993" i="1"/>
  <c r="P993" i="1"/>
  <c r="O993" i="1"/>
  <c r="N993" i="1"/>
  <c r="M993" i="1"/>
  <c r="L993" i="1"/>
  <c r="H993" i="1"/>
  <c r="G993" i="1"/>
  <c r="E993" i="1"/>
  <c r="F993" i="1" s="1"/>
  <c r="AH992" i="1"/>
  <c r="AG992" i="1"/>
  <c r="AF992" i="1"/>
  <c r="AC992" i="1"/>
  <c r="AB992" i="1"/>
  <c r="AD992" i="1" s="1"/>
  <c r="AA992" i="1"/>
  <c r="P992" i="1"/>
  <c r="O992" i="1"/>
  <c r="N992" i="1"/>
  <c r="M992" i="1"/>
  <c r="L992" i="1"/>
  <c r="H992" i="1"/>
  <c r="G992" i="1"/>
  <c r="F992" i="1"/>
  <c r="E992" i="1"/>
  <c r="AH991" i="1"/>
  <c r="AF991" i="1"/>
  <c r="AG991" i="1" s="1"/>
  <c r="AD991" i="1"/>
  <c r="AC991" i="1"/>
  <c r="AB991" i="1"/>
  <c r="AA991" i="1"/>
  <c r="P991" i="1"/>
  <c r="O991" i="1"/>
  <c r="N991" i="1"/>
  <c r="M991" i="1"/>
  <c r="L991" i="1"/>
  <c r="H991" i="1"/>
  <c r="G991" i="1"/>
  <c r="F991" i="1"/>
  <c r="E991" i="1"/>
  <c r="AH990" i="1"/>
  <c r="AG990" i="1"/>
  <c r="AF990" i="1"/>
  <c r="AC990" i="1"/>
  <c r="AB990" i="1"/>
  <c r="AD990" i="1" s="1"/>
  <c r="AA990" i="1"/>
  <c r="P990" i="1"/>
  <c r="O990" i="1"/>
  <c r="N990" i="1"/>
  <c r="M990" i="1"/>
  <c r="L990" i="1"/>
  <c r="H990" i="1"/>
  <c r="G990" i="1"/>
  <c r="E990" i="1"/>
  <c r="F990" i="1" s="1"/>
  <c r="AF989" i="1"/>
  <c r="AG989" i="1" s="1"/>
  <c r="AC989" i="1"/>
  <c r="AD989" i="1" s="1"/>
  <c r="AB989" i="1"/>
  <c r="AA989" i="1"/>
  <c r="P989" i="1"/>
  <c r="O989" i="1"/>
  <c r="N989" i="1"/>
  <c r="M989" i="1"/>
  <c r="L989" i="1"/>
  <c r="H989" i="1"/>
  <c r="G989" i="1"/>
  <c r="E989" i="1"/>
  <c r="F989" i="1" s="1"/>
  <c r="AH988" i="1"/>
  <c r="AG988" i="1"/>
  <c r="AF988" i="1"/>
  <c r="AC988" i="1"/>
  <c r="AB988" i="1"/>
  <c r="AD988" i="1" s="1"/>
  <c r="AA988" i="1"/>
  <c r="O988" i="1"/>
  <c r="P988" i="1" s="1"/>
  <c r="N988" i="1"/>
  <c r="M988" i="1"/>
  <c r="L988" i="1"/>
  <c r="H988" i="1"/>
  <c r="G988" i="1"/>
  <c r="F988" i="1"/>
  <c r="E988" i="1"/>
  <c r="AF987" i="1"/>
  <c r="AG987" i="1" s="1"/>
  <c r="AD987" i="1"/>
  <c r="AC987" i="1"/>
  <c r="AH987" i="1" s="1"/>
  <c r="AB987" i="1"/>
  <c r="AA987" i="1"/>
  <c r="P987" i="1"/>
  <c r="O987" i="1"/>
  <c r="N987" i="1"/>
  <c r="M987" i="1"/>
  <c r="L987" i="1"/>
  <c r="H987" i="1"/>
  <c r="G987" i="1"/>
  <c r="E987" i="1"/>
  <c r="F987" i="1" s="1"/>
  <c r="AH986" i="1"/>
  <c r="AG986" i="1"/>
  <c r="AF986" i="1"/>
  <c r="AC986" i="1"/>
  <c r="AB986" i="1"/>
  <c r="AA986" i="1"/>
  <c r="O986" i="1"/>
  <c r="P986" i="1" s="1"/>
  <c r="N986" i="1"/>
  <c r="M986" i="1"/>
  <c r="L986" i="1"/>
  <c r="H986" i="1"/>
  <c r="G986" i="1"/>
  <c r="E986" i="1"/>
  <c r="F986" i="1" s="1"/>
  <c r="AH985" i="1"/>
  <c r="AG985" i="1"/>
  <c r="AF985" i="1"/>
  <c r="AD985" i="1"/>
  <c r="AC985" i="1"/>
  <c r="AB985" i="1"/>
  <c r="AA985" i="1"/>
  <c r="O985" i="1"/>
  <c r="P985" i="1" s="1"/>
  <c r="N985" i="1"/>
  <c r="M985" i="1"/>
  <c r="L985" i="1"/>
  <c r="H985" i="1"/>
  <c r="G985" i="1"/>
  <c r="F985" i="1"/>
  <c r="E985" i="1"/>
  <c r="AG984" i="1"/>
  <c r="AF984" i="1"/>
  <c r="AD984" i="1"/>
  <c r="AC984" i="1"/>
  <c r="AH984" i="1" s="1"/>
  <c r="AB984" i="1"/>
  <c r="AA984" i="1"/>
  <c r="P984" i="1"/>
  <c r="O984" i="1"/>
  <c r="N984" i="1"/>
  <c r="M984" i="1"/>
  <c r="L984" i="1"/>
  <c r="H984" i="1"/>
  <c r="G984" i="1"/>
  <c r="F984" i="1"/>
  <c r="E984" i="1"/>
  <c r="AH983" i="1"/>
  <c r="AG983" i="1"/>
  <c r="AF983" i="1"/>
  <c r="AD983" i="1"/>
  <c r="AC983" i="1"/>
  <c r="AB983" i="1"/>
  <c r="AA983" i="1"/>
  <c r="P983" i="1"/>
  <c r="O983" i="1"/>
  <c r="N983" i="1"/>
  <c r="M983" i="1"/>
  <c r="L983" i="1"/>
  <c r="H983" i="1"/>
  <c r="G983" i="1"/>
  <c r="F983" i="1"/>
  <c r="E983" i="1"/>
  <c r="AH982" i="1"/>
  <c r="AF982" i="1"/>
  <c r="AG982" i="1" s="1"/>
  <c r="AD982" i="1"/>
  <c r="AC982" i="1"/>
  <c r="AB982" i="1"/>
  <c r="AA982" i="1"/>
  <c r="P982" i="1"/>
  <c r="O982" i="1"/>
  <c r="N982" i="1"/>
  <c r="M982" i="1"/>
  <c r="L982" i="1"/>
  <c r="H982" i="1"/>
  <c r="G982" i="1"/>
  <c r="F982" i="1"/>
  <c r="E982" i="1"/>
  <c r="AH981" i="1"/>
  <c r="AG981" i="1"/>
  <c r="AF981" i="1"/>
  <c r="AC981" i="1"/>
  <c r="AB981" i="1"/>
  <c r="AD981" i="1" s="1"/>
  <c r="AA981" i="1"/>
  <c r="P981" i="1"/>
  <c r="O981" i="1"/>
  <c r="N981" i="1"/>
  <c r="M981" i="1"/>
  <c r="L981" i="1"/>
  <c r="H981" i="1"/>
  <c r="G981" i="1"/>
  <c r="F981" i="1"/>
  <c r="E981" i="1"/>
  <c r="AF980" i="1"/>
  <c r="AG980" i="1" s="1"/>
  <c r="AC980" i="1"/>
  <c r="AH980" i="1" s="1"/>
  <c r="AB980" i="1"/>
  <c r="AD980" i="1" s="1"/>
  <c r="AA980" i="1"/>
  <c r="P980" i="1"/>
  <c r="O980" i="1"/>
  <c r="N980" i="1"/>
  <c r="M980" i="1"/>
  <c r="L980" i="1"/>
  <c r="H980" i="1"/>
  <c r="G980" i="1"/>
  <c r="E980" i="1"/>
  <c r="F980" i="1" s="1"/>
  <c r="AH979" i="1"/>
  <c r="AG979" i="1"/>
  <c r="AF979" i="1"/>
  <c r="AC979" i="1"/>
  <c r="AB979" i="1"/>
  <c r="AD979" i="1" s="1"/>
  <c r="AA979" i="1"/>
  <c r="O979" i="1"/>
  <c r="P979" i="1" s="1"/>
  <c r="N979" i="1"/>
  <c r="M979" i="1"/>
  <c r="L979" i="1"/>
  <c r="H979" i="1"/>
  <c r="G979" i="1"/>
  <c r="E979" i="1"/>
  <c r="F979" i="1" s="1"/>
  <c r="AG978" i="1"/>
  <c r="AF978" i="1"/>
  <c r="AD978" i="1"/>
  <c r="AC978" i="1"/>
  <c r="AH978" i="1" s="1"/>
  <c r="AB978" i="1"/>
  <c r="AA978" i="1"/>
  <c r="O978" i="1"/>
  <c r="P978" i="1" s="1"/>
  <c r="N978" i="1"/>
  <c r="M978" i="1"/>
  <c r="L978" i="1"/>
  <c r="H978" i="1"/>
  <c r="G978" i="1"/>
  <c r="F978" i="1"/>
  <c r="E978" i="1"/>
  <c r="AG977" i="1"/>
  <c r="AF977" i="1"/>
  <c r="AC977" i="1"/>
  <c r="AH977" i="1" s="1"/>
  <c r="AB977" i="1"/>
  <c r="AA977" i="1"/>
  <c r="O977" i="1"/>
  <c r="P977" i="1" s="1"/>
  <c r="N977" i="1"/>
  <c r="M977" i="1"/>
  <c r="L977" i="1"/>
  <c r="H977" i="1"/>
  <c r="G977" i="1"/>
  <c r="E977" i="1"/>
  <c r="F977" i="1" s="1"/>
  <c r="AH976" i="1"/>
  <c r="AF976" i="1"/>
  <c r="AG976" i="1" s="1"/>
  <c r="AD976" i="1"/>
  <c r="AC976" i="1"/>
  <c r="AB976" i="1"/>
  <c r="AA976" i="1"/>
  <c r="O976" i="1"/>
  <c r="P976" i="1" s="1"/>
  <c r="N976" i="1"/>
  <c r="M976" i="1"/>
  <c r="L976" i="1"/>
  <c r="H976" i="1"/>
  <c r="G976" i="1"/>
  <c r="E976" i="1"/>
  <c r="F976" i="1" s="1"/>
  <c r="AG975" i="1"/>
  <c r="AF975" i="1"/>
  <c r="AC975" i="1"/>
  <c r="AH975" i="1" s="1"/>
  <c r="AB975" i="1"/>
  <c r="AD975" i="1" s="1"/>
  <c r="AA975" i="1"/>
  <c r="O975" i="1"/>
  <c r="P975" i="1" s="1"/>
  <c r="N975" i="1"/>
  <c r="M975" i="1"/>
  <c r="L975" i="1"/>
  <c r="H975" i="1"/>
  <c r="G975" i="1"/>
  <c r="F975" i="1"/>
  <c r="E975" i="1"/>
  <c r="AG974" i="1"/>
  <c r="AF974" i="1"/>
  <c r="AC974" i="1"/>
  <c r="AH974" i="1" s="1"/>
  <c r="AB974" i="1"/>
  <c r="AA974" i="1"/>
  <c r="P974" i="1"/>
  <c r="O974" i="1"/>
  <c r="N974" i="1"/>
  <c r="M974" i="1"/>
  <c r="L974" i="1"/>
  <c r="H974" i="1"/>
  <c r="G974" i="1"/>
  <c r="E974" i="1"/>
  <c r="F974" i="1" s="1"/>
  <c r="AH973" i="1"/>
  <c r="AG973" i="1"/>
  <c r="AF973" i="1"/>
  <c r="AC973" i="1"/>
  <c r="AB973" i="1"/>
  <c r="AD973" i="1" s="1"/>
  <c r="AA973" i="1"/>
  <c r="P973" i="1"/>
  <c r="O973" i="1"/>
  <c r="N973" i="1"/>
  <c r="M973" i="1"/>
  <c r="L973" i="1"/>
  <c r="H973" i="1"/>
  <c r="G973" i="1"/>
  <c r="F973" i="1"/>
  <c r="E973" i="1"/>
  <c r="AH972" i="1"/>
  <c r="AF972" i="1"/>
  <c r="AG972" i="1" s="1"/>
  <c r="AC972" i="1"/>
  <c r="AB972" i="1"/>
  <c r="AD972" i="1" s="1"/>
  <c r="AA972" i="1"/>
  <c r="O972" i="1"/>
  <c r="P972" i="1" s="1"/>
  <c r="N972" i="1"/>
  <c r="M972" i="1"/>
  <c r="L972" i="1"/>
  <c r="H972" i="1"/>
  <c r="G972" i="1"/>
  <c r="E972" i="1"/>
  <c r="F972" i="1" s="1"/>
  <c r="AH971" i="1"/>
  <c r="AF971" i="1"/>
  <c r="AG971" i="1" s="1"/>
  <c r="AC971" i="1"/>
  <c r="AB971" i="1"/>
  <c r="AD971" i="1" s="1"/>
  <c r="AA971" i="1"/>
  <c r="P971" i="1"/>
  <c r="O971" i="1"/>
  <c r="N971" i="1"/>
  <c r="M971" i="1"/>
  <c r="L971" i="1"/>
  <c r="H971" i="1"/>
  <c r="G971" i="1"/>
  <c r="E971" i="1"/>
  <c r="F971" i="1" s="1"/>
  <c r="AH970" i="1"/>
  <c r="AF970" i="1"/>
  <c r="AG970" i="1" s="1"/>
  <c r="AC970" i="1"/>
  <c r="AB970" i="1"/>
  <c r="AD970" i="1" s="1"/>
  <c r="AA970" i="1"/>
  <c r="P970" i="1"/>
  <c r="O970" i="1"/>
  <c r="N970" i="1"/>
  <c r="M970" i="1"/>
  <c r="L970" i="1"/>
  <c r="H970" i="1"/>
  <c r="G970" i="1"/>
  <c r="E970" i="1"/>
  <c r="F970" i="1" s="1"/>
  <c r="AG969" i="1"/>
  <c r="AF969" i="1"/>
  <c r="AC969" i="1"/>
  <c r="AB969" i="1"/>
  <c r="AA969" i="1"/>
  <c r="P969" i="1"/>
  <c r="O969" i="1"/>
  <c r="N969" i="1"/>
  <c r="M969" i="1"/>
  <c r="L969" i="1"/>
  <c r="H969" i="1"/>
  <c r="G969" i="1"/>
  <c r="E969" i="1"/>
  <c r="F969" i="1" s="1"/>
  <c r="AH968" i="1"/>
  <c r="AG968" i="1"/>
  <c r="AF968" i="1"/>
  <c r="AC968" i="1"/>
  <c r="AB968" i="1"/>
  <c r="AD968" i="1" s="1"/>
  <c r="AA968" i="1"/>
  <c r="O968" i="1"/>
  <c r="P968" i="1" s="1"/>
  <c r="N968" i="1"/>
  <c r="M968" i="1"/>
  <c r="L968" i="1"/>
  <c r="H968" i="1"/>
  <c r="G968" i="1"/>
  <c r="E968" i="1"/>
  <c r="F968" i="1" s="1"/>
  <c r="AH967" i="1"/>
  <c r="AG967" i="1"/>
  <c r="AF967" i="1"/>
  <c r="AD967" i="1"/>
  <c r="AC967" i="1"/>
  <c r="AB967" i="1"/>
  <c r="AA967" i="1"/>
  <c r="P967" i="1"/>
  <c r="O967" i="1"/>
  <c r="N967" i="1"/>
  <c r="M967" i="1"/>
  <c r="L967" i="1"/>
  <c r="H967" i="1"/>
  <c r="G967" i="1"/>
  <c r="E967" i="1"/>
  <c r="F967" i="1" s="1"/>
  <c r="AG966" i="1"/>
  <c r="AF966" i="1"/>
  <c r="AD966" i="1"/>
  <c r="AC966" i="1"/>
  <c r="AH966" i="1" s="1"/>
  <c r="AB966" i="1"/>
  <c r="AA966" i="1"/>
  <c r="P966" i="1"/>
  <c r="O966" i="1"/>
  <c r="N966" i="1"/>
  <c r="M966" i="1"/>
  <c r="L966" i="1"/>
  <c r="H966" i="1"/>
  <c r="G966" i="1"/>
  <c r="F966" i="1"/>
  <c r="E966" i="1"/>
  <c r="AG965" i="1"/>
  <c r="AF965" i="1"/>
  <c r="AD965" i="1"/>
  <c r="AC965" i="1"/>
  <c r="AH965" i="1" s="1"/>
  <c r="AB965" i="1"/>
  <c r="AA965" i="1"/>
  <c r="P965" i="1"/>
  <c r="O965" i="1"/>
  <c r="N965" i="1"/>
  <c r="M965" i="1"/>
  <c r="L965" i="1"/>
  <c r="H965" i="1"/>
  <c r="G965" i="1"/>
  <c r="F965" i="1"/>
  <c r="E965" i="1"/>
  <c r="AH964" i="1"/>
  <c r="AG964" i="1"/>
  <c r="AF964" i="1"/>
  <c r="AC964" i="1"/>
  <c r="AB964" i="1"/>
  <c r="AD964" i="1" s="1"/>
  <c r="AA964" i="1"/>
  <c r="P964" i="1"/>
  <c r="O964" i="1"/>
  <c r="N964" i="1"/>
  <c r="M964" i="1"/>
  <c r="L964" i="1"/>
  <c r="H964" i="1"/>
  <c r="G964" i="1"/>
  <c r="F964" i="1"/>
  <c r="E964" i="1"/>
  <c r="AH963" i="1"/>
  <c r="AF963" i="1"/>
  <c r="AG963" i="1" s="1"/>
  <c r="AD963" i="1"/>
  <c r="AC963" i="1"/>
  <c r="AB963" i="1"/>
  <c r="AA963" i="1"/>
  <c r="P963" i="1"/>
  <c r="O963" i="1"/>
  <c r="N963" i="1"/>
  <c r="M963" i="1"/>
  <c r="L963" i="1"/>
  <c r="H963" i="1"/>
  <c r="G963" i="1"/>
  <c r="E963" i="1"/>
  <c r="F963" i="1" s="1"/>
  <c r="AH962" i="1"/>
  <c r="AF962" i="1"/>
  <c r="AG962" i="1" s="1"/>
  <c r="AC962" i="1"/>
  <c r="AB962" i="1"/>
  <c r="AD962" i="1" s="1"/>
  <c r="AA962" i="1"/>
  <c r="P962" i="1"/>
  <c r="O962" i="1"/>
  <c r="N962" i="1"/>
  <c r="M962" i="1"/>
  <c r="L962" i="1"/>
  <c r="H962" i="1"/>
  <c r="G962" i="1"/>
  <c r="E962" i="1"/>
  <c r="F962" i="1" s="1"/>
  <c r="AG961" i="1"/>
  <c r="AF961" i="1"/>
  <c r="AC961" i="1"/>
  <c r="AH961" i="1" s="1"/>
  <c r="AB961" i="1"/>
  <c r="AD961" i="1" s="1"/>
  <c r="AA961" i="1"/>
  <c r="P961" i="1"/>
  <c r="O961" i="1"/>
  <c r="N961" i="1"/>
  <c r="M961" i="1"/>
  <c r="L961" i="1"/>
  <c r="H961" i="1"/>
  <c r="G961" i="1"/>
  <c r="E961" i="1"/>
  <c r="F961" i="1" s="1"/>
  <c r="AF960" i="1"/>
  <c r="AG960" i="1" s="1"/>
  <c r="AC960" i="1"/>
  <c r="AB960" i="1"/>
  <c r="AA960" i="1"/>
  <c r="O960" i="1"/>
  <c r="P960" i="1" s="1"/>
  <c r="N960" i="1"/>
  <c r="M960" i="1"/>
  <c r="L960" i="1"/>
  <c r="H960" i="1"/>
  <c r="G960" i="1"/>
  <c r="E960" i="1"/>
  <c r="F960" i="1" s="1"/>
  <c r="AH959" i="1"/>
  <c r="AG959" i="1"/>
  <c r="AF959" i="1"/>
  <c r="AC959" i="1"/>
  <c r="AD959" i="1" s="1"/>
  <c r="AB959" i="1"/>
  <c r="AA959" i="1"/>
  <c r="O959" i="1"/>
  <c r="P959" i="1" s="1"/>
  <c r="N959" i="1"/>
  <c r="M959" i="1"/>
  <c r="L959" i="1"/>
  <c r="H959" i="1"/>
  <c r="G959" i="1"/>
  <c r="E959" i="1"/>
  <c r="F959" i="1" s="1"/>
  <c r="AH958" i="1"/>
  <c r="AF958" i="1"/>
  <c r="AG958" i="1" s="1"/>
  <c r="AC958" i="1"/>
  <c r="AB958" i="1"/>
  <c r="AD958" i="1" s="1"/>
  <c r="AA958" i="1"/>
  <c r="O958" i="1"/>
  <c r="P958" i="1" s="1"/>
  <c r="N958" i="1"/>
  <c r="M958" i="1"/>
  <c r="L958" i="1"/>
  <c r="H958" i="1"/>
  <c r="G958" i="1"/>
  <c r="F958" i="1"/>
  <c r="E958" i="1"/>
  <c r="AG957" i="1"/>
  <c r="AF957" i="1"/>
  <c r="AC957" i="1"/>
  <c r="AH957" i="1" s="1"/>
  <c r="AB957" i="1"/>
  <c r="AA957" i="1"/>
  <c r="O957" i="1"/>
  <c r="P957" i="1" s="1"/>
  <c r="N957" i="1"/>
  <c r="M957" i="1"/>
  <c r="L957" i="1"/>
  <c r="H957" i="1"/>
  <c r="G957" i="1"/>
  <c r="F957" i="1"/>
  <c r="E957" i="1"/>
  <c r="AG956" i="1"/>
  <c r="AF956" i="1"/>
  <c r="AC956" i="1"/>
  <c r="AH956" i="1" s="1"/>
  <c r="AB956" i="1"/>
  <c r="AA956" i="1"/>
  <c r="P956" i="1"/>
  <c r="O956" i="1"/>
  <c r="N956" i="1"/>
  <c r="M956" i="1"/>
  <c r="L956" i="1"/>
  <c r="H956" i="1"/>
  <c r="G956" i="1"/>
  <c r="E956" i="1"/>
  <c r="F956" i="1" s="1"/>
  <c r="AH955" i="1"/>
  <c r="AG955" i="1"/>
  <c r="AF955" i="1"/>
  <c r="AC955" i="1"/>
  <c r="AB955" i="1"/>
  <c r="AD955" i="1" s="1"/>
  <c r="AA955" i="1"/>
  <c r="P955" i="1"/>
  <c r="O955" i="1"/>
  <c r="N955" i="1"/>
  <c r="M955" i="1"/>
  <c r="L955" i="1"/>
  <c r="H955" i="1"/>
  <c r="G955" i="1"/>
  <c r="F955" i="1"/>
  <c r="E955" i="1"/>
  <c r="AF954" i="1"/>
  <c r="AG954" i="1" s="1"/>
  <c r="AD954" i="1"/>
  <c r="AC954" i="1"/>
  <c r="AH954" i="1" s="1"/>
  <c r="AB954" i="1"/>
  <c r="AA954" i="1"/>
  <c r="P954" i="1"/>
  <c r="O954" i="1"/>
  <c r="N954" i="1"/>
  <c r="M954" i="1"/>
  <c r="L954" i="1"/>
  <c r="H954" i="1"/>
  <c r="G954" i="1"/>
  <c r="F954" i="1"/>
  <c r="E954" i="1"/>
  <c r="AF953" i="1"/>
  <c r="AG953" i="1" s="1"/>
  <c r="AC953" i="1"/>
  <c r="AH953" i="1" s="1"/>
  <c r="AB953" i="1"/>
  <c r="AA953" i="1"/>
  <c r="P953" i="1"/>
  <c r="O953" i="1"/>
  <c r="N953" i="1"/>
  <c r="M953" i="1"/>
  <c r="L953" i="1"/>
  <c r="H953" i="1"/>
  <c r="G953" i="1"/>
  <c r="E953" i="1"/>
  <c r="F953" i="1" s="1"/>
  <c r="AF952" i="1"/>
  <c r="AG952" i="1" s="1"/>
  <c r="AC952" i="1"/>
  <c r="AH952" i="1" s="1"/>
  <c r="AB952" i="1"/>
  <c r="AD952" i="1" s="1"/>
  <c r="AA952" i="1"/>
  <c r="O952" i="1"/>
  <c r="P952" i="1" s="1"/>
  <c r="N952" i="1"/>
  <c r="M952" i="1"/>
  <c r="L952" i="1"/>
  <c r="H952" i="1"/>
  <c r="G952" i="1"/>
  <c r="F952" i="1"/>
  <c r="E952" i="1"/>
  <c r="AG951" i="1"/>
  <c r="AF951" i="1"/>
  <c r="AD951" i="1"/>
  <c r="AC951" i="1"/>
  <c r="AH951" i="1" s="1"/>
  <c r="AB951" i="1"/>
  <c r="AA951" i="1"/>
  <c r="P951" i="1"/>
  <c r="O951" i="1"/>
  <c r="N951" i="1"/>
  <c r="M951" i="1"/>
  <c r="L951" i="1"/>
  <c r="H951" i="1"/>
  <c r="G951" i="1"/>
  <c r="E951" i="1"/>
  <c r="F951" i="1" s="1"/>
  <c r="AG950" i="1"/>
  <c r="AF950" i="1"/>
  <c r="AD950" i="1"/>
  <c r="AC950" i="1"/>
  <c r="AH950" i="1" s="1"/>
  <c r="AB950" i="1"/>
  <c r="AA950" i="1"/>
  <c r="O950" i="1"/>
  <c r="P950" i="1" s="1"/>
  <c r="N950" i="1"/>
  <c r="M950" i="1"/>
  <c r="L950" i="1"/>
  <c r="H950" i="1"/>
  <c r="G950" i="1"/>
  <c r="E950" i="1"/>
  <c r="F950" i="1" s="1"/>
  <c r="AH949" i="1"/>
  <c r="AF949" i="1"/>
  <c r="AG949" i="1" s="1"/>
  <c r="AD949" i="1"/>
  <c r="AC949" i="1"/>
  <c r="AB949" i="1"/>
  <c r="AA949" i="1"/>
  <c r="P949" i="1"/>
  <c r="O949" i="1"/>
  <c r="N949" i="1"/>
  <c r="M949" i="1"/>
  <c r="L949" i="1"/>
  <c r="H949" i="1"/>
  <c r="G949" i="1"/>
  <c r="F949" i="1"/>
  <c r="E949" i="1"/>
  <c r="AF948" i="1"/>
  <c r="AG948" i="1" s="1"/>
  <c r="AC948" i="1"/>
  <c r="AH948" i="1" s="1"/>
  <c r="AB948" i="1"/>
  <c r="AD948" i="1" s="1"/>
  <c r="AA948" i="1"/>
  <c r="P948" i="1"/>
  <c r="O948" i="1"/>
  <c r="N948" i="1"/>
  <c r="M948" i="1"/>
  <c r="L948" i="1"/>
  <c r="H948" i="1"/>
  <c r="G948" i="1"/>
  <c r="F948" i="1"/>
  <c r="E948" i="1"/>
  <c r="AG947" i="1"/>
  <c r="AF947" i="1"/>
  <c r="AC947" i="1"/>
  <c r="AH947" i="1" s="1"/>
  <c r="AB947" i="1"/>
  <c r="AA947" i="1"/>
  <c r="P947" i="1"/>
  <c r="O947" i="1"/>
  <c r="N947" i="1"/>
  <c r="M947" i="1"/>
  <c r="L947" i="1"/>
  <c r="H947" i="1"/>
  <c r="G947" i="1"/>
  <c r="E947" i="1"/>
  <c r="F947" i="1" s="1"/>
  <c r="AH946" i="1"/>
  <c r="AG946" i="1"/>
  <c r="AF946" i="1"/>
  <c r="AD946" i="1"/>
  <c r="AC946" i="1"/>
  <c r="AB946" i="1"/>
  <c r="AA946" i="1"/>
  <c r="P946" i="1"/>
  <c r="O946" i="1"/>
  <c r="N946" i="1"/>
  <c r="M946" i="1"/>
  <c r="L946" i="1"/>
  <c r="H946" i="1"/>
  <c r="G946" i="1"/>
  <c r="F946" i="1"/>
  <c r="E946" i="1"/>
  <c r="AH945" i="1"/>
  <c r="AG945" i="1"/>
  <c r="AF945" i="1"/>
  <c r="AC945" i="1"/>
  <c r="AB945" i="1"/>
  <c r="AD945" i="1" s="1"/>
  <c r="AA945" i="1"/>
  <c r="O945" i="1"/>
  <c r="P945" i="1" s="1"/>
  <c r="N945" i="1"/>
  <c r="M945" i="1"/>
  <c r="L945" i="1"/>
  <c r="H945" i="1"/>
  <c r="G945" i="1"/>
  <c r="E945" i="1"/>
  <c r="F945" i="1" s="1"/>
  <c r="AF944" i="1"/>
  <c r="AG944" i="1" s="1"/>
  <c r="AC944" i="1"/>
  <c r="AH944" i="1" s="1"/>
  <c r="AB944" i="1"/>
  <c r="AD944" i="1" s="1"/>
  <c r="AA944" i="1"/>
  <c r="P944" i="1"/>
  <c r="O944" i="1"/>
  <c r="N944" i="1"/>
  <c r="M944" i="1"/>
  <c r="L944" i="1"/>
  <c r="H944" i="1"/>
  <c r="G944" i="1"/>
  <c r="E944" i="1"/>
  <c r="F944" i="1" s="1"/>
  <c r="AF943" i="1"/>
  <c r="AG943" i="1" s="1"/>
  <c r="AC943" i="1"/>
  <c r="AH943" i="1" s="1"/>
  <c r="AB943" i="1"/>
  <c r="AA943" i="1"/>
  <c r="O943" i="1"/>
  <c r="P943" i="1" s="1"/>
  <c r="N943" i="1"/>
  <c r="M943" i="1"/>
  <c r="L943" i="1"/>
  <c r="H943" i="1"/>
  <c r="G943" i="1"/>
  <c r="E943" i="1"/>
  <c r="F943" i="1" s="1"/>
  <c r="AF942" i="1"/>
  <c r="AG942" i="1" s="1"/>
  <c r="AD942" i="1"/>
  <c r="AC942" i="1"/>
  <c r="AH942" i="1" s="1"/>
  <c r="AB942" i="1"/>
  <c r="AA942" i="1"/>
  <c r="O942" i="1"/>
  <c r="P942" i="1" s="1"/>
  <c r="N942" i="1"/>
  <c r="M942" i="1"/>
  <c r="L942" i="1"/>
  <c r="H942" i="1"/>
  <c r="G942" i="1"/>
  <c r="E942" i="1"/>
  <c r="F942" i="1" s="1"/>
  <c r="AG941" i="1"/>
  <c r="AF941" i="1"/>
  <c r="AC941" i="1"/>
  <c r="AH941" i="1" s="1"/>
  <c r="AB941" i="1"/>
  <c r="AD941" i="1" s="1"/>
  <c r="AA941" i="1"/>
  <c r="O941" i="1"/>
  <c r="P941" i="1" s="1"/>
  <c r="N941" i="1"/>
  <c r="M941" i="1"/>
  <c r="L941" i="1"/>
  <c r="H941" i="1"/>
  <c r="G941" i="1"/>
  <c r="E941" i="1"/>
  <c r="F941" i="1" s="1"/>
  <c r="AH940" i="1"/>
  <c r="AG940" i="1"/>
  <c r="AF940" i="1"/>
  <c r="AD940" i="1"/>
  <c r="AC940" i="1"/>
  <c r="AB940" i="1"/>
  <c r="AA940" i="1"/>
  <c r="P940" i="1"/>
  <c r="O940" i="1"/>
  <c r="N940" i="1"/>
  <c r="M940" i="1"/>
  <c r="L940" i="1"/>
  <c r="H940" i="1"/>
  <c r="G940" i="1"/>
  <c r="F940" i="1"/>
  <c r="E940" i="1"/>
  <c r="AG939" i="1"/>
  <c r="AF939" i="1"/>
  <c r="AC939" i="1"/>
  <c r="AB939" i="1"/>
  <c r="AA939" i="1"/>
  <c r="P939" i="1"/>
  <c r="O939" i="1"/>
  <c r="N939" i="1"/>
  <c r="M939" i="1"/>
  <c r="L939" i="1"/>
  <c r="H939" i="1"/>
  <c r="G939" i="1"/>
  <c r="F939" i="1"/>
  <c r="E939" i="1"/>
  <c r="AH938" i="1"/>
  <c r="AG938" i="1"/>
  <c r="AF938" i="1"/>
  <c r="AC938" i="1"/>
  <c r="AB938" i="1"/>
  <c r="AD938" i="1" s="1"/>
  <c r="AA938" i="1"/>
  <c r="P938" i="1"/>
  <c r="O938" i="1"/>
  <c r="N938" i="1"/>
  <c r="M938" i="1"/>
  <c r="L938" i="1"/>
  <c r="H938" i="1"/>
  <c r="G938" i="1"/>
  <c r="E938" i="1"/>
  <c r="F938" i="1" s="1"/>
  <c r="AH937" i="1"/>
  <c r="AG937" i="1"/>
  <c r="AF937" i="1"/>
  <c r="AD937" i="1"/>
  <c r="AC937" i="1"/>
  <c r="AB937" i="1"/>
  <c r="AA937" i="1"/>
  <c r="O937" i="1"/>
  <c r="P937" i="1" s="1"/>
  <c r="N937" i="1"/>
  <c r="M937" i="1"/>
  <c r="L937" i="1"/>
  <c r="H937" i="1"/>
  <c r="G937" i="1"/>
  <c r="F937" i="1"/>
  <c r="E937" i="1"/>
  <c r="AF936" i="1"/>
  <c r="AG936" i="1" s="1"/>
  <c r="AD936" i="1"/>
  <c r="AC936" i="1"/>
  <c r="AH936" i="1" s="1"/>
  <c r="AB936" i="1"/>
  <c r="AA936" i="1"/>
  <c r="P936" i="1"/>
  <c r="O936" i="1"/>
  <c r="N936" i="1"/>
  <c r="M936" i="1"/>
  <c r="L936" i="1"/>
  <c r="H936" i="1"/>
  <c r="G936" i="1"/>
  <c r="E936" i="1"/>
  <c r="F936" i="1" s="1"/>
  <c r="AH935" i="1"/>
  <c r="AF935" i="1"/>
  <c r="AG935" i="1" s="1"/>
  <c r="AC935" i="1"/>
  <c r="AB935" i="1"/>
  <c r="AD935" i="1" s="1"/>
  <c r="AA935" i="1"/>
  <c r="P935" i="1"/>
  <c r="O935" i="1"/>
  <c r="N935" i="1"/>
  <c r="M935" i="1"/>
  <c r="L935" i="1"/>
  <c r="H935" i="1"/>
  <c r="G935" i="1"/>
  <c r="E935" i="1"/>
  <c r="F935" i="1" s="1"/>
  <c r="AG934" i="1"/>
  <c r="AF934" i="1"/>
  <c r="AC934" i="1"/>
  <c r="AH934" i="1" s="1"/>
  <c r="AB934" i="1"/>
  <c r="AA934" i="1"/>
  <c r="P934" i="1"/>
  <c r="O934" i="1"/>
  <c r="N934" i="1"/>
  <c r="M934" i="1"/>
  <c r="L934" i="1"/>
  <c r="H934" i="1"/>
  <c r="G934" i="1"/>
  <c r="F934" i="1"/>
  <c r="E934" i="1"/>
  <c r="AF933" i="1"/>
  <c r="AG933" i="1" s="1"/>
  <c r="AC933" i="1"/>
  <c r="AB933" i="1"/>
  <c r="AA933" i="1"/>
  <c r="O933" i="1"/>
  <c r="P933" i="1" s="1"/>
  <c r="N933" i="1"/>
  <c r="M933" i="1"/>
  <c r="L933" i="1"/>
  <c r="H933" i="1"/>
  <c r="G933" i="1"/>
  <c r="E933" i="1"/>
  <c r="F933" i="1" s="1"/>
  <c r="AH932" i="1"/>
  <c r="AG932" i="1"/>
  <c r="AF932" i="1"/>
  <c r="AC932" i="1"/>
  <c r="AB932" i="1"/>
  <c r="AA932" i="1"/>
  <c r="O932" i="1"/>
  <c r="P932" i="1" s="1"/>
  <c r="N932" i="1"/>
  <c r="M932" i="1"/>
  <c r="L932" i="1"/>
  <c r="H932" i="1"/>
  <c r="G932" i="1"/>
  <c r="E932" i="1"/>
  <c r="F932" i="1" s="1"/>
  <c r="AH931" i="1"/>
  <c r="AF931" i="1"/>
  <c r="AG931" i="1" s="1"/>
  <c r="AD931" i="1"/>
  <c r="AC931" i="1"/>
  <c r="AB931" i="1"/>
  <c r="AA931" i="1"/>
  <c r="O931" i="1"/>
  <c r="P931" i="1" s="1"/>
  <c r="N931" i="1"/>
  <c r="M931" i="1"/>
  <c r="L931" i="1"/>
  <c r="H931" i="1"/>
  <c r="G931" i="1"/>
  <c r="E931" i="1"/>
  <c r="F931" i="1" s="1"/>
  <c r="AG930" i="1"/>
  <c r="AF930" i="1"/>
  <c r="AD930" i="1"/>
  <c r="AC930" i="1"/>
  <c r="AH930" i="1" s="1"/>
  <c r="AB930" i="1"/>
  <c r="AA930" i="1"/>
  <c r="P930" i="1"/>
  <c r="O930" i="1"/>
  <c r="N930" i="1"/>
  <c r="M930" i="1"/>
  <c r="L930" i="1"/>
  <c r="H930" i="1"/>
  <c r="G930" i="1"/>
  <c r="F930" i="1"/>
  <c r="E930" i="1"/>
  <c r="AG929" i="1"/>
  <c r="AF929" i="1"/>
  <c r="AD929" i="1"/>
  <c r="AC929" i="1"/>
  <c r="AH929" i="1" s="1"/>
  <c r="AB929" i="1"/>
  <c r="AA929" i="1"/>
  <c r="P929" i="1"/>
  <c r="O929" i="1"/>
  <c r="N929" i="1"/>
  <c r="M929" i="1"/>
  <c r="L929" i="1"/>
  <c r="H929" i="1"/>
  <c r="G929" i="1"/>
  <c r="F929" i="1"/>
  <c r="E929" i="1"/>
  <c r="AH928" i="1"/>
  <c r="AF928" i="1"/>
  <c r="AG928" i="1" s="1"/>
  <c r="AC928" i="1"/>
  <c r="AB928" i="1"/>
  <c r="AD928" i="1" s="1"/>
  <c r="AA928" i="1"/>
  <c r="O928" i="1"/>
  <c r="P928" i="1" s="1"/>
  <c r="N928" i="1"/>
  <c r="M928" i="1"/>
  <c r="L928" i="1"/>
  <c r="H928" i="1"/>
  <c r="G928" i="1"/>
  <c r="F928" i="1"/>
  <c r="E928" i="1"/>
  <c r="AF927" i="1"/>
  <c r="AG927" i="1" s="1"/>
  <c r="AC927" i="1"/>
  <c r="AH927" i="1" s="1"/>
  <c r="AB927" i="1"/>
  <c r="AA927" i="1"/>
  <c r="O927" i="1"/>
  <c r="P927" i="1" s="1"/>
  <c r="N927" i="1"/>
  <c r="M927" i="1"/>
  <c r="L927" i="1"/>
  <c r="H927" i="1"/>
  <c r="G927" i="1"/>
  <c r="F927" i="1"/>
  <c r="E927" i="1"/>
  <c r="AF926" i="1"/>
  <c r="AG926" i="1" s="1"/>
  <c r="AC926" i="1"/>
  <c r="AH926" i="1" s="1"/>
  <c r="AB926" i="1"/>
  <c r="AD926" i="1" s="1"/>
  <c r="AA926" i="1"/>
  <c r="P926" i="1"/>
  <c r="O926" i="1"/>
  <c r="N926" i="1"/>
  <c r="M926" i="1"/>
  <c r="L926" i="1"/>
  <c r="H926" i="1"/>
  <c r="G926" i="1"/>
  <c r="E926" i="1"/>
  <c r="F926" i="1" s="1"/>
  <c r="AH925" i="1"/>
  <c r="AG925" i="1"/>
  <c r="AF925" i="1"/>
  <c r="AC925" i="1"/>
  <c r="AB925" i="1"/>
  <c r="AA925" i="1"/>
  <c r="O925" i="1"/>
  <c r="P925" i="1" s="1"/>
  <c r="N925" i="1"/>
  <c r="M925" i="1"/>
  <c r="L925" i="1"/>
  <c r="H925" i="1"/>
  <c r="G925" i="1"/>
  <c r="F925" i="1"/>
  <c r="E925" i="1"/>
  <c r="AG924" i="1"/>
  <c r="AF924" i="1"/>
  <c r="AC924" i="1"/>
  <c r="AB924" i="1"/>
  <c r="AA924" i="1"/>
  <c r="P924" i="1"/>
  <c r="O924" i="1"/>
  <c r="N924" i="1"/>
  <c r="M924" i="1"/>
  <c r="L924" i="1"/>
  <c r="H924" i="1"/>
  <c r="G924" i="1"/>
  <c r="F924" i="1"/>
  <c r="E924" i="1"/>
  <c r="AH923" i="1"/>
  <c r="AG923" i="1"/>
  <c r="AF923" i="1"/>
  <c r="AC923" i="1"/>
  <c r="AB923" i="1"/>
  <c r="AD923" i="1" s="1"/>
  <c r="AA923" i="1"/>
  <c r="O923" i="1"/>
  <c r="P923" i="1" s="1"/>
  <c r="N923" i="1"/>
  <c r="M923" i="1"/>
  <c r="L923" i="1"/>
  <c r="H923" i="1"/>
  <c r="G923" i="1"/>
  <c r="E923" i="1"/>
  <c r="F923" i="1" s="1"/>
  <c r="AH922" i="1"/>
  <c r="AF922" i="1"/>
  <c r="AG922" i="1" s="1"/>
  <c r="AC922" i="1"/>
  <c r="AB922" i="1"/>
  <c r="AD922" i="1" s="1"/>
  <c r="AA922" i="1"/>
  <c r="P922" i="1"/>
  <c r="O922" i="1"/>
  <c r="N922" i="1"/>
  <c r="M922" i="1"/>
  <c r="L922" i="1"/>
  <c r="H922" i="1"/>
  <c r="G922" i="1"/>
  <c r="F922" i="1"/>
  <c r="E922" i="1"/>
  <c r="AG921" i="1"/>
  <c r="AF921" i="1"/>
  <c r="AD921" i="1"/>
  <c r="AC921" i="1"/>
  <c r="AH921" i="1" s="1"/>
  <c r="AB921" i="1"/>
  <c r="AA921" i="1"/>
  <c r="O921" i="1"/>
  <c r="P921" i="1" s="1"/>
  <c r="N921" i="1"/>
  <c r="M921" i="1"/>
  <c r="L921" i="1"/>
  <c r="H921" i="1"/>
  <c r="G921" i="1"/>
  <c r="E921" i="1"/>
  <c r="F921" i="1" s="1"/>
  <c r="AH920" i="1"/>
  <c r="AG920" i="1"/>
  <c r="AF920" i="1"/>
  <c r="AC920" i="1"/>
  <c r="AB920" i="1"/>
  <c r="AD920" i="1" s="1"/>
  <c r="AA920" i="1"/>
  <c r="P920" i="1"/>
  <c r="O920" i="1"/>
  <c r="N920" i="1"/>
  <c r="M920" i="1"/>
  <c r="L920" i="1"/>
  <c r="H920" i="1"/>
  <c r="G920" i="1"/>
  <c r="F920" i="1"/>
  <c r="E920" i="1"/>
  <c r="AH919" i="1"/>
  <c r="AF919" i="1"/>
  <c r="AG919" i="1" s="1"/>
  <c r="AD919" i="1"/>
  <c r="AC919" i="1"/>
  <c r="AB919" i="1"/>
  <c r="AA919" i="1"/>
  <c r="P919" i="1"/>
  <c r="O919" i="1"/>
  <c r="N919" i="1"/>
  <c r="M919" i="1"/>
  <c r="L919" i="1"/>
  <c r="H919" i="1"/>
  <c r="G919" i="1"/>
  <c r="F919" i="1"/>
  <c r="E919" i="1"/>
  <c r="AH918" i="1"/>
  <c r="AG918" i="1"/>
  <c r="AF918" i="1"/>
  <c r="AC918" i="1"/>
  <c r="AB918" i="1"/>
  <c r="AD918" i="1" s="1"/>
  <c r="AA918" i="1"/>
  <c r="P918" i="1"/>
  <c r="O918" i="1"/>
  <c r="N918" i="1"/>
  <c r="M918" i="1"/>
  <c r="L918" i="1"/>
  <c r="H918" i="1"/>
  <c r="G918" i="1"/>
  <c r="E918" i="1"/>
  <c r="F918" i="1" s="1"/>
  <c r="AF917" i="1"/>
  <c r="AG917" i="1" s="1"/>
  <c r="AC917" i="1"/>
  <c r="AD917" i="1" s="1"/>
  <c r="AB917" i="1"/>
  <c r="AA917" i="1"/>
  <c r="P917" i="1"/>
  <c r="O917" i="1"/>
  <c r="N917" i="1"/>
  <c r="M917" i="1"/>
  <c r="L917" i="1"/>
  <c r="H917" i="1"/>
  <c r="G917" i="1"/>
  <c r="E917" i="1"/>
  <c r="F917" i="1" s="1"/>
  <c r="AH916" i="1"/>
  <c r="AF916" i="1"/>
  <c r="AG916" i="1" s="1"/>
  <c r="AC916" i="1"/>
  <c r="AB916" i="1"/>
  <c r="AD916" i="1" s="1"/>
  <c r="AA916" i="1"/>
  <c r="O916" i="1"/>
  <c r="P916" i="1" s="1"/>
  <c r="N916" i="1"/>
  <c r="M916" i="1"/>
  <c r="L916" i="1"/>
  <c r="H916" i="1"/>
  <c r="G916" i="1"/>
  <c r="F916" i="1"/>
  <c r="E916" i="1"/>
  <c r="AG915" i="1"/>
  <c r="AF915" i="1"/>
  <c r="AD915" i="1"/>
  <c r="AC915" i="1"/>
  <c r="AH915" i="1" s="1"/>
  <c r="AB915" i="1"/>
  <c r="AA915" i="1"/>
  <c r="O915" i="1"/>
  <c r="P915" i="1" s="1"/>
  <c r="N915" i="1"/>
  <c r="M915" i="1"/>
  <c r="L915" i="1"/>
  <c r="H915" i="1"/>
  <c r="G915" i="1"/>
  <c r="F915" i="1"/>
  <c r="E915" i="1"/>
  <c r="AH914" i="1"/>
  <c r="AG914" i="1"/>
  <c r="AF914" i="1"/>
  <c r="AC914" i="1"/>
  <c r="AB914" i="1"/>
  <c r="AD914" i="1" s="1"/>
  <c r="AA914" i="1"/>
  <c r="O914" i="1"/>
  <c r="P914" i="1" s="1"/>
  <c r="N914" i="1"/>
  <c r="M914" i="1"/>
  <c r="L914" i="1"/>
  <c r="H914" i="1"/>
  <c r="G914" i="1"/>
  <c r="E914" i="1"/>
  <c r="F914" i="1" s="1"/>
  <c r="AH913" i="1"/>
  <c r="AF913" i="1"/>
  <c r="AG913" i="1" s="1"/>
  <c r="AD913" i="1"/>
  <c r="AC913" i="1"/>
  <c r="AB913" i="1"/>
  <c r="AA913" i="1"/>
  <c r="P913" i="1"/>
  <c r="O913" i="1"/>
  <c r="N913" i="1"/>
  <c r="M913" i="1"/>
  <c r="L913" i="1"/>
  <c r="H913" i="1"/>
  <c r="G913" i="1"/>
  <c r="F913" i="1"/>
  <c r="E913" i="1"/>
  <c r="AF912" i="1"/>
  <c r="AG912" i="1" s="1"/>
  <c r="AD912" i="1"/>
  <c r="AC912" i="1"/>
  <c r="AH912" i="1" s="1"/>
  <c r="AB912" i="1"/>
  <c r="AA912" i="1"/>
  <c r="P912" i="1"/>
  <c r="O912" i="1"/>
  <c r="N912" i="1"/>
  <c r="M912" i="1"/>
  <c r="L912" i="1"/>
  <c r="H912" i="1"/>
  <c r="G912" i="1"/>
  <c r="E912" i="1"/>
  <c r="F912" i="1" s="1"/>
  <c r="AH911" i="1"/>
  <c r="AG911" i="1"/>
  <c r="AF911" i="1"/>
  <c r="AC911" i="1"/>
  <c r="AB911" i="1"/>
  <c r="AD911" i="1" s="1"/>
  <c r="AA911" i="1"/>
  <c r="P911" i="1"/>
  <c r="O911" i="1"/>
  <c r="N911" i="1"/>
  <c r="M911" i="1"/>
  <c r="L911" i="1"/>
  <c r="H911" i="1"/>
  <c r="G911" i="1"/>
  <c r="E911" i="1"/>
  <c r="F911" i="1" s="1"/>
  <c r="AH910" i="1"/>
  <c r="AF910" i="1"/>
  <c r="AG910" i="1" s="1"/>
  <c r="AC910" i="1"/>
  <c r="AB910" i="1"/>
  <c r="AD910" i="1" s="1"/>
  <c r="AA910" i="1"/>
  <c r="P910" i="1"/>
  <c r="O910" i="1"/>
  <c r="N910" i="1"/>
  <c r="M910" i="1"/>
  <c r="L910" i="1"/>
  <c r="H910" i="1"/>
  <c r="G910" i="1"/>
  <c r="F910" i="1"/>
  <c r="E910" i="1"/>
  <c r="AG909" i="1"/>
  <c r="AF909" i="1"/>
  <c r="AD909" i="1"/>
  <c r="AC909" i="1"/>
  <c r="AH909" i="1" s="1"/>
  <c r="AB909" i="1"/>
  <c r="AA909" i="1"/>
  <c r="P909" i="1"/>
  <c r="O909" i="1"/>
  <c r="N909" i="1"/>
  <c r="M909" i="1"/>
  <c r="L909" i="1"/>
  <c r="H909" i="1"/>
  <c r="G909" i="1"/>
  <c r="F909" i="1"/>
  <c r="E909" i="1"/>
  <c r="AF908" i="1"/>
  <c r="AG908" i="1" s="1"/>
  <c r="AC908" i="1"/>
  <c r="AH908" i="1" s="1"/>
  <c r="AB908" i="1"/>
  <c r="AA908" i="1"/>
  <c r="P908" i="1"/>
  <c r="O908" i="1"/>
  <c r="N908" i="1"/>
  <c r="M908" i="1"/>
  <c r="L908" i="1"/>
  <c r="H908" i="1"/>
  <c r="G908" i="1"/>
  <c r="E908" i="1"/>
  <c r="F908" i="1" s="1"/>
  <c r="AH907" i="1"/>
  <c r="AG907" i="1"/>
  <c r="AF907" i="1"/>
  <c r="AC907" i="1"/>
  <c r="AB907" i="1"/>
  <c r="AD907" i="1" s="1"/>
  <c r="AA907" i="1"/>
  <c r="O907" i="1"/>
  <c r="P907" i="1" s="1"/>
  <c r="N907" i="1"/>
  <c r="M907" i="1"/>
  <c r="L907" i="1"/>
  <c r="H907" i="1"/>
  <c r="G907" i="1"/>
  <c r="E907" i="1"/>
  <c r="F907" i="1" s="1"/>
  <c r="AF906" i="1"/>
  <c r="AG906" i="1" s="1"/>
  <c r="AC906" i="1"/>
  <c r="AB906" i="1"/>
  <c r="AA906" i="1"/>
  <c r="O906" i="1"/>
  <c r="P906" i="1" s="1"/>
  <c r="N906" i="1"/>
  <c r="M906" i="1"/>
  <c r="L906" i="1"/>
  <c r="H906" i="1"/>
  <c r="G906" i="1"/>
  <c r="E906" i="1"/>
  <c r="F906" i="1" s="1"/>
  <c r="AG905" i="1"/>
  <c r="AF905" i="1"/>
  <c r="AC905" i="1"/>
  <c r="AH905" i="1" s="1"/>
  <c r="AB905" i="1"/>
  <c r="AD905" i="1" s="1"/>
  <c r="AA905" i="1"/>
  <c r="O905" i="1"/>
  <c r="P905" i="1" s="1"/>
  <c r="N905" i="1"/>
  <c r="M905" i="1"/>
  <c r="L905" i="1"/>
  <c r="H905" i="1"/>
  <c r="G905" i="1"/>
  <c r="E905" i="1"/>
  <c r="F905" i="1" s="1"/>
  <c r="AH904" i="1"/>
  <c r="AF904" i="1"/>
  <c r="AG904" i="1" s="1"/>
  <c r="AD904" i="1"/>
  <c r="AC904" i="1"/>
  <c r="AB904" i="1"/>
  <c r="AA904" i="1"/>
  <c r="O904" i="1"/>
  <c r="P904" i="1" s="1"/>
  <c r="N904" i="1"/>
  <c r="M904" i="1"/>
  <c r="L904" i="1"/>
  <c r="H904" i="1"/>
  <c r="G904" i="1"/>
  <c r="F904" i="1"/>
  <c r="E904" i="1"/>
  <c r="AF903" i="1"/>
  <c r="AG903" i="1" s="1"/>
  <c r="AC903" i="1"/>
  <c r="AH903" i="1" s="1"/>
  <c r="AB903" i="1"/>
  <c r="AA903" i="1"/>
  <c r="P903" i="1"/>
  <c r="O903" i="1"/>
  <c r="N903" i="1"/>
  <c r="M903" i="1"/>
  <c r="L903" i="1"/>
  <c r="H903" i="1"/>
  <c r="G903" i="1"/>
  <c r="F903" i="1"/>
  <c r="E903" i="1"/>
  <c r="AG902" i="1"/>
  <c r="AF902" i="1"/>
  <c r="AD902" i="1"/>
  <c r="AC902" i="1"/>
  <c r="AH902" i="1" s="1"/>
  <c r="AB902" i="1"/>
  <c r="AA902" i="1"/>
  <c r="P902" i="1"/>
  <c r="O902" i="1"/>
  <c r="N902" i="1"/>
  <c r="M902" i="1"/>
  <c r="L902" i="1"/>
  <c r="H902" i="1"/>
  <c r="G902" i="1"/>
  <c r="E902" i="1"/>
  <c r="F902" i="1" s="1"/>
  <c r="AH901" i="1"/>
  <c r="AG901" i="1"/>
  <c r="AF901" i="1"/>
  <c r="AD901" i="1"/>
  <c r="AC901" i="1"/>
  <c r="AB901" i="1"/>
  <c r="AA901" i="1"/>
  <c r="O901" i="1"/>
  <c r="P901" i="1" s="1"/>
  <c r="N901" i="1"/>
  <c r="M901" i="1"/>
  <c r="L901" i="1"/>
  <c r="H901" i="1"/>
  <c r="G901" i="1"/>
  <c r="F901" i="1"/>
  <c r="E901" i="1"/>
  <c r="AH900" i="1"/>
  <c r="AG900" i="1"/>
  <c r="AF900" i="1"/>
  <c r="AC900" i="1"/>
  <c r="AB900" i="1"/>
  <c r="AD900" i="1" s="1"/>
  <c r="AA900" i="1"/>
  <c r="O900" i="1"/>
  <c r="P900" i="1" s="1"/>
  <c r="N900" i="1"/>
  <c r="M900" i="1"/>
  <c r="L900" i="1"/>
  <c r="H900" i="1"/>
  <c r="G900" i="1"/>
  <c r="F900" i="1"/>
  <c r="E900" i="1"/>
  <c r="AF899" i="1"/>
  <c r="AG899" i="1" s="1"/>
  <c r="AC899" i="1"/>
  <c r="AH899" i="1" s="1"/>
  <c r="AB899" i="1"/>
  <c r="AA899" i="1"/>
  <c r="P899" i="1"/>
  <c r="O899" i="1"/>
  <c r="N899" i="1"/>
  <c r="M899" i="1"/>
  <c r="L899" i="1"/>
  <c r="H899" i="1"/>
  <c r="G899" i="1"/>
  <c r="E899" i="1"/>
  <c r="F899" i="1" s="1"/>
  <c r="AH898" i="1"/>
  <c r="AG898" i="1"/>
  <c r="AF898" i="1"/>
  <c r="AC898" i="1"/>
  <c r="AB898" i="1"/>
  <c r="AD898" i="1" s="1"/>
  <c r="AA898" i="1"/>
  <c r="O898" i="1"/>
  <c r="P898" i="1" s="1"/>
  <c r="N898" i="1"/>
  <c r="M898" i="1"/>
  <c r="L898" i="1"/>
  <c r="H898" i="1"/>
  <c r="G898" i="1"/>
  <c r="E898" i="1"/>
  <c r="F898" i="1" s="1"/>
  <c r="AF897" i="1"/>
  <c r="AG897" i="1" s="1"/>
  <c r="AD897" i="1"/>
  <c r="AC897" i="1"/>
  <c r="AH897" i="1" s="1"/>
  <c r="AB897" i="1"/>
  <c r="AA897" i="1"/>
  <c r="P897" i="1"/>
  <c r="O897" i="1"/>
  <c r="N897" i="1"/>
  <c r="M897" i="1"/>
  <c r="L897" i="1"/>
  <c r="H897" i="1"/>
  <c r="G897" i="1"/>
  <c r="E897" i="1"/>
  <c r="F897" i="1" s="1"/>
  <c r="AG896" i="1"/>
  <c r="AF896" i="1"/>
  <c r="AC896" i="1"/>
  <c r="AH896" i="1" s="1"/>
  <c r="AB896" i="1"/>
  <c r="AD896" i="1" s="1"/>
  <c r="AA896" i="1"/>
  <c r="O896" i="1"/>
  <c r="P896" i="1" s="1"/>
  <c r="N896" i="1"/>
  <c r="M896" i="1"/>
  <c r="L896" i="1"/>
  <c r="H896" i="1"/>
  <c r="G896" i="1"/>
  <c r="F896" i="1"/>
  <c r="E896" i="1"/>
  <c r="AH895" i="1"/>
  <c r="AG895" i="1"/>
  <c r="AF895" i="1"/>
  <c r="AC895" i="1"/>
  <c r="AB895" i="1"/>
  <c r="AD895" i="1" s="1"/>
  <c r="AA895" i="1"/>
  <c r="P895" i="1"/>
  <c r="O895" i="1"/>
  <c r="N895" i="1"/>
  <c r="M895" i="1"/>
  <c r="L895" i="1"/>
  <c r="H895" i="1"/>
  <c r="G895" i="1"/>
  <c r="F895" i="1"/>
  <c r="E895" i="1"/>
  <c r="AH894" i="1"/>
  <c r="AG894" i="1"/>
  <c r="AF894" i="1"/>
  <c r="AD894" i="1"/>
  <c r="AC894" i="1"/>
  <c r="AB894" i="1"/>
  <c r="AA894" i="1"/>
  <c r="P894" i="1"/>
  <c r="O894" i="1"/>
  <c r="N894" i="1"/>
  <c r="M894" i="1"/>
  <c r="L894" i="1"/>
  <c r="H894" i="1"/>
  <c r="G894" i="1"/>
  <c r="E894" i="1"/>
  <c r="F894" i="1" s="1"/>
  <c r="AH893" i="1"/>
  <c r="AG893" i="1"/>
  <c r="AF893" i="1"/>
  <c r="AD893" i="1"/>
  <c r="AC893" i="1"/>
  <c r="AB893" i="1"/>
  <c r="AA893" i="1"/>
  <c r="P893" i="1"/>
  <c r="O893" i="1"/>
  <c r="N893" i="1"/>
  <c r="M893" i="1"/>
  <c r="L893" i="1"/>
  <c r="H893" i="1"/>
  <c r="G893" i="1"/>
  <c r="F893" i="1"/>
  <c r="E893" i="1"/>
  <c r="AG892" i="1"/>
  <c r="AF892" i="1"/>
  <c r="AD892" i="1"/>
  <c r="AC892" i="1"/>
  <c r="AH892" i="1" s="1"/>
  <c r="AB892" i="1"/>
  <c r="AA892" i="1"/>
  <c r="P892" i="1"/>
  <c r="O892" i="1"/>
  <c r="N892" i="1"/>
  <c r="M892" i="1"/>
  <c r="L892" i="1"/>
  <c r="H892" i="1"/>
  <c r="G892" i="1"/>
  <c r="F892" i="1"/>
  <c r="E892" i="1"/>
  <c r="AH891" i="1"/>
  <c r="AG891" i="1"/>
  <c r="AF891" i="1"/>
  <c r="AD891" i="1"/>
  <c r="AC891" i="1"/>
  <c r="AB891" i="1"/>
  <c r="AA891" i="1"/>
  <c r="P891" i="1"/>
  <c r="O891" i="1"/>
  <c r="N891" i="1"/>
  <c r="M891" i="1"/>
  <c r="L891" i="1"/>
  <c r="H891" i="1"/>
  <c r="G891" i="1"/>
  <c r="E891" i="1"/>
  <c r="F891" i="1" s="1"/>
  <c r="AF890" i="1"/>
  <c r="AG890" i="1" s="1"/>
  <c r="AC890" i="1"/>
  <c r="AH890" i="1" s="1"/>
  <c r="AB890" i="1"/>
  <c r="AA890" i="1"/>
  <c r="O890" i="1"/>
  <c r="P890" i="1" s="1"/>
  <c r="N890" i="1"/>
  <c r="M890" i="1"/>
  <c r="L890" i="1"/>
  <c r="H890" i="1"/>
  <c r="G890" i="1"/>
  <c r="E890" i="1"/>
  <c r="F890" i="1" s="1"/>
  <c r="AH889" i="1"/>
  <c r="AF889" i="1"/>
  <c r="AG889" i="1" s="1"/>
  <c r="AC889" i="1"/>
  <c r="AB889" i="1"/>
  <c r="AA889" i="1"/>
  <c r="O889" i="1"/>
  <c r="P889" i="1" s="1"/>
  <c r="N889" i="1"/>
  <c r="M889" i="1"/>
  <c r="L889" i="1"/>
  <c r="H889" i="1"/>
  <c r="G889" i="1"/>
  <c r="F889" i="1"/>
  <c r="E889" i="1"/>
  <c r="AG888" i="1"/>
  <c r="AF888" i="1"/>
  <c r="AC888" i="1"/>
  <c r="AB888" i="1"/>
  <c r="AA888" i="1"/>
  <c r="P888" i="1"/>
  <c r="O888" i="1"/>
  <c r="N888" i="1"/>
  <c r="M888" i="1"/>
  <c r="L888" i="1"/>
  <c r="H888" i="1"/>
  <c r="G888" i="1"/>
  <c r="E888" i="1"/>
  <c r="F888" i="1" s="1"/>
  <c r="AH887" i="1"/>
  <c r="AG887" i="1"/>
  <c r="AF887" i="1"/>
  <c r="AD887" i="1"/>
  <c r="AC887" i="1"/>
  <c r="AB887" i="1"/>
  <c r="AA887" i="1"/>
  <c r="O887" i="1"/>
  <c r="P887" i="1" s="1"/>
  <c r="N887" i="1"/>
  <c r="M887" i="1"/>
  <c r="L887" i="1"/>
  <c r="H887" i="1"/>
  <c r="G887" i="1"/>
  <c r="F887" i="1"/>
  <c r="E887" i="1"/>
  <c r="AF886" i="1"/>
  <c r="AG886" i="1" s="1"/>
  <c r="AC886" i="1"/>
  <c r="AH886" i="1" s="1"/>
  <c r="AB886" i="1"/>
  <c r="AA886" i="1"/>
  <c r="P886" i="1"/>
  <c r="O886" i="1"/>
  <c r="N886" i="1"/>
  <c r="M886" i="1"/>
  <c r="L886" i="1"/>
  <c r="H886" i="1"/>
  <c r="G886" i="1"/>
  <c r="E886" i="1"/>
  <c r="F886" i="1" s="1"/>
  <c r="AG885" i="1"/>
  <c r="AF885" i="1"/>
  <c r="AC885" i="1"/>
  <c r="AH885" i="1" s="1"/>
  <c r="AB885" i="1"/>
  <c r="AA885" i="1"/>
  <c r="O885" i="1"/>
  <c r="P885" i="1" s="1"/>
  <c r="N885" i="1"/>
  <c r="M885" i="1"/>
  <c r="L885" i="1"/>
  <c r="H885" i="1"/>
  <c r="G885" i="1"/>
  <c r="F885" i="1"/>
  <c r="E885" i="1"/>
  <c r="AH884" i="1"/>
  <c r="AF884" i="1"/>
  <c r="AG884" i="1" s="1"/>
  <c r="AD884" i="1"/>
  <c r="AC884" i="1"/>
  <c r="AB884" i="1"/>
  <c r="AA884" i="1"/>
  <c r="O884" i="1"/>
  <c r="P884" i="1" s="1"/>
  <c r="N884" i="1"/>
  <c r="M884" i="1"/>
  <c r="L884" i="1"/>
  <c r="H884" i="1"/>
  <c r="G884" i="1"/>
  <c r="F884" i="1"/>
  <c r="E884" i="1"/>
  <c r="AF883" i="1"/>
  <c r="AG883" i="1" s="1"/>
  <c r="AC883" i="1"/>
  <c r="AH883" i="1" s="1"/>
  <c r="AB883" i="1"/>
  <c r="AA883" i="1"/>
  <c r="O883" i="1"/>
  <c r="P883" i="1" s="1"/>
  <c r="N883" i="1"/>
  <c r="M883" i="1"/>
  <c r="L883" i="1"/>
  <c r="H883" i="1"/>
  <c r="G883" i="1"/>
  <c r="F883" i="1"/>
  <c r="E883" i="1"/>
  <c r="AH882" i="1"/>
  <c r="AG882" i="1"/>
  <c r="AF882" i="1"/>
  <c r="AC882" i="1"/>
  <c r="AB882" i="1"/>
  <c r="AA882" i="1"/>
  <c r="P882" i="1"/>
  <c r="O882" i="1"/>
  <c r="N882" i="1"/>
  <c r="M882" i="1"/>
  <c r="L882" i="1"/>
  <c r="H882" i="1"/>
  <c r="G882" i="1"/>
  <c r="F882" i="1"/>
  <c r="E882" i="1"/>
  <c r="AF881" i="1"/>
  <c r="AG881" i="1" s="1"/>
  <c r="AC881" i="1"/>
  <c r="AH881" i="1" s="1"/>
  <c r="AB881" i="1"/>
  <c r="AD881" i="1" s="1"/>
  <c r="AA881" i="1"/>
  <c r="P881" i="1"/>
  <c r="O881" i="1"/>
  <c r="N881" i="1"/>
  <c r="M881" i="1"/>
  <c r="L881" i="1"/>
  <c r="H881" i="1"/>
  <c r="G881" i="1"/>
  <c r="E881" i="1"/>
  <c r="F881" i="1" s="1"/>
  <c r="AH880" i="1"/>
  <c r="AF880" i="1"/>
  <c r="AG880" i="1" s="1"/>
  <c r="AC880" i="1"/>
  <c r="AB880" i="1"/>
  <c r="AD880" i="1" s="1"/>
  <c r="AA880" i="1"/>
  <c r="O880" i="1"/>
  <c r="P880" i="1" s="1"/>
  <c r="N880" i="1"/>
  <c r="M880" i="1"/>
  <c r="L880" i="1"/>
  <c r="H880" i="1"/>
  <c r="G880" i="1"/>
  <c r="E880" i="1"/>
  <c r="F880" i="1" s="1"/>
  <c r="AF879" i="1"/>
  <c r="AG879" i="1" s="1"/>
  <c r="AC879" i="1"/>
  <c r="AB879" i="1"/>
  <c r="AA879" i="1"/>
  <c r="P879" i="1"/>
  <c r="O879" i="1"/>
  <c r="N879" i="1"/>
  <c r="M879" i="1"/>
  <c r="L879" i="1"/>
  <c r="H879" i="1"/>
  <c r="G879" i="1"/>
  <c r="E879" i="1"/>
  <c r="F879" i="1" s="1"/>
  <c r="AG878" i="1"/>
  <c r="AF878" i="1"/>
  <c r="AC878" i="1"/>
  <c r="AH878" i="1" s="1"/>
  <c r="AB878" i="1"/>
  <c r="AD878" i="1" s="1"/>
  <c r="AA878" i="1"/>
  <c r="O878" i="1"/>
  <c r="P878" i="1" s="1"/>
  <c r="N878" i="1"/>
  <c r="M878" i="1"/>
  <c r="L878" i="1"/>
  <c r="H878" i="1"/>
  <c r="G878" i="1"/>
  <c r="F878" i="1"/>
  <c r="E878" i="1"/>
  <c r="AF877" i="1"/>
  <c r="AG877" i="1" s="1"/>
  <c r="AC877" i="1"/>
  <c r="AB877" i="1"/>
  <c r="AA877" i="1"/>
  <c r="O877" i="1"/>
  <c r="P877" i="1" s="1"/>
  <c r="N877" i="1"/>
  <c r="M877" i="1"/>
  <c r="L877" i="1"/>
  <c r="H877" i="1"/>
  <c r="G877" i="1"/>
  <c r="E877" i="1"/>
  <c r="F877" i="1" s="1"/>
  <c r="AH876" i="1"/>
  <c r="AG876" i="1"/>
  <c r="AF876" i="1"/>
  <c r="AD876" i="1"/>
  <c r="AC876" i="1"/>
  <c r="AB876" i="1"/>
  <c r="AA876" i="1"/>
  <c r="P876" i="1"/>
  <c r="O876" i="1"/>
  <c r="N876" i="1"/>
  <c r="M876" i="1"/>
  <c r="L876" i="1"/>
  <c r="H876" i="1"/>
  <c r="G876" i="1"/>
  <c r="F876" i="1"/>
  <c r="E876" i="1"/>
  <c r="AH875" i="1"/>
  <c r="AF875" i="1"/>
  <c r="AG875" i="1" s="1"/>
  <c r="AD875" i="1"/>
  <c r="AC875" i="1"/>
  <c r="AB875" i="1"/>
  <c r="AA875" i="1"/>
  <c r="O875" i="1"/>
  <c r="P875" i="1" s="1"/>
  <c r="N875" i="1"/>
  <c r="M875" i="1"/>
  <c r="L875" i="1"/>
  <c r="H875" i="1"/>
  <c r="G875" i="1"/>
  <c r="F875" i="1"/>
  <c r="E875" i="1"/>
  <c r="AF874" i="1"/>
  <c r="AG874" i="1" s="1"/>
  <c r="AD874" i="1"/>
  <c r="AC874" i="1"/>
  <c r="AH874" i="1" s="1"/>
  <c r="AB874" i="1"/>
  <c r="AA874" i="1"/>
  <c r="P874" i="1"/>
  <c r="O874" i="1"/>
  <c r="N874" i="1"/>
  <c r="M874" i="1"/>
  <c r="L874" i="1"/>
  <c r="H874" i="1"/>
  <c r="G874" i="1"/>
  <c r="F874" i="1"/>
  <c r="E874" i="1"/>
  <c r="AH873" i="1"/>
  <c r="AF873" i="1"/>
  <c r="AG873" i="1" s="1"/>
  <c r="AC873" i="1"/>
  <c r="AB873" i="1"/>
  <c r="AD873" i="1" s="1"/>
  <c r="AA873" i="1"/>
  <c r="P873" i="1"/>
  <c r="O873" i="1"/>
  <c r="N873" i="1"/>
  <c r="M873" i="1"/>
  <c r="L873" i="1"/>
  <c r="H873" i="1"/>
  <c r="G873" i="1"/>
  <c r="E873" i="1"/>
  <c r="F873" i="1" s="1"/>
  <c r="AH872" i="1"/>
  <c r="AF872" i="1"/>
  <c r="AG872" i="1" s="1"/>
  <c r="AC872" i="1"/>
  <c r="AB872" i="1"/>
  <c r="AD872" i="1" s="1"/>
  <c r="AA872" i="1"/>
  <c r="O872" i="1"/>
  <c r="P872" i="1" s="1"/>
  <c r="N872" i="1"/>
  <c r="M872" i="1"/>
  <c r="L872" i="1"/>
  <c r="H872" i="1"/>
  <c r="G872" i="1"/>
  <c r="E872" i="1"/>
  <c r="F872" i="1" s="1"/>
  <c r="AF871" i="1"/>
  <c r="AG871" i="1" s="1"/>
  <c r="AC871" i="1"/>
  <c r="AH871" i="1" s="1"/>
  <c r="AB871" i="1"/>
  <c r="AA871" i="1"/>
  <c r="O871" i="1"/>
  <c r="P871" i="1" s="1"/>
  <c r="N871" i="1"/>
  <c r="M871" i="1"/>
  <c r="L871" i="1"/>
  <c r="H871" i="1"/>
  <c r="G871" i="1"/>
  <c r="E871" i="1"/>
  <c r="F871" i="1" s="1"/>
  <c r="AH870" i="1"/>
  <c r="AF870" i="1"/>
  <c r="AG870" i="1" s="1"/>
  <c r="AD870" i="1"/>
  <c r="AC870" i="1"/>
  <c r="AB870" i="1"/>
  <c r="AA870" i="1"/>
  <c r="O870" i="1"/>
  <c r="P870" i="1" s="1"/>
  <c r="N870" i="1"/>
  <c r="M870" i="1"/>
  <c r="L870" i="1"/>
  <c r="H870" i="1"/>
  <c r="G870" i="1"/>
  <c r="E870" i="1"/>
  <c r="F870" i="1" s="1"/>
  <c r="AG869" i="1"/>
  <c r="AF869" i="1"/>
  <c r="AD869" i="1"/>
  <c r="AC869" i="1"/>
  <c r="AH869" i="1" s="1"/>
  <c r="AB869" i="1"/>
  <c r="AA869" i="1"/>
  <c r="O869" i="1"/>
  <c r="P869" i="1" s="1"/>
  <c r="N869" i="1"/>
  <c r="M869" i="1"/>
  <c r="L869" i="1"/>
  <c r="H869" i="1"/>
  <c r="G869" i="1"/>
  <c r="F869" i="1"/>
  <c r="E869" i="1"/>
  <c r="AG868" i="1"/>
  <c r="AF868" i="1"/>
  <c r="AC868" i="1"/>
  <c r="AH868" i="1" s="1"/>
  <c r="AB868" i="1"/>
  <c r="AD868" i="1" s="1"/>
  <c r="AA868" i="1"/>
  <c r="P868" i="1"/>
  <c r="O868" i="1"/>
  <c r="N868" i="1"/>
  <c r="M868" i="1"/>
  <c r="L868" i="1"/>
  <c r="H868" i="1"/>
  <c r="G868" i="1"/>
  <c r="E868" i="1"/>
  <c r="F868" i="1" s="1"/>
  <c r="AG867" i="1"/>
  <c r="AF867" i="1"/>
  <c r="AC867" i="1"/>
  <c r="AH867" i="1" s="1"/>
  <c r="AB867" i="1"/>
  <c r="AA867" i="1"/>
  <c r="P867" i="1"/>
  <c r="O867" i="1"/>
  <c r="N867" i="1"/>
  <c r="M867" i="1"/>
  <c r="L867" i="1"/>
  <c r="H867" i="1"/>
  <c r="G867" i="1"/>
  <c r="E867" i="1"/>
  <c r="F867" i="1" s="1"/>
  <c r="AF866" i="1"/>
  <c r="AG866" i="1" s="1"/>
  <c r="AD866" i="1"/>
  <c r="AC866" i="1"/>
  <c r="AH866" i="1" s="1"/>
  <c r="AB866" i="1"/>
  <c r="AA866" i="1"/>
  <c r="O866" i="1"/>
  <c r="P866" i="1" s="1"/>
  <c r="N866" i="1"/>
  <c r="M866" i="1"/>
  <c r="L866" i="1"/>
  <c r="H866" i="1"/>
  <c r="G866" i="1"/>
  <c r="E866" i="1"/>
  <c r="F866" i="1" s="1"/>
  <c r="AG865" i="1"/>
  <c r="AF865" i="1"/>
  <c r="AC865" i="1"/>
  <c r="AH865" i="1" s="1"/>
  <c r="AB865" i="1"/>
  <c r="AA865" i="1"/>
  <c r="P865" i="1"/>
  <c r="O865" i="1"/>
  <c r="N865" i="1"/>
  <c r="M865" i="1"/>
  <c r="L865" i="1"/>
  <c r="H865" i="1"/>
  <c r="G865" i="1"/>
  <c r="F865" i="1"/>
  <c r="E865" i="1"/>
  <c r="AH864" i="1"/>
  <c r="AG864" i="1"/>
  <c r="AF864" i="1"/>
  <c r="AC864" i="1"/>
  <c r="AB864" i="1"/>
  <c r="AD864" i="1" s="1"/>
  <c r="AA864" i="1"/>
  <c r="P864" i="1"/>
  <c r="O864" i="1"/>
  <c r="N864" i="1"/>
  <c r="M864" i="1"/>
  <c r="L864" i="1"/>
  <c r="H864" i="1"/>
  <c r="G864" i="1"/>
  <c r="F864" i="1"/>
  <c r="E864" i="1"/>
  <c r="AF863" i="1"/>
  <c r="AG863" i="1" s="1"/>
  <c r="AC863" i="1"/>
  <c r="AH863" i="1" s="1"/>
  <c r="AB863" i="1"/>
  <c r="AD863" i="1" s="1"/>
  <c r="AA863" i="1"/>
  <c r="O863" i="1"/>
  <c r="P863" i="1" s="1"/>
  <c r="N863" i="1"/>
  <c r="M863" i="1"/>
  <c r="L863" i="1"/>
  <c r="H863" i="1"/>
  <c r="G863" i="1"/>
  <c r="E863" i="1"/>
  <c r="F863" i="1" s="1"/>
  <c r="AH862" i="1"/>
  <c r="AG862" i="1"/>
  <c r="AF862" i="1"/>
  <c r="AD862" i="1"/>
  <c r="AC862" i="1"/>
  <c r="AB862" i="1"/>
  <c r="AA862" i="1"/>
  <c r="O862" i="1"/>
  <c r="P862" i="1" s="1"/>
  <c r="N862" i="1"/>
  <c r="M862" i="1"/>
  <c r="L862" i="1"/>
  <c r="H862" i="1"/>
  <c r="G862" i="1"/>
  <c r="F862" i="1"/>
  <c r="E862" i="1"/>
  <c r="AF861" i="1"/>
  <c r="AG861" i="1" s="1"/>
  <c r="AD861" i="1"/>
  <c r="AC861" i="1"/>
  <c r="AH861" i="1" s="1"/>
  <c r="AB861" i="1"/>
  <c r="AA861" i="1"/>
  <c r="O861" i="1"/>
  <c r="P861" i="1" s="1"/>
  <c r="N861" i="1"/>
  <c r="M861" i="1"/>
  <c r="L861" i="1"/>
  <c r="H861" i="1"/>
  <c r="G861" i="1"/>
  <c r="E861" i="1"/>
  <c r="F861" i="1" s="1"/>
  <c r="AH860" i="1"/>
  <c r="AG860" i="1"/>
  <c r="AF860" i="1"/>
  <c r="AC860" i="1"/>
  <c r="AB860" i="1"/>
  <c r="AD860" i="1" s="1"/>
  <c r="AA860" i="1"/>
  <c r="O860" i="1"/>
  <c r="P860" i="1" s="1"/>
  <c r="N860" i="1"/>
  <c r="M860" i="1"/>
  <c r="L860" i="1"/>
  <c r="H860" i="1"/>
  <c r="G860" i="1"/>
  <c r="F860" i="1"/>
  <c r="E860" i="1"/>
  <c r="AH859" i="1"/>
  <c r="AF859" i="1"/>
  <c r="AG859" i="1" s="1"/>
  <c r="AD859" i="1"/>
  <c r="AC859" i="1"/>
  <c r="AB859" i="1"/>
  <c r="AA859" i="1"/>
  <c r="O859" i="1"/>
  <c r="P859" i="1" s="1"/>
  <c r="N859" i="1"/>
  <c r="M859" i="1"/>
  <c r="L859" i="1"/>
  <c r="H859" i="1"/>
  <c r="G859" i="1"/>
  <c r="F859" i="1"/>
  <c r="E859" i="1"/>
  <c r="AF858" i="1"/>
  <c r="AG858" i="1" s="1"/>
  <c r="AC858" i="1"/>
  <c r="AH858" i="1" s="1"/>
  <c r="AB858" i="1"/>
  <c r="AD858" i="1" s="1"/>
  <c r="AA858" i="1"/>
  <c r="O858" i="1"/>
  <c r="P858" i="1" s="1"/>
  <c r="N858" i="1"/>
  <c r="M858" i="1"/>
  <c r="L858" i="1"/>
  <c r="H858" i="1"/>
  <c r="G858" i="1"/>
  <c r="E858" i="1"/>
  <c r="F858" i="1" s="1"/>
  <c r="AH857" i="1"/>
  <c r="AF857" i="1"/>
  <c r="AG857" i="1" s="1"/>
  <c r="AD857" i="1"/>
  <c r="AC857" i="1"/>
  <c r="AB857" i="1"/>
  <c r="AA857" i="1"/>
  <c r="O857" i="1"/>
  <c r="P857" i="1" s="1"/>
  <c r="N857" i="1"/>
  <c r="M857" i="1"/>
  <c r="L857" i="1"/>
  <c r="H857" i="1"/>
  <c r="G857" i="1"/>
  <c r="E857" i="1"/>
  <c r="F857" i="1" s="1"/>
  <c r="AF856" i="1"/>
  <c r="AG856" i="1" s="1"/>
  <c r="AC856" i="1"/>
  <c r="AH856" i="1" s="1"/>
  <c r="AB856" i="1"/>
  <c r="AA856" i="1"/>
  <c r="O856" i="1"/>
  <c r="P856" i="1" s="1"/>
  <c r="N856" i="1"/>
  <c r="M856" i="1"/>
  <c r="L856" i="1"/>
  <c r="H856" i="1"/>
  <c r="G856" i="1"/>
  <c r="E856" i="1"/>
  <c r="F856" i="1" s="1"/>
  <c r="AH855" i="1"/>
  <c r="AG855" i="1"/>
  <c r="AF855" i="1"/>
  <c r="AC855" i="1"/>
  <c r="AD855" i="1" s="1"/>
  <c r="AB855" i="1"/>
  <c r="AA855" i="1"/>
  <c r="O855" i="1"/>
  <c r="P855" i="1" s="1"/>
  <c r="N855" i="1"/>
  <c r="M855" i="1"/>
  <c r="L855" i="1"/>
  <c r="H855" i="1"/>
  <c r="G855" i="1"/>
  <c r="E855" i="1"/>
  <c r="F855" i="1" s="1"/>
  <c r="AF854" i="1"/>
  <c r="AG854" i="1" s="1"/>
  <c r="AC854" i="1"/>
  <c r="AH854" i="1" s="1"/>
  <c r="AB854" i="1"/>
  <c r="AD854" i="1" s="1"/>
  <c r="AA854" i="1"/>
  <c r="O854" i="1"/>
  <c r="P854" i="1" s="1"/>
  <c r="N854" i="1"/>
  <c r="M854" i="1"/>
  <c r="L854" i="1"/>
  <c r="H854" i="1"/>
  <c r="G854" i="1"/>
  <c r="E854" i="1"/>
  <c r="F854" i="1" s="1"/>
  <c r="AH853" i="1"/>
  <c r="AF853" i="1"/>
  <c r="AG853" i="1" s="1"/>
  <c r="AC853" i="1"/>
  <c r="AB853" i="1"/>
  <c r="AD853" i="1" s="1"/>
  <c r="AA853" i="1"/>
  <c r="O853" i="1"/>
  <c r="P853" i="1" s="1"/>
  <c r="N853" i="1"/>
  <c r="M853" i="1"/>
  <c r="L853" i="1"/>
  <c r="H853" i="1"/>
  <c r="G853" i="1"/>
  <c r="E853" i="1"/>
  <c r="F853" i="1" s="1"/>
  <c r="AG852" i="1"/>
  <c r="AF852" i="1"/>
  <c r="AC852" i="1"/>
  <c r="AH852" i="1" s="1"/>
  <c r="AB852" i="1"/>
  <c r="AD852" i="1" s="1"/>
  <c r="AA852" i="1"/>
  <c r="O852" i="1"/>
  <c r="P852" i="1" s="1"/>
  <c r="N852" i="1"/>
  <c r="M852" i="1"/>
  <c r="L852" i="1"/>
  <c r="H852" i="1"/>
  <c r="G852" i="1"/>
  <c r="F852" i="1"/>
  <c r="E852" i="1"/>
  <c r="AF851" i="1"/>
  <c r="AG851" i="1" s="1"/>
  <c r="AC851" i="1"/>
  <c r="AB851" i="1"/>
  <c r="AA851" i="1"/>
  <c r="P851" i="1"/>
  <c r="O851" i="1"/>
  <c r="N851" i="1"/>
  <c r="M851" i="1"/>
  <c r="L851" i="1"/>
  <c r="H851" i="1"/>
  <c r="G851" i="1"/>
  <c r="F851" i="1"/>
  <c r="E851" i="1"/>
  <c r="AH850" i="1"/>
  <c r="AG850" i="1"/>
  <c r="AF850" i="1"/>
  <c r="AD850" i="1"/>
  <c r="AC850" i="1"/>
  <c r="AB850" i="1"/>
  <c r="AA850" i="1"/>
  <c r="O850" i="1"/>
  <c r="P850" i="1" s="1"/>
  <c r="N850" i="1"/>
  <c r="M850" i="1"/>
  <c r="L850" i="1"/>
  <c r="H850" i="1"/>
  <c r="G850" i="1"/>
  <c r="F850" i="1"/>
  <c r="E850" i="1"/>
  <c r="AG849" i="1"/>
  <c r="AF849" i="1"/>
  <c r="AC849" i="1"/>
  <c r="AH849" i="1" s="1"/>
  <c r="AB849" i="1"/>
  <c r="AD849" i="1" s="1"/>
  <c r="AA849" i="1"/>
  <c r="P849" i="1"/>
  <c r="O849" i="1"/>
  <c r="N849" i="1"/>
  <c r="M849" i="1"/>
  <c r="L849" i="1"/>
  <c r="H849" i="1"/>
  <c r="G849" i="1"/>
  <c r="E849" i="1"/>
  <c r="F849" i="1" s="1"/>
  <c r="AF848" i="1"/>
  <c r="AG848" i="1" s="1"/>
  <c r="AC848" i="1"/>
  <c r="AD848" i="1" s="1"/>
  <c r="AB848" i="1"/>
  <c r="AA848" i="1"/>
  <c r="P848" i="1"/>
  <c r="O848" i="1"/>
  <c r="N848" i="1"/>
  <c r="M848" i="1"/>
  <c r="L848" i="1"/>
  <c r="H848" i="1"/>
  <c r="G848" i="1"/>
  <c r="E848" i="1"/>
  <c r="F848" i="1" s="1"/>
  <c r="AF847" i="1"/>
  <c r="AG847" i="1" s="1"/>
  <c r="AC847" i="1"/>
  <c r="AH847" i="1" s="1"/>
  <c r="AB847" i="1"/>
  <c r="AD847" i="1" s="1"/>
  <c r="AA847" i="1"/>
  <c r="P847" i="1"/>
  <c r="O847" i="1"/>
  <c r="N847" i="1"/>
  <c r="M847" i="1"/>
  <c r="L847" i="1"/>
  <c r="H847" i="1"/>
  <c r="G847" i="1"/>
  <c r="F847" i="1"/>
  <c r="E847" i="1"/>
  <c r="AH846" i="1"/>
  <c r="AF846" i="1"/>
  <c r="AG846" i="1" s="1"/>
  <c r="AD846" i="1"/>
  <c r="AC846" i="1"/>
  <c r="AB846" i="1"/>
  <c r="AA846" i="1"/>
  <c r="P846" i="1"/>
  <c r="O846" i="1"/>
  <c r="N846" i="1"/>
  <c r="M846" i="1"/>
  <c r="L846" i="1"/>
  <c r="H846" i="1"/>
  <c r="G846" i="1"/>
  <c r="F846" i="1"/>
  <c r="E846" i="1"/>
  <c r="AF845" i="1"/>
  <c r="AG845" i="1" s="1"/>
  <c r="AC845" i="1"/>
  <c r="AH845" i="1" s="1"/>
  <c r="AB845" i="1"/>
  <c r="AD845" i="1" s="1"/>
  <c r="AA845" i="1"/>
  <c r="O845" i="1"/>
  <c r="P845" i="1" s="1"/>
  <c r="N845" i="1"/>
  <c r="M845" i="1"/>
  <c r="L845" i="1"/>
  <c r="H845" i="1"/>
  <c r="G845" i="1"/>
  <c r="E845" i="1"/>
  <c r="F845" i="1" s="1"/>
  <c r="AH844" i="1"/>
  <c r="AF844" i="1"/>
  <c r="AG844" i="1" s="1"/>
  <c r="AD844" i="1"/>
  <c r="AC844" i="1"/>
  <c r="AB844" i="1"/>
  <c r="AA844" i="1"/>
  <c r="O844" i="1"/>
  <c r="P844" i="1" s="1"/>
  <c r="N844" i="1"/>
  <c r="M844" i="1"/>
  <c r="L844" i="1"/>
  <c r="H844" i="1"/>
  <c r="G844" i="1"/>
  <c r="F844" i="1"/>
  <c r="E844" i="1"/>
  <c r="AG843" i="1"/>
  <c r="AF843" i="1"/>
  <c r="AC843" i="1"/>
  <c r="AH843" i="1" s="1"/>
  <c r="AB843" i="1"/>
  <c r="AD843" i="1" s="1"/>
  <c r="AA843" i="1"/>
  <c r="P843" i="1"/>
  <c r="O843" i="1"/>
  <c r="N843" i="1"/>
  <c r="M843" i="1"/>
  <c r="L843" i="1"/>
  <c r="H843" i="1"/>
  <c r="G843" i="1"/>
  <c r="E843" i="1"/>
  <c r="F843" i="1" s="1"/>
  <c r="AH842" i="1"/>
  <c r="AG842" i="1"/>
  <c r="AF842" i="1"/>
  <c r="AD842" i="1"/>
  <c r="AC842" i="1"/>
  <c r="AB842" i="1"/>
  <c r="AA842" i="1"/>
  <c r="P842" i="1"/>
  <c r="O842" i="1"/>
  <c r="N842" i="1"/>
  <c r="M842" i="1"/>
  <c r="L842" i="1"/>
  <c r="H842" i="1"/>
  <c r="G842" i="1"/>
  <c r="E842" i="1"/>
  <c r="F842" i="1" s="1"/>
  <c r="AH841" i="1"/>
  <c r="AF841" i="1"/>
  <c r="AG841" i="1" s="1"/>
  <c r="AC841" i="1"/>
  <c r="AB841" i="1"/>
  <c r="AD841" i="1" s="1"/>
  <c r="AA841" i="1"/>
  <c r="P841" i="1"/>
  <c r="O841" i="1"/>
  <c r="N841" i="1"/>
  <c r="M841" i="1"/>
  <c r="L841" i="1"/>
  <c r="H841" i="1"/>
  <c r="G841" i="1"/>
  <c r="F841" i="1"/>
  <c r="E841" i="1"/>
  <c r="AF840" i="1"/>
  <c r="AG840" i="1" s="1"/>
  <c r="AD840" i="1"/>
  <c r="AC840" i="1"/>
  <c r="AH840" i="1" s="1"/>
  <c r="AB840" i="1"/>
  <c r="AA840" i="1"/>
  <c r="O840" i="1"/>
  <c r="P840" i="1" s="1"/>
  <c r="N840" i="1"/>
  <c r="M840" i="1"/>
  <c r="L840" i="1"/>
  <c r="H840" i="1"/>
  <c r="G840" i="1"/>
  <c r="F840" i="1"/>
  <c r="E840" i="1"/>
  <c r="AH839" i="1"/>
  <c r="AF839" i="1"/>
  <c r="AG839" i="1" s="1"/>
  <c r="AC839" i="1"/>
  <c r="AB839" i="1"/>
  <c r="AD839" i="1" s="1"/>
  <c r="AA839" i="1"/>
  <c r="P839" i="1"/>
  <c r="O839" i="1"/>
  <c r="N839" i="1"/>
  <c r="M839" i="1"/>
  <c r="L839" i="1"/>
  <c r="H839" i="1"/>
  <c r="G839" i="1"/>
  <c r="F839" i="1"/>
  <c r="E839" i="1"/>
  <c r="AF838" i="1"/>
  <c r="AG838" i="1" s="1"/>
  <c r="AC838" i="1"/>
  <c r="AH838" i="1" s="1"/>
  <c r="AB838" i="1"/>
  <c r="AA838" i="1"/>
  <c r="P838" i="1"/>
  <c r="O838" i="1"/>
  <c r="N838" i="1"/>
  <c r="M838" i="1"/>
  <c r="L838" i="1"/>
  <c r="H838" i="1"/>
  <c r="G838" i="1"/>
  <c r="E838" i="1"/>
  <c r="F838" i="1" s="1"/>
  <c r="AG837" i="1"/>
  <c r="AF837" i="1"/>
  <c r="AC837" i="1"/>
  <c r="AB837" i="1"/>
  <c r="AA837" i="1"/>
  <c r="P837" i="1"/>
  <c r="O837" i="1"/>
  <c r="N837" i="1"/>
  <c r="M837" i="1"/>
  <c r="L837" i="1"/>
  <c r="H837" i="1"/>
  <c r="G837" i="1"/>
  <c r="E837" i="1"/>
  <c r="F837" i="1" s="1"/>
  <c r="AH836" i="1"/>
  <c r="AG836" i="1"/>
  <c r="AF836" i="1"/>
  <c r="AC836" i="1"/>
  <c r="AB836" i="1"/>
  <c r="AD836" i="1" s="1"/>
  <c r="AA836" i="1"/>
  <c r="O836" i="1"/>
  <c r="P836" i="1" s="1"/>
  <c r="N836" i="1"/>
  <c r="M836" i="1"/>
  <c r="L836" i="1"/>
  <c r="H836" i="1"/>
  <c r="G836" i="1"/>
  <c r="F836" i="1"/>
  <c r="E836" i="1"/>
  <c r="AF835" i="1"/>
  <c r="AG835" i="1" s="1"/>
  <c r="AC835" i="1"/>
  <c r="AH835" i="1" s="1"/>
  <c r="AB835" i="1"/>
  <c r="AA835" i="1"/>
  <c r="O835" i="1"/>
  <c r="P835" i="1" s="1"/>
  <c r="N835" i="1"/>
  <c r="M835" i="1"/>
  <c r="L835" i="1"/>
  <c r="H835" i="1"/>
  <c r="G835" i="1"/>
  <c r="E835" i="1"/>
  <c r="F835" i="1" s="1"/>
  <c r="AH834" i="1"/>
  <c r="AG834" i="1"/>
  <c r="AF834" i="1"/>
  <c r="AD834" i="1"/>
  <c r="AC834" i="1"/>
  <c r="AB834" i="1"/>
  <c r="AA834" i="1"/>
  <c r="O834" i="1"/>
  <c r="P834" i="1" s="1"/>
  <c r="N834" i="1"/>
  <c r="M834" i="1"/>
  <c r="L834" i="1"/>
  <c r="H834" i="1"/>
  <c r="G834" i="1"/>
  <c r="F834" i="1"/>
  <c r="E834" i="1"/>
  <c r="AF833" i="1"/>
  <c r="AG833" i="1" s="1"/>
  <c r="AC833" i="1"/>
  <c r="AH833" i="1" s="1"/>
  <c r="AB833" i="1"/>
  <c r="AA833" i="1"/>
  <c r="O833" i="1"/>
  <c r="P833" i="1" s="1"/>
  <c r="N833" i="1"/>
  <c r="M833" i="1"/>
  <c r="L833" i="1"/>
  <c r="H833" i="1"/>
  <c r="G833" i="1"/>
  <c r="E833" i="1"/>
  <c r="F833" i="1" s="1"/>
  <c r="AH832" i="1"/>
  <c r="AG832" i="1"/>
  <c r="AF832" i="1"/>
  <c r="AC832" i="1"/>
  <c r="AB832" i="1"/>
  <c r="AD832" i="1" s="1"/>
  <c r="AA832" i="1"/>
  <c r="O832" i="1"/>
  <c r="P832" i="1" s="1"/>
  <c r="N832" i="1"/>
  <c r="M832" i="1"/>
  <c r="L832" i="1"/>
  <c r="H832" i="1"/>
  <c r="G832" i="1"/>
  <c r="F832" i="1"/>
  <c r="E832" i="1"/>
  <c r="AH831" i="1"/>
  <c r="AF831" i="1"/>
  <c r="AG831" i="1" s="1"/>
  <c r="AC831" i="1"/>
  <c r="AB831" i="1"/>
  <c r="AD831" i="1" s="1"/>
  <c r="AA831" i="1"/>
  <c r="O831" i="1"/>
  <c r="P831" i="1" s="1"/>
  <c r="N831" i="1"/>
  <c r="M831" i="1"/>
  <c r="L831" i="1"/>
  <c r="H831" i="1"/>
  <c r="G831" i="1"/>
  <c r="F831" i="1"/>
  <c r="E831" i="1"/>
  <c r="AF830" i="1"/>
  <c r="AG830" i="1" s="1"/>
  <c r="AC830" i="1"/>
  <c r="AH830" i="1" s="1"/>
  <c r="AB830" i="1"/>
  <c r="AD830" i="1" s="1"/>
  <c r="AA830" i="1"/>
  <c r="O830" i="1"/>
  <c r="P830" i="1" s="1"/>
  <c r="N830" i="1"/>
  <c r="M830" i="1"/>
  <c r="L830" i="1"/>
  <c r="H830" i="1"/>
  <c r="G830" i="1"/>
  <c r="E830" i="1"/>
  <c r="F830" i="1" s="1"/>
  <c r="AH829" i="1"/>
  <c r="AG829" i="1"/>
  <c r="AF829" i="1"/>
  <c r="AC829" i="1"/>
  <c r="AB829" i="1"/>
  <c r="AA829" i="1"/>
  <c r="O829" i="1"/>
  <c r="P829" i="1" s="1"/>
  <c r="N829" i="1"/>
  <c r="M829" i="1"/>
  <c r="L829" i="1"/>
  <c r="H829" i="1"/>
  <c r="G829" i="1"/>
  <c r="E829" i="1"/>
  <c r="F829" i="1" s="1"/>
  <c r="AF828" i="1"/>
  <c r="AG828" i="1" s="1"/>
  <c r="AC828" i="1"/>
  <c r="AH828" i="1" s="1"/>
  <c r="AB828" i="1"/>
  <c r="AA828" i="1"/>
  <c r="P828" i="1"/>
  <c r="O828" i="1"/>
  <c r="N828" i="1"/>
  <c r="M828" i="1"/>
  <c r="L828" i="1"/>
  <c r="H828" i="1"/>
  <c r="G828" i="1"/>
  <c r="E828" i="1"/>
  <c r="F828" i="1" s="1"/>
  <c r="AF827" i="1"/>
  <c r="AG827" i="1" s="1"/>
  <c r="AC827" i="1"/>
  <c r="AH827" i="1" s="1"/>
  <c r="AB827" i="1"/>
  <c r="AD827" i="1" s="1"/>
  <c r="AA827" i="1"/>
  <c r="O827" i="1"/>
  <c r="P827" i="1" s="1"/>
  <c r="N827" i="1"/>
  <c r="M827" i="1"/>
  <c r="L827" i="1"/>
  <c r="H827" i="1"/>
  <c r="G827" i="1"/>
  <c r="F827" i="1"/>
  <c r="E827" i="1"/>
  <c r="AF826" i="1"/>
  <c r="AG826" i="1" s="1"/>
  <c r="AD826" i="1"/>
  <c r="AC826" i="1"/>
  <c r="AH826" i="1" s="1"/>
  <c r="AB826" i="1"/>
  <c r="AA826" i="1"/>
  <c r="O826" i="1"/>
  <c r="P826" i="1" s="1"/>
  <c r="N826" i="1"/>
  <c r="M826" i="1"/>
  <c r="L826" i="1"/>
  <c r="H826" i="1"/>
  <c r="G826" i="1"/>
  <c r="E826" i="1"/>
  <c r="F826" i="1" s="1"/>
  <c r="AH825" i="1"/>
  <c r="AF825" i="1"/>
  <c r="AG825" i="1" s="1"/>
  <c r="AC825" i="1"/>
  <c r="AB825" i="1"/>
  <c r="AD825" i="1" s="1"/>
  <c r="AA825" i="1"/>
  <c r="P825" i="1"/>
  <c r="O825" i="1"/>
  <c r="N825" i="1"/>
  <c r="M825" i="1"/>
  <c r="L825" i="1"/>
  <c r="H825" i="1"/>
  <c r="G825" i="1"/>
  <c r="F825" i="1"/>
  <c r="E825" i="1"/>
  <c r="AF824" i="1"/>
  <c r="AG824" i="1" s="1"/>
  <c r="AC824" i="1"/>
  <c r="AH824" i="1" s="1"/>
  <c r="AB824" i="1"/>
  <c r="AD824" i="1" s="1"/>
  <c r="AA824" i="1"/>
  <c r="P824" i="1"/>
  <c r="O824" i="1"/>
  <c r="N824" i="1"/>
  <c r="M824" i="1"/>
  <c r="L824" i="1"/>
  <c r="H824" i="1"/>
  <c r="G824" i="1"/>
  <c r="E824" i="1"/>
  <c r="F824" i="1" s="1"/>
  <c r="AH823" i="1"/>
  <c r="AF823" i="1"/>
  <c r="AG823" i="1" s="1"/>
  <c r="AD823" i="1"/>
  <c r="AC823" i="1"/>
  <c r="AB823" i="1"/>
  <c r="AA823" i="1"/>
  <c r="O823" i="1"/>
  <c r="P823" i="1" s="1"/>
  <c r="N823" i="1"/>
  <c r="M823" i="1"/>
  <c r="L823" i="1"/>
  <c r="H823" i="1"/>
  <c r="G823" i="1"/>
  <c r="F823" i="1"/>
  <c r="E823" i="1"/>
  <c r="AG822" i="1"/>
  <c r="AF822" i="1"/>
  <c r="AC822" i="1"/>
  <c r="AH822" i="1" s="1"/>
  <c r="AB822" i="1"/>
  <c r="AD822" i="1" s="1"/>
  <c r="AA822" i="1"/>
  <c r="P822" i="1"/>
  <c r="O822" i="1"/>
  <c r="N822" i="1"/>
  <c r="M822" i="1"/>
  <c r="L822" i="1"/>
  <c r="H822" i="1"/>
  <c r="G822" i="1"/>
  <c r="F822" i="1"/>
  <c r="E822" i="1"/>
  <c r="AF821" i="1"/>
  <c r="AG821" i="1" s="1"/>
  <c r="AC821" i="1"/>
  <c r="AH821" i="1" s="1"/>
  <c r="AB821" i="1"/>
  <c r="AD821" i="1" s="1"/>
  <c r="AA821" i="1"/>
  <c r="O821" i="1"/>
  <c r="P821" i="1" s="1"/>
  <c r="N821" i="1"/>
  <c r="M821" i="1"/>
  <c r="L821" i="1"/>
  <c r="H821" i="1"/>
  <c r="G821" i="1"/>
  <c r="E821" i="1"/>
  <c r="F821" i="1" s="1"/>
  <c r="AH820" i="1"/>
  <c r="AF820" i="1"/>
  <c r="AG820" i="1" s="1"/>
  <c r="AC820" i="1"/>
  <c r="AB820" i="1"/>
  <c r="AD820" i="1" s="1"/>
  <c r="AA820" i="1"/>
  <c r="O820" i="1"/>
  <c r="P820" i="1" s="1"/>
  <c r="N820" i="1"/>
  <c r="M820" i="1"/>
  <c r="L820" i="1"/>
  <c r="H820" i="1"/>
  <c r="G820" i="1"/>
  <c r="F820" i="1"/>
  <c r="E820" i="1"/>
  <c r="AF819" i="1"/>
  <c r="AG819" i="1" s="1"/>
  <c r="AC819" i="1"/>
  <c r="AH819" i="1" s="1"/>
  <c r="AB819" i="1"/>
  <c r="AA819" i="1"/>
  <c r="P819" i="1"/>
  <c r="O819" i="1"/>
  <c r="N819" i="1"/>
  <c r="M819" i="1"/>
  <c r="L819" i="1"/>
  <c r="H819" i="1"/>
  <c r="G819" i="1"/>
  <c r="E819" i="1"/>
  <c r="F819" i="1" s="1"/>
  <c r="AG818" i="1"/>
  <c r="AF818" i="1"/>
  <c r="AC818" i="1"/>
  <c r="AH818" i="1" s="1"/>
  <c r="AB818" i="1"/>
  <c r="AA818" i="1"/>
  <c r="O818" i="1"/>
  <c r="P818" i="1" s="1"/>
  <c r="N818" i="1"/>
  <c r="M818" i="1"/>
  <c r="L818" i="1"/>
  <c r="H818" i="1"/>
  <c r="G818" i="1"/>
  <c r="E818" i="1"/>
  <c r="F818" i="1" s="1"/>
  <c r="AH817" i="1"/>
  <c r="AG817" i="1"/>
  <c r="AF817" i="1"/>
  <c r="AD817" i="1"/>
  <c r="AC817" i="1"/>
  <c r="AB817" i="1"/>
  <c r="AA817" i="1"/>
  <c r="P817" i="1"/>
  <c r="O817" i="1"/>
  <c r="N817" i="1"/>
  <c r="M817" i="1"/>
  <c r="L817" i="1"/>
  <c r="H817" i="1"/>
  <c r="G817" i="1"/>
  <c r="F817" i="1"/>
  <c r="E817" i="1"/>
  <c r="AH816" i="1"/>
  <c r="AF816" i="1"/>
  <c r="AG816" i="1" s="1"/>
  <c r="AD816" i="1"/>
  <c r="AC816" i="1"/>
  <c r="AB816" i="1"/>
  <c r="AA816" i="1"/>
  <c r="O816" i="1"/>
  <c r="P816" i="1" s="1"/>
  <c r="N816" i="1"/>
  <c r="M816" i="1"/>
  <c r="L816" i="1"/>
  <c r="H816" i="1"/>
  <c r="G816" i="1"/>
  <c r="F816" i="1"/>
  <c r="E816" i="1"/>
  <c r="AH815" i="1"/>
  <c r="AG815" i="1"/>
  <c r="AF815" i="1"/>
  <c r="AC815" i="1"/>
  <c r="AB815" i="1"/>
  <c r="AD815" i="1" s="1"/>
  <c r="AA815" i="1"/>
  <c r="P815" i="1"/>
  <c r="O815" i="1"/>
  <c r="N815" i="1"/>
  <c r="M815" i="1"/>
  <c r="L815" i="1"/>
  <c r="H815" i="1"/>
  <c r="G815" i="1"/>
  <c r="E815" i="1"/>
  <c r="F815" i="1" s="1"/>
  <c r="AF814" i="1"/>
  <c r="AG814" i="1" s="1"/>
  <c r="AC814" i="1"/>
  <c r="AH814" i="1" s="1"/>
  <c r="AB814" i="1"/>
  <c r="AA814" i="1"/>
  <c r="P814" i="1"/>
  <c r="O814" i="1"/>
  <c r="N814" i="1"/>
  <c r="M814" i="1"/>
  <c r="L814" i="1"/>
  <c r="H814" i="1"/>
  <c r="G814" i="1"/>
  <c r="F814" i="1"/>
  <c r="E814" i="1"/>
  <c r="AF813" i="1"/>
  <c r="AG813" i="1" s="1"/>
  <c r="AC813" i="1"/>
  <c r="AH813" i="1" s="1"/>
  <c r="AB813" i="1"/>
  <c r="AD813" i="1" s="1"/>
  <c r="AA813" i="1"/>
  <c r="P813" i="1"/>
  <c r="O813" i="1"/>
  <c r="N813" i="1"/>
  <c r="M813" i="1"/>
  <c r="L813" i="1"/>
  <c r="H813" i="1"/>
  <c r="G813" i="1"/>
  <c r="F813" i="1"/>
  <c r="E813" i="1"/>
  <c r="AF812" i="1"/>
  <c r="AG812" i="1" s="1"/>
  <c r="AC812" i="1"/>
  <c r="AH812" i="1" s="1"/>
  <c r="AB812" i="1"/>
  <c r="AA812" i="1"/>
  <c r="O812" i="1"/>
  <c r="P812" i="1" s="1"/>
  <c r="N812" i="1"/>
  <c r="M812" i="1"/>
  <c r="L812" i="1"/>
  <c r="H812" i="1"/>
  <c r="G812" i="1"/>
  <c r="E812" i="1"/>
  <c r="F812" i="1" s="1"/>
  <c r="AH811" i="1"/>
  <c r="AG811" i="1"/>
  <c r="AF811" i="1"/>
  <c r="AC811" i="1"/>
  <c r="AB811" i="1"/>
  <c r="AD811" i="1" s="1"/>
  <c r="AA811" i="1"/>
  <c r="P811" i="1"/>
  <c r="O811" i="1"/>
  <c r="N811" i="1"/>
  <c r="M811" i="1"/>
  <c r="L811" i="1"/>
  <c r="H811" i="1"/>
  <c r="G811" i="1"/>
  <c r="F811" i="1"/>
  <c r="E811" i="1"/>
  <c r="AH810" i="1"/>
  <c r="AF810" i="1"/>
  <c r="AG810" i="1" s="1"/>
  <c r="AD810" i="1"/>
  <c r="AC810" i="1"/>
  <c r="AB810" i="1"/>
  <c r="AA810" i="1"/>
  <c r="O810" i="1"/>
  <c r="P810" i="1" s="1"/>
  <c r="N810" i="1"/>
  <c r="M810" i="1"/>
  <c r="L810" i="1"/>
  <c r="H810" i="1"/>
  <c r="G810" i="1"/>
  <c r="E810" i="1"/>
  <c r="F810" i="1" s="1"/>
  <c r="AH809" i="1"/>
  <c r="AG809" i="1"/>
  <c r="AF809" i="1"/>
  <c r="AC809" i="1"/>
  <c r="AB809" i="1"/>
  <c r="AD809" i="1" s="1"/>
  <c r="AA809" i="1"/>
  <c r="O809" i="1"/>
  <c r="P809" i="1" s="1"/>
  <c r="N809" i="1"/>
  <c r="M809" i="1"/>
  <c r="L809" i="1"/>
  <c r="H809" i="1"/>
  <c r="G809" i="1"/>
  <c r="E809" i="1"/>
  <c r="F809" i="1" s="1"/>
  <c r="AF808" i="1"/>
  <c r="AG808" i="1" s="1"/>
  <c r="AD808" i="1"/>
  <c r="AC808" i="1"/>
  <c r="AH808" i="1" s="1"/>
  <c r="AB808" i="1"/>
  <c r="AA808" i="1"/>
  <c r="O808" i="1"/>
  <c r="P808" i="1" s="1"/>
  <c r="N808" i="1"/>
  <c r="M808" i="1"/>
  <c r="L808" i="1"/>
  <c r="H808" i="1"/>
  <c r="G808" i="1"/>
  <c r="E808" i="1"/>
  <c r="F808" i="1" s="1"/>
  <c r="AG807" i="1"/>
  <c r="AF807" i="1"/>
  <c r="AC807" i="1"/>
  <c r="AH807" i="1" s="1"/>
  <c r="AB807" i="1"/>
  <c r="AD807" i="1" s="1"/>
  <c r="AA807" i="1"/>
  <c r="O807" i="1"/>
  <c r="P807" i="1" s="1"/>
  <c r="N807" i="1"/>
  <c r="M807" i="1"/>
  <c r="L807" i="1"/>
  <c r="H807" i="1"/>
  <c r="G807" i="1"/>
  <c r="E807" i="1"/>
  <c r="F807" i="1" s="1"/>
  <c r="AG806" i="1"/>
  <c r="AF806" i="1"/>
  <c r="AC806" i="1"/>
  <c r="AH806" i="1" s="1"/>
  <c r="AB806" i="1"/>
  <c r="AD806" i="1" s="1"/>
  <c r="AA806" i="1"/>
  <c r="O806" i="1"/>
  <c r="P806" i="1" s="1"/>
  <c r="N806" i="1"/>
  <c r="M806" i="1"/>
  <c r="L806" i="1"/>
  <c r="H806" i="1"/>
  <c r="G806" i="1"/>
  <c r="E806" i="1"/>
  <c r="F806" i="1" s="1"/>
  <c r="AH805" i="1"/>
  <c r="AG805" i="1"/>
  <c r="AF805" i="1"/>
  <c r="AC805" i="1"/>
  <c r="AB805" i="1"/>
  <c r="AD805" i="1" s="1"/>
  <c r="AA805" i="1"/>
  <c r="O805" i="1"/>
  <c r="P805" i="1" s="1"/>
  <c r="N805" i="1"/>
  <c r="M805" i="1"/>
  <c r="L805" i="1"/>
  <c r="H805" i="1"/>
  <c r="G805" i="1"/>
  <c r="F805" i="1"/>
  <c r="E805" i="1"/>
  <c r="AH804" i="1"/>
  <c r="AG804" i="1"/>
  <c r="AF804" i="1"/>
  <c r="AC804" i="1"/>
  <c r="AB804" i="1"/>
  <c r="AD804" i="1" s="1"/>
  <c r="AA804" i="1"/>
  <c r="O804" i="1"/>
  <c r="P804" i="1" s="1"/>
  <c r="N804" i="1"/>
  <c r="M804" i="1"/>
  <c r="L804" i="1"/>
  <c r="H804" i="1"/>
  <c r="G804" i="1"/>
  <c r="E804" i="1"/>
  <c r="F804" i="1" s="1"/>
  <c r="AH803" i="1"/>
  <c r="AF803" i="1"/>
  <c r="AG803" i="1" s="1"/>
  <c r="AD803" i="1"/>
  <c r="AC803" i="1"/>
  <c r="AB803" i="1"/>
  <c r="AA803" i="1"/>
  <c r="O803" i="1"/>
  <c r="P803" i="1" s="1"/>
  <c r="N803" i="1"/>
  <c r="M803" i="1"/>
  <c r="L803" i="1"/>
  <c r="H803" i="1"/>
  <c r="G803" i="1"/>
  <c r="E803" i="1"/>
  <c r="F803" i="1" s="1"/>
  <c r="AF802" i="1"/>
  <c r="AG802" i="1" s="1"/>
  <c r="AC802" i="1"/>
  <c r="AH802" i="1" s="1"/>
  <c r="AB802" i="1"/>
  <c r="AD802" i="1" s="1"/>
  <c r="AA802" i="1"/>
  <c r="P802" i="1"/>
  <c r="O802" i="1"/>
  <c r="N802" i="1"/>
  <c r="M802" i="1"/>
  <c r="L802" i="1"/>
  <c r="H802" i="1"/>
  <c r="G802" i="1"/>
  <c r="E802" i="1"/>
  <c r="F802" i="1" s="1"/>
  <c r="AH801" i="1"/>
  <c r="AF801" i="1"/>
  <c r="AG801" i="1" s="1"/>
  <c r="AD801" i="1"/>
  <c r="AC801" i="1"/>
  <c r="AB801" i="1"/>
  <c r="AA801" i="1"/>
  <c r="O801" i="1"/>
  <c r="P801" i="1" s="1"/>
  <c r="N801" i="1"/>
  <c r="M801" i="1"/>
  <c r="L801" i="1"/>
  <c r="H801" i="1"/>
  <c r="G801" i="1"/>
  <c r="E801" i="1"/>
  <c r="F801" i="1" s="1"/>
  <c r="AH800" i="1"/>
  <c r="AF800" i="1"/>
  <c r="AG800" i="1" s="1"/>
  <c r="AC800" i="1"/>
  <c r="AB800" i="1"/>
  <c r="AD800" i="1" s="1"/>
  <c r="AA800" i="1"/>
  <c r="O800" i="1"/>
  <c r="P800" i="1" s="1"/>
  <c r="N800" i="1"/>
  <c r="M800" i="1"/>
  <c r="L800" i="1"/>
  <c r="H800" i="1"/>
  <c r="G800" i="1"/>
  <c r="E800" i="1"/>
  <c r="F800" i="1" s="1"/>
  <c r="AF799" i="1"/>
  <c r="AG799" i="1" s="1"/>
  <c r="AC799" i="1"/>
  <c r="AH799" i="1" s="1"/>
  <c r="AB799" i="1"/>
  <c r="AA799" i="1"/>
  <c r="P799" i="1"/>
  <c r="O799" i="1"/>
  <c r="N799" i="1"/>
  <c r="M799" i="1"/>
  <c r="L799" i="1"/>
  <c r="H799" i="1"/>
  <c r="G799" i="1"/>
  <c r="E799" i="1"/>
  <c r="F799" i="1" s="1"/>
  <c r="AH798" i="1"/>
  <c r="AF798" i="1"/>
  <c r="AG798" i="1" s="1"/>
  <c r="AC798" i="1"/>
  <c r="AB798" i="1"/>
  <c r="AA798" i="1"/>
  <c r="O798" i="1"/>
  <c r="P798" i="1" s="1"/>
  <c r="N798" i="1"/>
  <c r="M798" i="1"/>
  <c r="L798" i="1"/>
  <c r="H798" i="1"/>
  <c r="G798" i="1"/>
  <c r="F798" i="1"/>
  <c r="E798" i="1"/>
  <c r="AH797" i="1"/>
  <c r="AG797" i="1"/>
  <c r="AF797" i="1"/>
  <c r="AD797" i="1"/>
  <c r="AC797" i="1"/>
  <c r="AB797" i="1"/>
  <c r="AA797" i="1"/>
  <c r="P797" i="1"/>
  <c r="O797" i="1"/>
  <c r="N797" i="1"/>
  <c r="M797" i="1"/>
  <c r="L797" i="1"/>
  <c r="H797" i="1"/>
  <c r="G797" i="1"/>
  <c r="F797" i="1"/>
  <c r="E797" i="1"/>
  <c r="AH796" i="1"/>
  <c r="AF796" i="1"/>
  <c r="AG796" i="1" s="1"/>
  <c r="AD796" i="1"/>
  <c r="AC796" i="1"/>
  <c r="AB796" i="1"/>
  <c r="AA796" i="1"/>
  <c r="O796" i="1"/>
  <c r="P796" i="1" s="1"/>
  <c r="N796" i="1"/>
  <c r="M796" i="1"/>
  <c r="L796" i="1"/>
  <c r="H796" i="1"/>
  <c r="G796" i="1"/>
  <c r="F796" i="1"/>
  <c r="E796" i="1"/>
  <c r="AG795" i="1"/>
  <c r="AF795" i="1"/>
  <c r="AC795" i="1"/>
  <c r="AH795" i="1" s="1"/>
  <c r="AB795" i="1"/>
  <c r="AA795" i="1"/>
  <c r="P795" i="1"/>
  <c r="O795" i="1"/>
  <c r="N795" i="1"/>
  <c r="M795" i="1"/>
  <c r="L795" i="1"/>
  <c r="H795" i="1"/>
  <c r="G795" i="1"/>
  <c r="E795" i="1"/>
  <c r="F795" i="1" s="1"/>
  <c r="AH794" i="1"/>
  <c r="AF794" i="1"/>
  <c r="AG794" i="1" s="1"/>
  <c r="AD794" i="1"/>
  <c r="AC794" i="1"/>
  <c r="AB794" i="1"/>
  <c r="AA794" i="1"/>
  <c r="O794" i="1"/>
  <c r="P794" i="1" s="1"/>
  <c r="N794" i="1"/>
  <c r="M794" i="1"/>
  <c r="L794" i="1"/>
  <c r="H794" i="1"/>
  <c r="G794" i="1"/>
  <c r="F794" i="1"/>
  <c r="E794" i="1"/>
  <c r="AF793" i="1"/>
  <c r="AG793" i="1" s="1"/>
  <c r="AC793" i="1"/>
  <c r="AH793" i="1" s="1"/>
  <c r="AB793" i="1"/>
  <c r="AA793" i="1"/>
  <c r="P793" i="1"/>
  <c r="O793" i="1"/>
  <c r="N793" i="1"/>
  <c r="M793" i="1"/>
  <c r="L793" i="1"/>
  <c r="H793" i="1"/>
  <c r="G793" i="1"/>
  <c r="F793" i="1"/>
  <c r="E793" i="1"/>
  <c r="AH792" i="1"/>
  <c r="AG792" i="1"/>
  <c r="AF792" i="1"/>
  <c r="AC792" i="1"/>
  <c r="AD792" i="1" s="1"/>
  <c r="AB792" i="1"/>
  <c r="AA792" i="1"/>
  <c r="P792" i="1"/>
  <c r="O792" i="1"/>
  <c r="N792" i="1"/>
  <c r="M792" i="1"/>
  <c r="L792" i="1"/>
  <c r="H792" i="1"/>
  <c r="G792" i="1"/>
  <c r="E792" i="1"/>
  <c r="F792" i="1" s="1"/>
  <c r="AH791" i="1"/>
  <c r="AF791" i="1"/>
  <c r="AG791" i="1" s="1"/>
  <c r="AD791" i="1"/>
  <c r="AC791" i="1"/>
  <c r="AB791" i="1"/>
  <c r="AA791" i="1"/>
  <c r="O791" i="1"/>
  <c r="P791" i="1" s="1"/>
  <c r="N791" i="1"/>
  <c r="M791" i="1"/>
  <c r="L791" i="1"/>
  <c r="H791" i="1"/>
  <c r="G791" i="1"/>
  <c r="E791" i="1"/>
  <c r="F791" i="1" s="1"/>
  <c r="AH790" i="1"/>
  <c r="AG790" i="1"/>
  <c r="AF790" i="1"/>
  <c r="AD790" i="1"/>
  <c r="AC790" i="1"/>
  <c r="AB790" i="1"/>
  <c r="AA790" i="1"/>
  <c r="P790" i="1"/>
  <c r="O790" i="1"/>
  <c r="N790" i="1"/>
  <c r="M790" i="1"/>
  <c r="L790" i="1"/>
  <c r="H790" i="1"/>
  <c r="G790" i="1"/>
  <c r="E790" i="1"/>
  <c r="F790" i="1" s="1"/>
  <c r="AH789" i="1"/>
  <c r="AF789" i="1"/>
  <c r="AG789" i="1" s="1"/>
  <c r="AD789" i="1"/>
  <c r="AC789" i="1"/>
  <c r="AB789" i="1"/>
  <c r="AA789" i="1"/>
  <c r="O789" i="1"/>
  <c r="P789" i="1" s="1"/>
  <c r="N789" i="1"/>
  <c r="M789" i="1"/>
  <c r="L789" i="1"/>
  <c r="H789" i="1"/>
  <c r="G789" i="1"/>
  <c r="F789" i="1"/>
  <c r="E789" i="1"/>
  <c r="AF788" i="1"/>
  <c r="AG788" i="1" s="1"/>
  <c r="AC788" i="1"/>
  <c r="AH788" i="1" s="1"/>
  <c r="AB788" i="1"/>
  <c r="AD788" i="1" s="1"/>
  <c r="AA788" i="1"/>
  <c r="P788" i="1"/>
  <c r="O788" i="1"/>
  <c r="N788" i="1"/>
  <c r="M788" i="1"/>
  <c r="L788" i="1"/>
  <c r="H788" i="1"/>
  <c r="G788" i="1"/>
  <c r="E788" i="1"/>
  <c r="F788" i="1" s="1"/>
  <c r="AH787" i="1"/>
  <c r="AF787" i="1"/>
  <c r="AG787" i="1" s="1"/>
  <c r="AC787" i="1"/>
  <c r="AB787" i="1"/>
  <c r="AD787" i="1" s="1"/>
  <c r="AA787" i="1"/>
  <c r="O787" i="1"/>
  <c r="P787" i="1" s="1"/>
  <c r="N787" i="1"/>
  <c r="M787" i="1"/>
  <c r="L787" i="1"/>
  <c r="H787" i="1"/>
  <c r="G787" i="1"/>
  <c r="F787" i="1"/>
  <c r="E787" i="1"/>
  <c r="AF786" i="1"/>
  <c r="AG786" i="1" s="1"/>
  <c r="AC786" i="1"/>
  <c r="AH786" i="1" s="1"/>
  <c r="AB786" i="1"/>
  <c r="AD786" i="1" s="1"/>
  <c r="AA786" i="1"/>
  <c r="P786" i="1"/>
  <c r="O786" i="1"/>
  <c r="N786" i="1"/>
  <c r="M786" i="1"/>
  <c r="L786" i="1"/>
  <c r="H786" i="1"/>
  <c r="G786" i="1"/>
  <c r="E786" i="1"/>
  <c r="F786" i="1" s="1"/>
  <c r="AF785" i="1"/>
  <c r="AG785" i="1" s="1"/>
  <c r="AC785" i="1"/>
  <c r="AH785" i="1" s="1"/>
  <c r="AB785" i="1"/>
  <c r="AD785" i="1" s="1"/>
  <c r="AA785" i="1"/>
  <c r="O785" i="1"/>
  <c r="P785" i="1" s="1"/>
  <c r="N785" i="1"/>
  <c r="M785" i="1"/>
  <c r="L785" i="1"/>
  <c r="H785" i="1"/>
  <c r="G785" i="1"/>
  <c r="F785" i="1"/>
  <c r="E785" i="1"/>
  <c r="AF784" i="1"/>
  <c r="AG784" i="1" s="1"/>
  <c r="AC784" i="1"/>
  <c r="AH784" i="1" s="1"/>
  <c r="AB784" i="1"/>
  <c r="AA784" i="1"/>
  <c r="O784" i="1"/>
  <c r="P784" i="1" s="1"/>
  <c r="N784" i="1"/>
  <c r="M784" i="1"/>
  <c r="L784" i="1"/>
  <c r="H784" i="1"/>
  <c r="G784" i="1"/>
  <c r="E784" i="1"/>
  <c r="F784" i="1" s="1"/>
  <c r="AG783" i="1"/>
  <c r="AF783" i="1"/>
  <c r="AC783" i="1"/>
  <c r="AB783" i="1"/>
  <c r="AA783" i="1"/>
  <c r="P783" i="1"/>
  <c r="O783" i="1"/>
  <c r="N783" i="1"/>
  <c r="M783" i="1"/>
  <c r="L783" i="1"/>
  <c r="H783" i="1"/>
  <c r="G783" i="1"/>
  <c r="F783" i="1"/>
  <c r="E783" i="1"/>
  <c r="AH782" i="1"/>
  <c r="AF782" i="1"/>
  <c r="AG782" i="1" s="1"/>
  <c r="AD782" i="1"/>
  <c r="AC782" i="1"/>
  <c r="AB782" i="1"/>
  <c r="AA782" i="1"/>
  <c r="O782" i="1"/>
  <c r="P782" i="1" s="1"/>
  <c r="N782" i="1"/>
  <c r="M782" i="1"/>
  <c r="L782" i="1"/>
  <c r="H782" i="1"/>
  <c r="G782" i="1"/>
  <c r="E782" i="1"/>
  <c r="F782" i="1" s="1"/>
  <c r="AH781" i="1"/>
  <c r="AG781" i="1"/>
  <c r="AF781" i="1"/>
  <c r="AC781" i="1"/>
  <c r="AB781" i="1"/>
  <c r="AD781" i="1" s="1"/>
  <c r="AA781" i="1"/>
  <c r="O781" i="1"/>
  <c r="P781" i="1" s="1"/>
  <c r="N781" i="1"/>
  <c r="M781" i="1"/>
  <c r="L781" i="1"/>
  <c r="H781" i="1"/>
  <c r="G781" i="1"/>
  <c r="F781" i="1"/>
  <c r="E781" i="1"/>
  <c r="AF780" i="1"/>
  <c r="AG780" i="1" s="1"/>
  <c r="AC780" i="1"/>
  <c r="AH780" i="1" s="1"/>
  <c r="AB780" i="1"/>
  <c r="AD780" i="1" s="1"/>
  <c r="AA780" i="1"/>
  <c r="P780" i="1"/>
  <c r="O780" i="1"/>
  <c r="N780" i="1"/>
  <c r="M780" i="1"/>
  <c r="L780" i="1"/>
  <c r="H780" i="1"/>
  <c r="G780" i="1"/>
  <c r="E780" i="1"/>
  <c r="F780" i="1" s="1"/>
  <c r="AG779" i="1"/>
  <c r="AF779" i="1"/>
  <c r="AC779" i="1"/>
  <c r="AH779" i="1" s="1"/>
  <c r="AB779" i="1"/>
  <c r="AD779" i="1" s="1"/>
  <c r="AA779" i="1"/>
  <c r="O779" i="1"/>
  <c r="P779" i="1" s="1"/>
  <c r="N779" i="1"/>
  <c r="M779" i="1"/>
  <c r="L779" i="1"/>
  <c r="H779" i="1"/>
  <c r="G779" i="1"/>
  <c r="E779" i="1"/>
  <c r="F779" i="1" s="1"/>
  <c r="AH778" i="1"/>
  <c r="AG778" i="1"/>
  <c r="AF778" i="1"/>
  <c r="AC778" i="1"/>
  <c r="AB778" i="1"/>
  <c r="AD778" i="1" s="1"/>
  <c r="AA778" i="1"/>
  <c r="O778" i="1"/>
  <c r="P778" i="1" s="1"/>
  <c r="N778" i="1"/>
  <c r="M778" i="1"/>
  <c r="L778" i="1"/>
  <c r="H778" i="1"/>
  <c r="G778" i="1"/>
  <c r="F778" i="1"/>
  <c r="E778" i="1"/>
  <c r="AH777" i="1"/>
  <c r="AF777" i="1"/>
  <c r="AG777" i="1" s="1"/>
  <c r="AD777" i="1"/>
  <c r="AC777" i="1"/>
  <c r="AB777" i="1"/>
  <c r="AA777" i="1"/>
  <c r="O777" i="1"/>
  <c r="P777" i="1" s="1"/>
  <c r="N777" i="1"/>
  <c r="M777" i="1"/>
  <c r="L777" i="1"/>
  <c r="H777" i="1"/>
  <c r="G777" i="1"/>
  <c r="F777" i="1"/>
  <c r="E777" i="1"/>
  <c r="AH776" i="1"/>
  <c r="AF776" i="1"/>
  <c r="AG776" i="1" s="1"/>
  <c r="AC776" i="1"/>
  <c r="AB776" i="1"/>
  <c r="AD776" i="1" s="1"/>
  <c r="AA776" i="1"/>
  <c r="P776" i="1"/>
  <c r="O776" i="1"/>
  <c r="N776" i="1"/>
  <c r="M776" i="1"/>
  <c r="L776" i="1"/>
  <c r="H776" i="1"/>
  <c r="G776" i="1"/>
  <c r="F776" i="1"/>
  <c r="E776" i="1"/>
  <c r="AH775" i="1"/>
  <c r="AG775" i="1"/>
  <c r="AF775" i="1"/>
  <c r="AC775" i="1"/>
  <c r="AB775" i="1"/>
  <c r="AA775" i="1"/>
  <c r="O775" i="1"/>
  <c r="P775" i="1" s="1"/>
  <c r="N775" i="1"/>
  <c r="M775" i="1"/>
  <c r="L775" i="1"/>
  <c r="H775" i="1"/>
  <c r="G775" i="1"/>
  <c r="E775" i="1"/>
  <c r="F775" i="1" s="1"/>
  <c r="AH774" i="1"/>
  <c r="AG774" i="1"/>
  <c r="AF774" i="1"/>
  <c r="AC774" i="1"/>
  <c r="AD774" i="1" s="1"/>
  <c r="AB774" i="1"/>
  <c r="AA774" i="1"/>
  <c r="O774" i="1"/>
  <c r="P774" i="1" s="1"/>
  <c r="N774" i="1"/>
  <c r="M774" i="1"/>
  <c r="L774" i="1"/>
  <c r="H774" i="1"/>
  <c r="G774" i="1"/>
  <c r="F774" i="1"/>
  <c r="E774" i="1"/>
  <c r="AF773" i="1"/>
  <c r="AG773" i="1" s="1"/>
  <c r="AC773" i="1"/>
  <c r="AH773" i="1" s="1"/>
  <c r="AB773" i="1"/>
  <c r="AD773" i="1" s="1"/>
  <c r="AA773" i="1"/>
  <c r="O773" i="1"/>
  <c r="P773" i="1" s="1"/>
  <c r="N773" i="1"/>
  <c r="M773" i="1"/>
  <c r="L773" i="1"/>
  <c r="H773" i="1"/>
  <c r="G773" i="1"/>
  <c r="E773" i="1"/>
  <c r="F773" i="1" s="1"/>
  <c r="AG772" i="1"/>
  <c r="AF772" i="1"/>
  <c r="AC772" i="1"/>
  <c r="AH772" i="1" s="1"/>
  <c r="AB772" i="1"/>
  <c r="AA772" i="1"/>
  <c r="O772" i="1"/>
  <c r="P772" i="1" s="1"/>
  <c r="N772" i="1"/>
  <c r="M772" i="1"/>
  <c r="L772" i="1"/>
  <c r="H772" i="1"/>
  <c r="G772" i="1"/>
  <c r="E772" i="1"/>
  <c r="F772" i="1" s="1"/>
  <c r="AH771" i="1"/>
  <c r="AG771" i="1"/>
  <c r="AF771" i="1"/>
  <c r="AC771" i="1"/>
  <c r="AB771" i="1"/>
  <c r="AD771" i="1" s="1"/>
  <c r="AA771" i="1"/>
  <c r="P771" i="1"/>
  <c r="O771" i="1"/>
  <c r="N771" i="1"/>
  <c r="M771" i="1"/>
  <c r="L771" i="1"/>
  <c r="H771" i="1"/>
  <c r="G771" i="1"/>
  <c r="E771" i="1"/>
  <c r="F771" i="1" s="1"/>
  <c r="AH770" i="1"/>
  <c r="AF770" i="1"/>
  <c r="AG770" i="1" s="1"/>
  <c r="AD770" i="1"/>
  <c r="AC770" i="1"/>
  <c r="AB770" i="1"/>
  <c r="AA770" i="1"/>
  <c r="O770" i="1"/>
  <c r="P770" i="1" s="1"/>
  <c r="N770" i="1"/>
  <c r="M770" i="1"/>
  <c r="L770" i="1"/>
  <c r="H770" i="1"/>
  <c r="G770" i="1"/>
  <c r="E770" i="1"/>
  <c r="F770" i="1" s="1"/>
  <c r="AH769" i="1"/>
  <c r="AF769" i="1"/>
  <c r="AG769" i="1" s="1"/>
  <c r="AD769" i="1"/>
  <c r="AC769" i="1"/>
  <c r="AB769" i="1"/>
  <c r="AA769" i="1"/>
  <c r="O769" i="1"/>
  <c r="P769" i="1" s="1"/>
  <c r="N769" i="1"/>
  <c r="M769" i="1"/>
  <c r="L769" i="1"/>
  <c r="H769" i="1"/>
  <c r="G769" i="1"/>
  <c r="F769" i="1"/>
  <c r="E769" i="1"/>
  <c r="AF768" i="1"/>
  <c r="AG768" i="1" s="1"/>
  <c r="AC768" i="1"/>
  <c r="AH768" i="1" s="1"/>
  <c r="AB768" i="1"/>
  <c r="AD768" i="1" s="1"/>
  <c r="AA768" i="1"/>
  <c r="O768" i="1"/>
  <c r="P768" i="1" s="1"/>
  <c r="N768" i="1"/>
  <c r="M768" i="1"/>
  <c r="L768" i="1"/>
  <c r="H768" i="1"/>
  <c r="G768" i="1"/>
  <c r="E768" i="1"/>
  <c r="F768" i="1" s="1"/>
  <c r="AF767" i="1"/>
  <c r="AG767" i="1" s="1"/>
  <c r="AC767" i="1"/>
  <c r="AH767" i="1" s="1"/>
  <c r="AB767" i="1"/>
  <c r="AA767" i="1"/>
  <c r="P767" i="1"/>
  <c r="O767" i="1"/>
  <c r="N767" i="1"/>
  <c r="M767" i="1"/>
  <c r="L767" i="1"/>
  <c r="H767" i="1"/>
  <c r="G767" i="1"/>
  <c r="E767" i="1"/>
  <c r="F767" i="1" s="1"/>
  <c r="AG766" i="1"/>
  <c r="AF766" i="1"/>
  <c r="AC766" i="1"/>
  <c r="AH766" i="1" s="1"/>
  <c r="AB766" i="1"/>
  <c r="AD766" i="1" s="1"/>
  <c r="AA766" i="1"/>
  <c r="O766" i="1"/>
  <c r="P766" i="1" s="1"/>
  <c r="N766" i="1"/>
  <c r="M766" i="1"/>
  <c r="L766" i="1"/>
  <c r="H766" i="1"/>
  <c r="G766" i="1"/>
  <c r="E766" i="1"/>
  <c r="F766" i="1" s="1"/>
  <c r="AH765" i="1"/>
  <c r="AF765" i="1"/>
  <c r="AG765" i="1" s="1"/>
  <c r="AD765" i="1"/>
  <c r="AC765" i="1"/>
  <c r="AB765" i="1"/>
  <c r="AA765" i="1"/>
  <c r="P765" i="1"/>
  <c r="O765" i="1"/>
  <c r="N765" i="1"/>
  <c r="M765" i="1"/>
  <c r="L765" i="1"/>
  <c r="H765" i="1"/>
  <c r="G765" i="1"/>
  <c r="F765" i="1"/>
  <c r="E765" i="1"/>
  <c r="AG764" i="1"/>
  <c r="AF764" i="1"/>
  <c r="AD764" i="1"/>
  <c r="AC764" i="1"/>
  <c r="AH764" i="1" s="1"/>
  <c r="AB764" i="1"/>
  <c r="AA764" i="1"/>
  <c r="O764" i="1"/>
  <c r="P764" i="1" s="1"/>
  <c r="N764" i="1"/>
  <c r="M764" i="1"/>
  <c r="L764" i="1"/>
  <c r="H764" i="1"/>
  <c r="G764" i="1"/>
  <c r="F764" i="1"/>
  <c r="E764" i="1"/>
  <c r="AG763" i="1"/>
  <c r="AF763" i="1"/>
  <c r="AD763" i="1"/>
  <c r="AC763" i="1"/>
  <c r="AH763" i="1" s="1"/>
  <c r="AB763" i="1"/>
  <c r="AA763" i="1"/>
  <c r="P763" i="1"/>
  <c r="O763" i="1"/>
  <c r="N763" i="1"/>
  <c r="M763" i="1"/>
  <c r="L763" i="1"/>
  <c r="H763" i="1"/>
  <c r="G763" i="1"/>
  <c r="E763" i="1"/>
  <c r="F763" i="1" s="1"/>
  <c r="AH762" i="1"/>
  <c r="AG762" i="1"/>
  <c r="AF762" i="1"/>
  <c r="AD762" i="1"/>
  <c r="AC762" i="1"/>
  <c r="AB762" i="1"/>
  <c r="AA762" i="1"/>
  <c r="P762" i="1"/>
  <c r="O762" i="1"/>
  <c r="N762" i="1"/>
  <c r="M762" i="1"/>
  <c r="L762" i="1"/>
  <c r="H762" i="1"/>
  <c r="G762" i="1"/>
  <c r="F762" i="1"/>
  <c r="E762" i="1"/>
  <c r="AH761" i="1"/>
  <c r="AF761" i="1"/>
  <c r="AG761" i="1" s="1"/>
  <c r="AC761" i="1"/>
  <c r="AB761" i="1"/>
  <c r="AD761" i="1" s="1"/>
  <c r="AA761" i="1"/>
  <c r="P761" i="1"/>
  <c r="O761" i="1"/>
  <c r="N761" i="1"/>
  <c r="M761" i="1"/>
  <c r="L761" i="1"/>
  <c r="H761" i="1"/>
  <c r="G761" i="1"/>
  <c r="F761" i="1"/>
  <c r="E761" i="1"/>
  <c r="AF760" i="1"/>
  <c r="AG760" i="1" s="1"/>
  <c r="AC760" i="1"/>
  <c r="AH760" i="1" s="1"/>
  <c r="AB760" i="1"/>
  <c r="AD760" i="1" s="1"/>
  <c r="AA760" i="1"/>
  <c r="O760" i="1"/>
  <c r="P760" i="1" s="1"/>
  <c r="N760" i="1"/>
  <c r="M760" i="1"/>
  <c r="L760" i="1"/>
  <c r="H760" i="1"/>
  <c r="G760" i="1"/>
  <c r="F760" i="1"/>
  <c r="E760" i="1"/>
  <c r="AH759" i="1"/>
  <c r="AG759" i="1"/>
  <c r="AF759" i="1"/>
  <c r="AC759" i="1"/>
  <c r="AB759" i="1"/>
  <c r="AD759" i="1" s="1"/>
  <c r="AA759" i="1"/>
  <c r="O759" i="1"/>
  <c r="P759" i="1" s="1"/>
  <c r="N759" i="1"/>
  <c r="M759" i="1"/>
  <c r="L759" i="1"/>
  <c r="H759" i="1"/>
  <c r="G759" i="1"/>
  <c r="E759" i="1"/>
  <c r="F759" i="1" s="1"/>
  <c r="AH758" i="1"/>
  <c r="AG758" i="1"/>
  <c r="AF758" i="1"/>
  <c r="AD758" i="1"/>
  <c r="AC758" i="1"/>
  <c r="AB758" i="1"/>
  <c r="AA758" i="1"/>
  <c r="O758" i="1"/>
  <c r="P758" i="1" s="1"/>
  <c r="N758" i="1"/>
  <c r="M758" i="1"/>
  <c r="L758" i="1"/>
  <c r="H758" i="1"/>
  <c r="G758" i="1"/>
  <c r="F758" i="1"/>
  <c r="E758" i="1"/>
  <c r="AH757" i="1"/>
  <c r="AF757" i="1"/>
  <c r="AG757" i="1" s="1"/>
  <c r="AD757" i="1"/>
  <c r="AC757" i="1"/>
  <c r="AB757" i="1"/>
  <c r="AA757" i="1"/>
  <c r="O757" i="1"/>
  <c r="P757" i="1" s="1"/>
  <c r="N757" i="1"/>
  <c r="M757" i="1"/>
  <c r="L757" i="1"/>
  <c r="H757" i="1"/>
  <c r="G757" i="1"/>
  <c r="F757" i="1"/>
  <c r="E757" i="1"/>
  <c r="AH756" i="1"/>
  <c r="AG756" i="1"/>
  <c r="AF756" i="1"/>
  <c r="AC756" i="1"/>
  <c r="AB756" i="1"/>
  <c r="AD756" i="1" s="1"/>
  <c r="AA756" i="1"/>
  <c r="P756" i="1"/>
  <c r="O756" i="1"/>
  <c r="N756" i="1"/>
  <c r="M756" i="1"/>
  <c r="L756" i="1"/>
  <c r="H756" i="1"/>
  <c r="G756" i="1"/>
  <c r="E756" i="1"/>
  <c r="F756" i="1" s="1"/>
  <c r="AF755" i="1"/>
  <c r="AG755" i="1" s="1"/>
  <c r="AC755" i="1"/>
  <c r="AH755" i="1" s="1"/>
  <c r="AB755" i="1"/>
  <c r="AA755" i="1"/>
  <c r="O755" i="1"/>
  <c r="P755" i="1" s="1"/>
  <c r="N755" i="1"/>
  <c r="M755" i="1"/>
  <c r="L755" i="1"/>
  <c r="H755" i="1"/>
  <c r="G755" i="1"/>
  <c r="E755" i="1"/>
  <c r="F755" i="1" s="1"/>
  <c r="AH754" i="1"/>
  <c r="AG754" i="1"/>
  <c r="AF754" i="1"/>
  <c r="AC754" i="1"/>
  <c r="AB754" i="1"/>
  <c r="AD754" i="1" s="1"/>
  <c r="AA754" i="1"/>
  <c r="O754" i="1"/>
  <c r="P754" i="1" s="1"/>
  <c r="N754" i="1"/>
  <c r="M754" i="1"/>
  <c r="L754" i="1"/>
  <c r="H754" i="1"/>
  <c r="G754" i="1"/>
  <c r="F754" i="1"/>
  <c r="E754" i="1"/>
  <c r="AF753" i="1"/>
  <c r="AG753" i="1" s="1"/>
  <c r="AD753" i="1"/>
  <c r="AC753" i="1"/>
  <c r="AH753" i="1" s="1"/>
  <c r="AB753" i="1"/>
  <c r="AA753" i="1"/>
  <c r="O753" i="1"/>
  <c r="P753" i="1" s="1"/>
  <c r="N753" i="1"/>
  <c r="M753" i="1"/>
  <c r="L753" i="1"/>
  <c r="H753" i="1"/>
  <c r="G753" i="1"/>
  <c r="F753" i="1"/>
  <c r="E753" i="1"/>
  <c r="AH752" i="1"/>
  <c r="AG752" i="1"/>
  <c r="AF752" i="1"/>
  <c r="AC752" i="1"/>
  <c r="AB752" i="1"/>
  <c r="AD752" i="1" s="1"/>
  <c r="AA752" i="1"/>
  <c r="O752" i="1"/>
  <c r="P752" i="1" s="1"/>
  <c r="N752" i="1"/>
  <c r="M752" i="1"/>
  <c r="L752" i="1"/>
  <c r="H752" i="1"/>
  <c r="G752" i="1"/>
  <c r="F752" i="1"/>
  <c r="E752" i="1"/>
  <c r="AH751" i="1"/>
  <c r="AF751" i="1"/>
  <c r="AG751" i="1" s="1"/>
  <c r="AD751" i="1"/>
  <c r="AC751" i="1"/>
  <c r="AB751" i="1"/>
  <c r="AA751" i="1"/>
  <c r="O751" i="1"/>
  <c r="P751" i="1" s="1"/>
  <c r="N751" i="1"/>
  <c r="M751" i="1"/>
  <c r="L751" i="1"/>
  <c r="H751" i="1"/>
  <c r="G751" i="1"/>
  <c r="F751" i="1"/>
  <c r="E751" i="1"/>
  <c r="AF750" i="1"/>
  <c r="AG750" i="1" s="1"/>
  <c r="AC750" i="1"/>
  <c r="AH750" i="1" s="1"/>
  <c r="AB750" i="1"/>
  <c r="AD750" i="1" s="1"/>
  <c r="AA750" i="1"/>
  <c r="P750" i="1"/>
  <c r="O750" i="1"/>
  <c r="N750" i="1"/>
  <c r="M750" i="1"/>
  <c r="L750" i="1"/>
  <c r="H750" i="1"/>
  <c r="G750" i="1"/>
  <c r="F750" i="1"/>
  <c r="E750" i="1"/>
  <c r="AH749" i="1"/>
  <c r="AG749" i="1"/>
  <c r="AF749" i="1"/>
  <c r="AC749" i="1"/>
  <c r="AD749" i="1" s="1"/>
  <c r="AB749" i="1"/>
  <c r="AA749" i="1"/>
  <c r="P749" i="1"/>
  <c r="O749" i="1"/>
  <c r="N749" i="1"/>
  <c r="M749" i="1"/>
  <c r="L749" i="1"/>
  <c r="H749" i="1"/>
  <c r="G749" i="1"/>
  <c r="F749" i="1"/>
  <c r="E749" i="1"/>
  <c r="AH748" i="1"/>
  <c r="AG748" i="1"/>
  <c r="AF748" i="1"/>
  <c r="AD748" i="1"/>
  <c r="AC748" i="1"/>
  <c r="AB748" i="1"/>
  <c r="AA748" i="1"/>
  <c r="O748" i="1"/>
  <c r="P748" i="1" s="1"/>
  <c r="N748" i="1"/>
  <c r="M748" i="1"/>
  <c r="L748" i="1"/>
  <c r="H748" i="1"/>
  <c r="G748" i="1"/>
  <c r="F748" i="1"/>
  <c r="E748" i="1"/>
  <c r="AG747" i="1"/>
  <c r="AF747" i="1"/>
  <c r="AC747" i="1"/>
  <c r="AH747" i="1" s="1"/>
  <c r="AB747" i="1"/>
  <c r="AD747" i="1" s="1"/>
  <c r="AA747" i="1"/>
  <c r="P747" i="1"/>
  <c r="O747" i="1"/>
  <c r="N747" i="1"/>
  <c r="M747" i="1"/>
  <c r="L747" i="1"/>
  <c r="H747" i="1"/>
  <c r="G747" i="1"/>
  <c r="F747" i="1"/>
  <c r="E747" i="1"/>
  <c r="AH746" i="1"/>
  <c r="AF746" i="1"/>
  <c r="AG746" i="1" s="1"/>
  <c r="AD746" i="1"/>
  <c r="AC746" i="1"/>
  <c r="AB746" i="1"/>
  <c r="AA746" i="1"/>
  <c r="O746" i="1"/>
  <c r="P746" i="1" s="1"/>
  <c r="N746" i="1"/>
  <c r="M746" i="1"/>
  <c r="L746" i="1"/>
  <c r="H746" i="1"/>
  <c r="G746" i="1"/>
  <c r="E746" i="1"/>
  <c r="F746" i="1" s="1"/>
  <c r="AH745" i="1"/>
  <c r="AG745" i="1"/>
  <c r="AF745" i="1"/>
  <c r="AC745" i="1"/>
  <c r="AB745" i="1"/>
  <c r="AD745" i="1" s="1"/>
  <c r="AA745" i="1"/>
  <c r="P745" i="1"/>
  <c r="O745" i="1"/>
  <c r="N745" i="1"/>
  <c r="M745" i="1"/>
  <c r="L745" i="1"/>
  <c r="H745" i="1"/>
  <c r="G745" i="1"/>
  <c r="E745" i="1"/>
  <c r="F745" i="1" s="1"/>
  <c r="AH744" i="1"/>
  <c r="AF744" i="1"/>
  <c r="AG744" i="1" s="1"/>
  <c r="AD744" i="1"/>
  <c r="AC744" i="1"/>
  <c r="AB744" i="1"/>
  <c r="AA744" i="1"/>
  <c r="P744" i="1"/>
  <c r="O744" i="1"/>
  <c r="N744" i="1"/>
  <c r="M744" i="1"/>
  <c r="L744" i="1"/>
  <c r="H744" i="1"/>
  <c r="G744" i="1"/>
  <c r="F744" i="1"/>
  <c r="E744" i="1"/>
  <c r="AF743" i="1"/>
  <c r="AG743" i="1" s="1"/>
  <c r="AD743" i="1"/>
  <c r="AC743" i="1"/>
  <c r="AH743" i="1" s="1"/>
  <c r="AB743" i="1"/>
  <c r="AA743" i="1"/>
  <c r="O743" i="1"/>
  <c r="P743" i="1" s="1"/>
  <c r="N743" i="1"/>
  <c r="M743" i="1"/>
  <c r="L743" i="1"/>
  <c r="H743" i="1"/>
  <c r="G743" i="1"/>
  <c r="E743" i="1"/>
  <c r="F743" i="1" s="1"/>
  <c r="AH742" i="1"/>
  <c r="AF742" i="1"/>
  <c r="AG742" i="1" s="1"/>
  <c r="AD742" i="1"/>
  <c r="AC742" i="1"/>
  <c r="AB742" i="1"/>
  <c r="AA742" i="1"/>
  <c r="P742" i="1"/>
  <c r="O742" i="1"/>
  <c r="N742" i="1"/>
  <c r="M742" i="1"/>
  <c r="L742" i="1"/>
  <c r="H742" i="1"/>
  <c r="G742" i="1"/>
  <c r="E742" i="1"/>
  <c r="F742" i="1" s="1"/>
  <c r="AF741" i="1"/>
  <c r="AG741" i="1" s="1"/>
  <c r="AC741" i="1"/>
  <c r="AH741" i="1" s="1"/>
  <c r="AB741" i="1"/>
  <c r="AA741" i="1"/>
  <c r="O741" i="1"/>
  <c r="P741" i="1" s="1"/>
  <c r="N741" i="1"/>
  <c r="M741" i="1"/>
  <c r="L741" i="1"/>
  <c r="H741" i="1"/>
  <c r="G741" i="1"/>
  <c r="E741" i="1"/>
  <c r="F741" i="1" s="1"/>
  <c r="AF740" i="1"/>
  <c r="AG740" i="1" s="1"/>
  <c r="AC740" i="1"/>
  <c r="AH740" i="1" s="1"/>
  <c r="AB740" i="1"/>
  <c r="AA740" i="1"/>
  <c r="O740" i="1"/>
  <c r="P740" i="1" s="1"/>
  <c r="N740" i="1"/>
  <c r="M740" i="1"/>
  <c r="L740" i="1"/>
  <c r="H740" i="1"/>
  <c r="G740" i="1"/>
  <c r="F740" i="1"/>
  <c r="E740" i="1"/>
  <c r="AG739" i="1"/>
  <c r="AF739" i="1"/>
  <c r="AC739" i="1"/>
  <c r="AH739" i="1" s="1"/>
  <c r="AB739" i="1"/>
  <c r="AD739" i="1" s="1"/>
  <c r="AA739" i="1"/>
  <c r="O739" i="1"/>
  <c r="P739" i="1" s="1"/>
  <c r="N739" i="1"/>
  <c r="M739" i="1"/>
  <c r="L739" i="1"/>
  <c r="H739" i="1"/>
  <c r="G739" i="1"/>
  <c r="F739" i="1"/>
  <c r="E739" i="1"/>
  <c r="AH738" i="1"/>
  <c r="AG738" i="1"/>
  <c r="AF738" i="1"/>
  <c r="AC738" i="1"/>
  <c r="AD738" i="1" s="1"/>
  <c r="AB738" i="1"/>
  <c r="AA738" i="1"/>
  <c r="O738" i="1"/>
  <c r="P738" i="1" s="1"/>
  <c r="N738" i="1"/>
  <c r="M738" i="1"/>
  <c r="L738" i="1"/>
  <c r="H738" i="1"/>
  <c r="G738" i="1"/>
  <c r="E738" i="1"/>
  <c r="F738" i="1" s="1"/>
  <c r="AH737" i="1"/>
  <c r="AG737" i="1"/>
  <c r="AF737" i="1"/>
  <c r="AD737" i="1"/>
  <c r="AC737" i="1"/>
  <c r="AB737" i="1"/>
  <c r="AA737" i="1"/>
  <c r="O737" i="1"/>
  <c r="P737" i="1" s="1"/>
  <c r="N737" i="1"/>
  <c r="M737" i="1"/>
  <c r="L737" i="1"/>
  <c r="H737" i="1"/>
  <c r="G737" i="1"/>
  <c r="F737" i="1"/>
  <c r="E737" i="1"/>
  <c r="AH736" i="1"/>
  <c r="AF736" i="1"/>
  <c r="AG736" i="1" s="1"/>
  <c r="AD736" i="1"/>
  <c r="AC736" i="1"/>
  <c r="AB736" i="1"/>
  <c r="AA736" i="1"/>
  <c r="P736" i="1"/>
  <c r="O736" i="1"/>
  <c r="N736" i="1"/>
  <c r="M736" i="1"/>
  <c r="L736" i="1"/>
  <c r="H736" i="1"/>
  <c r="G736" i="1"/>
  <c r="E736" i="1"/>
  <c r="F736" i="1" s="1"/>
  <c r="AH735" i="1"/>
  <c r="AF735" i="1"/>
  <c r="AG735" i="1" s="1"/>
  <c r="AC735" i="1"/>
  <c r="AB735" i="1"/>
  <c r="AD735" i="1" s="1"/>
  <c r="AA735" i="1"/>
  <c r="P735" i="1"/>
  <c r="O735" i="1"/>
  <c r="N735" i="1"/>
  <c r="M735" i="1"/>
  <c r="L735" i="1"/>
  <c r="H735" i="1"/>
  <c r="G735" i="1"/>
  <c r="F735" i="1"/>
  <c r="E735" i="1"/>
  <c r="AF734" i="1"/>
  <c r="AG734" i="1" s="1"/>
  <c r="AC734" i="1"/>
  <c r="AH734" i="1" s="1"/>
  <c r="AB734" i="1"/>
  <c r="AA734" i="1"/>
  <c r="P734" i="1"/>
  <c r="O734" i="1"/>
  <c r="N734" i="1"/>
  <c r="M734" i="1"/>
  <c r="L734" i="1"/>
  <c r="H734" i="1"/>
  <c r="G734" i="1"/>
  <c r="F734" i="1"/>
  <c r="E734" i="1"/>
  <c r="AF733" i="1"/>
  <c r="AG733" i="1" s="1"/>
  <c r="AC733" i="1"/>
  <c r="AH733" i="1" s="1"/>
  <c r="AB733" i="1"/>
  <c r="AA733" i="1"/>
  <c r="P733" i="1"/>
  <c r="O733" i="1"/>
  <c r="N733" i="1"/>
  <c r="M733" i="1"/>
  <c r="L733" i="1"/>
  <c r="H733" i="1"/>
  <c r="G733" i="1"/>
  <c r="F733" i="1"/>
  <c r="E733" i="1"/>
  <c r="AF732" i="1"/>
  <c r="AG732" i="1" s="1"/>
  <c r="AC732" i="1"/>
  <c r="AH732" i="1" s="1"/>
  <c r="AB732" i="1"/>
  <c r="AA732" i="1"/>
  <c r="O732" i="1"/>
  <c r="P732" i="1" s="1"/>
  <c r="N732" i="1"/>
  <c r="M732" i="1"/>
  <c r="L732" i="1"/>
  <c r="H732" i="1"/>
  <c r="G732" i="1"/>
  <c r="E732" i="1"/>
  <c r="F732" i="1" s="1"/>
  <c r="AH731" i="1"/>
  <c r="AG731" i="1"/>
  <c r="AF731" i="1"/>
  <c r="AC731" i="1"/>
  <c r="AD731" i="1" s="1"/>
  <c r="AB731" i="1"/>
  <c r="AA731" i="1"/>
  <c r="P731" i="1"/>
  <c r="O731" i="1"/>
  <c r="N731" i="1"/>
  <c r="M731" i="1"/>
  <c r="L731" i="1"/>
  <c r="H731" i="1"/>
  <c r="G731" i="1"/>
  <c r="E731" i="1"/>
  <c r="F731" i="1" s="1"/>
  <c r="AH730" i="1"/>
  <c r="AF730" i="1"/>
  <c r="AG730" i="1" s="1"/>
  <c r="AD730" i="1"/>
  <c r="AC730" i="1"/>
  <c r="AB730" i="1"/>
  <c r="AA730" i="1"/>
  <c r="O730" i="1"/>
  <c r="P730" i="1" s="1"/>
  <c r="N730" i="1"/>
  <c r="M730" i="1"/>
  <c r="L730" i="1"/>
  <c r="H730" i="1"/>
  <c r="G730" i="1"/>
  <c r="E730" i="1"/>
  <c r="F730" i="1" s="1"/>
  <c r="AF729" i="1"/>
  <c r="AG729" i="1" s="1"/>
  <c r="AD729" i="1"/>
  <c r="AC729" i="1"/>
  <c r="AH729" i="1" s="1"/>
  <c r="AB729" i="1"/>
  <c r="AA729" i="1"/>
  <c r="P729" i="1"/>
  <c r="O729" i="1"/>
  <c r="N729" i="1"/>
  <c r="M729" i="1"/>
  <c r="L729" i="1"/>
  <c r="H729" i="1"/>
  <c r="G729" i="1"/>
  <c r="E729" i="1"/>
  <c r="F729" i="1" s="1"/>
  <c r="AF728" i="1"/>
  <c r="AG728" i="1" s="1"/>
  <c r="AC728" i="1"/>
  <c r="AH728" i="1" s="1"/>
  <c r="AB728" i="1"/>
  <c r="AA728" i="1"/>
  <c r="P728" i="1"/>
  <c r="O728" i="1"/>
  <c r="N728" i="1"/>
  <c r="M728" i="1"/>
  <c r="L728" i="1"/>
  <c r="H728" i="1"/>
  <c r="G728" i="1"/>
  <c r="F728" i="1"/>
  <c r="E728" i="1"/>
  <c r="AH727" i="1"/>
  <c r="AF727" i="1"/>
  <c r="AG727" i="1" s="1"/>
  <c r="AD727" i="1"/>
  <c r="AC727" i="1"/>
  <c r="AB727" i="1"/>
  <c r="AA727" i="1"/>
  <c r="O727" i="1"/>
  <c r="P727" i="1" s="1"/>
  <c r="N727" i="1"/>
  <c r="M727" i="1"/>
  <c r="L727" i="1"/>
  <c r="H727" i="1"/>
  <c r="G727" i="1"/>
  <c r="E727" i="1"/>
  <c r="F727" i="1" s="1"/>
  <c r="AH726" i="1"/>
  <c r="AG726" i="1"/>
  <c r="AF726" i="1"/>
  <c r="AC726" i="1"/>
  <c r="AB726" i="1"/>
  <c r="AD726" i="1" s="1"/>
  <c r="AA726" i="1"/>
  <c r="P726" i="1"/>
  <c r="O726" i="1"/>
  <c r="N726" i="1"/>
  <c r="M726" i="1"/>
  <c r="L726" i="1"/>
  <c r="H726" i="1"/>
  <c r="G726" i="1"/>
  <c r="F726" i="1"/>
  <c r="E726" i="1"/>
  <c r="AF725" i="1"/>
  <c r="AG725" i="1" s="1"/>
  <c r="AC725" i="1"/>
  <c r="AH725" i="1" s="1"/>
  <c r="AB725" i="1"/>
  <c r="AA725" i="1"/>
  <c r="P725" i="1"/>
  <c r="O725" i="1"/>
  <c r="N725" i="1"/>
  <c r="M725" i="1"/>
  <c r="L725" i="1"/>
  <c r="H725" i="1"/>
  <c r="G725" i="1"/>
  <c r="F725" i="1"/>
  <c r="E725" i="1"/>
  <c r="AF724" i="1"/>
  <c r="AG724" i="1" s="1"/>
  <c r="AC724" i="1"/>
  <c r="AH724" i="1" s="1"/>
  <c r="AB724" i="1"/>
  <c r="AD724" i="1" s="1"/>
  <c r="AA724" i="1"/>
  <c r="O724" i="1"/>
  <c r="P724" i="1" s="1"/>
  <c r="N724" i="1"/>
  <c r="M724" i="1"/>
  <c r="L724" i="1"/>
  <c r="H724" i="1"/>
  <c r="G724" i="1"/>
  <c r="F724" i="1"/>
  <c r="E724" i="1"/>
  <c r="AH723" i="1"/>
  <c r="AF723" i="1"/>
  <c r="AG723" i="1" s="1"/>
  <c r="AC723" i="1"/>
  <c r="AB723" i="1"/>
  <c r="AD723" i="1" s="1"/>
  <c r="AA723" i="1"/>
  <c r="O723" i="1"/>
  <c r="P723" i="1" s="1"/>
  <c r="N723" i="1"/>
  <c r="M723" i="1"/>
  <c r="L723" i="1"/>
  <c r="H723" i="1"/>
  <c r="G723" i="1"/>
  <c r="E723" i="1"/>
  <c r="F723" i="1" s="1"/>
  <c r="AH722" i="1"/>
  <c r="AF722" i="1"/>
  <c r="AG722" i="1" s="1"/>
  <c r="AD722" i="1"/>
  <c r="AC722" i="1"/>
  <c r="AB722" i="1"/>
  <c r="AA722" i="1"/>
  <c r="P722" i="1"/>
  <c r="O722" i="1"/>
  <c r="N722" i="1"/>
  <c r="M722" i="1"/>
  <c r="L722" i="1"/>
  <c r="H722" i="1"/>
  <c r="G722" i="1"/>
  <c r="F722" i="1"/>
  <c r="E722" i="1"/>
  <c r="AF721" i="1"/>
  <c r="AG721" i="1" s="1"/>
  <c r="AC721" i="1"/>
  <c r="AH721" i="1" s="1"/>
  <c r="AB721" i="1"/>
  <c r="AD721" i="1" s="1"/>
  <c r="AA721" i="1"/>
  <c r="O721" i="1"/>
  <c r="P721" i="1" s="1"/>
  <c r="N721" i="1"/>
  <c r="M721" i="1"/>
  <c r="L721" i="1"/>
  <c r="H721" i="1"/>
  <c r="G721" i="1"/>
  <c r="E721" i="1"/>
  <c r="F721" i="1" s="1"/>
  <c r="AF720" i="1"/>
  <c r="AG720" i="1" s="1"/>
  <c r="AC720" i="1"/>
  <c r="AH720" i="1" s="1"/>
  <c r="AB720" i="1"/>
  <c r="AA720" i="1"/>
  <c r="O720" i="1"/>
  <c r="P720" i="1" s="1"/>
  <c r="N720" i="1"/>
  <c r="M720" i="1"/>
  <c r="L720" i="1"/>
  <c r="H720" i="1"/>
  <c r="G720" i="1"/>
  <c r="E720" i="1"/>
  <c r="F720" i="1" s="1"/>
  <c r="AF719" i="1"/>
  <c r="AG719" i="1" s="1"/>
  <c r="AC719" i="1"/>
  <c r="AH719" i="1" s="1"/>
  <c r="AB719" i="1"/>
  <c r="AA719" i="1"/>
  <c r="O719" i="1"/>
  <c r="P719" i="1" s="1"/>
  <c r="N719" i="1"/>
  <c r="M719" i="1"/>
  <c r="L719" i="1"/>
  <c r="H719" i="1"/>
  <c r="G719" i="1"/>
  <c r="F719" i="1"/>
  <c r="E719" i="1"/>
  <c r="AG718" i="1"/>
  <c r="AF718" i="1"/>
  <c r="AC718" i="1"/>
  <c r="AH718" i="1" s="1"/>
  <c r="AB718" i="1"/>
  <c r="AD718" i="1" s="1"/>
  <c r="AA718" i="1"/>
  <c r="O718" i="1"/>
  <c r="P718" i="1" s="1"/>
  <c r="N718" i="1"/>
  <c r="M718" i="1"/>
  <c r="L718" i="1"/>
  <c r="H718" i="1"/>
  <c r="G718" i="1"/>
  <c r="F718" i="1"/>
  <c r="E718" i="1"/>
  <c r="AF717" i="1"/>
  <c r="AG717" i="1" s="1"/>
  <c r="AC717" i="1"/>
  <c r="AH717" i="1" s="1"/>
  <c r="AB717" i="1"/>
  <c r="AD717" i="1" s="1"/>
  <c r="AA717" i="1"/>
  <c r="O717" i="1"/>
  <c r="P717" i="1" s="1"/>
  <c r="N717" i="1"/>
  <c r="M717" i="1"/>
  <c r="L717" i="1"/>
  <c r="H717" i="1"/>
  <c r="G717" i="1"/>
  <c r="F717" i="1"/>
  <c r="E717" i="1"/>
  <c r="AH716" i="1"/>
  <c r="AF716" i="1"/>
  <c r="AG716" i="1" s="1"/>
  <c r="AC716" i="1"/>
  <c r="AB716" i="1"/>
  <c r="AD716" i="1" s="1"/>
  <c r="AA716" i="1"/>
  <c r="O716" i="1"/>
  <c r="P716" i="1" s="1"/>
  <c r="N716" i="1"/>
  <c r="M716" i="1"/>
  <c r="L716" i="1"/>
  <c r="H716" i="1"/>
  <c r="G716" i="1"/>
  <c r="E716" i="1"/>
  <c r="F716" i="1" s="1"/>
  <c r="AH715" i="1"/>
  <c r="AF715" i="1"/>
  <c r="AG715" i="1" s="1"/>
  <c r="AD715" i="1"/>
  <c r="AC715" i="1"/>
  <c r="AB715" i="1"/>
  <c r="AA715" i="1"/>
  <c r="O715" i="1"/>
  <c r="P715" i="1" s="1"/>
  <c r="N715" i="1"/>
  <c r="M715" i="1"/>
  <c r="L715" i="1"/>
  <c r="H715" i="1"/>
  <c r="G715" i="1"/>
  <c r="F715" i="1"/>
  <c r="E715" i="1"/>
  <c r="AF714" i="1"/>
  <c r="AG714" i="1" s="1"/>
  <c r="AC714" i="1"/>
  <c r="AH714" i="1" s="1"/>
  <c r="AB714" i="1"/>
  <c r="AD714" i="1" s="1"/>
  <c r="AA714" i="1"/>
  <c r="O714" i="1"/>
  <c r="P714" i="1" s="1"/>
  <c r="N714" i="1"/>
  <c r="M714" i="1"/>
  <c r="L714" i="1"/>
  <c r="H714" i="1"/>
  <c r="G714" i="1"/>
  <c r="F714" i="1"/>
  <c r="E714" i="1"/>
  <c r="AH713" i="1"/>
  <c r="AG713" i="1"/>
  <c r="AF713" i="1"/>
  <c r="AC713" i="1"/>
  <c r="AD713" i="1" s="1"/>
  <c r="AB713" i="1"/>
  <c r="AA713" i="1"/>
  <c r="P713" i="1"/>
  <c r="O713" i="1"/>
  <c r="N713" i="1"/>
  <c r="M713" i="1"/>
  <c r="L713" i="1"/>
  <c r="H713" i="1"/>
  <c r="G713" i="1"/>
  <c r="E713" i="1"/>
  <c r="F713" i="1" s="1"/>
  <c r="AF712" i="1"/>
  <c r="AG712" i="1" s="1"/>
  <c r="AC712" i="1"/>
  <c r="AH712" i="1" s="1"/>
  <c r="AB712" i="1"/>
  <c r="AA712" i="1"/>
  <c r="O712" i="1"/>
  <c r="P712" i="1" s="1"/>
  <c r="N712" i="1"/>
  <c r="M712" i="1"/>
  <c r="L712" i="1"/>
  <c r="H712" i="1"/>
  <c r="G712" i="1"/>
  <c r="F712" i="1"/>
  <c r="E712" i="1"/>
  <c r="AF711" i="1"/>
  <c r="AG711" i="1" s="1"/>
  <c r="AD711" i="1"/>
  <c r="AC711" i="1"/>
  <c r="AH711" i="1" s="1"/>
  <c r="AB711" i="1"/>
  <c r="AA711" i="1"/>
  <c r="O711" i="1"/>
  <c r="P711" i="1" s="1"/>
  <c r="N711" i="1"/>
  <c r="M711" i="1"/>
  <c r="L711" i="1"/>
  <c r="H711" i="1"/>
  <c r="G711" i="1"/>
  <c r="E711" i="1"/>
  <c r="F711" i="1" s="1"/>
  <c r="AH710" i="1"/>
  <c r="AG710" i="1"/>
  <c r="AF710" i="1"/>
  <c r="AC710" i="1"/>
  <c r="AB710" i="1"/>
  <c r="AD710" i="1" s="1"/>
  <c r="AA710" i="1"/>
  <c r="P710" i="1"/>
  <c r="O710" i="1"/>
  <c r="N710" i="1"/>
  <c r="M710" i="1"/>
  <c r="L710" i="1"/>
  <c r="H710" i="1"/>
  <c r="G710" i="1"/>
  <c r="F710" i="1"/>
  <c r="E710" i="1"/>
  <c r="AF709" i="1"/>
  <c r="AG709" i="1" s="1"/>
  <c r="AD709" i="1"/>
  <c r="AC709" i="1"/>
  <c r="AH709" i="1" s="1"/>
  <c r="AB709" i="1"/>
  <c r="AA709" i="1"/>
  <c r="O709" i="1"/>
  <c r="P709" i="1" s="1"/>
  <c r="N709" i="1"/>
  <c r="M709" i="1"/>
  <c r="L709" i="1"/>
  <c r="H709" i="1"/>
  <c r="G709" i="1"/>
  <c r="E709" i="1"/>
  <c r="F709" i="1" s="1"/>
  <c r="AH708" i="1"/>
  <c r="AG708" i="1"/>
  <c r="AF708" i="1"/>
  <c r="AC708" i="1"/>
  <c r="AB708" i="1"/>
  <c r="AD708" i="1" s="1"/>
  <c r="AA708" i="1"/>
  <c r="P708" i="1"/>
  <c r="O708" i="1"/>
  <c r="N708" i="1"/>
  <c r="M708" i="1"/>
  <c r="L708" i="1"/>
  <c r="H708" i="1"/>
  <c r="G708" i="1"/>
  <c r="F708" i="1"/>
  <c r="E708" i="1"/>
  <c r="AH707" i="1"/>
  <c r="AF707" i="1"/>
  <c r="AG707" i="1" s="1"/>
  <c r="AD707" i="1"/>
  <c r="AC707" i="1"/>
  <c r="AB707" i="1"/>
  <c r="AA707" i="1"/>
  <c r="P707" i="1"/>
  <c r="O707" i="1"/>
  <c r="N707" i="1"/>
  <c r="M707" i="1"/>
  <c r="L707" i="1"/>
  <c r="H707" i="1"/>
  <c r="G707" i="1"/>
  <c r="E707" i="1"/>
  <c r="F707" i="1" s="1"/>
  <c r="AH706" i="1"/>
  <c r="AF706" i="1"/>
  <c r="AG706" i="1" s="1"/>
  <c r="AC706" i="1"/>
  <c r="AB706" i="1"/>
  <c r="AD706" i="1" s="1"/>
  <c r="AA706" i="1"/>
  <c r="O706" i="1"/>
  <c r="P706" i="1" s="1"/>
  <c r="N706" i="1"/>
  <c r="M706" i="1"/>
  <c r="L706" i="1"/>
  <c r="H706" i="1"/>
  <c r="G706" i="1"/>
  <c r="E706" i="1"/>
  <c r="F706" i="1" s="1"/>
  <c r="AG705" i="1"/>
  <c r="AF705" i="1"/>
  <c r="AC705" i="1"/>
  <c r="AH705" i="1" s="1"/>
  <c r="AB705" i="1"/>
  <c r="AD705" i="1" s="1"/>
  <c r="AA705" i="1"/>
  <c r="O705" i="1"/>
  <c r="P705" i="1" s="1"/>
  <c r="N705" i="1"/>
  <c r="M705" i="1"/>
  <c r="L705" i="1"/>
  <c r="H705" i="1"/>
  <c r="G705" i="1"/>
  <c r="F705" i="1"/>
  <c r="E705" i="1"/>
  <c r="AF704" i="1"/>
  <c r="AG704" i="1" s="1"/>
  <c r="AC704" i="1"/>
  <c r="AH704" i="1" s="1"/>
  <c r="AB704" i="1"/>
  <c r="AA704" i="1"/>
  <c r="P704" i="1"/>
  <c r="O704" i="1"/>
  <c r="N704" i="1"/>
  <c r="M704" i="1"/>
  <c r="L704" i="1"/>
  <c r="H704" i="1"/>
  <c r="G704" i="1"/>
  <c r="F704" i="1"/>
  <c r="E704" i="1"/>
  <c r="AH703" i="1"/>
  <c r="AG703" i="1"/>
  <c r="AF703" i="1"/>
  <c r="AC703" i="1"/>
  <c r="AB703" i="1"/>
  <c r="AD703" i="1" s="1"/>
  <c r="AA703" i="1"/>
  <c r="O703" i="1"/>
  <c r="P703" i="1" s="1"/>
  <c r="N703" i="1"/>
  <c r="M703" i="1"/>
  <c r="L703" i="1"/>
  <c r="H703" i="1"/>
  <c r="G703" i="1"/>
  <c r="F703" i="1"/>
  <c r="E703" i="1"/>
  <c r="AH702" i="1"/>
  <c r="AF702" i="1"/>
  <c r="AG702" i="1" s="1"/>
  <c r="AD702" i="1"/>
  <c r="AC702" i="1"/>
  <c r="AB702" i="1"/>
  <c r="AA702" i="1"/>
  <c r="O702" i="1"/>
  <c r="P702" i="1" s="1"/>
  <c r="N702" i="1"/>
  <c r="M702" i="1"/>
  <c r="L702" i="1"/>
  <c r="H702" i="1"/>
  <c r="G702" i="1"/>
  <c r="F702" i="1"/>
  <c r="E702" i="1"/>
  <c r="AF701" i="1"/>
  <c r="AG701" i="1" s="1"/>
  <c r="AC701" i="1"/>
  <c r="AH701" i="1" s="1"/>
  <c r="AB701" i="1"/>
  <c r="AD701" i="1" s="1"/>
  <c r="AA701" i="1"/>
  <c r="P701" i="1"/>
  <c r="O701" i="1"/>
  <c r="N701" i="1"/>
  <c r="M701" i="1"/>
  <c r="L701" i="1"/>
  <c r="H701" i="1"/>
  <c r="G701" i="1"/>
  <c r="F701" i="1"/>
  <c r="E701" i="1"/>
  <c r="AH700" i="1"/>
  <c r="AG700" i="1"/>
  <c r="AF700" i="1"/>
  <c r="AC700" i="1"/>
  <c r="AB700" i="1"/>
  <c r="AA700" i="1"/>
  <c r="O700" i="1"/>
  <c r="P700" i="1" s="1"/>
  <c r="N700" i="1"/>
  <c r="M700" i="1"/>
  <c r="L700" i="1"/>
  <c r="H700" i="1"/>
  <c r="G700" i="1"/>
  <c r="E700" i="1"/>
  <c r="F700" i="1" s="1"/>
  <c r="AG699" i="1"/>
  <c r="AF699" i="1"/>
  <c r="AC699" i="1"/>
  <c r="AH699" i="1" s="1"/>
  <c r="AB699" i="1"/>
  <c r="AA699" i="1"/>
  <c r="P699" i="1"/>
  <c r="O699" i="1"/>
  <c r="N699" i="1"/>
  <c r="M699" i="1"/>
  <c r="L699" i="1"/>
  <c r="H699" i="1"/>
  <c r="G699" i="1"/>
  <c r="F699" i="1"/>
  <c r="E699" i="1"/>
  <c r="AH698" i="1"/>
  <c r="AG698" i="1"/>
  <c r="AF698" i="1"/>
  <c r="AC698" i="1"/>
  <c r="AB698" i="1"/>
  <c r="AD698" i="1" s="1"/>
  <c r="AA698" i="1"/>
  <c r="O698" i="1"/>
  <c r="P698" i="1" s="1"/>
  <c r="N698" i="1"/>
  <c r="M698" i="1"/>
  <c r="L698" i="1"/>
  <c r="H698" i="1"/>
  <c r="G698" i="1"/>
  <c r="F698" i="1"/>
  <c r="E698" i="1"/>
  <c r="AF697" i="1"/>
  <c r="AG697" i="1" s="1"/>
  <c r="AC697" i="1"/>
  <c r="AH697" i="1" s="1"/>
  <c r="AB697" i="1"/>
  <c r="AD697" i="1" s="1"/>
  <c r="AA697" i="1"/>
  <c r="P697" i="1"/>
  <c r="O697" i="1"/>
  <c r="N697" i="1"/>
  <c r="M697" i="1"/>
  <c r="L697" i="1"/>
  <c r="H697" i="1"/>
  <c r="G697" i="1"/>
  <c r="F697" i="1"/>
  <c r="E697" i="1"/>
  <c r="AH696" i="1"/>
  <c r="AG696" i="1"/>
  <c r="AF696" i="1"/>
  <c r="AC696" i="1"/>
  <c r="AB696" i="1"/>
  <c r="AA696" i="1"/>
  <c r="O696" i="1"/>
  <c r="P696" i="1" s="1"/>
  <c r="N696" i="1"/>
  <c r="M696" i="1"/>
  <c r="L696" i="1"/>
  <c r="H696" i="1"/>
  <c r="G696" i="1"/>
  <c r="E696" i="1"/>
  <c r="F696" i="1" s="1"/>
  <c r="AH695" i="1"/>
  <c r="AG695" i="1"/>
  <c r="AF695" i="1"/>
  <c r="AC695" i="1"/>
  <c r="AD695" i="1" s="1"/>
  <c r="AB695" i="1"/>
  <c r="AA695" i="1"/>
  <c r="O695" i="1"/>
  <c r="P695" i="1" s="1"/>
  <c r="N695" i="1"/>
  <c r="M695" i="1"/>
  <c r="L695" i="1"/>
  <c r="H695" i="1"/>
  <c r="G695" i="1"/>
  <c r="F695" i="1"/>
  <c r="E695" i="1"/>
  <c r="AF694" i="1"/>
  <c r="AG694" i="1" s="1"/>
  <c r="AC694" i="1"/>
  <c r="AH694" i="1" s="1"/>
  <c r="AB694" i="1"/>
  <c r="AD694" i="1" s="1"/>
  <c r="AA694" i="1"/>
  <c r="P694" i="1"/>
  <c r="O694" i="1"/>
  <c r="N694" i="1"/>
  <c r="M694" i="1"/>
  <c r="L694" i="1"/>
  <c r="H694" i="1"/>
  <c r="G694" i="1"/>
  <c r="E694" i="1"/>
  <c r="F694" i="1" s="1"/>
  <c r="AF693" i="1"/>
  <c r="AG693" i="1" s="1"/>
  <c r="AC693" i="1"/>
  <c r="AH693" i="1" s="1"/>
  <c r="AB693" i="1"/>
  <c r="AA693" i="1"/>
  <c r="O693" i="1"/>
  <c r="P693" i="1" s="1"/>
  <c r="N693" i="1"/>
  <c r="M693" i="1"/>
  <c r="L693" i="1"/>
  <c r="H693" i="1"/>
  <c r="G693" i="1"/>
  <c r="F693" i="1"/>
  <c r="E693" i="1"/>
  <c r="AF692" i="1"/>
  <c r="AG692" i="1" s="1"/>
  <c r="AC692" i="1"/>
  <c r="AH692" i="1" s="1"/>
  <c r="AB692" i="1"/>
  <c r="AD692" i="1" s="1"/>
  <c r="AA692" i="1"/>
  <c r="O692" i="1"/>
  <c r="P692" i="1" s="1"/>
  <c r="N692" i="1"/>
  <c r="M692" i="1"/>
  <c r="L692" i="1"/>
  <c r="H692" i="1"/>
  <c r="G692" i="1"/>
  <c r="F692" i="1"/>
  <c r="E692" i="1"/>
  <c r="AG691" i="1"/>
  <c r="AF691" i="1"/>
  <c r="AC691" i="1"/>
  <c r="AH691" i="1" s="1"/>
  <c r="AB691" i="1"/>
  <c r="AA691" i="1"/>
  <c r="O691" i="1"/>
  <c r="P691" i="1" s="1"/>
  <c r="N691" i="1"/>
  <c r="M691" i="1"/>
  <c r="L691" i="1"/>
  <c r="H691" i="1"/>
  <c r="G691" i="1"/>
  <c r="F691" i="1"/>
  <c r="E691" i="1"/>
  <c r="AF690" i="1"/>
  <c r="AG690" i="1" s="1"/>
  <c r="AC690" i="1"/>
  <c r="AH690" i="1" s="1"/>
  <c r="AB690" i="1"/>
  <c r="AD690" i="1" s="1"/>
  <c r="AA690" i="1"/>
  <c r="O690" i="1"/>
  <c r="P690" i="1" s="1"/>
  <c r="N690" i="1"/>
  <c r="M690" i="1"/>
  <c r="L690" i="1"/>
  <c r="H690" i="1"/>
  <c r="G690" i="1"/>
  <c r="E690" i="1"/>
  <c r="F690" i="1" s="1"/>
  <c r="AH689" i="1"/>
  <c r="AG689" i="1"/>
  <c r="AF689" i="1"/>
  <c r="AC689" i="1"/>
  <c r="AB689" i="1"/>
  <c r="AD689" i="1" s="1"/>
  <c r="AA689" i="1"/>
  <c r="P689" i="1"/>
  <c r="O689" i="1"/>
  <c r="N689" i="1"/>
  <c r="M689" i="1"/>
  <c r="L689" i="1"/>
  <c r="H689" i="1"/>
  <c r="G689" i="1"/>
  <c r="E689" i="1"/>
  <c r="F689" i="1" s="1"/>
  <c r="AH688" i="1"/>
  <c r="AF688" i="1"/>
  <c r="AG688" i="1" s="1"/>
  <c r="AD688" i="1"/>
  <c r="AC688" i="1"/>
  <c r="AB688" i="1"/>
  <c r="AA688" i="1"/>
  <c r="O688" i="1"/>
  <c r="P688" i="1" s="1"/>
  <c r="N688" i="1"/>
  <c r="M688" i="1"/>
  <c r="L688" i="1"/>
  <c r="H688" i="1"/>
  <c r="G688" i="1"/>
  <c r="E688" i="1"/>
  <c r="F688" i="1" s="1"/>
  <c r="AH687" i="1"/>
  <c r="AG687" i="1"/>
  <c r="AF687" i="1"/>
  <c r="AC687" i="1"/>
  <c r="AB687" i="1"/>
  <c r="AD687" i="1" s="1"/>
  <c r="AA687" i="1"/>
  <c r="P687" i="1"/>
  <c r="O687" i="1"/>
  <c r="N687" i="1"/>
  <c r="M687" i="1"/>
  <c r="L687" i="1"/>
  <c r="H687" i="1"/>
  <c r="G687" i="1"/>
  <c r="F687" i="1"/>
  <c r="E687" i="1"/>
  <c r="AF686" i="1"/>
  <c r="AG686" i="1" s="1"/>
  <c r="AC686" i="1"/>
  <c r="AH686" i="1" s="1"/>
  <c r="AB686" i="1"/>
  <c r="AD686" i="1" s="1"/>
  <c r="AA686" i="1"/>
  <c r="P686" i="1"/>
  <c r="O686" i="1"/>
  <c r="N686" i="1"/>
  <c r="M686" i="1"/>
  <c r="L686" i="1"/>
  <c r="H686" i="1"/>
  <c r="G686" i="1"/>
  <c r="F686" i="1"/>
  <c r="E686" i="1"/>
  <c r="AH685" i="1"/>
  <c r="AG685" i="1"/>
  <c r="AF685" i="1"/>
  <c r="AC685" i="1"/>
  <c r="AB685" i="1"/>
  <c r="AD685" i="1" s="1"/>
  <c r="AA685" i="1"/>
  <c r="P685" i="1"/>
  <c r="O685" i="1"/>
  <c r="N685" i="1"/>
  <c r="M685" i="1"/>
  <c r="L685" i="1"/>
  <c r="H685" i="1"/>
  <c r="G685" i="1"/>
  <c r="E685" i="1"/>
  <c r="F685" i="1" s="1"/>
  <c r="AH684" i="1"/>
  <c r="AF684" i="1"/>
  <c r="AG684" i="1" s="1"/>
  <c r="AD684" i="1"/>
  <c r="AC684" i="1"/>
  <c r="AB684" i="1"/>
  <c r="AA684" i="1"/>
  <c r="O684" i="1"/>
  <c r="P684" i="1" s="1"/>
  <c r="N684" i="1"/>
  <c r="M684" i="1"/>
  <c r="L684" i="1"/>
  <c r="H684" i="1"/>
  <c r="G684" i="1"/>
  <c r="F684" i="1"/>
  <c r="E684" i="1"/>
  <c r="AG683" i="1"/>
  <c r="AF683" i="1"/>
  <c r="AC683" i="1"/>
  <c r="AH683" i="1" s="1"/>
  <c r="AB683" i="1"/>
  <c r="AD683" i="1" s="1"/>
  <c r="AA683" i="1"/>
  <c r="P683" i="1"/>
  <c r="O683" i="1"/>
  <c r="N683" i="1"/>
  <c r="M683" i="1"/>
  <c r="L683" i="1"/>
  <c r="H683" i="1"/>
  <c r="G683" i="1"/>
  <c r="F683" i="1"/>
  <c r="E683" i="1"/>
  <c r="AG682" i="1"/>
  <c r="AF682" i="1"/>
  <c r="AC682" i="1"/>
  <c r="AB682" i="1"/>
  <c r="AA682" i="1"/>
  <c r="O682" i="1"/>
  <c r="P682" i="1" s="1"/>
  <c r="N682" i="1"/>
  <c r="M682" i="1"/>
  <c r="L682" i="1"/>
  <c r="H682" i="1"/>
  <c r="G682" i="1"/>
  <c r="E682" i="1"/>
  <c r="F682" i="1" s="1"/>
  <c r="AH681" i="1"/>
  <c r="AG681" i="1"/>
  <c r="AF681" i="1"/>
  <c r="AC681" i="1"/>
  <c r="AB681" i="1"/>
  <c r="AD681" i="1" s="1"/>
  <c r="AA681" i="1"/>
  <c r="O681" i="1"/>
  <c r="P681" i="1" s="1"/>
  <c r="N681" i="1"/>
  <c r="M681" i="1"/>
  <c r="L681" i="1"/>
  <c r="H681" i="1"/>
  <c r="G681" i="1"/>
  <c r="E681" i="1"/>
  <c r="F681" i="1" s="1"/>
  <c r="AF680" i="1"/>
  <c r="AG680" i="1" s="1"/>
  <c r="AC680" i="1"/>
  <c r="AB680" i="1"/>
  <c r="AA680" i="1"/>
  <c r="O680" i="1"/>
  <c r="P680" i="1" s="1"/>
  <c r="N680" i="1"/>
  <c r="M680" i="1"/>
  <c r="L680" i="1"/>
  <c r="H680" i="1"/>
  <c r="G680" i="1"/>
  <c r="E680" i="1"/>
  <c r="F680" i="1" s="1"/>
  <c r="AH679" i="1"/>
  <c r="AG679" i="1"/>
  <c r="AF679" i="1"/>
  <c r="AD679" i="1"/>
  <c r="AC679" i="1"/>
  <c r="AB679" i="1"/>
  <c r="AA679" i="1"/>
  <c r="P679" i="1"/>
  <c r="O679" i="1"/>
  <c r="N679" i="1"/>
  <c r="M679" i="1"/>
  <c r="L679" i="1"/>
  <c r="H679" i="1"/>
  <c r="G679" i="1"/>
  <c r="E679" i="1"/>
  <c r="F679" i="1" s="1"/>
  <c r="AF678" i="1"/>
  <c r="AG678" i="1" s="1"/>
  <c r="AD678" i="1"/>
  <c r="AC678" i="1"/>
  <c r="AH678" i="1" s="1"/>
  <c r="AB678" i="1"/>
  <c r="AA678" i="1"/>
  <c r="O678" i="1"/>
  <c r="P678" i="1" s="1"/>
  <c r="N678" i="1"/>
  <c r="M678" i="1"/>
  <c r="L678" i="1"/>
  <c r="H678" i="1"/>
  <c r="G678" i="1"/>
  <c r="E678" i="1"/>
  <c r="F678" i="1" s="1"/>
  <c r="AH677" i="1"/>
  <c r="AG677" i="1"/>
  <c r="AF677" i="1"/>
  <c r="AD677" i="1"/>
  <c r="AC677" i="1"/>
  <c r="AB677" i="1"/>
  <c r="AA677" i="1"/>
  <c r="P677" i="1"/>
  <c r="O677" i="1"/>
  <c r="N677" i="1"/>
  <c r="M677" i="1"/>
  <c r="L677" i="1"/>
  <c r="H677" i="1"/>
  <c r="G677" i="1"/>
  <c r="F677" i="1"/>
  <c r="E677" i="1"/>
  <c r="AH676" i="1"/>
  <c r="AF676" i="1"/>
  <c r="AG676" i="1" s="1"/>
  <c r="AC676" i="1"/>
  <c r="AB676" i="1"/>
  <c r="AD676" i="1" s="1"/>
  <c r="AA676" i="1"/>
  <c r="O676" i="1"/>
  <c r="P676" i="1" s="1"/>
  <c r="N676" i="1"/>
  <c r="M676" i="1"/>
  <c r="L676" i="1"/>
  <c r="H676" i="1"/>
  <c r="G676" i="1"/>
  <c r="F676" i="1"/>
  <c r="E676" i="1"/>
  <c r="AF675" i="1"/>
  <c r="AG675" i="1" s="1"/>
  <c r="AC675" i="1"/>
  <c r="AH675" i="1" s="1"/>
  <c r="AB675" i="1"/>
  <c r="AD675" i="1" s="1"/>
  <c r="AA675" i="1"/>
  <c r="P675" i="1"/>
  <c r="O675" i="1"/>
  <c r="N675" i="1"/>
  <c r="M675" i="1"/>
  <c r="L675" i="1"/>
  <c r="H675" i="1"/>
  <c r="G675" i="1"/>
  <c r="E675" i="1"/>
  <c r="F675" i="1" s="1"/>
  <c r="AG674" i="1"/>
  <c r="AF674" i="1"/>
  <c r="AC674" i="1"/>
  <c r="AH674" i="1" s="1"/>
  <c r="AB674" i="1"/>
  <c r="AD674" i="1" s="1"/>
  <c r="AA674" i="1"/>
  <c r="O674" i="1"/>
  <c r="P674" i="1" s="1"/>
  <c r="N674" i="1"/>
  <c r="M674" i="1"/>
  <c r="L674" i="1"/>
  <c r="H674" i="1"/>
  <c r="G674" i="1"/>
  <c r="E674" i="1"/>
  <c r="F674" i="1" s="1"/>
  <c r="AH673" i="1"/>
  <c r="AG673" i="1"/>
  <c r="AF673" i="1"/>
  <c r="AD673" i="1"/>
  <c r="AC673" i="1"/>
  <c r="AB673" i="1"/>
  <c r="AA673" i="1"/>
  <c r="P673" i="1"/>
  <c r="O673" i="1"/>
  <c r="N673" i="1"/>
  <c r="M673" i="1"/>
  <c r="L673" i="1"/>
  <c r="H673" i="1"/>
  <c r="G673" i="1"/>
  <c r="E673" i="1"/>
  <c r="F673" i="1" s="1"/>
  <c r="AH672" i="1"/>
  <c r="AF672" i="1"/>
  <c r="AG672" i="1" s="1"/>
  <c r="AD672" i="1"/>
  <c r="AC672" i="1"/>
  <c r="AB672" i="1"/>
  <c r="AA672" i="1"/>
  <c r="O672" i="1"/>
  <c r="P672" i="1" s="1"/>
  <c r="N672" i="1"/>
  <c r="M672" i="1"/>
  <c r="L672" i="1"/>
  <c r="H672" i="1"/>
  <c r="G672" i="1"/>
  <c r="E672" i="1"/>
  <c r="F672" i="1" s="1"/>
  <c r="AF671" i="1"/>
  <c r="AG671" i="1" s="1"/>
  <c r="AC671" i="1"/>
  <c r="AH671" i="1" s="1"/>
  <c r="AB671" i="1"/>
  <c r="AD671" i="1" s="1"/>
  <c r="AA671" i="1"/>
  <c r="P671" i="1"/>
  <c r="O671" i="1"/>
  <c r="N671" i="1"/>
  <c r="M671" i="1"/>
  <c r="L671" i="1"/>
  <c r="H671" i="1"/>
  <c r="G671" i="1"/>
  <c r="E671" i="1"/>
  <c r="F671" i="1" s="1"/>
  <c r="AF670" i="1"/>
  <c r="AG670" i="1" s="1"/>
  <c r="AC670" i="1"/>
  <c r="AH670" i="1" s="1"/>
  <c r="AB670" i="1"/>
  <c r="AA670" i="1"/>
  <c r="P670" i="1"/>
  <c r="O670" i="1"/>
  <c r="N670" i="1"/>
  <c r="M670" i="1"/>
  <c r="L670" i="1"/>
  <c r="H670" i="1"/>
  <c r="G670" i="1"/>
  <c r="F670" i="1"/>
  <c r="E670" i="1"/>
  <c r="AF669" i="1"/>
  <c r="AG669" i="1" s="1"/>
  <c r="AC669" i="1"/>
  <c r="AD669" i="1" s="1"/>
  <c r="AB669" i="1"/>
  <c r="AA669" i="1"/>
  <c r="P669" i="1"/>
  <c r="O669" i="1"/>
  <c r="N669" i="1"/>
  <c r="M669" i="1"/>
  <c r="L669" i="1"/>
  <c r="H669" i="1"/>
  <c r="G669" i="1"/>
  <c r="E669" i="1"/>
  <c r="F669" i="1" s="1"/>
  <c r="AG668" i="1"/>
  <c r="AF668" i="1"/>
  <c r="AD668" i="1"/>
  <c r="AC668" i="1"/>
  <c r="AH668" i="1" s="1"/>
  <c r="AB668" i="1"/>
  <c r="AA668" i="1"/>
  <c r="P668" i="1"/>
  <c r="O668" i="1"/>
  <c r="N668" i="1"/>
  <c r="M668" i="1"/>
  <c r="L668" i="1"/>
  <c r="H668" i="1"/>
  <c r="G668" i="1"/>
  <c r="F668" i="1"/>
  <c r="E668" i="1"/>
  <c r="AF667" i="1"/>
  <c r="AG667" i="1" s="1"/>
  <c r="AD667" i="1"/>
  <c r="AC667" i="1"/>
  <c r="AH667" i="1" s="1"/>
  <c r="AB667" i="1"/>
  <c r="AA667" i="1"/>
  <c r="P667" i="1"/>
  <c r="O667" i="1"/>
  <c r="N667" i="1"/>
  <c r="M667" i="1"/>
  <c r="L667" i="1"/>
  <c r="H667" i="1"/>
  <c r="G667" i="1"/>
  <c r="E667" i="1"/>
  <c r="F667" i="1" s="1"/>
  <c r="AF666" i="1"/>
  <c r="AG666" i="1" s="1"/>
  <c r="AC666" i="1"/>
  <c r="AH666" i="1" s="1"/>
  <c r="AB666" i="1"/>
  <c r="AD666" i="1" s="1"/>
  <c r="AA666" i="1"/>
  <c r="O666" i="1"/>
  <c r="P666" i="1" s="1"/>
  <c r="N666" i="1"/>
  <c r="M666" i="1"/>
  <c r="L666" i="1"/>
  <c r="H666" i="1"/>
  <c r="G666" i="1"/>
  <c r="F666" i="1"/>
  <c r="E666" i="1"/>
  <c r="AH665" i="1"/>
  <c r="AF665" i="1"/>
  <c r="AG665" i="1" s="1"/>
  <c r="AC665" i="1"/>
  <c r="AB665" i="1"/>
  <c r="AA665" i="1"/>
  <c r="O665" i="1"/>
  <c r="P665" i="1" s="1"/>
  <c r="N665" i="1"/>
  <c r="M665" i="1"/>
  <c r="L665" i="1"/>
  <c r="H665" i="1"/>
  <c r="G665" i="1"/>
  <c r="F665" i="1"/>
  <c r="E665" i="1"/>
  <c r="AF664" i="1"/>
  <c r="AG664" i="1" s="1"/>
  <c r="AC664" i="1"/>
  <c r="AH664" i="1" s="1"/>
  <c r="AB664" i="1"/>
  <c r="AA664" i="1"/>
  <c r="P664" i="1"/>
  <c r="O664" i="1"/>
  <c r="N664" i="1"/>
  <c r="M664" i="1"/>
  <c r="L664" i="1"/>
  <c r="H664" i="1"/>
  <c r="G664" i="1"/>
  <c r="E664" i="1"/>
  <c r="F664" i="1" s="1"/>
  <c r="AF663" i="1"/>
  <c r="AG663" i="1" s="1"/>
  <c r="AC663" i="1"/>
  <c r="AH663" i="1" s="1"/>
  <c r="AB663" i="1"/>
  <c r="AA663" i="1"/>
  <c r="O663" i="1"/>
  <c r="P663" i="1" s="1"/>
  <c r="N663" i="1"/>
  <c r="M663" i="1"/>
  <c r="L663" i="1"/>
  <c r="H663" i="1"/>
  <c r="G663" i="1"/>
  <c r="E663" i="1"/>
  <c r="F663" i="1" s="1"/>
  <c r="AH662" i="1"/>
  <c r="AF662" i="1"/>
  <c r="AG662" i="1" s="1"/>
  <c r="AD662" i="1"/>
  <c r="AC662" i="1"/>
  <c r="AB662" i="1"/>
  <c r="AA662" i="1"/>
  <c r="O662" i="1"/>
  <c r="P662" i="1" s="1"/>
  <c r="N662" i="1"/>
  <c r="M662" i="1"/>
  <c r="L662" i="1"/>
  <c r="H662" i="1"/>
  <c r="G662" i="1"/>
  <c r="E662" i="1"/>
  <c r="F662" i="1" s="1"/>
  <c r="AF661" i="1"/>
  <c r="AG661" i="1" s="1"/>
  <c r="AC661" i="1"/>
  <c r="AH661" i="1" s="1"/>
  <c r="AB661" i="1"/>
  <c r="AD661" i="1" s="1"/>
  <c r="AA661" i="1"/>
  <c r="O661" i="1"/>
  <c r="P661" i="1" s="1"/>
  <c r="N661" i="1"/>
  <c r="M661" i="1"/>
  <c r="L661" i="1"/>
  <c r="H661" i="1"/>
  <c r="G661" i="1"/>
  <c r="F661" i="1"/>
  <c r="E661" i="1"/>
  <c r="AG660" i="1"/>
  <c r="AF660" i="1"/>
  <c r="AD660" i="1"/>
  <c r="AC660" i="1"/>
  <c r="AH660" i="1" s="1"/>
  <c r="AB660" i="1"/>
  <c r="AA660" i="1"/>
  <c r="P660" i="1"/>
  <c r="O660" i="1"/>
  <c r="N660" i="1"/>
  <c r="M660" i="1"/>
  <c r="L660" i="1"/>
  <c r="H660" i="1"/>
  <c r="G660" i="1"/>
  <c r="F660" i="1"/>
  <c r="E660" i="1"/>
  <c r="AF659" i="1"/>
  <c r="AG659" i="1" s="1"/>
  <c r="AC659" i="1"/>
  <c r="AH659" i="1" s="1"/>
  <c r="AB659" i="1"/>
  <c r="AD659" i="1" s="1"/>
  <c r="AA659" i="1"/>
  <c r="P659" i="1"/>
  <c r="O659" i="1"/>
  <c r="N659" i="1"/>
  <c r="M659" i="1"/>
  <c r="L659" i="1"/>
  <c r="H659" i="1"/>
  <c r="G659" i="1"/>
  <c r="F659" i="1"/>
  <c r="E659" i="1"/>
  <c r="AH658" i="1"/>
  <c r="AG658" i="1"/>
  <c r="AF658" i="1"/>
  <c r="AC658" i="1"/>
  <c r="AB658" i="1"/>
  <c r="AD658" i="1" s="1"/>
  <c r="AA658" i="1"/>
  <c r="O658" i="1"/>
  <c r="P658" i="1" s="1"/>
  <c r="N658" i="1"/>
  <c r="M658" i="1"/>
  <c r="L658" i="1"/>
  <c r="H658" i="1"/>
  <c r="G658" i="1"/>
  <c r="F658" i="1"/>
  <c r="E658" i="1"/>
  <c r="AH657" i="1"/>
  <c r="AF657" i="1"/>
  <c r="AG657" i="1" s="1"/>
  <c r="AD657" i="1"/>
  <c r="AC657" i="1"/>
  <c r="AB657" i="1"/>
  <c r="AA657" i="1"/>
  <c r="O657" i="1"/>
  <c r="P657" i="1" s="1"/>
  <c r="N657" i="1"/>
  <c r="M657" i="1"/>
  <c r="L657" i="1"/>
  <c r="H657" i="1"/>
  <c r="G657" i="1"/>
  <c r="F657" i="1"/>
  <c r="E657" i="1"/>
  <c r="AF656" i="1"/>
  <c r="AG656" i="1" s="1"/>
  <c r="AC656" i="1"/>
  <c r="AH656" i="1" s="1"/>
  <c r="AB656" i="1"/>
  <c r="AD656" i="1" s="1"/>
  <c r="AA656" i="1"/>
  <c r="P656" i="1"/>
  <c r="O656" i="1"/>
  <c r="N656" i="1"/>
  <c r="M656" i="1"/>
  <c r="L656" i="1"/>
  <c r="H656" i="1"/>
  <c r="G656" i="1"/>
  <c r="E656" i="1"/>
  <c r="F656" i="1" s="1"/>
  <c r="AH655" i="1"/>
  <c r="AG655" i="1"/>
  <c r="AF655" i="1"/>
  <c r="AC655" i="1"/>
  <c r="AD655" i="1" s="1"/>
  <c r="AB655" i="1"/>
  <c r="AA655" i="1"/>
  <c r="P655" i="1"/>
  <c r="O655" i="1"/>
  <c r="N655" i="1"/>
  <c r="M655" i="1"/>
  <c r="L655" i="1"/>
  <c r="H655" i="1"/>
  <c r="G655" i="1"/>
  <c r="E655" i="1"/>
  <c r="F655" i="1" s="1"/>
  <c r="AH654" i="1"/>
  <c r="AG654" i="1"/>
  <c r="AF654" i="1"/>
  <c r="AD654" i="1"/>
  <c r="AC654" i="1"/>
  <c r="AB654" i="1"/>
  <c r="AA654" i="1"/>
  <c r="O654" i="1"/>
  <c r="P654" i="1" s="1"/>
  <c r="N654" i="1"/>
  <c r="M654" i="1"/>
  <c r="L654" i="1"/>
  <c r="H654" i="1"/>
  <c r="G654" i="1"/>
  <c r="E654" i="1"/>
  <c r="F654" i="1" s="1"/>
  <c r="AG653" i="1"/>
  <c r="AF653" i="1"/>
  <c r="AC653" i="1"/>
  <c r="AH653" i="1" s="1"/>
  <c r="AB653" i="1"/>
  <c r="AA653" i="1"/>
  <c r="P653" i="1"/>
  <c r="O653" i="1"/>
  <c r="N653" i="1"/>
  <c r="M653" i="1"/>
  <c r="L653" i="1"/>
  <c r="H653" i="1"/>
  <c r="G653" i="1"/>
  <c r="F653" i="1"/>
  <c r="E653" i="1"/>
  <c r="AF652" i="1"/>
  <c r="AG652" i="1" s="1"/>
  <c r="AC652" i="1"/>
  <c r="AH652" i="1" s="1"/>
  <c r="AB652" i="1"/>
  <c r="AD652" i="1" s="1"/>
  <c r="AA652" i="1"/>
  <c r="O652" i="1"/>
  <c r="P652" i="1" s="1"/>
  <c r="N652" i="1"/>
  <c r="M652" i="1"/>
  <c r="L652" i="1"/>
  <c r="H652" i="1"/>
  <c r="G652" i="1"/>
  <c r="E652" i="1"/>
  <c r="F652" i="1" s="1"/>
  <c r="AG651" i="1"/>
  <c r="AF651" i="1"/>
  <c r="AC651" i="1"/>
  <c r="AH651" i="1" s="1"/>
  <c r="AB651" i="1"/>
  <c r="AD651" i="1" s="1"/>
  <c r="AA651" i="1"/>
  <c r="P651" i="1"/>
  <c r="O651" i="1"/>
  <c r="N651" i="1"/>
  <c r="M651" i="1"/>
  <c r="L651" i="1"/>
  <c r="H651" i="1"/>
  <c r="G651" i="1"/>
  <c r="F651" i="1"/>
  <c r="E651" i="1"/>
  <c r="AH650" i="1"/>
  <c r="AG650" i="1"/>
  <c r="AF650" i="1"/>
  <c r="AC650" i="1"/>
  <c r="AB650" i="1"/>
  <c r="AD650" i="1" s="1"/>
  <c r="AA650" i="1"/>
  <c r="O650" i="1"/>
  <c r="P650" i="1" s="1"/>
  <c r="N650" i="1"/>
  <c r="M650" i="1"/>
  <c r="L650" i="1"/>
  <c r="H650" i="1"/>
  <c r="G650" i="1"/>
  <c r="F650" i="1"/>
  <c r="E650" i="1"/>
  <c r="AH649" i="1"/>
  <c r="AG649" i="1"/>
  <c r="AF649" i="1"/>
  <c r="AD649" i="1"/>
  <c r="AC649" i="1"/>
  <c r="AB649" i="1"/>
  <c r="AA649" i="1"/>
  <c r="O649" i="1"/>
  <c r="P649" i="1" s="1"/>
  <c r="N649" i="1"/>
  <c r="M649" i="1"/>
  <c r="L649" i="1"/>
  <c r="H649" i="1"/>
  <c r="G649" i="1"/>
  <c r="F649" i="1"/>
  <c r="E649" i="1"/>
  <c r="AF648" i="1"/>
  <c r="AG648" i="1" s="1"/>
  <c r="AC648" i="1"/>
  <c r="AH648" i="1" s="1"/>
  <c r="AB648" i="1"/>
  <c r="AD648" i="1" s="1"/>
  <c r="AA648" i="1"/>
  <c r="P648" i="1"/>
  <c r="O648" i="1"/>
  <c r="N648" i="1"/>
  <c r="M648" i="1"/>
  <c r="L648" i="1"/>
  <c r="H648" i="1"/>
  <c r="G648" i="1"/>
  <c r="E648" i="1"/>
  <c r="F648" i="1" s="1"/>
  <c r="AH647" i="1"/>
  <c r="AF647" i="1"/>
  <c r="AG647" i="1" s="1"/>
  <c r="AC647" i="1"/>
  <c r="AB647" i="1"/>
  <c r="AD647" i="1" s="1"/>
  <c r="AA647" i="1"/>
  <c r="O647" i="1"/>
  <c r="P647" i="1" s="1"/>
  <c r="N647" i="1"/>
  <c r="M647" i="1"/>
  <c r="L647" i="1"/>
  <c r="H647" i="1"/>
  <c r="G647" i="1"/>
  <c r="E647" i="1"/>
  <c r="F647" i="1" s="1"/>
  <c r="AG646" i="1"/>
  <c r="AF646" i="1"/>
  <c r="AC646" i="1"/>
  <c r="AH646" i="1" s="1"/>
  <c r="AB646" i="1"/>
  <c r="AA646" i="1"/>
  <c r="P646" i="1"/>
  <c r="O646" i="1"/>
  <c r="N646" i="1"/>
  <c r="M646" i="1"/>
  <c r="L646" i="1"/>
  <c r="H646" i="1"/>
  <c r="G646" i="1"/>
  <c r="E646" i="1"/>
  <c r="F646" i="1" s="1"/>
  <c r="AF645" i="1"/>
  <c r="AG645" i="1" s="1"/>
  <c r="AC645" i="1"/>
  <c r="AH645" i="1" s="1"/>
  <c r="AB645" i="1"/>
  <c r="AD645" i="1" s="1"/>
  <c r="AA645" i="1"/>
  <c r="O645" i="1"/>
  <c r="P645" i="1" s="1"/>
  <c r="N645" i="1"/>
  <c r="M645" i="1"/>
  <c r="L645" i="1"/>
  <c r="H645" i="1"/>
  <c r="G645" i="1"/>
  <c r="F645" i="1"/>
  <c r="E645" i="1"/>
  <c r="AF644" i="1"/>
  <c r="AG644" i="1" s="1"/>
  <c r="AC644" i="1"/>
  <c r="AH644" i="1" s="1"/>
  <c r="AB644" i="1"/>
  <c r="AD644" i="1" s="1"/>
  <c r="AA644" i="1"/>
  <c r="P644" i="1"/>
  <c r="O644" i="1"/>
  <c r="N644" i="1"/>
  <c r="M644" i="1"/>
  <c r="L644" i="1"/>
  <c r="H644" i="1"/>
  <c r="G644" i="1"/>
  <c r="E644" i="1"/>
  <c r="F644" i="1" s="1"/>
  <c r="AH643" i="1"/>
  <c r="AG643" i="1"/>
  <c r="AF643" i="1"/>
  <c r="AC643" i="1"/>
  <c r="AB643" i="1"/>
  <c r="AD643" i="1" s="1"/>
  <c r="AA643" i="1"/>
  <c r="O643" i="1"/>
  <c r="P643" i="1" s="1"/>
  <c r="N643" i="1"/>
  <c r="M643" i="1"/>
  <c r="L643" i="1"/>
  <c r="H643" i="1"/>
  <c r="G643" i="1"/>
  <c r="E643" i="1"/>
  <c r="F643" i="1" s="1"/>
  <c r="AH642" i="1"/>
  <c r="AF642" i="1"/>
  <c r="AG642" i="1" s="1"/>
  <c r="AD642" i="1"/>
  <c r="AC642" i="1"/>
  <c r="AB642" i="1"/>
  <c r="AA642" i="1"/>
  <c r="O642" i="1"/>
  <c r="P642" i="1" s="1"/>
  <c r="N642" i="1"/>
  <c r="M642" i="1"/>
  <c r="L642" i="1"/>
  <c r="H642" i="1"/>
  <c r="G642" i="1"/>
  <c r="F642" i="1"/>
  <c r="E642" i="1"/>
  <c r="AG641" i="1"/>
  <c r="AF641" i="1"/>
  <c r="AC641" i="1"/>
  <c r="AB641" i="1"/>
  <c r="AA641" i="1"/>
  <c r="O641" i="1"/>
  <c r="P641" i="1" s="1"/>
  <c r="N641" i="1"/>
  <c r="M641" i="1"/>
  <c r="L641" i="1"/>
  <c r="H641" i="1"/>
  <c r="G641" i="1"/>
  <c r="F641" i="1"/>
  <c r="E641" i="1"/>
  <c r="AF640" i="1"/>
  <c r="AG640" i="1" s="1"/>
  <c r="AD640" i="1"/>
  <c r="AC640" i="1"/>
  <c r="AH640" i="1" s="1"/>
  <c r="AB640" i="1"/>
  <c r="AA640" i="1"/>
  <c r="P640" i="1"/>
  <c r="O640" i="1"/>
  <c r="N640" i="1"/>
  <c r="M640" i="1"/>
  <c r="L640" i="1"/>
  <c r="H640" i="1"/>
  <c r="G640" i="1"/>
  <c r="E640" i="1"/>
  <c r="F640" i="1" s="1"/>
  <c r="AF639" i="1"/>
  <c r="AG639" i="1" s="1"/>
  <c r="AC639" i="1"/>
  <c r="AH639" i="1" s="1"/>
  <c r="AB639" i="1"/>
  <c r="AA639" i="1"/>
  <c r="P639" i="1"/>
  <c r="O639" i="1"/>
  <c r="N639" i="1"/>
  <c r="M639" i="1"/>
  <c r="L639" i="1"/>
  <c r="H639" i="1"/>
  <c r="G639" i="1"/>
  <c r="F639" i="1"/>
  <c r="E639" i="1"/>
  <c r="AF638" i="1"/>
  <c r="AG638" i="1" s="1"/>
  <c r="AC638" i="1"/>
  <c r="AH638" i="1" s="1"/>
  <c r="AB638" i="1"/>
  <c r="AA638" i="1"/>
  <c r="O638" i="1"/>
  <c r="P638" i="1" s="1"/>
  <c r="N638" i="1"/>
  <c r="M638" i="1"/>
  <c r="L638" i="1"/>
  <c r="H638" i="1"/>
  <c r="G638" i="1"/>
  <c r="F638" i="1"/>
  <c r="E638" i="1"/>
  <c r="AG637" i="1"/>
  <c r="AF637" i="1"/>
  <c r="AC637" i="1"/>
  <c r="AH637" i="1" s="1"/>
  <c r="AB637" i="1"/>
  <c r="AA637" i="1"/>
  <c r="O637" i="1"/>
  <c r="P637" i="1" s="1"/>
  <c r="N637" i="1"/>
  <c r="M637" i="1"/>
  <c r="L637" i="1"/>
  <c r="H637" i="1"/>
  <c r="G637" i="1"/>
  <c r="F637" i="1"/>
  <c r="E637" i="1"/>
  <c r="AF636" i="1"/>
  <c r="AG636" i="1" s="1"/>
  <c r="AD636" i="1"/>
  <c r="AC636" i="1"/>
  <c r="AH636" i="1" s="1"/>
  <c r="AB636" i="1"/>
  <c r="AA636" i="1"/>
  <c r="O636" i="1"/>
  <c r="P636" i="1" s="1"/>
  <c r="N636" i="1"/>
  <c r="M636" i="1"/>
  <c r="L636" i="1"/>
  <c r="H636" i="1"/>
  <c r="G636" i="1"/>
  <c r="E636" i="1"/>
  <c r="F636" i="1" s="1"/>
  <c r="AH635" i="1"/>
  <c r="AG635" i="1"/>
  <c r="AF635" i="1"/>
  <c r="AC635" i="1"/>
  <c r="AB635" i="1"/>
  <c r="AD635" i="1" s="1"/>
  <c r="AA635" i="1"/>
  <c r="P635" i="1"/>
  <c r="O635" i="1"/>
  <c r="N635" i="1"/>
  <c r="M635" i="1"/>
  <c r="L635" i="1"/>
  <c r="H635" i="1"/>
  <c r="G635" i="1"/>
  <c r="F635" i="1"/>
  <c r="E635" i="1"/>
  <c r="AH634" i="1"/>
  <c r="AF634" i="1"/>
  <c r="AG634" i="1" s="1"/>
  <c r="AD634" i="1"/>
  <c r="AC634" i="1"/>
  <c r="AB634" i="1"/>
  <c r="AA634" i="1"/>
  <c r="O634" i="1"/>
  <c r="P634" i="1" s="1"/>
  <c r="N634" i="1"/>
  <c r="M634" i="1"/>
  <c r="L634" i="1"/>
  <c r="H634" i="1"/>
  <c r="G634" i="1"/>
  <c r="E634" i="1"/>
  <c r="F634" i="1" s="1"/>
  <c r="AH633" i="1"/>
  <c r="AF633" i="1"/>
  <c r="AG633" i="1" s="1"/>
  <c r="AC633" i="1"/>
  <c r="AB633" i="1"/>
  <c r="AD633" i="1" s="1"/>
  <c r="AA633" i="1"/>
  <c r="P633" i="1"/>
  <c r="O633" i="1"/>
  <c r="N633" i="1"/>
  <c r="M633" i="1"/>
  <c r="L633" i="1"/>
  <c r="H633" i="1"/>
  <c r="G633" i="1"/>
  <c r="F633" i="1"/>
  <c r="E633" i="1"/>
  <c r="AF632" i="1"/>
  <c r="AG632" i="1" s="1"/>
  <c r="AC632" i="1"/>
  <c r="AH632" i="1" s="1"/>
  <c r="AB632" i="1"/>
  <c r="AD632" i="1" s="1"/>
  <c r="AA632" i="1"/>
  <c r="P632" i="1"/>
  <c r="O632" i="1"/>
  <c r="N632" i="1"/>
  <c r="M632" i="1"/>
  <c r="L632" i="1"/>
  <c r="H632" i="1"/>
  <c r="G632" i="1"/>
  <c r="F632" i="1"/>
  <c r="E632" i="1"/>
  <c r="AH631" i="1"/>
  <c r="AG631" i="1"/>
  <c r="AF631" i="1"/>
  <c r="AC631" i="1"/>
  <c r="AB631" i="1"/>
  <c r="AD631" i="1" s="1"/>
  <c r="AA631" i="1"/>
  <c r="P631" i="1"/>
  <c r="O631" i="1"/>
  <c r="N631" i="1"/>
  <c r="M631" i="1"/>
  <c r="L631" i="1"/>
  <c r="H631" i="1"/>
  <c r="G631" i="1"/>
  <c r="E631" i="1"/>
  <c r="F631" i="1" s="1"/>
  <c r="AH630" i="1"/>
  <c r="AF630" i="1"/>
  <c r="AG630" i="1" s="1"/>
  <c r="AD630" i="1"/>
  <c r="AC630" i="1"/>
  <c r="AB630" i="1"/>
  <c r="AA630" i="1"/>
  <c r="O630" i="1"/>
  <c r="P630" i="1" s="1"/>
  <c r="N630" i="1"/>
  <c r="M630" i="1"/>
  <c r="L630" i="1"/>
  <c r="H630" i="1"/>
  <c r="G630" i="1"/>
  <c r="F630" i="1"/>
  <c r="E630" i="1"/>
  <c r="AG629" i="1"/>
  <c r="AF629" i="1"/>
  <c r="AC629" i="1"/>
  <c r="AH629" i="1" s="1"/>
  <c r="AB629" i="1"/>
  <c r="AD629" i="1" s="1"/>
  <c r="AA629" i="1"/>
  <c r="P629" i="1"/>
  <c r="O629" i="1"/>
  <c r="N629" i="1"/>
  <c r="M629" i="1"/>
  <c r="L629" i="1"/>
  <c r="H629" i="1"/>
  <c r="G629" i="1"/>
  <c r="F629" i="1"/>
  <c r="E629" i="1"/>
  <c r="AG628" i="1"/>
  <c r="AF628" i="1"/>
  <c r="AC628" i="1"/>
  <c r="AB628" i="1"/>
  <c r="AA628" i="1"/>
  <c r="O628" i="1"/>
  <c r="P628" i="1" s="1"/>
  <c r="N628" i="1"/>
  <c r="M628" i="1"/>
  <c r="L628" i="1"/>
  <c r="H628" i="1"/>
  <c r="G628" i="1"/>
  <c r="E628" i="1"/>
  <c r="F628" i="1" s="1"/>
  <c r="AH627" i="1"/>
  <c r="AG627" i="1"/>
  <c r="AF627" i="1"/>
  <c r="AC627" i="1"/>
  <c r="AB627" i="1"/>
  <c r="AD627" i="1" s="1"/>
  <c r="AA627" i="1"/>
  <c r="O627" i="1"/>
  <c r="P627" i="1" s="1"/>
  <c r="N627" i="1"/>
  <c r="M627" i="1"/>
  <c r="L627" i="1"/>
  <c r="H627" i="1"/>
  <c r="G627" i="1"/>
  <c r="E627" i="1"/>
  <c r="F627" i="1" s="1"/>
  <c r="AF626" i="1"/>
  <c r="AG626" i="1" s="1"/>
  <c r="AC626" i="1"/>
  <c r="AB626" i="1"/>
  <c r="AA626" i="1"/>
  <c r="O626" i="1"/>
  <c r="P626" i="1" s="1"/>
  <c r="N626" i="1"/>
  <c r="M626" i="1"/>
  <c r="L626" i="1"/>
  <c r="H626" i="1"/>
  <c r="G626" i="1"/>
  <c r="E626" i="1"/>
  <c r="F626" i="1" s="1"/>
  <c r="AH625" i="1"/>
  <c r="AF625" i="1"/>
  <c r="AG625" i="1" s="1"/>
  <c r="AD625" i="1"/>
  <c r="AC625" i="1"/>
  <c r="AB625" i="1"/>
  <c r="AA625" i="1"/>
  <c r="P625" i="1"/>
  <c r="O625" i="1"/>
  <c r="N625" i="1"/>
  <c r="M625" i="1"/>
  <c r="L625" i="1"/>
  <c r="H625" i="1"/>
  <c r="G625" i="1"/>
  <c r="F625" i="1"/>
  <c r="E625" i="1"/>
  <c r="AF624" i="1"/>
  <c r="AG624" i="1" s="1"/>
  <c r="AC624" i="1"/>
  <c r="AH624" i="1" s="1"/>
  <c r="AB624" i="1"/>
  <c r="AA624" i="1"/>
  <c r="O624" i="1"/>
  <c r="P624" i="1" s="1"/>
  <c r="N624" i="1"/>
  <c r="M624" i="1"/>
  <c r="L624" i="1"/>
  <c r="H624" i="1"/>
  <c r="G624" i="1"/>
  <c r="E624" i="1"/>
  <c r="F624" i="1" s="1"/>
  <c r="AH623" i="1"/>
  <c r="AG623" i="1"/>
  <c r="AF623" i="1"/>
  <c r="AC623" i="1"/>
  <c r="AB623" i="1"/>
  <c r="AD623" i="1" s="1"/>
  <c r="AA623" i="1"/>
  <c r="P623" i="1"/>
  <c r="O623" i="1"/>
  <c r="N623" i="1"/>
  <c r="M623" i="1"/>
  <c r="L623" i="1"/>
  <c r="H623" i="1"/>
  <c r="G623" i="1"/>
  <c r="F623" i="1"/>
  <c r="E623" i="1"/>
  <c r="AH622" i="1"/>
  <c r="AF622" i="1"/>
  <c r="AG622" i="1" s="1"/>
  <c r="AD622" i="1"/>
  <c r="AC622" i="1"/>
  <c r="AB622" i="1"/>
  <c r="AA622" i="1"/>
  <c r="O622" i="1"/>
  <c r="P622" i="1" s="1"/>
  <c r="N622" i="1"/>
  <c r="M622" i="1"/>
  <c r="L622" i="1"/>
  <c r="H622" i="1"/>
  <c r="G622" i="1"/>
  <c r="F622" i="1"/>
  <c r="E622" i="1"/>
  <c r="AF621" i="1"/>
  <c r="AG621" i="1" s="1"/>
  <c r="AC621" i="1"/>
  <c r="AH621" i="1" s="1"/>
  <c r="AB621" i="1"/>
  <c r="AD621" i="1" s="1"/>
  <c r="AA621" i="1"/>
  <c r="P621" i="1"/>
  <c r="O621" i="1"/>
  <c r="N621" i="1"/>
  <c r="M621" i="1"/>
  <c r="L621" i="1"/>
  <c r="H621" i="1"/>
  <c r="G621" i="1"/>
  <c r="E621" i="1"/>
  <c r="F621" i="1" s="1"/>
  <c r="AG620" i="1"/>
  <c r="AF620" i="1"/>
  <c r="AC620" i="1"/>
  <c r="AH620" i="1" s="1"/>
  <c r="AB620" i="1"/>
  <c r="AD620" i="1" s="1"/>
  <c r="AA620" i="1"/>
  <c r="P620" i="1"/>
  <c r="O620" i="1"/>
  <c r="N620" i="1"/>
  <c r="M620" i="1"/>
  <c r="L620" i="1"/>
  <c r="H620" i="1"/>
  <c r="G620" i="1"/>
  <c r="E620" i="1"/>
  <c r="F620" i="1" s="1"/>
  <c r="AH619" i="1"/>
  <c r="AG619" i="1"/>
  <c r="AF619" i="1"/>
  <c r="AD619" i="1"/>
  <c r="AC619" i="1"/>
  <c r="AB619" i="1"/>
  <c r="AA619" i="1"/>
  <c r="P619" i="1"/>
  <c r="O619" i="1"/>
  <c r="N619" i="1"/>
  <c r="M619" i="1"/>
  <c r="L619" i="1"/>
  <c r="H619" i="1"/>
  <c r="G619" i="1"/>
  <c r="F619" i="1"/>
  <c r="E619" i="1"/>
  <c r="AH618" i="1"/>
  <c r="AF618" i="1"/>
  <c r="AG618" i="1" s="1"/>
  <c r="AD618" i="1"/>
  <c r="AC618" i="1"/>
  <c r="AB618" i="1"/>
  <c r="AA618" i="1"/>
  <c r="O618" i="1"/>
  <c r="P618" i="1" s="1"/>
  <c r="N618" i="1"/>
  <c r="M618" i="1"/>
  <c r="L618" i="1"/>
  <c r="H618" i="1"/>
  <c r="G618" i="1"/>
  <c r="F618" i="1"/>
  <c r="E618" i="1"/>
  <c r="AH617" i="1"/>
  <c r="AG617" i="1"/>
  <c r="AF617" i="1"/>
  <c r="AC617" i="1"/>
  <c r="AB617" i="1"/>
  <c r="AD617" i="1" s="1"/>
  <c r="AA617" i="1"/>
  <c r="P617" i="1"/>
  <c r="O617" i="1"/>
  <c r="N617" i="1"/>
  <c r="M617" i="1"/>
  <c r="L617" i="1"/>
  <c r="H617" i="1"/>
  <c r="G617" i="1"/>
  <c r="E617" i="1"/>
  <c r="F617" i="1" s="1"/>
  <c r="AH616" i="1"/>
  <c r="AG616" i="1"/>
  <c r="AF616" i="1"/>
  <c r="AD616" i="1"/>
  <c r="AC616" i="1"/>
  <c r="AB616" i="1"/>
  <c r="AA616" i="1"/>
  <c r="P616" i="1"/>
  <c r="O616" i="1"/>
  <c r="N616" i="1"/>
  <c r="M616" i="1"/>
  <c r="L616" i="1"/>
  <c r="H616" i="1"/>
  <c r="G616" i="1"/>
  <c r="E616" i="1"/>
  <c r="F616" i="1" s="1"/>
  <c r="AH615" i="1"/>
  <c r="AF615" i="1"/>
  <c r="AG615" i="1" s="1"/>
  <c r="AD615" i="1"/>
  <c r="AC615" i="1"/>
  <c r="AB615" i="1"/>
  <c r="AA615" i="1"/>
  <c r="O615" i="1"/>
  <c r="P615" i="1" s="1"/>
  <c r="N615" i="1"/>
  <c r="M615" i="1"/>
  <c r="L615" i="1"/>
  <c r="H615" i="1"/>
  <c r="G615" i="1"/>
  <c r="E615" i="1"/>
  <c r="F615" i="1" s="1"/>
  <c r="AG614" i="1"/>
  <c r="AF614" i="1"/>
  <c r="AC614" i="1"/>
  <c r="AH614" i="1" s="1"/>
  <c r="AB614" i="1"/>
  <c r="AD614" i="1" s="1"/>
  <c r="AA614" i="1"/>
  <c r="P614" i="1"/>
  <c r="O614" i="1"/>
  <c r="N614" i="1"/>
  <c r="M614" i="1"/>
  <c r="L614" i="1"/>
  <c r="H614" i="1"/>
  <c r="G614" i="1"/>
  <c r="F614" i="1"/>
  <c r="E614" i="1"/>
  <c r="AF613" i="1"/>
  <c r="AG613" i="1" s="1"/>
  <c r="AC613" i="1"/>
  <c r="AH613" i="1" s="1"/>
  <c r="AB613" i="1"/>
  <c r="AD613" i="1" s="1"/>
  <c r="AA613" i="1"/>
  <c r="O613" i="1"/>
  <c r="P613" i="1" s="1"/>
  <c r="N613" i="1"/>
  <c r="M613" i="1"/>
  <c r="L613" i="1"/>
  <c r="H613" i="1"/>
  <c r="G613" i="1"/>
  <c r="E613" i="1"/>
  <c r="F613" i="1" s="1"/>
  <c r="AF612" i="1"/>
  <c r="AG612" i="1" s="1"/>
  <c r="AC612" i="1"/>
  <c r="AH612" i="1" s="1"/>
  <c r="AB612" i="1"/>
  <c r="AD612" i="1" s="1"/>
  <c r="AA612" i="1"/>
  <c r="O612" i="1"/>
  <c r="P612" i="1" s="1"/>
  <c r="N612" i="1"/>
  <c r="M612" i="1"/>
  <c r="L612" i="1"/>
  <c r="H612" i="1"/>
  <c r="G612" i="1"/>
  <c r="E612" i="1"/>
  <c r="F612" i="1" s="1"/>
  <c r="AH611" i="1"/>
  <c r="AF611" i="1"/>
  <c r="AG611" i="1" s="1"/>
  <c r="AC611" i="1"/>
  <c r="AB611" i="1"/>
  <c r="AA611" i="1"/>
  <c r="O611" i="1"/>
  <c r="P611" i="1" s="1"/>
  <c r="N611" i="1"/>
  <c r="M611" i="1"/>
  <c r="L611" i="1"/>
  <c r="H611" i="1"/>
  <c r="G611" i="1"/>
  <c r="E611" i="1"/>
  <c r="F611" i="1" s="1"/>
  <c r="AF610" i="1"/>
  <c r="AG610" i="1" s="1"/>
  <c r="AC610" i="1"/>
  <c r="AB610" i="1"/>
  <c r="AA610" i="1"/>
  <c r="P610" i="1"/>
  <c r="O610" i="1"/>
  <c r="N610" i="1"/>
  <c r="M610" i="1"/>
  <c r="L610" i="1"/>
  <c r="H610" i="1"/>
  <c r="G610" i="1"/>
  <c r="E610" i="1"/>
  <c r="F610" i="1" s="1"/>
  <c r="AH609" i="1"/>
  <c r="AF609" i="1"/>
  <c r="AG609" i="1" s="1"/>
  <c r="AC609" i="1"/>
  <c r="AB609" i="1"/>
  <c r="AD609" i="1" s="1"/>
  <c r="AA609" i="1"/>
  <c r="O609" i="1"/>
  <c r="P609" i="1" s="1"/>
  <c r="N609" i="1"/>
  <c r="M609" i="1"/>
  <c r="L609" i="1"/>
  <c r="H609" i="1"/>
  <c r="G609" i="1"/>
  <c r="E609" i="1"/>
  <c r="F609" i="1" s="1"/>
  <c r="AG608" i="1"/>
  <c r="AF608" i="1"/>
  <c r="AC608" i="1"/>
  <c r="AH608" i="1" s="1"/>
  <c r="AB608" i="1"/>
  <c r="AD608" i="1" s="1"/>
  <c r="AA608" i="1"/>
  <c r="O608" i="1"/>
  <c r="P608" i="1" s="1"/>
  <c r="N608" i="1"/>
  <c r="M608" i="1"/>
  <c r="L608" i="1"/>
  <c r="H608" i="1"/>
  <c r="G608" i="1"/>
  <c r="E608" i="1"/>
  <c r="F608" i="1" s="1"/>
  <c r="AF607" i="1"/>
  <c r="AG607" i="1" s="1"/>
  <c r="AC607" i="1"/>
  <c r="AH607" i="1" s="1"/>
  <c r="AB607" i="1"/>
  <c r="AD607" i="1" s="1"/>
  <c r="AA607" i="1"/>
  <c r="O607" i="1"/>
  <c r="P607" i="1" s="1"/>
  <c r="N607" i="1"/>
  <c r="M607" i="1"/>
  <c r="L607" i="1"/>
  <c r="H607" i="1"/>
  <c r="G607" i="1"/>
  <c r="F607" i="1"/>
  <c r="E607" i="1"/>
  <c r="AF606" i="1"/>
  <c r="AG606" i="1" s="1"/>
  <c r="AD606" i="1"/>
  <c r="AC606" i="1"/>
  <c r="AH606" i="1" s="1"/>
  <c r="AB606" i="1"/>
  <c r="AA606" i="1"/>
  <c r="O606" i="1"/>
  <c r="P606" i="1" s="1"/>
  <c r="N606" i="1"/>
  <c r="M606" i="1"/>
  <c r="L606" i="1"/>
  <c r="H606" i="1"/>
  <c r="G606" i="1"/>
  <c r="F606" i="1"/>
  <c r="E606" i="1"/>
  <c r="AF605" i="1"/>
  <c r="AG605" i="1" s="1"/>
  <c r="AC605" i="1"/>
  <c r="AH605" i="1" s="1"/>
  <c r="AB605" i="1"/>
  <c r="AD605" i="1" s="1"/>
  <c r="AA605" i="1"/>
  <c r="P605" i="1"/>
  <c r="O605" i="1"/>
  <c r="N605" i="1"/>
  <c r="M605" i="1"/>
  <c r="L605" i="1"/>
  <c r="H605" i="1"/>
  <c r="G605" i="1"/>
  <c r="F605" i="1"/>
  <c r="E605" i="1"/>
  <c r="AH604" i="1"/>
  <c r="AG604" i="1"/>
  <c r="AF604" i="1"/>
  <c r="AC604" i="1"/>
  <c r="AB604" i="1"/>
  <c r="AD604" i="1" s="1"/>
  <c r="AA604" i="1"/>
  <c r="O604" i="1"/>
  <c r="P604" i="1" s="1"/>
  <c r="N604" i="1"/>
  <c r="M604" i="1"/>
  <c r="L604" i="1"/>
  <c r="H604" i="1"/>
  <c r="G604" i="1"/>
  <c r="E604" i="1"/>
  <c r="F604" i="1" s="1"/>
  <c r="AH603" i="1"/>
  <c r="AF603" i="1"/>
  <c r="AG603" i="1" s="1"/>
  <c r="AD603" i="1"/>
  <c r="AC603" i="1"/>
  <c r="AB603" i="1"/>
  <c r="AA603" i="1"/>
  <c r="O603" i="1"/>
  <c r="P603" i="1" s="1"/>
  <c r="N603" i="1"/>
  <c r="M603" i="1"/>
  <c r="L603" i="1"/>
  <c r="H603" i="1"/>
  <c r="G603" i="1"/>
  <c r="F603" i="1"/>
  <c r="E603" i="1"/>
  <c r="AF602" i="1"/>
  <c r="AG602" i="1" s="1"/>
  <c r="AC602" i="1"/>
  <c r="AH602" i="1" s="1"/>
  <c r="AB602" i="1"/>
  <c r="AD602" i="1" s="1"/>
  <c r="AA602" i="1"/>
  <c r="P602" i="1"/>
  <c r="O602" i="1"/>
  <c r="N602" i="1"/>
  <c r="M602" i="1"/>
  <c r="L602" i="1"/>
  <c r="H602" i="1"/>
  <c r="G602" i="1"/>
  <c r="E602" i="1"/>
  <c r="F602" i="1" s="1"/>
  <c r="AH601" i="1"/>
  <c r="AG601" i="1"/>
  <c r="AF601" i="1"/>
  <c r="AC601" i="1"/>
  <c r="AD601" i="1" s="1"/>
  <c r="AB601" i="1"/>
  <c r="AA601" i="1"/>
  <c r="O601" i="1"/>
  <c r="P601" i="1" s="1"/>
  <c r="N601" i="1"/>
  <c r="M601" i="1"/>
  <c r="L601" i="1"/>
  <c r="H601" i="1"/>
  <c r="G601" i="1"/>
  <c r="E601" i="1"/>
  <c r="F601" i="1" s="1"/>
  <c r="AH600" i="1"/>
  <c r="AF600" i="1"/>
  <c r="AG600" i="1" s="1"/>
  <c r="AD600" i="1"/>
  <c r="AC600" i="1"/>
  <c r="AB600" i="1"/>
  <c r="AA600" i="1"/>
  <c r="O600" i="1"/>
  <c r="P600" i="1" s="1"/>
  <c r="N600" i="1"/>
  <c r="M600" i="1"/>
  <c r="L600" i="1"/>
  <c r="H600" i="1"/>
  <c r="G600" i="1"/>
  <c r="E600" i="1"/>
  <c r="F600" i="1" s="1"/>
  <c r="AF599" i="1"/>
  <c r="AG599" i="1" s="1"/>
  <c r="AC599" i="1"/>
  <c r="AH599" i="1" s="1"/>
  <c r="AB599" i="1"/>
  <c r="AA599" i="1"/>
  <c r="P599" i="1"/>
  <c r="O599" i="1"/>
  <c r="N599" i="1"/>
  <c r="M599" i="1"/>
  <c r="L599" i="1"/>
  <c r="H599" i="1"/>
  <c r="G599" i="1"/>
  <c r="F599" i="1"/>
  <c r="E599" i="1"/>
  <c r="AB598" i="1"/>
  <c r="AA598" i="1"/>
  <c r="N598" i="1"/>
  <c r="M598" i="1"/>
  <c r="L598" i="1"/>
  <c r="H598" i="1"/>
  <c r="G598" i="1"/>
  <c r="F598" i="1"/>
  <c r="E598" i="1"/>
  <c r="AB597" i="1"/>
  <c r="AA597" i="1"/>
  <c r="N597" i="1"/>
  <c r="M597" i="1"/>
  <c r="L597" i="1"/>
  <c r="H597" i="1"/>
  <c r="G597" i="1"/>
  <c r="F597" i="1"/>
  <c r="E597" i="1"/>
  <c r="AB596" i="1"/>
  <c r="AA596" i="1"/>
  <c r="N596" i="1"/>
  <c r="M596" i="1"/>
  <c r="L596" i="1"/>
  <c r="H596" i="1"/>
  <c r="G596" i="1"/>
  <c r="F596" i="1"/>
  <c r="E596" i="1"/>
  <c r="AB595" i="1"/>
  <c r="AA595" i="1"/>
  <c r="N595" i="1"/>
  <c r="M595" i="1"/>
  <c r="L595" i="1"/>
  <c r="H595" i="1"/>
  <c r="G595" i="1"/>
  <c r="F595" i="1"/>
  <c r="E595" i="1"/>
  <c r="AB594" i="1"/>
  <c r="AA594" i="1"/>
  <c r="N594" i="1"/>
  <c r="M594" i="1"/>
  <c r="L594" i="1"/>
  <c r="H594" i="1"/>
  <c r="G594" i="1"/>
  <c r="F594" i="1"/>
  <c r="E594" i="1"/>
  <c r="AB593" i="1"/>
  <c r="AA593" i="1"/>
  <c r="N593" i="1"/>
  <c r="M593" i="1"/>
  <c r="L593" i="1"/>
  <c r="H593" i="1"/>
  <c r="G593" i="1"/>
  <c r="F593" i="1"/>
  <c r="E593" i="1"/>
  <c r="AB592" i="1"/>
  <c r="AA592" i="1"/>
  <c r="N592" i="1"/>
  <c r="M592" i="1"/>
  <c r="L592" i="1"/>
  <c r="H592" i="1"/>
  <c r="G592" i="1"/>
  <c r="F592" i="1"/>
  <c r="E592" i="1"/>
  <c r="AB591" i="1"/>
  <c r="AA591" i="1"/>
  <c r="N591" i="1"/>
  <c r="M591" i="1"/>
  <c r="L591" i="1"/>
  <c r="H591" i="1"/>
  <c r="G591" i="1"/>
  <c r="F591" i="1"/>
  <c r="E591" i="1"/>
  <c r="AB590" i="1"/>
  <c r="AA590" i="1"/>
  <c r="N590" i="1"/>
  <c r="M590" i="1"/>
  <c r="L590" i="1"/>
  <c r="H590" i="1"/>
  <c r="G590" i="1"/>
  <c r="F590" i="1"/>
  <c r="E590" i="1"/>
  <c r="AB589" i="1"/>
  <c r="AA589" i="1"/>
  <c r="N589" i="1"/>
  <c r="M589" i="1"/>
  <c r="L589" i="1"/>
  <c r="H589" i="1"/>
  <c r="G589" i="1"/>
  <c r="F589" i="1"/>
  <c r="E589" i="1"/>
  <c r="AB588" i="1"/>
  <c r="AA588" i="1"/>
  <c r="N588" i="1"/>
  <c r="M588" i="1"/>
  <c r="L588" i="1"/>
  <c r="H588" i="1"/>
  <c r="G588" i="1"/>
  <c r="F588" i="1"/>
  <c r="E588" i="1"/>
  <c r="AB587" i="1"/>
  <c r="AA587" i="1"/>
  <c r="N587" i="1"/>
  <c r="M587" i="1"/>
  <c r="L587" i="1"/>
  <c r="H587" i="1"/>
  <c r="G587" i="1"/>
  <c r="F587" i="1"/>
  <c r="E587" i="1"/>
  <c r="AB586" i="1"/>
  <c r="AA586" i="1"/>
  <c r="N586" i="1"/>
  <c r="M586" i="1"/>
  <c r="L586" i="1"/>
  <c r="H586" i="1"/>
  <c r="G586" i="1"/>
  <c r="F586" i="1"/>
  <c r="E586" i="1"/>
  <c r="AB585" i="1"/>
  <c r="AA585" i="1"/>
  <c r="N585" i="1"/>
  <c r="M585" i="1"/>
  <c r="L585" i="1"/>
  <c r="H585" i="1"/>
  <c r="G585" i="1"/>
  <c r="F585" i="1"/>
  <c r="E585" i="1"/>
  <c r="AB584" i="1"/>
  <c r="AA584" i="1"/>
  <c r="N584" i="1"/>
  <c r="M584" i="1"/>
  <c r="L584" i="1"/>
  <c r="H584" i="1"/>
  <c r="G584" i="1"/>
  <c r="F584" i="1"/>
  <c r="E584" i="1"/>
  <c r="AB583" i="1"/>
  <c r="AA583" i="1"/>
  <c r="N583" i="1"/>
  <c r="M583" i="1"/>
  <c r="L583" i="1"/>
  <c r="H583" i="1"/>
  <c r="G583" i="1"/>
  <c r="F583" i="1"/>
  <c r="E583" i="1"/>
  <c r="AB582" i="1"/>
  <c r="AA582" i="1"/>
  <c r="N582" i="1"/>
  <c r="M582" i="1"/>
  <c r="L582" i="1"/>
  <c r="H582" i="1"/>
  <c r="G582" i="1"/>
  <c r="F582" i="1"/>
  <c r="E582" i="1"/>
  <c r="AB581" i="1"/>
  <c r="AA581" i="1"/>
  <c r="N581" i="1"/>
  <c r="M581" i="1"/>
  <c r="L581" i="1"/>
  <c r="H581" i="1"/>
  <c r="G581" i="1"/>
  <c r="F581" i="1"/>
  <c r="E581" i="1"/>
  <c r="AB580" i="1"/>
  <c r="AA580" i="1"/>
  <c r="N580" i="1"/>
  <c r="M580" i="1"/>
  <c r="L580" i="1"/>
  <c r="H580" i="1"/>
  <c r="G580" i="1"/>
  <c r="F580" i="1"/>
  <c r="E580" i="1"/>
  <c r="AB579" i="1"/>
  <c r="AA579" i="1"/>
  <c r="N579" i="1"/>
  <c r="M579" i="1"/>
  <c r="L579" i="1"/>
  <c r="H579" i="1"/>
  <c r="G579" i="1"/>
  <c r="F579" i="1"/>
  <c r="E579" i="1"/>
  <c r="AB578" i="1"/>
  <c r="AA578" i="1"/>
  <c r="N578" i="1"/>
  <c r="M578" i="1"/>
  <c r="L578" i="1"/>
  <c r="H578" i="1"/>
  <c r="G578" i="1"/>
  <c r="F578" i="1"/>
  <c r="E578" i="1"/>
  <c r="AB577" i="1"/>
  <c r="AA577" i="1"/>
  <c r="N577" i="1"/>
  <c r="M577" i="1"/>
  <c r="L577" i="1"/>
  <c r="H577" i="1"/>
  <c r="G577" i="1"/>
  <c r="F577" i="1"/>
  <c r="E577" i="1"/>
  <c r="AA576" i="1"/>
  <c r="M576" i="1"/>
  <c r="L576" i="1"/>
  <c r="H576" i="1"/>
  <c r="G576" i="1"/>
  <c r="E576" i="1"/>
  <c r="F576" i="1" s="1"/>
  <c r="AA575" i="1"/>
  <c r="M575" i="1"/>
  <c r="L575" i="1"/>
  <c r="H575" i="1"/>
  <c r="G575" i="1"/>
  <c r="E575" i="1"/>
  <c r="F575" i="1" s="1"/>
  <c r="AA574" i="1"/>
  <c r="M574" i="1"/>
  <c r="L574" i="1"/>
  <c r="H574" i="1"/>
  <c r="G574" i="1"/>
  <c r="E574" i="1"/>
  <c r="F574" i="1" s="1"/>
  <c r="AA573" i="1"/>
  <c r="M573" i="1"/>
  <c r="L573" i="1"/>
  <c r="H573" i="1"/>
  <c r="G573" i="1"/>
  <c r="F573" i="1"/>
  <c r="E573" i="1"/>
  <c r="AA572" i="1"/>
  <c r="M572" i="1"/>
  <c r="L572" i="1"/>
  <c r="H572" i="1"/>
  <c r="G572" i="1"/>
  <c r="F572" i="1"/>
  <c r="E572" i="1"/>
  <c r="L571" i="1"/>
  <c r="H571" i="1"/>
  <c r="G571" i="1"/>
  <c r="E571" i="1"/>
  <c r="F571" i="1" s="1"/>
  <c r="AF570" i="1"/>
  <c r="AG570" i="1" s="1"/>
  <c r="AD570" i="1"/>
  <c r="AC570" i="1"/>
  <c r="AH570" i="1" s="1"/>
  <c r="AB570" i="1"/>
  <c r="AA570" i="1"/>
  <c r="O570" i="1"/>
  <c r="P570" i="1" s="1"/>
  <c r="N570" i="1"/>
  <c r="M570" i="1"/>
  <c r="L570" i="1"/>
  <c r="AH569" i="1"/>
  <c r="AG569" i="1"/>
  <c r="AF569" i="1"/>
  <c r="AC569" i="1"/>
  <c r="AB569" i="1"/>
  <c r="AD569" i="1" s="1"/>
  <c r="AA569" i="1"/>
  <c r="O569" i="1"/>
  <c r="P569" i="1" s="1"/>
  <c r="N569" i="1"/>
  <c r="M569" i="1"/>
  <c r="L569" i="1"/>
  <c r="AH568" i="1"/>
  <c r="AF568" i="1"/>
  <c r="AG568" i="1" s="1"/>
  <c r="AD568" i="1"/>
  <c r="AC568" i="1"/>
  <c r="AB568" i="1"/>
  <c r="AA568" i="1"/>
  <c r="P568" i="1"/>
  <c r="O568" i="1"/>
  <c r="N568" i="1"/>
  <c r="M568" i="1"/>
  <c r="L568" i="1"/>
  <c r="AH567" i="1"/>
  <c r="AG567" i="1"/>
  <c r="AF567" i="1"/>
  <c r="AD567" i="1"/>
  <c r="AC567" i="1"/>
  <c r="AB567" i="1"/>
  <c r="AA567" i="1"/>
  <c r="O567" i="1"/>
  <c r="P567" i="1" s="1"/>
  <c r="N567" i="1"/>
  <c r="M567" i="1"/>
  <c r="L567" i="1"/>
  <c r="AH566" i="1"/>
  <c r="AF566" i="1"/>
  <c r="AG566" i="1" s="1"/>
  <c r="AD566" i="1"/>
  <c r="AC566" i="1"/>
  <c r="AB566" i="1"/>
  <c r="AA566" i="1"/>
  <c r="O566" i="1"/>
  <c r="P566" i="1" s="1"/>
  <c r="N566" i="1"/>
  <c r="M566" i="1"/>
  <c r="L566" i="1"/>
  <c r="AF565" i="1"/>
  <c r="AG565" i="1" s="1"/>
  <c r="AC565" i="1"/>
  <c r="AH565" i="1" s="1"/>
  <c r="AB565" i="1"/>
  <c r="AA565" i="1"/>
  <c r="O565" i="1"/>
  <c r="P565" i="1" s="1"/>
  <c r="N565" i="1"/>
  <c r="M565" i="1"/>
  <c r="L565" i="1"/>
  <c r="AF564" i="1"/>
  <c r="AG564" i="1" s="1"/>
  <c r="AD564" i="1"/>
  <c r="AC564" i="1"/>
  <c r="AH564" i="1" s="1"/>
  <c r="AB564" i="1"/>
  <c r="AA564" i="1"/>
  <c r="O564" i="1"/>
  <c r="P564" i="1" s="1"/>
  <c r="N564" i="1"/>
  <c r="M564" i="1"/>
  <c r="L564" i="1"/>
  <c r="AH563" i="1"/>
  <c r="AG563" i="1"/>
  <c r="AF563" i="1"/>
  <c r="AC563" i="1"/>
  <c r="AD563" i="1" s="1"/>
  <c r="AB563" i="1"/>
  <c r="AA563" i="1"/>
  <c r="O563" i="1"/>
  <c r="P563" i="1" s="1"/>
  <c r="N563" i="1"/>
  <c r="M563" i="1"/>
  <c r="L563" i="1"/>
  <c r="AF562" i="1"/>
  <c r="AG562" i="1" s="1"/>
  <c r="AC562" i="1"/>
  <c r="AH562" i="1" s="1"/>
  <c r="AB562" i="1"/>
  <c r="AD562" i="1" s="1"/>
  <c r="AA562" i="1"/>
  <c r="P562" i="1"/>
  <c r="O562" i="1"/>
  <c r="N562" i="1"/>
  <c r="M562" i="1"/>
  <c r="L562" i="1"/>
  <c r="AG561" i="1"/>
  <c r="AF561" i="1"/>
  <c r="AC561" i="1"/>
  <c r="AH561" i="1" s="1"/>
  <c r="AB561" i="1"/>
  <c r="AD561" i="1" s="1"/>
  <c r="AA561" i="1"/>
  <c r="O561" i="1"/>
  <c r="P561" i="1" s="1"/>
  <c r="N561" i="1"/>
  <c r="M561" i="1"/>
  <c r="L561" i="1"/>
  <c r="AF560" i="1"/>
  <c r="AG560" i="1" s="1"/>
  <c r="AD560" i="1"/>
  <c r="AC560" i="1"/>
  <c r="AH560" i="1" s="1"/>
  <c r="AB560" i="1"/>
  <c r="AA560" i="1"/>
  <c r="P560" i="1"/>
  <c r="O560" i="1"/>
  <c r="N560" i="1"/>
  <c r="M560" i="1"/>
  <c r="L560" i="1"/>
  <c r="AH559" i="1"/>
  <c r="AF559" i="1"/>
  <c r="AG559" i="1" s="1"/>
  <c r="AD559" i="1"/>
  <c r="AC559" i="1"/>
  <c r="AB559" i="1"/>
  <c r="AA559" i="1"/>
  <c r="O559" i="1"/>
  <c r="P559" i="1" s="1"/>
  <c r="N559" i="1"/>
  <c r="M559" i="1"/>
  <c r="L559" i="1"/>
  <c r="AH558" i="1"/>
  <c r="AG558" i="1"/>
  <c r="AF558" i="1"/>
  <c r="AC558" i="1"/>
  <c r="AB558" i="1"/>
  <c r="AD558" i="1" s="1"/>
  <c r="AA558" i="1"/>
  <c r="O558" i="1"/>
  <c r="P558" i="1" s="1"/>
  <c r="N558" i="1"/>
  <c r="M558" i="1"/>
  <c r="L558" i="1"/>
  <c r="AH557" i="1"/>
  <c r="AG557" i="1"/>
  <c r="AF557" i="1"/>
  <c r="AC557" i="1"/>
  <c r="AB557" i="1"/>
  <c r="AD557" i="1" s="1"/>
  <c r="AA557" i="1"/>
  <c r="P557" i="1"/>
  <c r="O557" i="1"/>
  <c r="N557" i="1"/>
  <c r="M557" i="1"/>
  <c r="L557" i="1"/>
  <c r="AF556" i="1"/>
  <c r="AG556" i="1" s="1"/>
  <c r="AC556" i="1"/>
  <c r="AH556" i="1" s="1"/>
  <c r="AB556" i="1"/>
  <c r="AD556" i="1" s="1"/>
  <c r="AA556" i="1"/>
  <c r="O556" i="1"/>
  <c r="P556" i="1" s="1"/>
  <c r="N556" i="1"/>
  <c r="M556" i="1"/>
  <c r="L556" i="1"/>
  <c r="AH555" i="1"/>
  <c r="AF555" i="1"/>
  <c r="AG555" i="1" s="1"/>
  <c r="AD555" i="1"/>
  <c r="AC555" i="1"/>
  <c r="AB555" i="1"/>
  <c r="AA555" i="1"/>
  <c r="O555" i="1"/>
  <c r="P555" i="1" s="1"/>
  <c r="N555" i="1"/>
  <c r="M555" i="1"/>
  <c r="L555" i="1"/>
  <c r="AH554" i="1"/>
  <c r="AF554" i="1"/>
  <c r="AG554" i="1" s="1"/>
  <c r="AD554" i="1"/>
  <c r="AC554" i="1"/>
  <c r="AB554" i="1"/>
  <c r="AA554" i="1"/>
  <c r="O554" i="1"/>
  <c r="P554" i="1" s="1"/>
  <c r="N554" i="1"/>
  <c r="M554" i="1"/>
  <c r="L554" i="1"/>
  <c r="AF553" i="1"/>
  <c r="AG553" i="1" s="1"/>
  <c r="AC553" i="1"/>
  <c r="AH553" i="1" s="1"/>
  <c r="AB553" i="1"/>
  <c r="AA553" i="1"/>
  <c r="O553" i="1"/>
  <c r="P553" i="1" s="1"/>
  <c r="N553" i="1"/>
  <c r="M553" i="1"/>
  <c r="L553" i="1"/>
  <c r="AH552" i="1"/>
  <c r="AF552" i="1"/>
  <c r="AG552" i="1" s="1"/>
  <c r="AD552" i="1"/>
  <c r="AC552" i="1"/>
  <c r="AB552" i="1"/>
  <c r="AA552" i="1"/>
  <c r="O552" i="1"/>
  <c r="P552" i="1" s="1"/>
  <c r="N552" i="1"/>
  <c r="M552" i="1"/>
  <c r="L552" i="1"/>
  <c r="AF551" i="1"/>
  <c r="AG551" i="1" s="1"/>
  <c r="AC551" i="1"/>
  <c r="AH551" i="1" s="1"/>
  <c r="AB551" i="1"/>
  <c r="AD551" i="1" s="1"/>
  <c r="AA551" i="1"/>
  <c r="P551" i="1"/>
  <c r="O551" i="1"/>
  <c r="N551" i="1"/>
  <c r="M551" i="1"/>
  <c r="L551" i="1"/>
  <c r="AH550" i="1"/>
  <c r="AF550" i="1"/>
  <c r="AG550" i="1" s="1"/>
  <c r="AC550" i="1"/>
  <c r="AB550" i="1"/>
  <c r="AD550" i="1" s="1"/>
  <c r="AA550" i="1"/>
  <c r="P550" i="1"/>
  <c r="O550" i="1"/>
  <c r="N550" i="1"/>
  <c r="M550" i="1"/>
  <c r="L550" i="1"/>
  <c r="AF549" i="1"/>
  <c r="AG549" i="1" s="1"/>
  <c r="AC549" i="1"/>
  <c r="AH549" i="1" s="1"/>
  <c r="AB549" i="1"/>
  <c r="AA549" i="1"/>
  <c r="O549" i="1"/>
  <c r="P549" i="1" s="1"/>
  <c r="N549" i="1"/>
  <c r="M549" i="1"/>
  <c r="L549" i="1"/>
  <c r="AF548" i="1"/>
  <c r="AG548" i="1" s="1"/>
  <c r="AD548" i="1"/>
  <c r="AC548" i="1"/>
  <c r="AH548" i="1" s="1"/>
  <c r="AB548" i="1"/>
  <c r="AA548" i="1"/>
  <c r="O548" i="1"/>
  <c r="P548" i="1" s="1"/>
  <c r="N548" i="1"/>
  <c r="M548" i="1"/>
  <c r="L548" i="1"/>
  <c r="AH547" i="1"/>
  <c r="AF547" i="1"/>
  <c r="AG547" i="1" s="1"/>
  <c r="AD547" i="1"/>
  <c r="AC547" i="1"/>
  <c r="AB547" i="1"/>
  <c r="AA547" i="1"/>
  <c r="O547" i="1"/>
  <c r="P547" i="1" s="1"/>
  <c r="N547" i="1"/>
  <c r="M547" i="1"/>
  <c r="L547" i="1"/>
  <c r="AF546" i="1"/>
  <c r="AG546" i="1" s="1"/>
  <c r="AC546" i="1"/>
  <c r="AH546" i="1" s="1"/>
  <c r="AB546" i="1"/>
  <c r="AD546" i="1" s="1"/>
  <c r="AA546" i="1"/>
  <c r="O546" i="1"/>
  <c r="P546" i="1" s="1"/>
  <c r="N546" i="1"/>
  <c r="M546" i="1"/>
  <c r="L546" i="1"/>
  <c r="AF545" i="1"/>
  <c r="AG545" i="1" s="1"/>
  <c r="AC545" i="1"/>
  <c r="AH545" i="1" s="1"/>
  <c r="AB545" i="1"/>
  <c r="AA545" i="1"/>
  <c r="P545" i="1"/>
  <c r="O545" i="1"/>
  <c r="N545" i="1"/>
  <c r="M545" i="1"/>
  <c r="L545" i="1"/>
  <c r="AF544" i="1"/>
  <c r="AG544" i="1" s="1"/>
  <c r="AC544" i="1"/>
  <c r="AH544" i="1" s="1"/>
  <c r="AB544" i="1"/>
  <c r="AA544" i="1"/>
  <c r="P544" i="1"/>
  <c r="O544" i="1"/>
  <c r="N544" i="1"/>
  <c r="M544" i="1"/>
  <c r="L544" i="1"/>
  <c r="AH543" i="1"/>
  <c r="AF543" i="1"/>
  <c r="AG543" i="1" s="1"/>
  <c r="AD543" i="1"/>
  <c r="AC543" i="1"/>
  <c r="AB543" i="1"/>
  <c r="AA543" i="1"/>
  <c r="O543" i="1"/>
  <c r="P543" i="1" s="1"/>
  <c r="N543" i="1"/>
  <c r="M543" i="1"/>
  <c r="L543" i="1"/>
  <c r="AH542" i="1"/>
  <c r="AG542" i="1"/>
  <c r="AF542" i="1"/>
  <c r="AC542" i="1"/>
  <c r="AB542" i="1"/>
  <c r="AD542" i="1" s="1"/>
  <c r="AA542" i="1"/>
  <c r="P542" i="1"/>
  <c r="O542" i="1"/>
  <c r="N542" i="1"/>
  <c r="M542" i="1"/>
  <c r="L542" i="1"/>
  <c r="AF541" i="1"/>
  <c r="AG541" i="1" s="1"/>
  <c r="AC541" i="1"/>
  <c r="AH541" i="1" s="1"/>
  <c r="AB541" i="1"/>
  <c r="AA541" i="1"/>
  <c r="P541" i="1"/>
  <c r="O541" i="1"/>
  <c r="N541" i="1"/>
  <c r="M541" i="1"/>
  <c r="L541" i="1"/>
  <c r="AF540" i="1"/>
  <c r="AG540" i="1" s="1"/>
  <c r="AC540" i="1"/>
  <c r="AH540" i="1" s="1"/>
  <c r="AB540" i="1"/>
  <c r="AA540" i="1"/>
  <c r="O540" i="1"/>
  <c r="P540" i="1" s="1"/>
  <c r="N540" i="1"/>
  <c r="M540" i="1"/>
  <c r="L540" i="1"/>
  <c r="AH539" i="1"/>
  <c r="AF539" i="1"/>
  <c r="AG539" i="1" s="1"/>
  <c r="AD539" i="1"/>
  <c r="AC539" i="1"/>
  <c r="AB539" i="1"/>
  <c r="AA539" i="1"/>
  <c r="O539" i="1"/>
  <c r="P539" i="1" s="1"/>
  <c r="N539" i="1"/>
  <c r="M539" i="1"/>
  <c r="L539" i="1"/>
  <c r="AH538" i="1"/>
  <c r="AF538" i="1"/>
  <c r="AG538" i="1" s="1"/>
  <c r="AC538" i="1"/>
  <c r="AB538" i="1"/>
  <c r="AD538" i="1" s="1"/>
  <c r="AA538" i="1"/>
  <c r="P538" i="1"/>
  <c r="O538" i="1"/>
  <c r="N538" i="1"/>
  <c r="M538" i="1"/>
  <c r="L538" i="1"/>
  <c r="AF537" i="1"/>
  <c r="AG537" i="1" s="1"/>
  <c r="AC537" i="1"/>
  <c r="AH537" i="1" s="1"/>
  <c r="AB537" i="1"/>
  <c r="AA537" i="1"/>
  <c r="O537" i="1"/>
  <c r="P537" i="1" s="1"/>
  <c r="N537" i="1"/>
  <c r="M537" i="1"/>
  <c r="L537" i="1"/>
  <c r="AF536" i="1"/>
  <c r="AG536" i="1" s="1"/>
  <c r="AC536" i="1"/>
  <c r="AB536" i="1"/>
  <c r="AA536" i="1"/>
  <c r="O536" i="1"/>
  <c r="P536" i="1" s="1"/>
  <c r="N536" i="1"/>
  <c r="M536" i="1"/>
  <c r="L536" i="1"/>
  <c r="AF535" i="1"/>
  <c r="AG535" i="1" s="1"/>
  <c r="AC535" i="1"/>
  <c r="AD535" i="1" s="1"/>
  <c r="AB535" i="1"/>
  <c r="AA535" i="1"/>
  <c r="P535" i="1"/>
  <c r="O535" i="1"/>
  <c r="N535" i="1"/>
  <c r="M535" i="1"/>
  <c r="L535" i="1"/>
  <c r="AG534" i="1"/>
  <c r="AF534" i="1"/>
  <c r="AC534" i="1"/>
  <c r="AH534" i="1" s="1"/>
  <c r="AB534" i="1"/>
  <c r="AA534" i="1"/>
  <c r="O534" i="1"/>
  <c r="P534" i="1" s="1"/>
  <c r="N534" i="1"/>
  <c r="M534" i="1"/>
  <c r="L534" i="1"/>
  <c r="AH533" i="1"/>
  <c r="AG533" i="1"/>
  <c r="AF533" i="1"/>
  <c r="AD533" i="1"/>
  <c r="AC533" i="1"/>
  <c r="AB533" i="1"/>
  <c r="AA533" i="1"/>
  <c r="P533" i="1"/>
  <c r="O533" i="1"/>
  <c r="N533" i="1"/>
  <c r="M533" i="1"/>
  <c r="L533" i="1"/>
  <c r="AH532" i="1"/>
  <c r="AF532" i="1"/>
  <c r="AG532" i="1" s="1"/>
  <c r="AC532" i="1"/>
  <c r="AB532" i="1"/>
  <c r="AD532" i="1" s="1"/>
  <c r="AA532" i="1"/>
  <c r="O532" i="1"/>
  <c r="P532" i="1" s="1"/>
  <c r="N532" i="1"/>
  <c r="M532" i="1"/>
  <c r="L532" i="1"/>
  <c r="AH531" i="1"/>
  <c r="AG531" i="1"/>
  <c r="AF531" i="1"/>
  <c r="AC531" i="1"/>
  <c r="AB531" i="1"/>
  <c r="AD531" i="1" s="1"/>
  <c r="AA531" i="1"/>
  <c r="O531" i="1"/>
  <c r="P531" i="1" s="1"/>
  <c r="N531" i="1"/>
  <c r="M531" i="1"/>
  <c r="L531" i="1"/>
  <c r="AF530" i="1"/>
  <c r="AG530" i="1" s="1"/>
  <c r="AC530" i="1"/>
  <c r="AH530" i="1" s="1"/>
  <c r="AB530" i="1"/>
  <c r="AA530" i="1"/>
  <c r="P530" i="1"/>
  <c r="O530" i="1"/>
  <c r="N530" i="1"/>
  <c r="M530" i="1"/>
  <c r="L530" i="1"/>
  <c r="AF529" i="1"/>
  <c r="AG529" i="1" s="1"/>
  <c r="AC529" i="1"/>
  <c r="AH529" i="1" s="1"/>
  <c r="AB529" i="1"/>
  <c r="AA529" i="1"/>
  <c r="O529" i="1"/>
  <c r="P529" i="1" s="1"/>
  <c r="N529" i="1"/>
  <c r="M529" i="1"/>
  <c r="L529" i="1"/>
  <c r="AH528" i="1"/>
  <c r="AF528" i="1"/>
  <c r="AG528" i="1" s="1"/>
  <c r="AD528" i="1"/>
  <c r="AC528" i="1"/>
  <c r="AB528" i="1"/>
  <c r="AA528" i="1"/>
  <c r="O528" i="1"/>
  <c r="P528" i="1" s="1"/>
  <c r="N528" i="1"/>
  <c r="M528" i="1"/>
  <c r="L528" i="1"/>
  <c r="AH527" i="1"/>
  <c r="AF527" i="1"/>
  <c r="AG527" i="1" s="1"/>
  <c r="AC527" i="1"/>
  <c r="AB527" i="1"/>
  <c r="AD527" i="1" s="1"/>
  <c r="AA527" i="1"/>
  <c r="O527" i="1"/>
  <c r="P527" i="1" s="1"/>
  <c r="N527" i="1"/>
  <c r="M527" i="1"/>
  <c r="L527" i="1"/>
  <c r="AF526" i="1"/>
  <c r="AG526" i="1" s="1"/>
  <c r="AC526" i="1"/>
  <c r="AH526" i="1" s="1"/>
  <c r="AB526" i="1"/>
  <c r="AD526" i="1" s="1"/>
  <c r="AA526" i="1"/>
  <c r="O526" i="1"/>
  <c r="P526" i="1" s="1"/>
  <c r="N526" i="1"/>
  <c r="M526" i="1"/>
  <c r="L526" i="1"/>
  <c r="AF525" i="1"/>
  <c r="AG525" i="1" s="1"/>
  <c r="AC525" i="1"/>
  <c r="AH525" i="1" s="1"/>
  <c r="AB525" i="1"/>
  <c r="AD525" i="1" s="1"/>
  <c r="AA525" i="1"/>
  <c r="O525" i="1"/>
  <c r="P525" i="1" s="1"/>
  <c r="N525" i="1"/>
  <c r="M525" i="1"/>
  <c r="L525" i="1"/>
  <c r="AG524" i="1"/>
  <c r="AF524" i="1"/>
  <c r="AC524" i="1"/>
  <c r="AB524" i="1"/>
  <c r="AA524" i="1"/>
  <c r="P524" i="1"/>
  <c r="O524" i="1"/>
  <c r="N524" i="1"/>
  <c r="M524" i="1"/>
  <c r="L524" i="1"/>
  <c r="AH523" i="1"/>
  <c r="AF523" i="1"/>
  <c r="AG523" i="1" s="1"/>
  <c r="AC523" i="1"/>
  <c r="AB523" i="1"/>
  <c r="AD523" i="1" s="1"/>
  <c r="AA523" i="1"/>
  <c r="O523" i="1"/>
  <c r="P523" i="1" s="1"/>
  <c r="N523" i="1"/>
  <c r="M523" i="1"/>
  <c r="L523" i="1"/>
  <c r="AH522" i="1"/>
  <c r="AG522" i="1"/>
  <c r="AF522" i="1"/>
  <c r="AD522" i="1"/>
  <c r="AC522" i="1"/>
  <c r="AB522" i="1"/>
  <c r="AA522" i="1"/>
  <c r="O522" i="1"/>
  <c r="P522" i="1" s="1"/>
  <c r="N522" i="1"/>
  <c r="M522" i="1"/>
  <c r="L522" i="1"/>
  <c r="AF521" i="1"/>
  <c r="AG521" i="1" s="1"/>
  <c r="AC521" i="1"/>
  <c r="AH521" i="1" s="1"/>
  <c r="AB521" i="1"/>
  <c r="AA521" i="1"/>
  <c r="O521" i="1"/>
  <c r="P521" i="1" s="1"/>
  <c r="N521" i="1"/>
  <c r="M521" i="1"/>
  <c r="L521" i="1"/>
  <c r="AH520" i="1"/>
  <c r="AF520" i="1"/>
  <c r="AG520" i="1" s="1"/>
  <c r="AD520" i="1"/>
  <c r="AC520" i="1"/>
  <c r="AB520" i="1"/>
  <c r="AA520" i="1"/>
  <c r="O520" i="1"/>
  <c r="P520" i="1" s="1"/>
  <c r="N520" i="1"/>
  <c r="M520" i="1"/>
  <c r="L520" i="1"/>
  <c r="AG519" i="1"/>
  <c r="AF519" i="1"/>
  <c r="AC519" i="1"/>
  <c r="AH519" i="1" s="1"/>
  <c r="AB519" i="1"/>
  <c r="AD519" i="1" s="1"/>
  <c r="AA519" i="1"/>
  <c r="O519" i="1"/>
  <c r="P519" i="1" s="1"/>
  <c r="N519" i="1"/>
  <c r="M519" i="1"/>
  <c r="L519" i="1"/>
  <c r="AF518" i="1"/>
  <c r="AG518" i="1" s="1"/>
  <c r="AD518" i="1"/>
  <c r="AC518" i="1"/>
  <c r="AH518" i="1" s="1"/>
  <c r="AB518" i="1"/>
  <c r="AA518" i="1"/>
  <c r="O518" i="1"/>
  <c r="P518" i="1" s="1"/>
  <c r="N518" i="1"/>
  <c r="M518" i="1"/>
  <c r="L518" i="1"/>
  <c r="AF517" i="1"/>
  <c r="AG517" i="1" s="1"/>
  <c r="AC517" i="1"/>
  <c r="AH517" i="1" s="1"/>
  <c r="AB517" i="1"/>
  <c r="AD517" i="1" s="1"/>
  <c r="AA517" i="1"/>
  <c r="P517" i="1"/>
  <c r="O517" i="1"/>
  <c r="N517" i="1"/>
  <c r="M517" i="1"/>
  <c r="L517" i="1"/>
  <c r="AF516" i="1"/>
  <c r="AG516" i="1" s="1"/>
  <c r="AC516" i="1"/>
  <c r="AH516" i="1" s="1"/>
  <c r="AB516" i="1"/>
  <c r="AD516" i="1" s="1"/>
  <c r="AA516" i="1"/>
  <c r="O516" i="1"/>
  <c r="P516" i="1" s="1"/>
  <c r="N516" i="1"/>
  <c r="M516" i="1"/>
  <c r="L516" i="1"/>
  <c r="AH515" i="1"/>
  <c r="AG515" i="1"/>
  <c r="AF515" i="1"/>
  <c r="AC515" i="1"/>
  <c r="AB515" i="1"/>
  <c r="AD515" i="1" s="1"/>
  <c r="AA515" i="1"/>
  <c r="P515" i="1"/>
  <c r="O515" i="1"/>
  <c r="N515" i="1"/>
  <c r="M515" i="1"/>
  <c r="L515" i="1"/>
  <c r="AF514" i="1"/>
  <c r="AG514" i="1" s="1"/>
  <c r="AC514" i="1"/>
  <c r="AH514" i="1" s="1"/>
  <c r="AB514" i="1"/>
  <c r="AD514" i="1" s="1"/>
  <c r="AA514" i="1"/>
  <c r="P514" i="1"/>
  <c r="O514" i="1"/>
  <c r="N514" i="1"/>
  <c r="M514" i="1"/>
  <c r="L514" i="1"/>
  <c r="AH513" i="1"/>
  <c r="AF513" i="1"/>
  <c r="AG513" i="1" s="1"/>
  <c r="AD513" i="1"/>
  <c r="AC513" i="1"/>
  <c r="AB513" i="1"/>
  <c r="AA513" i="1"/>
  <c r="O513" i="1"/>
  <c r="P513" i="1" s="1"/>
  <c r="N513" i="1"/>
  <c r="M513" i="1"/>
  <c r="L513" i="1"/>
  <c r="AH512" i="1"/>
  <c r="AG512" i="1"/>
  <c r="AF512" i="1"/>
  <c r="AD512" i="1"/>
  <c r="AC512" i="1"/>
  <c r="AB512" i="1"/>
  <c r="AA512" i="1"/>
  <c r="P512" i="1"/>
  <c r="O512" i="1"/>
  <c r="N512" i="1"/>
  <c r="M512" i="1"/>
  <c r="L512" i="1"/>
  <c r="AF511" i="1"/>
  <c r="AG511" i="1" s="1"/>
  <c r="AD511" i="1"/>
  <c r="AC511" i="1"/>
  <c r="AH511" i="1" s="1"/>
  <c r="AB511" i="1"/>
  <c r="AA511" i="1"/>
  <c r="O511" i="1"/>
  <c r="P511" i="1" s="1"/>
  <c r="N511" i="1"/>
  <c r="M511" i="1"/>
  <c r="L511" i="1"/>
  <c r="AF510" i="1"/>
  <c r="AG510" i="1" s="1"/>
  <c r="AC510" i="1"/>
  <c r="AH510" i="1" s="1"/>
  <c r="AB510" i="1"/>
  <c r="AD510" i="1" s="1"/>
  <c r="AA510" i="1"/>
  <c r="O510" i="1"/>
  <c r="P510" i="1" s="1"/>
  <c r="N510" i="1"/>
  <c r="M510" i="1"/>
  <c r="L510" i="1"/>
  <c r="AH509" i="1"/>
  <c r="AG509" i="1"/>
  <c r="AF509" i="1"/>
  <c r="AC509" i="1"/>
  <c r="AD509" i="1" s="1"/>
  <c r="AB509" i="1"/>
  <c r="AA509" i="1"/>
  <c r="O509" i="1"/>
  <c r="P509" i="1" s="1"/>
  <c r="N509" i="1"/>
  <c r="M509" i="1"/>
  <c r="L509" i="1"/>
  <c r="AH508" i="1"/>
  <c r="AF508" i="1"/>
  <c r="AG508" i="1" s="1"/>
  <c r="AD508" i="1"/>
  <c r="AC508" i="1"/>
  <c r="AB508" i="1"/>
  <c r="AA508" i="1"/>
  <c r="O508" i="1"/>
  <c r="P508" i="1" s="1"/>
  <c r="N508" i="1"/>
  <c r="M508" i="1"/>
  <c r="L508" i="1"/>
  <c r="AG507" i="1"/>
  <c r="AF507" i="1"/>
  <c r="AC507" i="1"/>
  <c r="AH507" i="1" s="1"/>
  <c r="AB507" i="1"/>
  <c r="AA507" i="1"/>
  <c r="O507" i="1"/>
  <c r="P507" i="1" s="1"/>
  <c r="N507" i="1"/>
  <c r="M507" i="1"/>
  <c r="L507" i="1"/>
  <c r="AH506" i="1"/>
  <c r="AG506" i="1"/>
  <c r="AF506" i="1"/>
  <c r="AC506" i="1"/>
  <c r="AB506" i="1"/>
  <c r="AD506" i="1" s="1"/>
  <c r="AA506" i="1"/>
  <c r="P506" i="1"/>
  <c r="O506" i="1"/>
  <c r="N506" i="1"/>
  <c r="M506" i="1"/>
  <c r="L506" i="1"/>
  <c r="AH505" i="1"/>
  <c r="AF505" i="1"/>
  <c r="AG505" i="1" s="1"/>
  <c r="AC505" i="1"/>
  <c r="AB505" i="1"/>
  <c r="AD505" i="1" s="1"/>
  <c r="AA505" i="1"/>
  <c r="P505" i="1"/>
  <c r="O505" i="1"/>
  <c r="N505" i="1"/>
  <c r="M505" i="1"/>
  <c r="L505" i="1"/>
  <c r="AH504" i="1"/>
  <c r="AG504" i="1"/>
  <c r="AF504" i="1"/>
  <c r="AC504" i="1"/>
  <c r="AB504" i="1"/>
  <c r="AD504" i="1" s="1"/>
  <c r="AA504" i="1"/>
  <c r="O504" i="1"/>
  <c r="P504" i="1" s="1"/>
  <c r="N504" i="1"/>
  <c r="M504" i="1"/>
  <c r="L504" i="1"/>
  <c r="AH503" i="1"/>
  <c r="AF503" i="1"/>
  <c r="AG503" i="1" s="1"/>
  <c r="AD503" i="1"/>
  <c r="AC503" i="1"/>
  <c r="AB503" i="1"/>
  <c r="AA503" i="1"/>
  <c r="O503" i="1"/>
  <c r="P503" i="1" s="1"/>
  <c r="N503" i="1"/>
  <c r="M503" i="1"/>
  <c r="L503" i="1"/>
  <c r="AF502" i="1"/>
  <c r="AG502" i="1" s="1"/>
  <c r="AC502" i="1"/>
  <c r="AH502" i="1" s="1"/>
  <c r="AB502" i="1"/>
  <c r="AD502" i="1" s="1"/>
  <c r="AA502" i="1"/>
  <c r="P502" i="1"/>
  <c r="O502" i="1"/>
  <c r="N502" i="1"/>
  <c r="M502" i="1"/>
  <c r="L502" i="1"/>
  <c r="AH501" i="1"/>
  <c r="AF501" i="1"/>
  <c r="AG501" i="1" s="1"/>
  <c r="AD501" i="1"/>
  <c r="AC501" i="1"/>
  <c r="AB501" i="1"/>
  <c r="AA501" i="1"/>
  <c r="O501" i="1"/>
  <c r="P501" i="1" s="1"/>
  <c r="N501" i="1"/>
  <c r="M501" i="1"/>
  <c r="L501" i="1"/>
  <c r="AH500" i="1"/>
  <c r="AF500" i="1"/>
  <c r="AG500" i="1" s="1"/>
  <c r="AD500" i="1"/>
  <c r="AC500" i="1"/>
  <c r="AB500" i="1"/>
  <c r="AA500" i="1"/>
  <c r="P500" i="1"/>
  <c r="O500" i="1"/>
  <c r="N500" i="1"/>
  <c r="M500" i="1"/>
  <c r="L500" i="1"/>
  <c r="AF499" i="1"/>
  <c r="AG499" i="1" s="1"/>
  <c r="AC499" i="1"/>
  <c r="AH499" i="1" s="1"/>
  <c r="AB499" i="1"/>
  <c r="AD499" i="1" s="1"/>
  <c r="AA499" i="1"/>
  <c r="P499" i="1"/>
  <c r="O499" i="1"/>
  <c r="N499" i="1"/>
  <c r="M499" i="1"/>
  <c r="L499" i="1"/>
  <c r="AH498" i="1"/>
  <c r="AF498" i="1"/>
  <c r="AG498" i="1" s="1"/>
  <c r="AD498" i="1"/>
  <c r="AC498" i="1"/>
  <c r="AB498" i="1"/>
  <c r="AA498" i="1"/>
  <c r="O498" i="1"/>
  <c r="P498" i="1" s="1"/>
  <c r="N498" i="1"/>
  <c r="M498" i="1"/>
  <c r="L498" i="1"/>
  <c r="AH497" i="1"/>
  <c r="AF497" i="1"/>
  <c r="AG497" i="1" s="1"/>
  <c r="AD497" i="1"/>
  <c r="AC497" i="1"/>
  <c r="AB497" i="1"/>
  <c r="AA497" i="1"/>
  <c r="P497" i="1"/>
  <c r="O497" i="1"/>
  <c r="N497" i="1"/>
  <c r="M497" i="1"/>
  <c r="L497" i="1"/>
  <c r="AH496" i="1"/>
  <c r="AF496" i="1"/>
  <c r="AG496" i="1" s="1"/>
  <c r="AC496" i="1"/>
  <c r="AB496" i="1"/>
  <c r="AD496" i="1" s="1"/>
  <c r="AA496" i="1"/>
  <c r="O496" i="1"/>
  <c r="P496" i="1" s="1"/>
  <c r="N496" i="1"/>
  <c r="M496" i="1"/>
  <c r="L496" i="1"/>
  <c r="AH495" i="1"/>
  <c r="AF495" i="1"/>
  <c r="AG495" i="1" s="1"/>
  <c r="AD495" i="1"/>
  <c r="AC495" i="1"/>
  <c r="AB495" i="1"/>
  <c r="AA495" i="1"/>
  <c r="O495" i="1"/>
  <c r="P495" i="1" s="1"/>
  <c r="N495" i="1"/>
  <c r="M495" i="1"/>
  <c r="L495" i="1"/>
  <c r="AF494" i="1"/>
  <c r="AG494" i="1" s="1"/>
  <c r="AC494" i="1"/>
  <c r="AH494" i="1" s="1"/>
  <c r="AB494" i="1"/>
  <c r="AD494" i="1" s="1"/>
  <c r="AA494" i="1"/>
  <c r="P494" i="1"/>
  <c r="O494" i="1"/>
  <c r="N494" i="1"/>
  <c r="M494" i="1"/>
  <c r="L494" i="1"/>
  <c r="AH493" i="1"/>
  <c r="AF493" i="1"/>
  <c r="AG493" i="1" s="1"/>
  <c r="AD493" i="1"/>
  <c r="AC493" i="1"/>
  <c r="AB493" i="1"/>
  <c r="AA493" i="1"/>
  <c r="O493" i="1"/>
  <c r="P493" i="1" s="1"/>
  <c r="N493" i="1"/>
  <c r="M493" i="1"/>
  <c r="L493" i="1"/>
  <c r="AH492" i="1"/>
  <c r="AF492" i="1"/>
  <c r="AG492" i="1" s="1"/>
  <c r="AD492" i="1"/>
  <c r="AC492" i="1"/>
  <c r="AB492" i="1"/>
  <c r="AA492" i="1"/>
  <c r="O492" i="1"/>
  <c r="P492" i="1" s="1"/>
  <c r="N492" i="1"/>
  <c r="M492" i="1"/>
  <c r="L492" i="1"/>
  <c r="AF491" i="1"/>
  <c r="AG491" i="1" s="1"/>
  <c r="AC491" i="1"/>
  <c r="AH491" i="1" s="1"/>
  <c r="AB491" i="1"/>
  <c r="AD491" i="1" s="1"/>
  <c r="AA491" i="1"/>
  <c r="O491" i="1"/>
  <c r="P491" i="1" s="1"/>
  <c r="N491" i="1"/>
  <c r="M491" i="1"/>
  <c r="L491" i="1"/>
  <c r="AH490" i="1"/>
  <c r="AF490" i="1"/>
  <c r="AG490" i="1" s="1"/>
  <c r="AC490" i="1"/>
  <c r="AB490" i="1"/>
  <c r="AD490" i="1" s="1"/>
  <c r="AA490" i="1"/>
  <c r="P490" i="1"/>
  <c r="O490" i="1"/>
  <c r="N490" i="1"/>
  <c r="M490" i="1"/>
  <c r="L490" i="1"/>
  <c r="AG489" i="1"/>
  <c r="AF489" i="1"/>
  <c r="AC489" i="1"/>
  <c r="AH489" i="1" s="1"/>
  <c r="AB489" i="1"/>
  <c r="AA489" i="1"/>
  <c r="O489" i="1"/>
  <c r="P489" i="1" s="1"/>
  <c r="N489" i="1"/>
  <c r="M489" i="1"/>
  <c r="L489" i="1"/>
  <c r="AH488" i="1"/>
  <c r="AG488" i="1"/>
  <c r="AF488" i="1"/>
  <c r="AC488" i="1"/>
  <c r="AB488" i="1"/>
  <c r="AD488" i="1" s="1"/>
  <c r="AA488" i="1"/>
  <c r="O488" i="1"/>
  <c r="P488" i="1" s="1"/>
  <c r="N488" i="1"/>
  <c r="M488" i="1"/>
  <c r="L488" i="1"/>
  <c r="AH487" i="1"/>
  <c r="AF487" i="1"/>
  <c r="AG487" i="1" s="1"/>
  <c r="AC487" i="1"/>
  <c r="AB487" i="1"/>
  <c r="AD487" i="1" s="1"/>
  <c r="AA487" i="1"/>
  <c r="P487" i="1"/>
  <c r="O487" i="1"/>
  <c r="N487" i="1"/>
  <c r="M487" i="1"/>
  <c r="L487" i="1"/>
  <c r="AF486" i="1"/>
  <c r="AG486" i="1" s="1"/>
  <c r="AC486" i="1"/>
  <c r="AH486" i="1" s="1"/>
  <c r="AB486" i="1"/>
  <c r="AD486" i="1" s="1"/>
  <c r="AA486" i="1"/>
  <c r="O486" i="1"/>
  <c r="P486" i="1" s="1"/>
  <c r="N486" i="1"/>
  <c r="M486" i="1"/>
  <c r="L486" i="1"/>
  <c r="AH485" i="1"/>
  <c r="AF485" i="1"/>
  <c r="AG485" i="1" s="1"/>
  <c r="AD485" i="1"/>
  <c r="AC485" i="1"/>
  <c r="AB485" i="1"/>
  <c r="AA485" i="1"/>
  <c r="P485" i="1"/>
  <c r="O485" i="1"/>
  <c r="N485" i="1"/>
  <c r="M485" i="1"/>
  <c r="L485" i="1"/>
  <c r="AF484" i="1"/>
  <c r="AG484" i="1" s="1"/>
  <c r="AC484" i="1"/>
  <c r="AD484" i="1" s="1"/>
  <c r="AB484" i="1"/>
  <c r="AA484" i="1"/>
  <c r="P484" i="1"/>
  <c r="O484" i="1"/>
  <c r="N484" i="1"/>
  <c r="M484" i="1"/>
  <c r="L484" i="1"/>
  <c r="AF483" i="1"/>
  <c r="AG483" i="1" s="1"/>
  <c r="AD483" i="1"/>
  <c r="AC483" i="1"/>
  <c r="AH483" i="1" s="1"/>
  <c r="AB483" i="1"/>
  <c r="AA483" i="1"/>
  <c r="O483" i="1"/>
  <c r="P483" i="1" s="1"/>
  <c r="N483" i="1"/>
  <c r="M483" i="1"/>
  <c r="L483" i="1"/>
  <c r="AG482" i="1"/>
  <c r="AF482" i="1"/>
  <c r="AC482" i="1"/>
  <c r="AH482" i="1" s="1"/>
  <c r="AB482" i="1"/>
  <c r="AA482" i="1"/>
  <c r="O482" i="1"/>
  <c r="P482" i="1" s="1"/>
  <c r="N482" i="1"/>
  <c r="M482" i="1"/>
  <c r="L482" i="1"/>
  <c r="AF481" i="1"/>
  <c r="AG481" i="1" s="1"/>
  <c r="AC481" i="1"/>
  <c r="AH481" i="1" s="1"/>
  <c r="AB481" i="1"/>
  <c r="AD481" i="1" s="1"/>
  <c r="AA481" i="1"/>
  <c r="O481" i="1"/>
  <c r="P481" i="1" s="1"/>
  <c r="N481" i="1"/>
  <c r="M481" i="1"/>
  <c r="L481" i="1"/>
  <c r="AG480" i="1"/>
  <c r="AF480" i="1"/>
  <c r="AC480" i="1"/>
  <c r="AH480" i="1" s="1"/>
  <c r="AB480" i="1"/>
  <c r="AD480" i="1" s="1"/>
  <c r="AA480" i="1"/>
  <c r="O480" i="1"/>
  <c r="P480" i="1" s="1"/>
  <c r="N480" i="1"/>
  <c r="M480" i="1"/>
  <c r="L480" i="1"/>
  <c r="AF479" i="1"/>
  <c r="AG479" i="1" s="1"/>
  <c r="AD479" i="1"/>
  <c r="AC479" i="1"/>
  <c r="AH479" i="1" s="1"/>
  <c r="AB479" i="1"/>
  <c r="AA479" i="1"/>
  <c r="P479" i="1"/>
  <c r="O479" i="1"/>
  <c r="N479" i="1"/>
  <c r="M479" i="1"/>
  <c r="L479" i="1"/>
  <c r="AH478" i="1"/>
  <c r="AF478" i="1"/>
  <c r="AG478" i="1" s="1"/>
  <c r="AD478" i="1"/>
  <c r="AC478" i="1"/>
  <c r="AB478" i="1"/>
  <c r="AA478" i="1"/>
  <c r="O478" i="1"/>
  <c r="P478" i="1" s="1"/>
  <c r="N478" i="1"/>
  <c r="M478" i="1"/>
  <c r="L478" i="1"/>
  <c r="AH477" i="1"/>
  <c r="AG477" i="1"/>
  <c r="AF477" i="1"/>
  <c r="AC477" i="1"/>
  <c r="AB477" i="1"/>
  <c r="AD477" i="1" s="1"/>
  <c r="AA477" i="1"/>
  <c r="O477" i="1"/>
  <c r="P477" i="1" s="1"/>
  <c r="N477" i="1"/>
  <c r="M477" i="1"/>
  <c r="L477" i="1"/>
  <c r="AF476" i="1"/>
  <c r="AG476" i="1" s="1"/>
  <c r="AC476" i="1"/>
  <c r="AH476" i="1" s="1"/>
  <c r="AB476" i="1"/>
  <c r="AD476" i="1" s="1"/>
  <c r="AA476" i="1"/>
  <c r="P476" i="1"/>
  <c r="O476" i="1"/>
  <c r="N476" i="1"/>
  <c r="M476" i="1"/>
  <c r="L476" i="1"/>
  <c r="AG475" i="1"/>
  <c r="AF475" i="1"/>
  <c r="AC475" i="1"/>
  <c r="AD475" i="1" s="1"/>
  <c r="AB475" i="1"/>
  <c r="AA475" i="1"/>
  <c r="O475" i="1"/>
  <c r="P475" i="1" s="1"/>
  <c r="N475" i="1"/>
  <c r="M475" i="1"/>
  <c r="L475" i="1"/>
  <c r="AH474" i="1"/>
  <c r="AG474" i="1"/>
  <c r="AF474" i="1"/>
  <c r="AC474" i="1"/>
  <c r="AB474" i="1"/>
  <c r="AD474" i="1" s="1"/>
  <c r="AA474" i="1"/>
  <c r="O474" i="1"/>
  <c r="P474" i="1" s="1"/>
  <c r="N474" i="1"/>
  <c r="M474" i="1"/>
  <c r="L474" i="1"/>
  <c r="AF473" i="1"/>
  <c r="AG473" i="1" s="1"/>
  <c r="AC473" i="1"/>
  <c r="AH473" i="1" s="1"/>
  <c r="AB473" i="1"/>
  <c r="AD473" i="1" s="1"/>
  <c r="AA473" i="1"/>
  <c r="P473" i="1"/>
  <c r="O473" i="1"/>
  <c r="N473" i="1"/>
  <c r="M473" i="1"/>
  <c r="L473" i="1"/>
  <c r="AH472" i="1"/>
  <c r="AG472" i="1"/>
  <c r="AF472" i="1"/>
  <c r="AC472" i="1"/>
  <c r="AB472" i="1"/>
  <c r="AD472" i="1" s="1"/>
  <c r="AA472" i="1"/>
  <c r="O472" i="1"/>
  <c r="P472" i="1" s="1"/>
  <c r="N472" i="1"/>
  <c r="M472" i="1"/>
  <c r="L472" i="1"/>
  <c r="AH471" i="1"/>
  <c r="AG471" i="1"/>
  <c r="AF471" i="1"/>
  <c r="AC471" i="1"/>
  <c r="AB471" i="1"/>
  <c r="AD471" i="1" s="1"/>
  <c r="AA471" i="1"/>
  <c r="O471" i="1"/>
  <c r="P471" i="1" s="1"/>
  <c r="N471" i="1"/>
  <c r="M471" i="1"/>
  <c r="L471" i="1"/>
  <c r="AH470" i="1"/>
  <c r="AG470" i="1"/>
  <c r="AF470" i="1"/>
  <c r="AC470" i="1"/>
  <c r="AB470" i="1"/>
  <c r="AD470" i="1" s="1"/>
  <c r="AA470" i="1"/>
  <c r="P470" i="1"/>
  <c r="O470" i="1"/>
  <c r="N470" i="1"/>
  <c r="M470" i="1"/>
  <c r="L470" i="1"/>
  <c r="AH469" i="1"/>
  <c r="AF469" i="1"/>
  <c r="AG469" i="1" s="1"/>
  <c r="AD469" i="1"/>
  <c r="AC469" i="1"/>
  <c r="AB469" i="1"/>
  <c r="AA469" i="1"/>
  <c r="P469" i="1"/>
  <c r="O469" i="1"/>
  <c r="N469" i="1"/>
  <c r="M469" i="1"/>
  <c r="L469" i="1"/>
  <c r="AH468" i="1"/>
  <c r="AG468" i="1"/>
  <c r="AF468" i="1"/>
  <c r="AC468" i="1"/>
  <c r="AB468" i="1"/>
  <c r="AD468" i="1" s="1"/>
  <c r="AA468" i="1"/>
  <c r="O468" i="1"/>
  <c r="P468" i="1" s="1"/>
  <c r="N468" i="1"/>
  <c r="M468" i="1"/>
  <c r="L468" i="1"/>
  <c r="AH467" i="1"/>
  <c r="AG467" i="1"/>
  <c r="AF467" i="1"/>
  <c r="AC467" i="1"/>
  <c r="AB467" i="1"/>
  <c r="AD467" i="1" s="1"/>
  <c r="AA467" i="1"/>
  <c r="P467" i="1"/>
  <c r="O467" i="1"/>
  <c r="N467" i="1"/>
  <c r="M467" i="1"/>
  <c r="L467" i="1"/>
  <c r="AH466" i="1"/>
  <c r="AG466" i="1"/>
  <c r="AF466" i="1"/>
  <c r="AC466" i="1"/>
  <c r="AB466" i="1"/>
  <c r="AD466" i="1" s="1"/>
  <c r="AA466" i="1"/>
  <c r="P466" i="1"/>
  <c r="O466" i="1"/>
  <c r="N466" i="1"/>
  <c r="M466" i="1"/>
  <c r="L466" i="1"/>
  <c r="AH465" i="1"/>
  <c r="AG465" i="1"/>
  <c r="AF465" i="1"/>
  <c r="AC465" i="1"/>
  <c r="AB465" i="1"/>
  <c r="AD465" i="1" s="1"/>
  <c r="AA465" i="1"/>
  <c r="O465" i="1"/>
  <c r="P465" i="1" s="1"/>
  <c r="N465" i="1"/>
  <c r="M465" i="1"/>
  <c r="L465" i="1"/>
  <c r="AH464" i="1"/>
  <c r="AG464" i="1"/>
  <c r="AF464" i="1"/>
  <c r="AD464" i="1"/>
  <c r="AC464" i="1"/>
  <c r="AB464" i="1"/>
  <c r="AA464" i="1"/>
  <c r="P464" i="1"/>
  <c r="O464" i="1"/>
  <c r="N464" i="1"/>
  <c r="M464" i="1"/>
  <c r="L464" i="1"/>
  <c r="AH463" i="1"/>
  <c r="AF463" i="1"/>
  <c r="AG463" i="1" s="1"/>
  <c r="AC463" i="1"/>
  <c r="AB463" i="1"/>
  <c r="AD463" i="1" s="1"/>
  <c r="AA463" i="1"/>
  <c r="P463" i="1"/>
  <c r="O463" i="1"/>
  <c r="N463" i="1"/>
  <c r="M463" i="1"/>
  <c r="L463" i="1"/>
  <c r="AH462" i="1"/>
  <c r="AG462" i="1"/>
  <c r="AF462" i="1"/>
  <c r="AC462" i="1"/>
  <c r="AB462" i="1"/>
  <c r="AD462" i="1" s="1"/>
  <c r="AA462" i="1"/>
  <c r="O462" i="1"/>
  <c r="P462" i="1" s="1"/>
  <c r="N462" i="1"/>
  <c r="M462" i="1"/>
  <c r="L462" i="1"/>
  <c r="AH461" i="1"/>
  <c r="AG461" i="1"/>
  <c r="AF461" i="1"/>
  <c r="AD461" i="1"/>
  <c r="AC461" i="1"/>
  <c r="AB461" i="1"/>
  <c r="AA461" i="1"/>
  <c r="P461" i="1"/>
  <c r="O461" i="1"/>
  <c r="N461" i="1"/>
  <c r="M461" i="1"/>
  <c r="L461" i="1"/>
  <c r="AH460" i="1"/>
  <c r="AF460" i="1"/>
  <c r="AG460" i="1" s="1"/>
  <c r="AD460" i="1"/>
  <c r="AC460" i="1"/>
  <c r="AB460" i="1"/>
  <c r="AA460" i="1"/>
  <c r="P460" i="1"/>
  <c r="O460" i="1"/>
  <c r="N460" i="1"/>
  <c r="M460" i="1"/>
  <c r="L460" i="1"/>
  <c r="AH459" i="1"/>
  <c r="AG459" i="1"/>
  <c r="AF459" i="1"/>
  <c r="AC459" i="1"/>
  <c r="AB459" i="1"/>
  <c r="AD459" i="1" s="1"/>
  <c r="AA459" i="1"/>
  <c r="O459" i="1"/>
  <c r="P459" i="1" s="1"/>
  <c r="N459" i="1"/>
  <c r="M459" i="1"/>
  <c r="L459" i="1"/>
  <c r="AH458" i="1"/>
  <c r="AF458" i="1"/>
  <c r="AG458" i="1" s="1"/>
  <c r="AD458" i="1"/>
  <c r="AC458" i="1"/>
  <c r="AB458" i="1"/>
  <c r="AA458" i="1"/>
  <c r="P458" i="1"/>
  <c r="O458" i="1"/>
  <c r="N458" i="1"/>
  <c r="M458" i="1"/>
  <c r="L458" i="1"/>
  <c r="AF457" i="1"/>
  <c r="AG457" i="1" s="1"/>
  <c r="AC457" i="1"/>
  <c r="AH457" i="1" s="1"/>
  <c r="AB457" i="1"/>
  <c r="AA457" i="1"/>
  <c r="O457" i="1"/>
  <c r="P457" i="1" s="1"/>
  <c r="N457" i="1"/>
  <c r="M457" i="1"/>
  <c r="L457" i="1"/>
  <c r="AH456" i="1"/>
  <c r="AG456" i="1"/>
  <c r="AF456" i="1"/>
  <c r="AC456" i="1"/>
  <c r="AB456" i="1"/>
  <c r="AD456" i="1" s="1"/>
  <c r="AA456" i="1"/>
  <c r="O456" i="1"/>
  <c r="P456" i="1" s="1"/>
  <c r="N456" i="1"/>
  <c r="M456" i="1"/>
  <c r="L456" i="1"/>
  <c r="AH455" i="1"/>
  <c r="AF455" i="1"/>
  <c r="AG455" i="1" s="1"/>
  <c r="AD455" i="1"/>
  <c r="AC455" i="1"/>
  <c r="AB455" i="1"/>
  <c r="AA455" i="1"/>
  <c r="P455" i="1"/>
  <c r="O455" i="1"/>
  <c r="N455" i="1"/>
  <c r="M455" i="1"/>
  <c r="L455" i="1"/>
  <c r="AF454" i="1"/>
  <c r="AG454" i="1" s="1"/>
  <c r="AC454" i="1"/>
  <c r="AH454" i="1" s="1"/>
  <c r="AB454" i="1"/>
  <c r="AD454" i="1" s="1"/>
  <c r="AA454" i="1"/>
  <c r="O454" i="1"/>
  <c r="P454" i="1" s="1"/>
  <c r="N454" i="1"/>
  <c r="M454" i="1"/>
  <c r="L454" i="1"/>
  <c r="AH453" i="1"/>
  <c r="AG453" i="1"/>
  <c r="AF453" i="1"/>
  <c r="AC453" i="1"/>
  <c r="AB453" i="1"/>
  <c r="AD453" i="1" s="1"/>
  <c r="AA453" i="1"/>
  <c r="O453" i="1"/>
  <c r="P453" i="1" s="1"/>
  <c r="N453" i="1"/>
  <c r="M453" i="1"/>
  <c r="L453" i="1"/>
  <c r="AH452" i="1"/>
  <c r="AF452" i="1"/>
  <c r="AG452" i="1" s="1"/>
  <c r="AD452" i="1"/>
  <c r="AC452" i="1"/>
  <c r="AB452" i="1"/>
  <c r="AA452" i="1"/>
  <c r="P452" i="1"/>
  <c r="O452" i="1"/>
  <c r="N452" i="1"/>
  <c r="M452" i="1"/>
  <c r="L452" i="1"/>
  <c r="AG451" i="1"/>
  <c r="AF451" i="1"/>
  <c r="AC451" i="1"/>
  <c r="AH451" i="1" s="1"/>
  <c r="AB451" i="1"/>
  <c r="AD451" i="1" s="1"/>
  <c r="AA451" i="1"/>
  <c r="P451" i="1"/>
  <c r="O451" i="1"/>
  <c r="N451" i="1"/>
  <c r="M451" i="1"/>
  <c r="L451" i="1"/>
  <c r="AH450" i="1"/>
  <c r="AG450" i="1"/>
  <c r="AF450" i="1"/>
  <c r="AC450" i="1"/>
  <c r="AB450" i="1"/>
  <c r="AD450" i="1" s="1"/>
  <c r="AA450" i="1"/>
  <c r="O450" i="1"/>
  <c r="P450" i="1" s="1"/>
  <c r="N450" i="1"/>
  <c r="M450" i="1"/>
  <c r="L450" i="1"/>
  <c r="AH449" i="1"/>
  <c r="AF449" i="1"/>
  <c r="AG449" i="1" s="1"/>
  <c r="AC449" i="1"/>
  <c r="AB449" i="1"/>
  <c r="AD449" i="1" s="1"/>
  <c r="AA449" i="1"/>
  <c r="P449" i="1"/>
  <c r="O449" i="1"/>
  <c r="N449" i="1"/>
  <c r="M449" i="1"/>
  <c r="L449" i="1"/>
  <c r="AF448" i="1"/>
  <c r="AG448" i="1" s="1"/>
  <c r="AC448" i="1"/>
  <c r="AH448" i="1" s="1"/>
  <c r="AB448" i="1"/>
  <c r="AA448" i="1"/>
  <c r="O448" i="1"/>
  <c r="P448" i="1" s="1"/>
  <c r="N448" i="1"/>
  <c r="M448" i="1"/>
  <c r="L448" i="1"/>
  <c r="AH447" i="1"/>
  <c r="AG447" i="1"/>
  <c r="AF447" i="1"/>
  <c r="AC447" i="1"/>
  <c r="AB447" i="1"/>
  <c r="AD447" i="1" s="1"/>
  <c r="AA447" i="1"/>
  <c r="P447" i="1"/>
  <c r="O447" i="1"/>
  <c r="N447" i="1"/>
  <c r="M447" i="1"/>
  <c r="L447" i="1"/>
  <c r="AF446" i="1"/>
  <c r="AG446" i="1" s="1"/>
  <c r="AC446" i="1"/>
  <c r="AH446" i="1" s="1"/>
  <c r="AB446" i="1"/>
  <c r="AD446" i="1" s="1"/>
  <c r="AA446" i="1"/>
  <c r="P446" i="1"/>
  <c r="O446" i="1"/>
  <c r="N446" i="1"/>
  <c r="M446" i="1"/>
  <c r="L446" i="1"/>
  <c r="AF445" i="1"/>
  <c r="AG445" i="1" s="1"/>
  <c r="AC445" i="1"/>
  <c r="AH445" i="1" s="1"/>
  <c r="AB445" i="1"/>
  <c r="AD445" i="1" s="1"/>
  <c r="AA445" i="1"/>
  <c r="P445" i="1"/>
  <c r="O445" i="1"/>
  <c r="N445" i="1"/>
  <c r="M445" i="1"/>
  <c r="L445" i="1"/>
  <c r="AH444" i="1"/>
  <c r="AG444" i="1"/>
  <c r="AF444" i="1"/>
  <c r="AC444" i="1"/>
  <c r="AB444" i="1"/>
  <c r="AD444" i="1" s="1"/>
  <c r="AA444" i="1"/>
  <c r="O444" i="1"/>
  <c r="P444" i="1" s="1"/>
  <c r="N444" i="1"/>
  <c r="M444" i="1"/>
  <c r="L444" i="1"/>
  <c r="AH443" i="1"/>
  <c r="AF443" i="1"/>
  <c r="AG443" i="1" s="1"/>
  <c r="AC443" i="1"/>
  <c r="AB443" i="1"/>
  <c r="AD443" i="1" s="1"/>
  <c r="AA443" i="1"/>
  <c r="P443" i="1"/>
  <c r="O443" i="1"/>
  <c r="N443" i="1"/>
  <c r="M443" i="1"/>
  <c r="L443" i="1"/>
  <c r="AF442" i="1"/>
  <c r="AG442" i="1" s="1"/>
  <c r="AC442" i="1"/>
  <c r="AH442" i="1" s="1"/>
  <c r="AB442" i="1"/>
  <c r="AA442" i="1"/>
  <c r="O442" i="1"/>
  <c r="P442" i="1" s="1"/>
  <c r="N442" i="1"/>
  <c r="M442" i="1"/>
  <c r="L442" i="1"/>
  <c r="AH441" i="1"/>
  <c r="AG441" i="1"/>
  <c r="AF441" i="1"/>
  <c r="AC441" i="1"/>
  <c r="AB441" i="1"/>
  <c r="AD441" i="1" s="1"/>
  <c r="AA441" i="1"/>
  <c r="O441" i="1"/>
  <c r="P441" i="1" s="1"/>
  <c r="N441" i="1"/>
  <c r="M441" i="1"/>
  <c r="L441" i="1"/>
  <c r="AH440" i="1"/>
  <c r="AG440" i="1"/>
  <c r="AF440" i="1"/>
  <c r="AC440" i="1"/>
  <c r="AB440" i="1"/>
  <c r="AD440" i="1" s="1"/>
  <c r="AA440" i="1"/>
  <c r="P440" i="1"/>
  <c r="O440" i="1"/>
  <c r="N440" i="1"/>
  <c r="M440" i="1"/>
  <c r="L440" i="1"/>
  <c r="AF439" i="1"/>
  <c r="AG439" i="1" s="1"/>
  <c r="AD439" i="1"/>
  <c r="AC439" i="1"/>
  <c r="AH439" i="1" s="1"/>
  <c r="AB439" i="1"/>
  <c r="AA439" i="1"/>
  <c r="O439" i="1"/>
  <c r="P439" i="1" s="1"/>
  <c r="N439" i="1"/>
  <c r="M439" i="1"/>
  <c r="L439" i="1"/>
  <c r="AH438" i="1"/>
  <c r="AG438" i="1"/>
  <c r="AF438" i="1"/>
  <c r="AC438" i="1"/>
  <c r="AB438" i="1"/>
  <c r="AD438" i="1" s="1"/>
  <c r="AA438" i="1"/>
  <c r="O438" i="1"/>
  <c r="P438" i="1" s="1"/>
  <c r="N438" i="1"/>
  <c r="M438" i="1"/>
  <c r="L438" i="1"/>
  <c r="AF437" i="1"/>
  <c r="AG437" i="1" s="1"/>
  <c r="AD437" i="1"/>
  <c r="AC437" i="1"/>
  <c r="AH437" i="1" s="1"/>
  <c r="AB437" i="1"/>
  <c r="AA437" i="1"/>
  <c r="P437" i="1"/>
  <c r="O437" i="1"/>
  <c r="N437" i="1"/>
  <c r="M437" i="1"/>
  <c r="L437" i="1"/>
  <c r="AF436" i="1"/>
  <c r="AG436" i="1" s="1"/>
  <c r="AC436" i="1"/>
  <c r="AH436" i="1" s="1"/>
  <c r="AB436" i="1"/>
  <c r="AD436" i="1" s="1"/>
  <c r="AA436" i="1"/>
  <c r="O436" i="1"/>
  <c r="P436" i="1" s="1"/>
  <c r="N436" i="1"/>
  <c r="M436" i="1"/>
  <c r="L436" i="1"/>
  <c r="AH435" i="1"/>
  <c r="AG435" i="1"/>
  <c r="AF435" i="1"/>
  <c r="AC435" i="1"/>
  <c r="AB435" i="1"/>
  <c r="AD435" i="1" s="1"/>
  <c r="AA435" i="1"/>
  <c r="P435" i="1"/>
  <c r="O435" i="1"/>
  <c r="N435" i="1"/>
  <c r="M435" i="1"/>
  <c r="L435" i="1"/>
  <c r="AH434" i="1"/>
  <c r="AG434" i="1"/>
  <c r="AF434" i="1"/>
  <c r="AD434" i="1"/>
  <c r="AC434" i="1"/>
  <c r="AB434" i="1"/>
  <c r="AA434" i="1"/>
  <c r="P434" i="1"/>
  <c r="O434" i="1"/>
  <c r="N434" i="1"/>
  <c r="M434" i="1"/>
  <c r="L434" i="1"/>
  <c r="AH433" i="1"/>
  <c r="AG433" i="1"/>
  <c r="AF433" i="1"/>
  <c r="AC433" i="1"/>
  <c r="AB433" i="1"/>
  <c r="AD433" i="1" s="1"/>
  <c r="AA433" i="1"/>
  <c r="O433" i="1"/>
  <c r="P433" i="1" s="1"/>
  <c r="N433" i="1"/>
  <c r="M433" i="1"/>
  <c r="L433" i="1"/>
  <c r="AH432" i="1"/>
  <c r="AG432" i="1"/>
  <c r="AF432" i="1"/>
  <c r="AC432" i="1"/>
  <c r="AB432" i="1"/>
  <c r="AD432" i="1" s="1"/>
  <c r="AA432" i="1"/>
  <c r="P432" i="1"/>
  <c r="O432" i="1"/>
  <c r="N432" i="1"/>
  <c r="M432" i="1"/>
  <c r="L432" i="1"/>
  <c r="AH431" i="1"/>
  <c r="AF431" i="1"/>
  <c r="AG431" i="1" s="1"/>
  <c r="AC431" i="1"/>
  <c r="AB431" i="1"/>
  <c r="AD431" i="1" s="1"/>
  <c r="AA431" i="1"/>
  <c r="P431" i="1"/>
  <c r="O431" i="1"/>
  <c r="N431" i="1"/>
  <c r="M431" i="1"/>
  <c r="L431" i="1"/>
  <c r="AH430" i="1"/>
  <c r="AG430" i="1"/>
  <c r="AF430" i="1"/>
  <c r="AC430" i="1"/>
  <c r="AB430" i="1"/>
  <c r="AD430" i="1" s="1"/>
  <c r="AA430" i="1"/>
  <c r="O430" i="1"/>
  <c r="P430" i="1" s="1"/>
  <c r="N430" i="1"/>
  <c r="M430" i="1"/>
  <c r="L430" i="1"/>
  <c r="AH429" i="1"/>
  <c r="AG429" i="1"/>
  <c r="AF429" i="1"/>
  <c r="AC429" i="1"/>
  <c r="AB429" i="1"/>
  <c r="AD429" i="1" s="1"/>
  <c r="AA429" i="1"/>
  <c r="O429" i="1"/>
  <c r="P429" i="1" s="1"/>
  <c r="N429" i="1"/>
  <c r="M429" i="1"/>
  <c r="L429" i="1"/>
  <c r="AF428" i="1"/>
  <c r="AG428" i="1" s="1"/>
  <c r="AC428" i="1"/>
  <c r="AH428" i="1" s="1"/>
  <c r="AB428" i="1"/>
  <c r="AD428" i="1" s="1"/>
  <c r="AA428" i="1"/>
  <c r="P428" i="1"/>
  <c r="O428" i="1"/>
  <c r="N428" i="1"/>
  <c r="M428" i="1"/>
  <c r="L428" i="1"/>
  <c r="AH427" i="1"/>
  <c r="AF427" i="1"/>
  <c r="AG427" i="1" s="1"/>
  <c r="AD427" i="1"/>
  <c r="AC427" i="1"/>
  <c r="AB427" i="1"/>
  <c r="AA427" i="1"/>
  <c r="O427" i="1"/>
  <c r="P427" i="1" s="1"/>
  <c r="N427" i="1"/>
  <c r="M427" i="1"/>
  <c r="L427" i="1"/>
  <c r="AH426" i="1"/>
  <c r="AG426" i="1"/>
  <c r="AF426" i="1"/>
  <c r="AC426" i="1"/>
  <c r="AB426" i="1"/>
  <c r="AD426" i="1" s="1"/>
  <c r="AA426" i="1"/>
  <c r="P426" i="1"/>
  <c r="O426" i="1"/>
  <c r="N426" i="1"/>
  <c r="M426" i="1"/>
  <c r="L426" i="1"/>
  <c r="AF425" i="1"/>
  <c r="AG425" i="1" s="1"/>
  <c r="AC425" i="1"/>
  <c r="AH425" i="1" s="1"/>
  <c r="AB425" i="1"/>
  <c r="AD425" i="1" s="1"/>
  <c r="AA425" i="1"/>
  <c r="P425" i="1"/>
  <c r="O425" i="1"/>
  <c r="N425" i="1"/>
  <c r="M425" i="1"/>
  <c r="L425" i="1"/>
  <c r="AH424" i="1"/>
  <c r="AF424" i="1"/>
  <c r="AG424" i="1" s="1"/>
  <c r="AD424" i="1"/>
  <c r="AC424" i="1"/>
  <c r="AB424" i="1"/>
  <c r="AA424" i="1"/>
  <c r="O424" i="1"/>
  <c r="P424" i="1" s="1"/>
  <c r="N424" i="1"/>
  <c r="M424" i="1"/>
  <c r="L424" i="1"/>
  <c r="AH423" i="1"/>
  <c r="AG423" i="1"/>
  <c r="AF423" i="1"/>
  <c r="AC423" i="1"/>
  <c r="AB423" i="1"/>
  <c r="AD423" i="1" s="1"/>
  <c r="AA423" i="1"/>
  <c r="P423" i="1"/>
  <c r="O423" i="1"/>
  <c r="N423" i="1"/>
  <c r="M423" i="1"/>
  <c r="L423" i="1"/>
  <c r="AF422" i="1"/>
  <c r="AG422" i="1" s="1"/>
  <c r="AC422" i="1"/>
  <c r="AB422" i="1"/>
  <c r="AA422" i="1"/>
  <c r="P422" i="1"/>
  <c r="O422" i="1"/>
  <c r="N422" i="1"/>
  <c r="M422" i="1"/>
  <c r="L422" i="1"/>
  <c r="AH421" i="1"/>
  <c r="AF421" i="1"/>
  <c r="AG421" i="1" s="1"/>
  <c r="AD421" i="1"/>
  <c r="AC421" i="1"/>
  <c r="AB421" i="1"/>
  <c r="AA421" i="1"/>
  <c r="O421" i="1"/>
  <c r="P421" i="1" s="1"/>
  <c r="N421" i="1"/>
  <c r="M421" i="1"/>
  <c r="L421" i="1"/>
  <c r="AH420" i="1"/>
  <c r="AG420" i="1"/>
  <c r="AF420" i="1"/>
  <c r="AC420" i="1"/>
  <c r="AB420" i="1"/>
  <c r="AD420" i="1" s="1"/>
  <c r="AA420" i="1"/>
  <c r="O420" i="1"/>
  <c r="P420" i="1" s="1"/>
  <c r="N420" i="1"/>
  <c r="M420" i="1"/>
  <c r="L420" i="1"/>
  <c r="AF419" i="1"/>
  <c r="AG419" i="1" s="1"/>
  <c r="AC419" i="1"/>
  <c r="AH419" i="1" s="1"/>
  <c r="AB419" i="1"/>
  <c r="AD419" i="1" s="1"/>
  <c r="AA419" i="1"/>
  <c r="P419" i="1"/>
  <c r="O419" i="1"/>
  <c r="N419" i="1"/>
  <c r="M419" i="1"/>
  <c r="L419" i="1"/>
  <c r="AH418" i="1"/>
  <c r="AG418" i="1"/>
  <c r="AF418" i="1"/>
  <c r="AC418" i="1"/>
  <c r="AB418" i="1"/>
  <c r="AD418" i="1" s="1"/>
  <c r="AA418" i="1"/>
  <c r="O418" i="1"/>
  <c r="P418" i="1" s="1"/>
  <c r="N418" i="1"/>
  <c r="M418" i="1"/>
  <c r="L418" i="1"/>
  <c r="AH417" i="1"/>
  <c r="AG417" i="1"/>
  <c r="AF417" i="1"/>
  <c r="AC417" i="1"/>
  <c r="AB417" i="1"/>
  <c r="AD417" i="1" s="1"/>
  <c r="AA417" i="1"/>
  <c r="O417" i="1"/>
  <c r="P417" i="1" s="1"/>
  <c r="N417" i="1"/>
  <c r="M417" i="1"/>
  <c r="L417" i="1"/>
  <c r="AH416" i="1"/>
  <c r="AG416" i="1"/>
  <c r="AF416" i="1"/>
  <c r="AC416" i="1"/>
  <c r="AB416" i="1"/>
  <c r="AD416" i="1" s="1"/>
  <c r="AA416" i="1"/>
  <c r="P416" i="1"/>
  <c r="O416" i="1"/>
  <c r="N416" i="1"/>
  <c r="M416" i="1"/>
  <c r="L416" i="1"/>
  <c r="AF415" i="1"/>
  <c r="AG415" i="1" s="1"/>
  <c r="AC415" i="1"/>
  <c r="AD415" i="1" s="1"/>
  <c r="AB415" i="1"/>
  <c r="AA415" i="1"/>
  <c r="P415" i="1"/>
  <c r="O415" i="1"/>
  <c r="N415" i="1"/>
  <c r="M415" i="1"/>
  <c r="L415" i="1"/>
  <c r="AH414" i="1"/>
  <c r="AG414" i="1"/>
  <c r="AF414" i="1"/>
  <c r="AC414" i="1"/>
  <c r="AB414" i="1"/>
  <c r="AD414" i="1" s="1"/>
  <c r="AA414" i="1"/>
  <c r="P414" i="1"/>
  <c r="O414" i="1"/>
  <c r="N414" i="1"/>
  <c r="M414" i="1"/>
  <c r="L414" i="1"/>
  <c r="AH413" i="1"/>
  <c r="AG413" i="1"/>
  <c r="AF413" i="1"/>
  <c r="AC413" i="1"/>
  <c r="AB413" i="1"/>
  <c r="AD413" i="1" s="1"/>
  <c r="AA413" i="1"/>
  <c r="P413" i="1"/>
  <c r="O413" i="1"/>
  <c r="N413" i="1"/>
  <c r="M413" i="1"/>
  <c r="L413" i="1"/>
  <c r="AH412" i="1"/>
  <c r="AG412" i="1"/>
  <c r="AF412" i="1"/>
  <c r="AC412" i="1"/>
  <c r="AB412" i="1"/>
  <c r="AD412" i="1" s="1"/>
  <c r="AA412" i="1"/>
  <c r="P412" i="1"/>
  <c r="O412" i="1"/>
  <c r="N412" i="1"/>
  <c r="M412" i="1"/>
  <c r="L412" i="1"/>
  <c r="AH411" i="1"/>
  <c r="AG411" i="1"/>
  <c r="AF411" i="1"/>
  <c r="AC411" i="1"/>
  <c r="AB411" i="1"/>
  <c r="AD411" i="1" s="1"/>
  <c r="AA411" i="1"/>
  <c r="O411" i="1"/>
  <c r="P411" i="1" s="1"/>
  <c r="N411" i="1"/>
  <c r="M411" i="1"/>
  <c r="L411" i="1"/>
  <c r="AH410" i="1"/>
  <c r="AF410" i="1"/>
  <c r="AG410" i="1" s="1"/>
  <c r="AD410" i="1"/>
  <c r="AC410" i="1"/>
  <c r="AB410" i="1"/>
  <c r="AA410" i="1"/>
  <c r="P410" i="1"/>
  <c r="O410" i="1"/>
  <c r="N410" i="1"/>
  <c r="M410" i="1"/>
  <c r="L410" i="1"/>
  <c r="AH409" i="1"/>
  <c r="AF409" i="1"/>
  <c r="AG409" i="1" s="1"/>
  <c r="AD409" i="1"/>
  <c r="AC409" i="1"/>
  <c r="AB409" i="1"/>
  <c r="AA409" i="1"/>
  <c r="O409" i="1"/>
  <c r="P409" i="1" s="1"/>
  <c r="N409" i="1"/>
  <c r="M409" i="1"/>
  <c r="L409" i="1"/>
  <c r="AH408" i="1"/>
  <c r="AG408" i="1"/>
  <c r="AF408" i="1"/>
  <c r="AC408" i="1"/>
  <c r="AB408" i="1"/>
  <c r="AD408" i="1" s="1"/>
  <c r="AA408" i="1"/>
  <c r="O408" i="1"/>
  <c r="P408" i="1" s="1"/>
  <c r="N408" i="1"/>
  <c r="M408" i="1"/>
  <c r="L408" i="1"/>
  <c r="AH407" i="1"/>
  <c r="AF407" i="1"/>
  <c r="AG407" i="1" s="1"/>
  <c r="AD407" i="1"/>
  <c r="AC407" i="1"/>
  <c r="AB407" i="1"/>
  <c r="AA407" i="1"/>
  <c r="P407" i="1"/>
  <c r="O407" i="1"/>
  <c r="N407" i="1"/>
  <c r="M407" i="1"/>
  <c r="L407" i="1"/>
  <c r="AF406" i="1"/>
  <c r="AG406" i="1" s="1"/>
  <c r="AD406" i="1"/>
  <c r="AC406" i="1"/>
  <c r="AH406" i="1" s="1"/>
  <c r="AB406" i="1"/>
  <c r="AA406" i="1"/>
  <c r="O406" i="1"/>
  <c r="P406" i="1" s="1"/>
  <c r="N406" i="1"/>
  <c r="M406" i="1"/>
  <c r="L406" i="1"/>
  <c r="AH405" i="1"/>
  <c r="AG405" i="1"/>
  <c r="AF405" i="1"/>
  <c r="AC405" i="1"/>
  <c r="AB405" i="1"/>
  <c r="AD405" i="1" s="1"/>
  <c r="AA405" i="1"/>
  <c r="O405" i="1"/>
  <c r="P405" i="1" s="1"/>
  <c r="N405" i="1"/>
  <c r="M405" i="1"/>
  <c r="L405" i="1"/>
  <c r="AF404" i="1"/>
  <c r="AG404" i="1" s="1"/>
  <c r="AC404" i="1"/>
  <c r="AB404" i="1"/>
  <c r="AA404" i="1"/>
  <c r="P404" i="1"/>
  <c r="O404" i="1"/>
  <c r="N404" i="1"/>
  <c r="M404" i="1"/>
  <c r="L404" i="1"/>
  <c r="AF403" i="1"/>
  <c r="AG403" i="1" s="1"/>
  <c r="AC403" i="1"/>
  <c r="AH403" i="1" s="1"/>
  <c r="AB403" i="1"/>
  <c r="AA403" i="1"/>
  <c r="O403" i="1"/>
  <c r="P403" i="1" s="1"/>
  <c r="N403" i="1"/>
  <c r="M403" i="1"/>
  <c r="L403" i="1"/>
  <c r="AH402" i="1"/>
  <c r="AG402" i="1"/>
  <c r="AF402" i="1"/>
  <c r="AC402" i="1"/>
  <c r="AB402" i="1"/>
  <c r="AD402" i="1" s="1"/>
  <c r="AA402" i="1"/>
  <c r="O402" i="1"/>
  <c r="P402" i="1" s="1"/>
  <c r="N402" i="1"/>
  <c r="M402" i="1"/>
  <c r="L402" i="1"/>
  <c r="AF401" i="1"/>
  <c r="AG401" i="1" s="1"/>
  <c r="AC401" i="1"/>
  <c r="AH401" i="1" s="1"/>
  <c r="AB401" i="1"/>
  <c r="AD401" i="1" s="1"/>
  <c r="AA401" i="1"/>
  <c r="P401" i="1"/>
  <c r="O401" i="1"/>
  <c r="N401" i="1"/>
  <c r="M401" i="1"/>
  <c r="L401" i="1"/>
  <c r="AF400" i="1"/>
  <c r="AG400" i="1" s="1"/>
  <c r="AC400" i="1"/>
  <c r="AH400" i="1" s="1"/>
  <c r="AB400" i="1"/>
  <c r="AD400" i="1" s="1"/>
  <c r="AA400" i="1"/>
  <c r="O400" i="1"/>
  <c r="P400" i="1" s="1"/>
  <c r="N400" i="1"/>
  <c r="M400" i="1"/>
  <c r="L400" i="1"/>
  <c r="AH399" i="1"/>
  <c r="AG399" i="1"/>
  <c r="AF399" i="1"/>
  <c r="AC399" i="1"/>
  <c r="AB399" i="1"/>
  <c r="AD399" i="1" s="1"/>
  <c r="AA399" i="1"/>
  <c r="P399" i="1"/>
  <c r="O399" i="1"/>
  <c r="N399" i="1"/>
  <c r="M399" i="1"/>
  <c r="L399" i="1"/>
  <c r="AG398" i="1"/>
  <c r="AF398" i="1"/>
  <c r="AC398" i="1"/>
  <c r="AH398" i="1" s="1"/>
  <c r="AB398" i="1"/>
  <c r="AD398" i="1" s="1"/>
  <c r="AA398" i="1"/>
  <c r="P398" i="1"/>
  <c r="O398" i="1"/>
  <c r="N398" i="1"/>
  <c r="M398" i="1"/>
  <c r="L398" i="1"/>
  <c r="AG397" i="1"/>
  <c r="AF397" i="1"/>
  <c r="AC397" i="1"/>
  <c r="AH397" i="1" s="1"/>
  <c r="AB397" i="1"/>
  <c r="AD397" i="1" s="1"/>
  <c r="AA397" i="1"/>
  <c r="P397" i="1"/>
  <c r="O397" i="1"/>
  <c r="N397" i="1"/>
  <c r="M397" i="1"/>
  <c r="L397" i="1"/>
  <c r="AH396" i="1"/>
  <c r="AG396" i="1"/>
  <c r="AF396" i="1"/>
  <c r="AC396" i="1"/>
  <c r="AB396" i="1"/>
  <c r="AD396" i="1" s="1"/>
  <c r="AA396" i="1"/>
  <c r="P396" i="1"/>
  <c r="O396" i="1"/>
  <c r="N396" i="1"/>
  <c r="M396" i="1"/>
  <c r="L396" i="1"/>
  <c r="AH395" i="1"/>
  <c r="AG395" i="1"/>
  <c r="AF395" i="1"/>
  <c r="AC395" i="1"/>
  <c r="AB395" i="1"/>
  <c r="AD395" i="1" s="1"/>
  <c r="AA395" i="1"/>
  <c r="P395" i="1"/>
  <c r="O395" i="1"/>
  <c r="N395" i="1"/>
  <c r="M395" i="1"/>
  <c r="L395" i="1"/>
  <c r="AH394" i="1"/>
  <c r="AG394" i="1"/>
  <c r="AF394" i="1"/>
  <c r="AC394" i="1"/>
  <c r="AB394" i="1"/>
  <c r="AD394" i="1" s="1"/>
  <c r="AA394" i="1"/>
  <c r="O394" i="1"/>
  <c r="P394" i="1" s="1"/>
  <c r="N394" i="1"/>
  <c r="M394" i="1"/>
  <c r="L394" i="1"/>
  <c r="AH393" i="1"/>
  <c r="AG393" i="1"/>
  <c r="AF393" i="1"/>
  <c r="AC393" i="1"/>
  <c r="AB393" i="1"/>
  <c r="AD393" i="1" s="1"/>
  <c r="AA393" i="1"/>
  <c r="O393" i="1"/>
  <c r="P393" i="1" s="1"/>
  <c r="N393" i="1"/>
  <c r="M393" i="1"/>
  <c r="L393" i="1"/>
  <c r="AH392" i="1"/>
  <c r="AF392" i="1"/>
  <c r="AG392" i="1" s="1"/>
  <c r="AD392" i="1"/>
  <c r="AC392" i="1"/>
  <c r="AB392" i="1"/>
  <c r="AA392" i="1"/>
  <c r="P392" i="1"/>
  <c r="O392" i="1"/>
  <c r="N392" i="1"/>
  <c r="M392" i="1"/>
  <c r="L392" i="1"/>
  <c r="AF391" i="1"/>
  <c r="AG391" i="1" s="1"/>
  <c r="AD391" i="1"/>
  <c r="AC391" i="1"/>
  <c r="AH391" i="1" s="1"/>
  <c r="AB391" i="1"/>
  <c r="AA391" i="1"/>
  <c r="O391" i="1"/>
  <c r="P391" i="1" s="1"/>
  <c r="N391" i="1"/>
  <c r="M391" i="1"/>
  <c r="L391" i="1"/>
  <c r="AH390" i="1"/>
  <c r="AG390" i="1"/>
  <c r="AF390" i="1"/>
  <c r="AC390" i="1"/>
  <c r="AB390" i="1"/>
  <c r="AD390" i="1" s="1"/>
  <c r="AA390" i="1"/>
  <c r="O390" i="1"/>
  <c r="P390" i="1" s="1"/>
  <c r="N390" i="1"/>
  <c r="M390" i="1"/>
  <c r="L390" i="1"/>
  <c r="AF389" i="1"/>
  <c r="AG389" i="1" s="1"/>
  <c r="AC389" i="1"/>
  <c r="AH389" i="1" s="1"/>
  <c r="AB389" i="1"/>
  <c r="AD389" i="1" s="1"/>
  <c r="AA389" i="1"/>
  <c r="P389" i="1"/>
  <c r="O389" i="1"/>
  <c r="N389" i="1"/>
  <c r="M389" i="1"/>
  <c r="L389" i="1"/>
  <c r="AF388" i="1"/>
  <c r="AG388" i="1" s="1"/>
  <c r="AC388" i="1"/>
  <c r="AH388" i="1" s="1"/>
  <c r="AB388" i="1"/>
  <c r="AD388" i="1" s="1"/>
  <c r="AA388" i="1"/>
  <c r="P388" i="1"/>
  <c r="O388" i="1"/>
  <c r="N388" i="1"/>
  <c r="M388" i="1"/>
  <c r="L388" i="1"/>
  <c r="AH387" i="1"/>
  <c r="AG387" i="1"/>
  <c r="AF387" i="1"/>
  <c r="AC387" i="1"/>
  <c r="AB387" i="1"/>
  <c r="AD387" i="1" s="1"/>
  <c r="AA387" i="1"/>
  <c r="O387" i="1"/>
  <c r="P387" i="1" s="1"/>
  <c r="N387" i="1"/>
  <c r="M387" i="1"/>
  <c r="L387" i="1"/>
  <c r="AH386" i="1"/>
  <c r="AG386" i="1"/>
  <c r="AF386" i="1"/>
  <c r="AD386" i="1"/>
  <c r="AC386" i="1"/>
  <c r="AB386" i="1"/>
  <c r="AA386" i="1"/>
  <c r="P386" i="1"/>
  <c r="O386" i="1"/>
  <c r="N386" i="1"/>
  <c r="M386" i="1"/>
  <c r="L386" i="1"/>
  <c r="AF385" i="1"/>
  <c r="AG385" i="1" s="1"/>
  <c r="AC385" i="1"/>
  <c r="AH385" i="1" s="1"/>
  <c r="AB385" i="1"/>
  <c r="AD385" i="1" s="1"/>
  <c r="AA385" i="1"/>
  <c r="O385" i="1"/>
  <c r="P385" i="1" s="1"/>
  <c r="N385" i="1"/>
  <c r="M385" i="1"/>
  <c r="L385" i="1"/>
  <c r="AH384" i="1"/>
  <c r="AG384" i="1"/>
  <c r="AF384" i="1"/>
  <c r="AC384" i="1"/>
  <c r="AB384" i="1"/>
  <c r="AD384" i="1" s="1"/>
  <c r="AA384" i="1"/>
  <c r="O384" i="1"/>
  <c r="P384" i="1" s="1"/>
  <c r="N384" i="1"/>
  <c r="M384" i="1"/>
  <c r="L384" i="1"/>
  <c r="AF383" i="1"/>
  <c r="AG383" i="1" s="1"/>
  <c r="AC383" i="1"/>
  <c r="AH383" i="1" s="1"/>
  <c r="AB383" i="1"/>
  <c r="AD383" i="1" s="1"/>
  <c r="AA383" i="1"/>
  <c r="P383" i="1"/>
  <c r="O383" i="1"/>
  <c r="N383" i="1"/>
  <c r="M383" i="1"/>
  <c r="L383" i="1"/>
  <c r="AF382" i="1"/>
  <c r="AG382" i="1" s="1"/>
  <c r="AC382" i="1"/>
  <c r="AH382" i="1" s="1"/>
  <c r="AB382" i="1"/>
  <c r="AA382" i="1"/>
  <c r="P382" i="1"/>
  <c r="O382" i="1"/>
  <c r="N382" i="1"/>
  <c r="M382" i="1"/>
  <c r="L382" i="1"/>
  <c r="AH381" i="1"/>
  <c r="AG381" i="1"/>
  <c r="AF381" i="1"/>
  <c r="AC381" i="1"/>
  <c r="AB381" i="1"/>
  <c r="AD381" i="1" s="1"/>
  <c r="AA381" i="1"/>
  <c r="P381" i="1"/>
  <c r="O381" i="1"/>
  <c r="N381" i="1"/>
  <c r="M381" i="1"/>
  <c r="L381" i="1"/>
  <c r="AH380" i="1"/>
  <c r="AF380" i="1"/>
  <c r="AG380" i="1" s="1"/>
  <c r="AD380" i="1"/>
  <c r="AC380" i="1"/>
  <c r="AB380" i="1"/>
  <c r="AA380" i="1"/>
  <c r="P380" i="1"/>
  <c r="O380" i="1"/>
  <c r="N380" i="1"/>
  <c r="M380" i="1"/>
  <c r="L380" i="1"/>
  <c r="AH379" i="1"/>
  <c r="AG379" i="1"/>
  <c r="AF379" i="1"/>
  <c r="AC379" i="1"/>
  <c r="AB379" i="1"/>
  <c r="AD379" i="1" s="1"/>
  <c r="AA379" i="1"/>
  <c r="P379" i="1"/>
  <c r="O379" i="1"/>
  <c r="N379" i="1"/>
  <c r="M379" i="1"/>
  <c r="L379" i="1"/>
  <c r="AH378" i="1"/>
  <c r="AG378" i="1"/>
  <c r="AF378" i="1"/>
  <c r="AC378" i="1"/>
  <c r="AB378" i="1"/>
  <c r="AD378" i="1" s="1"/>
  <c r="AA378" i="1"/>
  <c r="P378" i="1"/>
  <c r="O378" i="1"/>
  <c r="N378" i="1"/>
  <c r="M378" i="1"/>
  <c r="L378" i="1"/>
  <c r="AF377" i="1"/>
  <c r="AG377" i="1" s="1"/>
  <c r="AC377" i="1"/>
  <c r="AH377" i="1" s="1"/>
  <c r="AB377" i="1"/>
  <c r="AA377" i="1"/>
  <c r="P377" i="1"/>
  <c r="O377" i="1"/>
  <c r="N377" i="1"/>
  <c r="M377" i="1"/>
  <c r="L377" i="1"/>
  <c r="AH376" i="1"/>
  <c r="AG376" i="1"/>
  <c r="AF376" i="1"/>
  <c r="AC376" i="1"/>
  <c r="AB376" i="1"/>
  <c r="AD376" i="1" s="1"/>
  <c r="AA376" i="1"/>
  <c r="O376" i="1"/>
  <c r="P376" i="1" s="1"/>
  <c r="N376" i="1"/>
  <c r="M376" i="1"/>
  <c r="L376" i="1"/>
  <c r="AH375" i="1"/>
  <c r="AG375" i="1"/>
  <c r="AF375" i="1"/>
  <c r="AC375" i="1"/>
  <c r="AB375" i="1"/>
  <c r="AD375" i="1" s="1"/>
  <c r="AA375" i="1"/>
  <c r="O375" i="1"/>
  <c r="P375" i="1" s="1"/>
  <c r="N375" i="1"/>
  <c r="M375" i="1"/>
  <c r="L375" i="1"/>
  <c r="AF374" i="1"/>
  <c r="AG374" i="1" s="1"/>
  <c r="AC374" i="1"/>
  <c r="AH374" i="1" s="1"/>
  <c r="AB374" i="1"/>
  <c r="AA374" i="1"/>
  <c r="P374" i="1"/>
  <c r="O374" i="1"/>
  <c r="N374" i="1"/>
  <c r="M374" i="1"/>
  <c r="L374" i="1"/>
  <c r="AH373" i="1"/>
  <c r="AF373" i="1"/>
  <c r="AG373" i="1" s="1"/>
  <c r="AD373" i="1"/>
  <c r="AC373" i="1"/>
  <c r="AB373" i="1"/>
  <c r="AA373" i="1"/>
  <c r="O373" i="1"/>
  <c r="P373" i="1" s="1"/>
  <c r="N373" i="1"/>
  <c r="M373" i="1"/>
  <c r="L373" i="1"/>
  <c r="AH372" i="1"/>
  <c r="AG372" i="1"/>
  <c r="AF372" i="1"/>
  <c r="AC372" i="1"/>
  <c r="AB372" i="1"/>
  <c r="AD372" i="1" s="1"/>
  <c r="AA372" i="1"/>
  <c r="P372" i="1"/>
  <c r="O372" i="1"/>
  <c r="N372" i="1"/>
  <c r="M372" i="1"/>
  <c r="L372" i="1"/>
  <c r="AF371" i="1"/>
  <c r="AG371" i="1" s="1"/>
  <c r="AC371" i="1"/>
  <c r="AH371" i="1" s="1"/>
  <c r="AB371" i="1"/>
  <c r="AD371" i="1" s="1"/>
  <c r="AA371" i="1"/>
  <c r="P371" i="1"/>
  <c r="O371" i="1"/>
  <c r="N371" i="1"/>
  <c r="M371" i="1"/>
  <c r="L371" i="1"/>
  <c r="AH370" i="1"/>
  <c r="AF370" i="1"/>
  <c r="AG370" i="1" s="1"/>
  <c r="AD370" i="1"/>
  <c r="AC370" i="1"/>
  <c r="AB370" i="1"/>
  <c r="AA370" i="1"/>
  <c r="O370" i="1"/>
  <c r="P370" i="1" s="1"/>
  <c r="N370" i="1"/>
  <c r="M370" i="1"/>
  <c r="L370" i="1"/>
  <c r="AH369" i="1"/>
  <c r="AG369" i="1"/>
  <c r="AF369" i="1"/>
  <c r="AC369" i="1"/>
  <c r="AB369" i="1"/>
  <c r="AD369" i="1" s="1"/>
  <c r="AA369" i="1"/>
  <c r="O369" i="1"/>
  <c r="P369" i="1" s="1"/>
  <c r="N369" i="1"/>
  <c r="M369" i="1"/>
  <c r="L369" i="1"/>
  <c r="AF368" i="1"/>
  <c r="AG368" i="1" s="1"/>
  <c r="AC368" i="1"/>
  <c r="AH368" i="1" s="1"/>
  <c r="AB368" i="1"/>
  <c r="AD368" i="1" s="1"/>
  <c r="AA368" i="1"/>
  <c r="P368" i="1"/>
  <c r="O368" i="1"/>
  <c r="N368" i="1"/>
  <c r="M368" i="1"/>
  <c r="L368" i="1"/>
  <c r="AH367" i="1"/>
  <c r="AF367" i="1"/>
  <c r="AG367" i="1" s="1"/>
  <c r="AD367" i="1"/>
  <c r="AC367" i="1"/>
  <c r="AB367" i="1"/>
  <c r="AA367" i="1"/>
  <c r="O367" i="1"/>
  <c r="P367" i="1" s="1"/>
  <c r="N367" i="1"/>
  <c r="M367" i="1"/>
  <c r="L367" i="1"/>
  <c r="AH366" i="1"/>
  <c r="AF366" i="1"/>
  <c r="AG366" i="1" s="1"/>
  <c r="AC366" i="1"/>
  <c r="AB366" i="1"/>
  <c r="AD366" i="1" s="1"/>
  <c r="AA366" i="1"/>
  <c r="O366" i="1"/>
  <c r="P366" i="1" s="1"/>
  <c r="N366" i="1"/>
  <c r="M366" i="1"/>
  <c r="L366" i="1"/>
  <c r="AH365" i="1"/>
  <c r="AG365" i="1"/>
  <c r="AF365" i="1"/>
  <c r="AC365" i="1"/>
  <c r="AB365" i="1"/>
  <c r="AD365" i="1" s="1"/>
  <c r="AA365" i="1"/>
  <c r="O365" i="1"/>
  <c r="P365" i="1" s="1"/>
  <c r="N365" i="1"/>
  <c r="M365" i="1"/>
  <c r="L365" i="1"/>
  <c r="AF364" i="1"/>
  <c r="AG364" i="1" s="1"/>
  <c r="AC364" i="1"/>
  <c r="AH364" i="1" s="1"/>
  <c r="AB364" i="1"/>
  <c r="AA364" i="1"/>
  <c r="P364" i="1"/>
  <c r="O364" i="1"/>
  <c r="N364" i="1"/>
  <c r="M364" i="1"/>
  <c r="L364" i="1"/>
  <c r="AH363" i="1"/>
  <c r="AF363" i="1"/>
  <c r="AG363" i="1" s="1"/>
  <c r="AC363" i="1"/>
  <c r="AB363" i="1"/>
  <c r="AD363" i="1" s="1"/>
  <c r="AA363" i="1"/>
  <c r="P363" i="1"/>
  <c r="O363" i="1"/>
  <c r="N363" i="1"/>
  <c r="M363" i="1"/>
  <c r="L363" i="1"/>
  <c r="AH362" i="1"/>
  <c r="AG362" i="1"/>
  <c r="AF362" i="1"/>
  <c r="AD362" i="1"/>
  <c r="AC362" i="1"/>
  <c r="AB362" i="1"/>
  <c r="AA362" i="1"/>
  <c r="O362" i="1"/>
  <c r="P362" i="1" s="1"/>
  <c r="N362" i="1"/>
  <c r="M362" i="1"/>
  <c r="L362" i="1"/>
  <c r="AH361" i="1"/>
  <c r="AG361" i="1"/>
  <c r="AF361" i="1"/>
  <c r="AC361" i="1"/>
  <c r="AB361" i="1"/>
  <c r="AD361" i="1" s="1"/>
  <c r="AA361" i="1"/>
  <c r="O361" i="1"/>
  <c r="P361" i="1" s="1"/>
  <c r="N361" i="1"/>
  <c r="M361" i="1"/>
  <c r="L361" i="1"/>
  <c r="AH360" i="1"/>
  <c r="AF360" i="1"/>
  <c r="AG360" i="1" s="1"/>
  <c r="AC360" i="1"/>
  <c r="AB360" i="1"/>
  <c r="AD360" i="1" s="1"/>
  <c r="AA360" i="1"/>
  <c r="O360" i="1"/>
  <c r="P360" i="1" s="1"/>
  <c r="N360" i="1"/>
  <c r="M360" i="1"/>
  <c r="L360" i="1"/>
  <c r="AF359" i="1"/>
  <c r="AG359" i="1" s="1"/>
  <c r="AC359" i="1"/>
  <c r="AH359" i="1" s="1"/>
  <c r="AB359" i="1"/>
  <c r="AA359" i="1"/>
  <c r="O359" i="1"/>
  <c r="P359" i="1" s="1"/>
  <c r="N359" i="1"/>
  <c r="M359" i="1"/>
  <c r="L359" i="1"/>
  <c r="AH358" i="1"/>
  <c r="AF358" i="1"/>
  <c r="AG358" i="1" s="1"/>
  <c r="AC358" i="1"/>
  <c r="AD358" i="1" s="1"/>
  <c r="AB358" i="1"/>
  <c r="AA358" i="1"/>
  <c r="O358" i="1"/>
  <c r="P358" i="1" s="1"/>
  <c r="N358" i="1"/>
  <c r="M358" i="1"/>
  <c r="L358" i="1"/>
  <c r="AH357" i="1"/>
  <c r="AF357" i="1"/>
  <c r="AG357" i="1" s="1"/>
  <c r="AC357" i="1"/>
  <c r="AB357" i="1"/>
  <c r="AD357" i="1" s="1"/>
  <c r="AA357" i="1"/>
  <c r="O357" i="1"/>
  <c r="P357" i="1" s="1"/>
  <c r="N357" i="1"/>
  <c r="M357" i="1"/>
  <c r="L357" i="1"/>
  <c r="AH356" i="1"/>
  <c r="AG356" i="1"/>
  <c r="AF356" i="1"/>
  <c r="AC356" i="1"/>
  <c r="AB356" i="1"/>
  <c r="AD356" i="1" s="1"/>
  <c r="AA356" i="1"/>
  <c r="O356" i="1"/>
  <c r="P356" i="1" s="1"/>
  <c r="N356" i="1"/>
  <c r="M356" i="1"/>
  <c r="L356" i="1"/>
  <c r="AF355" i="1"/>
  <c r="AG355" i="1" s="1"/>
  <c r="AC355" i="1"/>
  <c r="AH355" i="1" s="1"/>
  <c r="AB355" i="1"/>
  <c r="AD355" i="1" s="1"/>
  <c r="AA355" i="1"/>
  <c r="O355" i="1"/>
  <c r="P355" i="1" s="1"/>
  <c r="N355" i="1"/>
  <c r="M355" i="1"/>
  <c r="L355" i="1"/>
  <c r="AH354" i="1"/>
  <c r="AF354" i="1"/>
  <c r="AG354" i="1" s="1"/>
  <c r="AC354" i="1"/>
  <c r="AB354" i="1"/>
  <c r="AD354" i="1" s="1"/>
  <c r="AA354" i="1"/>
  <c r="P354" i="1"/>
  <c r="O354" i="1"/>
  <c r="N354" i="1"/>
  <c r="M354" i="1"/>
  <c r="L354" i="1"/>
  <c r="AF353" i="1"/>
  <c r="AG353" i="1" s="1"/>
  <c r="AC353" i="1"/>
  <c r="AH353" i="1" s="1"/>
  <c r="AB353" i="1"/>
  <c r="AA353" i="1"/>
  <c r="O353" i="1"/>
  <c r="P353" i="1" s="1"/>
  <c r="N353" i="1"/>
  <c r="M353" i="1"/>
  <c r="L353" i="1"/>
  <c r="AH352" i="1"/>
  <c r="AG352" i="1"/>
  <c r="AF352" i="1"/>
  <c r="AC352" i="1"/>
  <c r="AB352" i="1"/>
  <c r="AD352" i="1" s="1"/>
  <c r="AA352" i="1"/>
  <c r="O352" i="1"/>
  <c r="P352" i="1" s="1"/>
  <c r="N352" i="1"/>
  <c r="M352" i="1"/>
  <c r="L352" i="1"/>
  <c r="AH351" i="1"/>
  <c r="AF351" i="1"/>
  <c r="AG351" i="1" s="1"/>
  <c r="AC351" i="1"/>
  <c r="AB351" i="1"/>
  <c r="AD351" i="1" s="1"/>
  <c r="AA351" i="1"/>
  <c r="O351" i="1"/>
  <c r="P351" i="1" s="1"/>
  <c r="N351" i="1"/>
  <c r="M351" i="1"/>
  <c r="L351" i="1"/>
  <c r="AF350" i="1"/>
  <c r="AG350" i="1" s="1"/>
  <c r="AC350" i="1"/>
  <c r="AH350" i="1" s="1"/>
  <c r="AB350" i="1"/>
  <c r="AD350" i="1" s="1"/>
  <c r="AA350" i="1"/>
  <c r="O350" i="1"/>
  <c r="P350" i="1" s="1"/>
  <c r="N350" i="1"/>
  <c r="M350" i="1"/>
  <c r="L350" i="1"/>
  <c r="AH349" i="1"/>
  <c r="AG349" i="1"/>
  <c r="AF349" i="1"/>
  <c r="AC349" i="1"/>
  <c r="AD349" i="1" s="1"/>
  <c r="AB349" i="1"/>
  <c r="AA349" i="1"/>
  <c r="O349" i="1"/>
  <c r="P349" i="1" s="1"/>
  <c r="N349" i="1"/>
  <c r="M349" i="1"/>
  <c r="L349" i="1"/>
  <c r="AH348" i="1"/>
  <c r="AF348" i="1"/>
  <c r="AG348" i="1" s="1"/>
  <c r="AC348" i="1"/>
  <c r="AB348" i="1"/>
  <c r="AD348" i="1" s="1"/>
  <c r="AA348" i="1"/>
  <c r="O348" i="1"/>
  <c r="P348" i="1" s="1"/>
  <c r="N348" i="1"/>
  <c r="M348" i="1"/>
  <c r="L348" i="1"/>
  <c r="AH347" i="1"/>
  <c r="AG347" i="1"/>
  <c r="AF347" i="1"/>
  <c r="AC347" i="1"/>
  <c r="AB347" i="1"/>
  <c r="AD347" i="1" s="1"/>
  <c r="AA347" i="1"/>
  <c r="O347" i="1"/>
  <c r="P347" i="1" s="1"/>
  <c r="N347" i="1"/>
  <c r="M347" i="1"/>
  <c r="L347" i="1"/>
  <c r="AF346" i="1"/>
  <c r="AG346" i="1" s="1"/>
  <c r="AC346" i="1"/>
  <c r="AH346" i="1" s="1"/>
  <c r="AB346" i="1"/>
  <c r="AD346" i="1" s="1"/>
  <c r="AA346" i="1"/>
  <c r="P346" i="1"/>
  <c r="O346" i="1"/>
  <c r="N346" i="1"/>
  <c r="M346" i="1"/>
  <c r="L346" i="1"/>
  <c r="AH345" i="1"/>
  <c r="AF345" i="1"/>
  <c r="AG345" i="1" s="1"/>
  <c r="AC345" i="1"/>
  <c r="AB345" i="1"/>
  <c r="AD345" i="1" s="1"/>
  <c r="AA345" i="1"/>
  <c r="O345" i="1"/>
  <c r="P345" i="1" s="1"/>
  <c r="N345" i="1"/>
  <c r="M345" i="1"/>
  <c r="L345" i="1"/>
  <c r="AB344" i="1"/>
  <c r="AA344" i="1"/>
  <c r="N344" i="1"/>
  <c r="M344" i="1"/>
  <c r="L344" i="1"/>
  <c r="AB343" i="1"/>
  <c r="AA343" i="1"/>
  <c r="N343" i="1"/>
  <c r="M343" i="1"/>
  <c r="L343" i="1"/>
  <c r="AB342" i="1"/>
  <c r="AA342" i="1"/>
  <c r="N342" i="1"/>
  <c r="M342" i="1"/>
  <c r="L342" i="1"/>
  <c r="AB341" i="1"/>
  <c r="AA341" i="1"/>
  <c r="N341" i="1"/>
  <c r="M341" i="1"/>
  <c r="L341" i="1"/>
  <c r="AB340" i="1"/>
  <c r="AA340" i="1"/>
  <c r="N340" i="1"/>
  <c r="M340" i="1"/>
  <c r="L340" i="1"/>
  <c r="AB339" i="1"/>
  <c r="AA339" i="1"/>
  <c r="N339" i="1"/>
  <c r="M339" i="1"/>
  <c r="L339" i="1"/>
  <c r="AB338" i="1"/>
  <c r="AA338" i="1"/>
  <c r="N338" i="1"/>
  <c r="M338" i="1"/>
  <c r="L338" i="1"/>
  <c r="AB337" i="1"/>
  <c r="AA337" i="1"/>
  <c r="N337" i="1"/>
  <c r="M337" i="1"/>
  <c r="L337" i="1"/>
  <c r="AB336" i="1"/>
  <c r="AA336" i="1"/>
  <c r="N336" i="1"/>
  <c r="M336" i="1"/>
  <c r="L336" i="1"/>
  <c r="AB335" i="1"/>
  <c r="AA335" i="1"/>
  <c r="N335" i="1"/>
  <c r="M335" i="1"/>
  <c r="L335" i="1"/>
  <c r="AB334" i="1"/>
  <c r="AA334" i="1"/>
  <c r="N334" i="1"/>
  <c r="M334" i="1"/>
  <c r="L334" i="1"/>
  <c r="AB333" i="1"/>
  <c r="AA333" i="1"/>
  <c r="N333" i="1"/>
  <c r="M333" i="1"/>
  <c r="L333" i="1"/>
  <c r="AB332" i="1"/>
  <c r="AA332" i="1"/>
  <c r="N332" i="1"/>
  <c r="M332" i="1"/>
  <c r="L332" i="1"/>
  <c r="AB331" i="1"/>
  <c r="AA331" i="1"/>
  <c r="N331" i="1"/>
  <c r="M331" i="1"/>
  <c r="L331" i="1"/>
  <c r="AB330" i="1"/>
  <c r="AA330" i="1"/>
  <c r="N330" i="1"/>
  <c r="M330" i="1"/>
  <c r="L330" i="1"/>
  <c r="AB329" i="1"/>
  <c r="AA329" i="1"/>
  <c r="N329" i="1"/>
  <c r="M329" i="1"/>
  <c r="L329" i="1"/>
  <c r="AB328" i="1"/>
  <c r="AA328" i="1"/>
  <c r="N328" i="1"/>
  <c r="M328" i="1"/>
  <c r="L328" i="1"/>
  <c r="AB327" i="1"/>
  <c r="AA327" i="1"/>
  <c r="N327" i="1"/>
  <c r="M327" i="1"/>
  <c r="L327" i="1"/>
  <c r="AB326" i="1"/>
  <c r="AA326" i="1"/>
  <c r="N326" i="1"/>
  <c r="M326" i="1"/>
  <c r="L326" i="1"/>
  <c r="AB325" i="1"/>
  <c r="AA325" i="1"/>
  <c r="N325" i="1"/>
  <c r="M325" i="1"/>
  <c r="L325" i="1"/>
  <c r="AB324" i="1"/>
  <c r="AA324" i="1"/>
  <c r="N324" i="1"/>
  <c r="M324" i="1"/>
  <c r="L324" i="1"/>
  <c r="AB323" i="1"/>
  <c r="AA323" i="1"/>
  <c r="N323" i="1"/>
  <c r="M323" i="1"/>
  <c r="L323" i="1"/>
  <c r="AA322" i="1"/>
  <c r="M322" i="1"/>
  <c r="L322" i="1"/>
  <c r="AA321" i="1"/>
  <c r="M321" i="1"/>
  <c r="L321" i="1"/>
  <c r="AA320" i="1"/>
  <c r="M320" i="1"/>
  <c r="L320" i="1"/>
  <c r="AA319" i="1"/>
  <c r="M319" i="1"/>
  <c r="L319" i="1"/>
  <c r="AA318" i="1"/>
  <c r="M318" i="1"/>
  <c r="L318" i="1"/>
  <c r="M317" i="1"/>
  <c r="L317" i="1"/>
  <c r="AH316" i="1"/>
  <c r="AG316" i="1"/>
  <c r="AF316" i="1"/>
  <c r="AD316" i="1"/>
  <c r="AC316" i="1"/>
  <c r="AB316" i="1"/>
  <c r="AA316" i="1"/>
  <c r="P316" i="1"/>
  <c r="O316" i="1"/>
  <c r="N316" i="1"/>
  <c r="M316" i="1"/>
  <c r="L316" i="1"/>
  <c r="AG315" i="1"/>
  <c r="AF315" i="1"/>
  <c r="AC315" i="1"/>
  <c r="AH315" i="1" s="1"/>
  <c r="AB315" i="1"/>
  <c r="AD315" i="1" s="1"/>
  <c r="AA315" i="1"/>
  <c r="P315" i="1"/>
  <c r="O315" i="1"/>
  <c r="N315" i="1"/>
  <c r="M315" i="1"/>
  <c r="L315" i="1"/>
  <c r="AG314" i="1"/>
  <c r="AF314" i="1"/>
  <c r="AC314" i="1"/>
  <c r="AH314" i="1" s="1"/>
  <c r="AB314" i="1"/>
  <c r="AA314" i="1"/>
  <c r="O314" i="1"/>
  <c r="P314" i="1" s="1"/>
  <c r="N314" i="1"/>
  <c r="M314" i="1"/>
  <c r="L314" i="1"/>
  <c r="AH313" i="1"/>
  <c r="AF313" i="1"/>
  <c r="AG313" i="1" s="1"/>
  <c r="AD313" i="1"/>
  <c r="AC313" i="1"/>
  <c r="AB313" i="1"/>
  <c r="AA313" i="1"/>
  <c r="P313" i="1"/>
  <c r="O313" i="1"/>
  <c r="N313" i="1"/>
  <c r="M313" i="1"/>
  <c r="L313" i="1"/>
  <c r="AH312" i="1"/>
  <c r="AF312" i="1"/>
  <c r="AG312" i="1" s="1"/>
  <c r="AC312" i="1"/>
  <c r="AB312" i="1"/>
  <c r="AD312" i="1" s="1"/>
  <c r="AA312" i="1"/>
  <c r="O312" i="1"/>
  <c r="P312" i="1" s="1"/>
  <c r="N312" i="1"/>
  <c r="M312" i="1"/>
  <c r="L312" i="1"/>
  <c r="AG311" i="1"/>
  <c r="AF311" i="1"/>
  <c r="AC311" i="1"/>
  <c r="AH311" i="1" s="1"/>
  <c r="AB311" i="1"/>
  <c r="AD311" i="1" s="1"/>
  <c r="AA311" i="1"/>
  <c r="O311" i="1"/>
  <c r="P311" i="1" s="1"/>
  <c r="N311" i="1"/>
  <c r="M311" i="1"/>
  <c r="L311" i="1"/>
  <c r="AF310" i="1"/>
  <c r="AG310" i="1" s="1"/>
  <c r="AC310" i="1"/>
  <c r="AH310" i="1" s="1"/>
  <c r="AB310" i="1"/>
  <c r="AD310" i="1" s="1"/>
  <c r="AA310" i="1"/>
  <c r="P310" i="1"/>
  <c r="O310" i="1"/>
  <c r="N310" i="1"/>
  <c r="M310" i="1"/>
  <c r="L310" i="1"/>
  <c r="AF309" i="1"/>
  <c r="AG309" i="1" s="1"/>
  <c r="AC309" i="1"/>
  <c r="AH309" i="1" s="1"/>
  <c r="AB309" i="1"/>
  <c r="AD309" i="1" s="1"/>
  <c r="AA309" i="1"/>
  <c r="P309" i="1"/>
  <c r="O309" i="1"/>
  <c r="N309" i="1"/>
  <c r="M309" i="1"/>
  <c r="L309" i="1"/>
  <c r="AG308" i="1"/>
  <c r="AF308" i="1"/>
  <c r="AC308" i="1"/>
  <c r="AH308" i="1" s="1"/>
  <c r="AB308" i="1"/>
  <c r="AD308" i="1" s="1"/>
  <c r="AA308" i="1"/>
  <c r="P308" i="1"/>
  <c r="O308" i="1"/>
  <c r="N308" i="1"/>
  <c r="M308" i="1"/>
  <c r="L308" i="1"/>
  <c r="AH307" i="1"/>
  <c r="AF307" i="1"/>
  <c r="AG307" i="1" s="1"/>
  <c r="AC307" i="1"/>
  <c r="AB307" i="1"/>
  <c r="AD307" i="1" s="1"/>
  <c r="AA307" i="1"/>
  <c r="P307" i="1"/>
  <c r="O307" i="1"/>
  <c r="N307" i="1"/>
  <c r="M307" i="1"/>
  <c r="L307" i="1"/>
  <c r="AF306" i="1"/>
  <c r="AG306" i="1" s="1"/>
  <c r="AD306" i="1"/>
  <c r="AC306" i="1"/>
  <c r="AH306" i="1" s="1"/>
  <c r="AB306" i="1"/>
  <c r="AA306" i="1"/>
  <c r="O306" i="1"/>
  <c r="P306" i="1" s="1"/>
  <c r="N306" i="1"/>
  <c r="M306" i="1"/>
  <c r="L306" i="1"/>
  <c r="AG305" i="1"/>
  <c r="AF305" i="1"/>
  <c r="AC305" i="1"/>
  <c r="AH305" i="1" s="1"/>
  <c r="AB305" i="1"/>
  <c r="AA305" i="1"/>
  <c r="O305" i="1"/>
  <c r="P305" i="1" s="1"/>
  <c r="N305" i="1"/>
  <c r="M305" i="1"/>
  <c r="L305" i="1"/>
  <c r="AH304" i="1"/>
  <c r="AF304" i="1"/>
  <c r="AG304" i="1" s="1"/>
  <c r="AC304" i="1"/>
  <c r="AB304" i="1"/>
  <c r="AD304" i="1" s="1"/>
  <c r="AA304" i="1"/>
  <c r="P304" i="1"/>
  <c r="O304" i="1"/>
  <c r="N304" i="1"/>
  <c r="M304" i="1"/>
  <c r="L304" i="1"/>
  <c r="AF303" i="1"/>
  <c r="AG303" i="1" s="1"/>
  <c r="AC303" i="1"/>
  <c r="AH303" i="1" s="1"/>
  <c r="AB303" i="1"/>
  <c r="AD303" i="1" s="1"/>
  <c r="AA303" i="1"/>
  <c r="O303" i="1"/>
  <c r="P303" i="1" s="1"/>
  <c r="N303" i="1"/>
  <c r="M303" i="1"/>
  <c r="L303" i="1"/>
  <c r="AG302" i="1"/>
  <c r="AF302" i="1"/>
  <c r="AC302" i="1"/>
  <c r="AH302" i="1" s="1"/>
  <c r="AB302" i="1"/>
  <c r="AD302" i="1" s="1"/>
  <c r="AA302" i="1"/>
  <c r="O302" i="1"/>
  <c r="P302" i="1" s="1"/>
  <c r="N302" i="1"/>
  <c r="M302" i="1"/>
  <c r="L302" i="1"/>
  <c r="AF301" i="1"/>
  <c r="AG301" i="1" s="1"/>
  <c r="AC301" i="1"/>
  <c r="AB301" i="1"/>
  <c r="AA301" i="1"/>
  <c r="P301" i="1"/>
  <c r="O301" i="1"/>
  <c r="N301" i="1"/>
  <c r="M301" i="1"/>
  <c r="L301" i="1"/>
  <c r="AF300" i="1"/>
  <c r="AG300" i="1" s="1"/>
  <c r="AC300" i="1"/>
  <c r="AH300" i="1" s="1"/>
  <c r="AB300" i="1"/>
  <c r="AD300" i="1" s="1"/>
  <c r="AA300" i="1"/>
  <c r="P300" i="1"/>
  <c r="O300" i="1"/>
  <c r="N300" i="1"/>
  <c r="M300" i="1"/>
  <c r="L300" i="1"/>
  <c r="AG299" i="1"/>
  <c r="AF299" i="1"/>
  <c r="AC299" i="1"/>
  <c r="AH299" i="1" s="1"/>
  <c r="AB299" i="1"/>
  <c r="AA299" i="1"/>
  <c r="P299" i="1"/>
  <c r="O299" i="1"/>
  <c r="N299" i="1"/>
  <c r="M299" i="1"/>
  <c r="L299" i="1"/>
  <c r="AH298" i="1"/>
  <c r="AG298" i="1"/>
  <c r="AF298" i="1"/>
  <c r="AC298" i="1"/>
  <c r="AB298" i="1"/>
  <c r="AD298" i="1" s="1"/>
  <c r="AA298" i="1"/>
  <c r="P298" i="1"/>
  <c r="O298" i="1"/>
  <c r="N298" i="1"/>
  <c r="M298" i="1"/>
  <c r="L298" i="1"/>
  <c r="AH297" i="1"/>
  <c r="AG297" i="1"/>
  <c r="AF297" i="1"/>
  <c r="AC297" i="1"/>
  <c r="AB297" i="1"/>
  <c r="AD297" i="1" s="1"/>
  <c r="AA297" i="1"/>
  <c r="O297" i="1"/>
  <c r="P297" i="1" s="1"/>
  <c r="N297" i="1"/>
  <c r="M297" i="1"/>
  <c r="L297" i="1"/>
  <c r="AG296" i="1"/>
  <c r="AF296" i="1"/>
  <c r="AD296" i="1"/>
  <c r="AC296" i="1"/>
  <c r="AH296" i="1" s="1"/>
  <c r="AB296" i="1"/>
  <c r="AA296" i="1"/>
  <c r="P296" i="1"/>
  <c r="O296" i="1"/>
  <c r="N296" i="1"/>
  <c r="M296" i="1"/>
  <c r="L296" i="1"/>
  <c r="AH295" i="1"/>
  <c r="AF295" i="1"/>
  <c r="AG295" i="1" s="1"/>
  <c r="AD295" i="1"/>
  <c r="AC295" i="1"/>
  <c r="AB295" i="1"/>
  <c r="AA295" i="1"/>
  <c r="P295" i="1"/>
  <c r="O295" i="1"/>
  <c r="N295" i="1"/>
  <c r="M295" i="1"/>
  <c r="L295" i="1"/>
  <c r="AH294" i="1"/>
  <c r="AG294" i="1"/>
  <c r="AF294" i="1"/>
  <c r="AC294" i="1"/>
  <c r="AB294" i="1"/>
  <c r="AD294" i="1" s="1"/>
  <c r="AA294" i="1"/>
  <c r="O294" i="1"/>
  <c r="P294" i="1" s="1"/>
  <c r="N294" i="1"/>
  <c r="M294" i="1"/>
  <c r="L294" i="1"/>
  <c r="AG293" i="1"/>
  <c r="AF293" i="1"/>
  <c r="AC293" i="1"/>
  <c r="AH293" i="1" s="1"/>
  <c r="AB293" i="1"/>
  <c r="AD293" i="1" s="1"/>
  <c r="AA293" i="1"/>
  <c r="O293" i="1"/>
  <c r="P293" i="1" s="1"/>
  <c r="N293" i="1"/>
  <c r="M293" i="1"/>
  <c r="L293" i="1"/>
  <c r="AG292" i="1"/>
  <c r="AF292" i="1"/>
  <c r="AC292" i="1"/>
  <c r="AH292" i="1" s="1"/>
  <c r="AB292" i="1"/>
  <c r="AD292" i="1" s="1"/>
  <c r="AA292" i="1"/>
  <c r="P292" i="1"/>
  <c r="O292" i="1"/>
  <c r="N292" i="1"/>
  <c r="M292" i="1"/>
  <c r="L292" i="1"/>
  <c r="AH291" i="1"/>
  <c r="AG291" i="1"/>
  <c r="AF291" i="1"/>
  <c r="AD291" i="1"/>
  <c r="AC291" i="1"/>
  <c r="AB291" i="1"/>
  <c r="AA291" i="1"/>
  <c r="P291" i="1"/>
  <c r="O291" i="1"/>
  <c r="N291" i="1"/>
  <c r="M291" i="1"/>
  <c r="L291" i="1"/>
  <c r="AG290" i="1"/>
  <c r="AF290" i="1"/>
  <c r="AC290" i="1"/>
  <c r="AH290" i="1" s="1"/>
  <c r="AB290" i="1"/>
  <c r="AD290" i="1" s="1"/>
  <c r="AA290" i="1"/>
  <c r="O290" i="1"/>
  <c r="P290" i="1" s="1"/>
  <c r="N290" i="1"/>
  <c r="M290" i="1"/>
  <c r="L290" i="1"/>
  <c r="AF289" i="1"/>
  <c r="AG289" i="1" s="1"/>
  <c r="AC289" i="1"/>
  <c r="AH289" i="1" s="1"/>
  <c r="AB289" i="1"/>
  <c r="AA289" i="1"/>
  <c r="P289" i="1"/>
  <c r="O289" i="1"/>
  <c r="N289" i="1"/>
  <c r="M289" i="1"/>
  <c r="L289" i="1"/>
  <c r="AH288" i="1"/>
  <c r="AF288" i="1"/>
  <c r="AG288" i="1" s="1"/>
  <c r="AD288" i="1"/>
  <c r="AC288" i="1"/>
  <c r="AB288" i="1"/>
  <c r="AA288" i="1"/>
  <c r="O288" i="1"/>
  <c r="P288" i="1" s="1"/>
  <c r="N288" i="1"/>
  <c r="M288" i="1"/>
  <c r="L288" i="1"/>
  <c r="AH287" i="1"/>
  <c r="AG287" i="1"/>
  <c r="AF287" i="1"/>
  <c r="AC287" i="1"/>
  <c r="AD287" i="1" s="1"/>
  <c r="AB287" i="1"/>
  <c r="AA287" i="1"/>
  <c r="O287" i="1"/>
  <c r="P287" i="1" s="1"/>
  <c r="N287" i="1"/>
  <c r="M287" i="1"/>
  <c r="L287" i="1"/>
  <c r="AF286" i="1"/>
  <c r="AG286" i="1" s="1"/>
  <c r="AC286" i="1"/>
  <c r="AH286" i="1" s="1"/>
  <c r="AB286" i="1"/>
  <c r="AA286" i="1"/>
  <c r="P286" i="1"/>
  <c r="O286" i="1"/>
  <c r="N286" i="1"/>
  <c r="M286" i="1"/>
  <c r="L286" i="1"/>
  <c r="AH285" i="1"/>
  <c r="AG285" i="1"/>
  <c r="AF285" i="1"/>
  <c r="AD285" i="1"/>
  <c r="AC285" i="1"/>
  <c r="AB285" i="1"/>
  <c r="AA285" i="1"/>
  <c r="O285" i="1"/>
  <c r="P285" i="1" s="1"/>
  <c r="N285" i="1"/>
  <c r="M285" i="1"/>
  <c r="L285" i="1"/>
  <c r="AG284" i="1"/>
  <c r="AF284" i="1"/>
  <c r="AC284" i="1"/>
  <c r="AH284" i="1" s="1"/>
  <c r="AB284" i="1"/>
  <c r="AA284" i="1"/>
  <c r="P284" i="1"/>
  <c r="O284" i="1"/>
  <c r="N284" i="1"/>
  <c r="M284" i="1"/>
  <c r="L284" i="1"/>
  <c r="AF283" i="1"/>
  <c r="AG283" i="1" s="1"/>
  <c r="AC283" i="1"/>
  <c r="AH283" i="1" s="1"/>
  <c r="AB283" i="1"/>
  <c r="AA283" i="1"/>
  <c r="P283" i="1"/>
  <c r="O283" i="1"/>
  <c r="N283" i="1"/>
  <c r="M283" i="1"/>
  <c r="L283" i="1"/>
  <c r="AH282" i="1"/>
  <c r="AG282" i="1"/>
  <c r="AF282" i="1"/>
  <c r="AD282" i="1"/>
  <c r="AC282" i="1"/>
  <c r="AB282" i="1"/>
  <c r="AA282" i="1"/>
  <c r="P282" i="1"/>
  <c r="O282" i="1"/>
  <c r="N282" i="1"/>
  <c r="M282" i="1"/>
  <c r="L282" i="1"/>
  <c r="AH281" i="1"/>
  <c r="AG281" i="1"/>
  <c r="AF281" i="1"/>
  <c r="AD281" i="1"/>
  <c r="AC281" i="1"/>
  <c r="AB281" i="1"/>
  <c r="AA281" i="1"/>
  <c r="P281" i="1"/>
  <c r="O281" i="1"/>
  <c r="N281" i="1"/>
  <c r="M281" i="1"/>
  <c r="L281" i="1"/>
  <c r="AF280" i="1"/>
  <c r="AG280" i="1" s="1"/>
  <c r="AC280" i="1"/>
  <c r="AH280" i="1" s="1"/>
  <c r="AB280" i="1"/>
  <c r="AD280" i="1" s="1"/>
  <c r="AA280" i="1"/>
  <c r="P280" i="1"/>
  <c r="O280" i="1"/>
  <c r="N280" i="1"/>
  <c r="M280" i="1"/>
  <c r="L280" i="1"/>
  <c r="AH279" i="1"/>
  <c r="AF279" i="1"/>
  <c r="AG279" i="1" s="1"/>
  <c r="AD279" i="1"/>
  <c r="AC279" i="1"/>
  <c r="AB279" i="1"/>
  <c r="AA279" i="1"/>
  <c r="O279" i="1"/>
  <c r="P279" i="1" s="1"/>
  <c r="N279" i="1"/>
  <c r="M279" i="1"/>
  <c r="L279" i="1"/>
  <c r="AG278" i="1"/>
  <c r="AF278" i="1"/>
  <c r="AC278" i="1"/>
  <c r="AH278" i="1" s="1"/>
  <c r="AB278" i="1"/>
  <c r="AD278" i="1" s="1"/>
  <c r="AA278" i="1"/>
  <c r="O278" i="1"/>
  <c r="P278" i="1" s="1"/>
  <c r="N278" i="1"/>
  <c r="M278" i="1"/>
  <c r="L278" i="1"/>
  <c r="AF277" i="1"/>
  <c r="AG277" i="1" s="1"/>
  <c r="AC277" i="1"/>
  <c r="AH277" i="1" s="1"/>
  <c r="AB277" i="1"/>
  <c r="AD277" i="1" s="1"/>
  <c r="AA277" i="1"/>
  <c r="P277" i="1"/>
  <c r="O277" i="1"/>
  <c r="N277" i="1"/>
  <c r="M277" i="1"/>
  <c r="L277" i="1"/>
  <c r="AH276" i="1"/>
  <c r="AG276" i="1"/>
  <c r="AF276" i="1"/>
  <c r="AD276" i="1"/>
  <c r="AC276" i="1"/>
  <c r="AB276" i="1"/>
  <c r="AA276" i="1"/>
  <c r="O276" i="1"/>
  <c r="P276" i="1" s="1"/>
  <c r="N276" i="1"/>
  <c r="M276" i="1"/>
  <c r="L276" i="1"/>
  <c r="AG275" i="1"/>
  <c r="AF275" i="1"/>
  <c r="AC275" i="1"/>
  <c r="AH275" i="1" s="1"/>
  <c r="AB275" i="1"/>
  <c r="AD275" i="1" s="1"/>
  <c r="AA275" i="1"/>
  <c r="P275" i="1"/>
  <c r="O275" i="1"/>
  <c r="N275" i="1"/>
  <c r="M275" i="1"/>
  <c r="L275" i="1"/>
  <c r="AG274" i="1"/>
  <c r="AF274" i="1"/>
  <c r="AC274" i="1"/>
  <c r="AH274" i="1" s="1"/>
  <c r="AB274" i="1"/>
  <c r="AA274" i="1"/>
  <c r="P274" i="1"/>
  <c r="O274" i="1"/>
  <c r="N274" i="1"/>
  <c r="M274" i="1"/>
  <c r="L274" i="1"/>
  <c r="AH273" i="1"/>
  <c r="AF273" i="1"/>
  <c r="AG273" i="1" s="1"/>
  <c r="AD273" i="1"/>
  <c r="AC273" i="1"/>
  <c r="AB273" i="1"/>
  <c r="AA273" i="1"/>
  <c r="P273" i="1"/>
  <c r="O273" i="1"/>
  <c r="N273" i="1"/>
  <c r="M273" i="1"/>
  <c r="L273" i="1"/>
  <c r="AG272" i="1"/>
  <c r="AF272" i="1"/>
  <c r="AC272" i="1"/>
  <c r="AH272" i="1" s="1"/>
  <c r="AB272" i="1"/>
  <c r="AA272" i="1"/>
  <c r="O272" i="1"/>
  <c r="P272" i="1" s="1"/>
  <c r="N272" i="1"/>
  <c r="M272" i="1"/>
  <c r="L272" i="1"/>
  <c r="AG271" i="1"/>
  <c r="AF271" i="1"/>
  <c r="AC271" i="1"/>
  <c r="AH271" i="1" s="1"/>
  <c r="AB271" i="1"/>
  <c r="AD271" i="1" s="1"/>
  <c r="AA271" i="1"/>
  <c r="P271" i="1"/>
  <c r="O271" i="1"/>
  <c r="N271" i="1"/>
  <c r="M271" i="1"/>
  <c r="L271" i="1"/>
  <c r="AF270" i="1"/>
  <c r="AG270" i="1" s="1"/>
  <c r="AC270" i="1"/>
  <c r="AB270" i="1"/>
  <c r="AA270" i="1"/>
  <c r="P270" i="1"/>
  <c r="O270" i="1"/>
  <c r="N270" i="1"/>
  <c r="M270" i="1"/>
  <c r="L270" i="1"/>
  <c r="AG269" i="1"/>
  <c r="AF269" i="1"/>
  <c r="AC269" i="1"/>
  <c r="AH269" i="1" s="1"/>
  <c r="AB269" i="1"/>
  <c r="AD269" i="1" s="1"/>
  <c r="AA269" i="1"/>
  <c r="P269" i="1"/>
  <c r="O269" i="1"/>
  <c r="N269" i="1"/>
  <c r="M269" i="1"/>
  <c r="L269" i="1"/>
  <c r="AF268" i="1"/>
  <c r="AG268" i="1" s="1"/>
  <c r="AD268" i="1"/>
  <c r="AC268" i="1"/>
  <c r="AH268" i="1" s="1"/>
  <c r="AB268" i="1"/>
  <c r="AA268" i="1"/>
  <c r="P268" i="1"/>
  <c r="O268" i="1"/>
  <c r="N268" i="1"/>
  <c r="M268" i="1"/>
  <c r="L268" i="1"/>
  <c r="AF267" i="1"/>
  <c r="AG267" i="1" s="1"/>
  <c r="AC267" i="1"/>
  <c r="AH267" i="1" s="1"/>
  <c r="AB267" i="1"/>
  <c r="AA267" i="1"/>
  <c r="P267" i="1"/>
  <c r="O267" i="1"/>
  <c r="N267" i="1"/>
  <c r="M267" i="1"/>
  <c r="L267" i="1"/>
  <c r="AH266" i="1"/>
  <c r="AG266" i="1"/>
  <c r="AF266" i="1"/>
  <c r="AC266" i="1"/>
  <c r="AB266" i="1"/>
  <c r="AD266" i="1" s="1"/>
  <c r="AA266" i="1"/>
  <c r="O266" i="1"/>
  <c r="P266" i="1" s="1"/>
  <c r="N266" i="1"/>
  <c r="M266" i="1"/>
  <c r="L266" i="1"/>
  <c r="AF265" i="1"/>
  <c r="AG265" i="1" s="1"/>
  <c r="AD265" i="1"/>
  <c r="AC265" i="1"/>
  <c r="AH265" i="1" s="1"/>
  <c r="AB265" i="1"/>
  <c r="AA265" i="1"/>
  <c r="P265" i="1"/>
  <c r="O265" i="1"/>
  <c r="N265" i="1"/>
  <c r="M265" i="1"/>
  <c r="L265" i="1"/>
  <c r="AH264" i="1"/>
  <c r="AF264" i="1"/>
  <c r="AG264" i="1" s="1"/>
  <c r="AD264" i="1"/>
  <c r="AC264" i="1"/>
  <c r="AB264" i="1"/>
  <c r="AA264" i="1"/>
  <c r="O264" i="1"/>
  <c r="P264" i="1" s="1"/>
  <c r="N264" i="1"/>
  <c r="M264" i="1"/>
  <c r="L264" i="1"/>
  <c r="AG263" i="1"/>
  <c r="AF263" i="1"/>
  <c r="AD263" i="1"/>
  <c r="AC263" i="1"/>
  <c r="AH263" i="1" s="1"/>
  <c r="AB263" i="1"/>
  <c r="AA263" i="1"/>
  <c r="O263" i="1"/>
  <c r="P263" i="1" s="1"/>
  <c r="N263" i="1"/>
  <c r="M263" i="1"/>
  <c r="L263" i="1"/>
  <c r="AF262" i="1"/>
  <c r="AG262" i="1" s="1"/>
  <c r="AC262" i="1"/>
  <c r="AH262" i="1" s="1"/>
  <c r="AB262" i="1"/>
  <c r="AA262" i="1"/>
  <c r="P262" i="1"/>
  <c r="O262" i="1"/>
  <c r="N262" i="1"/>
  <c r="M262" i="1"/>
  <c r="L262" i="1"/>
  <c r="AF261" i="1"/>
  <c r="AG261" i="1" s="1"/>
  <c r="AC261" i="1"/>
  <c r="AH261" i="1" s="1"/>
  <c r="AB261" i="1"/>
  <c r="AA261" i="1"/>
  <c r="O261" i="1"/>
  <c r="P261" i="1" s="1"/>
  <c r="N261" i="1"/>
  <c r="M261" i="1"/>
  <c r="L261" i="1"/>
  <c r="AG260" i="1"/>
  <c r="AF260" i="1"/>
  <c r="AC260" i="1"/>
  <c r="AH260" i="1" s="1"/>
  <c r="AB260" i="1"/>
  <c r="AD260" i="1" s="1"/>
  <c r="AA260" i="1"/>
  <c r="P260" i="1"/>
  <c r="O260" i="1"/>
  <c r="N260" i="1"/>
  <c r="M260" i="1"/>
  <c r="L260" i="1"/>
  <c r="AF259" i="1"/>
  <c r="AG259" i="1" s="1"/>
  <c r="AC259" i="1"/>
  <c r="AH259" i="1" s="1"/>
  <c r="AB259" i="1"/>
  <c r="AD259" i="1" s="1"/>
  <c r="AA259" i="1"/>
  <c r="P259" i="1"/>
  <c r="O259" i="1"/>
  <c r="N259" i="1"/>
  <c r="M259" i="1"/>
  <c r="L259" i="1"/>
  <c r="AH258" i="1"/>
  <c r="AF258" i="1"/>
  <c r="AG258" i="1" s="1"/>
  <c r="AD258" i="1"/>
  <c r="AC258" i="1"/>
  <c r="AB258" i="1"/>
  <c r="AA258" i="1"/>
  <c r="O258" i="1"/>
  <c r="P258" i="1" s="1"/>
  <c r="N258" i="1"/>
  <c r="M258" i="1"/>
  <c r="L258" i="1"/>
  <c r="AG257" i="1"/>
  <c r="AF257" i="1"/>
  <c r="AC257" i="1"/>
  <c r="AH257" i="1" s="1"/>
  <c r="AB257" i="1"/>
  <c r="AA257" i="1"/>
  <c r="O257" i="1"/>
  <c r="P257" i="1" s="1"/>
  <c r="N257" i="1"/>
  <c r="M257" i="1"/>
  <c r="L257" i="1"/>
  <c r="AF256" i="1"/>
  <c r="AG256" i="1" s="1"/>
  <c r="AC256" i="1"/>
  <c r="AH256" i="1" s="1"/>
  <c r="AB256" i="1"/>
  <c r="AD256" i="1" s="1"/>
  <c r="AA256" i="1"/>
  <c r="P256" i="1"/>
  <c r="O256" i="1"/>
  <c r="N256" i="1"/>
  <c r="M256" i="1"/>
  <c r="L256" i="1"/>
  <c r="AG255" i="1"/>
  <c r="AF255" i="1"/>
  <c r="AC255" i="1"/>
  <c r="AH255" i="1" s="1"/>
  <c r="AB255" i="1"/>
  <c r="AA255" i="1"/>
  <c r="O255" i="1"/>
  <c r="P255" i="1" s="1"/>
  <c r="N255" i="1"/>
  <c r="M255" i="1"/>
  <c r="L255" i="1"/>
  <c r="AG254" i="1"/>
  <c r="AF254" i="1"/>
  <c r="AC254" i="1"/>
  <c r="AH254" i="1" s="1"/>
  <c r="AB254" i="1"/>
  <c r="AD254" i="1" s="1"/>
  <c r="AA254" i="1"/>
  <c r="P254" i="1"/>
  <c r="O254" i="1"/>
  <c r="N254" i="1"/>
  <c r="M254" i="1"/>
  <c r="L254" i="1"/>
  <c r="AG253" i="1"/>
  <c r="AF253" i="1"/>
  <c r="AC253" i="1"/>
  <c r="AH253" i="1" s="1"/>
  <c r="AB253" i="1"/>
  <c r="AD253" i="1" s="1"/>
  <c r="AA253" i="1"/>
  <c r="P253" i="1"/>
  <c r="O253" i="1"/>
  <c r="N253" i="1"/>
  <c r="M253" i="1"/>
  <c r="L253" i="1"/>
  <c r="AH252" i="1"/>
  <c r="AF252" i="1"/>
  <c r="AG252" i="1" s="1"/>
  <c r="AC252" i="1"/>
  <c r="AD252" i="1" s="1"/>
  <c r="AB252" i="1"/>
  <c r="AA252" i="1"/>
  <c r="O252" i="1"/>
  <c r="P252" i="1" s="1"/>
  <c r="N252" i="1"/>
  <c r="M252" i="1"/>
  <c r="L252" i="1"/>
  <c r="AH251" i="1"/>
  <c r="AG251" i="1"/>
  <c r="AF251" i="1"/>
  <c r="AC251" i="1"/>
  <c r="AB251" i="1"/>
  <c r="AD251" i="1" s="1"/>
  <c r="AA251" i="1"/>
  <c r="O251" i="1"/>
  <c r="P251" i="1" s="1"/>
  <c r="N251" i="1"/>
  <c r="M251" i="1"/>
  <c r="L251" i="1"/>
  <c r="AF250" i="1"/>
  <c r="AG250" i="1" s="1"/>
  <c r="AD250" i="1"/>
  <c r="AC250" i="1"/>
  <c r="AH250" i="1" s="1"/>
  <c r="AB250" i="1"/>
  <c r="AA250" i="1"/>
  <c r="P250" i="1"/>
  <c r="O250" i="1"/>
  <c r="N250" i="1"/>
  <c r="M250" i="1"/>
  <c r="L250" i="1"/>
  <c r="AH249" i="1"/>
  <c r="AF249" i="1"/>
  <c r="AG249" i="1" s="1"/>
  <c r="AD249" i="1"/>
  <c r="AC249" i="1"/>
  <c r="AB249" i="1"/>
  <c r="AA249" i="1"/>
  <c r="O249" i="1"/>
  <c r="P249" i="1" s="1"/>
  <c r="N249" i="1"/>
  <c r="M249" i="1"/>
  <c r="L249" i="1"/>
  <c r="AH248" i="1"/>
  <c r="AG248" i="1"/>
  <c r="AF248" i="1"/>
  <c r="AD248" i="1"/>
  <c r="AC248" i="1"/>
  <c r="AB248" i="1"/>
  <c r="AA248" i="1"/>
  <c r="O248" i="1"/>
  <c r="P248" i="1" s="1"/>
  <c r="N248" i="1"/>
  <c r="M248" i="1"/>
  <c r="L248" i="1"/>
  <c r="AF247" i="1"/>
  <c r="AG247" i="1" s="1"/>
  <c r="AC247" i="1"/>
  <c r="AH247" i="1" s="1"/>
  <c r="AB247" i="1"/>
  <c r="AD247" i="1" s="1"/>
  <c r="AA247" i="1"/>
  <c r="P247" i="1"/>
  <c r="O247" i="1"/>
  <c r="N247" i="1"/>
  <c r="M247" i="1"/>
  <c r="L247" i="1"/>
  <c r="AG246" i="1"/>
  <c r="AF246" i="1"/>
  <c r="AC246" i="1"/>
  <c r="AH246" i="1" s="1"/>
  <c r="AB246" i="1"/>
  <c r="AA246" i="1"/>
  <c r="P246" i="1"/>
  <c r="O246" i="1"/>
  <c r="N246" i="1"/>
  <c r="M246" i="1"/>
  <c r="L246" i="1"/>
  <c r="AH245" i="1"/>
  <c r="AG245" i="1"/>
  <c r="AF245" i="1"/>
  <c r="AD245" i="1"/>
  <c r="AC245" i="1"/>
  <c r="AB245" i="1"/>
  <c r="AA245" i="1"/>
  <c r="P245" i="1"/>
  <c r="O245" i="1"/>
  <c r="N245" i="1"/>
  <c r="M245" i="1"/>
  <c r="L245" i="1"/>
  <c r="AF244" i="1"/>
  <c r="AG244" i="1" s="1"/>
  <c r="AC244" i="1"/>
  <c r="AH244" i="1" s="1"/>
  <c r="AB244" i="1"/>
  <c r="AD244" i="1" s="1"/>
  <c r="AA244" i="1"/>
  <c r="P244" i="1"/>
  <c r="O244" i="1"/>
  <c r="N244" i="1"/>
  <c r="M244" i="1"/>
  <c r="L244" i="1"/>
  <c r="AF243" i="1"/>
  <c r="AG243" i="1" s="1"/>
  <c r="AC243" i="1"/>
  <c r="AH243" i="1" s="1"/>
  <c r="AB243" i="1"/>
  <c r="AA243" i="1"/>
  <c r="O243" i="1"/>
  <c r="P243" i="1" s="1"/>
  <c r="N243" i="1"/>
  <c r="M243" i="1"/>
  <c r="L243" i="1"/>
  <c r="AH242" i="1"/>
  <c r="AG242" i="1"/>
  <c r="AF242" i="1"/>
  <c r="AD242" i="1"/>
  <c r="AC242" i="1"/>
  <c r="AB242" i="1"/>
  <c r="AA242" i="1"/>
  <c r="O242" i="1"/>
  <c r="P242" i="1" s="1"/>
  <c r="N242" i="1"/>
  <c r="M242" i="1"/>
  <c r="L242" i="1"/>
  <c r="AF241" i="1"/>
  <c r="AG241" i="1" s="1"/>
  <c r="AC241" i="1"/>
  <c r="AH241" i="1" s="1"/>
  <c r="AB241" i="1"/>
  <c r="AD241" i="1" s="1"/>
  <c r="AA241" i="1"/>
  <c r="P241" i="1"/>
  <c r="O241" i="1"/>
  <c r="N241" i="1"/>
  <c r="M241" i="1"/>
  <c r="L241" i="1"/>
  <c r="AF240" i="1"/>
  <c r="AG240" i="1" s="1"/>
  <c r="AD240" i="1"/>
  <c r="AC240" i="1"/>
  <c r="AH240" i="1" s="1"/>
  <c r="AB240" i="1"/>
  <c r="AA240" i="1"/>
  <c r="O240" i="1"/>
  <c r="P240" i="1" s="1"/>
  <c r="N240" i="1"/>
  <c r="M240" i="1"/>
  <c r="L240" i="1"/>
  <c r="AG239" i="1"/>
  <c r="AF239" i="1"/>
  <c r="AC239" i="1"/>
  <c r="AH239" i="1" s="1"/>
  <c r="AB239" i="1"/>
  <c r="AA239" i="1"/>
  <c r="O239" i="1"/>
  <c r="P239" i="1" s="1"/>
  <c r="N239" i="1"/>
  <c r="M239" i="1"/>
  <c r="L239" i="1"/>
  <c r="AG238" i="1"/>
  <c r="AF238" i="1"/>
  <c r="AC238" i="1"/>
  <c r="AH238" i="1" s="1"/>
  <c r="AB238" i="1"/>
  <c r="AD238" i="1" s="1"/>
  <c r="AA238" i="1"/>
  <c r="P238" i="1"/>
  <c r="O238" i="1"/>
  <c r="N238" i="1"/>
  <c r="M238" i="1"/>
  <c r="L238" i="1"/>
  <c r="AH237" i="1"/>
  <c r="AG237" i="1"/>
  <c r="AF237" i="1"/>
  <c r="AC237" i="1"/>
  <c r="AD237" i="1" s="1"/>
  <c r="AB237" i="1"/>
  <c r="AA237" i="1"/>
  <c r="P237" i="1"/>
  <c r="O237" i="1"/>
  <c r="N237" i="1"/>
  <c r="M237" i="1"/>
  <c r="L237" i="1"/>
  <c r="AG236" i="1"/>
  <c r="AF236" i="1"/>
  <c r="AC236" i="1"/>
  <c r="AH236" i="1" s="1"/>
  <c r="AB236" i="1"/>
  <c r="AD236" i="1" s="1"/>
  <c r="AA236" i="1"/>
  <c r="P236" i="1"/>
  <c r="O236" i="1"/>
  <c r="N236" i="1"/>
  <c r="M236" i="1"/>
  <c r="L236" i="1"/>
  <c r="AG235" i="1"/>
  <c r="AF235" i="1"/>
  <c r="AC235" i="1"/>
  <c r="AH235" i="1" s="1"/>
  <c r="AB235" i="1"/>
  <c r="AD235" i="1" s="1"/>
  <c r="AA235" i="1"/>
  <c r="P235" i="1"/>
  <c r="O235" i="1"/>
  <c r="N235" i="1"/>
  <c r="M235" i="1"/>
  <c r="L235" i="1"/>
  <c r="AH234" i="1"/>
  <c r="AG234" i="1"/>
  <c r="AF234" i="1"/>
  <c r="AC234" i="1"/>
  <c r="AD234" i="1" s="1"/>
  <c r="AB234" i="1"/>
  <c r="AA234" i="1"/>
  <c r="P234" i="1"/>
  <c r="O234" i="1"/>
  <c r="N234" i="1"/>
  <c r="M234" i="1"/>
  <c r="L234" i="1"/>
  <c r="AG233" i="1"/>
  <c r="AF233" i="1"/>
  <c r="AC233" i="1"/>
  <c r="AH233" i="1" s="1"/>
  <c r="AB233" i="1"/>
  <c r="AA233" i="1"/>
  <c r="P233" i="1"/>
  <c r="O233" i="1"/>
  <c r="N233" i="1"/>
  <c r="M233" i="1"/>
  <c r="L233" i="1"/>
  <c r="AF232" i="1"/>
  <c r="AG232" i="1" s="1"/>
  <c r="AD232" i="1"/>
  <c r="AC232" i="1"/>
  <c r="AH232" i="1" s="1"/>
  <c r="AB232" i="1"/>
  <c r="AA232" i="1"/>
  <c r="P232" i="1"/>
  <c r="O232" i="1"/>
  <c r="N232" i="1"/>
  <c r="M232" i="1"/>
  <c r="L232" i="1"/>
  <c r="AH231" i="1"/>
  <c r="AF231" i="1"/>
  <c r="AG231" i="1" s="1"/>
  <c r="AD231" i="1"/>
  <c r="AC231" i="1"/>
  <c r="AB231" i="1"/>
  <c r="AA231" i="1"/>
  <c r="O231" i="1"/>
  <c r="P231" i="1" s="1"/>
  <c r="N231" i="1"/>
  <c r="M231" i="1"/>
  <c r="L231" i="1"/>
  <c r="AG230" i="1"/>
  <c r="AF230" i="1"/>
  <c r="AC230" i="1"/>
  <c r="AH230" i="1" s="1"/>
  <c r="AB230" i="1"/>
  <c r="AD230" i="1" s="1"/>
  <c r="AA230" i="1"/>
  <c r="O230" i="1"/>
  <c r="P230" i="1" s="1"/>
  <c r="N230" i="1"/>
  <c r="M230" i="1"/>
  <c r="L230" i="1"/>
  <c r="AF229" i="1"/>
  <c r="AG229" i="1" s="1"/>
  <c r="AC229" i="1"/>
  <c r="AH229" i="1" s="1"/>
  <c r="AB229" i="1"/>
  <c r="AA229" i="1"/>
  <c r="P229" i="1"/>
  <c r="O229" i="1"/>
  <c r="N229" i="1"/>
  <c r="M229" i="1"/>
  <c r="L229" i="1"/>
  <c r="AH228" i="1"/>
  <c r="AF228" i="1"/>
  <c r="AG228" i="1" s="1"/>
  <c r="AD228" i="1"/>
  <c r="AC228" i="1"/>
  <c r="AB228" i="1"/>
  <c r="AA228" i="1"/>
  <c r="O228" i="1"/>
  <c r="P228" i="1" s="1"/>
  <c r="N228" i="1"/>
  <c r="M228" i="1"/>
  <c r="L228" i="1"/>
  <c r="AG227" i="1"/>
  <c r="AF227" i="1"/>
  <c r="AC227" i="1"/>
  <c r="AH227" i="1" s="1"/>
  <c r="AB227" i="1"/>
  <c r="AD227" i="1" s="1"/>
  <c r="AA227" i="1"/>
  <c r="O227" i="1"/>
  <c r="P227" i="1" s="1"/>
  <c r="N227" i="1"/>
  <c r="M227" i="1"/>
  <c r="L227" i="1"/>
  <c r="AF226" i="1"/>
  <c r="AG226" i="1" s="1"/>
  <c r="AC226" i="1"/>
  <c r="AH226" i="1" s="1"/>
  <c r="AB226" i="1"/>
  <c r="AD226" i="1" s="1"/>
  <c r="AA226" i="1"/>
  <c r="P226" i="1"/>
  <c r="O226" i="1"/>
  <c r="N226" i="1"/>
  <c r="M226" i="1"/>
  <c r="L226" i="1"/>
  <c r="AF225" i="1"/>
  <c r="AG225" i="1" s="1"/>
  <c r="AC225" i="1"/>
  <c r="AH225" i="1" s="1"/>
  <c r="AB225" i="1"/>
  <c r="AA225" i="1"/>
  <c r="O225" i="1"/>
  <c r="P225" i="1" s="1"/>
  <c r="N225" i="1"/>
  <c r="M225" i="1"/>
  <c r="L225" i="1"/>
  <c r="AG224" i="1"/>
  <c r="AF224" i="1"/>
  <c r="AD224" i="1"/>
  <c r="AC224" i="1"/>
  <c r="AH224" i="1" s="1"/>
  <c r="AB224" i="1"/>
  <c r="AA224" i="1"/>
  <c r="O224" i="1"/>
  <c r="P224" i="1" s="1"/>
  <c r="N224" i="1"/>
  <c r="M224" i="1"/>
  <c r="L224" i="1"/>
  <c r="AF223" i="1"/>
  <c r="AG223" i="1" s="1"/>
  <c r="AC223" i="1"/>
  <c r="AH223" i="1" s="1"/>
  <c r="AB223" i="1"/>
  <c r="AA223" i="1"/>
  <c r="P223" i="1"/>
  <c r="O223" i="1"/>
  <c r="N223" i="1"/>
  <c r="M223" i="1"/>
  <c r="L223" i="1"/>
  <c r="AF222" i="1"/>
  <c r="AG222" i="1" s="1"/>
  <c r="AC222" i="1"/>
  <c r="AD222" i="1" s="1"/>
  <c r="AB222" i="1"/>
  <c r="AA222" i="1"/>
  <c r="O222" i="1"/>
  <c r="P222" i="1" s="1"/>
  <c r="N222" i="1"/>
  <c r="M222" i="1"/>
  <c r="L222" i="1"/>
  <c r="AH221" i="1"/>
  <c r="AG221" i="1"/>
  <c r="AF221" i="1"/>
  <c r="AC221" i="1"/>
  <c r="AB221" i="1"/>
  <c r="AD221" i="1" s="1"/>
  <c r="AA221" i="1"/>
  <c r="P221" i="1"/>
  <c r="O221" i="1"/>
  <c r="N221" i="1"/>
  <c r="M221" i="1"/>
  <c r="L221" i="1"/>
  <c r="AG220" i="1"/>
  <c r="AF220" i="1"/>
  <c r="AC220" i="1"/>
  <c r="AH220" i="1" s="1"/>
  <c r="AB220" i="1"/>
  <c r="AD220" i="1" s="1"/>
  <c r="AA220" i="1"/>
  <c r="P220" i="1"/>
  <c r="O220" i="1"/>
  <c r="N220" i="1"/>
  <c r="M220" i="1"/>
  <c r="L220" i="1"/>
  <c r="AH219" i="1"/>
  <c r="AF219" i="1"/>
  <c r="AG219" i="1" s="1"/>
  <c r="AD219" i="1"/>
  <c r="AC219" i="1"/>
  <c r="AB219" i="1"/>
  <c r="AA219" i="1"/>
  <c r="P219" i="1"/>
  <c r="O219" i="1"/>
  <c r="N219" i="1"/>
  <c r="M219" i="1"/>
  <c r="L219" i="1"/>
  <c r="AH218" i="1"/>
  <c r="AG218" i="1"/>
  <c r="AF218" i="1"/>
  <c r="AD218" i="1"/>
  <c r="AC218" i="1"/>
  <c r="AB218" i="1"/>
  <c r="AA218" i="1"/>
  <c r="O218" i="1"/>
  <c r="P218" i="1" s="1"/>
  <c r="N218" i="1"/>
  <c r="M218" i="1"/>
  <c r="L218" i="1"/>
  <c r="AG217" i="1"/>
  <c r="AF217" i="1"/>
  <c r="AC217" i="1"/>
  <c r="AH217" i="1" s="1"/>
  <c r="AB217" i="1"/>
  <c r="AD217" i="1" s="1"/>
  <c r="AA217" i="1"/>
  <c r="P217" i="1"/>
  <c r="O217" i="1"/>
  <c r="N217" i="1"/>
  <c r="M217" i="1"/>
  <c r="L217" i="1"/>
  <c r="AG216" i="1"/>
  <c r="AF216" i="1"/>
  <c r="AC216" i="1"/>
  <c r="AH216" i="1" s="1"/>
  <c r="AB216" i="1"/>
  <c r="AA216" i="1"/>
  <c r="P216" i="1"/>
  <c r="O216" i="1"/>
  <c r="N216" i="1"/>
  <c r="M216" i="1"/>
  <c r="L216" i="1"/>
  <c r="AG215" i="1"/>
  <c r="AF215" i="1"/>
  <c r="AC215" i="1"/>
  <c r="AH215" i="1" s="1"/>
  <c r="AB215" i="1"/>
  <c r="AD215" i="1" s="1"/>
  <c r="AA215" i="1"/>
  <c r="O215" i="1"/>
  <c r="P215" i="1" s="1"/>
  <c r="N215" i="1"/>
  <c r="M215" i="1"/>
  <c r="L215" i="1"/>
  <c r="AG214" i="1"/>
  <c r="AF214" i="1"/>
  <c r="AD214" i="1"/>
  <c r="AC214" i="1"/>
  <c r="AH214" i="1" s="1"/>
  <c r="AB214" i="1"/>
  <c r="AA214" i="1"/>
  <c r="P214" i="1"/>
  <c r="O214" i="1"/>
  <c r="N214" i="1"/>
  <c r="M214" i="1"/>
  <c r="L214" i="1"/>
  <c r="AG213" i="1"/>
  <c r="AF213" i="1"/>
  <c r="AC213" i="1"/>
  <c r="AH213" i="1" s="1"/>
  <c r="AB213" i="1"/>
  <c r="AA213" i="1"/>
  <c r="P213" i="1"/>
  <c r="O213" i="1"/>
  <c r="N213" i="1"/>
  <c r="M213" i="1"/>
  <c r="L213" i="1"/>
  <c r="AH212" i="1"/>
  <c r="AG212" i="1"/>
  <c r="AF212" i="1"/>
  <c r="AC212" i="1"/>
  <c r="AB212" i="1"/>
  <c r="AD212" i="1" s="1"/>
  <c r="AA212" i="1"/>
  <c r="P212" i="1"/>
  <c r="O212" i="1"/>
  <c r="N212" i="1"/>
  <c r="M212" i="1"/>
  <c r="L212" i="1"/>
  <c r="AG211" i="1"/>
  <c r="AF211" i="1"/>
  <c r="AD211" i="1"/>
  <c r="AC211" i="1"/>
  <c r="AH211" i="1" s="1"/>
  <c r="AB211" i="1"/>
  <c r="AA211" i="1"/>
  <c r="P211" i="1"/>
  <c r="O211" i="1"/>
  <c r="N211" i="1"/>
  <c r="M211" i="1"/>
  <c r="L211" i="1"/>
  <c r="AH210" i="1"/>
  <c r="AG210" i="1"/>
  <c r="AF210" i="1"/>
  <c r="AC210" i="1"/>
  <c r="AD210" i="1" s="1"/>
  <c r="AB210" i="1"/>
  <c r="AA210" i="1"/>
  <c r="P210" i="1"/>
  <c r="O210" i="1"/>
  <c r="N210" i="1"/>
  <c r="M210" i="1"/>
  <c r="L210" i="1"/>
  <c r="AG209" i="1"/>
  <c r="AF209" i="1"/>
  <c r="AD209" i="1"/>
  <c r="AC209" i="1"/>
  <c r="AH209" i="1" s="1"/>
  <c r="AB209" i="1"/>
  <c r="AA209" i="1"/>
  <c r="O209" i="1"/>
  <c r="P209" i="1" s="1"/>
  <c r="N209" i="1"/>
  <c r="M209" i="1"/>
  <c r="L209" i="1"/>
  <c r="AF208" i="1"/>
  <c r="AG208" i="1" s="1"/>
  <c r="AD208" i="1"/>
  <c r="AC208" i="1"/>
  <c r="AH208" i="1" s="1"/>
  <c r="AB208" i="1"/>
  <c r="AA208" i="1"/>
  <c r="P208" i="1"/>
  <c r="O208" i="1"/>
  <c r="N208" i="1"/>
  <c r="M208" i="1"/>
  <c r="L208" i="1"/>
  <c r="AF207" i="1"/>
  <c r="AG207" i="1" s="1"/>
  <c r="AC207" i="1"/>
  <c r="AH207" i="1" s="1"/>
  <c r="AB207" i="1"/>
  <c r="AA207" i="1"/>
  <c r="O207" i="1"/>
  <c r="P207" i="1" s="1"/>
  <c r="N207" i="1"/>
  <c r="M207" i="1"/>
  <c r="L207" i="1"/>
  <c r="AG206" i="1"/>
  <c r="AF206" i="1"/>
  <c r="AC206" i="1"/>
  <c r="AH206" i="1" s="1"/>
  <c r="AB206" i="1"/>
  <c r="AD206" i="1" s="1"/>
  <c r="AA206" i="1"/>
  <c r="O206" i="1"/>
  <c r="P206" i="1" s="1"/>
  <c r="N206" i="1"/>
  <c r="M206" i="1"/>
  <c r="L206" i="1"/>
  <c r="AG205" i="1"/>
  <c r="AF205" i="1"/>
  <c r="AC205" i="1"/>
  <c r="AH205" i="1" s="1"/>
  <c r="AB205" i="1"/>
  <c r="AA205" i="1"/>
  <c r="P205" i="1"/>
  <c r="O205" i="1"/>
  <c r="N205" i="1"/>
  <c r="M205" i="1"/>
  <c r="L205" i="1"/>
  <c r="AF204" i="1"/>
  <c r="AG204" i="1" s="1"/>
  <c r="AC204" i="1"/>
  <c r="AH204" i="1" s="1"/>
  <c r="AB204" i="1"/>
  <c r="AA204" i="1"/>
  <c r="O204" i="1"/>
  <c r="P204" i="1" s="1"/>
  <c r="N204" i="1"/>
  <c r="M204" i="1"/>
  <c r="L204" i="1"/>
  <c r="AG203" i="1"/>
  <c r="AF203" i="1"/>
  <c r="AC203" i="1"/>
  <c r="AH203" i="1" s="1"/>
  <c r="AB203" i="1"/>
  <c r="AD203" i="1" s="1"/>
  <c r="AA203" i="1"/>
  <c r="O203" i="1"/>
  <c r="P203" i="1" s="1"/>
  <c r="N203" i="1"/>
  <c r="M203" i="1"/>
  <c r="L203" i="1"/>
  <c r="AF202" i="1"/>
  <c r="AG202" i="1" s="1"/>
  <c r="AC202" i="1"/>
  <c r="AH202" i="1" s="1"/>
  <c r="AB202" i="1"/>
  <c r="AD202" i="1" s="1"/>
  <c r="AA202" i="1"/>
  <c r="P202" i="1"/>
  <c r="O202" i="1"/>
  <c r="N202" i="1"/>
  <c r="M202" i="1"/>
  <c r="L202" i="1"/>
  <c r="AG201" i="1"/>
  <c r="AF201" i="1"/>
  <c r="AC201" i="1"/>
  <c r="AH201" i="1" s="1"/>
  <c r="AB201" i="1"/>
  <c r="AA201" i="1"/>
  <c r="O201" i="1"/>
  <c r="P201" i="1" s="1"/>
  <c r="N201" i="1"/>
  <c r="M201" i="1"/>
  <c r="L201" i="1"/>
  <c r="AG200" i="1"/>
  <c r="AF200" i="1"/>
  <c r="AC200" i="1"/>
  <c r="AH200" i="1" s="1"/>
  <c r="AB200" i="1"/>
  <c r="AA200" i="1"/>
  <c r="P200" i="1"/>
  <c r="O200" i="1"/>
  <c r="N200" i="1"/>
  <c r="M200" i="1"/>
  <c r="L200" i="1"/>
  <c r="AG199" i="1"/>
  <c r="AF199" i="1"/>
  <c r="AC199" i="1"/>
  <c r="AH199" i="1" s="1"/>
  <c r="AB199" i="1"/>
  <c r="AD199" i="1" s="1"/>
  <c r="AA199" i="1"/>
  <c r="P199" i="1"/>
  <c r="O199" i="1"/>
  <c r="N199" i="1"/>
  <c r="M199" i="1"/>
  <c r="L199" i="1"/>
  <c r="AH198" i="1"/>
  <c r="AG198" i="1"/>
  <c r="AF198" i="1"/>
  <c r="AC198" i="1"/>
  <c r="AD198" i="1" s="1"/>
  <c r="AB198" i="1"/>
  <c r="AA198" i="1"/>
  <c r="O198" i="1"/>
  <c r="P198" i="1" s="1"/>
  <c r="N198" i="1"/>
  <c r="M198" i="1"/>
  <c r="L198" i="1"/>
  <c r="AH197" i="1"/>
  <c r="AG197" i="1"/>
  <c r="AF197" i="1"/>
  <c r="AC197" i="1"/>
  <c r="AB197" i="1"/>
  <c r="AD197" i="1" s="1"/>
  <c r="AA197" i="1"/>
  <c r="O197" i="1"/>
  <c r="P197" i="1" s="1"/>
  <c r="N197" i="1"/>
  <c r="M197" i="1"/>
  <c r="L197" i="1"/>
  <c r="AF196" i="1"/>
  <c r="AG196" i="1" s="1"/>
  <c r="AC196" i="1"/>
  <c r="AH196" i="1" s="1"/>
  <c r="AB196" i="1"/>
  <c r="AA196" i="1"/>
  <c r="P196" i="1"/>
  <c r="O196" i="1"/>
  <c r="N196" i="1"/>
  <c r="M196" i="1"/>
  <c r="L196" i="1"/>
  <c r="AH195" i="1"/>
  <c r="AG195" i="1"/>
  <c r="AF195" i="1"/>
  <c r="AD195" i="1"/>
  <c r="AC195" i="1"/>
  <c r="AB195" i="1"/>
  <c r="AA195" i="1"/>
  <c r="O195" i="1"/>
  <c r="P195" i="1" s="1"/>
  <c r="N195" i="1"/>
  <c r="M195" i="1"/>
  <c r="L195" i="1"/>
  <c r="AH194" i="1"/>
  <c r="AG194" i="1"/>
  <c r="AF194" i="1"/>
  <c r="AD194" i="1"/>
  <c r="AC194" i="1"/>
  <c r="AB194" i="1"/>
  <c r="AA194" i="1"/>
  <c r="O194" i="1"/>
  <c r="P194" i="1" s="1"/>
  <c r="N194" i="1"/>
  <c r="M194" i="1"/>
  <c r="L194" i="1"/>
  <c r="AF193" i="1"/>
  <c r="AG193" i="1" s="1"/>
  <c r="AC193" i="1"/>
  <c r="AH193" i="1" s="1"/>
  <c r="AB193" i="1"/>
  <c r="AD193" i="1" s="1"/>
  <c r="AA193" i="1"/>
  <c r="P193" i="1"/>
  <c r="O193" i="1"/>
  <c r="N193" i="1"/>
  <c r="M193" i="1"/>
  <c r="L193" i="1"/>
  <c r="AF192" i="1"/>
  <c r="AG192" i="1" s="1"/>
  <c r="AC192" i="1"/>
  <c r="AH192" i="1" s="1"/>
  <c r="AB192" i="1"/>
  <c r="AA192" i="1"/>
  <c r="O192" i="1"/>
  <c r="P192" i="1" s="1"/>
  <c r="N192" i="1"/>
  <c r="M192" i="1"/>
  <c r="L192" i="1"/>
  <c r="AH191" i="1"/>
  <c r="AG191" i="1"/>
  <c r="AF191" i="1"/>
  <c r="AD191" i="1"/>
  <c r="AC191" i="1"/>
  <c r="AB191" i="1"/>
  <c r="AA191" i="1"/>
  <c r="O191" i="1"/>
  <c r="P191" i="1" s="1"/>
  <c r="N191" i="1"/>
  <c r="M191" i="1"/>
  <c r="L191" i="1"/>
  <c r="AG190" i="1"/>
  <c r="AF190" i="1"/>
  <c r="AC190" i="1"/>
  <c r="AH190" i="1" s="1"/>
  <c r="AB190" i="1"/>
  <c r="AD190" i="1" s="1"/>
  <c r="AA190" i="1"/>
  <c r="P190" i="1"/>
  <c r="O190" i="1"/>
  <c r="N190" i="1"/>
  <c r="M190" i="1"/>
  <c r="L190" i="1"/>
  <c r="AF189" i="1"/>
  <c r="AG189" i="1" s="1"/>
  <c r="AD189" i="1"/>
  <c r="AC189" i="1"/>
  <c r="AH189" i="1" s="1"/>
  <c r="AB189" i="1"/>
  <c r="AA189" i="1"/>
  <c r="P189" i="1"/>
  <c r="O189" i="1"/>
  <c r="N189" i="1"/>
  <c r="M189" i="1"/>
  <c r="L189" i="1"/>
  <c r="AH188" i="1"/>
  <c r="AG188" i="1"/>
  <c r="AF188" i="1"/>
  <c r="AD188" i="1"/>
  <c r="AC188" i="1"/>
  <c r="AB188" i="1"/>
  <c r="AA188" i="1"/>
  <c r="O188" i="1"/>
  <c r="P188" i="1" s="1"/>
  <c r="N188" i="1"/>
  <c r="M188" i="1"/>
  <c r="L188" i="1"/>
  <c r="AF187" i="1"/>
  <c r="AG187" i="1" s="1"/>
  <c r="AC187" i="1"/>
  <c r="AH187" i="1" s="1"/>
  <c r="AB187" i="1"/>
  <c r="AA187" i="1"/>
  <c r="P187" i="1"/>
  <c r="O187" i="1"/>
  <c r="N187" i="1"/>
  <c r="M187" i="1"/>
  <c r="L187" i="1"/>
  <c r="AF186" i="1"/>
  <c r="AG186" i="1" s="1"/>
  <c r="AC186" i="1"/>
  <c r="AH186" i="1" s="1"/>
  <c r="AB186" i="1"/>
  <c r="AA186" i="1"/>
  <c r="O186" i="1"/>
  <c r="P186" i="1" s="1"/>
  <c r="N186" i="1"/>
  <c r="M186" i="1"/>
  <c r="L186" i="1"/>
  <c r="AH185" i="1"/>
  <c r="AG185" i="1"/>
  <c r="AF185" i="1"/>
  <c r="AC185" i="1"/>
  <c r="AB185" i="1"/>
  <c r="AD185" i="1" s="1"/>
  <c r="AA185" i="1"/>
  <c r="O185" i="1"/>
  <c r="P185" i="1" s="1"/>
  <c r="N185" i="1"/>
  <c r="M185" i="1"/>
  <c r="L185" i="1"/>
  <c r="AG184" i="1"/>
  <c r="AF184" i="1"/>
  <c r="AC184" i="1"/>
  <c r="AH184" i="1" s="1"/>
  <c r="AB184" i="1"/>
  <c r="AA184" i="1"/>
  <c r="P184" i="1"/>
  <c r="O184" i="1"/>
  <c r="N184" i="1"/>
  <c r="M184" i="1"/>
  <c r="L184" i="1"/>
  <c r="AG183" i="1"/>
  <c r="AF183" i="1"/>
  <c r="AC183" i="1"/>
  <c r="AD183" i="1" s="1"/>
  <c r="AB183" i="1"/>
  <c r="AA183" i="1"/>
  <c r="P183" i="1"/>
  <c r="O183" i="1"/>
  <c r="N183" i="1"/>
  <c r="M183" i="1"/>
  <c r="L183" i="1"/>
  <c r="AH182" i="1"/>
  <c r="AG182" i="1"/>
  <c r="AF182" i="1"/>
  <c r="AC182" i="1"/>
  <c r="AB182" i="1"/>
  <c r="AD182" i="1" s="1"/>
  <c r="AA182" i="1"/>
  <c r="P182" i="1"/>
  <c r="O182" i="1"/>
  <c r="N182" i="1"/>
  <c r="M182" i="1"/>
  <c r="L182" i="1"/>
  <c r="AG181" i="1"/>
  <c r="AF181" i="1"/>
  <c r="AC181" i="1"/>
  <c r="AH181" i="1" s="1"/>
  <c r="AB181" i="1"/>
  <c r="AD181" i="1" s="1"/>
  <c r="AA181" i="1"/>
  <c r="P181" i="1"/>
  <c r="O181" i="1"/>
  <c r="N181" i="1"/>
  <c r="M181" i="1"/>
  <c r="L181" i="1"/>
  <c r="AH180" i="1"/>
  <c r="AG180" i="1"/>
  <c r="AF180" i="1"/>
  <c r="AC180" i="1"/>
  <c r="AD180" i="1" s="1"/>
  <c r="AB180" i="1"/>
  <c r="AA180" i="1"/>
  <c r="O180" i="1"/>
  <c r="P180" i="1" s="1"/>
  <c r="N180" i="1"/>
  <c r="M180" i="1"/>
  <c r="L180" i="1"/>
  <c r="AH179" i="1"/>
  <c r="AG179" i="1"/>
  <c r="AF179" i="1"/>
  <c r="AD179" i="1"/>
  <c r="AC179" i="1"/>
  <c r="AB179" i="1"/>
  <c r="AA179" i="1"/>
  <c r="O179" i="1"/>
  <c r="P179" i="1" s="1"/>
  <c r="N179" i="1"/>
  <c r="M179" i="1"/>
  <c r="L179" i="1"/>
  <c r="AF178" i="1"/>
  <c r="AG178" i="1" s="1"/>
  <c r="AD178" i="1"/>
  <c r="AC178" i="1"/>
  <c r="AH178" i="1" s="1"/>
  <c r="AB178" i="1"/>
  <c r="AA178" i="1"/>
  <c r="P178" i="1"/>
  <c r="O178" i="1"/>
  <c r="N178" i="1"/>
  <c r="M178" i="1"/>
  <c r="L178" i="1"/>
  <c r="AH177" i="1"/>
  <c r="AF177" i="1"/>
  <c r="AG177" i="1" s="1"/>
  <c r="AD177" i="1"/>
  <c r="AC177" i="1"/>
  <c r="AB177" i="1"/>
  <c r="AA177" i="1"/>
  <c r="O177" i="1"/>
  <c r="P177" i="1" s="1"/>
  <c r="N177" i="1"/>
  <c r="M177" i="1"/>
  <c r="L177" i="1"/>
  <c r="AG176" i="1"/>
  <c r="AF176" i="1"/>
  <c r="AD176" i="1"/>
  <c r="AC176" i="1"/>
  <c r="AH176" i="1" s="1"/>
  <c r="AB176" i="1"/>
  <c r="AA176" i="1"/>
  <c r="O176" i="1"/>
  <c r="P176" i="1" s="1"/>
  <c r="N176" i="1"/>
  <c r="M176" i="1"/>
  <c r="L176" i="1"/>
  <c r="AF175" i="1"/>
  <c r="AG175" i="1" s="1"/>
  <c r="AC175" i="1"/>
  <c r="AH175" i="1" s="1"/>
  <c r="AB175" i="1"/>
  <c r="AA175" i="1"/>
  <c r="P175" i="1"/>
  <c r="O175" i="1"/>
  <c r="N175" i="1"/>
  <c r="M175" i="1"/>
  <c r="L175" i="1"/>
  <c r="AG174" i="1"/>
  <c r="AF174" i="1"/>
  <c r="AC174" i="1"/>
  <c r="AH174" i="1" s="1"/>
  <c r="AB174" i="1"/>
  <c r="AA174" i="1"/>
  <c r="O174" i="1"/>
  <c r="P174" i="1" s="1"/>
  <c r="N174" i="1"/>
  <c r="M174" i="1"/>
  <c r="L174" i="1"/>
  <c r="AG173" i="1"/>
  <c r="AF173" i="1"/>
  <c r="AD173" i="1"/>
  <c r="AC173" i="1"/>
  <c r="AH173" i="1" s="1"/>
  <c r="AB173" i="1"/>
  <c r="AA173" i="1"/>
  <c r="O173" i="1"/>
  <c r="P173" i="1" s="1"/>
  <c r="N173" i="1"/>
  <c r="M173" i="1"/>
  <c r="L173" i="1"/>
  <c r="AF172" i="1"/>
  <c r="AG172" i="1" s="1"/>
  <c r="AC172" i="1"/>
  <c r="AH172" i="1" s="1"/>
  <c r="AB172" i="1"/>
  <c r="AD172" i="1" s="1"/>
  <c r="AA172" i="1"/>
  <c r="P172" i="1"/>
  <c r="O172" i="1"/>
  <c r="N172" i="1"/>
  <c r="M172" i="1"/>
  <c r="L172" i="1"/>
  <c r="AH171" i="1"/>
  <c r="AG171" i="1"/>
  <c r="AF171" i="1"/>
  <c r="AC171" i="1"/>
  <c r="AD171" i="1" s="1"/>
  <c r="AB171" i="1"/>
  <c r="AA171" i="1"/>
  <c r="O171" i="1"/>
  <c r="P171" i="1" s="1"/>
  <c r="N171" i="1"/>
  <c r="M171" i="1"/>
  <c r="L171" i="1"/>
  <c r="AG170" i="1"/>
  <c r="AF170" i="1"/>
  <c r="AC170" i="1"/>
  <c r="AH170" i="1" s="1"/>
  <c r="AB170" i="1"/>
  <c r="AD170" i="1" s="1"/>
  <c r="AA170" i="1"/>
  <c r="O170" i="1"/>
  <c r="P170" i="1" s="1"/>
  <c r="N170" i="1"/>
  <c r="M170" i="1"/>
  <c r="L170" i="1"/>
  <c r="AF169" i="1"/>
  <c r="AG169" i="1" s="1"/>
  <c r="AC169" i="1"/>
  <c r="AH169" i="1" s="1"/>
  <c r="AB169" i="1"/>
  <c r="AA169" i="1"/>
  <c r="P169" i="1"/>
  <c r="O169" i="1"/>
  <c r="N169" i="1"/>
  <c r="M169" i="1"/>
  <c r="L169" i="1"/>
  <c r="AF168" i="1"/>
  <c r="AG168" i="1" s="1"/>
  <c r="AC168" i="1"/>
  <c r="AH168" i="1" s="1"/>
  <c r="AB168" i="1"/>
  <c r="AA168" i="1"/>
  <c r="O168" i="1"/>
  <c r="P168" i="1" s="1"/>
  <c r="N168" i="1"/>
  <c r="M168" i="1"/>
  <c r="L168" i="1"/>
  <c r="AG167" i="1"/>
  <c r="AF167" i="1"/>
  <c r="AC167" i="1"/>
  <c r="AH167" i="1" s="1"/>
  <c r="AB167" i="1"/>
  <c r="AD167" i="1" s="1"/>
  <c r="AA167" i="1"/>
  <c r="O167" i="1"/>
  <c r="P167" i="1" s="1"/>
  <c r="N167" i="1"/>
  <c r="M167" i="1"/>
  <c r="L167" i="1"/>
  <c r="AG166" i="1"/>
  <c r="AF166" i="1"/>
  <c r="AC166" i="1"/>
  <c r="AH166" i="1" s="1"/>
  <c r="AB166" i="1"/>
  <c r="AD166" i="1" s="1"/>
  <c r="AA166" i="1"/>
  <c r="P166" i="1"/>
  <c r="O166" i="1"/>
  <c r="N166" i="1"/>
  <c r="M166" i="1"/>
  <c r="L166" i="1"/>
  <c r="AF165" i="1"/>
  <c r="AG165" i="1" s="1"/>
  <c r="AC165" i="1"/>
  <c r="AH165" i="1" s="1"/>
  <c r="AB165" i="1"/>
  <c r="AA165" i="1"/>
  <c r="P165" i="1"/>
  <c r="O165" i="1"/>
  <c r="N165" i="1"/>
  <c r="M165" i="1"/>
  <c r="L165" i="1"/>
  <c r="AH164" i="1"/>
  <c r="AG164" i="1"/>
  <c r="AF164" i="1"/>
  <c r="AC164" i="1"/>
  <c r="AB164" i="1"/>
  <c r="AD164" i="1" s="1"/>
  <c r="AA164" i="1"/>
  <c r="O164" i="1"/>
  <c r="P164" i="1" s="1"/>
  <c r="N164" i="1"/>
  <c r="M164" i="1"/>
  <c r="L164" i="1"/>
  <c r="AG163" i="1"/>
  <c r="AF163" i="1"/>
  <c r="AC163" i="1"/>
  <c r="AH163" i="1" s="1"/>
  <c r="AB163" i="1"/>
  <c r="AD163" i="1" s="1"/>
  <c r="AA163" i="1"/>
  <c r="P163" i="1"/>
  <c r="O163" i="1"/>
  <c r="N163" i="1"/>
  <c r="M163" i="1"/>
  <c r="L163" i="1"/>
  <c r="AF162" i="1"/>
  <c r="AG162" i="1" s="1"/>
  <c r="AC162" i="1"/>
  <c r="AH162" i="1" s="1"/>
  <c r="AB162" i="1"/>
  <c r="AA162" i="1"/>
  <c r="O162" i="1"/>
  <c r="P162" i="1" s="1"/>
  <c r="N162" i="1"/>
  <c r="M162" i="1"/>
  <c r="L162" i="1"/>
  <c r="AH161" i="1"/>
  <c r="AG161" i="1"/>
  <c r="AF161" i="1"/>
  <c r="AC161" i="1"/>
  <c r="AB161" i="1"/>
  <c r="AA161" i="1"/>
  <c r="O161" i="1"/>
  <c r="P161" i="1" s="1"/>
  <c r="N161" i="1"/>
  <c r="M161" i="1"/>
  <c r="L161" i="1"/>
  <c r="AF160" i="1"/>
  <c r="AG160" i="1" s="1"/>
  <c r="AD160" i="1"/>
  <c r="AC160" i="1"/>
  <c r="AH160" i="1" s="1"/>
  <c r="AB160" i="1"/>
  <c r="AA160" i="1"/>
  <c r="P160" i="1"/>
  <c r="O160" i="1"/>
  <c r="N160" i="1"/>
  <c r="M160" i="1"/>
  <c r="L160" i="1"/>
  <c r="AF159" i="1"/>
  <c r="AG159" i="1" s="1"/>
  <c r="AC159" i="1"/>
  <c r="AD159" i="1" s="1"/>
  <c r="AB159" i="1"/>
  <c r="AA159" i="1"/>
  <c r="O159" i="1"/>
  <c r="P159" i="1" s="1"/>
  <c r="N159" i="1"/>
  <c r="M159" i="1"/>
  <c r="L159" i="1"/>
  <c r="AH158" i="1"/>
  <c r="AG158" i="1"/>
  <c r="AF158" i="1"/>
  <c r="AC158" i="1"/>
  <c r="AB158" i="1"/>
  <c r="AD158" i="1" s="1"/>
  <c r="AA158" i="1"/>
  <c r="O158" i="1"/>
  <c r="P158" i="1" s="1"/>
  <c r="N158" i="1"/>
  <c r="M158" i="1"/>
  <c r="L158" i="1"/>
  <c r="AG157" i="1"/>
  <c r="AF157" i="1"/>
  <c r="AC157" i="1"/>
  <c r="AH157" i="1" s="1"/>
  <c r="AB157" i="1"/>
  <c r="AA157" i="1"/>
  <c r="P157" i="1"/>
  <c r="O157" i="1"/>
  <c r="N157" i="1"/>
  <c r="M157" i="1"/>
  <c r="L157" i="1"/>
  <c r="AH156" i="1"/>
  <c r="AG156" i="1"/>
  <c r="AF156" i="1"/>
  <c r="AC156" i="1"/>
  <c r="AD156" i="1" s="1"/>
  <c r="AB156" i="1"/>
  <c r="AA156" i="1"/>
  <c r="P156" i="1"/>
  <c r="O156" i="1"/>
  <c r="N156" i="1"/>
  <c r="M156" i="1"/>
  <c r="L156" i="1"/>
  <c r="AG155" i="1"/>
  <c r="AF155" i="1"/>
  <c r="AC155" i="1"/>
  <c r="AB155" i="1"/>
  <c r="AA155" i="1"/>
  <c r="P155" i="1"/>
  <c r="O155" i="1"/>
  <c r="N155" i="1"/>
  <c r="M155" i="1"/>
  <c r="L155" i="1"/>
  <c r="AF154" i="1"/>
  <c r="AG154" i="1" s="1"/>
  <c r="AC154" i="1"/>
  <c r="AH154" i="1" s="1"/>
  <c r="AB154" i="1"/>
  <c r="AD154" i="1" s="1"/>
  <c r="AA154" i="1"/>
  <c r="P154" i="1"/>
  <c r="O154" i="1"/>
  <c r="N154" i="1"/>
  <c r="M154" i="1"/>
  <c r="L154" i="1"/>
  <c r="AF153" i="1"/>
  <c r="AG153" i="1" s="1"/>
  <c r="AD153" i="1"/>
  <c r="AC153" i="1"/>
  <c r="AH153" i="1" s="1"/>
  <c r="AB153" i="1"/>
  <c r="AA153" i="1"/>
  <c r="O153" i="1"/>
  <c r="P153" i="1" s="1"/>
  <c r="N153" i="1"/>
  <c r="M153" i="1"/>
  <c r="L153" i="1"/>
  <c r="AG152" i="1"/>
  <c r="AF152" i="1"/>
  <c r="AC152" i="1"/>
  <c r="AH152" i="1" s="1"/>
  <c r="AB152" i="1"/>
  <c r="AD152" i="1" s="1"/>
  <c r="AA152" i="1"/>
  <c r="P152" i="1"/>
  <c r="O152" i="1"/>
  <c r="N152" i="1"/>
  <c r="M152" i="1"/>
  <c r="L152" i="1"/>
  <c r="AF151" i="1"/>
  <c r="AG151" i="1" s="1"/>
  <c r="AC151" i="1"/>
  <c r="AH151" i="1" s="1"/>
  <c r="AB151" i="1"/>
  <c r="AD151" i="1" s="1"/>
  <c r="AA151" i="1"/>
  <c r="P151" i="1"/>
  <c r="O151" i="1"/>
  <c r="N151" i="1"/>
  <c r="M151" i="1"/>
  <c r="L151" i="1"/>
  <c r="AF150" i="1"/>
  <c r="AG150" i="1" s="1"/>
  <c r="AC150" i="1"/>
  <c r="AH150" i="1" s="1"/>
  <c r="AB150" i="1"/>
  <c r="AA150" i="1"/>
  <c r="P150" i="1"/>
  <c r="O150" i="1"/>
  <c r="N150" i="1"/>
  <c r="M150" i="1"/>
  <c r="L150" i="1"/>
  <c r="AG149" i="1"/>
  <c r="AF149" i="1"/>
  <c r="AC149" i="1"/>
  <c r="AH149" i="1" s="1"/>
  <c r="AB149" i="1"/>
  <c r="AD149" i="1" s="1"/>
  <c r="AA149" i="1"/>
  <c r="O149" i="1"/>
  <c r="P149" i="1" s="1"/>
  <c r="N149" i="1"/>
  <c r="M149" i="1"/>
  <c r="L149" i="1"/>
  <c r="AF148" i="1"/>
  <c r="AG148" i="1" s="1"/>
  <c r="AD148" i="1"/>
  <c r="AC148" i="1"/>
  <c r="AH148" i="1" s="1"/>
  <c r="AB148" i="1"/>
  <c r="AA148" i="1"/>
  <c r="P148" i="1"/>
  <c r="O148" i="1"/>
  <c r="N148" i="1"/>
  <c r="M148" i="1"/>
  <c r="L148" i="1"/>
  <c r="AH147" i="1"/>
  <c r="AG147" i="1"/>
  <c r="AF147" i="1"/>
  <c r="AD147" i="1"/>
  <c r="AC147" i="1"/>
  <c r="AB147" i="1"/>
  <c r="AA147" i="1"/>
  <c r="O147" i="1"/>
  <c r="P147" i="1" s="1"/>
  <c r="N147" i="1"/>
  <c r="M147" i="1"/>
  <c r="L147" i="1"/>
  <c r="AG146" i="1"/>
  <c r="AF146" i="1"/>
  <c r="AC146" i="1"/>
  <c r="AH146" i="1" s="1"/>
  <c r="AB146" i="1"/>
  <c r="AA146" i="1"/>
  <c r="P146" i="1"/>
  <c r="O146" i="1"/>
  <c r="N146" i="1"/>
  <c r="M146" i="1"/>
  <c r="L146" i="1"/>
  <c r="AG145" i="1"/>
  <c r="AF145" i="1"/>
  <c r="AC145" i="1"/>
  <c r="AH145" i="1" s="1"/>
  <c r="AB145" i="1"/>
  <c r="AA145" i="1"/>
  <c r="P145" i="1"/>
  <c r="O145" i="1"/>
  <c r="N145" i="1"/>
  <c r="M145" i="1"/>
  <c r="L145" i="1"/>
  <c r="AF144" i="1"/>
  <c r="AG144" i="1" s="1"/>
  <c r="AC144" i="1"/>
  <c r="AB144" i="1"/>
  <c r="AA144" i="1"/>
  <c r="O144" i="1"/>
  <c r="P144" i="1" s="1"/>
  <c r="N144" i="1"/>
  <c r="M144" i="1"/>
  <c r="L144" i="1"/>
  <c r="AH143" i="1"/>
  <c r="AG143" i="1"/>
  <c r="AF143" i="1"/>
  <c r="AC143" i="1"/>
  <c r="AB143" i="1"/>
  <c r="AD143" i="1" s="1"/>
  <c r="AA143" i="1"/>
  <c r="P143" i="1"/>
  <c r="O143" i="1"/>
  <c r="N143" i="1"/>
  <c r="M143" i="1"/>
  <c r="L143" i="1"/>
  <c r="AG142" i="1"/>
  <c r="AF142" i="1"/>
  <c r="AC142" i="1"/>
  <c r="AH142" i="1" s="1"/>
  <c r="AB142" i="1"/>
  <c r="AD142" i="1" s="1"/>
  <c r="AA142" i="1"/>
  <c r="P142" i="1"/>
  <c r="O142" i="1"/>
  <c r="N142" i="1"/>
  <c r="M142" i="1"/>
  <c r="L142" i="1"/>
  <c r="AH141" i="1"/>
  <c r="AF141" i="1"/>
  <c r="AG141" i="1" s="1"/>
  <c r="AD141" i="1"/>
  <c r="AC141" i="1"/>
  <c r="AB141" i="1"/>
  <c r="AA141" i="1"/>
  <c r="O141" i="1"/>
  <c r="P141" i="1" s="1"/>
  <c r="N141" i="1"/>
  <c r="M141" i="1"/>
  <c r="L141" i="1"/>
  <c r="AH140" i="1"/>
  <c r="AG140" i="1"/>
  <c r="AF140" i="1"/>
  <c r="AD140" i="1"/>
  <c r="AC140" i="1"/>
  <c r="AB140" i="1"/>
  <c r="AA140" i="1"/>
  <c r="O140" i="1"/>
  <c r="P140" i="1" s="1"/>
  <c r="N140" i="1"/>
  <c r="M140" i="1"/>
  <c r="L140" i="1"/>
  <c r="AF139" i="1"/>
  <c r="AG139" i="1" s="1"/>
  <c r="AC139" i="1"/>
  <c r="AH139" i="1" s="1"/>
  <c r="AB139" i="1"/>
  <c r="AD139" i="1" s="1"/>
  <c r="AA139" i="1"/>
  <c r="P139" i="1"/>
  <c r="O139" i="1"/>
  <c r="N139" i="1"/>
  <c r="M139" i="1"/>
  <c r="L139" i="1"/>
  <c r="AF138" i="1"/>
  <c r="AG138" i="1" s="1"/>
  <c r="AC138" i="1"/>
  <c r="AH138" i="1" s="1"/>
  <c r="AB138" i="1"/>
  <c r="AA138" i="1"/>
  <c r="O138" i="1"/>
  <c r="P138" i="1" s="1"/>
  <c r="N138" i="1"/>
  <c r="M138" i="1"/>
  <c r="L138" i="1"/>
  <c r="AH137" i="1"/>
  <c r="AG137" i="1"/>
  <c r="AF137" i="1"/>
  <c r="AD137" i="1"/>
  <c r="AC137" i="1"/>
  <c r="AB137" i="1"/>
  <c r="AA137" i="1"/>
  <c r="O137" i="1"/>
  <c r="P137" i="1" s="1"/>
  <c r="N137" i="1"/>
  <c r="M137" i="1"/>
  <c r="L137" i="1"/>
  <c r="AF136" i="1"/>
  <c r="AG136" i="1" s="1"/>
  <c r="AC136" i="1"/>
  <c r="AH136" i="1" s="1"/>
  <c r="AB136" i="1"/>
  <c r="AD136" i="1" s="1"/>
  <c r="AA136" i="1"/>
  <c r="P136" i="1"/>
  <c r="O136" i="1"/>
  <c r="N136" i="1"/>
  <c r="M136" i="1"/>
  <c r="L136" i="1"/>
  <c r="AF135" i="1"/>
  <c r="AG135" i="1" s="1"/>
  <c r="AC135" i="1"/>
  <c r="AH135" i="1" s="1"/>
  <c r="AB135" i="1"/>
  <c r="AA135" i="1"/>
  <c r="P135" i="1"/>
  <c r="O135" i="1"/>
  <c r="N135" i="1"/>
  <c r="M135" i="1"/>
  <c r="L135" i="1"/>
  <c r="AH134" i="1"/>
  <c r="AG134" i="1"/>
  <c r="AF134" i="1"/>
  <c r="AC134" i="1"/>
  <c r="AB134" i="1"/>
  <c r="AD134" i="1" s="1"/>
  <c r="AA134" i="1"/>
  <c r="O134" i="1"/>
  <c r="P134" i="1" s="1"/>
  <c r="N134" i="1"/>
  <c r="M134" i="1"/>
  <c r="L134" i="1"/>
  <c r="AF133" i="1"/>
  <c r="AG133" i="1" s="1"/>
  <c r="AC133" i="1"/>
  <c r="AH133" i="1" s="1"/>
  <c r="AB133" i="1"/>
  <c r="AA133" i="1"/>
  <c r="P133" i="1"/>
  <c r="O133" i="1"/>
  <c r="N133" i="1"/>
  <c r="M133" i="1"/>
  <c r="L133" i="1"/>
  <c r="AH132" i="1"/>
  <c r="AF132" i="1"/>
  <c r="AG132" i="1" s="1"/>
  <c r="AC132" i="1"/>
  <c r="AD132" i="1" s="1"/>
  <c r="AB132" i="1"/>
  <c r="AA132" i="1"/>
  <c r="O132" i="1"/>
  <c r="P132" i="1" s="1"/>
  <c r="N132" i="1"/>
  <c r="M132" i="1"/>
  <c r="L132" i="1"/>
  <c r="AG131" i="1"/>
  <c r="AF131" i="1"/>
  <c r="AC131" i="1"/>
  <c r="AH131" i="1" s="1"/>
  <c r="AB131" i="1"/>
  <c r="AD131" i="1" s="1"/>
  <c r="AA131" i="1"/>
  <c r="O131" i="1"/>
  <c r="P131" i="1" s="1"/>
  <c r="N131" i="1"/>
  <c r="M131" i="1"/>
  <c r="L131" i="1"/>
  <c r="AG130" i="1"/>
  <c r="AF130" i="1"/>
  <c r="AC130" i="1"/>
  <c r="AH130" i="1" s="1"/>
  <c r="AB130" i="1"/>
  <c r="AD130" i="1" s="1"/>
  <c r="AA130" i="1"/>
  <c r="P130" i="1"/>
  <c r="O130" i="1"/>
  <c r="N130" i="1"/>
  <c r="M130" i="1"/>
  <c r="L130" i="1"/>
  <c r="AH129" i="1"/>
  <c r="AG129" i="1"/>
  <c r="AF129" i="1"/>
  <c r="AC129" i="1"/>
  <c r="AD129" i="1" s="1"/>
  <c r="AB129" i="1"/>
  <c r="AA129" i="1"/>
  <c r="P129" i="1"/>
  <c r="O129" i="1"/>
  <c r="N129" i="1"/>
  <c r="M129" i="1"/>
  <c r="L129" i="1"/>
  <c r="AH128" i="1"/>
  <c r="AG128" i="1"/>
  <c r="AF128" i="1"/>
  <c r="AC128" i="1"/>
  <c r="AB128" i="1"/>
  <c r="AD128" i="1" s="1"/>
  <c r="AA128" i="1"/>
  <c r="P128" i="1"/>
  <c r="O128" i="1"/>
  <c r="N128" i="1"/>
  <c r="M128" i="1"/>
  <c r="L128" i="1"/>
  <c r="AF127" i="1"/>
  <c r="AG127" i="1" s="1"/>
  <c r="AC127" i="1"/>
  <c r="AH127" i="1" s="1"/>
  <c r="AB127" i="1"/>
  <c r="AA127" i="1"/>
  <c r="P127" i="1"/>
  <c r="O127" i="1"/>
  <c r="N127" i="1"/>
  <c r="M127" i="1"/>
  <c r="L127" i="1"/>
  <c r="AH126" i="1"/>
  <c r="AF126" i="1"/>
  <c r="AG126" i="1" s="1"/>
  <c r="AC126" i="1"/>
  <c r="AD126" i="1" s="1"/>
  <c r="AB126" i="1"/>
  <c r="AA126" i="1"/>
  <c r="O126" i="1"/>
  <c r="P126" i="1" s="1"/>
  <c r="N126" i="1"/>
  <c r="M126" i="1"/>
  <c r="L126" i="1"/>
  <c r="AG125" i="1"/>
  <c r="AF125" i="1"/>
  <c r="AC125" i="1"/>
  <c r="AH125" i="1" s="1"/>
  <c r="AB125" i="1"/>
  <c r="AD125" i="1" s="1"/>
  <c r="AA125" i="1"/>
  <c r="O125" i="1"/>
  <c r="P125" i="1" s="1"/>
  <c r="N125" i="1"/>
  <c r="M125" i="1"/>
  <c r="L125" i="1"/>
  <c r="AG124" i="1"/>
  <c r="AF124" i="1"/>
  <c r="AC124" i="1"/>
  <c r="AH124" i="1" s="1"/>
  <c r="AB124" i="1"/>
  <c r="AD124" i="1" s="1"/>
  <c r="AA124" i="1"/>
  <c r="P124" i="1"/>
  <c r="O124" i="1"/>
  <c r="N124" i="1"/>
  <c r="M124" i="1"/>
  <c r="L124" i="1"/>
  <c r="AH123" i="1"/>
  <c r="AG123" i="1"/>
  <c r="AF123" i="1"/>
  <c r="AD123" i="1"/>
  <c r="AC123" i="1"/>
  <c r="AB123" i="1"/>
  <c r="AA123" i="1"/>
  <c r="P123" i="1"/>
  <c r="O123" i="1"/>
  <c r="N123" i="1"/>
  <c r="M123" i="1"/>
  <c r="L123" i="1"/>
  <c r="AH122" i="1"/>
  <c r="AG122" i="1"/>
  <c r="AF122" i="1"/>
  <c r="AC122" i="1"/>
  <c r="AB122" i="1"/>
  <c r="AD122" i="1" s="1"/>
  <c r="AA122" i="1"/>
  <c r="P122" i="1"/>
  <c r="O122" i="1"/>
  <c r="N122" i="1"/>
  <c r="M122" i="1"/>
  <c r="L122" i="1"/>
  <c r="AF121" i="1"/>
  <c r="AG121" i="1" s="1"/>
  <c r="AC121" i="1"/>
  <c r="AB121" i="1"/>
  <c r="AA121" i="1"/>
  <c r="P121" i="1"/>
  <c r="O121" i="1"/>
  <c r="N121" i="1"/>
  <c r="M121" i="1"/>
  <c r="L121" i="1"/>
  <c r="AF120" i="1"/>
  <c r="AG120" i="1" s="1"/>
  <c r="AC120" i="1"/>
  <c r="AH120" i="1" s="1"/>
  <c r="AB120" i="1"/>
  <c r="AA120" i="1"/>
  <c r="O120" i="1"/>
  <c r="P120" i="1" s="1"/>
  <c r="N120" i="1"/>
  <c r="M120" i="1"/>
  <c r="L120" i="1"/>
  <c r="AH119" i="1"/>
  <c r="AG119" i="1"/>
  <c r="AF119" i="1"/>
  <c r="AC119" i="1"/>
  <c r="AB119" i="1"/>
  <c r="AD119" i="1" s="1"/>
  <c r="AA119" i="1"/>
  <c r="O119" i="1"/>
  <c r="P119" i="1" s="1"/>
  <c r="N119" i="1"/>
  <c r="M119" i="1"/>
  <c r="L119" i="1"/>
  <c r="AF118" i="1"/>
  <c r="AG118" i="1" s="1"/>
  <c r="AC118" i="1"/>
  <c r="AH118" i="1" s="1"/>
  <c r="AB118" i="1"/>
  <c r="AA118" i="1"/>
  <c r="P118" i="1"/>
  <c r="O118" i="1"/>
  <c r="N118" i="1"/>
  <c r="M118" i="1"/>
  <c r="L118" i="1"/>
  <c r="AF117" i="1"/>
  <c r="AG117" i="1" s="1"/>
  <c r="AC117" i="1"/>
  <c r="AH117" i="1" s="1"/>
  <c r="AB117" i="1"/>
  <c r="AA117" i="1"/>
  <c r="O117" i="1"/>
  <c r="P117" i="1" s="1"/>
  <c r="N117" i="1"/>
  <c r="M117" i="1"/>
  <c r="L117" i="1"/>
  <c r="AG116" i="1"/>
  <c r="AF116" i="1"/>
  <c r="AD116" i="1"/>
  <c r="AC116" i="1"/>
  <c r="AH116" i="1" s="1"/>
  <c r="AB116" i="1"/>
  <c r="AA116" i="1"/>
  <c r="O116" i="1"/>
  <c r="P116" i="1" s="1"/>
  <c r="N116" i="1"/>
  <c r="M116" i="1"/>
  <c r="L116" i="1"/>
  <c r="AF115" i="1"/>
  <c r="AG115" i="1" s="1"/>
  <c r="AC115" i="1"/>
  <c r="AH115" i="1" s="1"/>
  <c r="AB115" i="1"/>
  <c r="AD115" i="1" s="1"/>
  <c r="AA115" i="1"/>
  <c r="P115" i="1"/>
  <c r="O115" i="1"/>
  <c r="N115" i="1"/>
  <c r="M115" i="1"/>
  <c r="L115" i="1"/>
  <c r="AH114" i="1"/>
  <c r="AG114" i="1"/>
  <c r="AF114" i="1"/>
  <c r="AC114" i="1"/>
  <c r="AD114" i="1" s="1"/>
  <c r="AB114" i="1"/>
  <c r="AA114" i="1"/>
  <c r="O114" i="1"/>
  <c r="P114" i="1" s="1"/>
  <c r="N114" i="1"/>
  <c r="M114" i="1"/>
  <c r="L114" i="1"/>
  <c r="AH113" i="1"/>
  <c r="AG113" i="1"/>
  <c r="AF113" i="1"/>
  <c r="AD113" i="1"/>
  <c r="AC113" i="1"/>
  <c r="AB113" i="1"/>
  <c r="AA113" i="1"/>
  <c r="O113" i="1"/>
  <c r="P113" i="1" s="1"/>
  <c r="N113" i="1"/>
  <c r="M113" i="1"/>
  <c r="L113" i="1"/>
  <c r="AG112" i="1"/>
  <c r="AF112" i="1"/>
  <c r="AC112" i="1"/>
  <c r="AH112" i="1" s="1"/>
  <c r="AB112" i="1"/>
  <c r="AD112" i="1" s="1"/>
  <c r="AA112" i="1"/>
  <c r="P112" i="1"/>
  <c r="O112" i="1"/>
  <c r="N112" i="1"/>
  <c r="M112" i="1"/>
  <c r="L112" i="1"/>
  <c r="AG111" i="1"/>
  <c r="AF111" i="1"/>
  <c r="AC111" i="1"/>
  <c r="AH111" i="1" s="1"/>
  <c r="AB111" i="1"/>
  <c r="AA111" i="1"/>
  <c r="P111" i="1"/>
  <c r="O111" i="1"/>
  <c r="N111" i="1"/>
  <c r="M111" i="1"/>
  <c r="L111" i="1"/>
  <c r="AG110" i="1"/>
  <c r="AF110" i="1"/>
  <c r="AC110" i="1"/>
  <c r="AH110" i="1" s="1"/>
  <c r="AB110" i="1"/>
  <c r="AD110" i="1" s="1"/>
  <c r="AA110" i="1"/>
  <c r="O110" i="1"/>
  <c r="P110" i="1" s="1"/>
  <c r="N110" i="1"/>
  <c r="M110" i="1"/>
  <c r="L110" i="1"/>
  <c r="AF109" i="1"/>
  <c r="AG109" i="1" s="1"/>
  <c r="AC109" i="1"/>
  <c r="AH109" i="1" s="1"/>
  <c r="AB109" i="1"/>
  <c r="AD109" i="1" s="1"/>
  <c r="AA109" i="1"/>
  <c r="P109" i="1"/>
  <c r="O109" i="1"/>
  <c r="N109" i="1"/>
  <c r="M109" i="1"/>
  <c r="L109" i="1"/>
  <c r="AG108" i="1"/>
  <c r="AF108" i="1"/>
  <c r="AC108" i="1"/>
  <c r="AH108" i="1" s="1"/>
  <c r="AB108" i="1"/>
  <c r="AA108" i="1"/>
  <c r="P108" i="1"/>
  <c r="O108" i="1"/>
  <c r="N108" i="1"/>
  <c r="M108" i="1"/>
  <c r="L108" i="1"/>
  <c r="AG107" i="1"/>
  <c r="AF107" i="1"/>
  <c r="AC107" i="1"/>
  <c r="AH107" i="1" s="1"/>
  <c r="AB107" i="1"/>
  <c r="AD107" i="1" s="1"/>
  <c r="AA107" i="1"/>
  <c r="P107" i="1"/>
  <c r="O107" i="1"/>
  <c r="N107" i="1"/>
  <c r="M107" i="1"/>
  <c r="L107" i="1"/>
  <c r="AF106" i="1"/>
  <c r="AG106" i="1" s="1"/>
  <c r="AD106" i="1"/>
  <c r="AC106" i="1"/>
  <c r="AH106" i="1" s="1"/>
  <c r="AB106" i="1"/>
  <c r="AA106" i="1"/>
  <c r="P106" i="1"/>
  <c r="O106" i="1"/>
  <c r="N106" i="1"/>
  <c r="M106" i="1"/>
  <c r="L106" i="1"/>
  <c r="AH105" i="1"/>
  <c r="AF105" i="1"/>
  <c r="AG105" i="1" s="1"/>
  <c r="AD105" i="1"/>
  <c r="AC105" i="1"/>
  <c r="AB105" i="1"/>
  <c r="AA105" i="1"/>
  <c r="O105" i="1"/>
  <c r="P105" i="1" s="1"/>
  <c r="N105" i="1"/>
  <c r="M105" i="1"/>
  <c r="L105" i="1"/>
  <c r="AH104" i="1"/>
  <c r="AG104" i="1"/>
  <c r="AF104" i="1"/>
  <c r="AC104" i="1"/>
  <c r="AB104" i="1"/>
  <c r="AD104" i="1" s="1"/>
  <c r="AA104" i="1"/>
  <c r="O104" i="1"/>
  <c r="P104" i="1" s="1"/>
  <c r="N104" i="1"/>
  <c r="M104" i="1"/>
  <c r="L104" i="1"/>
  <c r="AF103" i="1"/>
  <c r="AG103" i="1" s="1"/>
  <c r="AD103" i="1"/>
  <c r="AC103" i="1"/>
  <c r="AH103" i="1" s="1"/>
  <c r="AB103" i="1"/>
  <c r="AA103" i="1"/>
  <c r="P103" i="1"/>
  <c r="O103" i="1"/>
  <c r="N103" i="1"/>
  <c r="M103" i="1"/>
  <c r="L103" i="1"/>
  <c r="AF102" i="1"/>
  <c r="AG102" i="1" s="1"/>
  <c r="AC102" i="1"/>
  <c r="AH102" i="1" s="1"/>
  <c r="AB102" i="1"/>
  <c r="AA102" i="1"/>
  <c r="O102" i="1"/>
  <c r="P102" i="1" s="1"/>
  <c r="N102" i="1"/>
  <c r="M102" i="1"/>
  <c r="L102" i="1"/>
  <c r="AG101" i="1"/>
  <c r="AF101" i="1"/>
  <c r="AC101" i="1"/>
  <c r="AH101" i="1" s="1"/>
  <c r="AB101" i="1"/>
  <c r="AA101" i="1"/>
  <c r="O101" i="1"/>
  <c r="P101" i="1" s="1"/>
  <c r="N101" i="1"/>
  <c r="M101" i="1"/>
  <c r="L101" i="1"/>
  <c r="AF100" i="1"/>
  <c r="AG100" i="1" s="1"/>
  <c r="AC100" i="1"/>
  <c r="AH100" i="1" s="1"/>
  <c r="AB100" i="1"/>
  <c r="AD100" i="1" s="1"/>
  <c r="AA100" i="1"/>
  <c r="P100" i="1"/>
  <c r="O100" i="1"/>
  <c r="N100" i="1"/>
  <c r="M100" i="1"/>
  <c r="L100" i="1"/>
  <c r="AG99" i="1"/>
  <c r="AF99" i="1"/>
  <c r="AC99" i="1"/>
  <c r="AH99" i="1" s="1"/>
  <c r="AB99" i="1"/>
  <c r="AA99" i="1"/>
  <c r="P99" i="1"/>
  <c r="O99" i="1"/>
  <c r="N99" i="1"/>
  <c r="M99" i="1"/>
  <c r="L99" i="1"/>
  <c r="AG98" i="1"/>
  <c r="AF98" i="1"/>
  <c r="AC98" i="1"/>
  <c r="AH98" i="1" s="1"/>
  <c r="AB98" i="1"/>
  <c r="AD98" i="1" s="1"/>
  <c r="AA98" i="1"/>
  <c r="O98" i="1"/>
  <c r="P98" i="1" s="1"/>
  <c r="N98" i="1"/>
  <c r="M98" i="1"/>
  <c r="L98" i="1"/>
  <c r="AF97" i="1"/>
  <c r="AG97" i="1" s="1"/>
  <c r="AD97" i="1"/>
  <c r="AC97" i="1"/>
  <c r="AH97" i="1" s="1"/>
  <c r="AB97" i="1"/>
  <c r="AA97" i="1"/>
  <c r="P97" i="1"/>
  <c r="O97" i="1"/>
  <c r="N97" i="1"/>
  <c r="M97" i="1"/>
  <c r="L97" i="1"/>
  <c r="AF96" i="1"/>
  <c r="AG96" i="1" s="1"/>
  <c r="AC96" i="1"/>
  <c r="AH96" i="1" s="1"/>
  <c r="AB96" i="1"/>
  <c r="AA96" i="1"/>
  <c r="O96" i="1"/>
  <c r="P96" i="1" s="1"/>
  <c r="N96" i="1"/>
  <c r="M96" i="1"/>
  <c r="L96" i="1"/>
  <c r="AH95" i="1"/>
  <c r="AG95" i="1"/>
  <c r="AF95" i="1"/>
  <c r="AD95" i="1"/>
  <c r="AC95" i="1"/>
  <c r="AB95" i="1"/>
  <c r="AA95" i="1"/>
  <c r="O95" i="1"/>
  <c r="P95" i="1" s="1"/>
  <c r="N95" i="1"/>
  <c r="M95" i="1"/>
  <c r="L95" i="1"/>
  <c r="AF94" i="1"/>
  <c r="AG94" i="1" s="1"/>
  <c r="AC94" i="1"/>
  <c r="AH94" i="1" s="1"/>
  <c r="AB94" i="1"/>
  <c r="AD94" i="1" s="1"/>
  <c r="AA94" i="1"/>
  <c r="P94" i="1"/>
  <c r="O94" i="1"/>
  <c r="N94" i="1"/>
  <c r="M94" i="1"/>
  <c r="L94" i="1"/>
  <c r="AF93" i="1"/>
  <c r="AG93" i="1" s="1"/>
  <c r="AC93" i="1"/>
  <c r="AD93" i="1" s="1"/>
  <c r="AB93" i="1"/>
  <c r="AA93" i="1"/>
  <c r="O93" i="1"/>
  <c r="P93" i="1" s="1"/>
  <c r="N93" i="1"/>
  <c r="M93" i="1"/>
  <c r="L93" i="1"/>
  <c r="AG92" i="1"/>
  <c r="AF92" i="1"/>
  <c r="AC92" i="1"/>
  <c r="AH92" i="1" s="1"/>
  <c r="AB92" i="1"/>
  <c r="AD92" i="1" s="1"/>
  <c r="AA92" i="1"/>
  <c r="P92" i="1"/>
  <c r="O92" i="1"/>
  <c r="N92" i="1"/>
  <c r="M92" i="1"/>
  <c r="L92" i="1"/>
  <c r="AF91" i="1"/>
  <c r="AG91" i="1" s="1"/>
  <c r="AC91" i="1"/>
  <c r="AH91" i="1" s="1"/>
  <c r="AB91" i="1"/>
  <c r="AD91" i="1" s="1"/>
  <c r="AA91" i="1"/>
  <c r="P91" i="1"/>
  <c r="O91" i="1"/>
  <c r="N91" i="1"/>
  <c r="M91" i="1"/>
  <c r="L91" i="1"/>
  <c r="AH90" i="1"/>
  <c r="AG90" i="1"/>
  <c r="AF90" i="1"/>
  <c r="AC90" i="1"/>
  <c r="AD90" i="1" s="1"/>
  <c r="AB90" i="1"/>
  <c r="AA90" i="1"/>
  <c r="O90" i="1"/>
  <c r="P90" i="1" s="1"/>
  <c r="N90" i="1"/>
  <c r="M90" i="1"/>
  <c r="L90" i="1"/>
  <c r="AH89" i="1"/>
  <c r="AG89" i="1"/>
  <c r="AF89" i="1"/>
  <c r="AC89" i="1"/>
  <c r="AB89" i="1"/>
  <c r="AD89" i="1" s="1"/>
  <c r="AA89" i="1"/>
  <c r="O89" i="1"/>
  <c r="P89" i="1" s="1"/>
  <c r="N89" i="1"/>
  <c r="M89" i="1"/>
  <c r="L89" i="1"/>
  <c r="AF88" i="1"/>
  <c r="AG88" i="1" s="1"/>
  <c r="AC88" i="1"/>
  <c r="AH88" i="1" s="1"/>
  <c r="AB88" i="1"/>
  <c r="AA88" i="1"/>
  <c r="P88" i="1"/>
  <c r="O88" i="1"/>
  <c r="N88" i="1"/>
  <c r="M88" i="1"/>
  <c r="L88" i="1"/>
  <c r="AH87" i="1"/>
  <c r="AF87" i="1"/>
  <c r="AG87" i="1" s="1"/>
  <c r="AD87" i="1"/>
  <c r="AC87" i="1"/>
  <c r="AB87" i="1"/>
  <c r="AA87" i="1"/>
  <c r="O87" i="1"/>
  <c r="P87" i="1" s="1"/>
  <c r="N87" i="1"/>
  <c r="M87" i="1"/>
  <c r="L87" i="1"/>
  <c r="AH86" i="1"/>
  <c r="AG86" i="1"/>
  <c r="AF86" i="1"/>
  <c r="AD86" i="1"/>
  <c r="AC86" i="1"/>
  <c r="AB86" i="1"/>
  <c r="AA86" i="1"/>
  <c r="O86" i="1"/>
  <c r="P86" i="1" s="1"/>
  <c r="N86" i="1"/>
  <c r="M86" i="1"/>
  <c r="L86" i="1"/>
  <c r="AF85" i="1"/>
  <c r="AG85" i="1" s="1"/>
  <c r="AC85" i="1"/>
  <c r="AH85" i="1" s="1"/>
  <c r="AB85" i="1"/>
  <c r="AD85" i="1" s="1"/>
  <c r="AA85" i="1"/>
  <c r="P85" i="1"/>
  <c r="O85" i="1"/>
  <c r="N85" i="1"/>
  <c r="M85" i="1"/>
  <c r="L85" i="1"/>
  <c r="AF84" i="1"/>
  <c r="AG84" i="1" s="1"/>
  <c r="AC84" i="1"/>
  <c r="AH84" i="1" s="1"/>
  <c r="AB84" i="1"/>
  <c r="AA84" i="1"/>
  <c r="O84" i="1"/>
  <c r="P84" i="1" s="1"/>
  <c r="N84" i="1"/>
  <c r="M84" i="1"/>
  <c r="L84" i="1"/>
  <c r="AG83" i="1"/>
  <c r="AF83" i="1"/>
  <c r="AC83" i="1"/>
  <c r="AB83" i="1"/>
  <c r="AA83" i="1"/>
  <c r="O83" i="1"/>
  <c r="P83" i="1" s="1"/>
  <c r="N83" i="1"/>
  <c r="M83" i="1"/>
  <c r="L83" i="1"/>
  <c r="AG82" i="1"/>
  <c r="AF82" i="1"/>
  <c r="AC82" i="1"/>
  <c r="AH82" i="1" s="1"/>
  <c r="AB82" i="1"/>
  <c r="AD82" i="1" s="1"/>
  <c r="AA82" i="1"/>
  <c r="P82" i="1"/>
  <c r="O82" i="1"/>
  <c r="N82" i="1"/>
  <c r="M82" i="1"/>
  <c r="L82" i="1"/>
  <c r="AF81" i="1"/>
  <c r="AG81" i="1" s="1"/>
  <c r="AD81" i="1"/>
  <c r="AC81" i="1"/>
  <c r="AH81" i="1" s="1"/>
  <c r="AB81" i="1"/>
  <c r="AA81" i="1"/>
  <c r="O81" i="1"/>
  <c r="P81" i="1" s="1"/>
  <c r="N81" i="1"/>
  <c r="M81" i="1"/>
  <c r="L81" i="1"/>
  <c r="AH80" i="1"/>
  <c r="AG80" i="1"/>
  <c r="AF80" i="1"/>
  <c r="AC80" i="1"/>
  <c r="AB80" i="1"/>
  <c r="AD80" i="1" s="1"/>
  <c r="AA80" i="1"/>
  <c r="O80" i="1"/>
  <c r="P80" i="1" s="1"/>
  <c r="N80" i="1"/>
  <c r="M80" i="1"/>
  <c r="L80" i="1"/>
  <c r="AF79" i="1"/>
  <c r="AG79" i="1" s="1"/>
  <c r="AC79" i="1"/>
  <c r="AH79" i="1" s="1"/>
  <c r="AB79" i="1"/>
  <c r="AA79" i="1"/>
  <c r="P79" i="1"/>
  <c r="O79" i="1"/>
  <c r="N79" i="1"/>
  <c r="M79" i="1"/>
  <c r="L79" i="1"/>
  <c r="AF78" i="1"/>
  <c r="AG78" i="1" s="1"/>
  <c r="AC78" i="1"/>
  <c r="AB78" i="1"/>
  <c r="AA78" i="1"/>
  <c r="O78" i="1"/>
  <c r="P78" i="1" s="1"/>
  <c r="N78" i="1"/>
  <c r="M78" i="1"/>
  <c r="L78" i="1"/>
  <c r="AG77" i="1"/>
  <c r="AF77" i="1"/>
  <c r="AC77" i="1"/>
  <c r="AH77" i="1" s="1"/>
  <c r="AB77" i="1"/>
  <c r="AD77" i="1" s="1"/>
  <c r="AA77" i="1"/>
  <c r="O77" i="1"/>
  <c r="P77" i="1" s="1"/>
  <c r="N77" i="1"/>
  <c r="M77" i="1"/>
  <c r="L77" i="1"/>
  <c r="AF76" i="1"/>
  <c r="AG76" i="1" s="1"/>
  <c r="AC76" i="1"/>
  <c r="AH76" i="1" s="1"/>
  <c r="AB76" i="1"/>
  <c r="AD76" i="1" s="1"/>
  <c r="AA76" i="1"/>
  <c r="P76" i="1"/>
  <c r="O76" i="1"/>
  <c r="N76" i="1"/>
  <c r="M76" i="1"/>
  <c r="L76" i="1"/>
  <c r="AH75" i="1"/>
  <c r="AG75" i="1"/>
  <c r="AF75" i="1"/>
  <c r="AC75" i="1"/>
  <c r="AD75" i="1" s="1"/>
  <c r="AB75" i="1"/>
  <c r="AA75" i="1"/>
  <c r="O75" i="1"/>
  <c r="P75" i="1" s="1"/>
  <c r="N75" i="1"/>
  <c r="M75" i="1"/>
  <c r="L75" i="1"/>
  <c r="AH74" i="1"/>
  <c r="AG74" i="1"/>
  <c r="AF74" i="1"/>
  <c r="AD74" i="1"/>
  <c r="AC74" i="1"/>
  <c r="AB74" i="1"/>
  <c r="AA74" i="1"/>
  <c r="P74" i="1"/>
  <c r="O74" i="1"/>
  <c r="N74" i="1"/>
  <c r="M74" i="1"/>
  <c r="L74" i="1"/>
  <c r="AF73" i="1"/>
  <c r="AG73" i="1" s="1"/>
  <c r="AC73" i="1"/>
  <c r="AH73" i="1" s="1"/>
  <c r="AB73" i="1"/>
  <c r="AA73" i="1"/>
  <c r="P73" i="1"/>
  <c r="O73" i="1"/>
  <c r="N73" i="1"/>
  <c r="M73" i="1"/>
  <c r="L73" i="1"/>
  <c r="AH72" i="1"/>
  <c r="AF72" i="1"/>
  <c r="AG72" i="1" s="1"/>
  <c r="AC72" i="1"/>
  <c r="AD72" i="1" s="1"/>
  <c r="AB72" i="1"/>
  <c r="AA72" i="1"/>
  <c r="O72" i="1"/>
  <c r="P72" i="1" s="1"/>
  <c r="N72" i="1"/>
  <c r="M72" i="1"/>
  <c r="L72" i="1"/>
  <c r="AG71" i="1"/>
  <c r="AF71" i="1"/>
  <c r="AC71" i="1"/>
  <c r="AH71" i="1" s="1"/>
  <c r="AB71" i="1"/>
  <c r="AA71" i="1"/>
  <c r="O71" i="1"/>
  <c r="P71" i="1" s="1"/>
  <c r="N71" i="1"/>
  <c r="M71" i="1"/>
  <c r="L71" i="1"/>
  <c r="AF70" i="1"/>
  <c r="AG70" i="1" s="1"/>
  <c r="AC70" i="1"/>
  <c r="AH70" i="1" s="1"/>
  <c r="AB70" i="1"/>
  <c r="AA70" i="1"/>
  <c r="P70" i="1"/>
  <c r="O70" i="1"/>
  <c r="N70" i="1"/>
  <c r="M70" i="1"/>
  <c r="L70" i="1"/>
  <c r="AH69" i="1"/>
  <c r="AF69" i="1"/>
  <c r="AG69" i="1" s="1"/>
  <c r="AD69" i="1"/>
  <c r="AC69" i="1"/>
  <c r="AB69" i="1"/>
  <c r="AA69" i="1"/>
  <c r="O69" i="1"/>
  <c r="P69" i="1" s="1"/>
  <c r="N69" i="1"/>
  <c r="M69" i="1"/>
  <c r="L69" i="1"/>
  <c r="AG68" i="1"/>
  <c r="AF68" i="1"/>
  <c r="AC68" i="1"/>
  <c r="AH68" i="1" s="1"/>
  <c r="AB68" i="1"/>
  <c r="AD68" i="1" s="1"/>
  <c r="AA68" i="1"/>
  <c r="O68" i="1"/>
  <c r="P68" i="1" s="1"/>
  <c r="N68" i="1"/>
  <c r="M68" i="1"/>
  <c r="L68" i="1"/>
  <c r="AG67" i="1"/>
  <c r="AF67" i="1"/>
  <c r="AC67" i="1"/>
  <c r="AH67" i="1" s="1"/>
  <c r="AB67" i="1"/>
  <c r="AD67" i="1" s="1"/>
  <c r="AA67" i="1"/>
  <c r="P67" i="1"/>
  <c r="O67" i="1"/>
  <c r="N67" i="1"/>
  <c r="M67" i="1"/>
  <c r="L67" i="1"/>
  <c r="AH66" i="1"/>
  <c r="AG66" i="1"/>
  <c r="AF66" i="1"/>
  <c r="AC66" i="1"/>
  <c r="AD66" i="1" s="1"/>
  <c r="AB66" i="1"/>
  <c r="AA66" i="1"/>
  <c r="P66" i="1"/>
  <c r="O66" i="1"/>
  <c r="N66" i="1"/>
  <c r="M66" i="1"/>
  <c r="L66" i="1"/>
  <c r="AG65" i="1"/>
  <c r="AF65" i="1"/>
  <c r="AC65" i="1"/>
  <c r="AD65" i="1" s="1"/>
  <c r="AB65" i="1"/>
  <c r="AA65" i="1"/>
  <c r="P65" i="1"/>
  <c r="O65" i="1"/>
  <c r="N65" i="1"/>
  <c r="M65" i="1"/>
  <c r="L65" i="1"/>
  <c r="AF64" i="1"/>
  <c r="AG64" i="1" s="1"/>
  <c r="AC64" i="1"/>
  <c r="AH64" i="1" s="1"/>
  <c r="AB64" i="1"/>
  <c r="AD64" i="1" s="1"/>
  <c r="AA64" i="1"/>
  <c r="P64" i="1"/>
  <c r="O64" i="1"/>
  <c r="N64" i="1"/>
  <c r="M64" i="1"/>
  <c r="L64" i="1"/>
  <c r="AH63" i="1"/>
  <c r="AG63" i="1"/>
  <c r="AF63" i="1"/>
  <c r="AD63" i="1"/>
  <c r="AC63" i="1"/>
  <c r="AB63" i="1"/>
  <c r="AA63" i="1"/>
  <c r="O63" i="1"/>
  <c r="P63" i="1" s="1"/>
  <c r="N63" i="1"/>
  <c r="M63" i="1"/>
  <c r="L63" i="1"/>
  <c r="AG62" i="1"/>
  <c r="AF62" i="1"/>
  <c r="AD62" i="1"/>
  <c r="AC62" i="1"/>
  <c r="AH62" i="1" s="1"/>
  <c r="AB62" i="1"/>
  <c r="AA62" i="1"/>
  <c r="O62" i="1"/>
  <c r="P62" i="1" s="1"/>
  <c r="N62" i="1"/>
  <c r="M62" i="1"/>
  <c r="L62" i="1"/>
  <c r="AF61" i="1"/>
  <c r="AG61" i="1" s="1"/>
  <c r="AC61" i="1"/>
  <c r="AH61" i="1" s="1"/>
  <c r="AB61" i="1"/>
  <c r="AD61" i="1" s="1"/>
  <c r="AA61" i="1"/>
  <c r="P61" i="1"/>
  <c r="O61" i="1"/>
  <c r="N61" i="1"/>
  <c r="M61" i="1"/>
  <c r="L61" i="1"/>
  <c r="AH60" i="1"/>
  <c r="AF60" i="1"/>
  <c r="AG60" i="1" s="1"/>
  <c r="AC60" i="1"/>
  <c r="AD60" i="1" s="1"/>
  <c r="AB60" i="1"/>
  <c r="AA60" i="1"/>
  <c r="O60" i="1"/>
  <c r="P60" i="1" s="1"/>
  <c r="N60" i="1"/>
  <c r="M60" i="1"/>
  <c r="L60" i="1"/>
  <c r="AG59" i="1"/>
  <c r="AF59" i="1"/>
  <c r="AC59" i="1"/>
  <c r="AH59" i="1" s="1"/>
  <c r="AB59" i="1"/>
  <c r="AD59" i="1" s="1"/>
  <c r="AA59" i="1"/>
  <c r="P59" i="1"/>
  <c r="O59" i="1"/>
  <c r="N59" i="1"/>
  <c r="M59" i="1"/>
  <c r="L59" i="1"/>
  <c r="AG58" i="1"/>
  <c r="AF58" i="1"/>
  <c r="AC58" i="1"/>
  <c r="AH58" i="1" s="1"/>
  <c r="AB58" i="1"/>
  <c r="AD58" i="1" s="1"/>
  <c r="AA58" i="1"/>
  <c r="P58" i="1"/>
  <c r="O58" i="1"/>
  <c r="N58" i="1"/>
  <c r="M58" i="1"/>
  <c r="L58" i="1"/>
  <c r="AH57" i="1"/>
  <c r="AF57" i="1"/>
  <c r="AG57" i="1" s="1"/>
  <c r="AD57" i="1"/>
  <c r="AC57" i="1"/>
  <c r="AB57" i="1"/>
  <c r="AA57" i="1"/>
  <c r="P57" i="1"/>
  <c r="O57" i="1"/>
  <c r="N57" i="1"/>
  <c r="M57" i="1"/>
  <c r="L57" i="1"/>
  <c r="AH56" i="1"/>
  <c r="AG56" i="1"/>
  <c r="AF56" i="1"/>
  <c r="AC56" i="1"/>
  <c r="AB56" i="1"/>
  <c r="AD56" i="1" s="1"/>
  <c r="AA56" i="1"/>
  <c r="O56" i="1"/>
  <c r="P56" i="1" s="1"/>
  <c r="N56" i="1"/>
  <c r="M56" i="1"/>
  <c r="L56" i="1"/>
  <c r="AF55" i="1"/>
  <c r="AG55" i="1" s="1"/>
  <c r="AC55" i="1"/>
  <c r="AH55" i="1" s="1"/>
  <c r="AB55" i="1"/>
  <c r="AD55" i="1" s="1"/>
  <c r="AA55" i="1"/>
  <c r="P55" i="1"/>
  <c r="O55" i="1"/>
  <c r="N55" i="1"/>
  <c r="M55" i="1"/>
  <c r="L55" i="1"/>
  <c r="AF54" i="1"/>
  <c r="AG54" i="1" s="1"/>
  <c r="AC54" i="1"/>
  <c r="AH54" i="1" s="1"/>
  <c r="AB54" i="1"/>
  <c r="AA54" i="1"/>
  <c r="O54" i="1"/>
  <c r="P54" i="1" s="1"/>
  <c r="N54" i="1"/>
  <c r="M54" i="1"/>
  <c r="L54" i="1"/>
  <c r="AG53" i="1"/>
  <c r="AF53" i="1"/>
  <c r="AC53" i="1"/>
  <c r="AH53" i="1" s="1"/>
  <c r="AB53" i="1"/>
  <c r="AD53" i="1" s="1"/>
  <c r="AA53" i="1"/>
  <c r="O53" i="1"/>
  <c r="P53" i="1" s="1"/>
  <c r="N53" i="1"/>
  <c r="M53" i="1"/>
  <c r="L53" i="1"/>
  <c r="AF52" i="1"/>
  <c r="AG52" i="1" s="1"/>
  <c r="AD52" i="1"/>
  <c r="AC52" i="1"/>
  <c r="AH52" i="1" s="1"/>
  <c r="AB52" i="1"/>
  <c r="AA52" i="1"/>
  <c r="P52" i="1"/>
  <c r="O52" i="1"/>
  <c r="N52" i="1"/>
  <c r="M52" i="1"/>
  <c r="L52" i="1"/>
  <c r="AF51" i="1"/>
  <c r="AG51" i="1" s="1"/>
  <c r="AC51" i="1"/>
  <c r="AB51" i="1"/>
  <c r="AA51" i="1"/>
  <c r="O51" i="1"/>
  <c r="P51" i="1" s="1"/>
  <c r="N51" i="1"/>
  <c r="M51" i="1"/>
  <c r="L51" i="1"/>
  <c r="AG50" i="1"/>
  <c r="AF50" i="1"/>
  <c r="AC50" i="1"/>
  <c r="AH50" i="1" s="1"/>
  <c r="AB50" i="1"/>
  <c r="AD50" i="1" s="1"/>
  <c r="AA50" i="1"/>
  <c r="O50" i="1"/>
  <c r="P50" i="1" s="1"/>
  <c r="N50" i="1"/>
  <c r="M50" i="1"/>
  <c r="L50" i="1"/>
  <c r="AG49" i="1"/>
  <c r="AF49" i="1"/>
  <c r="AC49" i="1"/>
  <c r="AH49" i="1" s="1"/>
  <c r="AB49" i="1"/>
  <c r="AA49" i="1"/>
  <c r="P49" i="1"/>
  <c r="O49" i="1"/>
  <c r="N49" i="1"/>
  <c r="M49" i="1"/>
  <c r="L49" i="1"/>
  <c r="AG48" i="1"/>
  <c r="AF48" i="1"/>
  <c r="AC48" i="1"/>
  <c r="AH48" i="1" s="1"/>
  <c r="AB48" i="1"/>
  <c r="AA48" i="1"/>
  <c r="P48" i="1"/>
  <c r="O48" i="1"/>
  <c r="N48" i="1"/>
  <c r="M48" i="1"/>
  <c r="L48" i="1"/>
  <c r="AG47" i="1"/>
  <c r="AF47" i="1"/>
  <c r="AC47" i="1"/>
  <c r="AH47" i="1" s="1"/>
  <c r="AB47" i="1"/>
  <c r="AD47" i="1" s="1"/>
  <c r="AA47" i="1"/>
  <c r="O47" i="1"/>
  <c r="P47" i="1" s="1"/>
  <c r="N47" i="1"/>
  <c r="M47" i="1"/>
  <c r="L47" i="1"/>
  <c r="AF46" i="1"/>
  <c r="AG46" i="1" s="1"/>
  <c r="AC46" i="1"/>
  <c r="AH46" i="1" s="1"/>
  <c r="AB46" i="1"/>
  <c r="AD46" i="1" s="1"/>
  <c r="AA46" i="1"/>
  <c r="P46" i="1"/>
  <c r="O46" i="1"/>
  <c r="N46" i="1"/>
  <c r="M46" i="1"/>
  <c r="L46" i="1"/>
  <c r="AH45" i="1"/>
  <c r="AF45" i="1"/>
  <c r="AG45" i="1" s="1"/>
  <c r="AD45" i="1"/>
  <c r="AC45" i="1"/>
  <c r="AB45" i="1"/>
  <c r="AA45" i="1"/>
  <c r="O45" i="1"/>
  <c r="P45" i="1" s="1"/>
  <c r="N45" i="1"/>
  <c r="M45" i="1"/>
  <c r="L45" i="1"/>
  <c r="AG44" i="1"/>
  <c r="AF44" i="1"/>
  <c r="AD44" i="1"/>
  <c r="AC44" i="1"/>
  <c r="AH44" i="1" s="1"/>
  <c r="AB44" i="1"/>
  <c r="AA44" i="1"/>
  <c r="O44" i="1"/>
  <c r="P44" i="1" s="1"/>
  <c r="N44" i="1"/>
  <c r="M44" i="1"/>
  <c r="L44" i="1"/>
  <c r="AF43" i="1"/>
  <c r="AG43" i="1" s="1"/>
  <c r="AC43" i="1"/>
  <c r="AH43" i="1" s="1"/>
  <c r="AB43" i="1"/>
  <c r="AA43" i="1"/>
  <c r="P43" i="1"/>
  <c r="O43" i="1"/>
  <c r="N43" i="1"/>
  <c r="M43" i="1"/>
  <c r="L43" i="1"/>
  <c r="AF42" i="1"/>
  <c r="AG42" i="1" s="1"/>
  <c r="AC42" i="1"/>
  <c r="AH42" i="1" s="1"/>
  <c r="AB42" i="1"/>
  <c r="AA42" i="1"/>
  <c r="O42" i="1"/>
  <c r="P42" i="1" s="1"/>
  <c r="N42" i="1"/>
  <c r="M42" i="1"/>
  <c r="L42" i="1"/>
  <c r="AG41" i="1"/>
  <c r="AF41" i="1"/>
  <c r="AD41" i="1"/>
  <c r="AC41" i="1"/>
  <c r="AH41" i="1" s="1"/>
  <c r="AB41" i="1"/>
  <c r="AA41" i="1"/>
  <c r="O41" i="1"/>
  <c r="P41" i="1" s="1"/>
  <c r="N41" i="1"/>
  <c r="M41" i="1"/>
  <c r="L41" i="1"/>
  <c r="AF40" i="1"/>
  <c r="AG40" i="1" s="1"/>
  <c r="AC40" i="1"/>
  <c r="AH40" i="1" s="1"/>
  <c r="AB40" i="1"/>
  <c r="AD40" i="1" s="1"/>
  <c r="AA40" i="1"/>
  <c r="P40" i="1"/>
  <c r="O40" i="1"/>
  <c r="N40" i="1"/>
  <c r="M40" i="1"/>
  <c r="L40" i="1"/>
  <c r="AF39" i="1"/>
  <c r="AG39" i="1" s="1"/>
  <c r="AC39" i="1"/>
  <c r="AD39" i="1" s="1"/>
  <c r="AB39" i="1"/>
  <c r="AA39" i="1"/>
  <c r="O39" i="1"/>
  <c r="P39" i="1" s="1"/>
  <c r="N39" i="1"/>
  <c r="M39" i="1"/>
  <c r="L39" i="1"/>
  <c r="AH38" i="1"/>
  <c r="AG38" i="1"/>
  <c r="AF38" i="1"/>
  <c r="AC38" i="1"/>
  <c r="AB38" i="1"/>
  <c r="AD38" i="1" s="1"/>
  <c r="AA38" i="1"/>
  <c r="P38" i="1"/>
  <c r="O38" i="1"/>
  <c r="N38" i="1"/>
  <c r="M38" i="1"/>
  <c r="L38" i="1"/>
  <c r="AF37" i="1"/>
  <c r="AG37" i="1" s="1"/>
  <c r="AC37" i="1"/>
  <c r="AH37" i="1" s="1"/>
  <c r="AB37" i="1"/>
  <c r="AD37" i="1" s="1"/>
  <c r="AA37" i="1"/>
  <c r="P37" i="1"/>
  <c r="O37" i="1"/>
  <c r="N37" i="1"/>
  <c r="M37" i="1"/>
  <c r="L37" i="1"/>
  <c r="AH36" i="1"/>
  <c r="AG36" i="1"/>
  <c r="AF36" i="1"/>
  <c r="AC36" i="1"/>
  <c r="AD36" i="1" s="1"/>
  <c r="AB36" i="1"/>
  <c r="AA36" i="1"/>
  <c r="O36" i="1"/>
  <c r="P36" i="1" s="1"/>
  <c r="N36" i="1"/>
  <c r="M36" i="1"/>
  <c r="L36" i="1"/>
  <c r="AH35" i="1"/>
  <c r="AG35" i="1"/>
  <c r="AF35" i="1"/>
  <c r="AC35" i="1"/>
  <c r="AB35" i="1"/>
  <c r="AD35" i="1" s="1"/>
  <c r="AA35" i="1"/>
  <c r="P35" i="1"/>
  <c r="O35" i="1"/>
  <c r="N35" i="1"/>
  <c r="M35" i="1"/>
  <c r="L35" i="1"/>
  <c r="AF34" i="1"/>
  <c r="AG34" i="1" s="1"/>
  <c r="AC34" i="1"/>
  <c r="AH34" i="1" s="1"/>
  <c r="AB34" i="1"/>
  <c r="AA34" i="1"/>
  <c r="P34" i="1"/>
  <c r="O34" i="1"/>
  <c r="N34" i="1"/>
  <c r="M34" i="1"/>
  <c r="L34" i="1"/>
  <c r="AH33" i="1"/>
  <c r="AF33" i="1"/>
  <c r="AG33" i="1" s="1"/>
  <c r="AD33" i="1"/>
  <c r="AC33" i="1"/>
  <c r="AB33" i="1"/>
  <c r="AA33" i="1"/>
  <c r="O33" i="1"/>
  <c r="P33" i="1" s="1"/>
  <c r="N33" i="1"/>
  <c r="M33" i="1"/>
  <c r="L33" i="1"/>
  <c r="AH32" i="1"/>
  <c r="AG32" i="1"/>
  <c r="AF32" i="1"/>
  <c r="AD32" i="1"/>
  <c r="AC32" i="1"/>
  <c r="AB32" i="1"/>
  <c r="AA32" i="1"/>
  <c r="O32" i="1"/>
  <c r="P32" i="1" s="1"/>
  <c r="N32" i="1"/>
  <c r="M32" i="1"/>
  <c r="L32" i="1"/>
  <c r="AF31" i="1"/>
  <c r="AG31" i="1" s="1"/>
  <c r="AC31" i="1"/>
  <c r="AH31" i="1" s="1"/>
  <c r="AB31" i="1"/>
  <c r="AD31" i="1" s="1"/>
  <c r="AA31" i="1"/>
  <c r="P31" i="1"/>
  <c r="O31" i="1"/>
  <c r="N31" i="1"/>
  <c r="M31" i="1"/>
  <c r="L31" i="1"/>
  <c r="AF30" i="1"/>
  <c r="AG30" i="1" s="1"/>
  <c r="AD30" i="1"/>
  <c r="AC30" i="1"/>
  <c r="AH30" i="1" s="1"/>
  <c r="AB30" i="1"/>
  <c r="AA30" i="1"/>
  <c r="O30" i="1"/>
  <c r="P30" i="1" s="1"/>
  <c r="N30" i="1"/>
  <c r="M30" i="1"/>
  <c r="L30" i="1"/>
  <c r="AB29" i="1"/>
  <c r="AA29" i="1"/>
  <c r="N29" i="1"/>
  <c r="M29" i="1"/>
  <c r="L29" i="1"/>
  <c r="AB28" i="1"/>
  <c r="AA28" i="1"/>
  <c r="N28" i="1"/>
  <c r="M28" i="1"/>
  <c r="L28" i="1"/>
  <c r="AB27" i="1"/>
  <c r="AA27" i="1"/>
  <c r="N27" i="1"/>
  <c r="M27" i="1"/>
  <c r="L27" i="1"/>
  <c r="AB26" i="1"/>
  <c r="AA26" i="1"/>
  <c r="N26" i="1"/>
  <c r="M26" i="1"/>
  <c r="L26" i="1"/>
  <c r="AB25" i="1"/>
  <c r="AA25" i="1"/>
  <c r="N25" i="1"/>
  <c r="M25" i="1"/>
  <c r="L25" i="1"/>
  <c r="AB24" i="1"/>
  <c r="AA24" i="1"/>
  <c r="N24" i="1"/>
  <c r="M24" i="1"/>
  <c r="L24" i="1"/>
  <c r="AB23" i="1"/>
  <c r="AA23" i="1"/>
  <c r="N23" i="1"/>
  <c r="M23" i="1"/>
  <c r="L23" i="1"/>
  <c r="AB22" i="1"/>
  <c r="AA22" i="1"/>
  <c r="N22" i="1"/>
  <c r="M22" i="1"/>
  <c r="L22" i="1"/>
  <c r="AB21" i="1"/>
  <c r="AA21" i="1"/>
  <c r="N21" i="1"/>
  <c r="M21" i="1"/>
  <c r="L21" i="1"/>
  <c r="AB20" i="1"/>
  <c r="AA20" i="1"/>
  <c r="N20" i="1"/>
  <c r="M20" i="1"/>
  <c r="L20" i="1"/>
  <c r="AB19" i="1"/>
  <c r="AA19" i="1"/>
  <c r="N19" i="1"/>
  <c r="M19" i="1"/>
  <c r="L19" i="1"/>
  <c r="AB18" i="1"/>
  <c r="AA18" i="1"/>
  <c r="N18" i="1"/>
  <c r="M18" i="1"/>
  <c r="L18" i="1"/>
  <c r="AB17" i="1"/>
  <c r="AA17" i="1"/>
  <c r="N17" i="1"/>
  <c r="M17" i="1"/>
  <c r="L17" i="1"/>
  <c r="AB16" i="1"/>
  <c r="AA16" i="1"/>
  <c r="N16" i="1"/>
  <c r="M16" i="1"/>
  <c r="L16" i="1"/>
  <c r="AB15" i="1"/>
  <c r="AA15" i="1"/>
  <c r="N15" i="1"/>
  <c r="M15" i="1"/>
  <c r="L15" i="1"/>
  <c r="AB14" i="1"/>
  <c r="AA14" i="1"/>
  <c r="N14" i="1"/>
  <c r="M14" i="1"/>
  <c r="L14" i="1"/>
  <c r="AB13" i="1"/>
  <c r="AA13" i="1"/>
  <c r="N13" i="1"/>
  <c r="M13" i="1"/>
  <c r="L13" i="1"/>
  <c r="AB12" i="1"/>
  <c r="AA12" i="1"/>
  <c r="N12" i="1"/>
  <c r="M12" i="1"/>
  <c r="L12" i="1"/>
  <c r="AB11" i="1"/>
  <c r="AA11" i="1"/>
  <c r="N11" i="1"/>
  <c r="M11" i="1"/>
  <c r="L11" i="1"/>
  <c r="AB10" i="1"/>
  <c r="AA10" i="1"/>
  <c r="N10" i="1"/>
  <c r="M10" i="1"/>
  <c r="L10" i="1"/>
  <c r="AB9" i="1"/>
  <c r="AA9" i="1"/>
  <c r="N9" i="1"/>
  <c r="M9" i="1"/>
  <c r="L9" i="1"/>
  <c r="AB8" i="1"/>
  <c r="AA8" i="1"/>
  <c r="N8" i="1"/>
  <c r="M8" i="1"/>
  <c r="L8" i="1"/>
  <c r="AA7" i="1"/>
  <c r="M7" i="1"/>
  <c r="L7" i="1"/>
  <c r="AA6" i="1"/>
  <c r="M6" i="1"/>
  <c r="L6" i="1"/>
  <c r="AA5" i="1"/>
  <c r="M5" i="1"/>
  <c r="L5" i="1"/>
  <c r="AA4" i="1"/>
  <c r="M4" i="1"/>
  <c r="L4" i="1"/>
  <c r="AA3" i="1"/>
  <c r="M3" i="1"/>
  <c r="L3" i="1"/>
  <c r="L2" i="1"/>
  <c r="AD71" i="1" l="1"/>
  <c r="AD102" i="1"/>
  <c r="AD207" i="1"/>
  <c r="AH422" i="1"/>
  <c r="AD422" i="1"/>
  <c r="AD73" i="1"/>
  <c r="AD599" i="1"/>
  <c r="AD84" i="1"/>
  <c r="AD200" i="1"/>
  <c r="AD262" i="1"/>
  <c r="AD299" i="1"/>
  <c r="AD353" i="1"/>
  <c r="AD377" i="1"/>
  <c r="AD382" i="1"/>
  <c r="AH415" i="1"/>
  <c r="AD534" i="1"/>
  <c r="AD693" i="1"/>
  <c r="AD150" i="1"/>
  <c r="AD255" i="1"/>
  <c r="AH404" i="1"/>
  <c r="AD404" i="1"/>
  <c r="AD482" i="1"/>
  <c r="AD111" i="1"/>
  <c r="AD145" i="1"/>
  <c r="AD174" i="1"/>
  <c r="AD216" i="1"/>
  <c r="AD755" i="1"/>
  <c r="AD70" i="1"/>
  <c r="AD79" i="1"/>
  <c r="AD223" i="1"/>
  <c r="AD257" i="1"/>
  <c r="AD741" i="1"/>
  <c r="AD795" i="1"/>
  <c r="AD851" i="1"/>
  <c r="AH851" i="1"/>
  <c r="AD865" i="1"/>
  <c r="AD289" i="1"/>
  <c r="AD374" i="1"/>
  <c r="AD529" i="1"/>
  <c r="AD712" i="1"/>
  <c r="AD83" i="1"/>
  <c r="AH83" i="1"/>
  <c r="AD108" i="1"/>
  <c r="AD169" i="1"/>
  <c r="AD213" i="1"/>
  <c r="AD229" i="1"/>
  <c r="AD704" i="1"/>
  <c r="AD783" i="1"/>
  <c r="AH783" i="1"/>
  <c r="AH939" i="1"/>
  <c r="AD939" i="1"/>
  <c r="AD49" i="1"/>
  <c r="AH51" i="1"/>
  <c r="AD51" i="1"/>
  <c r="AH270" i="1"/>
  <c r="AD270" i="1"/>
  <c r="AD284" i="1"/>
  <c r="AD719" i="1"/>
  <c r="AH1056" i="1"/>
  <c r="AD1056" i="1"/>
  <c r="AH65" i="1"/>
  <c r="AD192" i="1"/>
  <c r="AD457" i="1"/>
  <c r="AD699" i="1"/>
  <c r="AH121" i="1"/>
  <c r="AD121" i="1"/>
  <c r="AD144" i="1"/>
  <c r="AH144" i="1"/>
  <c r="AD78" i="1"/>
  <c r="AH78" i="1"/>
  <c r="AD187" i="1"/>
  <c r="AD205" i="1"/>
  <c r="AD286" i="1"/>
  <c r="AD837" i="1"/>
  <c r="AH837" i="1"/>
  <c r="AD43" i="1"/>
  <c r="AD54" i="1"/>
  <c r="AD184" i="1"/>
  <c r="AD118" i="1"/>
  <c r="AD239" i="1"/>
  <c r="AH301" i="1"/>
  <c r="AD301" i="1"/>
  <c r="AD442" i="1"/>
  <c r="AD540" i="1"/>
  <c r="AD549" i="1"/>
  <c r="AH610" i="1"/>
  <c r="AD610" i="1"/>
  <c r="AD664" i="1"/>
  <c r="AD833" i="1"/>
  <c r="AH155" i="1"/>
  <c r="AD155" i="1"/>
  <c r="AD168" i="1"/>
  <c r="AD489" i="1"/>
  <c r="AH524" i="1"/>
  <c r="AD524" i="1"/>
  <c r="AH484" i="1"/>
  <c r="AD101" i="1"/>
  <c r="AH39" i="1"/>
  <c r="AH93" i="1"/>
  <c r="AD127" i="1"/>
  <c r="AH159" i="1"/>
  <c r="AD161" i="1"/>
  <c r="AH222" i="1"/>
  <c r="AD639" i="1"/>
  <c r="AH669" i="1"/>
  <c r="AD720" i="1"/>
  <c r="AD733" i="1"/>
  <c r="AD767" i="1"/>
  <c r="AH536" i="1"/>
  <c r="AD536" i="1"/>
  <c r="AD626" i="1"/>
  <c r="AH626" i="1"/>
  <c r="AH877" i="1"/>
  <c r="AD877" i="1"/>
  <c r="AD545" i="1"/>
  <c r="AD565" i="1"/>
  <c r="AD638" i="1"/>
  <c r="AD646" i="1"/>
  <c r="AD663" i="1"/>
  <c r="AD728" i="1"/>
  <c r="AD48" i="1"/>
  <c r="AD99" i="1"/>
  <c r="AD157" i="1"/>
  <c r="AD246" i="1"/>
  <c r="AD283" i="1"/>
  <c r="AD641" i="1"/>
  <c r="AH641" i="1"/>
  <c r="AD828" i="1"/>
  <c r="AD974" i="1"/>
  <c r="AD120" i="1"/>
  <c r="AD146" i="1"/>
  <c r="AD165" i="1"/>
  <c r="AD186" i="1"/>
  <c r="AD204" i="1"/>
  <c r="AD225" i="1"/>
  <c r="AD267" i="1"/>
  <c r="AD628" i="1"/>
  <c r="AH628" i="1"/>
  <c r="AD670" i="1"/>
  <c r="AD883" i="1"/>
  <c r="AD175" i="1"/>
  <c r="AH879" i="1"/>
  <c r="AD879" i="1"/>
  <c r="AD88" i="1"/>
  <c r="AD96" i="1"/>
  <c r="AD162" i="1"/>
  <c r="AD243" i="1"/>
  <c r="AH475" i="1"/>
  <c r="AD530" i="1"/>
  <c r="AD537" i="1"/>
  <c r="AD544" i="1"/>
  <c r="AD999" i="1"/>
  <c r="AD42" i="1"/>
  <c r="AD359" i="1"/>
  <c r="AD653" i="1"/>
  <c r="AH535" i="1"/>
  <c r="AD135" i="1"/>
  <c r="AD725" i="1"/>
  <c r="AD814" i="1"/>
  <c r="AD956" i="1"/>
  <c r="AD977" i="1"/>
  <c r="AD34" i="1"/>
  <c r="AD117" i="1"/>
  <c r="AD133" i="1"/>
  <c r="AD138" i="1"/>
  <c r="AD196" i="1"/>
  <c r="AD233" i="1"/>
  <c r="AD272" i="1"/>
  <c r="AD364" i="1"/>
  <c r="AD403" i="1"/>
  <c r="AD448" i="1"/>
  <c r="AD624" i="1"/>
  <c r="AD740" i="1"/>
  <c r="AH960" i="1"/>
  <c r="AD960" i="1"/>
  <c r="AD1023" i="1"/>
  <c r="AH1073" i="1"/>
  <c r="AD1073" i="1"/>
  <c r="AD201" i="1"/>
  <c r="AD261" i="1"/>
  <c r="AD995" i="1"/>
  <c r="AH995" i="1"/>
  <c r="AH183" i="1"/>
  <c r="AD274" i="1"/>
  <c r="AD541" i="1"/>
  <c r="AD835" i="1"/>
  <c r="AD899" i="1"/>
  <c r="AH924" i="1"/>
  <c r="AD924" i="1"/>
  <c r="AH1002" i="1"/>
  <c r="AD1002" i="1"/>
  <c r="AD507" i="1"/>
  <c r="AD521" i="1"/>
  <c r="AD682" i="1"/>
  <c r="AH682" i="1"/>
  <c r="AH917" i="1"/>
  <c r="AD314" i="1"/>
  <c r="AD680" i="1"/>
  <c r="AH680" i="1"/>
  <c r="AD734" i="1"/>
  <c r="AD934" i="1"/>
  <c r="AH1110" i="1"/>
  <c r="AD1110" i="1"/>
  <c r="AH1047" i="1"/>
  <c r="AD1047" i="1"/>
  <c r="AD700" i="1"/>
  <c r="AD799" i="1"/>
  <c r="AD812" i="1"/>
  <c r="AD886" i="1"/>
  <c r="AH933" i="1"/>
  <c r="AD933" i="1"/>
  <c r="AD953" i="1"/>
  <c r="AD1088" i="1"/>
  <c r="AD305" i="1"/>
  <c r="AD818" i="1"/>
  <c r="AD867" i="1"/>
  <c r="AD1091" i="1"/>
  <c r="AH1091" i="1"/>
  <c r="AD856" i="1"/>
  <c r="AD1051" i="1"/>
  <c r="AD732" i="1"/>
  <c r="AD772" i="1"/>
  <c r="AD793" i="1"/>
  <c r="AH906" i="1"/>
  <c r="AD906" i="1"/>
  <c r="AD819" i="1"/>
  <c r="AD1044" i="1"/>
  <c r="AD553" i="1"/>
  <c r="AD637" i="1"/>
  <c r="AD691" i="1"/>
  <c r="AD871" i="1"/>
  <c r="AD885" i="1"/>
  <c r="AD890" i="1"/>
  <c r="AH989" i="1"/>
  <c r="AD784" i="1"/>
  <c r="AD829" i="1"/>
  <c r="AH848" i="1"/>
  <c r="AD1085" i="1"/>
  <c r="AD947" i="1"/>
  <c r="AD1028" i="1"/>
  <c r="AH1068" i="1"/>
  <c r="AD1068" i="1"/>
  <c r="AD696" i="1"/>
  <c r="AD882" i="1"/>
  <c r="AD908" i="1"/>
  <c r="AD932" i="1"/>
  <c r="AH969" i="1"/>
  <c r="AD969" i="1"/>
  <c r="AD1013" i="1"/>
  <c r="AD1031" i="1"/>
  <c r="AD1041" i="1"/>
  <c r="AD1112" i="1"/>
  <c r="AD611" i="1"/>
  <c r="AD665" i="1"/>
  <c r="AD798" i="1"/>
  <c r="AD903" i="1"/>
  <c r="AH1004" i="1"/>
  <c r="AD1004" i="1"/>
  <c r="AD838" i="1"/>
  <c r="AD986" i="1"/>
  <c r="AD1015" i="1"/>
  <c r="AD1092" i="1"/>
  <c r="AH1014" i="1"/>
  <c r="AD1014" i="1"/>
  <c r="AH1086" i="1"/>
  <c r="AD1086" i="1"/>
  <c r="AD957" i="1"/>
  <c r="AD775" i="1"/>
  <c r="AD1055" i="1"/>
  <c r="AD925" i="1"/>
  <c r="AD943" i="1"/>
  <c r="AD889" i="1"/>
  <c r="AD927" i="1"/>
  <c r="AH888" i="1"/>
  <c r="AD888" i="1"/>
  <c r="AD1095" i="1"/>
  <c r="AD1115" i="1"/>
  <c r="AD1069" i="1"/>
  <c r="AD1078" i="1"/>
  <c r="AD1024" i="1"/>
</calcChain>
</file>

<file path=xl/sharedStrings.xml><?xml version="1.0" encoding="utf-8"?>
<sst xmlns="http://schemas.openxmlformats.org/spreadsheetml/2006/main" count="58753" uniqueCount="1869">
  <si>
    <t>날짜</t>
  </si>
  <si>
    <t>영화</t>
  </si>
  <si>
    <t>지역</t>
  </si>
  <si>
    <t>개봉일</t>
  </si>
  <si>
    <t>개봉후경과일</t>
  </si>
  <si>
    <t>개봉전후</t>
  </si>
  <si>
    <t>요일</t>
  </si>
  <si>
    <t>주말</t>
  </si>
  <si>
    <t>전체방문자</t>
  </si>
  <si>
    <t>외지인방문자</t>
  </si>
  <si>
    <t>현지인방문자</t>
  </si>
  <si>
    <t>외지인비율</t>
  </si>
  <si>
    <t>방문자_전일대비</t>
  </si>
  <si>
    <t>방문자_7일평균</t>
  </si>
  <si>
    <t>직전28일평균</t>
  </si>
  <si>
    <t>방문지수_28일기준</t>
  </si>
  <si>
    <t>KOBIS_스크린</t>
  </si>
  <si>
    <t>KOBIS_상영횟수</t>
  </si>
  <si>
    <t>KOBIS_좌석수</t>
  </si>
  <si>
    <t>KOBIS_매출액</t>
  </si>
  <si>
    <t>KOBIS_관객수</t>
  </si>
  <si>
    <t>KOBIS_누적관객수</t>
  </si>
  <si>
    <t>KOBIS_순위</t>
  </si>
  <si>
    <t>관광원본</t>
  </si>
  <si>
    <t>KOBIS원본</t>
  </si>
  <si>
    <t>NAVER_검색지수</t>
  </si>
  <si>
    <t>NAVER_전일대비</t>
  </si>
  <si>
    <t>NAVER_7일평균</t>
  </si>
  <si>
    <t>NAVER_직전28일평균</t>
  </si>
  <si>
    <t>NAVER_28일기준지수</t>
  </si>
  <si>
    <t>검색원본</t>
  </si>
  <si>
    <t>외지인_동요일평균</t>
  </si>
  <si>
    <t>외지인_동요일비율</t>
  </si>
  <si>
    <t>NAVER_당일28일비율</t>
  </si>
  <si>
    <t>데이터구분</t>
  </si>
  <si>
    <t>원본지역</t>
  </si>
  <si>
    <t>공간단위</t>
  </si>
  <si>
    <t>당시광역지자체</t>
  </si>
  <si>
    <t>검색어</t>
  </si>
  <si>
    <t>왕과 사는 남자</t>
  </si>
  <si>
    <t>영월군</t>
  </si>
  <si>
    <t>개봉전</t>
  </si>
  <si>
    <t>토</t>
  </si>
  <si>
    <t>영월군 관광데이터/20260915130701_영월군_20251101-20251130_데이터랩_다운로드.zip</t>
  </si>
  <si>
    <t>datalab.xlsx</t>
  </si>
  <si>
    <t>TRAIN</t>
  </si>
  <si>
    <t>시군구</t>
  </si>
  <si>
    <t>강원특별자치도</t>
  </si>
  <si>
    <t>일</t>
  </si>
  <si>
    <t>월</t>
  </si>
  <si>
    <t>화</t>
  </si>
  <si>
    <t>수</t>
  </si>
  <si>
    <t>목</t>
  </si>
  <si>
    <t>금</t>
  </si>
  <si>
    <t>영월군 관광데이터/20260915130718_영월군_20251201-20251231_데이터랩_다운로드.zip</t>
  </si>
  <si>
    <t>영월군 관광데이터/20260915130810_영월군_20260101-20260131_데이터랩_다운로드.zip</t>
  </si>
  <si>
    <t>영월군 관광데이터/20260915130830_영월군_20260201-20260228_데이터랩_다운로드.zip</t>
  </si>
  <si>
    <t>개봉후</t>
  </si>
  <si>
    <t>영월군 관광데이터/20260915130854_영월군_20260301-20260331_데이터랩_다운로드.zip</t>
  </si>
  <si>
    <t>영월군 관광데이터/20260915130912_영월군_20260401-20260430_데이터랩_다운로드.zip</t>
  </si>
  <si>
    <t>영월군 관광데이터/20260915130931_영월군_20260501-20260531_데이터랩_다운로드.zip</t>
  </si>
  <si>
    <t>영월군 관광데이터/20260915131004_영월군_20260601-20260630_데이터랩_다운로드.zip</t>
  </si>
  <si>
    <t>영월군 관광데이터/20260915131024_영월군_20260701-20260731_데이터랩_다운로드.zip</t>
  </si>
  <si>
    <t>영월군 관광데이터/20260915131044_영월군_20260801-20260831_데이터랩_다운로드.zip</t>
  </si>
  <si>
    <t>영월군 관광데이터/20260915131105_영월군_20260901-20260911_데이터랩_다운로드.zip</t>
  </si>
  <si>
    <t>살목지</t>
  </si>
  <si>
    <t>예산군</t>
  </si>
  <si>
    <t>예산군 관광데이터/20260915125346_예산군_20260101-20260131_데이터랩_다운로드.zip</t>
  </si>
  <si>
    <t>충청남도</t>
  </si>
  <si>
    <t>예산군 관광데이터/20260915125411_예산군_20260201-20260228_데이터랩_다운로드.zip</t>
  </si>
  <si>
    <t>예산군 관광데이터/20260915125527_예산군_20260301-20260331_데이터랩_다운로드.zip</t>
  </si>
  <si>
    <t>KOBIS/KOBIS_일자별_통계정보_2026-09-17 (1).xls</t>
  </si>
  <si>
    <t>예산군 관광데이터/20260915125606_예산군_20260401-20260430_데이터랩_다운로드.zip</t>
  </si>
  <si>
    <t>예산군 관광데이터/20260915125807_예산군_20260501-20260531_데이터랩_다운로드.zip</t>
  </si>
  <si>
    <t>예산군 관광데이터/20260915125909_예산군_20260601-20260630_데이터랩_다운로드.zip</t>
  </si>
  <si>
    <t>예산군 관광데이터/20260915125942_예산군_20260701-20260731_데이터랩_다운로드.zip</t>
  </si>
  <si>
    <t>예산군 관광데이터/20260915130016_예산군_20260801-20260831_데이터랩_다운로드.zip</t>
  </si>
  <si>
    <t>예산군 관광데이터/20260915130140_예산군_20260901-20260911_데이터랩_다운로드.zip</t>
  </si>
  <si>
    <t>리틀 포레스트</t>
  </si>
  <si>
    <t>군위군</t>
  </si>
  <si>
    <t>datalab (2).xlsx</t>
  </si>
  <si>
    <t>경상북도</t>
  </si>
  <si>
    <t>리틀포레스트</t>
  </si>
  <si>
    <t>리틀포레스트 KOBIS(1).zip/리틀포레스트 KOBIS/KOBIS_일자별_통계정보_2026-09-21 (1).xls</t>
  </si>
  <si>
    <t>군위군 관광데이터(1).zip/군위군 관광데이터/20260920215552_군위군_20180801-20180831_데이터랩_다운로드.zip</t>
  </si>
  <si>
    <t>군위군 관광데이터(1).zip/군위군 관광데이터/20260920215614_군위군_20180901-20180930_데이터랩_다운로드.zip</t>
  </si>
  <si>
    <t>군위군 관광데이터(1).zip/군위군 관광데이터/20260920215635_군위군_20181001-20181031_데이터랩_다운로드.zip</t>
  </si>
  <si>
    <t>군위군 관광데이터(1).zip/군위군 관광데이터/20260920215658_군위군_20181101-20181130_데이터랩_다운로드.zip</t>
  </si>
  <si>
    <t>군위군 관광데이터(1).zip/군위군 관광데이터/20260920215722_군위군_20181201-20181231_데이터랩_다운로드.zip</t>
  </si>
  <si>
    <t>군위군 관광데이터(1).zip/군위군 관광데이터/20260920215755_군위군_20190101-20190131_데이터랩_다운로드.zip</t>
  </si>
  <si>
    <t>군위군 관광데이터(1).zip/군위군 관광데이터/20260920215815_군위군_20190201-20190228_데이터랩_다운로드.zip</t>
  </si>
  <si>
    <t>기준월</t>
  </si>
  <si>
    <t>소비자구분</t>
  </si>
  <si>
    <t>업종대분류</t>
  </si>
  <si>
    <t>소비액_천원</t>
  </si>
  <si>
    <t>원본ZIP</t>
  </si>
  <si>
    <t>내국인</t>
  </si>
  <si>
    <t>전체</t>
  </si>
  <si>
    <t>예산군 관광데이터/20260915131543_예산군_202601-202608_데이터랩_다운로드.zip</t>
  </si>
  <si>
    <t>운송업</t>
  </si>
  <si>
    <t>의료웰니스업</t>
  </si>
  <si>
    <t>숙박업</t>
  </si>
  <si>
    <t>식음료업</t>
  </si>
  <si>
    <t>여가서비스업</t>
  </si>
  <si>
    <t>쇼핑업</t>
  </si>
  <si>
    <t>여행업</t>
  </si>
  <si>
    <t>현지인</t>
  </si>
  <si>
    <t>외지인</t>
  </si>
  <si>
    <t>영월군 관광데이터/20260915131630_영월군_202511-202608_데이터랩_다운로드.zip</t>
  </si>
  <si>
    <t>기간시작</t>
  </si>
  <si>
    <t>기간종료</t>
  </si>
  <si>
    <t>읍면</t>
  </si>
  <si>
    <t>방문자수</t>
  </si>
  <si>
    <t>지역내비율</t>
  </si>
  <si>
    <t>고덕면</t>
  </si>
  <si>
    <t>광시면</t>
  </si>
  <si>
    <t>대술면</t>
  </si>
  <si>
    <t>대흥면</t>
  </si>
  <si>
    <t>덕산면</t>
  </si>
  <si>
    <t>봉산면</t>
  </si>
  <si>
    <t>삽교읍</t>
  </si>
  <si>
    <t>신암면</t>
  </si>
  <si>
    <t>신양면</t>
  </si>
  <si>
    <t>예산읍</t>
  </si>
  <si>
    <t>오가면</t>
  </si>
  <si>
    <t>응봉면</t>
  </si>
  <si>
    <t>김삿갓면</t>
  </si>
  <si>
    <t>남면</t>
  </si>
  <si>
    <t>무릉도원면</t>
  </si>
  <si>
    <t>북면</t>
  </si>
  <si>
    <t>산솔면</t>
  </si>
  <si>
    <t>상동읍</t>
  </si>
  <si>
    <t>영월읍</t>
  </si>
  <si>
    <t>주천면</t>
  </si>
  <si>
    <t>한반도면</t>
  </si>
  <si>
    <t>군위읍</t>
  </si>
  <si>
    <t>부계면</t>
  </si>
  <si>
    <t>산성면</t>
  </si>
  <si>
    <t>삼국유사면</t>
  </si>
  <si>
    <t>소보면</t>
  </si>
  <si>
    <t>우보면</t>
  </si>
  <si>
    <t>의흥면</t>
  </si>
  <si>
    <t>효령면</t>
  </si>
  <si>
    <t>거주지_시도</t>
  </si>
  <si>
    <t>거주지_시군구</t>
  </si>
  <si>
    <t>비율</t>
  </si>
  <si>
    <t>홍성군</t>
  </si>
  <si>
    <t>아산시</t>
  </si>
  <si>
    <t>당진시</t>
  </si>
  <si>
    <t>서산시</t>
  </si>
  <si>
    <t>천안시 서북구</t>
  </si>
  <si>
    <t>천안시 동남구</t>
  </si>
  <si>
    <t>보령시</t>
  </si>
  <si>
    <t>청양군</t>
  </si>
  <si>
    <t>태안군</t>
  </si>
  <si>
    <t>공주시</t>
  </si>
  <si>
    <t>부여군</t>
  </si>
  <si>
    <t>논산시</t>
  </si>
  <si>
    <t>서천군</t>
  </si>
  <si>
    <t>계룡시</t>
  </si>
  <si>
    <t>금산군</t>
  </si>
  <si>
    <t>경기도</t>
  </si>
  <si>
    <t>평택시</t>
  </si>
  <si>
    <t>시흥시</t>
  </si>
  <si>
    <t>수원시 권선구</t>
  </si>
  <si>
    <t>부천시 원미구</t>
  </si>
  <si>
    <t>용인시 기흥구</t>
  </si>
  <si>
    <t>수원시 영통구</t>
  </si>
  <si>
    <t>성남시 분당구</t>
  </si>
  <si>
    <t>안양시 동안구</t>
  </si>
  <si>
    <t>안산시 상록구</t>
  </si>
  <si>
    <t>안산시 단원구</t>
  </si>
  <si>
    <t>남양주시</t>
  </si>
  <si>
    <t>김포시</t>
  </si>
  <si>
    <t>수원시 장안구</t>
  </si>
  <si>
    <t>수원시 팔달구</t>
  </si>
  <si>
    <t>안양시 만안구</t>
  </si>
  <si>
    <t>고양시 덕양구</t>
  </si>
  <si>
    <t>오산시</t>
  </si>
  <si>
    <t>군포시</t>
  </si>
  <si>
    <t>용인시 처인구</t>
  </si>
  <si>
    <t>용인시 수지구</t>
  </si>
  <si>
    <t>파주시</t>
  </si>
  <si>
    <t>안성시</t>
  </si>
  <si>
    <t>광주시</t>
  </si>
  <si>
    <t>부천시 소사구</t>
  </si>
  <si>
    <t>광명시</t>
  </si>
  <si>
    <t>고양시 일산동구</t>
  </si>
  <si>
    <t>하남시</t>
  </si>
  <si>
    <t>성남시 수정구</t>
  </si>
  <si>
    <t>성남시 중원구</t>
  </si>
  <si>
    <t>의정부시</t>
  </si>
  <si>
    <t>고양시 일산서구</t>
  </si>
  <si>
    <t>구리시</t>
  </si>
  <si>
    <t>의왕시</t>
  </si>
  <si>
    <t>이천시</t>
  </si>
  <si>
    <t>양주시</t>
  </si>
  <si>
    <t>부천시 오정구</t>
  </si>
  <si>
    <t>과천시</t>
  </si>
  <si>
    <t>포천시</t>
  </si>
  <si>
    <t>여주시</t>
  </si>
  <si>
    <t>양평군</t>
  </si>
  <si>
    <t>동두천시</t>
  </si>
  <si>
    <t>연천군</t>
  </si>
  <si>
    <t>가평군</t>
  </si>
  <si>
    <t>서울특별시</t>
  </si>
  <si>
    <t>관악구</t>
  </si>
  <si>
    <t>강서구</t>
  </si>
  <si>
    <t>구로구</t>
  </si>
  <si>
    <t>강남구</t>
  </si>
  <si>
    <t>송파구</t>
  </si>
  <si>
    <t>은평구</t>
  </si>
  <si>
    <t>양천구</t>
  </si>
  <si>
    <t>영등포구</t>
  </si>
  <si>
    <t>동작구</t>
  </si>
  <si>
    <t>서초구</t>
  </si>
  <si>
    <t>강동구</t>
  </si>
  <si>
    <t>광진구</t>
  </si>
  <si>
    <t>동대문구</t>
  </si>
  <si>
    <t>성북구</t>
  </si>
  <si>
    <t>노원구</t>
  </si>
  <si>
    <t>서대문구</t>
  </si>
  <si>
    <t>마포구</t>
  </si>
  <si>
    <t>용산구</t>
  </si>
  <si>
    <t>성동구</t>
  </si>
  <si>
    <t>중랑구</t>
  </si>
  <si>
    <t>강북구</t>
  </si>
  <si>
    <t>도봉구</t>
  </si>
  <si>
    <t>금천구</t>
  </si>
  <si>
    <t>종로구</t>
  </si>
  <si>
    <t>중구</t>
  </si>
  <si>
    <t>대전광역시</t>
  </si>
  <si>
    <t>서구</t>
  </si>
  <si>
    <t>유성구</t>
  </si>
  <si>
    <t>동구</t>
  </si>
  <si>
    <t>대덕구</t>
  </si>
  <si>
    <t>인천광역시</t>
  </si>
  <si>
    <t>연수구</t>
  </si>
  <si>
    <t>남동구</t>
  </si>
  <si>
    <t>부평구</t>
  </si>
  <si>
    <t>미추홀구</t>
  </si>
  <si>
    <t>계양구</t>
  </si>
  <si>
    <t>강화군</t>
  </si>
  <si>
    <t>옹진군</t>
  </si>
  <si>
    <t>전북특별자치도</t>
  </si>
  <si>
    <t>군산시</t>
  </si>
  <si>
    <t>익산시</t>
  </si>
  <si>
    <t>전주시 덕진구</t>
  </si>
  <si>
    <t>전주시 완산구</t>
  </si>
  <si>
    <t>완주군</t>
  </si>
  <si>
    <t>정읍시</t>
  </si>
  <si>
    <t>남원시</t>
  </si>
  <si>
    <t>김제시</t>
  </si>
  <si>
    <t>고창군</t>
  </si>
  <si>
    <t>부안군</t>
  </si>
  <si>
    <t>진안군</t>
  </si>
  <si>
    <t>무주군</t>
  </si>
  <si>
    <t>장수군</t>
  </si>
  <si>
    <t>임실군</t>
  </si>
  <si>
    <t>순창군</t>
  </si>
  <si>
    <t>전남광주통합특별시</t>
  </si>
  <si>
    <t>광산구</t>
  </si>
  <si>
    <t>북구</t>
  </si>
  <si>
    <t>목포시</t>
  </si>
  <si>
    <t>순천시</t>
  </si>
  <si>
    <t>남구</t>
  </si>
  <si>
    <t>여수시</t>
  </si>
  <si>
    <t>나주시</t>
  </si>
  <si>
    <t>광양시</t>
  </si>
  <si>
    <t>장흥군</t>
  </si>
  <si>
    <t>해남군</t>
  </si>
  <si>
    <t>무안군</t>
  </si>
  <si>
    <t>영광군</t>
  </si>
  <si>
    <t>담양군</t>
  </si>
  <si>
    <t>곡성군</t>
  </si>
  <si>
    <t>구례군</t>
  </si>
  <si>
    <t>고흥군</t>
  </si>
  <si>
    <t>보성군</t>
  </si>
  <si>
    <t>화순군</t>
  </si>
  <si>
    <t>강진군</t>
  </si>
  <si>
    <t>영암군</t>
  </si>
  <si>
    <t>함평군</t>
  </si>
  <si>
    <t>장성군</t>
  </si>
  <si>
    <t>완도군</t>
  </si>
  <si>
    <t>진도군</t>
  </si>
  <si>
    <t>신안군</t>
  </si>
  <si>
    <t>충청북도</t>
  </si>
  <si>
    <t>청주시 흥덕구</t>
  </si>
  <si>
    <t>청주시 서원구</t>
  </si>
  <si>
    <t>청주시 청원구</t>
  </si>
  <si>
    <t>청주시 상당구</t>
  </si>
  <si>
    <t>충주시</t>
  </si>
  <si>
    <t>음성군</t>
  </si>
  <si>
    <t>제천시</t>
  </si>
  <si>
    <t>보은군</t>
  </si>
  <si>
    <t>옥천군</t>
  </si>
  <si>
    <t>영동군</t>
  </si>
  <si>
    <t>진천군</t>
  </si>
  <si>
    <t>증평군</t>
  </si>
  <si>
    <t>괴산군</t>
  </si>
  <si>
    <t>단양군</t>
  </si>
  <si>
    <t>세종특별자치시</t>
  </si>
  <si>
    <t>경상남도</t>
  </si>
  <si>
    <t>창원시 의창구</t>
  </si>
  <si>
    <t>창원시 성산구</t>
  </si>
  <si>
    <t>창원시 진해구</t>
  </si>
  <si>
    <t>진주시</t>
  </si>
  <si>
    <t>김해시</t>
  </si>
  <si>
    <t>거제시</t>
  </si>
  <si>
    <t>양산시</t>
  </si>
  <si>
    <t>창원시 마산합포구</t>
  </si>
  <si>
    <t>창원시 마산회원구</t>
  </si>
  <si>
    <t>통영시</t>
  </si>
  <si>
    <t>사천시</t>
  </si>
  <si>
    <t>밀양시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</si>
  <si>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</si>
  <si>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</si>
  <si>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</si>
  <si>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</si>
  <si>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</si>
  <si>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</si>
  <si>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</si>
  <si>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</si>
  <si>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</si>
  <si>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</si>
  <si>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구미시</t>
  </si>
  <si>
    <t>포항시 남구</t>
  </si>
  <si>
    <t>포항시 북구</t>
  </si>
  <si>
    <t>경주시</t>
  </si>
  <si>
    <t>김천시</t>
  </si>
  <si>
    <t>안동시</t>
  </si>
  <si>
    <t>상주시</t>
  </si>
  <si>
    <t>경산시</t>
  </si>
  <si>
    <t>영주시</t>
  </si>
  <si>
    <t>영천시</t>
  </si>
  <si>
    <t>문경시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</si>
  <si>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</si>
  <si>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</si>
  <si>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</si>
  <si>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</si>
  <si>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</si>
  <si>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</si>
  <si>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</si>
  <si>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</si>
  <si>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</si>
  <si>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</si>
  <si>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</si>
  <si>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</si>
  <si>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원주시</t>
  </si>
  <si>
    <t>춘천시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</si>
  <si>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</si>
  <si>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</si>
  <si>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</si>
  <si>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</si>
  <si>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</si>
  <si>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</si>
  <si>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</si>
  <si>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</si>
  <si>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</si>
  <si>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</si>
  <si>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</si>
  <si>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</si>
  <si>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</si>
  <si>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</si>
  <si>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대구광역시</t>
  </si>
  <si>
    <t>수성구</t>
  </si>
  <si>
    <t>달서구</t>
  </si>
  <si>
    <t>달성군</t>
  </si>
  <si>
    <t>부산광역시</t>
  </si>
  <si>
    <t>부산진구</t>
  </si>
  <si>
    <t>해운대구</t>
  </si>
  <si>
    <t>사하구</t>
  </si>
  <si>
    <t>영도구</t>
  </si>
  <si>
    <t>동래구</t>
  </si>
  <si>
    <t>금정구</t>
  </si>
  <si>
    <t>연제구</t>
  </si>
  <si>
    <t>수영구</t>
  </si>
  <si>
    <t>사상구</t>
  </si>
  <si>
    <t>기장군</t>
  </si>
  <si>
    <t>울산광역시</t>
  </si>
  <si>
    <t>울주군</t>
  </si>
  <si>
    <t>제주특별자치도</t>
  </si>
  <si>
    <t>제주시</t>
  </si>
  <si>
    <t>서귀포시</t>
  </si>
  <si>
    <t>화성시 만세구</t>
  </si>
  <si>
    <t>화성시 동탄구</t>
  </si>
  <si>
    <t>화성시 효행구</t>
  </si>
  <si>
    <t>화성시 병점구</t>
  </si>
  <si>
    <t>서해구</t>
  </si>
  <si>
    <t>검단구</t>
  </si>
  <si>
    <t>영종구</t>
  </si>
  <si>
    <t>제물포구</t>
  </si>
  <si>
    <t>항목</t>
  </si>
  <si>
    <t>값</t>
  </si>
  <si>
    <t>원본파일</t>
  </si>
  <si>
    <t>URL</t>
  </si>
  <si>
    <t>http://datalab.naver.com/keyword/trendResult.naver?hashKey=N_32393ab9360d6a0dab756bd244661665</t>
  </si>
  <si>
    <t>주제</t>
  </si>
  <si>
    <t>통검</t>
  </si>
  <si>
    <t>url</t>
  </si>
  <si>
    <t>http://datalab.naver.com/keyword/trendResult.naver?hashKey=N_4afdb124d6c09cf307b0a2318af0a2b8</t>
  </si>
  <si>
    <t>범위</t>
  </si>
  <si>
    <t>합계</t>
  </si>
  <si>
    <t>기간</t>
  </si>
  <si>
    <t>일간 : 2025-11-01 ~ 2026-09-16</t>
  </si>
  <si>
    <t>성별</t>
  </si>
  <si>
    <t>전체(여성,남성)</t>
  </si>
  <si>
    <t>일간 : 2017-09-01 ~ 2018-08-31</t>
  </si>
  <si>
    <t>연령대</t>
  </si>
  <si>
    <t>날짜_살목지</t>
  </si>
  <si>
    <t>살목지_검색지수</t>
  </si>
  <si>
    <t>날짜_왕과사는남자</t>
  </si>
  <si>
    <t>왕과사는남자_검색지수</t>
  </si>
  <si>
    <t>2017-09-01</t>
  </si>
  <si>
    <t>0.24183</t>
  </si>
  <si>
    <t>2017-09-02</t>
  </si>
  <si>
    <t>0.24995</t>
  </si>
  <si>
    <t>2017-09-03</t>
  </si>
  <si>
    <t>0.24136</t>
  </si>
  <si>
    <t>2017-09-04</t>
  </si>
  <si>
    <t>0.23579</t>
  </si>
  <si>
    <t>2017-09-05</t>
  </si>
  <si>
    <t>0.24043</t>
  </si>
  <si>
    <t>2017-09-06</t>
  </si>
  <si>
    <t>0.29892</t>
  </si>
  <si>
    <t>2017-09-07</t>
  </si>
  <si>
    <t>0.37295</t>
  </si>
  <si>
    <t>2017-09-08</t>
  </si>
  <si>
    <t>0.55166</t>
  </si>
  <si>
    <t>2017-09-09</t>
  </si>
  <si>
    <t>0.31702</t>
  </si>
  <si>
    <t>2017-09-10</t>
  </si>
  <si>
    <t>0.39013</t>
  </si>
  <si>
    <t>2017-09-11</t>
  </si>
  <si>
    <t>0.36274</t>
  </si>
  <si>
    <t>2017-09-12</t>
  </si>
  <si>
    <t>0.28871</t>
  </si>
  <si>
    <t>2017-09-13</t>
  </si>
  <si>
    <t>0.29962</t>
  </si>
  <si>
    <t>2017-09-14</t>
  </si>
  <si>
    <t>0.30054</t>
  </si>
  <si>
    <t>2017-09-15</t>
  </si>
  <si>
    <t>0.27873</t>
  </si>
  <si>
    <t>2017-09-16</t>
  </si>
  <si>
    <t>2017-09-17</t>
  </si>
  <si>
    <t>0.29288</t>
  </si>
  <si>
    <t>2017-09-18</t>
  </si>
  <si>
    <t>0.26387</t>
  </si>
  <si>
    <t>2017-09-19</t>
  </si>
  <si>
    <t>0.2771</t>
  </si>
  <si>
    <t>2017-09-20</t>
  </si>
  <si>
    <t>0.23742</t>
  </si>
  <si>
    <t>2017-09-21</t>
  </si>
  <si>
    <t>0.5245</t>
  </si>
  <si>
    <t>2017-09-22</t>
  </si>
  <si>
    <t>0.34394</t>
  </si>
  <si>
    <t>2017-09-23</t>
  </si>
  <si>
    <t>0.27432</t>
  </si>
  <si>
    <t>2017-09-24</t>
  </si>
  <si>
    <t>0.28755</t>
  </si>
  <si>
    <t>2017-09-25</t>
  </si>
  <si>
    <t>0.24948</t>
  </si>
  <si>
    <t>2017-09-26</t>
  </si>
  <si>
    <t>0.28244</t>
  </si>
  <si>
    <t>2017-09-27</t>
  </si>
  <si>
    <t>0.29521</t>
  </si>
  <si>
    <t>2017-09-28</t>
  </si>
  <si>
    <t>0.26991</t>
  </si>
  <si>
    <t>2017-09-29</t>
  </si>
  <si>
    <t>0.29799</t>
  </si>
  <si>
    <t>2017-09-30</t>
  </si>
  <si>
    <t>0.2966</t>
  </si>
  <si>
    <t>2017-10-01</t>
  </si>
  <si>
    <t>0.36762</t>
  </si>
  <si>
    <t>2017-10-02</t>
  </si>
  <si>
    <t>0.39222</t>
  </si>
  <si>
    <t>2017-10-03</t>
  </si>
  <si>
    <t>0.33837</t>
  </si>
  <si>
    <t>2017-10-04</t>
  </si>
  <si>
    <t>1.06015</t>
  </si>
  <si>
    <t>2017-10-05</t>
  </si>
  <si>
    <t>0.53564</t>
  </si>
  <si>
    <t>2017-10-06</t>
  </si>
  <si>
    <t>0.68998</t>
  </si>
  <si>
    <t>2017-10-07</t>
  </si>
  <si>
    <t>0.37086</t>
  </si>
  <si>
    <t>2017-10-08</t>
  </si>
  <si>
    <t>0.34766</t>
  </si>
  <si>
    <t>2017-10-09</t>
  </si>
  <si>
    <t>0.50571</t>
  </si>
  <si>
    <t>2017-10-10</t>
  </si>
  <si>
    <t>2017-10-11</t>
  </si>
  <si>
    <t>0.3451</t>
  </si>
  <si>
    <t>2017-10-12</t>
  </si>
  <si>
    <t>0.26411</t>
  </si>
  <si>
    <t>2017-10-13</t>
  </si>
  <si>
    <t>0.24391</t>
  </si>
  <si>
    <t>2017-10-14</t>
  </si>
  <si>
    <t>0.24322</t>
  </si>
  <si>
    <t>2017-10-15</t>
  </si>
  <si>
    <t>0.32584</t>
  </si>
  <si>
    <t>2017-10-16</t>
  </si>
  <si>
    <t>0.29822</t>
  </si>
  <si>
    <t>2017-10-17</t>
  </si>
  <si>
    <t>0.28151</t>
  </si>
  <si>
    <t>2017-10-18</t>
  </si>
  <si>
    <t>0.29637</t>
  </si>
  <si>
    <t>2017-10-19</t>
  </si>
  <si>
    <t>0.27826</t>
  </si>
  <si>
    <t>2017-10-20</t>
  </si>
  <si>
    <t>0.28546</t>
  </si>
  <si>
    <t>2017-10-21</t>
  </si>
  <si>
    <t>0.31122</t>
  </si>
  <si>
    <t>2017-10-22</t>
  </si>
  <si>
    <t>0.35532</t>
  </si>
  <si>
    <t>2017-10-23</t>
  </si>
  <si>
    <t>0.23858</t>
  </si>
  <si>
    <t>2017-10-24</t>
  </si>
  <si>
    <t>0.32306</t>
  </si>
  <si>
    <t>2017-10-25</t>
  </si>
  <si>
    <t>0.41426</t>
  </si>
  <si>
    <t>2017-10-26</t>
  </si>
  <si>
    <t>0.41844</t>
  </si>
  <si>
    <t>2017-10-27</t>
  </si>
  <si>
    <t>0.3328</t>
  </si>
  <si>
    <t>2017-10-28</t>
  </si>
  <si>
    <t>0.31493</t>
  </si>
  <si>
    <t>2017-10-29</t>
  </si>
  <si>
    <t>0.31284</t>
  </si>
  <si>
    <t>2017-10-30</t>
  </si>
  <si>
    <t>0.30008</t>
  </si>
  <si>
    <t>2017-10-31</t>
  </si>
  <si>
    <t>0.22303</t>
  </si>
  <si>
    <t>2017-11-01</t>
  </si>
  <si>
    <t>0.23788</t>
  </si>
  <si>
    <t>2017-11-02</t>
  </si>
  <si>
    <t>0.23092</t>
  </si>
  <si>
    <t>2017-11-03</t>
  </si>
  <si>
    <t>0.25691</t>
  </si>
  <si>
    <t>2017-11-04</t>
  </si>
  <si>
    <t>0.30426</t>
  </si>
  <si>
    <t>2017-11-05</t>
  </si>
  <si>
    <t>0.31168</t>
  </si>
  <si>
    <t>2017-11-06</t>
  </si>
  <si>
    <t>0.26039</t>
  </si>
  <si>
    <t>2017-11-07</t>
  </si>
  <si>
    <t>0.24554</t>
  </si>
  <si>
    <t>2017-11-08</t>
  </si>
  <si>
    <t>0.22651</t>
  </si>
  <si>
    <t>2017-11-09</t>
  </si>
  <si>
    <t>0.23022</t>
  </si>
  <si>
    <t>2017-11-10</t>
  </si>
  <si>
    <t>0.29033</t>
  </si>
  <si>
    <t>2017-11-11</t>
  </si>
  <si>
    <t>0.30124</t>
  </si>
  <si>
    <t>2017-11-12</t>
  </si>
  <si>
    <t>2017-11-13</t>
  </si>
  <si>
    <t>0.2648</t>
  </si>
  <si>
    <t>2017-11-14</t>
  </si>
  <si>
    <t>0.24275</t>
  </si>
  <si>
    <t>2017-11-15</t>
  </si>
  <si>
    <t>0.32422</t>
  </si>
  <si>
    <t>2017-11-16</t>
  </si>
  <si>
    <t>0.25389</t>
  </si>
  <si>
    <t>2017-11-17</t>
  </si>
  <si>
    <t>0.24693</t>
  </si>
  <si>
    <t>2017-11-18</t>
  </si>
  <si>
    <t>0.24113</t>
  </si>
  <si>
    <t>2017-11-19</t>
  </si>
  <si>
    <t>0.30959</t>
  </si>
  <si>
    <t>2017-11-20</t>
  </si>
  <si>
    <t>2017-11-21</t>
  </si>
  <si>
    <t>2017-11-22</t>
  </si>
  <si>
    <t>0.22999</t>
  </si>
  <si>
    <t>2017-11-23</t>
  </si>
  <si>
    <t>0.31145</t>
  </si>
  <si>
    <t>2017-11-24</t>
  </si>
  <si>
    <t>2017-11-25</t>
  </si>
  <si>
    <t>0.23185</t>
  </si>
  <si>
    <t>2017-11-26</t>
  </si>
  <si>
    <t>0.27037</t>
  </si>
  <si>
    <t>2017-11-27</t>
  </si>
  <si>
    <t>0.37458</t>
  </si>
  <si>
    <t>2017-11-28</t>
  </si>
  <si>
    <t>0.38665</t>
  </si>
  <si>
    <t>2017-11-29</t>
  </si>
  <si>
    <t>0.23649</t>
  </si>
  <si>
    <t>2017-11-30</t>
  </si>
  <si>
    <t>2017-12-01</t>
  </si>
  <si>
    <t>0.21931</t>
  </si>
  <si>
    <t>2017-12-02</t>
  </si>
  <si>
    <t>0.48296</t>
  </si>
  <si>
    <t>2017-12-03</t>
  </si>
  <si>
    <t>0.28337</t>
  </si>
  <si>
    <t>2017-12-04</t>
  </si>
  <si>
    <t>0.22697</t>
  </si>
  <si>
    <t>2017-12-05</t>
  </si>
  <si>
    <t>0.21908</t>
  </si>
  <si>
    <t>2017-12-06</t>
  </si>
  <si>
    <t>0.27548</t>
  </si>
  <si>
    <t>2017-12-07</t>
  </si>
  <si>
    <t>0.27989</t>
  </si>
  <si>
    <t>2017-12-08</t>
  </si>
  <si>
    <t>0.27571</t>
  </si>
  <si>
    <t>2017-12-09</t>
  </si>
  <si>
    <t>2017-12-10</t>
  </si>
  <si>
    <t>0.27617</t>
  </si>
  <si>
    <t>2017-12-11</t>
  </si>
  <si>
    <t>0.25065</t>
  </si>
  <si>
    <t>2017-12-12</t>
  </si>
  <si>
    <t>0.32839</t>
  </si>
  <si>
    <t>2017-12-13</t>
  </si>
  <si>
    <t>0.2467</t>
  </si>
  <si>
    <t>2017-12-14</t>
  </si>
  <si>
    <t>0.22674</t>
  </si>
  <si>
    <t>2017-12-15</t>
  </si>
  <si>
    <t>0.27896</t>
  </si>
  <si>
    <t>2017-12-16</t>
  </si>
  <si>
    <t>0.28035</t>
  </si>
  <si>
    <t>2017-12-17</t>
  </si>
  <si>
    <t>0.27664</t>
  </si>
  <si>
    <t>2017-12-18</t>
  </si>
  <si>
    <t>0.36901</t>
  </si>
  <si>
    <t>2017-12-19</t>
  </si>
  <si>
    <t>2017-12-20</t>
  </si>
  <si>
    <t>0.2706</t>
  </si>
  <si>
    <t>2017-12-21</t>
  </si>
  <si>
    <t>0.26689</t>
  </si>
  <si>
    <t>2017-12-22</t>
  </si>
  <si>
    <t>0.39431</t>
  </si>
  <si>
    <t>2017-12-23</t>
  </si>
  <si>
    <t>0.43701</t>
  </si>
  <si>
    <t>2017-12-24</t>
  </si>
  <si>
    <t>0.57696</t>
  </si>
  <si>
    <t>2017-12-25</t>
  </si>
  <si>
    <t>0.50524</t>
  </si>
  <si>
    <t>2017-12-26</t>
  </si>
  <si>
    <t>0.44745</t>
  </si>
  <si>
    <t>2017-12-27</t>
  </si>
  <si>
    <t>0.88748</t>
  </si>
  <si>
    <t>2017-12-28</t>
  </si>
  <si>
    <t>1.06804</t>
  </si>
  <si>
    <t>2017-12-29</t>
  </si>
  <si>
    <t>0.46486</t>
  </si>
  <si>
    <t>2017-12-30</t>
  </si>
  <si>
    <t>0.57371</t>
  </si>
  <si>
    <t>2017-12-31</t>
  </si>
  <si>
    <t>0.6373</t>
  </si>
  <si>
    <t>2018-01-01</t>
  </si>
  <si>
    <t>0.70785</t>
  </si>
  <si>
    <t>2018-01-02</t>
  </si>
  <si>
    <t>0.77307</t>
  </si>
  <si>
    <t>2018-01-03</t>
  </si>
  <si>
    <t>0.82273</t>
  </si>
  <si>
    <t>2018-01-04</t>
  </si>
  <si>
    <t>0.60272</t>
  </si>
  <si>
    <t>2018-01-05</t>
  </si>
  <si>
    <t>0.40753</t>
  </si>
  <si>
    <t>2018-01-06</t>
  </si>
  <si>
    <t>0.44304</t>
  </si>
  <si>
    <t>2018-01-07</t>
  </si>
  <si>
    <t>0.54446</t>
  </si>
  <si>
    <t>2018-01-08</t>
  </si>
  <si>
    <t>1.19917</t>
  </si>
  <si>
    <t>2018-01-09</t>
  </si>
  <si>
    <t>4.89882</t>
  </si>
  <si>
    <t>2018-01-10</t>
  </si>
  <si>
    <t>3.48914</t>
  </si>
  <si>
    <t>2018-01-11</t>
  </si>
  <si>
    <t>0.99424</t>
  </si>
  <si>
    <t>2018-01-12</t>
  </si>
  <si>
    <t>0.75984</t>
  </si>
  <si>
    <t>2018-01-13</t>
  </si>
  <si>
    <t>0.84501</t>
  </si>
  <si>
    <t>2018-01-14</t>
  </si>
  <si>
    <t>1.01652</t>
  </si>
  <si>
    <t>2018-01-15</t>
  </si>
  <si>
    <t>1.68446</t>
  </si>
  <si>
    <t>2018-01-16</t>
  </si>
  <si>
    <t>1.05969</t>
  </si>
  <si>
    <t>2018-01-17</t>
  </si>
  <si>
    <t>1.22656</t>
  </si>
  <si>
    <t>2018-01-18</t>
  </si>
  <si>
    <t>0.79279</t>
  </si>
  <si>
    <t>2018-01-19</t>
  </si>
  <si>
    <t>0.75728</t>
  </si>
  <si>
    <t>2018-01-20</t>
  </si>
  <si>
    <t>0.84153</t>
  </si>
  <si>
    <t>2018-01-21</t>
  </si>
  <si>
    <t>0.75125</t>
  </si>
  <si>
    <t>2018-01-22</t>
  </si>
  <si>
    <t>0.95316</t>
  </si>
  <si>
    <t>2018-01-23</t>
  </si>
  <si>
    <t>1.2739</t>
  </si>
  <si>
    <t>2018-01-24</t>
  </si>
  <si>
    <t>0.98937</t>
  </si>
  <si>
    <t>2018-01-25</t>
  </si>
  <si>
    <t>0.9889</t>
  </si>
  <si>
    <t>2018-01-26</t>
  </si>
  <si>
    <t>0.98519</t>
  </si>
  <si>
    <t>2018-01-27</t>
  </si>
  <si>
    <t>0.84548</t>
  </si>
  <si>
    <t>2018-01-28</t>
  </si>
  <si>
    <t>0.93204</t>
  </si>
  <si>
    <t>2018-01-29</t>
  </si>
  <si>
    <t>1.06062</t>
  </si>
  <si>
    <t>2018-01-30</t>
  </si>
  <si>
    <t>3.11038</t>
  </si>
  <si>
    <t>2018-01-31</t>
  </si>
  <si>
    <t>1.89171</t>
  </si>
  <si>
    <t>2018-02-01</t>
  </si>
  <si>
    <t>7.21153</t>
  </si>
  <si>
    <t>2018-02-02</t>
  </si>
  <si>
    <t>2.27511</t>
  </si>
  <si>
    <t>2018-02-03</t>
  </si>
  <si>
    <t>2.02701</t>
  </si>
  <si>
    <t>2018-02-04</t>
  </si>
  <si>
    <t>1.91074</t>
  </si>
  <si>
    <t>2018-02-05</t>
  </si>
  <si>
    <t>1.71927</t>
  </si>
  <si>
    <t>2018-02-06</t>
  </si>
  <si>
    <t>4.44579</t>
  </si>
  <si>
    <t>2018-02-07</t>
  </si>
  <si>
    <t>2.07181</t>
  </si>
  <si>
    <t>2018-02-08</t>
  </si>
  <si>
    <t>2.49582</t>
  </si>
  <si>
    <t>2018-02-09</t>
  </si>
  <si>
    <t>1.95994</t>
  </si>
  <si>
    <t>2018-02-10</t>
  </si>
  <si>
    <t>3.03797</t>
  </si>
  <si>
    <t>2018-02-11</t>
  </si>
  <si>
    <t>1.63062</t>
  </si>
  <si>
    <t>2018-02-12</t>
  </si>
  <si>
    <t>2.48631</t>
  </si>
  <si>
    <t>2018-02-13</t>
  </si>
  <si>
    <t>10.82043</t>
  </si>
  <si>
    <t>2018-02-14</t>
  </si>
  <si>
    <t>3.51165</t>
  </si>
  <si>
    <t>2018-02-15</t>
  </si>
  <si>
    <t>2.83072</t>
  </si>
  <si>
    <t>2018-02-16</t>
  </si>
  <si>
    <t>3.11456</t>
  </si>
  <si>
    <t>2018-02-17</t>
  </si>
  <si>
    <t>11.63017</t>
  </si>
  <si>
    <t>2018-02-18</t>
  </si>
  <si>
    <t>3.74815</t>
  </si>
  <si>
    <t>2018-02-19</t>
  </si>
  <si>
    <t>6.06527</t>
  </si>
  <si>
    <t>2018-02-20</t>
  </si>
  <si>
    <t>6.74458</t>
  </si>
  <si>
    <t>2018-02-21</t>
  </si>
  <si>
    <t>5.27247</t>
  </si>
  <si>
    <t>2018-02-22</t>
  </si>
  <si>
    <t>4.69807</t>
  </si>
  <si>
    <t>2018-02-23</t>
  </si>
  <si>
    <t>5.87009</t>
  </si>
  <si>
    <t>2018-02-24</t>
  </si>
  <si>
    <t>4.47271</t>
  </si>
  <si>
    <t>2018-02-25</t>
  </si>
  <si>
    <t>23.63935</t>
  </si>
  <si>
    <t>2018-02-26</t>
  </si>
  <si>
    <t>16.25955</t>
  </si>
  <si>
    <t>2018-02-27</t>
  </si>
  <si>
    <t>25.7773</t>
  </si>
  <si>
    <t>2018-02-28</t>
  </si>
  <si>
    <t>100.0</t>
  </si>
  <si>
    <t>2018-03-01</t>
  </si>
  <si>
    <t>58.48532</t>
  </si>
  <si>
    <t>2018-03-02</t>
  </si>
  <si>
    <t>50.68453</t>
  </si>
  <si>
    <t>2018-03-03</t>
  </si>
  <si>
    <t>38.85058</t>
  </si>
  <si>
    <t>2018-03-04</t>
  </si>
  <si>
    <t>40.77826</t>
  </si>
  <si>
    <t>2018-03-05</t>
  </si>
  <si>
    <t>23.94407</t>
  </si>
  <si>
    <t>2018-03-06</t>
  </si>
  <si>
    <t>17.50328</t>
  </si>
  <si>
    <t>2018-03-07</t>
  </si>
  <si>
    <t>16.75342</t>
  </si>
  <si>
    <t>2018-03-08</t>
  </si>
  <si>
    <t>16.43315</t>
  </si>
  <si>
    <t>2018-03-09</t>
  </si>
  <si>
    <t>16.94303</t>
  </si>
  <si>
    <t>2018-03-10</t>
  </si>
  <si>
    <t>25.29991</t>
  </si>
  <si>
    <t>2018-03-11</t>
  </si>
  <si>
    <t>28.40843</t>
  </si>
  <si>
    <t>2018-03-12</t>
  </si>
  <si>
    <t>17.13566</t>
  </si>
  <si>
    <t>2018-03-13</t>
  </si>
  <si>
    <t>14.68997</t>
  </si>
  <si>
    <t>2018-03-14</t>
  </si>
  <si>
    <t>10.27202</t>
  </si>
  <si>
    <t>2018-03-15</t>
  </si>
  <si>
    <t>9.8914</t>
  </si>
  <si>
    <t>2018-03-16</t>
  </si>
  <si>
    <t>11.21474</t>
  </si>
  <si>
    <t>2018-03-17</t>
  </si>
  <si>
    <t>16.25375</t>
  </si>
  <si>
    <t>2018-03-18</t>
  </si>
  <si>
    <t>18.23319</t>
  </si>
  <si>
    <t>2018-03-19</t>
  </si>
  <si>
    <t>8.94427</t>
  </si>
  <si>
    <t>2018-03-20</t>
  </si>
  <si>
    <t>7.9173</t>
  </si>
  <si>
    <t>2018-03-21</t>
  </si>
  <si>
    <t>9.26687</t>
  </si>
  <si>
    <t>2018-03-22</t>
  </si>
  <si>
    <t>6.31267</t>
  </si>
  <si>
    <t>2018-03-23</t>
  </si>
  <si>
    <t>6.88313</t>
  </si>
  <si>
    <t>2018-03-24</t>
  </si>
  <si>
    <t>8.8895</t>
  </si>
  <si>
    <t>2018-03-25</t>
  </si>
  <si>
    <t>7.84675</t>
  </si>
  <si>
    <t>2018-03-26</t>
  </si>
  <si>
    <t>5.20749</t>
  </si>
  <si>
    <t>2018-03-27</t>
  </si>
  <si>
    <t>4.71663</t>
  </si>
  <si>
    <t>2018-03-28</t>
  </si>
  <si>
    <t>4.03616</t>
  </si>
  <si>
    <t>2018-03-29</t>
  </si>
  <si>
    <t>3.58801</t>
  </si>
  <si>
    <t>2018-03-30</t>
  </si>
  <si>
    <t>4.1218</t>
  </si>
  <si>
    <t>2018-03-31</t>
  </si>
  <si>
    <t>5.28617</t>
  </si>
  <si>
    <t>2018-04-01</t>
  </si>
  <si>
    <t>3.95563</t>
  </si>
  <si>
    <t>2018-04-02</t>
  </si>
  <si>
    <t>2.79637</t>
  </si>
  <si>
    <t>2018-04-03</t>
  </si>
  <si>
    <t>2.68706</t>
  </si>
  <si>
    <t>2018-04-04</t>
  </si>
  <si>
    <t>10.32354</t>
  </si>
  <si>
    <t>2018-04-05</t>
  </si>
  <si>
    <t>11.14999</t>
  </si>
  <si>
    <t>2018-04-06</t>
  </si>
  <si>
    <t>9.81505</t>
  </si>
  <si>
    <t>2018-04-07</t>
  </si>
  <si>
    <t>11.75179</t>
  </si>
  <si>
    <t>2018-04-08</t>
  </si>
  <si>
    <t>11.9718</t>
  </si>
  <si>
    <t>2018-04-09</t>
  </si>
  <si>
    <t>7.26189</t>
  </si>
  <si>
    <t>2018-04-10</t>
  </si>
  <si>
    <t>5.66284</t>
  </si>
  <si>
    <t>2018-04-11</t>
  </si>
  <si>
    <t>5.42193</t>
  </si>
  <si>
    <t>2018-04-12</t>
  </si>
  <si>
    <t>4.34414</t>
  </si>
  <si>
    <t>2018-04-13</t>
  </si>
  <si>
    <t>4.6173</t>
  </si>
  <si>
    <t>2018-04-14</t>
  </si>
  <si>
    <t>16.36747</t>
  </si>
  <si>
    <t>2018-04-15</t>
  </si>
  <si>
    <t>6.99059</t>
  </si>
  <si>
    <t>2018-04-16</t>
  </si>
  <si>
    <t>4.17309</t>
  </si>
  <si>
    <t>2018-04-17</t>
  </si>
  <si>
    <t>3.44783</t>
  </si>
  <si>
    <t>2018-04-18</t>
  </si>
  <si>
    <t>3.35314</t>
  </si>
  <si>
    <t>2018-04-19</t>
  </si>
  <si>
    <t>3.08021</t>
  </si>
  <si>
    <t>2018-04-20</t>
  </si>
  <si>
    <t>3.07812</t>
  </si>
  <si>
    <t>2018-04-21</t>
  </si>
  <si>
    <t>3.6755</t>
  </si>
  <si>
    <t>2018-04-22</t>
  </si>
  <si>
    <t>4.50404</t>
  </si>
  <si>
    <t>2018-04-23</t>
  </si>
  <si>
    <t>3.09437</t>
  </si>
  <si>
    <t>2018-04-24</t>
  </si>
  <si>
    <t>2.63415</t>
  </si>
  <si>
    <t>2018-04-25</t>
  </si>
  <si>
    <t>2.3944</t>
  </si>
  <si>
    <t>2018-04-26</t>
  </si>
  <si>
    <t>2.50534</t>
  </si>
  <si>
    <t>2018-04-27</t>
  </si>
  <si>
    <t>2.52042</t>
  </si>
  <si>
    <t>2018-04-28</t>
  </si>
  <si>
    <t>3.58522</t>
  </si>
  <si>
    <t>2018-04-29</t>
  </si>
  <si>
    <t>5.14088</t>
  </si>
  <si>
    <t>2018-04-30</t>
  </si>
  <si>
    <t>4.25502</t>
  </si>
  <si>
    <t>2018-05-01</t>
  </si>
  <si>
    <t>6.06109</t>
  </si>
  <si>
    <t>2018-05-02</t>
  </si>
  <si>
    <t>3.11642</t>
  </si>
  <si>
    <t>2018-05-03</t>
  </si>
  <si>
    <t>2.70888</t>
  </si>
  <si>
    <t>2018-05-04</t>
  </si>
  <si>
    <t>2.71955</t>
  </si>
  <si>
    <t>2018-05-05</t>
  </si>
  <si>
    <t>3.65996</t>
  </si>
  <si>
    <t>2018-05-06</t>
  </si>
  <si>
    <t>4.469</t>
  </si>
  <si>
    <t>2018-05-07</t>
  </si>
  <si>
    <t>3.77344</t>
  </si>
  <si>
    <t>2018-05-08</t>
  </si>
  <si>
    <t>2.30644</t>
  </si>
  <si>
    <t>2018-05-09</t>
  </si>
  <si>
    <t>5.40337</t>
  </si>
  <si>
    <t>2018-05-10</t>
  </si>
  <si>
    <t>1.89473</t>
  </si>
  <si>
    <t>2018-05-11</t>
  </si>
  <si>
    <t>1.89101</t>
  </si>
  <si>
    <t>2018-05-12</t>
  </si>
  <si>
    <t>4.02061</t>
  </si>
  <si>
    <t>2018-05-13</t>
  </si>
  <si>
    <t>2.85045</t>
  </si>
  <si>
    <t>2018-05-14</t>
  </si>
  <si>
    <t>1.8555</t>
  </si>
  <si>
    <t>2018-05-15</t>
  </si>
  <si>
    <t>1.60044</t>
  </si>
  <si>
    <t>2018-05-16</t>
  </si>
  <si>
    <t>1.58397</t>
  </si>
  <si>
    <t>2018-05-17</t>
  </si>
  <si>
    <t>1.61831</t>
  </si>
  <si>
    <t>2018-05-18</t>
  </si>
  <si>
    <t>1.84529</t>
  </si>
  <si>
    <t>2018-05-19</t>
  </si>
  <si>
    <t>4.54211</t>
  </si>
  <si>
    <t>2018-05-20</t>
  </si>
  <si>
    <t>4.03895</t>
  </si>
  <si>
    <t>2018-05-21</t>
  </si>
  <si>
    <t>2.80125</t>
  </si>
  <si>
    <t>2018-05-22</t>
  </si>
  <si>
    <t>3.47777</t>
  </si>
  <si>
    <t>2018-05-23</t>
  </si>
  <si>
    <t>1.87082</t>
  </si>
  <si>
    <t>2018-05-24</t>
  </si>
  <si>
    <t>1.62899</t>
  </si>
  <si>
    <t>2018-05-25</t>
  </si>
  <si>
    <t>1.67564</t>
  </si>
  <si>
    <t>2018-05-26</t>
  </si>
  <si>
    <t>2.13911</t>
  </si>
  <si>
    <t>2018-05-27</t>
  </si>
  <si>
    <t>2.41738</t>
  </si>
  <si>
    <t>2018-05-28</t>
  </si>
  <si>
    <t>1.65197</t>
  </si>
  <si>
    <t>2018-05-29</t>
  </si>
  <si>
    <t>1.41617</t>
  </si>
  <si>
    <t>2018-05-30</t>
  </si>
  <si>
    <t>1.40921</t>
  </si>
  <si>
    <t>2018-05-31</t>
  </si>
  <si>
    <t>1.59487</t>
  </si>
  <si>
    <t>2018-06-01</t>
  </si>
  <si>
    <t>1.84645</t>
  </si>
  <si>
    <t>2018-06-02</t>
  </si>
  <si>
    <t>2.31248</t>
  </si>
  <si>
    <t>2018-06-03</t>
  </si>
  <si>
    <t>2.84024</t>
  </si>
  <si>
    <t>2018-06-04</t>
  </si>
  <si>
    <t>1.94509</t>
  </si>
  <si>
    <t>2018-06-05</t>
  </si>
  <si>
    <t>1.78588</t>
  </si>
  <si>
    <t>2018-06-06</t>
  </si>
  <si>
    <t>2.32872</t>
  </si>
  <si>
    <t>2018-06-07</t>
  </si>
  <si>
    <t>1.46212</t>
  </si>
  <si>
    <t>2018-06-08</t>
  </si>
  <si>
    <t>1.37973</t>
  </si>
  <si>
    <t>2018-06-09</t>
  </si>
  <si>
    <t>1.75083</t>
  </si>
  <si>
    <t>2018-06-10</t>
  </si>
  <si>
    <t>2.52112</t>
  </si>
  <si>
    <t>2018-06-11</t>
  </si>
  <si>
    <t>1.51109</t>
  </si>
  <si>
    <t>2018-06-12</t>
  </si>
  <si>
    <t>1.40201</t>
  </si>
  <si>
    <t>2018-06-13</t>
  </si>
  <si>
    <t>1.81535</t>
  </si>
  <si>
    <t>2018-06-14</t>
  </si>
  <si>
    <t>1.36697</t>
  </si>
  <si>
    <t>2018-06-15</t>
  </si>
  <si>
    <t>1.16389</t>
  </si>
  <si>
    <t>2018-06-16</t>
  </si>
  <si>
    <t>1.30895</t>
  </si>
  <si>
    <t>2018-06-17</t>
  </si>
  <si>
    <t>1.51202</t>
  </si>
  <si>
    <t>2018-06-18</t>
  </si>
  <si>
    <t>0.98287</t>
  </si>
  <si>
    <t>2018-06-19</t>
  </si>
  <si>
    <t>1.05505</t>
  </si>
  <si>
    <t>2018-06-20</t>
  </si>
  <si>
    <t>1.11052</t>
  </si>
  <si>
    <t>2018-06-21</t>
  </si>
  <si>
    <t>1.09613</t>
  </si>
  <si>
    <t>2018-06-22</t>
  </si>
  <si>
    <t>1.11075</t>
  </si>
  <si>
    <t>2018-06-23</t>
  </si>
  <si>
    <t>1.24304</t>
  </si>
  <si>
    <t>2018-06-24</t>
  </si>
  <si>
    <t>1.42893</t>
  </si>
  <si>
    <t>2018-06-25</t>
  </si>
  <si>
    <t>1.28458</t>
  </si>
  <si>
    <t>2018-06-26</t>
  </si>
  <si>
    <t>1.54637</t>
  </si>
  <si>
    <t>2018-06-27</t>
  </si>
  <si>
    <t>1.44797</t>
  </si>
  <si>
    <t>2018-06-28</t>
  </si>
  <si>
    <t>1.18362</t>
  </si>
  <si>
    <t>2018-06-29</t>
  </si>
  <si>
    <t>1.20729</t>
  </si>
  <si>
    <t>2018-06-30</t>
  </si>
  <si>
    <t>1.61646</t>
  </si>
  <si>
    <t>2018-07-01</t>
  </si>
  <si>
    <t>2.30018</t>
  </si>
  <si>
    <t>2018-07-02</t>
  </si>
  <si>
    <t>1.38994</t>
  </si>
  <si>
    <t>2018-07-03</t>
  </si>
  <si>
    <t>1.19964</t>
  </si>
  <si>
    <t>2018-07-04</t>
  </si>
  <si>
    <t>1.27692</t>
  </si>
  <si>
    <t>2018-07-05</t>
  </si>
  <si>
    <t>1.17805</t>
  </si>
  <si>
    <t>2018-07-06</t>
  </si>
  <si>
    <t>1.1256</t>
  </si>
  <si>
    <t>2018-07-07</t>
  </si>
  <si>
    <t>1.3245</t>
  </si>
  <si>
    <t>2018-07-08</t>
  </si>
  <si>
    <t>1.58838</t>
  </si>
  <si>
    <t>2018-07-09</t>
  </si>
  <si>
    <t>1.40108</t>
  </si>
  <si>
    <t>2018-07-10</t>
  </si>
  <si>
    <t>1.16877</t>
  </si>
  <si>
    <t>2018-07-11</t>
  </si>
  <si>
    <t>1.17179</t>
  </si>
  <si>
    <t>2018-07-12</t>
  </si>
  <si>
    <t>1.11562</t>
  </si>
  <si>
    <t>2018-07-13</t>
  </si>
  <si>
    <t>1.237</t>
  </si>
  <si>
    <t>2018-07-14</t>
  </si>
  <si>
    <t>1.43799</t>
  </si>
  <si>
    <t>2018-07-15</t>
  </si>
  <si>
    <t>1.67726</t>
  </si>
  <si>
    <t>2018-07-16</t>
  </si>
  <si>
    <t>1.23677</t>
  </si>
  <si>
    <t>2018-07-17</t>
  </si>
  <si>
    <t>1.14927</t>
  </si>
  <si>
    <t>2018-07-18</t>
  </si>
  <si>
    <t>1.15322</t>
  </si>
  <si>
    <t>2018-07-19</t>
  </si>
  <si>
    <t>3.57292</t>
  </si>
  <si>
    <t>2018-07-20</t>
  </si>
  <si>
    <t>1.15925</t>
  </si>
  <si>
    <t>2018-07-21</t>
  </si>
  <si>
    <t>1.6276</t>
  </si>
  <si>
    <t>2018-07-22</t>
  </si>
  <si>
    <t>1.61274</t>
  </si>
  <si>
    <t>2018-07-23</t>
  </si>
  <si>
    <t>1.22377</t>
  </si>
  <si>
    <t>2018-07-24</t>
  </si>
  <si>
    <t>1.14115</t>
  </si>
  <si>
    <t>2018-07-25</t>
  </si>
  <si>
    <t>1.12351</t>
  </si>
  <si>
    <t>2018-07-26</t>
  </si>
  <si>
    <t>1.48301</t>
  </si>
  <si>
    <t>2018-07-27</t>
  </si>
  <si>
    <t>1.26416</t>
  </si>
  <si>
    <t>2018-07-28</t>
  </si>
  <si>
    <t>1.4786</t>
  </si>
  <si>
    <t>2018-07-29</t>
  </si>
  <si>
    <t>1.83624</t>
  </si>
  <si>
    <t>2018-07-30</t>
  </si>
  <si>
    <t>1.68724</t>
  </si>
  <si>
    <t>2018-07-31</t>
  </si>
  <si>
    <t>1.4417</t>
  </si>
  <si>
    <t>2018-08-01</t>
  </si>
  <si>
    <t>1.67842</t>
  </si>
  <si>
    <t>2018-08-02</t>
  </si>
  <si>
    <t>1.84831</t>
  </si>
  <si>
    <t>2018-08-03</t>
  </si>
  <si>
    <t>1.87662</t>
  </si>
  <si>
    <t>2018-08-04</t>
  </si>
  <si>
    <t>2.0739</t>
  </si>
  <si>
    <t>2018-08-05</t>
  </si>
  <si>
    <t>2.3141</t>
  </si>
  <si>
    <t>2018-08-06</t>
  </si>
  <si>
    <t>1.77822</t>
  </si>
  <si>
    <t>2018-08-07</t>
  </si>
  <si>
    <t>1.63526</t>
  </si>
  <si>
    <t>2018-08-08</t>
  </si>
  <si>
    <t>1.6768</t>
  </si>
  <si>
    <t>2018-08-09</t>
  </si>
  <si>
    <t>1.70767</t>
  </si>
  <si>
    <t>2018-08-10</t>
  </si>
  <si>
    <t>1.67796</t>
  </si>
  <si>
    <t>2018-08-11</t>
  </si>
  <si>
    <t>1.96319</t>
  </si>
  <si>
    <t>2018-08-12</t>
  </si>
  <si>
    <t>2.33731</t>
  </si>
  <si>
    <t>2018-08-13</t>
  </si>
  <si>
    <t>1.65429</t>
  </si>
  <si>
    <t>2018-08-14</t>
  </si>
  <si>
    <t>1.55658</t>
  </si>
  <si>
    <t>2018-08-15</t>
  </si>
  <si>
    <t>2.03723</t>
  </si>
  <si>
    <t>2018-08-16</t>
  </si>
  <si>
    <t>1.3853</t>
  </si>
  <si>
    <t>2018-08-17</t>
  </si>
  <si>
    <t>1.29317</t>
  </si>
  <si>
    <t>2018-08-18</t>
  </si>
  <si>
    <t>1.52873</t>
  </si>
  <si>
    <t>2018-08-19</t>
  </si>
  <si>
    <t>1.59859</t>
  </si>
  <si>
    <t>2018-08-20</t>
  </si>
  <si>
    <t>1.27483</t>
  </si>
  <si>
    <t>2018-08-21</t>
  </si>
  <si>
    <t>1.18525</t>
  </si>
  <si>
    <t>2018-08-22</t>
  </si>
  <si>
    <t>1.50691</t>
  </si>
  <si>
    <t>2018-08-23</t>
  </si>
  <si>
    <t>1.28829</t>
  </si>
  <si>
    <t>2018-08-24</t>
  </si>
  <si>
    <t>1.36627</t>
  </si>
  <si>
    <t>2018-08-25</t>
  </si>
  <si>
    <t>1.44286</t>
  </si>
  <si>
    <t>2018-08-26</t>
  </si>
  <si>
    <t>1.71834</t>
  </si>
  <si>
    <t>2018-08-27</t>
  </si>
  <si>
    <t>1.1878</t>
  </si>
  <si>
    <t>2018-08-28</t>
  </si>
  <si>
    <t>1.25116</t>
  </si>
  <si>
    <t>2018-08-29</t>
  </si>
  <si>
    <t>1.07176</t>
  </si>
  <si>
    <t>2018-08-30</t>
  </si>
  <si>
    <t>1.11817</t>
  </si>
  <si>
    <t>2018-08-31</t>
  </si>
  <si>
    <t>1.1748</t>
  </si>
  <si>
    <t>상위ZIP내파일</t>
  </si>
  <si>
    <t>내부파일</t>
  </si>
  <si>
    <t>원본행수</t>
  </si>
  <si>
    <t>출처</t>
  </si>
  <si>
    <t>20260915125346_지역별 방문자 수.csv</t>
  </si>
  <si>
    <t>관광데이터랩</t>
  </si>
  <si>
    <t>20260915125346_방문자 수 추이.csv</t>
  </si>
  <si>
    <t>20260915125346_방문자 거주지.csv</t>
  </si>
  <si>
    <t>20260915125411_지역별 방문자 수.csv</t>
  </si>
  <si>
    <t>20260915125411_방문자 수 추이.csv</t>
  </si>
  <si>
    <t>20260915125411_방문자 거주지.csv</t>
  </si>
  <si>
    <t>20260915125527_지역별 방문자 수.csv</t>
  </si>
  <si>
    <t>20260915125527_방문자 수 추이.csv</t>
  </si>
  <si>
    <t>20260915125527_방문자 거주지.csv</t>
  </si>
  <si>
    <t>20260915125606_지역별 방문자 수.csv</t>
  </si>
  <si>
    <t>20260915125606_방문자 수 추이.csv</t>
  </si>
  <si>
    <t>20260915125606_방문자 거주지.csv</t>
  </si>
  <si>
    <t>20260915125807_지역별 방문자 수.csv</t>
  </si>
  <si>
    <t>20260915125807_방문자 수 추이.csv</t>
  </si>
  <si>
    <t>20260915125807_방문자 거주지.csv</t>
  </si>
  <si>
    <t>20260915125909_지역별 방문자 수.csv</t>
  </si>
  <si>
    <t>20260915125909_방문자 수 추이.csv</t>
  </si>
  <si>
    <t>20260915125909_방문자 거주지.csv</t>
  </si>
  <si>
    <t>20260915125942_지역별 방문자 수.csv</t>
  </si>
  <si>
    <t>20260915125942_방문자 수 추이.csv</t>
  </si>
  <si>
    <t>20260915125942_방문자 거주지.csv</t>
  </si>
  <si>
    <t>20260915130016_지역별 방문자 수.csv</t>
  </si>
  <si>
    <t>20260915130016_방문자 수 추이.csv</t>
  </si>
  <si>
    <t>20260915130016_방문자 거주지.csv</t>
  </si>
  <si>
    <t>20260915130140_지역별 방문자 수.csv</t>
  </si>
  <si>
    <t>20260915130140_방문자 수 추이.csv</t>
  </si>
  <si>
    <t>20260915130140_방문자 거주지.csv</t>
  </si>
  <si>
    <t>20260915131543_관광소비 추이_내국인.csv</t>
  </si>
  <si>
    <t>20260915131543_관광소비 추이_현지인.csv</t>
  </si>
  <si>
    <t>20260915131543_관광소비 추이_외지인.csv</t>
  </si>
  <si>
    <t>20260915131543_관광소비_내국인.csv</t>
  </si>
  <si>
    <t>20260915131543_관광소비_외국인.csv</t>
  </si>
  <si>
    <t>20260915131543_성연령별 내국인 관광소비 분포.csv</t>
  </si>
  <si>
    <t>20260915131543_전국 대비 관광소비 추이_내국인.csv</t>
  </si>
  <si>
    <t>20260915131543_전국 대비 관광소비 추이_현지인.csv</t>
  </si>
  <si>
    <t>20260915131543_전국 대비 관광소비 추이_외지인.csv</t>
  </si>
  <si>
    <t>예산군 관광데이터/20260915131556_예산군_202601-202608_데이터랩_다운로드.zip</t>
  </si>
  <si>
    <t>20260915131556_AI 관광 분석_방문자.csv</t>
  </si>
  <si>
    <t>20260915131556_AI 관광 분석_숙박_체류시간.csv</t>
  </si>
  <si>
    <t>20260915131556_AI 관광 분석_연관지역.csv</t>
  </si>
  <si>
    <t>20260915131556_AI 관광 분석_유사지역.csv</t>
  </si>
  <si>
    <t>20260915131556_지역관광진단(전년동기대비).csv</t>
  </si>
  <si>
    <t>예산군 관광데이터/20260917143852_예산군_202601-202608_데이터랩_다운로드.zip</t>
  </si>
  <si>
    <t>20260917143852_AI 관광 분석_방문자.csv</t>
  </si>
  <si>
    <t>20260917143852_AI 관광 분석_숙박_체류시간.csv</t>
  </si>
  <si>
    <t>20260917143852_AI 관광 분석_연관지역.csv</t>
  </si>
  <si>
    <t>20260917143852_AI 관광 분석_유사지역.csv</t>
  </si>
  <si>
    <t>20260917143852_지역관광진단(전년동기대비).csv</t>
  </si>
  <si>
    <t>예산군 관광데이터/20260917143956_예산군_202601-202606_데이터랩_다운로드.zip</t>
  </si>
  <si>
    <t>20260917143956_AI 관광 분석_방문자.csv</t>
  </si>
  <si>
    <t>20260917143956_AI 관광 분석_숙박_체류시간.csv</t>
  </si>
  <si>
    <t>20260917143956_AI 관광 분석_연관지역.csv</t>
  </si>
  <si>
    <t>20260917143956_AI 관광 분석_유사지역.csv</t>
  </si>
  <si>
    <t>20260917143956_지역관광진단(전년동기대비).csv</t>
  </si>
  <si>
    <t>20260915130701_지역별 방문자 수.csv</t>
  </si>
  <si>
    <t>20260915130701_방문자 수 추이.csv</t>
  </si>
  <si>
    <t>20260915130701_방문자 거주지.csv</t>
  </si>
  <si>
    <t>20260915130718_지역별 방문자 수.csv</t>
  </si>
  <si>
    <t>20260915130718_방문자 수 추이.csv</t>
  </si>
  <si>
    <t>20260915130718_방문자 거주지.csv</t>
  </si>
  <si>
    <t>20260915130810_지역별 방문자 수.csv</t>
  </si>
  <si>
    <t>20260915130810_방문자 수 추이.csv</t>
  </si>
  <si>
    <t>20260915130810_방문자 거주지.csv</t>
  </si>
  <si>
    <t>20260915130830_지역별 방문자 수.csv</t>
  </si>
  <si>
    <t>20260915130830_방문자 수 추이.csv</t>
  </si>
  <si>
    <t>20260915130830_방문자 거주지.csv</t>
  </si>
  <si>
    <t>20260915130854_지역별 방문자 수.csv</t>
  </si>
  <si>
    <t>20260915130854_방문자 수 추이.csv</t>
  </si>
  <si>
    <t>20260915130854_방문자 거주지.csv</t>
  </si>
  <si>
    <t>20260915130912_지역별 방문자 수.csv</t>
  </si>
  <si>
    <t>20260915130912_방문자 수 추이.csv</t>
  </si>
  <si>
    <t>20260915130912_방문자 거주지.csv</t>
  </si>
  <si>
    <t>20260915130931_지역별 방문자 수.csv</t>
  </si>
  <si>
    <t>20260915130931_방문자 수 추이.csv</t>
  </si>
  <si>
    <t>20260915130931_방문자 거주지.csv</t>
  </si>
  <si>
    <t>20260915131004_지역별 방문자 수.csv</t>
  </si>
  <si>
    <t>20260915131004_방문자 수 추이.csv</t>
  </si>
  <si>
    <t>20260915131004_방문자 거주지.csv</t>
  </si>
  <si>
    <t>20260915131024_지역별 방문자 수.csv</t>
  </si>
  <si>
    <t>20260915131024_방문자 수 추이.csv</t>
  </si>
  <si>
    <t>20260915131024_방문자 거주지.csv</t>
  </si>
  <si>
    <t>20260915131044_지역별 방문자 수.csv</t>
  </si>
  <si>
    <t>20260915131044_방문자 수 추이.csv</t>
  </si>
  <si>
    <t>20260915131044_방문자 거주지.csv</t>
  </si>
  <si>
    <t>20260915131105_지역별 방문자 수.csv</t>
  </si>
  <si>
    <t>20260915131105_방문자 수 추이.csv</t>
  </si>
  <si>
    <t>20260915131105_방문자 거주지.csv</t>
  </si>
  <si>
    <t>영월군 관광데이터/20260915131620_영월군_202511-202608_데이터랩_다운로드.zip</t>
  </si>
  <si>
    <t>20260915131620_AI 관광 분석_방문자.csv</t>
  </si>
  <si>
    <t>20260915131620_AI 관광 분석_숙박_체류시간.csv</t>
  </si>
  <si>
    <t>20260915131620_AI 관광 분석_연관지역.csv</t>
  </si>
  <si>
    <t>20260915131620_AI 관광 분석_유사지역.csv</t>
  </si>
  <si>
    <t>20260915131620_지역관광진단(전년동기대비).csv</t>
  </si>
  <si>
    <t>20260915131630_관광소비 추이_내국인.csv</t>
  </si>
  <si>
    <t>20260915131630_관광소비 추이_현지인.csv</t>
  </si>
  <si>
    <t>20260915131630_관광소비 추이_외지인.csv</t>
  </si>
  <si>
    <t>20260915131630_관광소비_내국인.csv</t>
  </si>
  <si>
    <t>20260915131630_관광소비_외국인.csv</t>
  </si>
  <si>
    <t>20260915131630_성연령별 내국인 관광소비 분포.csv</t>
  </si>
  <si>
    <t>20260915131630_전국 대비 관광소비 추이_내국인.csv</t>
  </si>
  <si>
    <t>20260915131630_전국 대비 관광소비 추이_현지인.csv</t>
  </si>
  <si>
    <t>20260915131630_전국 대비 관광소비 추이_외지인.csv</t>
  </si>
  <si>
    <t>영월군 관광데이터/20260917143913_영월군_202511-202608_데이터랩_다운로드.zip</t>
  </si>
  <si>
    <t>20260917143913_AI 관광 분석_방문자.csv</t>
  </si>
  <si>
    <t>20260917143913_AI 관광 분석_숙박_체류시간.csv</t>
  </si>
  <si>
    <t>20260917143913_AI 관광 분석_연관지역.csv</t>
  </si>
  <si>
    <t>20260917143913_AI 관광 분석_유사지역.csv</t>
  </si>
  <si>
    <t>20260917143913_지역관광진단(전년동기대비).csv</t>
  </si>
  <si>
    <t>영월군 관광데이터/20260917144013_영월군_202511-202606_데이터랩_다운로드.zip</t>
  </si>
  <si>
    <t>20260917144013_AI 관광 분석_방문자.csv</t>
  </si>
  <si>
    <t>20260917144013_AI 관광 분석_숙박_체류시간.csv</t>
  </si>
  <si>
    <t>20260917144013_AI 관광 분석_연관지역.csv</t>
  </si>
  <si>
    <t>20260917144013_AI 관광 분석_유사지역.csv</t>
  </si>
  <si>
    <t>20260917144013_지역관광진단(전년동기대비).csv</t>
  </si>
  <si>
    <t>20260920215552_지역별 방문자 수.csv</t>
  </si>
  <si>
    <t>20260920215552_방문자 수 추이.csv</t>
  </si>
  <si>
    <t>20260920215552_방문자 거주지.csv</t>
  </si>
  <si>
    <t>20260920215614_지역별 방문자 수.csv</t>
  </si>
  <si>
    <t>20260920215614_방문자 수 추이.csv</t>
  </si>
  <si>
    <t>20260920215614_방문자 거주지.csv</t>
  </si>
  <si>
    <t>20260920215635_지역별 방문자 수.csv</t>
  </si>
  <si>
    <t>20260920215635_방문자 수 추이.csv</t>
  </si>
  <si>
    <t>20260920215635_방문자 거주지.csv</t>
  </si>
  <si>
    <t>20260920215658_지역별 방문자 수.csv</t>
  </si>
  <si>
    <t>20260920215658_방문자 수 추이.csv</t>
  </si>
  <si>
    <t>20260920215658_방문자 거주지.csv</t>
  </si>
  <si>
    <t>20260920215722_지역별 방문자 수.csv</t>
  </si>
  <si>
    <t>20260920215722_방문자 수 추이.csv</t>
  </si>
  <si>
    <t>20260920215722_방문자 거주지.csv</t>
  </si>
  <si>
    <t>20260920215755_지역별 방문자 수.csv</t>
  </si>
  <si>
    <t>20260920215755_방문자 수 추이.csv</t>
  </si>
  <si>
    <t>20260920215755_방문자 거주지.csv</t>
  </si>
  <si>
    <t>20260920215815_지역별 방문자 수.csv</t>
  </si>
  <si>
    <t>20260920215815_방문자 수 추이.csv</t>
  </si>
  <si>
    <t>20260920215815_방문자 거주지.csv</t>
  </si>
  <si>
    <t>리틀포레스트 KOBIS(1).zip</t>
  </si>
  <si>
    <t>리틀포레스트 KOBIS/KOBIS_공식통계정보_2026-09-21.xls</t>
  </si>
  <si>
    <t>KOBIS</t>
  </si>
  <si>
    <t>리틀포레스트 KOBIS/KOBIS_상영타입별_누적통계정보_2026-09-21.xls</t>
  </si>
  <si>
    <t>리틀포레스트 KOBIS/KOBIS_일자별_통계정보_2026-09-21 (1).xls</t>
  </si>
  <si>
    <t>리틀포레스트 KOBIS/KOBIS_일자별_통계정보_2026-09-21.xls</t>
  </si>
  <si>
    <t>리틀포레스트 KOBIS/KOBIS_지역별_통계정보_2026-09-21 (1).xls</t>
  </si>
  <si>
    <t>리틀포레스트 KOBIS/KOBIS_지역별_통계정보_2026-09-21.xls</t>
  </si>
  <si>
    <t>스크린수</t>
  </si>
  <si>
    <t>스크린점유율</t>
  </si>
  <si>
    <t>상영횟수</t>
  </si>
  <si>
    <t>상영점유율</t>
  </si>
  <si>
    <t>좌석수</t>
  </si>
  <si>
    <t>좌석점유율</t>
  </si>
  <si>
    <t>좌석판매율</t>
  </si>
  <si>
    <t>매출액</t>
  </si>
  <si>
    <t>매출액증감(전일대비)</t>
  </si>
  <si>
    <t>관객수</t>
  </si>
  <si>
    <t>관객수증감(전일대비)</t>
  </si>
  <si>
    <t>누적매출액</t>
  </si>
  <si>
    <t>누적관객수</t>
  </si>
  <si>
    <t>순위</t>
  </si>
  <si>
    <t>0.2%</t>
  </si>
  <si>
    <t>0.1%</t>
  </si>
  <si>
    <t>100.0%</t>
  </si>
  <si>
    <t>21524000 ( 100.0% )</t>
  </si>
  <si>
    <t>3239 ( 100.0% )</t>
  </si>
  <si>
    <t>0.6%</t>
  </si>
  <si>
    <t>0.3%</t>
  </si>
  <si>
    <t>80.8%</t>
  </si>
  <si>
    <t>46692700 ( 100.0% )</t>
  </si>
  <si>
    <t>6846 ( 100.0% )</t>
  </si>
  <si>
    <t>-25056700 ( -53.7% )</t>
  </si>
  <si>
    <t>-4106 ( -60.0% )</t>
  </si>
  <si>
    <t>0.0%</t>
  </si>
  <si>
    <t>0%</t>
  </si>
  <si>
    <t>91.0%</t>
  </si>
  <si>
    <t>6420000 ( 100.0% )</t>
  </si>
  <si>
    <t>1212 ( 100.0% )</t>
  </si>
  <si>
    <t>-4861000 ( -75.7% )</t>
  </si>
  <si>
    <t>-1005 ( -82.9% )</t>
  </si>
  <si>
    <t>77.4%</t>
  </si>
  <si>
    <t>12106000 ( 100.0% )</t>
  </si>
  <si>
    <t>1354 ( 100.0% )</t>
  </si>
  <si>
    <t>13.6%</t>
  </si>
  <si>
    <t>22.4%</t>
  </si>
  <si>
    <t>25.3%</t>
  </si>
  <si>
    <t>17.3%</t>
  </si>
  <si>
    <t>767144900 ( 6336.9% )</t>
  </si>
  <si>
    <t>129996 ( 9600.9% )</t>
  </si>
  <si>
    <t>14.0%</t>
  </si>
  <si>
    <t>25.5%</t>
  </si>
  <si>
    <t>21.4%</t>
  </si>
  <si>
    <t>605807000 ( 77.7% )</t>
  </si>
  <si>
    <t>35747 ( 27.2% )</t>
  </si>
  <si>
    <t>22.1%</t>
  </si>
  <si>
    <t>24.9%</t>
  </si>
  <si>
    <t>10.6%</t>
  </si>
  <si>
    <t>-726977786 ( -52.5% )</t>
  </si>
  <si>
    <t>-88315 ( -52.9% )</t>
  </si>
  <si>
    <t>13.3%</t>
  </si>
  <si>
    <t>20.6%</t>
  </si>
  <si>
    <t>634353102 ( 96.4% )</t>
  </si>
  <si>
    <t>75232 ( 95.5% )</t>
  </si>
  <si>
    <t>20.9%</t>
  </si>
  <si>
    <t>-124513316 ( -9.6% )</t>
  </si>
  <si>
    <t>-14282 ( -9.3% )</t>
  </si>
  <si>
    <t>14.6%</t>
  </si>
  <si>
    <t>22.2%</t>
  </si>
  <si>
    <t>22.9%</t>
  </si>
  <si>
    <t>8.1%</t>
  </si>
  <si>
    <t>-782686800 ( -67.0% )</t>
  </si>
  <si>
    <t>-88897 ( -63.6% )</t>
  </si>
  <si>
    <t>14.4%</t>
  </si>
  <si>
    <t>23.1%</t>
  </si>
  <si>
    <t>7.7%</t>
  </si>
  <si>
    <t>-25745400 ( -6.7% )</t>
  </si>
  <si>
    <t>-2959 ( -5.8% )</t>
  </si>
  <si>
    <t>13.4%</t>
  </si>
  <si>
    <t>18.1%</t>
  </si>
  <si>
    <t>18.2%</t>
  </si>
  <si>
    <t>7.9%</t>
  </si>
  <si>
    <t>-56422100 ( -15.7% )</t>
  </si>
  <si>
    <t>-7829 ( -16.4% )</t>
  </si>
  <si>
    <t>11.1%</t>
  </si>
  <si>
    <t>13.8%</t>
  </si>
  <si>
    <t>12.6%</t>
  </si>
  <si>
    <t>10.0%</t>
  </si>
  <si>
    <t>-37881700 ( -12.5% )</t>
  </si>
  <si>
    <t>-4837 ( -12.1% )</t>
  </si>
  <si>
    <t>11.5%</t>
  </si>
  <si>
    <t>13.2%</t>
  </si>
  <si>
    <t>12.8%</t>
  </si>
  <si>
    <t>142750430 ( 53.8% )</t>
  </si>
  <si>
    <t>13522 ( 38.4% )</t>
  </si>
  <si>
    <t>11.6%</t>
  </si>
  <si>
    <t>15%</t>
  </si>
  <si>
    <t>14.5%</t>
  </si>
  <si>
    <t>25.7%</t>
  </si>
  <si>
    <t>558088990 ( 136.8% )</t>
  </si>
  <si>
    <t>66151 ( 135.7% )</t>
  </si>
  <si>
    <t>15.1%</t>
  </si>
  <si>
    <t>22.8%</t>
  </si>
  <si>
    <t>-135650720 ( -14.0% )</t>
  </si>
  <si>
    <t>-15559 ( -13.5% )</t>
  </si>
  <si>
    <t>12.4%</t>
  </si>
  <si>
    <t>15.8%</t>
  </si>
  <si>
    <t>7.6%</t>
  </si>
  <si>
    <t>-603828500 ( -72.7% )</t>
  </si>
  <si>
    <t>-69230 ( -69.7% )</t>
  </si>
  <si>
    <t>12.2%</t>
  </si>
  <si>
    <t>15.9%</t>
  </si>
  <si>
    <t>-587800 ( -0.3% )</t>
  </si>
  <si>
    <t>89 ( 0.3% )</t>
  </si>
  <si>
    <t>9.8%</t>
  </si>
  <si>
    <t>10.7%</t>
  </si>
  <si>
    <t>9.1%</t>
  </si>
  <si>
    <t>-53349400 ( -23.6% )</t>
  </si>
  <si>
    <t>-7278 ( -24.1% )</t>
  </si>
  <si>
    <t>9.5%</t>
  </si>
  <si>
    <t>10.3%</t>
  </si>
  <si>
    <t>8.9%</t>
  </si>
  <si>
    <t>-27446600 ( -15.9% )</t>
  </si>
  <si>
    <t>-3553 ( -15.5% )</t>
  </si>
  <si>
    <t>9.7%</t>
  </si>
  <si>
    <t>10.8%</t>
  </si>
  <si>
    <t>9.4%</t>
  </si>
  <si>
    <t>77150518 ( 53.1% )</t>
  </si>
  <si>
    <t>7189 ( 37.1% )</t>
  </si>
  <si>
    <t>9.3%</t>
  </si>
  <si>
    <t>19.5%</t>
  </si>
  <si>
    <t>242596406 ( 109.1% )</t>
  </si>
  <si>
    <t>28773 ( 108.4% )</t>
  </si>
  <si>
    <t>9.6%</t>
  </si>
  <si>
    <t>16.5%</t>
  </si>
  <si>
    <t>-81816924 ( -17.6% )</t>
  </si>
  <si>
    <t>-9607 ( -17.4% )</t>
  </si>
  <si>
    <t>10.9%</t>
  </si>
  <si>
    <t>6.0%</t>
  </si>
  <si>
    <t>-270211200 ( -70.5% )</t>
  </si>
  <si>
    <t>-30702 ( -67.2% )</t>
  </si>
  <si>
    <t>5.8%</t>
  </si>
  <si>
    <t>-5548600 ( -4.9% )</t>
  </si>
  <si>
    <t>-634 ( -4.2% )</t>
  </si>
  <si>
    <t>10.1%</t>
  </si>
  <si>
    <t>6.3%</t>
  </si>
  <si>
    <t>-13361200 ( -12.4% )</t>
  </si>
  <si>
    <t>-1533 ( -10.7% )</t>
  </si>
  <si>
    <t>5.6%</t>
  </si>
  <si>
    <t>4.5%</t>
  </si>
  <si>
    <t>8.3%</t>
  </si>
  <si>
    <t>-17960300 ( -19.1% )</t>
  </si>
  <si>
    <t>-2570 ( -20.0% )</t>
  </si>
  <si>
    <t>8.4%</t>
  </si>
  <si>
    <t>5.7%</t>
  </si>
  <si>
    <t>4.6%</t>
  </si>
  <si>
    <t>9.9%</t>
  </si>
  <si>
    <t>30469776 ( 40.1% )</t>
  </si>
  <si>
    <t>2531 ( 24.6% )</t>
  </si>
  <si>
    <t>5.1%</t>
  </si>
  <si>
    <t>4.2%</t>
  </si>
  <si>
    <t>20.4%</t>
  </si>
  <si>
    <t>104703711 ( 98.3% )</t>
  </si>
  <si>
    <t>12572 ( 98.2% )</t>
  </si>
  <si>
    <t>18.3%</t>
  </si>
  <si>
    <t>-29951687 ( -14.2% )</t>
  </si>
  <si>
    <t>-3342 ( -13.2% )</t>
  </si>
  <si>
    <t>8.6%</t>
  </si>
  <si>
    <t>6%</t>
  </si>
  <si>
    <t>4.9%</t>
  </si>
  <si>
    <t>6.1%</t>
  </si>
  <si>
    <t>-123780000 ( -68.3% )</t>
  </si>
  <si>
    <t>-14155 ( -64.3% )</t>
  </si>
  <si>
    <t>8.5%</t>
  </si>
  <si>
    <t>6.2%</t>
  </si>
  <si>
    <t>6.5%</t>
  </si>
  <si>
    <t>3912500 ( 6.8% )</t>
  </si>
  <si>
    <t>716 ( 9.1% )</t>
  </si>
  <si>
    <t>2.4%</t>
  </si>
  <si>
    <t>1%</t>
  </si>
  <si>
    <t>0.7%</t>
  </si>
  <si>
    <t>-44870300 ( -73.1% )</t>
  </si>
  <si>
    <t>-5782 ( -67.3% )</t>
  </si>
  <si>
    <t>2.2%</t>
  </si>
  <si>
    <t>0.9%</t>
  </si>
  <si>
    <t>-3116200 ( -18.9% )</t>
  </si>
  <si>
    <t>-848 ( -30.2% )</t>
  </si>
  <si>
    <t>2.3%</t>
  </si>
  <si>
    <t>11.9%</t>
  </si>
  <si>
    <t>4186100 ( 31.3% )</t>
  </si>
  <si>
    <t>447 ( 22.8% )</t>
  </si>
  <si>
    <t>1.6%</t>
  </si>
  <si>
    <t>0.5%</t>
  </si>
  <si>
    <t>24.0%</t>
  </si>
  <si>
    <t>10615400 ( 60.4% )</t>
  </si>
  <si>
    <t>1154 ( 47.9% )</t>
  </si>
  <si>
    <t>19.0%</t>
  </si>
  <si>
    <t>-6413000 ( -22.8% )</t>
  </si>
  <si>
    <t>-814 ( -22.9% )</t>
  </si>
  <si>
    <t>0.8%</t>
  </si>
  <si>
    <t>-10414600 ( -47.8% )</t>
  </si>
  <si>
    <t>-1121 ( -40.8% )</t>
  </si>
  <si>
    <t>2.1%</t>
  </si>
  <si>
    <t>-1395100 ( -12.3% )</t>
  </si>
  <si>
    <t>-203 ( -12.5% )</t>
  </si>
  <si>
    <t>1.9%</t>
  </si>
  <si>
    <t>-1312500 ( -13.2% )</t>
  </si>
  <si>
    <t>-172 ( -12.1% )</t>
  </si>
  <si>
    <t>0.4%</t>
  </si>
  <si>
    <t>14.1%</t>
  </si>
  <si>
    <t>-5073700 ( -58.7% )</t>
  </si>
  <si>
    <t>-716 ( -57.2% )</t>
  </si>
  <si>
    <t>11.3%</t>
  </si>
  <si>
    <t>-162500 ( -4.6% )</t>
  </si>
  <si>
    <t>-99 ( -18.5% )</t>
  </si>
  <si>
    <t>11.0%</t>
  </si>
  <si>
    <t>113800 ( 3.3% )</t>
  </si>
  <si>
    <t>-25 ( -5.7% )</t>
  </si>
  <si>
    <t>18.7%</t>
  </si>
  <si>
    <t>1285700 ( 36.5% )</t>
  </si>
  <si>
    <t>154 ( 37.5% )</t>
  </si>
  <si>
    <t>-3197800 ( -66.5% )</t>
  </si>
  <si>
    <t>-347 ( -61.4% )</t>
  </si>
  <si>
    <t>-266900 ( -16.6% )</t>
  </si>
  <si>
    <t>-32 ( -14.7% )</t>
  </si>
  <si>
    <t>5.4%</t>
  </si>
  <si>
    <t>216400 ( 16.1% )</t>
  </si>
  <si>
    <t>20 ( 10.8% )</t>
  </si>
  <si>
    <t>-1376600 ( -88.4% )</t>
  </si>
  <si>
    <t>-182 ( -88.3% )</t>
  </si>
  <si>
    <t>901600 ( 496.7% )</t>
  </si>
  <si>
    <t>128 ( 533.3% )</t>
  </si>
  <si>
    <t>20.7%</t>
  </si>
  <si>
    <t>449500 ( 41.5% )</t>
  </si>
  <si>
    <t>18 ( 11.8% )</t>
  </si>
  <si>
    <t>15.4%</t>
  </si>
  <si>
    <t>-573900 ( -37.4% )</t>
  </si>
  <si>
    <t>-63 ( -37.1% )</t>
  </si>
  <si>
    <t>-424700 ( -44.3% )</t>
  </si>
  <si>
    <t>-31 ( -29.0% )</t>
  </si>
  <si>
    <t>4.4%</t>
  </si>
  <si>
    <t>-139000 ( -26.0% )</t>
  </si>
  <si>
    <t>-30 ( -39.5% )</t>
  </si>
  <si>
    <t>140600 ( 35.6% )</t>
  </si>
  <si>
    <t>29 ( 63.0% )</t>
  </si>
  <si>
    <t>5.0%</t>
  </si>
  <si>
    <t>-288100 ( -53.8% )</t>
  </si>
  <si>
    <t>-45 ( -60.0% )</t>
  </si>
  <si>
    <t>3.6%</t>
  </si>
  <si>
    <t>114000 ( 46.1% )</t>
  </si>
  <si>
    <t>5 ( 16.7% )</t>
  </si>
  <si>
    <t>102500 ( 28.4% )</t>
  </si>
  <si>
    <t>16 ( 45.7% )</t>
  </si>
  <si>
    <t>-119100 ( -25.7% )</t>
  </si>
  <si>
    <t>-11 ( -21.6% )</t>
  </si>
  <si>
    <t>2.9%</t>
  </si>
  <si>
    <t>-163400 ( -47.4% )</t>
  </si>
  <si>
    <t>-17 ( -42.5% )</t>
  </si>
  <si>
    <t>4.0%</t>
  </si>
  <si>
    <t>158000 ( 87.1% )</t>
  </si>
  <si>
    <t>17 ( 73.9% )</t>
  </si>
  <si>
    <t>59.1%</t>
  </si>
  <si>
    <t>344500 ( 101.5% )</t>
  </si>
  <si>
    <t>90 ( 225.0% )</t>
  </si>
  <si>
    <t>66.7%</t>
  </si>
  <si>
    <t>540000 ( 100.0% )</t>
  </si>
  <si>
    <t>90 ( 100.0% )</t>
  </si>
  <si>
    <t>35.0%</t>
  </si>
  <si>
    <t>-456000 ( -84.4% )</t>
  </si>
  <si>
    <t>-76 ( -84.4% )</t>
  </si>
  <si>
    <t>22.5%</t>
  </si>
  <si>
    <t>-30000 ( -35.7% )</t>
  </si>
  <si>
    <t>-5 ( -35.7% )</t>
  </si>
  <si>
    <t>33.3%</t>
  </si>
  <si>
    <t>218000 ( 403.7% )</t>
  </si>
  <si>
    <t>24 ( 266.7% )</t>
  </si>
  <si>
    <t>97.5%</t>
  </si>
  <si>
    <t>36000 ( 13.2% )</t>
  </si>
  <si>
    <t>6 ( 18.2% )</t>
  </si>
  <si>
    <t>23.7%</t>
  </si>
  <si>
    <t>139000 ( 100.0% )</t>
  </si>
  <si>
    <t>14 ( 100.0% )</t>
  </si>
  <si>
    <t>3.4%</t>
  </si>
  <si>
    <t>-119000 ( -85.6% )</t>
  </si>
  <si>
    <t>-12 ( -85.7% )</t>
  </si>
  <si>
    <t>10.2%</t>
  </si>
  <si>
    <t>40000 ( 200.0% )</t>
  </si>
  <si>
    <t>4 ( 200.0% )</t>
  </si>
  <si>
    <t>228000 ( 380.0% )</t>
  </si>
  <si>
    <t>26 ( 433.3% )</t>
  </si>
  <si>
    <t>1.7%</t>
  </si>
  <si>
    <t>10000 ( 100.0% )</t>
  </si>
  <si>
    <t>1 ( 100.0% )</t>
  </si>
  <si>
    <t>29.2%</t>
  </si>
  <si>
    <t>305000 ( 3050.0% )</t>
  </si>
  <si>
    <t>44 ( 4400.0% )</t>
  </si>
  <si>
    <t>-295000 ( -93.7% )</t>
  </si>
  <si>
    <t>-43 ( -95.6% )</t>
  </si>
  <si>
    <t>110000 ( 100.0% )</t>
  </si>
  <si>
    <t>22 ( 100.0% )</t>
  </si>
  <si>
    <t>30000 ( 100.0% )</t>
  </si>
  <si>
    <t>3 ( 100.0% )</t>
  </si>
  <si>
    <t>18.0%</t>
  </si>
  <si>
    <t>262000 ( 873.3% )</t>
  </si>
  <si>
    <t>44 ( 1466.7% )</t>
  </si>
  <si>
    <t>-232000 ( -79.5% )</t>
  </si>
  <si>
    <t>-41 ( -87.2% )</t>
  </si>
  <si>
    <t>78.1%</t>
  </si>
  <si>
    <t>440000 ( 4400.0% )</t>
  </si>
  <si>
    <t>49 ( 4900.0% )</t>
  </si>
  <si>
    <t>77.8%</t>
  </si>
  <si>
    <t>40000 ( 8.9% )</t>
  </si>
  <si>
    <t>20 ( 40.0% )</t>
  </si>
  <si>
    <t>800000 ( 100.0% )</t>
  </si>
  <si>
    <t>114 ( 100.0% )</t>
  </si>
  <si>
    <t>384000 ( 100.0% )</t>
  </si>
  <si>
    <t>60 ( 100.0% )</t>
  </si>
  <si>
    <t>-67000 ( -17.4% )</t>
  </si>
  <si>
    <t>-11 ( -18.3% )</t>
  </si>
  <si>
    <t>1261000 ( 100.0% )</t>
  </si>
  <si>
    <t>97 ( 100.0% )</t>
  </si>
  <si>
    <t>0 ( 0.0% )</t>
  </si>
  <si>
    <t>1264000 ( 100.0% )</t>
  </si>
  <si>
    <t>158 ( 100.0% )</t>
  </si>
  <si>
    <t>-1264000 ( -100.0% )</t>
  </si>
  <si>
    <t>-158 ( -100.0% )</t>
  </si>
  <si>
    <t>913000 ( 100.0% )</t>
  </si>
  <si>
    <t>83 ( 100.0% )</t>
  </si>
  <si>
    <t>725000 ( 100.0% )</t>
  </si>
  <si>
    <t>141 ( 100.0% )</t>
  </si>
  <si>
    <t>72.5%</t>
  </si>
  <si>
    <t>1188000 ( 100.0% )</t>
  </si>
  <si>
    <t>198 ( 100.0% )</t>
  </si>
  <si>
    <t>35.8%</t>
  </si>
  <si>
    <t>440000 ( 100.0% )</t>
  </si>
  <si>
    <t>44 ( 100.0% )</t>
  </si>
  <si>
    <t>34.7%</t>
  </si>
  <si>
    <t>543000 ( 100.0% )</t>
  </si>
  <si>
    <t>70 ( 100.0% )</t>
  </si>
  <si>
    <t>101.3%</t>
  </si>
  <si>
    <t>972000 ( 100.0% )</t>
  </si>
  <si>
    <t>162 ( 100.0% )</t>
  </si>
  <si>
    <t>90000 ( 100.0% )</t>
  </si>
  <si>
    <t>10 ( 100.0% )</t>
  </si>
  <si>
    <t>94.3%</t>
  </si>
  <si>
    <t>700000 ( 100.0% )</t>
  </si>
  <si>
    <t>100 ( 100.0% )</t>
  </si>
  <si>
    <t>21.7%</t>
  </si>
  <si>
    <t>140000 ( 100.0% )</t>
  </si>
  <si>
    <t>20 ( 100.0% )</t>
  </si>
  <si>
    <t>83.3%</t>
  </si>
  <si>
    <t>870000 ( 100.0% )</t>
  </si>
  <si>
    <t>145 ( 100.0% )</t>
  </si>
  <si>
    <t>3.9%</t>
  </si>
  <si>
    <t>80000 ( 100.0% )</t>
  </si>
  <si>
    <t>16 ( 100.0% )</t>
  </si>
  <si>
    <t>51.8%</t>
  </si>
  <si>
    <t>990000 ( 1237.5% )</t>
  </si>
  <si>
    <t>198 ( 1237.5% )</t>
  </si>
  <si>
    <t>-608000 ( -56.8% )</t>
  </si>
  <si>
    <t>-172 ( -80.4% )</t>
  </si>
  <si>
    <t>46.0%</t>
  </si>
  <si>
    <t>1745000 ( 100.0% )</t>
  </si>
  <si>
    <t>240 ( 100.0% )</t>
  </si>
  <si>
    <t>88.8%</t>
  </si>
  <si>
    <t>1050000 ( 100.0% )</t>
  </si>
  <si>
    <t>150 ( 100.0% )</t>
  </si>
  <si>
    <t>176000 ( 100.0% )</t>
  </si>
  <si>
    <t>1740000 ( 100.0% )</t>
  </si>
  <si>
    <t>174 ( 100.0% )</t>
  </si>
  <si>
    <t>101.8%</t>
  </si>
  <si>
    <t>336000 ( 100.0% )</t>
  </si>
  <si>
    <t>56 ( 100.0% )</t>
  </si>
  <si>
    <t>1.2%</t>
  </si>
  <si>
    <t>505000 ( 100.0% )</t>
  </si>
  <si>
    <t>101 ( 100.0% )</t>
  </si>
  <si>
    <t>1.4%</t>
  </si>
  <si>
    <t>-105000 ( -20.8% )</t>
  </si>
  <si>
    <t>-21 ( -20.8% )</t>
  </si>
  <si>
    <t>1.5%</t>
  </si>
  <si>
    <t>110000 ( 27.5% )</t>
  </si>
  <si>
    <t>22 ( 27.5% )</t>
  </si>
  <si>
    <t>60000 ( 11.8% )</t>
  </si>
  <si>
    <t>12 ( 11.8% )</t>
  </si>
  <si>
    <t>1.1%</t>
  </si>
  <si>
    <t>-275000 ( -48.2% )</t>
  </si>
  <si>
    <t>-55 ( -48.2% )</t>
  </si>
  <si>
    <t>1.3%</t>
  </si>
  <si>
    <t>105000 ( 35.6% )</t>
  </si>
  <si>
    <t>21 ( 35.6% )</t>
  </si>
  <si>
    <t>-125000 ( -31.3% )</t>
  </si>
  <si>
    <t>-25 ( -31.3% )</t>
  </si>
  <si>
    <t>3.5%</t>
  </si>
  <si>
    <t>-210000 ( -76.4% )</t>
  </si>
  <si>
    <t>-42 ( -76.4% )</t>
  </si>
  <si>
    <t>2.7%</t>
  </si>
  <si>
    <t>10000 ( 15.4% )</t>
  </si>
  <si>
    <t>2 ( 15.4% )</t>
  </si>
  <si>
    <t>20000 ( 26.7% )</t>
  </si>
  <si>
    <t>4 ( 26.7% )</t>
  </si>
  <si>
    <t>2.0%</t>
  </si>
  <si>
    <t>-40000 ( -42.1% )</t>
  </si>
  <si>
    <t>-8 ( -42.1% )</t>
  </si>
  <si>
    <t>3.0%</t>
  </si>
  <si>
    <t>55000 ( 100.0% )</t>
  </si>
  <si>
    <t>11 ( 100.0% )</t>
  </si>
  <si>
    <t>-100000 ( -90.9% )</t>
  </si>
  <si>
    <t>-20 ( -90.9% )</t>
  </si>
  <si>
    <t>50000 ( 500.0% )</t>
  </si>
  <si>
    <t>10 ( 500.0% )</t>
  </si>
  <si>
    <t>3.1%</t>
  </si>
  <si>
    <t>819000 ( 100.0% )</t>
  </si>
  <si>
    <t>135 ( 100.0% )</t>
  </si>
  <si>
    <t>-371000 ( -45.3% )</t>
  </si>
  <si>
    <t>-61 ( -45.2% )</t>
  </si>
  <si>
    <t>591000 ( 131.9% )</t>
  </si>
  <si>
    <t>95 ( 128.4% )</t>
  </si>
  <si>
    <t>2.6%</t>
  </si>
  <si>
    <t>-501000 ( -48.2% )</t>
  </si>
  <si>
    <t>-80 ( -47.3% )</t>
  </si>
  <si>
    <t>-173000 ( -32.2% )</t>
  </si>
  <si>
    <t>-30 ( -33.7% )</t>
  </si>
  <si>
    <t>1 ( 1.7% )</t>
  </si>
  <si>
    <t>-338000 ( -92.6% )</t>
  </si>
  <si>
    <t>-57 ( -95.0% )</t>
  </si>
  <si>
    <t>82000 ( 100.0% )</t>
  </si>
  <si>
    <t>12 ( 100.0% )</t>
  </si>
  <si>
    <t>32500 ( 39.6% )</t>
  </si>
  <si>
    <t>4 ( 33.3% )</t>
  </si>
  <si>
    <t>197500 ( 172.5% )</t>
  </si>
  <si>
    <t>28 ( 175.0% )</t>
  </si>
  <si>
    <t>68500 ( 22.0% )</t>
  </si>
  <si>
    <t>10 ( 22.7% )</t>
  </si>
  <si>
    <t>-70500 ( -18.5% )</t>
  </si>
  <si>
    <t>-9 ( -16.7% )</t>
  </si>
  <si>
    <t>-152000 ( -49.0% )</t>
  </si>
  <si>
    <t>-22 ( -48.9% )</t>
  </si>
  <si>
    <t>60000 ( 38.0% )</t>
  </si>
  <si>
    <t>9 ( 39.1% )</t>
  </si>
  <si>
    <t>-12000 ( -5.5% )</t>
  </si>
  <si>
    <t>-2 ( -6.3% )</t>
  </si>
  <si>
    <t>-206000 ( -100.0% )</t>
  </si>
  <si>
    <t>-30 ( -100.0% )</t>
  </si>
  <si>
    <t>122000 ( 100.0% )</t>
  </si>
  <si>
    <t>18 ( 100.0% )</t>
  </si>
  <si>
    <t>9500 ( 7.8% )</t>
  </si>
  <si>
    <t>1 ( 5.6% )</t>
  </si>
  <si>
    <t>-20000 ( -15.2% )</t>
  </si>
  <si>
    <t>-3 ( -15.8% )</t>
  </si>
  <si>
    <t>394500 ( 353.8% )</t>
  </si>
  <si>
    <t>57 ( 356.3% )</t>
  </si>
  <si>
    <t>-279000 ( -55.1% )</t>
  </si>
  <si>
    <t>-41 ( -56.2% )</t>
  </si>
  <si>
    <t>26.4%</t>
  </si>
  <si>
    <t>-59000 ( -26.0% )</t>
  </si>
  <si>
    <t>-8 ( -25.0% )</t>
  </si>
  <si>
    <t>-98000 ( -58.3% )</t>
  </si>
  <si>
    <t>-14 ( -58.3% )</t>
  </si>
  <si>
    <t>27.5%</t>
  </si>
  <si>
    <t>105000 ( 150.0% )</t>
  </si>
  <si>
    <t>15 ( 150.0% )</t>
  </si>
  <si>
    <t>3.3%</t>
  </si>
  <si>
    <t>-154000 ( -88.0% )</t>
  </si>
  <si>
    <t>-22 ( -88.0% )</t>
  </si>
  <si>
    <t>144000 ( 100.0% )</t>
  </si>
  <si>
    <t>20000 ( 100.0% )</t>
  </si>
  <si>
    <t>170600 ( 853.0% )</t>
  </si>
  <si>
    <t>28 ( 933.3% )</t>
  </si>
  <si>
    <t>-33130 ( -17.4% )</t>
  </si>
  <si>
    <t>-5 ( -16.1% )</t>
  </si>
  <si>
    <t>121530 ( 77.2% )</t>
  </si>
  <si>
    <t>15 ( 57.7% )</t>
  </si>
  <si>
    <t>55100 ( 19.7% )</t>
  </si>
  <si>
    <t>11 ( 26.8% )</t>
  </si>
  <si>
    <t>-109100 ( -32.7% )</t>
  </si>
  <si>
    <t>-18 ( -34.6% )</t>
  </si>
  <si>
    <t>-32500 ( -14.4% )</t>
  </si>
  <si>
    <t>-5 ( -14.7% )</t>
  </si>
  <si>
    <t>-82500 ( -42.9% )</t>
  </si>
  <si>
    <t>-10 ( -34.5% )</t>
  </si>
  <si>
    <t>6000 ( 5.5% )</t>
  </si>
  <si>
    <t>-4 ( -21.1% )</t>
  </si>
  <si>
    <t>-21000 ( -18.1% )</t>
  </si>
  <si>
    <t>-6000 ( -6.3% )</t>
  </si>
  <si>
    <t>-2 ( -13.3% )</t>
  </si>
  <si>
    <t>8600 ( 9.7% )</t>
  </si>
  <si>
    <t>1.0%</t>
  </si>
  <si>
    <t>73400 ( 75.2% )</t>
  </si>
  <si>
    <t>13 ( 86.7% )</t>
  </si>
  <si>
    <t>23300 ( 13.6% )</t>
  </si>
  <si>
    <t>-1 ( -3.6% )</t>
  </si>
  <si>
    <t>-112300 ( -57.8% )</t>
  </si>
  <si>
    <t>-16 ( -59.3% )</t>
  </si>
  <si>
    <t>14000 ( 17.1% )</t>
  </si>
  <si>
    <t>3 ( 27.3% )</t>
  </si>
  <si>
    <t>68300 ( 71.1% )</t>
  </si>
  <si>
    <t>9 ( 64.3% )</t>
  </si>
  <si>
    <t>-110300 ( -67.1% )</t>
  </si>
  <si>
    <t>-15 ( -65.2% )</t>
  </si>
  <si>
    <t>-37000 ( -68.5% )</t>
  </si>
  <si>
    <t>-5 ( -62.5% )</t>
  </si>
  <si>
    <t>90000 ( 529.4% )</t>
  </si>
  <si>
    <t>10 ( 333.3% )</t>
  </si>
  <si>
    <t>-2000 ( -1.9% )</t>
  </si>
  <si>
    <t>72000 ( 100.0% )</t>
  </si>
  <si>
    <t>8 ( 100.0% )</t>
  </si>
  <si>
    <t>14000 ( 100.0% )</t>
  </si>
  <si>
    <t>2 ( 100.0% )</t>
  </si>
  <si>
    <t>100000 ( 714.3% )</t>
  </si>
  <si>
    <t>12 ( 600.0% )</t>
  </si>
  <si>
    <t>24000 ( 100.0% )</t>
  </si>
  <si>
    <t>4 ( 100.0% )</t>
  </si>
  <si>
    <t>27.2%</t>
  </si>
  <si>
    <t>400000 ( 100.0% )</t>
  </si>
  <si>
    <t>50 ( 100.0% )</t>
  </si>
  <si>
    <t>250000 ( 100.0% )</t>
  </si>
  <si>
    <t>26.6%</t>
  </si>
  <si>
    <t>550000 ( 100.0% )</t>
  </si>
  <si>
    <t>110 ( 100.0% )</t>
  </si>
  <si>
    <t>17.5%</t>
  </si>
  <si>
    <t>49000 ( 100.0% )</t>
  </si>
  <si>
    <t>7 ( 100.0% )</t>
  </si>
  <si>
    <t>40.0%</t>
  </si>
  <si>
    <t>169000 ( 100.0% )</t>
  </si>
  <si>
    <t>25.0%</t>
  </si>
  <si>
    <t>93000 ( 100.0% )</t>
  </si>
  <si>
    <t>2.5%</t>
  </si>
  <si>
    <t>9000 ( 100.0% )</t>
  </si>
  <si>
    <t>66000 ( 100.0% )</t>
  </si>
  <si>
    <t>7.5%</t>
  </si>
  <si>
    <t>79.0%</t>
  </si>
  <si>
    <t>2905000 ( 100.0% )</t>
  </si>
  <si>
    <t>415 ( 100.0% )</t>
  </si>
  <si>
    <t>55.6%</t>
  </si>
  <si>
    <t>375000 ( 100.0% )</t>
  </si>
  <si>
    <t>25 ( 100.0% )</t>
  </si>
  <si>
    <t>7.1%</t>
  </si>
  <si>
    <t>3867700 ( 100.0% )</t>
  </si>
  <si>
    <t>416 ( 100.0% )</t>
  </si>
  <si>
    <t>-1836500 ( -47.5% )</t>
  </si>
  <si>
    <t>-198 ( -47.6% )</t>
  </si>
  <si>
    <t>-304200 ( -15.0% )</t>
  </si>
  <si>
    <t>-35 ( -16.1% )</t>
  </si>
  <si>
    <t>-256000 ( -14.8% )</t>
  </si>
  <si>
    <t>-27 ( -14.8% )</t>
  </si>
  <si>
    <t>-189600 ( -12.9% )</t>
  </si>
  <si>
    <t>-16 ( -10.3% )</t>
  </si>
  <si>
    <t>97.9%</t>
  </si>
  <si>
    <t>515000 ( 100.0% )</t>
  </si>
  <si>
    <t>47 ( 100.0% )</t>
  </si>
  <si>
    <t>60.6%</t>
  </si>
  <si>
    <t>600000 ( 100.0% )</t>
  </si>
  <si>
    <t>720000 ( 100.0% )</t>
  </si>
  <si>
    <t>93.5%</t>
  </si>
  <si>
    <t>609000 ( 100.0% )</t>
  </si>
  <si>
    <t>87 ( 100.0% )</t>
  </si>
  <si>
    <t>26000 ( 108.3% )</t>
  </si>
  <si>
    <t>25000 ( 100.0% )</t>
  </si>
  <si>
    <t>-15000 ( -60.0% )</t>
  </si>
  <si>
    <t>-2 ( -66.7% )</t>
  </si>
  <si>
    <t>48000 ( 100.0% )</t>
  </si>
  <si>
    <t>5 ( 100.0% )</t>
  </si>
  <si>
    <t>변수</t>
  </si>
  <si>
    <t>산출식 또는 출처</t>
  </si>
  <si>
    <t>파일 구분</t>
  </si>
  <si>
    <t>학습용: 살목지·왕과 사는 남자·리틀 포레스트</t>
  </si>
  <si>
    <t>분리 기준</t>
  </si>
  <si>
    <t>기존 4개영화 통합파일의 데이터구분에 따라 일별·보조자료·검색원본·KOBIS를 분리. 값과 결측 유지.</t>
  </si>
  <si>
    <t>검증 원칙</t>
  </si>
  <si>
    <t>학습용 파일에서 기준을 결정한 뒤 고정하여 검증용 파일에 적용. 검증 결과로 임계값·변수·기간을 조정하지 않음.</t>
  </si>
  <si>
    <t>날짜 - 개봉일. 개봉일은 제공된 기준 사용.</t>
  </si>
  <si>
    <t>개봉전후·요일·주말</t>
  </si>
  <si>
    <t>경과일&lt;0은 개봉전, 나머지는 개봉후. 요일은 날짜에서 산출. 토·일은 주말=1.</t>
  </si>
  <si>
    <t>외지인방문자 / 전체방문자. 두 원값이 있을 때 계산.</t>
  </si>
  <si>
    <t>당일 전체방문자 / 전일 전체방문자 - 1. 연속 날짜의 두 값이 있을 때 계산.</t>
  </si>
  <si>
    <t>당일 포함 최근 7일 전체방문자 평균. 7개 값이 모두 있을 때 계산.</t>
  </si>
  <si>
    <t>당일 제외 직전 28일 전체방문자 평균. 28개 값이 모두 있을 때 계산.</t>
  </si>
  <si>
    <t>당일 전체방문자 / 직전28일평균. 1=기준 수준.</t>
  </si>
  <si>
    <t>당일 검색지수 / 전일 검색지수 - 1. 분모 0 또는 결측이면 공란.</t>
  </si>
  <si>
    <t>당일 포함 최근 7일 검색지수 평균. 7개 값이 모두 있을 때 계산.</t>
  </si>
  <si>
    <t>당일 제외 직전 28일 검색지수 평균. 28개 값이 모두 있을 때 계산.</t>
  </si>
  <si>
    <t>NAVER_7일평균 / NAVER_직전28일평균. 기존 계산 기준 유지.</t>
  </si>
  <si>
    <t>당일 검색지수 / NAVER_직전28일평균.</t>
  </si>
  <si>
    <t>외지인_동요일평균·비율</t>
  </si>
  <si>
    <t>7·14·21·28일 전 외지인방문자 평균 및 당일/평균. 4개 과거 값이 모두 있을 때 계산.</t>
  </si>
  <si>
    <t>결측·집계차</t>
  </si>
  <si>
    <t>결측 대체·이상치 삭제 없음. 전체와 외지인+현지인의 ±1 차이는 원본 그대로 유지.</t>
  </si>
  <si>
    <t>영화별 일자별 표만 날짜로 병합. 같은 내용의 중복 표는 한 번만 사용. 없는 날짜는 0으로 간주하지 않음.</t>
  </si>
  <si>
    <t>수식 범위</t>
  </si>
  <si>
    <t>영화별·날짜순 연속 행의 과거 자료만 사용. 행 삽입·삭제·재정렬 후 기간·참조를 재검증. 28일은 탐색용 기준.</t>
  </si>
  <si>
    <t>당시광역지자체=경상북도. 방문자료 2018-08-01~2019-02-28. 개봉 전후 방문자료 미확보.</t>
  </si>
  <si>
    <t>검색량</t>
  </si>
  <si>
    <t>기존 살목지·왕과 사는 남자 원본 블록과 datalab (2).xlsx의 리틀포레스트 검색 원값 유지.</t>
  </si>
  <si>
    <t>KOBIS일별</t>
  </si>
  <si>
    <t>리틀 포레스트의 전체 일자별 원본. 분석기간 밖 재상영 기록 포함. 기존 두 영화 KOBIS 값은 일별통합에 유지.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</si>
</sst>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0.00000"/>
    <numFmt numFmtId="179" formatCode="0.000"/>
  </numFmts>
  <fonts count="5">
    <font>
      <sz val="11"/>
      <name val="Carlito"/>
    </font>
    <font>
      <sz val="10"/>
      <name val="Noto Sans CJK KR"/>
    </font>
    <font>
      <b/>
      <sz val="10"/>
      <name val="Noto Sans CJK KR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176" fontId="1" fillId="2" borderId="0" xfId="1" applyNumberFormat="1" applyFont="1" applyFill="1" applyAlignment="1">
      <alignment horizontal="center" vertical="center"/>
    </xf>
    <xf numFmtId="177" fontId="1" fillId="2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3" fontId="1" fillId="2" borderId="0" xfId="1" applyNumberFormat="1" applyFont="1" applyFill="1" applyAlignment="1">
      <alignment horizontal="center" vertical="center"/>
    </xf>
    <xf numFmtId="2" fontId="1" fillId="2" borderId="0" xfId="1" applyNumberFormat="1" applyFont="1" applyFill="1" applyAlignment="1">
      <alignment horizontal="center" vertical="center"/>
    </xf>
    <xf numFmtId="178" fontId="1" fillId="2" borderId="0" xfId="1" applyNumberFormat="1" applyFont="1" applyFill="1" applyAlignment="1">
      <alignment horizontal="center" vertical="center"/>
    </xf>
    <xf numFmtId="4" fontId="1" fillId="2" borderId="0" xfId="1" applyNumberFormat="1" applyFont="1" applyFill="1" applyAlignment="1">
      <alignment horizontal="center" vertical="center"/>
    </xf>
    <xf numFmtId="179" fontId="1" fillId="2" borderId="0" xfId="1" applyNumberFormat="1" applyFont="1" applyFill="1" applyAlignment="1">
      <alignment horizontal="center" vertical="center"/>
    </xf>
    <xf numFmtId="10" fontId="1" fillId="2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16"/>
  <sheetViews>
    <sheetView workbookViewId="0">
      <pane ySplit="1" topLeftCell="A2" activePane="bottomLeft" state="frozen"/>
      <selection pane="bottomLeft" sqref="A1:XFD1048576"/>
    </sheetView>
  </sheetViews>
  <sheetFormatPr defaultColWidth="12.125" defaultRowHeight="13.5"/>
  <cols>
    <col min="1" max="16384" width="12.125" style="2"/>
  </cols>
  <sheetData>
    <row r="1" spans="1:3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21" customHeight="1">
      <c r="A2" s="4">
        <v>45962</v>
      </c>
      <c r="B2" s="3" t="s">
        <v>39</v>
      </c>
      <c r="C2" s="3" t="s">
        <v>40</v>
      </c>
      <c r="D2" s="4">
        <v>46057</v>
      </c>
      <c r="E2" s="3">
        <v>-95</v>
      </c>
      <c r="F2" s="3" t="s">
        <v>41</v>
      </c>
      <c r="G2" s="3" t="s">
        <v>42</v>
      </c>
      <c r="H2" s="3">
        <v>1</v>
      </c>
      <c r="I2" s="7">
        <v>51566</v>
      </c>
      <c r="J2" s="7">
        <v>31644</v>
      </c>
      <c r="K2" s="7">
        <v>19922</v>
      </c>
      <c r="L2" s="5">
        <f t="shared" ref="L2:L65" si="0">IFERROR(J2/I2,"")</f>
        <v>0.61366016367373855</v>
      </c>
      <c r="M2" s="5"/>
      <c r="N2" s="7"/>
      <c r="O2" s="7"/>
      <c r="P2" s="8"/>
      <c r="Q2" s="7"/>
      <c r="R2" s="7"/>
      <c r="S2" s="7"/>
      <c r="T2" s="7"/>
      <c r="U2" s="7"/>
      <c r="V2" s="7"/>
      <c r="W2" s="7"/>
      <c r="X2" s="3" t="s">
        <v>43</v>
      </c>
      <c r="Y2" s="3"/>
      <c r="Z2" s="9">
        <v>0.10602</v>
      </c>
      <c r="AA2" s="5"/>
      <c r="AB2" s="9"/>
      <c r="AC2" s="9"/>
      <c r="AD2" s="8"/>
      <c r="AE2" s="3" t="s">
        <v>44</v>
      </c>
      <c r="AF2" s="10"/>
      <c r="AG2" s="11"/>
      <c r="AH2" s="11"/>
      <c r="AI2" s="3" t="s">
        <v>45</v>
      </c>
      <c r="AJ2" s="3" t="s">
        <v>40</v>
      </c>
      <c r="AK2" s="3" t="s">
        <v>46</v>
      </c>
      <c r="AL2" s="3" t="s">
        <v>47</v>
      </c>
      <c r="AM2" s="3" t="s">
        <v>39</v>
      </c>
    </row>
    <row r="3" spans="1:39" ht="21" customHeight="1">
      <c r="A3" s="4">
        <v>45963</v>
      </c>
      <c r="B3" s="3" t="s">
        <v>39</v>
      </c>
      <c r="C3" s="3" t="s">
        <v>40</v>
      </c>
      <c r="D3" s="4">
        <v>46057</v>
      </c>
      <c r="E3" s="3">
        <v>-94</v>
      </c>
      <c r="F3" s="3" t="s">
        <v>41</v>
      </c>
      <c r="G3" s="3" t="s">
        <v>48</v>
      </c>
      <c r="H3" s="3">
        <v>1</v>
      </c>
      <c r="I3" s="7">
        <v>45734</v>
      </c>
      <c r="J3" s="7">
        <v>26474</v>
      </c>
      <c r="K3" s="7">
        <v>19260</v>
      </c>
      <c r="L3" s="5">
        <f t="shared" si="0"/>
        <v>0.57886911269515018</v>
      </c>
      <c r="M3" s="5">
        <f t="shared" ref="M3:M66" si="1">IF(AND(C3=C2,A3=A2+1),IFERROR(I3/I2-1,""),"")</f>
        <v>-0.11309777760539885</v>
      </c>
      <c r="N3" s="7"/>
      <c r="O3" s="7"/>
      <c r="P3" s="8"/>
      <c r="Q3" s="7"/>
      <c r="R3" s="7"/>
      <c r="S3" s="7"/>
      <c r="T3" s="7"/>
      <c r="U3" s="7"/>
      <c r="V3" s="7"/>
      <c r="W3" s="7"/>
      <c r="X3" s="3" t="s">
        <v>43</v>
      </c>
      <c r="Y3" s="3"/>
      <c r="Z3" s="9">
        <v>9.5269999999999994E-2</v>
      </c>
      <c r="AA3" s="5">
        <f t="shared" ref="AA3:AA66" si="2">IFERROR(Z3/Z2-1,"")</f>
        <v>-0.1013959630258443</v>
      </c>
      <c r="AB3" s="9"/>
      <c r="AC3" s="9"/>
      <c r="AD3" s="8"/>
      <c r="AE3" s="3" t="s">
        <v>44</v>
      </c>
      <c r="AF3" s="10"/>
      <c r="AG3" s="11"/>
      <c r="AH3" s="11"/>
      <c r="AI3" s="3" t="s">
        <v>45</v>
      </c>
      <c r="AJ3" s="3" t="s">
        <v>40</v>
      </c>
      <c r="AK3" s="3" t="s">
        <v>46</v>
      </c>
      <c r="AL3" s="3" t="s">
        <v>47</v>
      </c>
      <c r="AM3" s="3" t="s">
        <v>39</v>
      </c>
    </row>
    <row r="4" spans="1:39" ht="21" customHeight="1">
      <c r="A4" s="4">
        <v>45964</v>
      </c>
      <c r="B4" s="3" t="s">
        <v>39</v>
      </c>
      <c r="C4" s="3" t="s">
        <v>40</v>
      </c>
      <c r="D4" s="4">
        <v>46057</v>
      </c>
      <c r="E4" s="3">
        <v>-93</v>
      </c>
      <c r="F4" s="3" t="s">
        <v>41</v>
      </c>
      <c r="G4" s="3" t="s">
        <v>49</v>
      </c>
      <c r="H4" s="3">
        <v>0</v>
      </c>
      <c r="I4" s="7">
        <v>36578</v>
      </c>
      <c r="J4" s="7">
        <v>13408</v>
      </c>
      <c r="K4" s="7">
        <v>23170</v>
      </c>
      <c r="L4" s="5">
        <f t="shared" si="0"/>
        <v>0.36655913390562633</v>
      </c>
      <c r="M4" s="5">
        <f t="shared" si="1"/>
        <v>-0.20020116324834913</v>
      </c>
      <c r="N4" s="7"/>
      <c r="O4" s="7"/>
      <c r="P4" s="8"/>
      <c r="Q4" s="7"/>
      <c r="R4" s="7"/>
      <c r="S4" s="7"/>
      <c r="T4" s="7"/>
      <c r="U4" s="7"/>
      <c r="V4" s="7"/>
      <c r="W4" s="7"/>
      <c r="X4" s="3" t="s">
        <v>43</v>
      </c>
      <c r="Y4" s="3"/>
      <c r="Z4" s="9">
        <v>9.3789999999999998E-2</v>
      </c>
      <c r="AA4" s="5">
        <f t="shared" si="2"/>
        <v>-1.5534795843392457E-2</v>
      </c>
      <c r="AB4" s="9"/>
      <c r="AC4" s="9"/>
      <c r="AD4" s="8"/>
      <c r="AE4" s="3" t="s">
        <v>44</v>
      </c>
      <c r="AF4" s="10"/>
      <c r="AG4" s="11"/>
      <c r="AH4" s="11"/>
      <c r="AI4" s="3" t="s">
        <v>45</v>
      </c>
      <c r="AJ4" s="3" t="s">
        <v>40</v>
      </c>
      <c r="AK4" s="3" t="s">
        <v>46</v>
      </c>
      <c r="AL4" s="3" t="s">
        <v>47</v>
      </c>
      <c r="AM4" s="3" t="s">
        <v>39</v>
      </c>
    </row>
    <row r="5" spans="1:39" ht="21" customHeight="1">
      <c r="A5" s="4">
        <v>45965</v>
      </c>
      <c r="B5" s="3" t="s">
        <v>39</v>
      </c>
      <c r="C5" s="3" t="s">
        <v>40</v>
      </c>
      <c r="D5" s="4">
        <v>46057</v>
      </c>
      <c r="E5" s="3">
        <v>-92</v>
      </c>
      <c r="F5" s="3" t="s">
        <v>41</v>
      </c>
      <c r="G5" s="3" t="s">
        <v>50</v>
      </c>
      <c r="H5" s="3">
        <v>0</v>
      </c>
      <c r="I5" s="7">
        <v>38143</v>
      </c>
      <c r="J5" s="7">
        <v>14598</v>
      </c>
      <c r="K5" s="7">
        <v>23544</v>
      </c>
      <c r="L5" s="5">
        <f t="shared" si="0"/>
        <v>0.38271766772409094</v>
      </c>
      <c r="M5" s="5">
        <f t="shared" si="1"/>
        <v>4.2785280769861656E-2</v>
      </c>
      <c r="N5" s="7"/>
      <c r="O5" s="7"/>
      <c r="P5" s="8"/>
      <c r="Q5" s="7"/>
      <c r="R5" s="7"/>
      <c r="S5" s="7"/>
      <c r="T5" s="7"/>
      <c r="U5" s="7"/>
      <c r="V5" s="7"/>
      <c r="W5" s="7"/>
      <c r="X5" s="3" t="s">
        <v>43</v>
      </c>
      <c r="Y5" s="3"/>
      <c r="Z5" s="9">
        <v>9.153E-2</v>
      </c>
      <c r="AA5" s="5">
        <f t="shared" si="2"/>
        <v>-2.4096385542168641E-2</v>
      </c>
      <c r="AB5" s="9"/>
      <c r="AC5" s="9"/>
      <c r="AD5" s="8"/>
      <c r="AE5" s="3" t="s">
        <v>44</v>
      </c>
      <c r="AF5" s="10"/>
      <c r="AG5" s="11"/>
      <c r="AH5" s="11"/>
      <c r="AI5" s="3" t="s">
        <v>45</v>
      </c>
      <c r="AJ5" s="3" t="s">
        <v>40</v>
      </c>
      <c r="AK5" s="3" t="s">
        <v>46</v>
      </c>
      <c r="AL5" s="3" t="s">
        <v>47</v>
      </c>
      <c r="AM5" s="3" t="s">
        <v>39</v>
      </c>
    </row>
    <row r="6" spans="1:39" ht="21" customHeight="1">
      <c r="A6" s="4">
        <v>45966</v>
      </c>
      <c r="B6" s="3" t="s">
        <v>39</v>
      </c>
      <c r="C6" s="3" t="s">
        <v>40</v>
      </c>
      <c r="D6" s="4">
        <v>46057</v>
      </c>
      <c r="E6" s="3">
        <v>-91</v>
      </c>
      <c r="F6" s="3" t="s">
        <v>41</v>
      </c>
      <c r="G6" s="3" t="s">
        <v>51</v>
      </c>
      <c r="H6" s="3">
        <v>0</v>
      </c>
      <c r="I6" s="7">
        <v>37460</v>
      </c>
      <c r="J6" s="7">
        <v>14122</v>
      </c>
      <c r="K6" s="7">
        <v>23338</v>
      </c>
      <c r="L6" s="5">
        <f t="shared" si="0"/>
        <v>0.37698878804057662</v>
      </c>
      <c r="M6" s="5">
        <f t="shared" si="1"/>
        <v>-1.7906299976404583E-2</v>
      </c>
      <c r="N6" s="7"/>
      <c r="O6" s="7"/>
      <c r="P6" s="8"/>
      <c r="Q6" s="7"/>
      <c r="R6" s="7"/>
      <c r="S6" s="7"/>
      <c r="T6" s="7"/>
      <c r="U6" s="7"/>
      <c r="V6" s="7"/>
      <c r="W6" s="7"/>
      <c r="X6" s="3" t="s">
        <v>43</v>
      </c>
      <c r="Y6" s="3"/>
      <c r="Z6" s="9">
        <v>8.3330000000000001E-2</v>
      </c>
      <c r="AA6" s="5">
        <f t="shared" si="2"/>
        <v>-8.9588113186933271E-2</v>
      </c>
      <c r="AB6" s="9"/>
      <c r="AC6" s="9"/>
      <c r="AD6" s="8"/>
      <c r="AE6" s="3" t="s">
        <v>44</v>
      </c>
      <c r="AF6" s="10"/>
      <c r="AG6" s="11"/>
      <c r="AH6" s="11"/>
      <c r="AI6" s="3" t="s">
        <v>45</v>
      </c>
      <c r="AJ6" s="3" t="s">
        <v>40</v>
      </c>
      <c r="AK6" s="3" t="s">
        <v>46</v>
      </c>
      <c r="AL6" s="3" t="s">
        <v>47</v>
      </c>
      <c r="AM6" s="3" t="s">
        <v>39</v>
      </c>
    </row>
    <row r="7" spans="1:39" ht="21" customHeight="1">
      <c r="A7" s="4">
        <v>45967</v>
      </c>
      <c r="B7" s="3" t="s">
        <v>39</v>
      </c>
      <c r="C7" s="3" t="s">
        <v>40</v>
      </c>
      <c r="D7" s="4">
        <v>46057</v>
      </c>
      <c r="E7" s="3">
        <v>-90</v>
      </c>
      <c r="F7" s="3" t="s">
        <v>41</v>
      </c>
      <c r="G7" s="3" t="s">
        <v>52</v>
      </c>
      <c r="H7" s="3">
        <v>0</v>
      </c>
      <c r="I7" s="7">
        <v>38052</v>
      </c>
      <c r="J7" s="7">
        <v>14794</v>
      </c>
      <c r="K7" s="7">
        <v>23258</v>
      </c>
      <c r="L7" s="5">
        <f t="shared" si="0"/>
        <v>0.38878376957847155</v>
      </c>
      <c r="M7" s="5">
        <f t="shared" si="1"/>
        <v>1.5803523758675997E-2</v>
      </c>
      <c r="N7" s="7"/>
      <c r="O7" s="7"/>
      <c r="P7" s="8"/>
      <c r="Q7" s="7"/>
      <c r="R7" s="7"/>
      <c r="S7" s="7"/>
      <c r="T7" s="7"/>
      <c r="U7" s="7"/>
      <c r="V7" s="7"/>
      <c r="W7" s="7"/>
      <c r="X7" s="3" t="s">
        <v>43</v>
      </c>
      <c r="Y7" s="3"/>
      <c r="Z7" s="9">
        <v>8.7069999999999995E-2</v>
      </c>
      <c r="AA7" s="5">
        <f t="shared" si="2"/>
        <v>4.4881795271810798E-2</v>
      </c>
      <c r="AB7" s="9"/>
      <c r="AC7" s="9"/>
      <c r="AD7" s="8"/>
      <c r="AE7" s="3" t="s">
        <v>44</v>
      </c>
      <c r="AF7" s="10"/>
      <c r="AG7" s="11"/>
      <c r="AH7" s="11"/>
      <c r="AI7" s="3" t="s">
        <v>45</v>
      </c>
      <c r="AJ7" s="3" t="s">
        <v>40</v>
      </c>
      <c r="AK7" s="3" t="s">
        <v>46</v>
      </c>
      <c r="AL7" s="3" t="s">
        <v>47</v>
      </c>
      <c r="AM7" s="3" t="s">
        <v>39</v>
      </c>
    </row>
    <row r="8" spans="1:39" ht="21" customHeight="1">
      <c r="A8" s="4">
        <v>45968</v>
      </c>
      <c r="B8" s="3" t="s">
        <v>39</v>
      </c>
      <c r="C8" s="3" t="s">
        <v>40</v>
      </c>
      <c r="D8" s="4">
        <v>46057</v>
      </c>
      <c r="E8" s="3">
        <v>-89</v>
      </c>
      <c r="F8" s="3" t="s">
        <v>41</v>
      </c>
      <c r="G8" s="3" t="s">
        <v>53</v>
      </c>
      <c r="H8" s="3">
        <v>0</v>
      </c>
      <c r="I8" s="7">
        <v>42196</v>
      </c>
      <c r="J8" s="7">
        <v>18876</v>
      </c>
      <c r="K8" s="7">
        <v>23320</v>
      </c>
      <c r="L8" s="5">
        <f t="shared" si="0"/>
        <v>0.44734098018769552</v>
      </c>
      <c r="M8" s="5">
        <f t="shared" si="1"/>
        <v>0.10890360559234735</v>
      </c>
      <c r="N8" s="7">
        <f t="shared" ref="N8:N71" si="3">AVERAGE(I2:I8)</f>
        <v>41389.857142857145</v>
      </c>
      <c r="O8" s="7"/>
      <c r="P8" s="8"/>
      <c r="Q8" s="7"/>
      <c r="R8" s="7"/>
      <c r="S8" s="7"/>
      <c r="T8" s="7"/>
      <c r="U8" s="7"/>
      <c r="V8" s="7"/>
      <c r="W8" s="7"/>
      <c r="X8" s="3" t="s">
        <v>43</v>
      </c>
      <c r="Y8" s="3"/>
      <c r="Z8" s="9">
        <v>9.3789999999999998E-2</v>
      </c>
      <c r="AA8" s="5">
        <f t="shared" si="2"/>
        <v>7.7179281038245229E-2</v>
      </c>
      <c r="AB8" s="9">
        <f t="shared" ref="AB8:AB71" si="4">AVERAGE(Z2:Z8)</f>
        <v>9.297142857142858E-2</v>
      </c>
      <c r="AC8" s="9"/>
      <c r="AD8" s="8"/>
      <c r="AE8" s="3" t="s">
        <v>44</v>
      </c>
      <c r="AF8" s="10"/>
      <c r="AG8" s="11"/>
      <c r="AH8" s="11"/>
      <c r="AI8" s="3" t="s">
        <v>45</v>
      </c>
      <c r="AJ8" s="3" t="s">
        <v>40</v>
      </c>
      <c r="AK8" s="3" t="s">
        <v>46</v>
      </c>
      <c r="AL8" s="3" t="s">
        <v>47</v>
      </c>
      <c r="AM8" s="3" t="s">
        <v>39</v>
      </c>
    </row>
    <row r="9" spans="1:39" ht="21" customHeight="1">
      <c r="A9" s="4">
        <v>45969</v>
      </c>
      <c r="B9" s="3" t="s">
        <v>39</v>
      </c>
      <c r="C9" s="3" t="s">
        <v>40</v>
      </c>
      <c r="D9" s="4">
        <v>46057</v>
      </c>
      <c r="E9" s="3">
        <v>-88</v>
      </c>
      <c r="F9" s="3" t="s">
        <v>41</v>
      </c>
      <c r="G9" s="3" t="s">
        <v>42</v>
      </c>
      <c r="H9" s="3">
        <v>1</v>
      </c>
      <c r="I9" s="7">
        <v>47142</v>
      </c>
      <c r="J9" s="7">
        <v>27562</v>
      </c>
      <c r="K9" s="7">
        <v>19579</v>
      </c>
      <c r="L9" s="5">
        <f t="shared" si="0"/>
        <v>0.58465911501421242</v>
      </c>
      <c r="M9" s="5">
        <f t="shared" si="1"/>
        <v>0.1172149018864348</v>
      </c>
      <c r="N9" s="7">
        <f t="shared" si="3"/>
        <v>40757.857142857145</v>
      </c>
      <c r="O9" s="7"/>
      <c r="P9" s="8"/>
      <c r="Q9" s="7"/>
      <c r="R9" s="7"/>
      <c r="S9" s="7"/>
      <c r="T9" s="7"/>
      <c r="U9" s="7"/>
      <c r="V9" s="7"/>
      <c r="W9" s="7"/>
      <c r="X9" s="3" t="s">
        <v>43</v>
      </c>
      <c r="Y9" s="3"/>
      <c r="Z9" s="9">
        <v>9.6970000000000001E-2</v>
      </c>
      <c r="AA9" s="5">
        <f t="shared" si="2"/>
        <v>3.3905533638980634E-2</v>
      </c>
      <c r="AB9" s="9">
        <f t="shared" si="4"/>
        <v>9.1678571428571429E-2</v>
      </c>
      <c r="AC9" s="9"/>
      <c r="AD9" s="8"/>
      <c r="AE9" s="3" t="s">
        <v>44</v>
      </c>
      <c r="AF9" s="10"/>
      <c r="AG9" s="11"/>
      <c r="AH9" s="11"/>
      <c r="AI9" s="3" t="s">
        <v>45</v>
      </c>
      <c r="AJ9" s="3" t="s">
        <v>40</v>
      </c>
      <c r="AK9" s="3" t="s">
        <v>46</v>
      </c>
      <c r="AL9" s="3" t="s">
        <v>47</v>
      </c>
      <c r="AM9" s="3" t="s">
        <v>39</v>
      </c>
    </row>
    <row r="10" spans="1:39" ht="21" customHeight="1">
      <c r="A10" s="4">
        <v>45970</v>
      </c>
      <c r="B10" s="3" t="s">
        <v>39</v>
      </c>
      <c r="C10" s="3" t="s">
        <v>40</v>
      </c>
      <c r="D10" s="4">
        <v>46057</v>
      </c>
      <c r="E10" s="3">
        <v>-87</v>
      </c>
      <c r="F10" s="3" t="s">
        <v>41</v>
      </c>
      <c r="G10" s="3" t="s">
        <v>48</v>
      </c>
      <c r="H10" s="3">
        <v>1</v>
      </c>
      <c r="I10" s="7">
        <v>45122</v>
      </c>
      <c r="J10" s="7">
        <v>25984</v>
      </c>
      <c r="K10" s="7">
        <v>19138</v>
      </c>
      <c r="L10" s="5">
        <f t="shared" si="0"/>
        <v>0.57586099906919019</v>
      </c>
      <c r="M10" s="5">
        <f t="shared" si="1"/>
        <v>-4.2849263926010739E-2</v>
      </c>
      <c r="N10" s="7">
        <f t="shared" si="3"/>
        <v>40670.428571428572</v>
      </c>
      <c r="O10" s="7"/>
      <c r="P10" s="8"/>
      <c r="Q10" s="7"/>
      <c r="R10" s="7"/>
      <c r="S10" s="7"/>
      <c r="T10" s="7"/>
      <c r="U10" s="7"/>
      <c r="V10" s="7"/>
      <c r="W10" s="7"/>
      <c r="X10" s="3" t="s">
        <v>43</v>
      </c>
      <c r="Y10" s="3"/>
      <c r="Z10" s="9">
        <v>0.10828</v>
      </c>
      <c r="AA10" s="5">
        <f t="shared" si="2"/>
        <v>0.11663401051871713</v>
      </c>
      <c r="AB10" s="9">
        <f t="shared" si="4"/>
        <v>9.353714285714286E-2</v>
      </c>
      <c r="AC10" s="9"/>
      <c r="AD10" s="8"/>
      <c r="AE10" s="3" t="s">
        <v>44</v>
      </c>
      <c r="AF10" s="10"/>
      <c r="AG10" s="11"/>
      <c r="AH10" s="11"/>
      <c r="AI10" s="3" t="s">
        <v>45</v>
      </c>
      <c r="AJ10" s="3" t="s">
        <v>40</v>
      </c>
      <c r="AK10" s="3" t="s">
        <v>46</v>
      </c>
      <c r="AL10" s="3" t="s">
        <v>47</v>
      </c>
      <c r="AM10" s="3" t="s">
        <v>39</v>
      </c>
    </row>
    <row r="11" spans="1:39" ht="21" customHeight="1">
      <c r="A11" s="4">
        <v>45971</v>
      </c>
      <c r="B11" s="3" t="s">
        <v>39</v>
      </c>
      <c r="C11" s="3" t="s">
        <v>40</v>
      </c>
      <c r="D11" s="4">
        <v>46057</v>
      </c>
      <c r="E11" s="3">
        <v>-86</v>
      </c>
      <c r="F11" s="3" t="s">
        <v>41</v>
      </c>
      <c r="G11" s="3" t="s">
        <v>49</v>
      </c>
      <c r="H11" s="3">
        <v>0</v>
      </c>
      <c r="I11" s="7">
        <v>37146</v>
      </c>
      <c r="J11" s="7">
        <v>14108</v>
      </c>
      <c r="K11" s="7">
        <v>23037</v>
      </c>
      <c r="L11" s="5">
        <f t="shared" si="0"/>
        <v>0.37979863242341033</v>
      </c>
      <c r="M11" s="5">
        <f t="shared" si="1"/>
        <v>-0.17676521430787639</v>
      </c>
      <c r="N11" s="7">
        <f t="shared" si="3"/>
        <v>40751.571428571428</v>
      </c>
      <c r="O11" s="7"/>
      <c r="P11" s="8"/>
      <c r="Q11" s="7"/>
      <c r="R11" s="7"/>
      <c r="S11" s="7"/>
      <c r="T11" s="7"/>
      <c r="U11" s="7"/>
      <c r="V11" s="7"/>
      <c r="W11" s="7"/>
      <c r="X11" s="3" t="s">
        <v>43</v>
      </c>
      <c r="Y11" s="3"/>
      <c r="Z11" s="9">
        <v>8.1420000000000006E-2</v>
      </c>
      <c r="AA11" s="5">
        <f t="shared" si="2"/>
        <v>-0.24806058367196149</v>
      </c>
      <c r="AB11" s="9">
        <f t="shared" si="4"/>
        <v>9.1770000000000004E-2</v>
      </c>
      <c r="AC11" s="9"/>
      <c r="AD11" s="8"/>
      <c r="AE11" s="3" t="s">
        <v>44</v>
      </c>
      <c r="AF11" s="10"/>
      <c r="AG11" s="11"/>
      <c r="AH11" s="11"/>
      <c r="AI11" s="3" t="s">
        <v>45</v>
      </c>
      <c r="AJ11" s="3" t="s">
        <v>40</v>
      </c>
      <c r="AK11" s="3" t="s">
        <v>46</v>
      </c>
      <c r="AL11" s="3" t="s">
        <v>47</v>
      </c>
      <c r="AM11" s="3" t="s">
        <v>39</v>
      </c>
    </row>
    <row r="12" spans="1:39" ht="21" customHeight="1">
      <c r="A12" s="4">
        <v>45972</v>
      </c>
      <c r="B12" s="3" t="s">
        <v>39</v>
      </c>
      <c r="C12" s="3" t="s">
        <v>40</v>
      </c>
      <c r="D12" s="4">
        <v>46057</v>
      </c>
      <c r="E12" s="3">
        <v>-85</v>
      </c>
      <c r="F12" s="3" t="s">
        <v>41</v>
      </c>
      <c r="G12" s="3" t="s">
        <v>50</v>
      </c>
      <c r="H12" s="3">
        <v>0</v>
      </c>
      <c r="I12" s="7">
        <v>38160</v>
      </c>
      <c r="J12" s="7">
        <v>14410</v>
      </c>
      <c r="K12" s="7">
        <v>23751</v>
      </c>
      <c r="L12" s="5">
        <f t="shared" si="0"/>
        <v>0.37762054507337528</v>
      </c>
      <c r="M12" s="5">
        <f t="shared" si="1"/>
        <v>2.7297690195444924E-2</v>
      </c>
      <c r="N12" s="7">
        <f t="shared" si="3"/>
        <v>40754</v>
      </c>
      <c r="O12" s="7"/>
      <c r="P12" s="8"/>
      <c r="Q12" s="7"/>
      <c r="R12" s="7"/>
      <c r="S12" s="7"/>
      <c r="T12" s="7"/>
      <c r="U12" s="7"/>
      <c r="V12" s="7"/>
      <c r="W12" s="7"/>
      <c r="X12" s="3" t="s">
        <v>43</v>
      </c>
      <c r="Y12" s="3"/>
      <c r="Z12" s="9">
        <v>7.8380000000000005E-2</v>
      </c>
      <c r="AA12" s="5">
        <f t="shared" si="2"/>
        <v>-3.7337263571604051E-2</v>
      </c>
      <c r="AB12" s="9">
        <f t="shared" si="4"/>
        <v>8.989142857142858E-2</v>
      </c>
      <c r="AC12" s="9"/>
      <c r="AD12" s="8"/>
      <c r="AE12" s="3" t="s">
        <v>44</v>
      </c>
      <c r="AF12" s="10"/>
      <c r="AG12" s="11"/>
      <c r="AH12" s="11"/>
      <c r="AI12" s="3" t="s">
        <v>45</v>
      </c>
      <c r="AJ12" s="3" t="s">
        <v>40</v>
      </c>
      <c r="AK12" s="3" t="s">
        <v>46</v>
      </c>
      <c r="AL12" s="3" t="s">
        <v>47</v>
      </c>
      <c r="AM12" s="3" t="s">
        <v>39</v>
      </c>
    </row>
    <row r="13" spans="1:39" ht="21" customHeight="1">
      <c r="A13" s="4">
        <v>45973</v>
      </c>
      <c r="B13" s="3" t="s">
        <v>39</v>
      </c>
      <c r="C13" s="3" t="s">
        <v>40</v>
      </c>
      <c r="D13" s="4">
        <v>46057</v>
      </c>
      <c r="E13" s="3">
        <v>-84</v>
      </c>
      <c r="F13" s="3" t="s">
        <v>41</v>
      </c>
      <c r="G13" s="3" t="s">
        <v>51</v>
      </c>
      <c r="H13" s="3">
        <v>0</v>
      </c>
      <c r="I13" s="7">
        <v>37474</v>
      </c>
      <c r="J13" s="7">
        <v>14108</v>
      </c>
      <c r="K13" s="7">
        <v>23366</v>
      </c>
      <c r="L13" s="5">
        <f t="shared" si="0"/>
        <v>0.37647435555318354</v>
      </c>
      <c r="M13" s="5">
        <f t="shared" si="1"/>
        <v>-1.7976939203354303E-2</v>
      </c>
      <c r="N13" s="7">
        <f t="shared" si="3"/>
        <v>40756</v>
      </c>
      <c r="O13" s="7"/>
      <c r="P13" s="8"/>
      <c r="Q13" s="7"/>
      <c r="R13" s="7"/>
      <c r="S13" s="7"/>
      <c r="T13" s="7"/>
      <c r="U13" s="7"/>
      <c r="V13" s="7"/>
      <c r="W13" s="7"/>
      <c r="X13" s="3" t="s">
        <v>43</v>
      </c>
      <c r="Y13" s="3"/>
      <c r="Z13" s="9">
        <v>8.2619999999999999E-2</v>
      </c>
      <c r="AA13" s="5">
        <f t="shared" si="2"/>
        <v>5.409543250829274E-2</v>
      </c>
      <c r="AB13" s="9">
        <f t="shared" si="4"/>
        <v>8.9790000000000009E-2</v>
      </c>
      <c r="AC13" s="9"/>
      <c r="AD13" s="8"/>
      <c r="AE13" s="3" t="s">
        <v>44</v>
      </c>
      <c r="AF13" s="10"/>
      <c r="AG13" s="11"/>
      <c r="AH13" s="11"/>
      <c r="AI13" s="3" t="s">
        <v>45</v>
      </c>
      <c r="AJ13" s="3" t="s">
        <v>40</v>
      </c>
      <c r="AK13" s="3" t="s">
        <v>46</v>
      </c>
      <c r="AL13" s="3" t="s">
        <v>47</v>
      </c>
      <c r="AM13" s="3" t="s">
        <v>39</v>
      </c>
    </row>
    <row r="14" spans="1:39" ht="21" customHeight="1">
      <c r="A14" s="4">
        <v>45974</v>
      </c>
      <c r="B14" s="3" t="s">
        <v>39</v>
      </c>
      <c r="C14" s="3" t="s">
        <v>40</v>
      </c>
      <c r="D14" s="4">
        <v>46057</v>
      </c>
      <c r="E14" s="3">
        <v>-83</v>
      </c>
      <c r="F14" s="3" t="s">
        <v>41</v>
      </c>
      <c r="G14" s="3" t="s">
        <v>52</v>
      </c>
      <c r="H14" s="3">
        <v>0</v>
      </c>
      <c r="I14" s="7">
        <v>38098</v>
      </c>
      <c r="J14" s="7">
        <v>15026</v>
      </c>
      <c r="K14" s="7">
        <v>23072</v>
      </c>
      <c r="L14" s="5">
        <f t="shared" si="0"/>
        <v>0.39440390571683553</v>
      </c>
      <c r="M14" s="5">
        <f t="shared" si="1"/>
        <v>1.6651545071249441E-2</v>
      </c>
      <c r="N14" s="7">
        <f t="shared" si="3"/>
        <v>40762.571428571428</v>
      </c>
      <c r="O14" s="7"/>
      <c r="P14" s="8"/>
      <c r="Q14" s="7"/>
      <c r="R14" s="7"/>
      <c r="S14" s="7"/>
      <c r="T14" s="7"/>
      <c r="U14" s="7"/>
      <c r="V14" s="7"/>
      <c r="W14" s="7"/>
      <c r="X14" s="3" t="s">
        <v>43</v>
      </c>
      <c r="Y14" s="3"/>
      <c r="Z14" s="9">
        <v>8.0920000000000006E-2</v>
      </c>
      <c r="AA14" s="5">
        <f t="shared" si="2"/>
        <v>-2.0576131687242705E-2</v>
      </c>
      <c r="AB14" s="9">
        <f t="shared" si="4"/>
        <v>8.8911428571428558E-2</v>
      </c>
      <c r="AC14" s="9"/>
      <c r="AD14" s="8"/>
      <c r="AE14" s="3" t="s">
        <v>44</v>
      </c>
      <c r="AF14" s="10"/>
      <c r="AG14" s="11"/>
      <c r="AH14" s="11"/>
      <c r="AI14" s="3" t="s">
        <v>45</v>
      </c>
      <c r="AJ14" s="3" t="s">
        <v>40</v>
      </c>
      <c r="AK14" s="3" t="s">
        <v>46</v>
      </c>
      <c r="AL14" s="3" t="s">
        <v>47</v>
      </c>
      <c r="AM14" s="3" t="s">
        <v>39</v>
      </c>
    </row>
    <row r="15" spans="1:39" ht="21" customHeight="1">
      <c r="A15" s="4">
        <v>45975</v>
      </c>
      <c r="B15" s="3" t="s">
        <v>39</v>
      </c>
      <c r="C15" s="3" t="s">
        <v>40</v>
      </c>
      <c r="D15" s="4">
        <v>46057</v>
      </c>
      <c r="E15" s="3">
        <v>-82</v>
      </c>
      <c r="F15" s="3" t="s">
        <v>41</v>
      </c>
      <c r="G15" s="3" t="s">
        <v>53</v>
      </c>
      <c r="H15" s="3">
        <v>0</v>
      </c>
      <c r="I15" s="7">
        <v>41944</v>
      </c>
      <c r="J15" s="7">
        <v>18812</v>
      </c>
      <c r="K15" s="7">
        <v>23132</v>
      </c>
      <c r="L15" s="5">
        <f t="shared" si="0"/>
        <v>0.44850276559221819</v>
      </c>
      <c r="M15" s="5">
        <f t="shared" si="1"/>
        <v>0.10095018111186937</v>
      </c>
      <c r="N15" s="7">
        <f t="shared" si="3"/>
        <v>40726.571428571428</v>
      </c>
      <c r="O15" s="7"/>
      <c r="P15" s="8"/>
      <c r="Q15" s="7"/>
      <c r="R15" s="7"/>
      <c r="S15" s="7"/>
      <c r="T15" s="7"/>
      <c r="U15" s="7"/>
      <c r="V15" s="7"/>
      <c r="W15" s="7"/>
      <c r="X15" s="3" t="s">
        <v>43</v>
      </c>
      <c r="Y15" s="3"/>
      <c r="Z15" s="9">
        <v>7.8950000000000006E-2</v>
      </c>
      <c r="AA15" s="5">
        <f t="shared" si="2"/>
        <v>-2.4345032130499211E-2</v>
      </c>
      <c r="AB15" s="9">
        <f t="shared" si="4"/>
        <v>8.6791428571428561E-2</v>
      </c>
      <c r="AC15" s="9"/>
      <c r="AD15" s="8"/>
      <c r="AE15" s="3" t="s">
        <v>44</v>
      </c>
      <c r="AF15" s="10"/>
      <c r="AG15" s="11"/>
      <c r="AH15" s="11"/>
      <c r="AI15" s="3" t="s">
        <v>45</v>
      </c>
      <c r="AJ15" s="3" t="s">
        <v>40</v>
      </c>
      <c r="AK15" s="3" t="s">
        <v>46</v>
      </c>
      <c r="AL15" s="3" t="s">
        <v>47</v>
      </c>
      <c r="AM15" s="3" t="s">
        <v>39</v>
      </c>
    </row>
    <row r="16" spans="1:39" ht="21" customHeight="1">
      <c r="A16" s="4">
        <v>45976</v>
      </c>
      <c r="B16" s="3" t="s">
        <v>39</v>
      </c>
      <c r="C16" s="3" t="s">
        <v>40</v>
      </c>
      <c r="D16" s="4">
        <v>46057</v>
      </c>
      <c r="E16" s="3">
        <v>-81</v>
      </c>
      <c r="F16" s="3" t="s">
        <v>41</v>
      </c>
      <c r="G16" s="3" t="s">
        <v>42</v>
      </c>
      <c r="H16" s="3">
        <v>1</v>
      </c>
      <c r="I16" s="7">
        <v>47159</v>
      </c>
      <c r="J16" s="7">
        <v>27398</v>
      </c>
      <c r="K16" s="7">
        <v>19761</v>
      </c>
      <c r="L16" s="5">
        <f t="shared" si="0"/>
        <v>0.58097075849784774</v>
      </c>
      <c r="M16" s="5">
        <f t="shared" si="1"/>
        <v>0.12433244325767689</v>
      </c>
      <c r="N16" s="7">
        <f t="shared" si="3"/>
        <v>40729</v>
      </c>
      <c r="O16" s="7"/>
      <c r="P16" s="8"/>
      <c r="Q16" s="7"/>
      <c r="R16" s="7"/>
      <c r="S16" s="7"/>
      <c r="T16" s="7"/>
      <c r="U16" s="7"/>
      <c r="V16" s="7"/>
      <c r="W16" s="7"/>
      <c r="X16" s="3" t="s">
        <v>43</v>
      </c>
      <c r="Y16" s="3"/>
      <c r="Z16" s="9">
        <v>8.8840000000000002E-2</v>
      </c>
      <c r="AA16" s="5">
        <f t="shared" si="2"/>
        <v>0.12526915769474334</v>
      </c>
      <c r="AB16" s="9">
        <f t="shared" si="4"/>
        <v>8.5629999999999998E-2</v>
      </c>
      <c r="AC16" s="9"/>
      <c r="AD16" s="8"/>
      <c r="AE16" s="3" t="s">
        <v>44</v>
      </c>
      <c r="AF16" s="10"/>
      <c r="AG16" s="11"/>
      <c r="AH16" s="11"/>
      <c r="AI16" s="3" t="s">
        <v>45</v>
      </c>
      <c r="AJ16" s="3" t="s">
        <v>40</v>
      </c>
      <c r="AK16" s="3" t="s">
        <v>46</v>
      </c>
      <c r="AL16" s="3" t="s">
        <v>47</v>
      </c>
      <c r="AM16" s="3" t="s">
        <v>39</v>
      </c>
    </row>
    <row r="17" spans="1:39" ht="21" customHeight="1">
      <c r="A17" s="4">
        <v>45977</v>
      </c>
      <c r="B17" s="3" t="s">
        <v>39</v>
      </c>
      <c r="C17" s="3" t="s">
        <v>40</v>
      </c>
      <c r="D17" s="4">
        <v>46057</v>
      </c>
      <c r="E17" s="3">
        <v>-80</v>
      </c>
      <c r="F17" s="3" t="s">
        <v>41</v>
      </c>
      <c r="G17" s="3" t="s">
        <v>48</v>
      </c>
      <c r="H17" s="3">
        <v>1</v>
      </c>
      <c r="I17" s="7">
        <v>43452</v>
      </c>
      <c r="J17" s="7">
        <v>24248</v>
      </c>
      <c r="K17" s="7">
        <v>19204</v>
      </c>
      <c r="L17" s="5">
        <f t="shared" si="0"/>
        <v>0.55804105679830618</v>
      </c>
      <c r="M17" s="5">
        <f t="shared" si="1"/>
        <v>-7.8606416590682571E-2</v>
      </c>
      <c r="N17" s="7">
        <f t="shared" si="3"/>
        <v>40490.428571428572</v>
      </c>
      <c r="O17" s="7"/>
      <c r="P17" s="8"/>
      <c r="Q17" s="7"/>
      <c r="R17" s="7"/>
      <c r="S17" s="7"/>
      <c r="T17" s="7"/>
      <c r="U17" s="7"/>
      <c r="V17" s="7"/>
      <c r="W17" s="7"/>
      <c r="X17" s="3" t="s">
        <v>43</v>
      </c>
      <c r="Y17" s="3"/>
      <c r="Z17" s="9">
        <v>8.6370000000000002E-2</v>
      </c>
      <c r="AA17" s="5">
        <f t="shared" si="2"/>
        <v>-2.7802791535344484E-2</v>
      </c>
      <c r="AB17" s="9">
        <f t="shared" si="4"/>
        <v>8.2500000000000018E-2</v>
      </c>
      <c r="AC17" s="9"/>
      <c r="AD17" s="8"/>
      <c r="AE17" s="3" t="s">
        <v>44</v>
      </c>
      <c r="AF17" s="10"/>
      <c r="AG17" s="11"/>
      <c r="AH17" s="11"/>
      <c r="AI17" s="3" t="s">
        <v>45</v>
      </c>
      <c r="AJ17" s="3" t="s">
        <v>40</v>
      </c>
      <c r="AK17" s="3" t="s">
        <v>46</v>
      </c>
      <c r="AL17" s="3" t="s">
        <v>47</v>
      </c>
      <c r="AM17" s="3" t="s">
        <v>39</v>
      </c>
    </row>
    <row r="18" spans="1:39" ht="21" customHeight="1">
      <c r="A18" s="4">
        <v>45978</v>
      </c>
      <c r="B18" s="3" t="s">
        <v>39</v>
      </c>
      <c r="C18" s="3" t="s">
        <v>40</v>
      </c>
      <c r="D18" s="4">
        <v>46057</v>
      </c>
      <c r="E18" s="3">
        <v>-79</v>
      </c>
      <c r="F18" s="3" t="s">
        <v>41</v>
      </c>
      <c r="G18" s="3" t="s">
        <v>49</v>
      </c>
      <c r="H18" s="3">
        <v>0</v>
      </c>
      <c r="I18" s="7">
        <v>35976</v>
      </c>
      <c r="J18" s="7">
        <v>13240</v>
      </c>
      <c r="K18" s="7">
        <v>22736</v>
      </c>
      <c r="L18" s="5">
        <f t="shared" si="0"/>
        <v>0.36802312652879698</v>
      </c>
      <c r="M18" s="5">
        <f t="shared" si="1"/>
        <v>-0.17205191935929298</v>
      </c>
      <c r="N18" s="7">
        <f t="shared" si="3"/>
        <v>40323.285714285717</v>
      </c>
      <c r="O18" s="7"/>
      <c r="P18" s="8"/>
      <c r="Q18" s="7"/>
      <c r="R18" s="7"/>
      <c r="S18" s="7"/>
      <c r="T18" s="7"/>
      <c r="U18" s="7"/>
      <c r="V18" s="7"/>
      <c r="W18" s="7"/>
      <c r="X18" s="3" t="s">
        <v>43</v>
      </c>
      <c r="Y18" s="3"/>
      <c r="Z18" s="9">
        <v>7.3219999999999993E-2</v>
      </c>
      <c r="AA18" s="5">
        <f t="shared" si="2"/>
        <v>-0.15225193933078629</v>
      </c>
      <c r="AB18" s="9">
        <f t="shared" si="4"/>
        <v>8.1328571428571431E-2</v>
      </c>
      <c r="AC18" s="9"/>
      <c r="AD18" s="8"/>
      <c r="AE18" s="3" t="s">
        <v>44</v>
      </c>
      <c r="AF18" s="10"/>
      <c r="AG18" s="11"/>
      <c r="AH18" s="11"/>
      <c r="AI18" s="3" t="s">
        <v>45</v>
      </c>
      <c r="AJ18" s="3" t="s">
        <v>40</v>
      </c>
      <c r="AK18" s="3" t="s">
        <v>46</v>
      </c>
      <c r="AL18" s="3" t="s">
        <v>47</v>
      </c>
      <c r="AM18" s="3" t="s">
        <v>39</v>
      </c>
    </row>
    <row r="19" spans="1:39" ht="21" customHeight="1">
      <c r="A19" s="4">
        <v>45979</v>
      </c>
      <c r="B19" s="3" t="s">
        <v>39</v>
      </c>
      <c r="C19" s="3" t="s">
        <v>40</v>
      </c>
      <c r="D19" s="4">
        <v>46057</v>
      </c>
      <c r="E19" s="3">
        <v>-78</v>
      </c>
      <c r="F19" s="3" t="s">
        <v>41</v>
      </c>
      <c r="G19" s="3" t="s">
        <v>50</v>
      </c>
      <c r="H19" s="3">
        <v>0</v>
      </c>
      <c r="I19" s="7">
        <v>35490</v>
      </c>
      <c r="J19" s="7">
        <v>12960</v>
      </c>
      <c r="K19" s="7">
        <v>22530</v>
      </c>
      <c r="L19" s="5">
        <f t="shared" si="0"/>
        <v>0.36517328825021134</v>
      </c>
      <c r="M19" s="5">
        <f t="shared" si="1"/>
        <v>-1.3509006004002622E-2</v>
      </c>
      <c r="N19" s="7">
        <f t="shared" si="3"/>
        <v>39941.857142857145</v>
      </c>
      <c r="O19" s="7"/>
      <c r="P19" s="8"/>
      <c r="Q19" s="7"/>
      <c r="R19" s="7"/>
      <c r="S19" s="7"/>
      <c r="T19" s="7"/>
      <c r="U19" s="7"/>
      <c r="V19" s="7"/>
      <c r="W19" s="7"/>
      <c r="X19" s="3" t="s">
        <v>43</v>
      </c>
      <c r="Y19" s="3"/>
      <c r="Z19" s="9">
        <v>6.9970000000000004E-2</v>
      </c>
      <c r="AA19" s="5">
        <f t="shared" si="2"/>
        <v>-4.438677956842374E-2</v>
      </c>
      <c r="AB19" s="9">
        <f t="shared" si="4"/>
        <v>8.0127142857142855E-2</v>
      </c>
      <c r="AC19" s="9"/>
      <c r="AD19" s="8"/>
      <c r="AE19" s="3" t="s">
        <v>44</v>
      </c>
      <c r="AF19" s="10"/>
      <c r="AG19" s="11"/>
      <c r="AH19" s="11"/>
      <c r="AI19" s="3" t="s">
        <v>45</v>
      </c>
      <c r="AJ19" s="3" t="s">
        <v>40</v>
      </c>
      <c r="AK19" s="3" t="s">
        <v>46</v>
      </c>
      <c r="AL19" s="3" t="s">
        <v>47</v>
      </c>
      <c r="AM19" s="3" t="s">
        <v>39</v>
      </c>
    </row>
    <row r="20" spans="1:39" ht="21" customHeight="1">
      <c r="A20" s="4">
        <v>45980</v>
      </c>
      <c r="B20" s="3" t="s">
        <v>39</v>
      </c>
      <c r="C20" s="3" t="s">
        <v>40</v>
      </c>
      <c r="D20" s="4">
        <v>46057</v>
      </c>
      <c r="E20" s="3">
        <v>-77</v>
      </c>
      <c r="F20" s="3" t="s">
        <v>41</v>
      </c>
      <c r="G20" s="3" t="s">
        <v>51</v>
      </c>
      <c r="H20" s="3">
        <v>0</v>
      </c>
      <c r="I20" s="7">
        <v>36530</v>
      </c>
      <c r="J20" s="7">
        <v>13328</v>
      </c>
      <c r="K20" s="7">
        <v>23202</v>
      </c>
      <c r="L20" s="5">
        <f t="shared" si="0"/>
        <v>0.36485080755543386</v>
      </c>
      <c r="M20" s="5">
        <f t="shared" si="1"/>
        <v>2.93040293040292E-2</v>
      </c>
      <c r="N20" s="7">
        <f t="shared" si="3"/>
        <v>39807</v>
      </c>
      <c r="O20" s="7"/>
      <c r="P20" s="8"/>
      <c r="Q20" s="7"/>
      <c r="R20" s="7"/>
      <c r="S20" s="7"/>
      <c r="T20" s="7"/>
      <c r="U20" s="7"/>
      <c r="V20" s="7"/>
      <c r="W20" s="7"/>
      <c r="X20" s="3" t="s">
        <v>43</v>
      </c>
      <c r="Y20" s="3"/>
      <c r="Z20" s="9">
        <v>6.7919999999999994E-2</v>
      </c>
      <c r="AA20" s="5">
        <f t="shared" si="2"/>
        <v>-2.9298270687437622E-2</v>
      </c>
      <c r="AB20" s="9">
        <f t="shared" si="4"/>
        <v>7.8027142857142864E-2</v>
      </c>
      <c r="AC20" s="9"/>
      <c r="AD20" s="8"/>
      <c r="AE20" s="3" t="s">
        <v>44</v>
      </c>
      <c r="AF20" s="10"/>
      <c r="AG20" s="11"/>
      <c r="AH20" s="11"/>
      <c r="AI20" s="3" t="s">
        <v>45</v>
      </c>
      <c r="AJ20" s="3" t="s">
        <v>40</v>
      </c>
      <c r="AK20" s="3" t="s">
        <v>46</v>
      </c>
      <c r="AL20" s="3" t="s">
        <v>47</v>
      </c>
      <c r="AM20" s="3" t="s">
        <v>39</v>
      </c>
    </row>
    <row r="21" spans="1:39" ht="21" customHeight="1">
      <c r="A21" s="4">
        <v>45981</v>
      </c>
      <c r="B21" s="3" t="s">
        <v>39</v>
      </c>
      <c r="C21" s="3" t="s">
        <v>40</v>
      </c>
      <c r="D21" s="4">
        <v>46057</v>
      </c>
      <c r="E21" s="3">
        <v>-76</v>
      </c>
      <c r="F21" s="3" t="s">
        <v>41</v>
      </c>
      <c r="G21" s="3" t="s">
        <v>52</v>
      </c>
      <c r="H21" s="3">
        <v>0</v>
      </c>
      <c r="I21" s="7">
        <v>36614</v>
      </c>
      <c r="J21" s="7">
        <v>13748</v>
      </c>
      <c r="K21" s="7">
        <v>22866</v>
      </c>
      <c r="L21" s="5">
        <f t="shared" si="0"/>
        <v>0.37548478723985362</v>
      </c>
      <c r="M21" s="5">
        <f t="shared" si="1"/>
        <v>2.2994798795510363E-3</v>
      </c>
      <c r="N21" s="7">
        <f t="shared" si="3"/>
        <v>39595</v>
      </c>
      <c r="O21" s="7"/>
      <c r="P21" s="8"/>
      <c r="Q21" s="7"/>
      <c r="R21" s="7"/>
      <c r="S21" s="7"/>
      <c r="T21" s="7"/>
      <c r="U21" s="7"/>
      <c r="V21" s="7"/>
      <c r="W21" s="7"/>
      <c r="X21" s="3" t="s">
        <v>43</v>
      </c>
      <c r="Y21" s="3"/>
      <c r="Z21" s="9">
        <v>6.7000000000000004E-2</v>
      </c>
      <c r="AA21" s="5">
        <f t="shared" si="2"/>
        <v>-1.3545347467608826E-2</v>
      </c>
      <c r="AB21" s="9">
        <f t="shared" si="4"/>
        <v>7.6038571428571428E-2</v>
      </c>
      <c r="AC21" s="9"/>
      <c r="AD21" s="8"/>
      <c r="AE21" s="3" t="s">
        <v>44</v>
      </c>
      <c r="AF21" s="10"/>
      <c r="AG21" s="11"/>
      <c r="AH21" s="11"/>
      <c r="AI21" s="3" t="s">
        <v>45</v>
      </c>
      <c r="AJ21" s="3" t="s">
        <v>40</v>
      </c>
      <c r="AK21" s="3" t="s">
        <v>46</v>
      </c>
      <c r="AL21" s="3" t="s">
        <v>47</v>
      </c>
      <c r="AM21" s="3" t="s">
        <v>39</v>
      </c>
    </row>
    <row r="22" spans="1:39" ht="21" customHeight="1">
      <c r="A22" s="4">
        <v>45982</v>
      </c>
      <c r="B22" s="3" t="s">
        <v>39</v>
      </c>
      <c r="C22" s="3" t="s">
        <v>40</v>
      </c>
      <c r="D22" s="4">
        <v>46057</v>
      </c>
      <c r="E22" s="3">
        <v>-75</v>
      </c>
      <c r="F22" s="3" t="s">
        <v>41</v>
      </c>
      <c r="G22" s="3" t="s">
        <v>53</v>
      </c>
      <c r="H22" s="3">
        <v>0</v>
      </c>
      <c r="I22" s="7">
        <v>39420</v>
      </c>
      <c r="J22" s="7">
        <v>16516</v>
      </c>
      <c r="K22" s="7">
        <v>22904</v>
      </c>
      <c r="L22" s="5">
        <f t="shared" si="0"/>
        <v>0.41897513952308474</v>
      </c>
      <c r="M22" s="5">
        <f t="shared" si="1"/>
        <v>7.6637351832632428E-2</v>
      </c>
      <c r="N22" s="7">
        <f t="shared" si="3"/>
        <v>39234.428571428572</v>
      </c>
      <c r="O22" s="7"/>
      <c r="P22" s="8"/>
      <c r="Q22" s="7"/>
      <c r="R22" s="7"/>
      <c r="S22" s="7"/>
      <c r="T22" s="7"/>
      <c r="U22" s="7"/>
      <c r="V22" s="7"/>
      <c r="W22" s="7"/>
      <c r="X22" s="3" t="s">
        <v>43</v>
      </c>
      <c r="Y22" s="3"/>
      <c r="Z22" s="9">
        <v>7.1669999999999998E-2</v>
      </c>
      <c r="AA22" s="5">
        <f t="shared" si="2"/>
        <v>6.9701492537313392E-2</v>
      </c>
      <c r="AB22" s="9">
        <f t="shared" si="4"/>
        <v>7.4998571428571428E-2</v>
      </c>
      <c r="AC22" s="9"/>
      <c r="AD22" s="8"/>
      <c r="AE22" s="3" t="s">
        <v>44</v>
      </c>
      <c r="AF22" s="10"/>
      <c r="AG22" s="11"/>
      <c r="AH22" s="11"/>
      <c r="AI22" s="3" t="s">
        <v>45</v>
      </c>
      <c r="AJ22" s="3" t="s">
        <v>40</v>
      </c>
      <c r="AK22" s="3" t="s">
        <v>46</v>
      </c>
      <c r="AL22" s="3" t="s">
        <v>47</v>
      </c>
      <c r="AM22" s="3" t="s">
        <v>39</v>
      </c>
    </row>
    <row r="23" spans="1:39" ht="21" customHeight="1">
      <c r="A23" s="4">
        <v>45983</v>
      </c>
      <c r="B23" s="3" t="s">
        <v>39</v>
      </c>
      <c r="C23" s="3" t="s">
        <v>40</v>
      </c>
      <c r="D23" s="4">
        <v>46057</v>
      </c>
      <c r="E23" s="3">
        <v>-74</v>
      </c>
      <c r="F23" s="3" t="s">
        <v>41</v>
      </c>
      <c r="G23" s="3" t="s">
        <v>42</v>
      </c>
      <c r="H23" s="3">
        <v>1</v>
      </c>
      <c r="I23" s="7">
        <v>41328</v>
      </c>
      <c r="J23" s="7">
        <v>21966</v>
      </c>
      <c r="K23" s="7">
        <v>19362</v>
      </c>
      <c r="L23" s="5">
        <f t="shared" si="0"/>
        <v>0.5315040650406504</v>
      </c>
      <c r="M23" s="5">
        <f t="shared" si="1"/>
        <v>4.8401826484018251E-2</v>
      </c>
      <c r="N23" s="7">
        <f t="shared" si="3"/>
        <v>38401.428571428572</v>
      </c>
      <c r="O23" s="7"/>
      <c r="P23" s="8"/>
      <c r="Q23" s="7"/>
      <c r="R23" s="7"/>
      <c r="S23" s="7"/>
      <c r="T23" s="7"/>
      <c r="U23" s="7"/>
      <c r="V23" s="7"/>
      <c r="W23" s="7"/>
      <c r="X23" s="3" t="s">
        <v>43</v>
      </c>
      <c r="Y23" s="3"/>
      <c r="Z23" s="9">
        <v>7.4279999999999999E-2</v>
      </c>
      <c r="AA23" s="5">
        <f t="shared" si="2"/>
        <v>3.6416910841356342E-2</v>
      </c>
      <c r="AB23" s="9">
        <f t="shared" si="4"/>
        <v>7.291857142857143E-2</v>
      </c>
      <c r="AC23" s="9"/>
      <c r="AD23" s="8"/>
      <c r="AE23" s="3" t="s">
        <v>44</v>
      </c>
      <c r="AF23" s="10"/>
      <c r="AG23" s="11"/>
      <c r="AH23" s="11"/>
      <c r="AI23" s="3" t="s">
        <v>45</v>
      </c>
      <c r="AJ23" s="3" t="s">
        <v>40</v>
      </c>
      <c r="AK23" s="3" t="s">
        <v>46</v>
      </c>
      <c r="AL23" s="3" t="s">
        <v>47</v>
      </c>
      <c r="AM23" s="3" t="s">
        <v>39</v>
      </c>
    </row>
    <row r="24" spans="1:39" ht="21" customHeight="1">
      <c r="A24" s="4">
        <v>45984</v>
      </c>
      <c r="B24" s="3" t="s">
        <v>39</v>
      </c>
      <c r="C24" s="3" t="s">
        <v>40</v>
      </c>
      <c r="D24" s="4">
        <v>46057</v>
      </c>
      <c r="E24" s="3">
        <v>-73</v>
      </c>
      <c r="F24" s="3" t="s">
        <v>41</v>
      </c>
      <c r="G24" s="3" t="s">
        <v>48</v>
      </c>
      <c r="H24" s="3">
        <v>1</v>
      </c>
      <c r="I24" s="7">
        <v>39018</v>
      </c>
      <c r="J24" s="7">
        <v>20356</v>
      </c>
      <c r="K24" s="7">
        <v>18662</v>
      </c>
      <c r="L24" s="5">
        <f t="shared" si="0"/>
        <v>0.52170792967348401</v>
      </c>
      <c r="M24" s="5">
        <f t="shared" si="1"/>
        <v>-5.5894308943089444E-2</v>
      </c>
      <c r="N24" s="7">
        <f t="shared" si="3"/>
        <v>37768</v>
      </c>
      <c r="O24" s="7"/>
      <c r="P24" s="8"/>
      <c r="Q24" s="7"/>
      <c r="R24" s="7"/>
      <c r="S24" s="7"/>
      <c r="T24" s="7"/>
      <c r="U24" s="7"/>
      <c r="V24" s="7"/>
      <c r="W24" s="7"/>
      <c r="X24" s="3" t="s">
        <v>43</v>
      </c>
      <c r="Y24" s="3"/>
      <c r="Z24" s="9">
        <v>7.1309999999999998E-2</v>
      </c>
      <c r="AA24" s="5">
        <f t="shared" si="2"/>
        <v>-3.9983844911147037E-2</v>
      </c>
      <c r="AB24" s="9">
        <f t="shared" si="4"/>
        <v>7.0767142857142848E-2</v>
      </c>
      <c r="AC24" s="9"/>
      <c r="AD24" s="8"/>
      <c r="AE24" s="3" t="s">
        <v>44</v>
      </c>
      <c r="AF24" s="10"/>
      <c r="AG24" s="11"/>
      <c r="AH24" s="11"/>
      <c r="AI24" s="3" t="s">
        <v>45</v>
      </c>
      <c r="AJ24" s="3" t="s">
        <v>40</v>
      </c>
      <c r="AK24" s="3" t="s">
        <v>46</v>
      </c>
      <c r="AL24" s="3" t="s">
        <v>47</v>
      </c>
      <c r="AM24" s="3" t="s">
        <v>39</v>
      </c>
    </row>
    <row r="25" spans="1:39" ht="21" customHeight="1">
      <c r="A25" s="4">
        <v>45985</v>
      </c>
      <c r="B25" s="3" t="s">
        <v>39</v>
      </c>
      <c r="C25" s="3" t="s">
        <v>40</v>
      </c>
      <c r="D25" s="4">
        <v>46057</v>
      </c>
      <c r="E25" s="3">
        <v>-72</v>
      </c>
      <c r="F25" s="3" t="s">
        <v>41</v>
      </c>
      <c r="G25" s="3" t="s">
        <v>49</v>
      </c>
      <c r="H25" s="3">
        <v>0</v>
      </c>
      <c r="I25" s="7">
        <v>37016</v>
      </c>
      <c r="J25" s="7">
        <v>13874</v>
      </c>
      <c r="K25" s="7">
        <v>23142</v>
      </c>
      <c r="L25" s="5">
        <f t="shared" si="0"/>
        <v>0.37481089258698941</v>
      </c>
      <c r="M25" s="5">
        <f t="shared" si="1"/>
        <v>-5.130965195550774E-2</v>
      </c>
      <c r="N25" s="7">
        <f t="shared" si="3"/>
        <v>37916.571428571428</v>
      </c>
      <c r="O25" s="7"/>
      <c r="P25" s="8"/>
      <c r="Q25" s="7"/>
      <c r="R25" s="7"/>
      <c r="S25" s="7"/>
      <c r="T25" s="7"/>
      <c r="U25" s="7"/>
      <c r="V25" s="7"/>
      <c r="W25" s="7"/>
      <c r="X25" s="3" t="s">
        <v>43</v>
      </c>
      <c r="Y25" s="3"/>
      <c r="Z25" s="9">
        <v>6.898E-2</v>
      </c>
      <c r="AA25" s="5">
        <f t="shared" si="2"/>
        <v>-3.267423923713364E-2</v>
      </c>
      <c r="AB25" s="9">
        <f t="shared" si="4"/>
        <v>7.0161428571428569E-2</v>
      </c>
      <c r="AC25" s="9"/>
      <c r="AD25" s="8"/>
      <c r="AE25" s="3" t="s">
        <v>44</v>
      </c>
      <c r="AF25" s="10"/>
      <c r="AG25" s="11"/>
      <c r="AH25" s="11"/>
      <c r="AI25" s="3" t="s">
        <v>45</v>
      </c>
      <c r="AJ25" s="3" t="s">
        <v>40</v>
      </c>
      <c r="AK25" s="3" t="s">
        <v>46</v>
      </c>
      <c r="AL25" s="3" t="s">
        <v>47</v>
      </c>
      <c r="AM25" s="3" t="s">
        <v>39</v>
      </c>
    </row>
    <row r="26" spans="1:39" ht="21" customHeight="1">
      <c r="A26" s="4">
        <v>45986</v>
      </c>
      <c r="B26" s="3" t="s">
        <v>39</v>
      </c>
      <c r="C26" s="3" t="s">
        <v>40</v>
      </c>
      <c r="D26" s="4">
        <v>46057</v>
      </c>
      <c r="E26" s="3">
        <v>-71</v>
      </c>
      <c r="F26" s="3" t="s">
        <v>41</v>
      </c>
      <c r="G26" s="3" t="s">
        <v>50</v>
      </c>
      <c r="H26" s="3">
        <v>0</v>
      </c>
      <c r="I26" s="7">
        <v>35038</v>
      </c>
      <c r="J26" s="7">
        <v>12918</v>
      </c>
      <c r="K26" s="7">
        <v>22120</v>
      </c>
      <c r="L26" s="5">
        <f t="shared" si="0"/>
        <v>0.36868542725041381</v>
      </c>
      <c r="M26" s="5">
        <f t="shared" si="1"/>
        <v>-5.3436351847849561E-2</v>
      </c>
      <c r="N26" s="7">
        <f t="shared" si="3"/>
        <v>37852</v>
      </c>
      <c r="O26" s="7"/>
      <c r="P26" s="8"/>
      <c r="Q26" s="7"/>
      <c r="R26" s="7"/>
      <c r="S26" s="7"/>
      <c r="T26" s="7"/>
      <c r="U26" s="7"/>
      <c r="V26" s="7"/>
      <c r="W26" s="7"/>
      <c r="X26" s="3" t="s">
        <v>43</v>
      </c>
      <c r="Y26" s="3"/>
      <c r="Z26" s="9">
        <v>6.5869999999999998E-2</v>
      </c>
      <c r="AA26" s="5">
        <f t="shared" si="2"/>
        <v>-4.5085532038272036E-2</v>
      </c>
      <c r="AB26" s="9">
        <f t="shared" si="4"/>
        <v>6.9575714285714282E-2</v>
      </c>
      <c r="AC26" s="9"/>
      <c r="AD26" s="8"/>
      <c r="AE26" s="3" t="s">
        <v>44</v>
      </c>
      <c r="AF26" s="10"/>
      <c r="AG26" s="11"/>
      <c r="AH26" s="11"/>
      <c r="AI26" s="3" t="s">
        <v>45</v>
      </c>
      <c r="AJ26" s="3" t="s">
        <v>40</v>
      </c>
      <c r="AK26" s="3" t="s">
        <v>46</v>
      </c>
      <c r="AL26" s="3" t="s">
        <v>47</v>
      </c>
      <c r="AM26" s="3" t="s">
        <v>39</v>
      </c>
    </row>
    <row r="27" spans="1:39" ht="21" customHeight="1">
      <c r="A27" s="4">
        <v>45987</v>
      </c>
      <c r="B27" s="3" t="s">
        <v>39</v>
      </c>
      <c r="C27" s="3" t="s">
        <v>40</v>
      </c>
      <c r="D27" s="4">
        <v>46057</v>
      </c>
      <c r="E27" s="3">
        <v>-70</v>
      </c>
      <c r="F27" s="3" t="s">
        <v>41</v>
      </c>
      <c r="G27" s="3" t="s">
        <v>51</v>
      </c>
      <c r="H27" s="3">
        <v>0</v>
      </c>
      <c r="I27" s="7">
        <v>36536</v>
      </c>
      <c r="J27" s="7">
        <v>13580</v>
      </c>
      <c r="K27" s="7">
        <v>22956</v>
      </c>
      <c r="L27" s="5">
        <f t="shared" si="0"/>
        <v>0.37168819794175606</v>
      </c>
      <c r="M27" s="5">
        <f t="shared" si="1"/>
        <v>4.2753581825446751E-2</v>
      </c>
      <c r="N27" s="7">
        <f t="shared" si="3"/>
        <v>37852.857142857145</v>
      </c>
      <c r="O27" s="7"/>
      <c r="P27" s="8"/>
      <c r="Q27" s="7"/>
      <c r="R27" s="7"/>
      <c r="S27" s="7"/>
      <c r="T27" s="7"/>
      <c r="U27" s="7"/>
      <c r="V27" s="7"/>
      <c r="W27" s="7"/>
      <c r="X27" s="3" t="s">
        <v>43</v>
      </c>
      <c r="Y27" s="3"/>
      <c r="Z27" s="9">
        <v>6.3820000000000002E-2</v>
      </c>
      <c r="AA27" s="5">
        <f t="shared" si="2"/>
        <v>-3.1121906786093723E-2</v>
      </c>
      <c r="AB27" s="9">
        <f t="shared" si="4"/>
        <v>6.8989999999999996E-2</v>
      </c>
      <c r="AC27" s="9"/>
      <c r="AD27" s="8"/>
      <c r="AE27" s="3" t="s">
        <v>44</v>
      </c>
      <c r="AF27" s="10"/>
      <c r="AG27" s="11"/>
      <c r="AH27" s="11"/>
      <c r="AI27" s="3" t="s">
        <v>45</v>
      </c>
      <c r="AJ27" s="3" t="s">
        <v>40</v>
      </c>
      <c r="AK27" s="3" t="s">
        <v>46</v>
      </c>
      <c r="AL27" s="3" t="s">
        <v>47</v>
      </c>
      <c r="AM27" s="3" t="s">
        <v>39</v>
      </c>
    </row>
    <row r="28" spans="1:39" ht="21" customHeight="1">
      <c r="A28" s="4">
        <v>45988</v>
      </c>
      <c r="B28" s="3" t="s">
        <v>39</v>
      </c>
      <c r="C28" s="3" t="s">
        <v>40</v>
      </c>
      <c r="D28" s="4">
        <v>46057</v>
      </c>
      <c r="E28" s="3">
        <v>-69</v>
      </c>
      <c r="F28" s="3" t="s">
        <v>41</v>
      </c>
      <c r="G28" s="3" t="s">
        <v>52</v>
      </c>
      <c r="H28" s="3">
        <v>0</v>
      </c>
      <c r="I28" s="7">
        <v>34069</v>
      </c>
      <c r="J28" s="7">
        <v>12058</v>
      </c>
      <c r="K28" s="7">
        <v>22012</v>
      </c>
      <c r="L28" s="5">
        <f t="shared" si="0"/>
        <v>0.35392879157004903</v>
      </c>
      <c r="M28" s="5">
        <f t="shared" si="1"/>
        <v>-6.7522443617254235E-2</v>
      </c>
      <c r="N28" s="7">
        <f t="shared" si="3"/>
        <v>37489.285714285717</v>
      </c>
      <c r="O28" s="7"/>
      <c r="P28" s="8"/>
      <c r="Q28" s="7"/>
      <c r="R28" s="7"/>
      <c r="S28" s="7"/>
      <c r="T28" s="7"/>
      <c r="U28" s="7"/>
      <c r="V28" s="7"/>
      <c r="W28" s="7"/>
      <c r="X28" s="3" t="s">
        <v>43</v>
      </c>
      <c r="Y28" s="3"/>
      <c r="Z28" s="9">
        <v>6.191E-2</v>
      </c>
      <c r="AA28" s="5">
        <f t="shared" si="2"/>
        <v>-2.9927922281416497E-2</v>
      </c>
      <c r="AB28" s="9">
        <f t="shared" si="4"/>
        <v>6.8262857142857139E-2</v>
      </c>
      <c r="AC28" s="9"/>
      <c r="AD28" s="8"/>
      <c r="AE28" s="3" t="s">
        <v>44</v>
      </c>
      <c r="AF28" s="10"/>
      <c r="AG28" s="11"/>
      <c r="AH28" s="11"/>
      <c r="AI28" s="3" t="s">
        <v>45</v>
      </c>
      <c r="AJ28" s="3" t="s">
        <v>40</v>
      </c>
      <c r="AK28" s="3" t="s">
        <v>46</v>
      </c>
      <c r="AL28" s="3" t="s">
        <v>47</v>
      </c>
      <c r="AM28" s="3" t="s">
        <v>39</v>
      </c>
    </row>
    <row r="29" spans="1:39" ht="21" customHeight="1">
      <c r="A29" s="4">
        <v>45989</v>
      </c>
      <c r="B29" s="3" t="s">
        <v>39</v>
      </c>
      <c r="C29" s="3" t="s">
        <v>40</v>
      </c>
      <c r="D29" s="4">
        <v>46057</v>
      </c>
      <c r="E29" s="3">
        <v>-68</v>
      </c>
      <c r="F29" s="3" t="s">
        <v>41</v>
      </c>
      <c r="G29" s="3" t="s">
        <v>53</v>
      </c>
      <c r="H29" s="3">
        <v>0</v>
      </c>
      <c r="I29" s="7">
        <v>37236</v>
      </c>
      <c r="J29" s="7">
        <v>14542</v>
      </c>
      <c r="K29" s="7">
        <v>22694</v>
      </c>
      <c r="L29" s="5">
        <f t="shared" si="0"/>
        <v>0.39053604039101947</v>
      </c>
      <c r="M29" s="5">
        <f t="shared" si="1"/>
        <v>9.2958407936833964E-2</v>
      </c>
      <c r="N29" s="7">
        <f t="shared" si="3"/>
        <v>37177.285714285717</v>
      </c>
      <c r="O29" s="7"/>
      <c r="P29" s="8"/>
      <c r="Q29" s="7"/>
      <c r="R29" s="7"/>
      <c r="S29" s="7"/>
      <c r="T29" s="7"/>
      <c r="U29" s="7"/>
      <c r="V29" s="7"/>
      <c r="W29" s="7"/>
      <c r="X29" s="3" t="s">
        <v>43</v>
      </c>
      <c r="Y29" s="3"/>
      <c r="Z29" s="9">
        <v>6.3250000000000001E-2</v>
      </c>
      <c r="AA29" s="5">
        <f t="shared" si="2"/>
        <v>2.1644322403489014E-2</v>
      </c>
      <c r="AB29" s="9">
        <f t="shared" si="4"/>
        <v>6.7059999999999995E-2</v>
      </c>
      <c r="AC29" s="9"/>
      <c r="AD29" s="8"/>
      <c r="AE29" s="3" t="s">
        <v>44</v>
      </c>
      <c r="AF29" s="10"/>
      <c r="AG29" s="11"/>
      <c r="AH29" s="11"/>
      <c r="AI29" s="3" t="s">
        <v>45</v>
      </c>
      <c r="AJ29" s="3" t="s">
        <v>40</v>
      </c>
      <c r="AK29" s="3" t="s">
        <v>46</v>
      </c>
      <c r="AL29" s="3" t="s">
        <v>47</v>
      </c>
      <c r="AM29" s="3" t="s">
        <v>39</v>
      </c>
    </row>
    <row r="30" spans="1:39" ht="21" customHeight="1">
      <c r="A30" s="4">
        <v>45990</v>
      </c>
      <c r="B30" s="3" t="s">
        <v>39</v>
      </c>
      <c r="C30" s="3" t="s">
        <v>40</v>
      </c>
      <c r="D30" s="4">
        <v>46057</v>
      </c>
      <c r="E30" s="3">
        <v>-67</v>
      </c>
      <c r="F30" s="3" t="s">
        <v>41</v>
      </c>
      <c r="G30" s="3" t="s">
        <v>42</v>
      </c>
      <c r="H30" s="3">
        <v>1</v>
      </c>
      <c r="I30" s="7">
        <v>39683</v>
      </c>
      <c r="J30" s="7">
        <v>20492</v>
      </c>
      <c r="K30" s="7">
        <v>19190</v>
      </c>
      <c r="L30" s="5">
        <f t="shared" si="0"/>
        <v>0.5163924098480458</v>
      </c>
      <c r="M30" s="5">
        <f t="shared" si="1"/>
        <v>6.5715973788806448E-2</v>
      </c>
      <c r="N30" s="7">
        <f t="shared" si="3"/>
        <v>36942.285714285717</v>
      </c>
      <c r="O30" s="7">
        <f t="shared" ref="O30:O93" si="5">AVERAGE(I2:I29)</f>
        <v>39632.035714285717</v>
      </c>
      <c r="P30" s="8">
        <f t="shared" ref="P30:P93" si="6">IFERROR(I30/O30,"")</f>
        <v>1.0012859366115254</v>
      </c>
      <c r="Q30" s="7"/>
      <c r="R30" s="7"/>
      <c r="S30" s="7"/>
      <c r="T30" s="7"/>
      <c r="U30" s="7"/>
      <c r="V30" s="7"/>
      <c r="W30" s="7"/>
      <c r="X30" s="3" t="s">
        <v>43</v>
      </c>
      <c r="Y30" s="3"/>
      <c r="Z30" s="9">
        <v>5.9229999999999998E-2</v>
      </c>
      <c r="AA30" s="5">
        <f t="shared" si="2"/>
        <v>-6.355731225296446E-2</v>
      </c>
      <c r="AB30" s="9">
        <f t="shared" si="4"/>
        <v>6.4910000000000009E-2</v>
      </c>
      <c r="AC30" s="9">
        <f t="shared" ref="AC30:AC93" si="7">AVERAGE(Z2:Z29)</f>
        <v>8.0455357142857162E-2</v>
      </c>
      <c r="AD30" s="8">
        <f t="shared" ref="AD30:AD93" si="8">IFERROR(AB30/AC30,"")</f>
        <v>0.80678282099655974</v>
      </c>
      <c r="AE30" s="3" t="s">
        <v>44</v>
      </c>
      <c r="AF30" s="10">
        <f t="shared" ref="AF30:AF93" si="9">IF(COUNT(J23,J16,J9,J2)=4,AVERAGE(J23,J16,J9,J2),"")</f>
        <v>27142.5</v>
      </c>
      <c r="AG30" s="11">
        <f t="shared" ref="AG30:AG93" si="10">IFERROR(J30/AF30,"")</f>
        <v>0.75497835497835497</v>
      </c>
      <c r="AH30" s="11">
        <f t="shared" ref="AH30:AH93" si="11">IFERROR(Z30/AC30,"")</f>
        <v>0.73618466318943498</v>
      </c>
      <c r="AI30" s="3" t="s">
        <v>45</v>
      </c>
      <c r="AJ30" s="3" t="s">
        <v>40</v>
      </c>
      <c r="AK30" s="3" t="s">
        <v>46</v>
      </c>
      <c r="AL30" s="3" t="s">
        <v>47</v>
      </c>
      <c r="AM30" s="3" t="s">
        <v>39</v>
      </c>
    </row>
    <row r="31" spans="1:39" ht="21" customHeight="1">
      <c r="A31" s="4">
        <v>45991</v>
      </c>
      <c r="B31" s="3" t="s">
        <v>39</v>
      </c>
      <c r="C31" s="3" t="s">
        <v>40</v>
      </c>
      <c r="D31" s="4">
        <v>46057</v>
      </c>
      <c r="E31" s="3">
        <v>-66</v>
      </c>
      <c r="F31" s="3" t="s">
        <v>41</v>
      </c>
      <c r="G31" s="3" t="s">
        <v>48</v>
      </c>
      <c r="H31" s="3">
        <v>1</v>
      </c>
      <c r="I31" s="7">
        <v>36250</v>
      </c>
      <c r="J31" s="7">
        <v>17622</v>
      </c>
      <c r="K31" s="7">
        <v>18627</v>
      </c>
      <c r="L31" s="5">
        <f t="shared" si="0"/>
        <v>0.48612413793103448</v>
      </c>
      <c r="M31" s="5">
        <f t="shared" si="1"/>
        <v>-8.6510596477080814E-2</v>
      </c>
      <c r="N31" s="7">
        <f t="shared" si="3"/>
        <v>36546.857142857145</v>
      </c>
      <c r="O31" s="7">
        <f t="shared" si="5"/>
        <v>39207.642857142855</v>
      </c>
      <c r="P31" s="8">
        <f t="shared" si="6"/>
        <v>0.92456463481063278</v>
      </c>
      <c r="Q31" s="7"/>
      <c r="R31" s="7"/>
      <c r="S31" s="7"/>
      <c r="T31" s="7"/>
      <c r="U31" s="7"/>
      <c r="V31" s="7"/>
      <c r="W31" s="7"/>
      <c r="X31" s="3" t="s">
        <v>43</v>
      </c>
      <c r="Y31" s="3"/>
      <c r="Z31" s="9">
        <v>6.0290000000000003E-2</v>
      </c>
      <c r="AA31" s="5">
        <f t="shared" si="2"/>
        <v>1.7896336316056249E-2</v>
      </c>
      <c r="AB31" s="9">
        <f t="shared" si="4"/>
        <v>6.3335714285714301E-2</v>
      </c>
      <c r="AC31" s="9">
        <f t="shared" si="7"/>
        <v>7.8784285714285737E-2</v>
      </c>
      <c r="AD31" s="8">
        <f t="shared" si="8"/>
        <v>0.80391303559448035</v>
      </c>
      <c r="AE31" s="3" t="s">
        <v>44</v>
      </c>
      <c r="AF31" s="10">
        <f t="shared" si="9"/>
        <v>24265.5</v>
      </c>
      <c r="AG31" s="11">
        <f t="shared" si="10"/>
        <v>0.72621623292328619</v>
      </c>
      <c r="AH31" s="11">
        <f t="shared" si="11"/>
        <v>0.76525412972130025</v>
      </c>
      <c r="AI31" s="3" t="s">
        <v>45</v>
      </c>
      <c r="AJ31" s="3" t="s">
        <v>40</v>
      </c>
      <c r="AK31" s="3" t="s">
        <v>46</v>
      </c>
      <c r="AL31" s="3" t="s">
        <v>47</v>
      </c>
      <c r="AM31" s="3" t="s">
        <v>39</v>
      </c>
    </row>
    <row r="32" spans="1:39" ht="21" customHeight="1">
      <c r="A32" s="4">
        <v>45992</v>
      </c>
      <c r="B32" s="3" t="s">
        <v>39</v>
      </c>
      <c r="C32" s="3" t="s">
        <v>40</v>
      </c>
      <c r="D32" s="4">
        <v>46057</v>
      </c>
      <c r="E32" s="3">
        <v>-65</v>
      </c>
      <c r="F32" s="3" t="s">
        <v>41</v>
      </c>
      <c r="G32" s="3" t="s">
        <v>49</v>
      </c>
      <c r="H32" s="3">
        <v>0</v>
      </c>
      <c r="I32" s="7">
        <v>33044</v>
      </c>
      <c r="J32" s="7">
        <v>10367</v>
      </c>
      <c r="K32" s="7">
        <v>22676</v>
      </c>
      <c r="L32" s="5">
        <f t="shared" si="0"/>
        <v>0.31373320421256506</v>
      </c>
      <c r="M32" s="5">
        <f t="shared" si="1"/>
        <v>-8.8441379310344792E-2</v>
      </c>
      <c r="N32" s="7">
        <f t="shared" si="3"/>
        <v>35979.428571428572</v>
      </c>
      <c r="O32" s="7">
        <f t="shared" si="5"/>
        <v>38868.928571428572</v>
      </c>
      <c r="P32" s="8">
        <f t="shared" si="6"/>
        <v>0.85013920410169708</v>
      </c>
      <c r="Q32" s="7"/>
      <c r="R32" s="7"/>
      <c r="S32" s="7"/>
      <c r="T32" s="7"/>
      <c r="U32" s="7"/>
      <c r="V32" s="7"/>
      <c r="W32" s="7"/>
      <c r="X32" s="3" t="s">
        <v>54</v>
      </c>
      <c r="Y32" s="3"/>
      <c r="Z32" s="9">
        <v>6.8269999999999997E-2</v>
      </c>
      <c r="AA32" s="5">
        <f t="shared" si="2"/>
        <v>0.13236025874937796</v>
      </c>
      <c r="AB32" s="9">
        <f t="shared" si="4"/>
        <v>6.3234285714285715E-2</v>
      </c>
      <c r="AC32" s="9">
        <f t="shared" si="7"/>
        <v>7.7535000000000007E-2</v>
      </c>
      <c r="AD32" s="8">
        <f t="shared" si="8"/>
        <v>0.81555795078720206</v>
      </c>
      <c r="AE32" s="3" t="s">
        <v>44</v>
      </c>
      <c r="AF32" s="10">
        <f t="shared" si="9"/>
        <v>13657.5</v>
      </c>
      <c r="AG32" s="11">
        <f t="shared" si="10"/>
        <v>0.75907010799926777</v>
      </c>
      <c r="AH32" s="11">
        <f t="shared" si="11"/>
        <v>0.88050557812600749</v>
      </c>
      <c r="AI32" s="3" t="s">
        <v>45</v>
      </c>
      <c r="AJ32" s="3" t="s">
        <v>40</v>
      </c>
      <c r="AK32" s="3" t="s">
        <v>46</v>
      </c>
      <c r="AL32" s="3" t="s">
        <v>47</v>
      </c>
      <c r="AM32" s="3" t="s">
        <v>39</v>
      </c>
    </row>
    <row r="33" spans="1:39" ht="21" customHeight="1">
      <c r="A33" s="4">
        <v>45993</v>
      </c>
      <c r="B33" s="3" t="s">
        <v>39</v>
      </c>
      <c r="C33" s="3" t="s">
        <v>40</v>
      </c>
      <c r="D33" s="4">
        <v>46057</v>
      </c>
      <c r="E33" s="3">
        <v>-64</v>
      </c>
      <c r="F33" s="3" t="s">
        <v>41</v>
      </c>
      <c r="G33" s="3" t="s">
        <v>50</v>
      </c>
      <c r="H33" s="3">
        <v>0</v>
      </c>
      <c r="I33" s="7">
        <v>32736</v>
      </c>
      <c r="J33" s="7">
        <v>10356</v>
      </c>
      <c r="K33" s="7">
        <v>22379</v>
      </c>
      <c r="L33" s="5">
        <f t="shared" si="0"/>
        <v>0.31634897360703812</v>
      </c>
      <c r="M33" s="5">
        <f t="shared" si="1"/>
        <v>-9.320905459387463E-3</v>
      </c>
      <c r="N33" s="7">
        <f t="shared" si="3"/>
        <v>35650.571428571428</v>
      </c>
      <c r="O33" s="7">
        <f t="shared" si="5"/>
        <v>38742.714285714283</v>
      </c>
      <c r="P33" s="8">
        <f t="shared" si="6"/>
        <v>0.84495886784243313</v>
      </c>
      <c r="Q33" s="7"/>
      <c r="R33" s="7"/>
      <c r="S33" s="7"/>
      <c r="T33" s="7"/>
      <c r="U33" s="7"/>
      <c r="V33" s="7"/>
      <c r="W33" s="7"/>
      <c r="X33" s="3" t="s">
        <v>54</v>
      </c>
      <c r="Y33" s="3"/>
      <c r="Z33" s="9">
        <v>5.8939999999999999E-2</v>
      </c>
      <c r="AA33" s="5">
        <f t="shared" si="2"/>
        <v>-0.13666324886480152</v>
      </c>
      <c r="AB33" s="9">
        <f t="shared" si="4"/>
        <v>6.224428571428571E-2</v>
      </c>
      <c r="AC33" s="9">
        <f t="shared" si="7"/>
        <v>7.6623571428571444E-2</v>
      </c>
      <c r="AD33" s="8">
        <f t="shared" si="8"/>
        <v>0.8123386126984421</v>
      </c>
      <c r="AE33" s="3" t="s">
        <v>44</v>
      </c>
      <c r="AF33" s="10">
        <f t="shared" si="9"/>
        <v>13721.5</v>
      </c>
      <c r="AG33" s="11">
        <f t="shared" si="10"/>
        <v>0.75472798163466093</v>
      </c>
      <c r="AH33" s="11">
        <f t="shared" si="11"/>
        <v>0.76921499352120271</v>
      </c>
      <c r="AI33" s="3" t="s">
        <v>45</v>
      </c>
      <c r="AJ33" s="3" t="s">
        <v>40</v>
      </c>
      <c r="AK33" s="3" t="s">
        <v>46</v>
      </c>
      <c r="AL33" s="3" t="s">
        <v>47</v>
      </c>
      <c r="AM33" s="3" t="s">
        <v>39</v>
      </c>
    </row>
    <row r="34" spans="1:39" ht="21" customHeight="1">
      <c r="A34" s="4">
        <v>45994</v>
      </c>
      <c r="B34" s="3" t="s">
        <v>39</v>
      </c>
      <c r="C34" s="3" t="s">
        <v>40</v>
      </c>
      <c r="D34" s="4">
        <v>46057</v>
      </c>
      <c r="E34" s="3">
        <v>-63</v>
      </c>
      <c r="F34" s="3" t="s">
        <v>41</v>
      </c>
      <c r="G34" s="3" t="s">
        <v>51</v>
      </c>
      <c r="H34" s="3">
        <v>0</v>
      </c>
      <c r="I34" s="7">
        <v>32746</v>
      </c>
      <c r="J34" s="7">
        <v>10577</v>
      </c>
      <c r="K34" s="7">
        <v>22169</v>
      </c>
      <c r="L34" s="5">
        <f t="shared" si="0"/>
        <v>0.32300128259940147</v>
      </c>
      <c r="M34" s="5">
        <f t="shared" si="1"/>
        <v>3.0547409579662066E-4</v>
      </c>
      <c r="N34" s="7">
        <f t="shared" si="3"/>
        <v>35109.142857142855</v>
      </c>
      <c r="O34" s="7">
        <f t="shared" si="5"/>
        <v>38549.607142857145</v>
      </c>
      <c r="P34" s="8">
        <f t="shared" si="6"/>
        <v>0.84945093937403471</v>
      </c>
      <c r="Q34" s="7"/>
      <c r="R34" s="7"/>
      <c r="S34" s="7"/>
      <c r="T34" s="7"/>
      <c r="U34" s="7"/>
      <c r="V34" s="7"/>
      <c r="W34" s="7"/>
      <c r="X34" s="3" t="s">
        <v>54</v>
      </c>
      <c r="Y34" s="3"/>
      <c r="Z34" s="9">
        <v>6.0429999999999998E-2</v>
      </c>
      <c r="AA34" s="5">
        <f t="shared" si="2"/>
        <v>2.527994570749903E-2</v>
      </c>
      <c r="AB34" s="9">
        <f t="shared" si="4"/>
        <v>6.1759999999999995E-2</v>
      </c>
      <c r="AC34" s="9">
        <f t="shared" si="7"/>
        <v>7.5459642857142864E-2</v>
      </c>
      <c r="AD34" s="8">
        <f t="shared" si="8"/>
        <v>0.8184507328893873</v>
      </c>
      <c r="AE34" s="3" t="s">
        <v>44</v>
      </c>
      <c r="AF34" s="10">
        <f t="shared" si="9"/>
        <v>13784.5</v>
      </c>
      <c r="AG34" s="11">
        <f t="shared" si="10"/>
        <v>0.76731111030505272</v>
      </c>
      <c r="AH34" s="11">
        <f t="shared" si="11"/>
        <v>0.80082541756000125</v>
      </c>
      <c r="AI34" s="3" t="s">
        <v>45</v>
      </c>
      <c r="AJ34" s="3" t="s">
        <v>40</v>
      </c>
      <c r="AK34" s="3" t="s">
        <v>46</v>
      </c>
      <c r="AL34" s="3" t="s">
        <v>47</v>
      </c>
      <c r="AM34" s="3" t="s">
        <v>39</v>
      </c>
    </row>
    <row r="35" spans="1:39" ht="21" customHeight="1">
      <c r="A35" s="4">
        <v>45995</v>
      </c>
      <c r="B35" s="3" t="s">
        <v>39</v>
      </c>
      <c r="C35" s="3" t="s">
        <v>40</v>
      </c>
      <c r="D35" s="4">
        <v>46057</v>
      </c>
      <c r="E35" s="3">
        <v>-62</v>
      </c>
      <c r="F35" s="3" t="s">
        <v>41</v>
      </c>
      <c r="G35" s="3" t="s">
        <v>52</v>
      </c>
      <c r="H35" s="3">
        <v>0</v>
      </c>
      <c r="I35" s="7">
        <v>32428</v>
      </c>
      <c r="J35" s="7">
        <v>10164</v>
      </c>
      <c r="K35" s="7">
        <v>22264</v>
      </c>
      <c r="L35" s="5">
        <f t="shared" si="0"/>
        <v>0.31343283582089554</v>
      </c>
      <c r="M35" s="5">
        <f t="shared" si="1"/>
        <v>-9.7111097538630231E-3</v>
      </c>
      <c r="N35" s="7">
        <f t="shared" si="3"/>
        <v>34874.714285714283</v>
      </c>
      <c r="O35" s="7">
        <f t="shared" si="5"/>
        <v>38381.25</v>
      </c>
      <c r="P35" s="8">
        <f t="shared" si="6"/>
        <v>0.84489171144764696</v>
      </c>
      <c r="Q35" s="7"/>
      <c r="R35" s="7"/>
      <c r="S35" s="7"/>
      <c r="T35" s="7"/>
      <c r="U35" s="7"/>
      <c r="V35" s="7"/>
      <c r="W35" s="7"/>
      <c r="X35" s="3" t="s">
        <v>54</v>
      </c>
      <c r="Y35" s="3"/>
      <c r="Z35" s="9">
        <v>6.4949999999999994E-2</v>
      </c>
      <c r="AA35" s="5">
        <f t="shared" si="2"/>
        <v>7.4797286116167427E-2</v>
      </c>
      <c r="AB35" s="9">
        <f t="shared" si="4"/>
        <v>6.2194285714285716E-2</v>
      </c>
      <c r="AC35" s="9">
        <f t="shared" si="7"/>
        <v>7.4641785714285716E-2</v>
      </c>
      <c r="AD35" s="8">
        <f t="shared" si="8"/>
        <v>0.83323684072020177</v>
      </c>
      <c r="AE35" s="3" t="s">
        <v>44</v>
      </c>
      <c r="AF35" s="10">
        <f t="shared" si="9"/>
        <v>13906.5</v>
      </c>
      <c r="AG35" s="11">
        <f t="shared" si="10"/>
        <v>0.73088124258440301</v>
      </c>
      <c r="AH35" s="11">
        <f t="shared" si="11"/>
        <v>0.87015603094781258</v>
      </c>
      <c r="AI35" s="3" t="s">
        <v>45</v>
      </c>
      <c r="AJ35" s="3" t="s">
        <v>40</v>
      </c>
      <c r="AK35" s="3" t="s">
        <v>46</v>
      </c>
      <c r="AL35" s="3" t="s">
        <v>47</v>
      </c>
      <c r="AM35" s="3" t="s">
        <v>39</v>
      </c>
    </row>
    <row r="36" spans="1:39" ht="21" customHeight="1">
      <c r="A36" s="4">
        <v>45996</v>
      </c>
      <c r="B36" s="3" t="s">
        <v>39</v>
      </c>
      <c r="C36" s="3" t="s">
        <v>40</v>
      </c>
      <c r="D36" s="4">
        <v>46057</v>
      </c>
      <c r="E36" s="3">
        <v>-61</v>
      </c>
      <c r="F36" s="3" t="s">
        <v>41</v>
      </c>
      <c r="G36" s="3" t="s">
        <v>53</v>
      </c>
      <c r="H36" s="3">
        <v>0</v>
      </c>
      <c r="I36" s="7">
        <v>33148</v>
      </c>
      <c r="J36" s="7">
        <v>11067</v>
      </c>
      <c r="K36" s="7">
        <v>22082</v>
      </c>
      <c r="L36" s="5">
        <f t="shared" si="0"/>
        <v>0.33386629660914685</v>
      </c>
      <c r="M36" s="5">
        <f t="shared" si="1"/>
        <v>2.2203034414703282E-2</v>
      </c>
      <c r="N36" s="7">
        <f t="shared" si="3"/>
        <v>34290.714285714283</v>
      </c>
      <c r="O36" s="7">
        <f t="shared" si="5"/>
        <v>38180.392857142855</v>
      </c>
      <c r="P36" s="8">
        <f t="shared" si="6"/>
        <v>0.86819431439660044</v>
      </c>
      <c r="Q36" s="7"/>
      <c r="R36" s="7"/>
      <c r="S36" s="7"/>
      <c r="T36" s="7"/>
      <c r="U36" s="7"/>
      <c r="V36" s="7"/>
      <c r="W36" s="7"/>
      <c r="X36" s="3" t="s">
        <v>54</v>
      </c>
      <c r="Y36" s="3"/>
      <c r="Z36" s="9">
        <v>5.8310000000000001E-2</v>
      </c>
      <c r="AA36" s="5">
        <f t="shared" si="2"/>
        <v>-0.10223248652809847</v>
      </c>
      <c r="AB36" s="9">
        <f t="shared" si="4"/>
        <v>6.1488571428571434E-2</v>
      </c>
      <c r="AC36" s="9">
        <f t="shared" si="7"/>
        <v>7.3851785714285703E-2</v>
      </c>
      <c r="AD36" s="8">
        <f t="shared" si="8"/>
        <v>0.83259424039461294</v>
      </c>
      <c r="AE36" s="3" t="s">
        <v>44</v>
      </c>
      <c r="AF36" s="10">
        <f t="shared" si="9"/>
        <v>17186.5</v>
      </c>
      <c r="AG36" s="11">
        <f t="shared" si="10"/>
        <v>0.64393564716492591</v>
      </c>
      <c r="AH36" s="11">
        <f t="shared" si="11"/>
        <v>0.7895543680634477</v>
      </c>
      <c r="AI36" s="3" t="s">
        <v>45</v>
      </c>
      <c r="AJ36" s="3" t="s">
        <v>40</v>
      </c>
      <c r="AK36" s="3" t="s">
        <v>46</v>
      </c>
      <c r="AL36" s="3" t="s">
        <v>47</v>
      </c>
      <c r="AM36" s="3" t="s">
        <v>39</v>
      </c>
    </row>
    <row r="37" spans="1:39" ht="21" customHeight="1">
      <c r="A37" s="4">
        <v>45997</v>
      </c>
      <c r="B37" s="3" t="s">
        <v>39</v>
      </c>
      <c r="C37" s="3" t="s">
        <v>40</v>
      </c>
      <c r="D37" s="4">
        <v>46057</v>
      </c>
      <c r="E37" s="3">
        <v>-60</v>
      </c>
      <c r="F37" s="3" t="s">
        <v>41</v>
      </c>
      <c r="G37" s="3" t="s">
        <v>42</v>
      </c>
      <c r="H37" s="3">
        <v>1</v>
      </c>
      <c r="I37" s="7">
        <v>34685</v>
      </c>
      <c r="J37" s="7">
        <v>15792</v>
      </c>
      <c r="K37" s="7">
        <v>18893</v>
      </c>
      <c r="L37" s="5">
        <f t="shared" si="0"/>
        <v>0.45529767911200808</v>
      </c>
      <c r="M37" s="5">
        <f t="shared" si="1"/>
        <v>4.6367804995776529E-2</v>
      </c>
      <c r="N37" s="7">
        <f t="shared" si="3"/>
        <v>33576.714285714283</v>
      </c>
      <c r="O37" s="7">
        <f t="shared" si="5"/>
        <v>37857.25</v>
      </c>
      <c r="P37" s="8">
        <f t="shared" si="6"/>
        <v>0.91620495413692227</v>
      </c>
      <c r="Q37" s="7"/>
      <c r="R37" s="7"/>
      <c r="S37" s="7"/>
      <c r="T37" s="7"/>
      <c r="U37" s="7"/>
      <c r="V37" s="7"/>
      <c r="W37" s="7"/>
      <c r="X37" s="3" t="s">
        <v>54</v>
      </c>
      <c r="Y37" s="3"/>
      <c r="Z37" s="9">
        <v>5.357E-2</v>
      </c>
      <c r="AA37" s="5">
        <f t="shared" si="2"/>
        <v>-8.1289658720631097E-2</v>
      </c>
      <c r="AB37" s="9">
        <f t="shared" si="4"/>
        <v>6.0680000000000005E-2</v>
      </c>
      <c r="AC37" s="9">
        <f t="shared" si="7"/>
        <v>7.2584642857142848E-2</v>
      </c>
      <c r="AD37" s="8">
        <f t="shared" si="8"/>
        <v>0.83598950978414377</v>
      </c>
      <c r="AE37" s="3" t="s">
        <v>44</v>
      </c>
      <c r="AF37" s="10">
        <f t="shared" si="9"/>
        <v>24354.5</v>
      </c>
      <c r="AG37" s="11">
        <f t="shared" si="10"/>
        <v>0.64842226282617177</v>
      </c>
      <c r="AH37" s="11">
        <f t="shared" si="11"/>
        <v>0.73803490506157843</v>
      </c>
      <c r="AI37" s="3" t="s">
        <v>45</v>
      </c>
      <c r="AJ37" s="3" t="s">
        <v>40</v>
      </c>
      <c r="AK37" s="3" t="s">
        <v>46</v>
      </c>
      <c r="AL37" s="3" t="s">
        <v>47</v>
      </c>
      <c r="AM37" s="3" t="s">
        <v>39</v>
      </c>
    </row>
    <row r="38" spans="1:39" ht="21" customHeight="1">
      <c r="A38" s="4">
        <v>45998</v>
      </c>
      <c r="B38" s="3" t="s">
        <v>39</v>
      </c>
      <c r="C38" s="3" t="s">
        <v>40</v>
      </c>
      <c r="D38" s="4">
        <v>46057</v>
      </c>
      <c r="E38" s="3">
        <v>-59</v>
      </c>
      <c r="F38" s="3" t="s">
        <v>41</v>
      </c>
      <c r="G38" s="3" t="s">
        <v>48</v>
      </c>
      <c r="H38" s="3">
        <v>1</v>
      </c>
      <c r="I38" s="7">
        <v>32333</v>
      </c>
      <c r="J38" s="7">
        <v>14046</v>
      </c>
      <c r="K38" s="7">
        <v>18288</v>
      </c>
      <c r="L38" s="5">
        <f t="shared" si="0"/>
        <v>0.4344168496582439</v>
      </c>
      <c r="M38" s="5">
        <f t="shared" si="1"/>
        <v>-6.7810292633703306E-2</v>
      </c>
      <c r="N38" s="7">
        <f t="shared" si="3"/>
        <v>33017.142857142855</v>
      </c>
      <c r="O38" s="7">
        <f t="shared" si="5"/>
        <v>37412.357142857145</v>
      </c>
      <c r="P38" s="8">
        <f t="shared" si="6"/>
        <v>0.86423316971283359</v>
      </c>
      <c r="Q38" s="7"/>
      <c r="R38" s="7"/>
      <c r="S38" s="7"/>
      <c r="T38" s="7"/>
      <c r="U38" s="7"/>
      <c r="V38" s="7"/>
      <c r="W38" s="7"/>
      <c r="X38" s="3" t="s">
        <v>54</v>
      </c>
      <c r="Y38" s="3"/>
      <c r="Z38" s="9">
        <v>5.11E-2</v>
      </c>
      <c r="AA38" s="5">
        <f t="shared" si="2"/>
        <v>-4.6107896210565658E-2</v>
      </c>
      <c r="AB38" s="9">
        <f t="shared" si="4"/>
        <v>5.9367142857142848E-2</v>
      </c>
      <c r="AC38" s="9">
        <f t="shared" si="7"/>
        <v>7.1034642857142852E-2</v>
      </c>
      <c r="AD38" s="8">
        <f t="shared" si="8"/>
        <v>0.83574915659864146</v>
      </c>
      <c r="AE38" s="3" t="s">
        <v>44</v>
      </c>
      <c r="AF38" s="10">
        <f t="shared" si="9"/>
        <v>22052.5</v>
      </c>
      <c r="AG38" s="11">
        <f t="shared" si="10"/>
        <v>0.63693458791520241</v>
      </c>
      <c r="AH38" s="11">
        <f t="shared" si="11"/>
        <v>0.71936731071861315</v>
      </c>
      <c r="AI38" s="3" t="s">
        <v>45</v>
      </c>
      <c r="AJ38" s="3" t="s">
        <v>40</v>
      </c>
      <c r="AK38" s="3" t="s">
        <v>46</v>
      </c>
      <c r="AL38" s="3" t="s">
        <v>47</v>
      </c>
      <c r="AM38" s="3" t="s">
        <v>39</v>
      </c>
    </row>
    <row r="39" spans="1:39" ht="21" customHeight="1">
      <c r="A39" s="4">
        <v>45999</v>
      </c>
      <c r="B39" s="3" t="s">
        <v>39</v>
      </c>
      <c r="C39" s="3" t="s">
        <v>40</v>
      </c>
      <c r="D39" s="4">
        <v>46057</v>
      </c>
      <c r="E39" s="3">
        <v>-58</v>
      </c>
      <c r="F39" s="3" t="s">
        <v>41</v>
      </c>
      <c r="G39" s="3" t="s">
        <v>49</v>
      </c>
      <c r="H39" s="3">
        <v>0</v>
      </c>
      <c r="I39" s="7">
        <v>32165</v>
      </c>
      <c r="J39" s="7">
        <v>9958</v>
      </c>
      <c r="K39" s="7">
        <v>22208</v>
      </c>
      <c r="L39" s="5">
        <f t="shared" si="0"/>
        <v>0.30959117052697033</v>
      </c>
      <c r="M39" s="5">
        <f t="shared" si="1"/>
        <v>-5.1959298549469901E-3</v>
      </c>
      <c r="N39" s="7">
        <f t="shared" si="3"/>
        <v>32891.571428571428</v>
      </c>
      <c r="O39" s="7">
        <f t="shared" si="5"/>
        <v>36955.607142857145</v>
      </c>
      <c r="P39" s="8">
        <f t="shared" si="6"/>
        <v>0.87036859861783966</v>
      </c>
      <c r="Q39" s="7"/>
      <c r="R39" s="7"/>
      <c r="S39" s="7"/>
      <c r="T39" s="7"/>
      <c r="U39" s="7"/>
      <c r="V39" s="7"/>
      <c r="W39" s="7"/>
      <c r="X39" s="3" t="s">
        <v>54</v>
      </c>
      <c r="Y39" s="3"/>
      <c r="Z39" s="9">
        <v>5.9299999999999999E-2</v>
      </c>
      <c r="AA39" s="5">
        <f t="shared" si="2"/>
        <v>0.16046966731898227</v>
      </c>
      <c r="AB39" s="9">
        <f t="shared" si="4"/>
        <v>5.8085714285714282E-2</v>
      </c>
      <c r="AC39" s="9">
        <f t="shared" si="7"/>
        <v>6.8992499999999998E-2</v>
      </c>
      <c r="AD39" s="8">
        <f t="shared" si="8"/>
        <v>0.8419134585022181</v>
      </c>
      <c r="AE39" s="3" t="s">
        <v>44</v>
      </c>
      <c r="AF39" s="10">
        <f t="shared" si="9"/>
        <v>12897.25</v>
      </c>
      <c r="AG39" s="11">
        <f t="shared" si="10"/>
        <v>0.77210258000736587</v>
      </c>
      <c r="AH39" s="11">
        <f t="shared" si="11"/>
        <v>0.85951371525890496</v>
      </c>
      <c r="AI39" s="3" t="s">
        <v>45</v>
      </c>
      <c r="AJ39" s="3" t="s">
        <v>40</v>
      </c>
      <c r="AK39" s="3" t="s">
        <v>46</v>
      </c>
      <c r="AL39" s="3" t="s">
        <v>47</v>
      </c>
      <c r="AM39" s="3" t="s">
        <v>39</v>
      </c>
    </row>
    <row r="40" spans="1:39" ht="21" customHeight="1">
      <c r="A40" s="4">
        <v>46000</v>
      </c>
      <c r="B40" s="3" t="s">
        <v>39</v>
      </c>
      <c r="C40" s="3" t="s">
        <v>40</v>
      </c>
      <c r="D40" s="4">
        <v>46057</v>
      </c>
      <c r="E40" s="3">
        <v>-57</v>
      </c>
      <c r="F40" s="3" t="s">
        <v>41</v>
      </c>
      <c r="G40" s="3" t="s">
        <v>50</v>
      </c>
      <c r="H40" s="3">
        <v>0</v>
      </c>
      <c r="I40" s="7">
        <v>33408</v>
      </c>
      <c r="J40" s="7">
        <v>11186</v>
      </c>
      <c r="K40" s="7">
        <v>22222</v>
      </c>
      <c r="L40" s="5">
        <f t="shared" si="0"/>
        <v>0.33482998084291188</v>
      </c>
      <c r="M40" s="5">
        <f t="shared" si="1"/>
        <v>3.8644489351779887E-2</v>
      </c>
      <c r="N40" s="7">
        <f t="shared" si="3"/>
        <v>32987.571428571428</v>
      </c>
      <c r="O40" s="7">
        <f t="shared" si="5"/>
        <v>36777.714285714283</v>
      </c>
      <c r="P40" s="8">
        <f t="shared" si="6"/>
        <v>0.90837619055017793</v>
      </c>
      <c r="Q40" s="7"/>
      <c r="R40" s="7"/>
      <c r="S40" s="7"/>
      <c r="T40" s="7"/>
      <c r="U40" s="7"/>
      <c r="V40" s="7"/>
      <c r="W40" s="7"/>
      <c r="X40" s="3" t="s">
        <v>54</v>
      </c>
      <c r="Y40" s="3"/>
      <c r="Z40" s="9">
        <v>5.8590000000000003E-2</v>
      </c>
      <c r="AA40" s="5">
        <f t="shared" si="2"/>
        <v>-1.1973018549746972E-2</v>
      </c>
      <c r="AB40" s="9">
        <f t="shared" si="4"/>
        <v>5.8035714285714288E-2</v>
      </c>
      <c r="AC40" s="9">
        <f t="shared" si="7"/>
        <v>6.8202499999999985E-2</v>
      </c>
      <c r="AD40" s="8">
        <f t="shared" si="8"/>
        <v>0.85093236004126394</v>
      </c>
      <c r="AE40" s="3" t="s">
        <v>44</v>
      </c>
      <c r="AF40" s="10">
        <f t="shared" si="9"/>
        <v>12661</v>
      </c>
      <c r="AG40" s="11">
        <f t="shared" si="10"/>
        <v>0.88350051338756808</v>
      </c>
      <c r="AH40" s="11">
        <f t="shared" si="11"/>
        <v>0.85905941864301183</v>
      </c>
      <c r="AI40" s="3" t="s">
        <v>45</v>
      </c>
      <c r="AJ40" s="3" t="s">
        <v>40</v>
      </c>
      <c r="AK40" s="3" t="s">
        <v>46</v>
      </c>
      <c r="AL40" s="3" t="s">
        <v>47</v>
      </c>
      <c r="AM40" s="3" t="s">
        <v>39</v>
      </c>
    </row>
    <row r="41" spans="1:39" ht="21" customHeight="1">
      <c r="A41" s="4">
        <v>46001</v>
      </c>
      <c r="B41" s="3" t="s">
        <v>39</v>
      </c>
      <c r="C41" s="3" t="s">
        <v>40</v>
      </c>
      <c r="D41" s="4">
        <v>46057</v>
      </c>
      <c r="E41" s="3">
        <v>-56</v>
      </c>
      <c r="F41" s="3" t="s">
        <v>41</v>
      </c>
      <c r="G41" s="3" t="s">
        <v>51</v>
      </c>
      <c r="H41" s="3">
        <v>0</v>
      </c>
      <c r="I41" s="7">
        <v>33338</v>
      </c>
      <c r="J41" s="7">
        <v>11008</v>
      </c>
      <c r="K41" s="7">
        <v>22330</v>
      </c>
      <c r="L41" s="5">
        <f t="shared" si="0"/>
        <v>0.33019377287179796</v>
      </c>
      <c r="M41" s="5">
        <f t="shared" si="1"/>
        <v>-2.0953065134099447E-3</v>
      </c>
      <c r="N41" s="7">
        <f t="shared" si="3"/>
        <v>33072.142857142855</v>
      </c>
      <c r="O41" s="7">
        <f t="shared" si="5"/>
        <v>36608</v>
      </c>
      <c r="P41" s="8">
        <f t="shared" si="6"/>
        <v>0.91067526223776218</v>
      </c>
      <c r="Q41" s="7"/>
      <c r="R41" s="7"/>
      <c r="S41" s="7"/>
      <c r="T41" s="7"/>
      <c r="U41" s="7"/>
      <c r="V41" s="7"/>
      <c r="W41" s="7"/>
      <c r="X41" s="3" t="s">
        <v>54</v>
      </c>
      <c r="Y41" s="3"/>
      <c r="Z41" s="9">
        <v>5.534E-2</v>
      </c>
      <c r="AA41" s="5">
        <f t="shared" si="2"/>
        <v>-5.5470216760539426E-2</v>
      </c>
      <c r="AB41" s="9">
        <f t="shared" si="4"/>
        <v>5.7308571428571431E-2</v>
      </c>
      <c r="AC41" s="9">
        <f t="shared" si="7"/>
        <v>6.7495714285714284E-2</v>
      </c>
      <c r="AD41" s="8">
        <f t="shared" si="8"/>
        <v>0.84906978220839424</v>
      </c>
      <c r="AE41" s="3" t="s">
        <v>44</v>
      </c>
      <c r="AF41" s="10">
        <f t="shared" si="9"/>
        <v>12898.25</v>
      </c>
      <c r="AG41" s="11">
        <f t="shared" si="10"/>
        <v>0.85344911131355028</v>
      </c>
      <c r="AH41" s="11">
        <f t="shared" si="11"/>
        <v>0.8199039092429149</v>
      </c>
      <c r="AI41" s="3" t="s">
        <v>45</v>
      </c>
      <c r="AJ41" s="3" t="s">
        <v>40</v>
      </c>
      <c r="AK41" s="3" t="s">
        <v>46</v>
      </c>
      <c r="AL41" s="3" t="s">
        <v>47</v>
      </c>
      <c r="AM41" s="3" t="s">
        <v>39</v>
      </c>
    </row>
    <row r="42" spans="1:39" ht="21" customHeight="1">
      <c r="A42" s="4">
        <v>46002</v>
      </c>
      <c r="B42" s="3" t="s">
        <v>39</v>
      </c>
      <c r="C42" s="3" t="s">
        <v>40</v>
      </c>
      <c r="D42" s="4">
        <v>46057</v>
      </c>
      <c r="E42" s="3">
        <v>-55</v>
      </c>
      <c r="F42" s="3" t="s">
        <v>41</v>
      </c>
      <c r="G42" s="3" t="s">
        <v>52</v>
      </c>
      <c r="H42" s="3">
        <v>0</v>
      </c>
      <c r="I42" s="7">
        <v>32434</v>
      </c>
      <c r="J42" s="7">
        <v>10521</v>
      </c>
      <c r="K42" s="7">
        <v>21914</v>
      </c>
      <c r="L42" s="5">
        <f t="shared" si="0"/>
        <v>0.32438182154529199</v>
      </c>
      <c r="M42" s="5">
        <f t="shared" si="1"/>
        <v>-2.7116203731477606E-2</v>
      </c>
      <c r="N42" s="7">
        <f t="shared" si="3"/>
        <v>33073</v>
      </c>
      <c r="O42" s="7">
        <f t="shared" si="5"/>
        <v>36460.285714285717</v>
      </c>
      <c r="P42" s="8">
        <f t="shared" si="6"/>
        <v>0.88957064829834409</v>
      </c>
      <c r="Q42" s="7"/>
      <c r="R42" s="7"/>
      <c r="S42" s="7"/>
      <c r="T42" s="7"/>
      <c r="U42" s="7"/>
      <c r="V42" s="7"/>
      <c r="W42" s="7"/>
      <c r="X42" s="3" t="s">
        <v>54</v>
      </c>
      <c r="Y42" s="3"/>
      <c r="Z42" s="9">
        <v>8.4879999999999997E-2</v>
      </c>
      <c r="AA42" s="5">
        <f t="shared" si="2"/>
        <v>0.53379110950487885</v>
      </c>
      <c r="AB42" s="9">
        <f t="shared" si="4"/>
        <v>6.0155714285714292E-2</v>
      </c>
      <c r="AC42" s="9">
        <f t="shared" si="7"/>
        <v>6.6521428571428565E-2</v>
      </c>
      <c r="AD42" s="8">
        <f t="shared" si="8"/>
        <v>0.90430580908407621</v>
      </c>
      <c r="AE42" s="3" t="s">
        <v>44</v>
      </c>
      <c r="AF42" s="10">
        <f t="shared" si="9"/>
        <v>12749</v>
      </c>
      <c r="AG42" s="11">
        <f t="shared" si="10"/>
        <v>0.82524119538787355</v>
      </c>
      <c r="AH42" s="11">
        <f t="shared" si="11"/>
        <v>1.275979813164394</v>
      </c>
      <c r="AI42" s="3" t="s">
        <v>45</v>
      </c>
      <c r="AJ42" s="3" t="s">
        <v>40</v>
      </c>
      <c r="AK42" s="3" t="s">
        <v>46</v>
      </c>
      <c r="AL42" s="3" t="s">
        <v>47</v>
      </c>
      <c r="AM42" s="3" t="s">
        <v>39</v>
      </c>
    </row>
    <row r="43" spans="1:39" ht="21" customHeight="1">
      <c r="A43" s="4">
        <v>46003</v>
      </c>
      <c r="B43" s="3" t="s">
        <v>39</v>
      </c>
      <c r="C43" s="3" t="s">
        <v>40</v>
      </c>
      <c r="D43" s="4">
        <v>46057</v>
      </c>
      <c r="E43" s="3">
        <v>-54</v>
      </c>
      <c r="F43" s="3" t="s">
        <v>41</v>
      </c>
      <c r="G43" s="3" t="s">
        <v>53</v>
      </c>
      <c r="H43" s="3">
        <v>0</v>
      </c>
      <c r="I43" s="7">
        <v>35066</v>
      </c>
      <c r="J43" s="7">
        <v>12750</v>
      </c>
      <c r="K43" s="7">
        <v>22316</v>
      </c>
      <c r="L43" s="5">
        <f t="shared" si="0"/>
        <v>0.36360006844236581</v>
      </c>
      <c r="M43" s="5">
        <f t="shared" si="1"/>
        <v>8.1149411111796299E-2</v>
      </c>
      <c r="N43" s="7">
        <f t="shared" si="3"/>
        <v>33347</v>
      </c>
      <c r="O43" s="7">
        <f t="shared" si="5"/>
        <v>36258</v>
      </c>
      <c r="P43" s="8">
        <f t="shared" si="6"/>
        <v>0.96712449666280542</v>
      </c>
      <c r="Q43" s="7"/>
      <c r="R43" s="7"/>
      <c r="S43" s="7"/>
      <c r="T43" s="7"/>
      <c r="U43" s="7"/>
      <c r="V43" s="7"/>
      <c r="W43" s="7"/>
      <c r="X43" s="3" t="s">
        <v>54</v>
      </c>
      <c r="Y43" s="3"/>
      <c r="Z43" s="9">
        <v>0.52076999999999996</v>
      </c>
      <c r="AA43" s="5">
        <f t="shared" si="2"/>
        <v>5.1353675777568331</v>
      </c>
      <c r="AB43" s="9">
        <f t="shared" si="4"/>
        <v>0.12622142857142857</v>
      </c>
      <c r="AC43" s="9">
        <f t="shared" si="7"/>
        <v>6.6662857142857135E-2</v>
      </c>
      <c r="AD43" s="8">
        <f t="shared" si="8"/>
        <v>1.8934296245499744</v>
      </c>
      <c r="AE43" s="3" t="s">
        <v>44</v>
      </c>
      <c r="AF43" s="10">
        <f t="shared" si="9"/>
        <v>15234.25</v>
      </c>
      <c r="AG43" s="11">
        <f t="shared" si="10"/>
        <v>0.83692994404056653</v>
      </c>
      <c r="AH43" s="11">
        <f t="shared" si="11"/>
        <v>7.8119963997942738</v>
      </c>
      <c r="AI43" s="3" t="s">
        <v>45</v>
      </c>
      <c r="AJ43" s="3" t="s">
        <v>40</v>
      </c>
      <c r="AK43" s="3" t="s">
        <v>46</v>
      </c>
      <c r="AL43" s="3" t="s">
        <v>47</v>
      </c>
      <c r="AM43" s="3" t="s">
        <v>39</v>
      </c>
    </row>
    <row r="44" spans="1:39" ht="21" customHeight="1">
      <c r="A44" s="4">
        <v>46004</v>
      </c>
      <c r="B44" s="3" t="s">
        <v>39</v>
      </c>
      <c r="C44" s="3" t="s">
        <v>40</v>
      </c>
      <c r="D44" s="4">
        <v>46057</v>
      </c>
      <c r="E44" s="3">
        <v>-53</v>
      </c>
      <c r="F44" s="3" t="s">
        <v>41</v>
      </c>
      <c r="G44" s="3" t="s">
        <v>42</v>
      </c>
      <c r="H44" s="3">
        <v>1</v>
      </c>
      <c r="I44" s="7">
        <v>34783</v>
      </c>
      <c r="J44" s="7">
        <v>16268</v>
      </c>
      <c r="K44" s="7">
        <v>18515</v>
      </c>
      <c r="L44" s="5">
        <f t="shared" si="0"/>
        <v>0.46769973837794326</v>
      </c>
      <c r="M44" s="5">
        <f t="shared" si="1"/>
        <v>-8.0704956367991798E-3</v>
      </c>
      <c r="N44" s="7">
        <f t="shared" si="3"/>
        <v>33361</v>
      </c>
      <c r="O44" s="7">
        <f t="shared" si="5"/>
        <v>36012.357142857145</v>
      </c>
      <c r="P44" s="8">
        <f t="shared" si="6"/>
        <v>0.96586290816842624</v>
      </c>
      <c r="Q44" s="7"/>
      <c r="R44" s="7"/>
      <c r="S44" s="7"/>
      <c r="T44" s="7"/>
      <c r="U44" s="7"/>
      <c r="V44" s="7"/>
      <c r="W44" s="7"/>
      <c r="X44" s="3" t="s">
        <v>54</v>
      </c>
      <c r="Y44" s="3"/>
      <c r="Z44" s="9">
        <v>0.55449000000000004</v>
      </c>
      <c r="AA44" s="5">
        <f t="shared" si="2"/>
        <v>6.4750273633273903E-2</v>
      </c>
      <c r="AB44" s="9">
        <f t="shared" si="4"/>
        <v>0.19778142857142855</v>
      </c>
      <c r="AC44" s="9">
        <f t="shared" si="7"/>
        <v>8.2442142857142839E-2</v>
      </c>
      <c r="AD44" s="8">
        <f t="shared" si="8"/>
        <v>2.3990330881397348</v>
      </c>
      <c r="AE44" s="3" t="s">
        <v>44</v>
      </c>
      <c r="AF44" s="10">
        <f t="shared" si="9"/>
        <v>21412</v>
      </c>
      <c r="AG44" s="11">
        <f t="shared" si="10"/>
        <v>0.75976088174855216</v>
      </c>
      <c r="AH44" s="11">
        <f t="shared" si="11"/>
        <v>6.7258077093026296</v>
      </c>
      <c r="AI44" s="3" t="s">
        <v>45</v>
      </c>
      <c r="AJ44" s="3" t="s">
        <v>40</v>
      </c>
      <c r="AK44" s="3" t="s">
        <v>46</v>
      </c>
      <c r="AL44" s="3" t="s">
        <v>47</v>
      </c>
      <c r="AM44" s="3" t="s">
        <v>39</v>
      </c>
    </row>
    <row r="45" spans="1:39" ht="21" customHeight="1">
      <c r="A45" s="4">
        <v>46005</v>
      </c>
      <c r="B45" s="3" t="s">
        <v>39</v>
      </c>
      <c r="C45" s="3" t="s">
        <v>40</v>
      </c>
      <c r="D45" s="4">
        <v>46057</v>
      </c>
      <c r="E45" s="3">
        <v>-52</v>
      </c>
      <c r="F45" s="3" t="s">
        <v>41</v>
      </c>
      <c r="G45" s="3" t="s">
        <v>48</v>
      </c>
      <c r="H45" s="3">
        <v>1</v>
      </c>
      <c r="I45" s="7">
        <v>31174</v>
      </c>
      <c r="J45" s="7">
        <v>13594</v>
      </c>
      <c r="K45" s="7">
        <v>17580</v>
      </c>
      <c r="L45" s="5">
        <f t="shared" si="0"/>
        <v>0.43606851863732599</v>
      </c>
      <c r="M45" s="5">
        <f t="shared" si="1"/>
        <v>-0.10375758272719426</v>
      </c>
      <c r="N45" s="7">
        <f t="shared" si="3"/>
        <v>33195.428571428572</v>
      </c>
      <c r="O45" s="7">
        <f t="shared" si="5"/>
        <v>35570.357142857145</v>
      </c>
      <c r="P45" s="8">
        <f t="shared" si="6"/>
        <v>0.8764039077482253</v>
      </c>
      <c r="Q45" s="7"/>
      <c r="R45" s="7"/>
      <c r="S45" s="7"/>
      <c r="T45" s="7"/>
      <c r="U45" s="7"/>
      <c r="V45" s="7"/>
      <c r="W45" s="7"/>
      <c r="X45" s="3" t="s">
        <v>54</v>
      </c>
      <c r="Y45" s="3"/>
      <c r="Z45" s="9">
        <v>0.48770000000000002</v>
      </c>
      <c r="AA45" s="5">
        <f t="shared" si="2"/>
        <v>-0.12045302890944831</v>
      </c>
      <c r="AB45" s="9">
        <f t="shared" si="4"/>
        <v>0.26015285714285713</v>
      </c>
      <c r="AC45" s="9">
        <f t="shared" si="7"/>
        <v>9.9072499999999994E-2</v>
      </c>
      <c r="AD45" s="8">
        <f t="shared" si="8"/>
        <v>2.62588364221007</v>
      </c>
      <c r="AE45" s="3" t="s">
        <v>44</v>
      </c>
      <c r="AF45" s="10">
        <f t="shared" si="9"/>
        <v>19068</v>
      </c>
      <c r="AG45" s="11">
        <f t="shared" si="10"/>
        <v>0.71292217327459617</v>
      </c>
      <c r="AH45" s="11">
        <f t="shared" si="11"/>
        <v>4.9226576497009775</v>
      </c>
      <c r="AI45" s="3" t="s">
        <v>45</v>
      </c>
      <c r="AJ45" s="3" t="s">
        <v>40</v>
      </c>
      <c r="AK45" s="3" t="s">
        <v>46</v>
      </c>
      <c r="AL45" s="3" t="s">
        <v>47</v>
      </c>
      <c r="AM45" s="3" t="s">
        <v>39</v>
      </c>
    </row>
    <row r="46" spans="1:39" ht="21" customHeight="1">
      <c r="A46" s="4">
        <v>46006</v>
      </c>
      <c r="B46" s="3" t="s">
        <v>39</v>
      </c>
      <c r="C46" s="3" t="s">
        <v>40</v>
      </c>
      <c r="D46" s="4">
        <v>46057</v>
      </c>
      <c r="E46" s="3">
        <v>-51</v>
      </c>
      <c r="F46" s="3" t="s">
        <v>41</v>
      </c>
      <c r="G46" s="3" t="s">
        <v>49</v>
      </c>
      <c r="H46" s="3">
        <v>0</v>
      </c>
      <c r="I46" s="7">
        <v>32098</v>
      </c>
      <c r="J46" s="7">
        <v>10276</v>
      </c>
      <c r="K46" s="7">
        <v>21822</v>
      </c>
      <c r="L46" s="5">
        <f t="shared" si="0"/>
        <v>0.32014455729328928</v>
      </c>
      <c r="M46" s="5">
        <f t="shared" si="1"/>
        <v>2.9640084685956136E-2</v>
      </c>
      <c r="N46" s="7">
        <f t="shared" si="3"/>
        <v>33185.857142857145</v>
      </c>
      <c r="O46" s="7">
        <f t="shared" si="5"/>
        <v>35131.857142857145</v>
      </c>
      <c r="P46" s="8">
        <f t="shared" si="6"/>
        <v>0.9136437014837977</v>
      </c>
      <c r="Q46" s="7"/>
      <c r="R46" s="7"/>
      <c r="S46" s="7"/>
      <c r="T46" s="7"/>
      <c r="U46" s="7"/>
      <c r="V46" s="7"/>
      <c r="W46" s="7"/>
      <c r="X46" s="3" t="s">
        <v>54</v>
      </c>
      <c r="Y46" s="3"/>
      <c r="Z46" s="9">
        <v>0.4496</v>
      </c>
      <c r="AA46" s="5">
        <f t="shared" si="2"/>
        <v>-7.8121796186180092E-2</v>
      </c>
      <c r="AB46" s="9">
        <f t="shared" si="4"/>
        <v>0.31591000000000002</v>
      </c>
      <c r="AC46" s="9">
        <f t="shared" si="7"/>
        <v>0.11340571428571426</v>
      </c>
      <c r="AD46" s="8">
        <f t="shared" si="8"/>
        <v>2.7856620981558002</v>
      </c>
      <c r="AE46" s="3" t="s">
        <v>44</v>
      </c>
      <c r="AF46" s="10">
        <f t="shared" si="9"/>
        <v>11859.75</v>
      </c>
      <c r="AG46" s="11">
        <f t="shared" si="10"/>
        <v>0.86646008558359155</v>
      </c>
      <c r="AH46" s="11">
        <f t="shared" si="11"/>
        <v>3.9645268567973404</v>
      </c>
      <c r="AI46" s="3" t="s">
        <v>45</v>
      </c>
      <c r="AJ46" s="3" t="s">
        <v>40</v>
      </c>
      <c r="AK46" s="3" t="s">
        <v>46</v>
      </c>
      <c r="AL46" s="3" t="s">
        <v>47</v>
      </c>
      <c r="AM46" s="3" t="s">
        <v>39</v>
      </c>
    </row>
    <row r="47" spans="1:39" ht="21" customHeight="1">
      <c r="A47" s="4">
        <v>46007</v>
      </c>
      <c r="B47" s="3" t="s">
        <v>39</v>
      </c>
      <c r="C47" s="3" t="s">
        <v>40</v>
      </c>
      <c r="D47" s="4">
        <v>46057</v>
      </c>
      <c r="E47" s="3">
        <v>-50</v>
      </c>
      <c r="F47" s="3" t="s">
        <v>41</v>
      </c>
      <c r="G47" s="3" t="s">
        <v>50</v>
      </c>
      <c r="H47" s="3">
        <v>0</v>
      </c>
      <c r="I47" s="7">
        <v>32910</v>
      </c>
      <c r="J47" s="7">
        <v>11004</v>
      </c>
      <c r="K47" s="7">
        <v>21906</v>
      </c>
      <c r="L47" s="5">
        <f t="shared" si="0"/>
        <v>0.33436645396536008</v>
      </c>
      <c r="M47" s="5">
        <f t="shared" si="1"/>
        <v>2.5297526325627873E-2</v>
      </c>
      <c r="N47" s="7">
        <f t="shared" si="3"/>
        <v>33114.714285714283</v>
      </c>
      <c r="O47" s="7">
        <f t="shared" si="5"/>
        <v>34993.357142857145</v>
      </c>
      <c r="P47" s="8">
        <f t="shared" si="6"/>
        <v>0.940464210554248</v>
      </c>
      <c r="Q47" s="7"/>
      <c r="R47" s="7"/>
      <c r="S47" s="7"/>
      <c r="T47" s="7"/>
      <c r="U47" s="7"/>
      <c r="V47" s="7"/>
      <c r="W47" s="7"/>
      <c r="X47" s="3" t="s">
        <v>54</v>
      </c>
      <c r="Y47" s="3"/>
      <c r="Z47" s="9">
        <v>0.38394</v>
      </c>
      <c r="AA47" s="5">
        <f t="shared" si="2"/>
        <v>-0.14604092526690393</v>
      </c>
      <c r="AB47" s="9">
        <f t="shared" si="4"/>
        <v>0.36238857142857139</v>
      </c>
      <c r="AC47" s="9">
        <f t="shared" si="7"/>
        <v>0.12684785714285712</v>
      </c>
      <c r="AD47" s="8">
        <f t="shared" si="8"/>
        <v>2.8568757848265922</v>
      </c>
      <c r="AE47" s="3" t="s">
        <v>44</v>
      </c>
      <c r="AF47" s="10">
        <f t="shared" si="9"/>
        <v>11855</v>
      </c>
      <c r="AG47" s="11">
        <f t="shared" si="10"/>
        <v>0.92821594264023621</v>
      </c>
      <c r="AH47" s="11">
        <f t="shared" si="11"/>
        <v>3.0267756085749524</v>
      </c>
      <c r="AI47" s="3" t="s">
        <v>45</v>
      </c>
      <c r="AJ47" s="3" t="s">
        <v>40</v>
      </c>
      <c r="AK47" s="3" t="s">
        <v>46</v>
      </c>
      <c r="AL47" s="3" t="s">
        <v>47</v>
      </c>
      <c r="AM47" s="3" t="s">
        <v>39</v>
      </c>
    </row>
    <row r="48" spans="1:39" ht="21" customHeight="1">
      <c r="A48" s="4">
        <v>46008</v>
      </c>
      <c r="B48" s="3" t="s">
        <v>39</v>
      </c>
      <c r="C48" s="3" t="s">
        <v>40</v>
      </c>
      <c r="D48" s="4">
        <v>46057</v>
      </c>
      <c r="E48" s="3">
        <v>-49</v>
      </c>
      <c r="F48" s="3" t="s">
        <v>41</v>
      </c>
      <c r="G48" s="3" t="s">
        <v>51</v>
      </c>
      <c r="H48" s="3">
        <v>0</v>
      </c>
      <c r="I48" s="7">
        <v>33274</v>
      </c>
      <c r="J48" s="7">
        <v>11098</v>
      </c>
      <c r="K48" s="7">
        <v>22176</v>
      </c>
      <c r="L48" s="5">
        <f t="shared" si="0"/>
        <v>0.33353368996814331</v>
      </c>
      <c r="M48" s="5">
        <f t="shared" si="1"/>
        <v>1.1060467942874519E-2</v>
      </c>
      <c r="N48" s="7">
        <f t="shared" si="3"/>
        <v>33105.571428571428</v>
      </c>
      <c r="O48" s="7">
        <f t="shared" si="5"/>
        <v>34901.214285714283</v>
      </c>
      <c r="P48" s="8">
        <f t="shared" si="6"/>
        <v>0.95337657101574458</v>
      </c>
      <c r="Q48" s="7"/>
      <c r="R48" s="7"/>
      <c r="S48" s="7"/>
      <c r="T48" s="7"/>
      <c r="U48" s="7"/>
      <c r="V48" s="7"/>
      <c r="W48" s="7"/>
      <c r="X48" s="3" t="s">
        <v>54</v>
      </c>
      <c r="Y48" s="3"/>
      <c r="Z48" s="9">
        <v>0.30901000000000001</v>
      </c>
      <c r="AA48" s="5">
        <f t="shared" si="2"/>
        <v>-0.19516070219305104</v>
      </c>
      <c r="AB48" s="9">
        <f t="shared" si="4"/>
        <v>0.39862714285714279</v>
      </c>
      <c r="AC48" s="9">
        <f t="shared" si="7"/>
        <v>0.13806107142857144</v>
      </c>
      <c r="AD48" s="8">
        <f t="shared" si="8"/>
        <v>2.8873247087857075</v>
      </c>
      <c r="AE48" s="3" t="s">
        <v>44</v>
      </c>
      <c r="AF48" s="10">
        <f t="shared" si="9"/>
        <v>12123.25</v>
      </c>
      <c r="AG48" s="11">
        <f t="shared" si="10"/>
        <v>0.91543109314746463</v>
      </c>
      <c r="AH48" s="11">
        <f t="shared" si="11"/>
        <v>2.2382123853056748</v>
      </c>
      <c r="AI48" s="3" t="s">
        <v>45</v>
      </c>
      <c r="AJ48" s="3" t="s">
        <v>40</v>
      </c>
      <c r="AK48" s="3" t="s">
        <v>46</v>
      </c>
      <c r="AL48" s="3" t="s">
        <v>47</v>
      </c>
      <c r="AM48" s="3" t="s">
        <v>39</v>
      </c>
    </row>
    <row r="49" spans="1:39" ht="21" customHeight="1">
      <c r="A49" s="4">
        <v>46009</v>
      </c>
      <c r="B49" s="3" t="s">
        <v>39</v>
      </c>
      <c r="C49" s="3" t="s">
        <v>40</v>
      </c>
      <c r="D49" s="4">
        <v>46057</v>
      </c>
      <c r="E49" s="3">
        <v>-48</v>
      </c>
      <c r="F49" s="3" t="s">
        <v>41</v>
      </c>
      <c r="G49" s="3" t="s">
        <v>52</v>
      </c>
      <c r="H49" s="3">
        <v>0</v>
      </c>
      <c r="I49" s="7">
        <v>33439</v>
      </c>
      <c r="J49" s="7">
        <v>11382</v>
      </c>
      <c r="K49" s="7">
        <v>22057</v>
      </c>
      <c r="L49" s="5">
        <f t="shared" si="0"/>
        <v>0.34038099225455309</v>
      </c>
      <c r="M49" s="5">
        <f t="shared" si="1"/>
        <v>4.9588267115465712E-3</v>
      </c>
      <c r="N49" s="7">
        <f t="shared" si="3"/>
        <v>33249.142857142855</v>
      </c>
      <c r="O49" s="7">
        <f t="shared" si="5"/>
        <v>34784.928571428572</v>
      </c>
      <c r="P49" s="8">
        <f t="shared" si="6"/>
        <v>0.96130713424738545</v>
      </c>
      <c r="Q49" s="7"/>
      <c r="R49" s="7"/>
      <c r="S49" s="7"/>
      <c r="T49" s="7"/>
      <c r="U49" s="7"/>
      <c r="V49" s="7"/>
      <c r="W49" s="7"/>
      <c r="X49" s="3" t="s">
        <v>54</v>
      </c>
      <c r="Y49" s="3"/>
      <c r="Z49" s="9">
        <v>0.26279000000000002</v>
      </c>
      <c r="AA49" s="5">
        <f t="shared" si="2"/>
        <v>-0.1495744474288857</v>
      </c>
      <c r="AB49" s="9">
        <f t="shared" si="4"/>
        <v>0.42404285714285717</v>
      </c>
      <c r="AC49" s="9">
        <f t="shared" si="7"/>
        <v>0.14667142857142856</v>
      </c>
      <c r="AD49" s="8">
        <f t="shared" si="8"/>
        <v>2.8911074315768972</v>
      </c>
      <c r="AE49" s="3" t="s">
        <v>44</v>
      </c>
      <c r="AF49" s="10">
        <f t="shared" si="9"/>
        <v>11622.75</v>
      </c>
      <c r="AG49" s="11">
        <f t="shared" si="10"/>
        <v>0.97928631348002837</v>
      </c>
      <c r="AH49" s="11">
        <f t="shared" si="11"/>
        <v>1.7916918281873968</v>
      </c>
      <c r="AI49" s="3" t="s">
        <v>45</v>
      </c>
      <c r="AJ49" s="3" t="s">
        <v>40</v>
      </c>
      <c r="AK49" s="3" t="s">
        <v>46</v>
      </c>
      <c r="AL49" s="3" t="s">
        <v>47</v>
      </c>
      <c r="AM49" s="3" t="s">
        <v>39</v>
      </c>
    </row>
    <row r="50" spans="1:39" ht="21" customHeight="1">
      <c r="A50" s="4">
        <v>46010</v>
      </c>
      <c r="B50" s="3" t="s">
        <v>39</v>
      </c>
      <c r="C50" s="3" t="s">
        <v>40</v>
      </c>
      <c r="D50" s="4">
        <v>46057</v>
      </c>
      <c r="E50" s="3">
        <v>-47</v>
      </c>
      <c r="F50" s="3" t="s">
        <v>41</v>
      </c>
      <c r="G50" s="3" t="s">
        <v>53</v>
      </c>
      <c r="H50" s="3">
        <v>0</v>
      </c>
      <c r="I50" s="7">
        <v>36351</v>
      </c>
      <c r="J50" s="7">
        <v>14122</v>
      </c>
      <c r="K50" s="7">
        <v>22228</v>
      </c>
      <c r="L50" s="5">
        <f t="shared" si="0"/>
        <v>0.38849000027509561</v>
      </c>
      <c r="M50" s="5">
        <f t="shared" si="1"/>
        <v>8.7083943897843907E-2</v>
      </c>
      <c r="N50" s="7">
        <f t="shared" si="3"/>
        <v>33432.714285714283</v>
      </c>
      <c r="O50" s="7">
        <f t="shared" si="5"/>
        <v>34671.535714285717</v>
      </c>
      <c r="P50" s="8">
        <f t="shared" si="6"/>
        <v>1.0484392817080292</v>
      </c>
      <c r="Q50" s="7"/>
      <c r="R50" s="7"/>
      <c r="S50" s="7"/>
      <c r="T50" s="7"/>
      <c r="U50" s="7"/>
      <c r="V50" s="7"/>
      <c r="W50" s="7"/>
      <c r="X50" s="3" t="s">
        <v>54</v>
      </c>
      <c r="Y50" s="3"/>
      <c r="Z50" s="9">
        <v>0.81686000000000003</v>
      </c>
      <c r="AA50" s="5">
        <f t="shared" si="2"/>
        <v>2.1084135621598992</v>
      </c>
      <c r="AB50" s="9">
        <f t="shared" si="4"/>
        <v>0.46634142857142857</v>
      </c>
      <c r="AC50" s="9">
        <f t="shared" si="7"/>
        <v>0.15366392857142855</v>
      </c>
      <c r="AD50" s="8">
        <f t="shared" si="8"/>
        <v>3.0348139144096931</v>
      </c>
      <c r="AE50" s="3" t="s">
        <v>44</v>
      </c>
      <c r="AF50" s="10">
        <f t="shared" si="9"/>
        <v>13718.75</v>
      </c>
      <c r="AG50" s="11">
        <f t="shared" si="10"/>
        <v>1.0293940774487471</v>
      </c>
      <c r="AH50" s="11">
        <f t="shared" si="11"/>
        <v>5.3158864776797241</v>
      </c>
      <c r="AI50" s="3" t="s">
        <v>45</v>
      </c>
      <c r="AJ50" s="3" t="s">
        <v>40</v>
      </c>
      <c r="AK50" s="3" t="s">
        <v>46</v>
      </c>
      <c r="AL50" s="3" t="s">
        <v>47</v>
      </c>
      <c r="AM50" s="3" t="s">
        <v>39</v>
      </c>
    </row>
    <row r="51" spans="1:39" ht="21" customHeight="1">
      <c r="A51" s="4">
        <v>46011</v>
      </c>
      <c r="B51" s="3" t="s">
        <v>39</v>
      </c>
      <c r="C51" s="3" t="s">
        <v>40</v>
      </c>
      <c r="D51" s="4">
        <v>46057</v>
      </c>
      <c r="E51" s="3">
        <v>-46</v>
      </c>
      <c r="F51" s="3" t="s">
        <v>41</v>
      </c>
      <c r="G51" s="3" t="s">
        <v>42</v>
      </c>
      <c r="H51" s="3">
        <v>1</v>
      </c>
      <c r="I51" s="7">
        <v>35780</v>
      </c>
      <c r="J51" s="7">
        <v>17196</v>
      </c>
      <c r="K51" s="7">
        <v>18585</v>
      </c>
      <c r="L51" s="5">
        <f t="shared" si="0"/>
        <v>0.4806036892118502</v>
      </c>
      <c r="M51" s="5">
        <f t="shared" si="1"/>
        <v>-1.5707958515584153E-2</v>
      </c>
      <c r="N51" s="7">
        <f t="shared" si="3"/>
        <v>33575.142857142855</v>
      </c>
      <c r="O51" s="7">
        <f t="shared" si="5"/>
        <v>34561.928571428572</v>
      </c>
      <c r="P51" s="8">
        <f t="shared" si="6"/>
        <v>1.035243155660543</v>
      </c>
      <c r="Q51" s="7"/>
      <c r="R51" s="7"/>
      <c r="S51" s="7"/>
      <c r="T51" s="7"/>
      <c r="U51" s="7"/>
      <c r="V51" s="7"/>
      <c r="W51" s="7"/>
      <c r="X51" s="3" t="s">
        <v>54</v>
      </c>
      <c r="Y51" s="3"/>
      <c r="Z51" s="9">
        <v>0.56403000000000003</v>
      </c>
      <c r="AA51" s="5">
        <f t="shared" si="2"/>
        <v>-0.30951448228582623</v>
      </c>
      <c r="AB51" s="9">
        <f t="shared" si="4"/>
        <v>0.46770428571428574</v>
      </c>
      <c r="AC51" s="9">
        <f t="shared" si="7"/>
        <v>0.18027785714285713</v>
      </c>
      <c r="AD51" s="8">
        <f t="shared" si="8"/>
        <v>2.5943523687640906</v>
      </c>
      <c r="AE51" s="3" t="s">
        <v>44</v>
      </c>
      <c r="AF51" s="10">
        <f t="shared" si="9"/>
        <v>18629.5</v>
      </c>
      <c r="AG51" s="11">
        <f t="shared" si="10"/>
        <v>0.92305214847419415</v>
      </c>
      <c r="AH51" s="11">
        <f t="shared" si="11"/>
        <v>3.1286704254147373</v>
      </c>
      <c r="AI51" s="3" t="s">
        <v>45</v>
      </c>
      <c r="AJ51" s="3" t="s">
        <v>40</v>
      </c>
      <c r="AK51" s="3" t="s">
        <v>46</v>
      </c>
      <c r="AL51" s="3" t="s">
        <v>47</v>
      </c>
      <c r="AM51" s="3" t="s">
        <v>39</v>
      </c>
    </row>
    <row r="52" spans="1:39" ht="21" customHeight="1">
      <c r="A52" s="4">
        <v>46012</v>
      </c>
      <c r="B52" s="3" t="s">
        <v>39</v>
      </c>
      <c r="C52" s="3" t="s">
        <v>40</v>
      </c>
      <c r="D52" s="4">
        <v>46057</v>
      </c>
      <c r="E52" s="3">
        <v>-45</v>
      </c>
      <c r="F52" s="3" t="s">
        <v>41</v>
      </c>
      <c r="G52" s="3" t="s">
        <v>48</v>
      </c>
      <c r="H52" s="3">
        <v>1</v>
      </c>
      <c r="I52" s="7">
        <v>34188</v>
      </c>
      <c r="J52" s="7">
        <v>16166</v>
      </c>
      <c r="K52" s="7">
        <v>18022</v>
      </c>
      <c r="L52" s="5">
        <f t="shared" si="0"/>
        <v>0.47285597285597286</v>
      </c>
      <c r="M52" s="5">
        <f t="shared" si="1"/>
        <v>-4.4494130799329179E-2</v>
      </c>
      <c r="N52" s="7">
        <f t="shared" si="3"/>
        <v>34005.714285714283</v>
      </c>
      <c r="O52" s="7">
        <f t="shared" si="5"/>
        <v>34363.785714285717</v>
      </c>
      <c r="P52" s="8">
        <f t="shared" si="6"/>
        <v>0.99488456493858768</v>
      </c>
      <c r="Q52" s="7"/>
      <c r="R52" s="7"/>
      <c r="S52" s="7"/>
      <c r="T52" s="7"/>
      <c r="U52" s="7"/>
      <c r="V52" s="7"/>
      <c r="W52" s="7"/>
      <c r="X52" s="3" t="s">
        <v>54</v>
      </c>
      <c r="Y52" s="3"/>
      <c r="Z52" s="9">
        <v>0.32236999999999999</v>
      </c>
      <c r="AA52" s="5">
        <f t="shared" si="2"/>
        <v>-0.42845238728436441</v>
      </c>
      <c r="AB52" s="9">
        <f t="shared" si="4"/>
        <v>0.44408571428571425</v>
      </c>
      <c r="AC52" s="9">
        <f t="shared" si="7"/>
        <v>0.19776892857142855</v>
      </c>
      <c r="AD52" s="8">
        <f t="shared" si="8"/>
        <v>2.2454776768703737</v>
      </c>
      <c r="AE52" s="3" t="s">
        <v>44</v>
      </c>
      <c r="AF52" s="10">
        <f t="shared" si="9"/>
        <v>16404.5</v>
      </c>
      <c r="AG52" s="11">
        <f t="shared" si="10"/>
        <v>0.98546130634886764</v>
      </c>
      <c r="AH52" s="11">
        <f t="shared" si="11"/>
        <v>1.6300336070414065</v>
      </c>
      <c r="AI52" s="3" t="s">
        <v>45</v>
      </c>
      <c r="AJ52" s="3" t="s">
        <v>40</v>
      </c>
      <c r="AK52" s="3" t="s">
        <v>46</v>
      </c>
      <c r="AL52" s="3" t="s">
        <v>47</v>
      </c>
      <c r="AM52" s="3" t="s">
        <v>39</v>
      </c>
    </row>
    <row r="53" spans="1:39" ht="21" customHeight="1">
      <c r="A53" s="4">
        <v>46013</v>
      </c>
      <c r="B53" s="3" t="s">
        <v>39</v>
      </c>
      <c r="C53" s="3" t="s">
        <v>40</v>
      </c>
      <c r="D53" s="4">
        <v>46057</v>
      </c>
      <c r="E53" s="3">
        <v>-44</v>
      </c>
      <c r="F53" s="3" t="s">
        <v>41</v>
      </c>
      <c r="G53" s="3" t="s">
        <v>49</v>
      </c>
      <c r="H53" s="3">
        <v>0</v>
      </c>
      <c r="I53" s="7">
        <v>33579</v>
      </c>
      <c r="J53" s="7">
        <v>11764</v>
      </c>
      <c r="K53" s="7">
        <v>21816</v>
      </c>
      <c r="L53" s="5">
        <f t="shared" si="0"/>
        <v>0.35033800887459426</v>
      </c>
      <c r="M53" s="5">
        <f t="shared" si="1"/>
        <v>-1.7813267813267863E-2</v>
      </c>
      <c r="N53" s="7">
        <f t="shared" si="3"/>
        <v>34217.285714285717</v>
      </c>
      <c r="O53" s="7">
        <f t="shared" si="5"/>
        <v>34191.285714285717</v>
      </c>
      <c r="P53" s="8">
        <f t="shared" si="6"/>
        <v>0.9820923460029497</v>
      </c>
      <c r="Q53" s="7"/>
      <c r="R53" s="7"/>
      <c r="S53" s="7"/>
      <c r="T53" s="7"/>
      <c r="U53" s="7"/>
      <c r="V53" s="7"/>
      <c r="W53" s="7"/>
      <c r="X53" s="3" t="s">
        <v>54</v>
      </c>
      <c r="Y53" s="3"/>
      <c r="Z53" s="9">
        <v>0.35609000000000002</v>
      </c>
      <c r="AA53" s="5">
        <f t="shared" si="2"/>
        <v>0.10460030399851106</v>
      </c>
      <c r="AB53" s="9">
        <f t="shared" si="4"/>
        <v>0.43072714285714292</v>
      </c>
      <c r="AC53" s="9">
        <f t="shared" si="7"/>
        <v>0.20673535714285715</v>
      </c>
      <c r="AD53" s="8">
        <f t="shared" si="8"/>
        <v>2.0834711043622023</v>
      </c>
      <c r="AE53" s="3" t="s">
        <v>44</v>
      </c>
      <c r="AF53" s="10">
        <f t="shared" si="9"/>
        <v>11118.75</v>
      </c>
      <c r="AG53" s="11">
        <f t="shared" si="10"/>
        <v>1.0580326025857223</v>
      </c>
      <c r="AH53" s="11">
        <f t="shared" si="11"/>
        <v>1.7224436348057126</v>
      </c>
      <c r="AI53" s="3" t="s">
        <v>45</v>
      </c>
      <c r="AJ53" s="3" t="s">
        <v>40</v>
      </c>
      <c r="AK53" s="3" t="s">
        <v>46</v>
      </c>
      <c r="AL53" s="3" t="s">
        <v>47</v>
      </c>
      <c r="AM53" s="3" t="s">
        <v>39</v>
      </c>
    </row>
    <row r="54" spans="1:39" ht="21" customHeight="1">
      <c r="A54" s="4">
        <v>46014</v>
      </c>
      <c r="B54" s="3" t="s">
        <v>39</v>
      </c>
      <c r="C54" s="3" t="s">
        <v>40</v>
      </c>
      <c r="D54" s="4">
        <v>46057</v>
      </c>
      <c r="E54" s="3">
        <v>-43</v>
      </c>
      <c r="F54" s="3" t="s">
        <v>41</v>
      </c>
      <c r="G54" s="3" t="s">
        <v>50</v>
      </c>
      <c r="H54" s="3">
        <v>0</v>
      </c>
      <c r="I54" s="7">
        <v>33848</v>
      </c>
      <c r="J54" s="7">
        <v>11830</v>
      </c>
      <c r="K54" s="7">
        <v>22018</v>
      </c>
      <c r="L54" s="5">
        <f t="shared" si="0"/>
        <v>0.34950366343653982</v>
      </c>
      <c r="M54" s="5">
        <f t="shared" si="1"/>
        <v>8.0109592304713484E-3</v>
      </c>
      <c r="N54" s="7">
        <f t="shared" si="3"/>
        <v>34351.285714285717</v>
      </c>
      <c r="O54" s="7">
        <f t="shared" si="5"/>
        <v>34068.535714285717</v>
      </c>
      <c r="P54" s="8">
        <f t="shared" si="6"/>
        <v>0.99352670404929555</v>
      </c>
      <c r="Q54" s="7"/>
      <c r="R54" s="7"/>
      <c r="S54" s="7"/>
      <c r="T54" s="7"/>
      <c r="U54" s="7"/>
      <c r="V54" s="7"/>
      <c r="W54" s="7"/>
      <c r="X54" s="3" t="s">
        <v>54</v>
      </c>
      <c r="Y54" s="3"/>
      <c r="Z54" s="9">
        <v>0.28809000000000001</v>
      </c>
      <c r="AA54" s="5">
        <f t="shared" si="2"/>
        <v>-0.19096295880254988</v>
      </c>
      <c r="AB54" s="9">
        <f t="shared" si="4"/>
        <v>0.41703428571428575</v>
      </c>
      <c r="AC54" s="9">
        <f t="shared" si="7"/>
        <v>0.21698928571428572</v>
      </c>
      <c r="AD54" s="8">
        <f t="shared" si="8"/>
        <v>1.9219118784666789</v>
      </c>
      <c r="AE54" s="3" t="s">
        <v>44</v>
      </c>
      <c r="AF54" s="10">
        <f t="shared" si="9"/>
        <v>11366</v>
      </c>
      <c r="AG54" s="11">
        <f t="shared" si="10"/>
        <v>1.0408235087101882</v>
      </c>
      <c r="AH54" s="11">
        <f t="shared" si="11"/>
        <v>1.3276692397583818</v>
      </c>
      <c r="AI54" s="3" t="s">
        <v>45</v>
      </c>
      <c r="AJ54" s="3" t="s">
        <v>40</v>
      </c>
      <c r="AK54" s="3" t="s">
        <v>46</v>
      </c>
      <c r="AL54" s="3" t="s">
        <v>47</v>
      </c>
      <c r="AM54" s="3" t="s">
        <v>39</v>
      </c>
    </row>
    <row r="55" spans="1:39" ht="21" customHeight="1">
      <c r="A55" s="4">
        <v>46015</v>
      </c>
      <c r="B55" s="3" t="s">
        <v>39</v>
      </c>
      <c r="C55" s="3" t="s">
        <v>40</v>
      </c>
      <c r="D55" s="4">
        <v>46057</v>
      </c>
      <c r="E55" s="3">
        <v>-42</v>
      </c>
      <c r="F55" s="3" t="s">
        <v>41</v>
      </c>
      <c r="G55" s="3" t="s">
        <v>51</v>
      </c>
      <c r="H55" s="3">
        <v>0</v>
      </c>
      <c r="I55" s="7">
        <v>35536</v>
      </c>
      <c r="J55" s="7">
        <v>13352</v>
      </c>
      <c r="K55" s="7">
        <v>22183</v>
      </c>
      <c r="L55" s="5">
        <f t="shared" si="0"/>
        <v>0.37573165240882483</v>
      </c>
      <c r="M55" s="5">
        <f t="shared" si="1"/>
        <v>4.987000709052225E-2</v>
      </c>
      <c r="N55" s="7">
        <f t="shared" si="3"/>
        <v>34674.428571428572</v>
      </c>
      <c r="O55" s="7">
        <f t="shared" si="5"/>
        <v>34026.035714285717</v>
      </c>
      <c r="P55" s="8">
        <f t="shared" si="6"/>
        <v>1.0443767325230993</v>
      </c>
      <c r="Q55" s="7"/>
      <c r="R55" s="7"/>
      <c r="S55" s="7"/>
      <c r="T55" s="7"/>
      <c r="U55" s="7"/>
      <c r="V55" s="7"/>
      <c r="W55" s="7"/>
      <c r="X55" s="3" t="s">
        <v>54</v>
      </c>
      <c r="Y55" s="3"/>
      <c r="Z55" s="9">
        <v>0.26321</v>
      </c>
      <c r="AA55" s="5">
        <f t="shared" si="2"/>
        <v>-8.6361900794890478E-2</v>
      </c>
      <c r="AB55" s="9">
        <f t="shared" si="4"/>
        <v>0.41049142857142856</v>
      </c>
      <c r="AC55" s="9">
        <f t="shared" si="7"/>
        <v>0.22492571428571431</v>
      </c>
      <c r="AD55" s="8">
        <f t="shared" si="8"/>
        <v>1.8250088918246021</v>
      </c>
      <c r="AE55" s="3" t="s">
        <v>44</v>
      </c>
      <c r="AF55" s="10">
        <f t="shared" si="9"/>
        <v>11565.75</v>
      </c>
      <c r="AG55" s="11">
        <f t="shared" si="10"/>
        <v>1.1544430754598707</v>
      </c>
      <c r="AH55" s="11">
        <f t="shared" si="11"/>
        <v>1.1702085767999593</v>
      </c>
      <c r="AI55" s="3" t="s">
        <v>45</v>
      </c>
      <c r="AJ55" s="3" t="s">
        <v>40</v>
      </c>
      <c r="AK55" s="3" t="s">
        <v>46</v>
      </c>
      <c r="AL55" s="3" t="s">
        <v>47</v>
      </c>
      <c r="AM55" s="3" t="s">
        <v>39</v>
      </c>
    </row>
    <row r="56" spans="1:39" ht="21" customHeight="1">
      <c r="A56" s="4">
        <v>46016</v>
      </c>
      <c r="B56" s="3" t="s">
        <v>39</v>
      </c>
      <c r="C56" s="3" t="s">
        <v>40</v>
      </c>
      <c r="D56" s="4">
        <v>46057</v>
      </c>
      <c r="E56" s="3">
        <v>-41</v>
      </c>
      <c r="F56" s="3" t="s">
        <v>41</v>
      </c>
      <c r="G56" s="3" t="s">
        <v>52</v>
      </c>
      <c r="H56" s="3">
        <v>0</v>
      </c>
      <c r="I56" s="7">
        <v>33453</v>
      </c>
      <c r="J56" s="7">
        <v>14966</v>
      </c>
      <c r="K56" s="7">
        <v>18487</v>
      </c>
      <c r="L56" s="5">
        <f t="shared" si="0"/>
        <v>0.44737392759991629</v>
      </c>
      <c r="M56" s="5">
        <f t="shared" si="1"/>
        <v>-5.8616614137775747E-2</v>
      </c>
      <c r="N56" s="7">
        <f t="shared" si="3"/>
        <v>34676.428571428572</v>
      </c>
      <c r="O56" s="7">
        <f t="shared" si="5"/>
        <v>33990.321428571428</v>
      </c>
      <c r="P56" s="8">
        <f t="shared" si="6"/>
        <v>0.98419192858471272</v>
      </c>
      <c r="Q56" s="7"/>
      <c r="R56" s="7"/>
      <c r="S56" s="7"/>
      <c r="T56" s="7"/>
      <c r="U56" s="7"/>
      <c r="V56" s="7"/>
      <c r="W56" s="7"/>
      <c r="X56" s="3" t="s">
        <v>54</v>
      </c>
      <c r="Y56" s="3"/>
      <c r="Z56" s="9">
        <v>0.22165000000000001</v>
      </c>
      <c r="AA56" s="5">
        <f t="shared" si="2"/>
        <v>-0.15789673644618363</v>
      </c>
      <c r="AB56" s="9">
        <f t="shared" si="4"/>
        <v>0.4046142857142857</v>
      </c>
      <c r="AC56" s="9">
        <f t="shared" si="7"/>
        <v>0.23204678571428575</v>
      </c>
      <c r="AD56" s="8">
        <f t="shared" si="8"/>
        <v>1.7436754595363309</v>
      </c>
      <c r="AE56" s="3" t="s">
        <v>44</v>
      </c>
      <c r="AF56" s="10">
        <f t="shared" si="9"/>
        <v>11031.25</v>
      </c>
      <c r="AG56" s="11">
        <f t="shared" si="10"/>
        <v>1.3566912181303117</v>
      </c>
      <c r="AH56" s="11">
        <f t="shared" si="11"/>
        <v>0.95519530390269192</v>
      </c>
      <c r="AI56" s="3" t="s">
        <v>45</v>
      </c>
      <c r="AJ56" s="3" t="s">
        <v>40</v>
      </c>
      <c r="AK56" s="3" t="s">
        <v>46</v>
      </c>
      <c r="AL56" s="3" t="s">
        <v>47</v>
      </c>
      <c r="AM56" s="3" t="s">
        <v>39</v>
      </c>
    </row>
    <row r="57" spans="1:39" ht="21" customHeight="1">
      <c r="A57" s="4">
        <v>46017</v>
      </c>
      <c r="B57" s="3" t="s">
        <v>39</v>
      </c>
      <c r="C57" s="3" t="s">
        <v>40</v>
      </c>
      <c r="D57" s="4">
        <v>46057</v>
      </c>
      <c r="E57" s="3">
        <v>-40</v>
      </c>
      <c r="F57" s="3" t="s">
        <v>41</v>
      </c>
      <c r="G57" s="3" t="s">
        <v>53</v>
      </c>
      <c r="H57" s="3">
        <v>0</v>
      </c>
      <c r="I57" s="7">
        <v>36407</v>
      </c>
      <c r="J57" s="7">
        <v>15782</v>
      </c>
      <c r="K57" s="7">
        <v>20626</v>
      </c>
      <c r="L57" s="5">
        <f t="shared" si="0"/>
        <v>0.43348806548191282</v>
      </c>
      <c r="M57" s="5">
        <f t="shared" si="1"/>
        <v>8.8302992257794477E-2</v>
      </c>
      <c r="N57" s="7">
        <f t="shared" si="3"/>
        <v>34684.428571428572</v>
      </c>
      <c r="O57" s="7">
        <f t="shared" si="5"/>
        <v>33968.321428571428</v>
      </c>
      <c r="P57" s="8">
        <f t="shared" si="6"/>
        <v>1.0717927312527533</v>
      </c>
      <c r="Q57" s="7"/>
      <c r="R57" s="7"/>
      <c r="S57" s="7"/>
      <c r="T57" s="7"/>
      <c r="U57" s="7"/>
      <c r="V57" s="7"/>
      <c r="W57" s="7"/>
      <c r="X57" s="3" t="s">
        <v>54</v>
      </c>
      <c r="Y57" s="3"/>
      <c r="Z57" s="9">
        <v>0.21897</v>
      </c>
      <c r="AA57" s="5">
        <f t="shared" si="2"/>
        <v>-1.2091134671779913E-2</v>
      </c>
      <c r="AB57" s="9">
        <f t="shared" si="4"/>
        <v>0.31920142857142858</v>
      </c>
      <c r="AC57" s="9">
        <f t="shared" si="7"/>
        <v>0.23775178571428573</v>
      </c>
      <c r="AD57" s="8">
        <f t="shared" si="8"/>
        <v>1.3425826755094223</v>
      </c>
      <c r="AE57" s="3" t="s">
        <v>44</v>
      </c>
      <c r="AF57" s="10">
        <f t="shared" si="9"/>
        <v>13120.25</v>
      </c>
      <c r="AG57" s="11">
        <f t="shared" si="10"/>
        <v>1.2028734208570722</v>
      </c>
      <c r="AH57" s="11">
        <f t="shared" si="11"/>
        <v>0.92100254617285426</v>
      </c>
      <c r="AI57" s="3" t="s">
        <v>45</v>
      </c>
      <c r="AJ57" s="3" t="s">
        <v>40</v>
      </c>
      <c r="AK57" s="3" t="s">
        <v>46</v>
      </c>
      <c r="AL57" s="3" t="s">
        <v>47</v>
      </c>
      <c r="AM57" s="3" t="s">
        <v>39</v>
      </c>
    </row>
    <row r="58" spans="1:39" ht="21" customHeight="1">
      <c r="A58" s="4">
        <v>46018</v>
      </c>
      <c r="B58" s="3" t="s">
        <v>39</v>
      </c>
      <c r="C58" s="3" t="s">
        <v>40</v>
      </c>
      <c r="D58" s="4">
        <v>46057</v>
      </c>
      <c r="E58" s="3">
        <v>-39</v>
      </c>
      <c r="F58" s="3" t="s">
        <v>41</v>
      </c>
      <c r="G58" s="3" t="s">
        <v>42</v>
      </c>
      <c r="H58" s="3">
        <v>1</v>
      </c>
      <c r="I58" s="7">
        <v>36592</v>
      </c>
      <c r="J58" s="7">
        <v>18728</v>
      </c>
      <c r="K58" s="7">
        <v>17864</v>
      </c>
      <c r="L58" s="5">
        <f t="shared" si="0"/>
        <v>0.51180585920419763</v>
      </c>
      <c r="M58" s="5">
        <f t="shared" si="1"/>
        <v>5.0814403823440379E-3</v>
      </c>
      <c r="N58" s="7">
        <f t="shared" si="3"/>
        <v>34800.428571428572</v>
      </c>
      <c r="O58" s="7">
        <f t="shared" si="5"/>
        <v>33938.714285714283</v>
      </c>
      <c r="P58" s="8">
        <f t="shared" si="6"/>
        <v>1.0781787339363813</v>
      </c>
      <c r="Q58" s="7"/>
      <c r="R58" s="7"/>
      <c r="S58" s="7"/>
      <c r="T58" s="7"/>
      <c r="U58" s="7"/>
      <c r="V58" s="7"/>
      <c r="W58" s="7"/>
      <c r="X58" s="3" t="s">
        <v>54</v>
      </c>
      <c r="Y58" s="3"/>
      <c r="Z58" s="9">
        <v>0.22639000000000001</v>
      </c>
      <c r="AA58" s="5">
        <f t="shared" si="2"/>
        <v>3.3885920445723139E-2</v>
      </c>
      <c r="AB58" s="9">
        <f t="shared" si="4"/>
        <v>0.27096714285714291</v>
      </c>
      <c r="AC58" s="9">
        <f t="shared" si="7"/>
        <v>0.24331321428571431</v>
      </c>
      <c r="AD58" s="8">
        <f t="shared" si="8"/>
        <v>1.113655678967586</v>
      </c>
      <c r="AE58" s="3" t="s">
        <v>44</v>
      </c>
      <c r="AF58" s="10">
        <f t="shared" si="9"/>
        <v>17437</v>
      </c>
      <c r="AG58" s="11">
        <f t="shared" si="10"/>
        <v>1.0740379652463152</v>
      </c>
      <c r="AH58" s="11">
        <f t="shared" si="11"/>
        <v>0.93044679330140301</v>
      </c>
      <c r="AI58" s="3" t="s">
        <v>45</v>
      </c>
      <c r="AJ58" s="3" t="s">
        <v>40</v>
      </c>
      <c r="AK58" s="3" t="s">
        <v>46</v>
      </c>
      <c r="AL58" s="3" t="s">
        <v>47</v>
      </c>
      <c r="AM58" s="3" t="s">
        <v>39</v>
      </c>
    </row>
    <row r="59" spans="1:39" ht="21" customHeight="1">
      <c r="A59" s="4">
        <v>46019</v>
      </c>
      <c r="B59" s="3" t="s">
        <v>39</v>
      </c>
      <c r="C59" s="3" t="s">
        <v>40</v>
      </c>
      <c r="D59" s="4">
        <v>46057</v>
      </c>
      <c r="E59" s="3">
        <v>-38</v>
      </c>
      <c r="F59" s="3" t="s">
        <v>41</v>
      </c>
      <c r="G59" s="3" t="s">
        <v>48</v>
      </c>
      <c r="H59" s="3">
        <v>1</v>
      </c>
      <c r="I59" s="7">
        <v>35214</v>
      </c>
      <c r="J59" s="7">
        <v>17458</v>
      </c>
      <c r="K59" s="7">
        <v>17756</v>
      </c>
      <c r="L59" s="5">
        <f t="shared" si="0"/>
        <v>0.49576872834668029</v>
      </c>
      <c r="M59" s="5">
        <f t="shared" si="1"/>
        <v>-3.7658504591167485E-2</v>
      </c>
      <c r="N59" s="7">
        <f t="shared" si="3"/>
        <v>34947</v>
      </c>
      <c r="O59" s="7">
        <f t="shared" si="5"/>
        <v>33828.321428571428</v>
      </c>
      <c r="P59" s="8">
        <f t="shared" si="6"/>
        <v>1.0409620848127046</v>
      </c>
      <c r="Q59" s="7"/>
      <c r="R59" s="7"/>
      <c r="S59" s="7"/>
      <c r="T59" s="7"/>
      <c r="U59" s="7"/>
      <c r="V59" s="7"/>
      <c r="W59" s="7"/>
      <c r="X59" s="3" t="s">
        <v>54</v>
      </c>
      <c r="Y59" s="3"/>
      <c r="Z59" s="9">
        <v>0.22475999999999999</v>
      </c>
      <c r="AA59" s="5">
        <f t="shared" si="2"/>
        <v>-7.1999646627501912E-3</v>
      </c>
      <c r="AB59" s="9">
        <f t="shared" si="4"/>
        <v>0.25702285714285716</v>
      </c>
      <c r="AC59" s="9">
        <f t="shared" si="7"/>
        <v>0.24928321428571429</v>
      </c>
      <c r="AD59" s="8">
        <f t="shared" si="8"/>
        <v>1.0310475893024715</v>
      </c>
      <c r="AE59" s="3" t="s">
        <v>44</v>
      </c>
      <c r="AF59" s="10">
        <f t="shared" si="9"/>
        <v>15357</v>
      </c>
      <c r="AG59" s="11">
        <f t="shared" si="10"/>
        <v>1.1368105749820929</v>
      </c>
      <c r="AH59" s="11">
        <f t="shared" si="11"/>
        <v>0.90162508793068119</v>
      </c>
      <c r="AI59" s="3" t="s">
        <v>45</v>
      </c>
      <c r="AJ59" s="3" t="s">
        <v>40</v>
      </c>
      <c r="AK59" s="3" t="s">
        <v>46</v>
      </c>
      <c r="AL59" s="3" t="s">
        <v>47</v>
      </c>
      <c r="AM59" s="3" t="s">
        <v>39</v>
      </c>
    </row>
    <row r="60" spans="1:39" ht="21" customHeight="1">
      <c r="A60" s="4">
        <v>46020</v>
      </c>
      <c r="B60" s="3" t="s">
        <v>39</v>
      </c>
      <c r="C60" s="3" t="s">
        <v>40</v>
      </c>
      <c r="D60" s="4">
        <v>46057</v>
      </c>
      <c r="E60" s="3">
        <v>-37</v>
      </c>
      <c r="F60" s="3" t="s">
        <v>41</v>
      </c>
      <c r="G60" s="3" t="s">
        <v>49</v>
      </c>
      <c r="H60" s="3">
        <v>0</v>
      </c>
      <c r="I60" s="7">
        <v>34604</v>
      </c>
      <c r="J60" s="7">
        <v>13083</v>
      </c>
      <c r="K60" s="7">
        <v>21522</v>
      </c>
      <c r="L60" s="5">
        <f t="shared" si="0"/>
        <v>0.3780776788810542</v>
      </c>
      <c r="M60" s="5">
        <f t="shared" si="1"/>
        <v>-1.7322655761912831E-2</v>
      </c>
      <c r="N60" s="7">
        <f t="shared" si="3"/>
        <v>35093.428571428572</v>
      </c>
      <c r="O60" s="7">
        <f t="shared" si="5"/>
        <v>33791.321428571428</v>
      </c>
      <c r="P60" s="8">
        <f t="shared" si="6"/>
        <v>1.0240499198336006</v>
      </c>
      <c r="Q60" s="7"/>
      <c r="R60" s="7"/>
      <c r="S60" s="7"/>
      <c r="T60" s="7"/>
      <c r="U60" s="7"/>
      <c r="V60" s="7"/>
      <c r="W60" s="7"/>
      <c r="X60" s="3" t="s">
        <v>54</v>
      </c>
      <c r="Y60" s="3"/>
      <c r="Z60" s="9">
        <v>0.28250999999999998</v>
      </c>
      <c r="AA60" s="5">
        <f t="shared" si="2"/>
        <v>0.2569407367859049</v>
      </c>
      <c r="AB60" s="9">
        <f t="shared" si="4"/>
        <v>0.24651142857142858</v>
      </c>
      <c r="AC60" s="9">
        <f t="shared" si="7"/>
        <v>0.25515714285714286</v>
      </c>
      <c r="AD60" s="8">
        <f t="shared" si="8"/>
        <v>0.96611611891831362</v>
      </c>
      <c r="AE60" s="3" t="s">
        <v>44</v>
      </c>
      <c r="AF60" s="10">
        <f t="shared" si="9"/>
        <v>10591.25</v>
      </c>
      <c r="AG60" s="11">
        <f t="shared" si="10"/>
        <v>1.2352649592824265</v>
      </c>
      <c r="AH60" s="11">
        <f t="shared" si="11"/>
        <v>1.1072000447903252</v>
      </c>
      <c r="AI60" s="3" t="s">
        <v>45</v>
      </c>
      <c r="AJ60" s="3" t="s">
        <v>40</v>
      </c>
      <c r="AK60" s="3" t="s">
        <v>46</v>
      </c>
      <c r="AL60" s="3" t="s">
        <v>47</v>
      </c>
      <c r="AM60" s="3" t="s">
        <v>39</v>
      </c>
    </row>
    <row r="61" spans="1:39" ht="21" customHeight="1">
      <c r="A61" s="4">
        <v>46021</v>
      </c>
      <c r="B61" s="3" t="s">
        <v>39</v>
      </c>
      <c r="C61" s="3" t="s">
        <v>40</v>
      </c>
      <c r="D61" s="4">
        <v>46057</v>
      </c>
      <c r="E61" s="3">
        <v>-36</v>
      </c>
      <c r="F61" s="3" t="s">
        <v>41</v>
      </c>
      <c r="G61" s="3" t="s">
        <v>50</v>
      </c>
      <c r="H61" s="3">
        <v>0</v>
      </c>
      <c r="I61" s="7">
        <v>34160</v>
      </c>
      <c r="J61" s="7">
        <v>12534</v>
      </c>
      <c r="K61" s="7">
        <v>21626</v>
      </c>
      <c r="L61" s="5">
        <f t="shared" si="0"/>
        <v>0.36692037470725997</v>
      </c>
      <c r="M61" s="5">
        <f t="shared" si="1"/>
        <v>-1.2830886602704927E-2</v>
      </c>
      <c r="N61" s="7">
        <f t="shared" si="3"/>
        <v>35138</v>
      </c>
      <c r="O61" s="7">
        <f t="shared" si="5"/>
        <v>33847.035714285717</v>
      </c>
      <c r="P61" s="8">
        <f t="shared" si="6"/>
        <v>1.0092464311603568</v>
      </c>
      <c r="Q61" s="7"/>
      <c r="R61" s="7"/>
      <c r="S61" s="7"/>
      <c r="T61" s="7"/>
      <c r="U61" s="7"/>
      <c r="V61" s="7"/>
      <c r="W61" s="7"/>
      <c r="X61" s="3" t="s">
        <v>54</v>
      </c>
      <c r="Y61" s="3"/>
      <c r="Z61" s="9">
        <v>0.20363000000000001</v>
      </c>
      <c r="AA61" s="5">
        <f t="shared" si="2"/>
        <v>-0.27921135535025299</v>
      </c>
      <c r="AB61" s="9">
        <f t="shared" si="4"/>
        <v>0.23444571428571429</v>
      </c>
      <c r="AC61" s="9">
        <f t="shared" si="7"/>
        <v>0.26280857142857145</v>
      </c>
      <c r="AD61" s="8">
        <f t="shared" si="8"/>
        <v>0.89207788395681809</v>
      </c>
      <c r="AE61" s="3" t="s">
        <v>44</v>
      </c>
      <c r="AF61" s="10">
        <f t="shared" si="9"/>
        <v>11094</v>
      </c>
      <c r="AG61" s="11">
        <f t="shared" si="10"/>
        <v>1.1297998918334236</v>
      </c>
      <c r="AH61" s="11">
        <f t="shared" si="11"/>
        <v>0.77482252155289566</v>
      </c>
      <c r="AI61" s="3" t="s">
        <v>45</v>
      </c>
      <c r="AJ61" s="3" t="s">
        <v>40</v>
      </c>
      <c r="AK61" s="3" t="s">
        <v>46</v>
      </c>
      <c r="AL61" s="3" t="s">
        <v>47</v>
      </c>
      <c r="AM61" s="3" t="s">
        <v>39</v>
      </c>
    </row>
    <row r="62" spans="1:39" ht="21" customHeight="1">
      <c r="A62" s="4">
        <v>46022</v>
      </c>
      <c r="B62" s="3" t="s">
        <v>39</v>
      </c>
      <c r="C62" s="3" t="s">
        <v>40</v>
      </c>
      <c r="D62" s="4">
        <v>46057</v>
      </c>
      <c r="E62" s="3">
        <v>-35</v>
      </c>
      <c r="F62" s="3" t="s">
        <v>41</v>
      </c>
      <c r="G62" s="3" t="s">
        <v>51</v>
      </c>
      <c r="H62" s="3">
        <v>0</v>
      </c>
      <c r="I62" s="7">
        <v>36536</v>
      </c>
      <c r="J62" s="7">
        <v>14973</v>
      </c>
      <c r="K62" s="7">
        <v>21564</v>
      </c>
      <c r="L62" s="5">
        <f t="shared" si="0"/>
        <v>0.40981497700897745</v>
      </c>
      <c r="M62" s="5">
        <f t="shared" si="1"/>
        <v>6.9555035128805676E-2</v>
      </c>
      <c r="N62" s="7">
        <f t="shared" si="3"/>
        <v>35280.857142857145</v>
      </c>
      <c r="O62" s="7">
        <f t="shared" si="5"/>
        <v>33897.892857142855</v>
      </c>
      <c r="P62" s="8">
        <f t="shared" si="6"/>
        <v>1.0778251071231777</v>
      </c>
      <c r="Q62" s="7"/>
      <c r="R62" s="7"/>
      <c r="S62" s="7"/>
      <c r="T62" s="7"/>
      <c r="U62" s="7"/>
      <c r="V62" s="7"/>
      <c r="W62" s="7"/>
      <c r="X62" s="3" t="s">
        <v>54</v>
      </c>
      <c r="Y62" s="3"/>
      <c r="Z62" s="9">
        <v>0.24376999999999999</v>
      </c>
      <c r="AA62" s="5">
        <f t="shared" si="2"/>
        <v>0.19712223149830566</v>
      </c>
      <c r="AB62" s="9">
        <f t="shared" si="4"/>
        <v>0.23166857142857142</v>
      </c>
      <c r="AC62" s="9">
        <f t="shared" si="7"/>
        <v>0.26797607142857144</v>
      </c>
      <c r="AD62" s="8">
        <f t="shared" si="8"/>
        <v>0.86451215660246838</v>
      </c>
      <c r="AE62" s="3" t="s">
        <v>44</v>
      </c>
      <c r="AF62" s="10">
        <f t="shared" si="9"/>
        <v>11508.75</v>
      </c>
      <c r="AG62" s="11">
        <f t="shared" si="10"/>
        <v>1.3010101010101009</v>
      </c>
      <c r="AH62" s="11">
        <f t="shared" si="11"/>
        <v>0.90967077284352404</v>
      </c>
      <c r="AI62" s="3" t="s">
        <v>45</v>
      </c>
      <c r="AJ62" s="3" t="s">
        <v>40</v>
      </c>
      <c r="AK62" s="3" t="s">
        <v>46</v>
      </c>
      <c r="AL62" s="3" t="s">
        <v>47</v>
      </c>
      <c r="AM62" s="3" t="s">
        <v>39</v>
      </c>
    </row>
    <row r="63" spans="1:39" ht="21" customHeight="1">
      <c r="A63" s="4">
        <v>46023</v>
      </c>
      <c r="B63" s="3" t="s">
        <v>39</v>
      </c>
      <c r="C63" s="3" t="s">
        <v>40</v>
      </c>
      <c r="D63" s="4">
        <v>46057</v>
      </c>
      <c r="E63" s="3">
        <v>-34</v>
      </c>
      <c r="F63" s="3" t="s">
        <v>41</v>
      </c>
      <c r="G63" s="3" t="s">
        <v>52</v>
      </c>
      <c r="H63" s="3">
        <v>0</v>
      </c>
      <c r="I63" s="7">
        <v>35276</v>
      </c>
      <c r="J63" s="7">
        <v>18382</v>
      </c>
      <c r="K63" s="7">
        <v>16894</v>
      </c>
      <c r="L63" s="5">
        <f t="shared" si="0"/>
        <v>0.52109082662433381</v>
      </c>
      <c r="M63" s="5">
        <f t="shared" si="1"/>
        <v>-3.4486533829647503E-2</v>
      </c>
      <c r="N63" s="7">
        <f t="shared" si="3"/>
        <v>35541.285714285717</v>
      </c>
      <c r="O63" s="7">
        <f t="shared" si="5"/>
        <v>34033.25</v>
      </c>
      <c r="P63" s="8">
        <f t="shared" si="6"/>
        <v>1.0365157603226256</v>
      </c>
      <c r="Q63" s="7"/>
      <c r="R63" s="7"/>
      <c r="S63" s="7"/>
      <c r="T63" s="7"/>
      <c r="U63" s="7"/>
      <c r="V63" s="7"/>
      <c r="W63" s="7"/>
      <c r="X63" s="3" t="s">
        <v>55</v>
      </c>
      <c r="Y63" s="3"/>
      <c r="Z63" s="9">
        <v>0.26201000000000002</v>
      </c>
      <c r="AA63" s="5">
        <f t="shared" si="2"/>
        <v>7.4824629773967422E-2</v>
      </c>
      <c r="AB63" s="9">
        <f t="shared" si="4"/>
        <v>0.23743428571428571</v>
      </c>
      <c r="AC63" s="9">
        <f t="shared" si="7"/>
        <v>0.2745239285714286</v>
      </c>
      <c r="AD63" s="8">
        <f t="shared" si="8"/>
        <v>0.86489468131193337</v>
      </c>
      <c r="AE63" s="3" t="s">
        <v>44</v>
      </c>
      <c r="AF63" s="10">
        <f t="shared" si="9"/>
        <v>11758.25</v>
      </c>
      <c r="AG63" s="11">
        <f t="shared" si="10"/>
        <v>1.5633278761720495</v>
      </c>
      <c r="AH63" s="11">
        <f t="shared" si="11"/>
        <v>0.95441589140681204</v>
      </c>
      <c r="AI63" s="3" t="s">
        <v>45</v>
      </c>
      <c r="AJ63" s="3" t="s">
        <v>40</v>
      </c>
      <c r="AK63" s="3" t="s">
        <v>46</v>
      </c>
      <c r="AL63" s="3" t="s">
        <v>47</v>
      </c>
      <c r="AM63" s="3" t="s">
        <v>39</v>
      </c>
    </row>
    <row r="64" spans="1:39" ht="21" customHeight="1">
      <c r="A64" s="4">
        <v>46024</v>
      </c>
      <c r="B64" s="3" t="s">
        <v>39</v>
      </c>
      <c r="C64" s="3" t="s">
        <v>40</v>
      </c>
      <c r="D64" s="4">
        <v>46057</v>
      </c>
      <c r="E64" s="3">
        <v>-33</v>
      </c>
      <c r="F64" s="3" t="s">
        <v>41</v>
      </c>
      <c r="G64" s="3" t="s">
        <v>53</v>
      </c>
      <c r="H64" s="3">
        <v>0</v>
      </c>
      <c r="I64" s="7">
        <v>34342</v>
      </c>
      <c r="J64" s="7">
        <v>14728</v>
      </c>
      <c r="K64" s="7">
        <v>19614</v>
      </c>
      <c r="L64" s="5">
        <f t="shared" si="0"/>
        <v>0.42886261720342439</v>
      </c>
      <c r="M64" s="5">
        <f t="shared" si="1"/>
        <v>-2.6476924821408288E-2</v>
      </c>
      <c r="N64" s="7">
        <f t="shared" si="3"/>
        <v>35246.285714285717</v>
      </c>
      <c r="O64" s="7">
        <f t="shared" si="5"/>
        <v>34134.964285714283</v>
      </c>
      <c r="P64" s="8">
        <f t="shared" si="6"/>
        <v>1.0060652096352818</v>
      </c>
      <c r="Q64" s="7"/>
      <c r="R64" s="7"/>
      <c r="S64" s="7"/>
      <c r="T64" s="7"/>
      <c r="U64" s="7"/>
      <c r="V64" s="7"/>
      <c r="W64" s="7"/>
      <c r="X64" s="3" t="s">
        <v>55</v>
      </c>
      <c r="Y64" s="3"/>
      <c r="Z64" s="9">
        <v>0.51773000000000002</v>
      </c>
      <c r="AA64" s="5">
        <f t="shared" si="2"/>
        <v>0.97599328269913355</v>
      </c>
      <c r="AB64" s="9">
        <f t="shared" si="4"/>
        <v>0.2801142857142857</v>
      </c>
      <c r="AC64" s="9">
        <f t="shared" si="7"/>
        <v>0.28156178571428575</v>
      </c>
      <c r="AD64" s="8">
        <f t="shared" si="8"/>
        <v>0.99485903246305984</v>
      </c>
      <c r="AE64" s="3" t="s">
        <v>44</v>
      </c>
      <c r="AF64" s="10">
        <f t="shared" si="9"/>
        <v>13430.25</v>
      </c>
      <c r="AG64" s="11">
        <f t="shared" si="10"/>
        <v>1.0966288788369538</v>
      </c>
      <c r="AH64" s="11">
        <f t="shared" si="11"/>
        <v>1.8387793595163708</v>
      </c>
      <c r="AI64" s="3" t="s">
        <v>45</v>
      </c>
      <c r="AJ64" s="3" t="s">
        <v>40</v>
      </c>
      <c r="AK64" s="3" t="s">
        <v>46</v>
      </c>
      <c r="AL64" s="3" t="s">
        <v>47</v>
      </c>
      <c r="AM64" s="3" t="s">
        <v>39</v>
      </c>
    </row>
    <row r="65" spans="1:39" ht="21" customHeight="1">
      <c r="A65" s="4">
        <v>46025</v>
      </c>
      <c r="B65" s="3" t="s">
        <v>39</v>
      </c>
      <c r="C65" s="3" t="s">
        <v>40</v>
      </c>
      <c r="D65" s="4">
        <v>46057</v>
      </c>
      <c r="E65" s="3">
        <v>-32</v>
      </c>
      <c r="F65" s="3" t="s">
        <v>41</v>
      </c>
      <c r="G65" s="3" t="s">
        <v>42</v>
      </c>
      <c r="H65" s="3">
        <v>1</v>
      </c>
      <c r="I65" s="7">
        <v>35354</v>
      </c>
      <c r="J65" s="7">
        <v>17976</v>
      </c>
      <c r="K65" s="7">
        <v>17378</v>
      </c>
      <c r="L65" s="5">
        <f t="shared" si="0"/>
        <v>0.50845731741811395</v>
      </c>
      <c r="M65" s="5">
        <f t="shared" si="1"/>
        <v>2.9468289557975647E-2</v>
      </c>
      <c r="N65" s="7">
        <f t="shared" si="3"/>
        <v>35069.428571428572</v>
      </c>
      <c r="O65" s="7">
        <f t="shared" si="5"/>
        <v>34177.607142857145</v>
      </c>
      <c r="P65" s="8">
        <f t="shared" si="6"/>
        <v>1.0344199888607097</v>
      </c>
      <c r="Q65" s="7"/>
      <c r="R65" s="7"/>
      <c r="S65" s="7"/>
      <c r="T65" s="7"/>
      <c r="U65" s="7"/>
      <c r="V65" s="7"/>
      <c r="W65" s="7"/>
      <c r="X65" s="3" t="s">
        <v>55</v>
      </c>
      <c r="Y65" s="3"/>
      <c r="Z65" s="9">
        <v>0.50848000000000004</v>
      </c>
      <c r="AA65" s="5">
        <f t="shared" si="2"/>
        <v>-1.7866455488381949E-2</v>
      </c>
      <c r="AB65" s="9">
        <f t="shared" si="4"/>
        <v>0.32041285714285717</v>
      </c>
      <c r="AC65" s="9">
        <f t="shared" si="7"/>
        <v>0.29796964285714289</v>
      </c>
      <c r="AD65" s="8">
        <f t="shared" si="8"/>
        <v>1.0753204724834144</v>
      </c>
      <c r="AE65" s="3" t="s">
        <v>44</v>
      </c>
      <c r="AF65" s="10">
        <f t="shared" si="9"/>
        <v>16996</v>
      </c>
      <c r="AG65" s="11">
        <f t="shared" si="10"/>
        <v>1.0576606260296539</v>
      </c>
      <c r="AH65" s="11">
        <f t="shared" si="11"/>
        <v>1.7064825635401497</v>
      </c>
      <c r="AI65" s="3" t="s">
        <v>45</v>
      </c>
      <c r="AJ65" s="3" t="s">
        <v>40</v>
      </c>
      <c r="AK65" s="3" t="s">
        <v>46</v>
      </c>
      <c r="AL65" s="3" t="s">
        <v>47</v>
      </c>
      <c r="AM65" s="3" t="s">
        <v>39</v>
      </c>
    </row>
    <row r="66" spans="1:39" ht="21" customHeight="1">
      <c r="A66" s="4">
        <v>46026</v>
      </c>
      <c r="B66" s="3" t="s">
        <v>39</v>
      </c>
      <c r="C66" s="3" t="s">
        <v>40</v>
      </c>
      <c r="D66" s="4">
        <v>46057</v>
      </c>
      <c r="E66" s="3">
        <v>-31</v>
      </c>
      <c r="F66" s="3" t="s">
        <v>41</v>
      </c>
      <c r="G66" s="3" t="s">
        <v>48</v>
      </c>
      <c r="H66" s="3">
        <v>1</v>
      </c>
      <c r="I66" s="7">
        <v>34052</v>
      </c>
      <c r="J66" s="7">
        <v>16296</v>
      </c>
      <c r="K66" s="7">
        <v>17756</v>
      </c>
      <c r="L66" s="5">
        <f t="shared" ref="L66:L129" si="12">IFERROR(J66/I66,"")</f>
        <v>0.47856219898978036</v>
      </c>
      <c r="M66" s="5">
        <f t="shared" si="1"/>
        <v>-3.6827515981218584E-2</v>
      </c>
      <c r="N66" s="7">
        <f t="shared" si="3"/>
        <v>34903.428571428572</v>
      </c>
      <c r="O66" s="7">
        <f t="shared" si="5"/>
        <v>34201.5</v>
      </c>
      <c r="P66" s="8">
        <f t="shared" si="6"/>
        <v>0.99562884668801077</v>
      </c>
      <c r="Q66" s="7"/>
      <c r="R66" s="7"/>
      <c r="S66" s="7"/>
      <c r="T66" s="7"/>
      <c r="U66" s="7"/>
      <c r="V66" s="7"/>
      <c r="W66" s="7"/>
      <c r="X66" s="3" t="s">
        <v>55</v>
      </c>
      <c r="Y66" s="3"/>
      <c r="Z66" s="9">
        <v>0.49653000000000003</v>
      </c>
      <c r="AA66" s="5">
        <f t="shared" si="2"/>
        <v>-2.350141598489619E-2</v>
      </c>
      <c r="AB66" s="9">
        <f t="shared" si="4"/>
        <v>0.35923714285714287</v>
      </c>
      <c r="AC66" s="9">
        <f t="shared" si="7"/>
        <v>0.31421642857142862</v>
      </c>
      <c r="AD66" s="8">
        <f t="shared" si="8"/>
        <v>1.1432793138487347</v>
      </c>
      <c r="AE66" s="3" t="s">
        <v>44</v>
      </c>
      <c r="AF66" s="10">
        <f t="shared" si="9"/>
        <v>15316</v>
      </c>
      <c r="AG66" s="11">
        <f t="shared" si="10"/>
        <v>1.0639853747714807</v>
      </c>
      <c r="AH66" s="11">
        <f t="shared" si="11"/>
        <v>1.5802165477389332</v>
      </c>
      <c r="AI66" s="3" t="s">
        <v>45</v>
      </c>
      <c r="AJ66" s="3" t="s">
        <v>40</v>
      </c>
      <c r="AK66" s="3" t="s">
        <v>46</v>
      </c>
      <c r="AL66" s="3" t="s">
        <v>47</v>
      </c>
      <c r="AM66" s="3" t="s">
        <v>39</v>
      </c>
    </row>
    <row r="67" spans="1:39" ht="21" customHeight="1">
      <c r="A67" s="4">
        <v>46027</v>
      </c>
      <c r="B67" s="3" t="s">
        <v>39</v>
      </c>
      <c r="C67" s="3" t="s">
        <v>40</v>
      </c>
      <c r="D67" s="4">
        <v>46057</v>
      </c>
      <c r="E67" s="3">
        <v>-30</v>
      </c>
      <c r="F67" s="3" t="s">
        <v>41</v>
      </c>
      <c r="G67" s="3" t="s">
        <v>49</v>
      </c>
      <c r="H67" s="3">
        <v>0</v>
      </c>
      <c r="I67" s="7">
        <v>31003</v>
      </c>
      <c r="J67" s="7">
        <v>9908</v>
      </c>
      <c r="K67" s="7">
        <v>21094</v>
      </c>
      <c r="L67" s="5">
        <f t="shared" si="12"/>
        <v>0.31958197593781246</v>
      </c>
      <c r="M67" s="5">
        <f t="shared" ref="M67:M130" si="13">IF(AND(C67=C66,A67=A66+1),IFERROR(I67/I66-1,""),"")</f>
        <v>-8.9539527781040795E-2</v>
      </c>
      <c r="N67" s="7">
        <f t="shared" si="3"/>
        <v>34389</v>
      </c>
      <c r="O67" s="7">
        <f t="shared" si="5"/>
        <v>34262.892857142855</v>
      </c>
      <c r="P67" s="8">
        <f t="shared" si="6"/>
        <v>0.90485646174901846</v>
      </c>
      <c r="Q67" s="7"/>
      <c r="R67" s="7"/>
      <c r="S67" s="7"/>
      <c r="T67" s="7"/>
      <c r="U67" s="7"/>
      <c r="V67" s="7"/>
      <c r="W67" s="7"/>
      <c r="X67" s="3" t="s">
        <v>55</v>
      </c>
      <c r="Y67" s="3"/>
      <c r="Z67" s="9">
        <v>0.38811000000000001</v>
      </c>
      <c r="AA67" s="5">
        <f t="shared" ref="AA67:AA130" si="14">IFERROR(Z67/Z66-1,"")</f>
        <v>-0.21835538638148755</v>
      </c>
      <c r="AB67" s="9">
        <f t="shared" si="4"/>
        <v>0.37432285714285723</v>
      </c>
      <c r="AC67" s="9">
        <f t="shared" si="7"/>
        <v>0.33012464285714288</v>
      </c>
      <c r="AD67" s="8">
        <f t="shared" si="8"/>
        <v>1.1338834141649963</v>
      </c>
      <c r="AE67" s="3" t="s">
        <v>44</v>
      </c>
      <c r="AF67" s="10">
        <f t="shared" si="9"/>
        <v>11270.25</v>
      </c>
      <c r="AG67" s="11">
        <f t="shared" si="10"/>
        <v>0.87912867948803264</v>
      </c>
      <c r="AH67" s="11">
        <f t="shared" si="11"/>
        <v>1.1756468606554451</v>
      </c>
      <c r="AI67" s="3" t="s">
        <v>45</v>
      </c>
      <c r="AJ67" s="3" t="s">
        <v>40</v>
      </c>
      <c r="AK67" s="3" t="s">
        <v>46</v>
      </c>
      <c r="AL67" s="3" t="s">
        <v>47</v>
      </c>
      <c r="AM67" s="3" t="s">
        <v>39</v>
      </c>
    </row>
    <row r="68" spans="1:39" ht="21" customHeight="1">
      <c r="A68" s="4">
        <v>46028</v>
      </c>
      <c r="B68" s="3" t="s">
        <v>39</v>
      </c>
      <c r="C68" s="3" t="s">
        <v>40</v>
      </c>
      <c r="D68" s="4">
        <v>46057</v>
      </c>
      <c r="E68" s="3">
        <v>-29</v>
      </c>
      <c r="F68" s="3" t="s">
        <v>41</v>
      </c>
      <c r="G68" s="3" t="s">
        <v>50</v>
      </c>
      <c r="H68" s="3">
        <v>0</v>
      </c>
      <c r="I68" s="7">
        <v>31364</v>
      </c>
      <c r="J68" s="7">
        <v>10178</v>
      </c>
      <c r="K68" s="7">
        <v>21186</v>
      </c>
      <c r="L68" s="5">
        <f t="shared" si="12"/>
        <v>0.32451217956893252</v>
      </c>
      <c r="M68" s="5">
        <f t="shared" si="13"/>
        <v>1.1644034448279106E-2</v>
      </c>
      <c r="N68" s="7">
        <f t="shared" si="3"/>
        <v>33989.571428571428</v>
      </c>
      <c r="O68" s="7">
        <f t="shared" si="5"/>
        <v>34221.392857142855</v>
      </c>
      <c r="P68" s="8">
        <f t="shared" si="6"/>
        <v>0.91650273064363463</v>
      </c>
      <c r="Q68" s="7"/>
      <c r="R68" s="7"/>
      <c r="S68" s="7"/>
      <c r="T68" s="7"/>
      <c r="U68" s="7"/>
      <c r="V68" s="7"/>
      <c r="W68" s="7"/>
      <c r="X68" s="3" t="s">
        <v>55</v>
      </c>
      <c r="Y68" s="3"/>
      <c r="Z68" s="9">
        <v>0.39474999999999999</v>
      </c>
      <c r="AA68" s="5">
        <f t="shared" si="14"/>
        <v>1.7108551699260399E-2</v>
      </c>
      <c r="AB68" s="9">
        <f t="shared" si="4"/>
        <v>0.40162571428571431</v>
      </c>
      <c r="AC68" s="9">
        <f t="shared" si="7"/>
        <v>0.34186785714285717</v>
      </c>
      <c r="AD68" s="8">
        <f t="shared" si="8"/>
        <v>1.1747981153954641</v>
      </c>
      <c r="AE68" s="3" t="s">
        <v>44</v>
      </c>
      <c r="AF68" s="10">
        <f t="shared" si="9"/>
        <v>11638.5</v>
      </c>
      <c r="AG68" s="11">
        <f t="shared" si="10"/>
        <v>0.87451132018730937</v>
      </c>
      <c r="AH68" s="11">
        <f t="shared" si="11"/>
        <v>1.1546859166553491</v>
      </c>
      <c r="AI68" s="3" t="s">
        <v>45</v>
      </c>
      <c r="AJ68" s="3" t="s">
        <v>40</v>
      </c>
      <c r="AK68" s="3" t="s">
        <v>46</v>
      </c>
      <c r="AL68" s="3" t="s">
        <v>47</v>
      </c>
      <c r="AM68" s="3" t="s">
        <v>39</v>
      </c>
    </row>
    <row r="69" spans="1:39" ht="21" customHeight="1">
      <c r="A69" s="4">
        <v>46029</v>
      </c>
      <c r="B69" s="3" t="s">
        <v>39</v>
      </c>
      <c r="C69" s="3" t="s">
        <v>40</v>
      </c>
      <c r="D69" s="4">
        <v>46057</v>
      </c>
      <c r="E69" s="3">
        <v>-28</v>
      </c>
      <c r="F69" s="3" t="s">
        <v>41</v>
      </c>
      <c r="G69" s="3" t="s">
        <v>51</v>
      </c>
      <c r="H69" s="3">
        <v>0</v>
      </c>
      <c r="I69" s="7">
        <v>30751</v>
      </c>
      <c r="J69" s="7">
        <v>9919</v>
      </c>
      <c r="K69" s="7">
        <v>20832</v>
      </c>
      <c r="L69" s="5">
        <f t="shared" si="12"/>
        <v>0.32255861597996816</v>
      </c>
      <c r="M69" s="5">
        <f t="shared" si="13"/>
        <v>-1.9544700931003689E-2</v>
      </c>
      <c r="N69" s="7">
        <f t="shared" si="3"/>
        <v>33163.142857142855</v>
      </c>
      <c r="O69" s="7">
        <f t="shared" si="5"/>
        <v>34148.392857142855</v>
      </c>
      <c r="P69" s="8">
        <f t="shared" si="6"/>
        <v>0.9005109004293238</v>
      </c>
      <c r="Q69" s="7"/>
      <c r="R69" s="7"/>
      <c r="S69" s="7"/>
      <c r="T69" s="7"/>
      <c r="U69" s="7"/>
      <c r="V69" s="7"/>
      <c r="W69" s="7"/>
      <c r="X69" s="3" t="s">
        <v>55</v>
      </c>
      <c r="Y69" s="3"/>
      <c r="Z69" s="9">
        <v>0.34725</v>
      </c>
      <c r="AA69" s="5">
        <f t="shared" si="14"/>
        <v>-0.12032932235592142</v>
      </c>
      <c r="AB69" s="9">
        <f t="shared" si="4"/>
        <v>0.41640857142857152</v>
      </c>
      <c r="AC69" s="9">
        <f t="shared" si="7"/>
        <v>0.3538735714285714</v>
      </c>
      <c r="AD69" s="8">
        <f t="shared" si="8"/>
        <v>1.1767156551068485</v>
      </c>
      <c r="AE69" s="3" t="s">
        <v>44</v>
      </c>
      <c r="AF69" s="10">
        <f t="shared" si="9"/>
        <v>12607.75</v>
      </c>
      <c r="AG69" s="11">
        <f t="shared" si="10"/>
        <v>0.7867383157185065</v>
      </c>
      <c r="AH69" s="11">
        <f t="shared" si="11"/>
        <v>0.98128266148321741</v>
      </c>
      <c r="AI69" s="3" t="s">
        <v>45</v>
      </c>
      <c r="AJ69" s="3" t="s">
        <v>40</v>
      </c>
      <c r="AK69" s="3" t="s">
        <v>46</v>
      </c>
      <c r="AL69" s="3" t="s">
        <v>47</v>
      </c>
      <c r="AM69" s="3" t="s">
        <v>39</v>
      </c>
    </row>
    <row r="70" spans="1:39" ht="21" customHeight="1">
      <c r="A70" s="4">
        <v>46030</v>
      </c>
      <c r="B70" s="3" t="s">
        <v>39</v>
      </c>
      <c r="C70" s="3" t="s">
        <v>40</v>
      </c>
      <c r="D70" s="4">
        <v>46057</v>
      </c>
      <c r="E70" s="3">
        <v>-27</v>
      </c>
      <c r="F70" s="3" t="s">
        <v>41</v>
      </c>
      <c r="G70" s="3" t="s">
        <v>52</v>
      </c>
      <c r="H70" s="3">
        <v>0</v>
      </c>
      <c r="I70" s="7">
        <v>30552</v>
      </c>
      <c r="J70" s="7">
        <v>10073</v>
      </c>
      <c r="K70" s="7">
        <v>20478</v>
      </c>
      <c r="L70" s="5">
        <f t="shared" si="12"/>
        <v>0.32970018329405604</v>
      </c>
      <c r="M70" s="5">
        <f t="shared" si="13"/>
        <v>-6.4713342655523531E-3</v>
      </c>
      <c r="N70" s="7">
        <f t="shared" si="3"/>
        <v>32488.285714285714</v>
      </c>
      <c r="O70" s="7">
        <f t="shared" si="5"/>
        <v>34056</v>
      </c>
      <c r="P70" s="8">
        <f t="shared" si="6"/>
        <v>0.89711064129668783</v>
      </c>
      <c r="Q70" s="7"/>
      <c r="R70" s="7"/>
      <c r="S70" s="7"/>
      <c r="T70" s="7"/>
      <c r="U70" s="7"/>
      <c r="V70" s="7"/>
      <c r="W70" s="7"/>
      <c r="X70" s="3" t="s">
        <v>55</v>
      </c>
      <c r="Y70" s="3"/>
      <c r="Z70" s="9">
        <v>0.49724000000000002</v>
      </c>
      <c r="AA70" s="5">
        <f t="shared" si="14"/>
        <v>0.43193664506839458</v>
      </c>
      <c r="AB70" s="9">
        <f t="shared" si="4"/>
        <v>0.45001285714285716</v>
      </c>
      <c r="AC70" s="9">
        <f t="shared" si="7"/>
        <v>0.36429892857142859</v>
      </c>
      <c r="AD70" s="8">
        <f t="shared" si="8"/>
        <v>1.2352846024212847</v>
      </c>
      <c r="AE70" s="3" t="s">
        <v>44</v>
      </c>
      <c r="AF70" s="10">
        <f t="shared" si="9"/>
        <v>13812.75</v>
      </c>
      <c r="AG70" s="11">
        <f t="shared" si="10"/>
        <v>0.72925376916254914</v>
      </c>
      <c r="AH70" s="11">
        <f t="shared" si="11"/>
        <v>1.3649230371055168</v>
      </c>
      <c r="AI70" s="3" t="s">
        <v>45</v>
      </c>
      <c r="AJ70" s="3" t="s">
        <v>40</v>
      </c>
      <c r="AK70" s="3" t="s">
        <v>46</v>
      </c>
      <c r="AL70" s="3" t="s">
        <v>47</v>
      </c>
      <c r="AM70" s="3" t="s">
        <v>39</v>
      </c>
    </row>
    <row r="71" spans="1:39" ht="21" customHeight="1">
      <c r="A71" s="4">
        <v>46031</v>
      </c>
      <c r="B71" s="3" t="s">
        <v>39</v>
      </c>
      <c r="C71" s="3" t="s">
        <v>40</v>
      </c>
      <c r="D71" s="4">
        <v>46057</v>
      </c>
      <c r="E71" s="3">
        <v>-26</v>
      </c>
      <c r="F71" s="3" t="s">
        <v>41</v>
      </c>
      <c r="G71" s="3" t="s">
        <v>53</v>
      </c>
      <c r="H71" s="3">
        <v>0</v>
      </c>
      <c r="I71" s="7">
        <v>33215</v>
      </c>
      <c r="J71" s="7">
        <v>12439</v>
      </c>
      <c r="K71" s="7">
        <v>20776</v>
      </c>
      <c r="L71" s="5">
        <f t="shared" si="12"/>
        <v>0.37449947312961013</v>
      </c>
      <c r="M71" s="5">
        <f t="shared" si="13"/>
        <v>8.7162869861220127E-2</v>
      </c>
      <c r="N71" s="7">
        <f t="shared" si="3"/>
        <v>32327.285714285714</v>
      </c>
      <c r="O71" s="7">
        <f t="shared" si="5"/>
        <v>33988.785714285717</v>
      </c>
      <c r="P71" s="8">
        <f t="shared" si="6"/>
        <v>0.97723408771380471</v>
      </c>
      <c r="Q71" s="7"/>
      <c r="R71" s="7"/>
      <c r="S71" s="7"/>
      <c r="T71" s="7"/>
      <c r="U71" s="7"/>
      <c r="V71" s="7"/>
      <c r="W71" s="7"/>
      <c r="X71" s="3" t="s">
        <v>55</v>
      </c>
      <c r="Y71" s="3"/>
      <c r="Z71" s="9">
        <v>0.49201</v>
      </c>
      <c r="AA71" s="5">
        <f t="shared" si="14"/>
        <v>-1.0518059689485937E-2</v>
      </c>
      <c r="AB71" s="9">
        <f t="shared" si="4"/>
        <v>0.44633857142857142</v>
      </c>
      <c r="AC71" s="9">
        <f t="shared" si="7"/>
        <v>0.37902607142857148</v>
      </c>
      <c r="AD71" s="8">
        <f t="shared" si="8"/>
        <v>1.1775933242436205</v>
      </c>
      <c r="AE71" s="3" t="s">
        <v>44</v>
      </c>
      <c r="AF71" s="10">
        <f t="shared" si="9"/>
        <v>14345.5</v>
      </c>
      <c r="AG71" s="11">
        <f t="shared" si="10"/>
        <v>0.86710118155519156</v>
      </c>
      <c r="AH71" s="11">
        <f t="shared" si="11"/>
        <v>1.2980901238418387</v>
      </c>
      <c r="AI71" s="3" t="s">
        <v>45</v>
      </c>
      <c r="AJ71" s="3" t="s">
        <v>40</v>
      </c>
      <c r="AK71" s="3" t="s">
        <v>46</v>
      </c>
      <c r="AL71" s="3" t="s">
        <v>47</v>
      </c>
      <c r="AM71" s="3" t="s">
        <v>39</v>
      </c>
    </row>
    <row r="72" spans="1:39" ht="21" customHeight="1">
      <c r="A72" s="4">
        <v>46032</v>
      </c>
      <c r="B72" s="3" t="s">
        <v>39</v>
      </c>
      <c r="C72" s="3" t="s">
        <v>40</v>
      </c>
      <c r="D72" s="4">
        <v>46057</v>
      </c>
      <c r="E72" s="3">
        <v>-25</v>
      </c>
      <c r="F72" s="3" t="s">
        <v>41</v>
      </c>
      <c r="G72" s="3" t="s">
        <v>42</v>
      </c>
      <c r="H72" s="3">
        <v>1</v>
      </c>
      <c r="I72" s="7">
        <v>29932</v>
      </c>
      <c r="J72" s="7">
        <v>14196</v>
      </c>
      <c r="K72" s="7">
        <v>15736</v>
      </c>
      <c r="L72" s="5">
        <f t="shared" si="12"/>
        <v>0.47427502338634236</v>
      </c>
      <c r="M72" s="5">
        <f t="shared" si="13"/>
        <v>-9.8840885142254975E-2</v>
      </c>
      <c r="N72" s="7">
        <f t="shared" ref="N72:N135" si="15">AVERAGE(I66:I72)</f>
        <v>31552.714285714286</v>
      </c>
      <c r="O72" s="7">
        <f t="shared" si="5"/>
        <v>33922.678571428572</v>
      </c>
      <c r="P72" s="8">
        <f t="shared" si="6"/>
        <v>0.8823595677143925</v>
      </c>
      <c r="Q72" s="7"/>
      <c r="R72" s="7"/>
      <c r="S72" s="7"/>
      <c r="T72" s="7"/>
      <c r="U72" s="7"/>
      <c r="V72" s="7"/>
      <c r="W72" s="7"/>
      <c r="X72" s="3" t="s">
        <v>55</v>
      </c>
      <c r="Y72" s="3"/>
      <c r="Z72" s="9">
        <v>0.45369999999999999</v>
      </c>
      <c r="AA72" s="5">
        <f t="shared" si="14"/>
        <v>-7.7864271051401368E-2</v>
      </c>
      <c r="AB72" s="9">
        <f t="shared" ref="AB72:AB135" si="16">AVERAGE(Z66:Z72)</f>
        <v>0.4385128571428572</v>
      </c>
      <c r="AC72" s="9">
        <f t="shared" si="7"/>
        <v>0.37799892857142864</v>
      </c>
      <c r="AD72" s="8">
        <f t="shared" si="8"/>
        <v>1.1600902118959142</v>
      </c>
      <c r="AE72" s="3" t="s">
        <v>44</v>
      </c>
      <c r="AF72" s="10">
        <f t="shared" si="9"/>
        <v>17542</v>
      </c>
      <c r="AG72" s="11">
        <f t="shared" si="10"/>
        <v>0.8092577813248204</v>
      </c>
      <c r="AH72" s="11">
        <f t="shared" si="11"/>
        <v>1.2002679523845965</v>
      </c>
      <c r="AI72" s="3" t="s">
        <v>45</v>
      </c>
      <c r="AJ72" s="3" t="s">
        <v>40</v>
      </c>
      <c r="AK72" s="3" t="s">
        <v>46</v>
      </c>
      <c r="AL72" s="3" t="s">
        <v>47</v>
      </c>
      <c r="AM72" s="3" t="s">
        <v>39</v>
      </c>
    </row>
    <row r="73" spans="1:39" ht="21" customHeight="1">
      <c r="A73" s="4">
        <v>46033</v>
      </c>
      <c r="B73" s="3" t="s">
        <v>39</v>
      </c>
      <c r="C73" s="3" t="s">
        <v>40</v>
      </c>
      <c r="D73" s="4">
        <v>46057</v>
      </c>
      <c r="E73" s="3">
        <v>-24</v>
      </c>
      <c r="F73" s="3" t="s">
        <v>41</v>
      </c>
      <c r="G73" s="3" t="s">
        <v>48</v>
      </c>
      <c r="H73" s="3">
        <v>1</v>
      </c>
      <c r="I73" s="7">
        <v>29544</v>
      </c>
      <c r="J73" s="7">
        <v>13478</v>
      </c>
      <c r="K73" s="7">
        <v>16065</v>
      </c>
      <c r="L73" s="5">
        <f t="shared" si="12"/>
        <v>0.45620092066070944</v>
      </c>
      <c r="M73" s="5">
        <f t="shared" si="13"/>
        <v>-1.2962715488440413E-2</v>
      </c>
      <c r="N73" s="7">
        <f t="shared" si="15"/>
        <v>30908.714285714286</v>
      </c>
      <c r="O73" s="7">
        <f t="shared" si="5"/>
        <v>33749.428571428572</v>
      </c>
      <c r="P73" s="8">
        <f t="shared" si="6"/>
        <v>0.87539259923977542</v>
      </c>
      <c r="Q73" s="7"/>
      <c r="R73" s="7"/>
      <c r="S73" s="7"/>
      <c r="T73" s="7"/>
      <c r="U73" s="7"/>
      <c r="V73" s="7"/>
      <c r="W73" s="7"/>
      <c r="X73" s="3" t="s">
        <v>55</v>
      </c>
      <c r="Y73" s="3"/>
      <c r="Z73" s="9">
        <v>0.56347000000000003</v>
      </c>
      <c r="AA73" s="5">
        <f t="shared" si="14"/>
        <v>0.24194401586951741</v>
      </c>
      <c r="AB73" s="9">
        <f t="shared" si="16"/>
        <v>0.4480757142857143</v>
      </c>
      <c r="AC73" s="9">
        <f t="shared" si="7"/>
        <v>0.37439928571428577</v>
      </c>
      <c r="AD73" s="8">
        <f t="shared" si="8"/>
        <v>1.1967857081534419</v>
      </c>
      <c r="AE73" s="3" t="s">
        <v>44</v>
      </c>
      <c r="AF73" s="10">
        <f t="shared" si="9"/>
        <v>15878.5</v>
      </c>
      <c r="AG73" s="11">
        <f t="shared" si="10"/>
        <v>0.848820732436943</v>
      </c>
      <c r="AH73" s="11">
        <f t="shared" si="11"/>
        <v>1.5049975293756281</v>
      </c>
      <c r="AI73" s="3" t="s">
        <v>45</v>
      </c>
      <c r="AJ73" s="3" t="s">
        <v>40</v>
      </c>
      <c r="AK73" s="3" t="s">
        <v>46</v>
      </c>
      <c r="AL73" s="3" t="s">
        <v>47</v>
      </c>
      <c r="AM73" s="3" t="s">
        <v>39</v>
      </c>
    </row>
    <row r="74" spans="1:39" ht="21" customHeight="1">
      <c r="A74" s="4">
        <v>46034</v>
      </c>
      <c r="B74" s="3" t="s">
        <v>39</v>
      </c>
      <c r="C74" s="3" t="s">
        <v>40</v>
      </c>
      <c r="D74" s="4">
        <v>46057</v>
      </c>
      <c r="E74" s="3">
        <v>-23</v>
      </c>
      <c r="F74" s="3" t="s">
        <v>41</v>
      </c>
      <c r="G74" s="3" t="s">
        <v>49</v>
      </c>
      <c r="H74" s="3">
        <v>0</v>
      </c>
      <c r="I74" s="7">
        <v>28973</v>
      </c>
      <c r="J74" s="7">
        <v>9300</v>
      </c>
      <c r="K74" s="7">
        <v>19674</v>
      </c>
      <c r="L74" s="5">
        <f t="shared" si="12"/>
        <v>0.32098850654057226</v>
      </c>
      <c r="M74" s="5">
        <f t="shared" si="13"/>
        <v>-1.9327105334416506E-2</v>
      </c>
      <c r="N74" s="7">
        <f t="shared" si="15"/>
        <v>30618.714285714286</v>
      </c>
      <c r="O74" s="7">
        <f t="shared" si="5"/>
        <v>33691.214285714283</v>
      </c>
      <c r="P74" s="8">
        <f t="shared" si="6"/>
        <v>0.85995713168121413</v>
      </c>
      <c r="Q74" s="7"/>
      <c r="R74" s="7"/>
      <c r="S74" s="7"/>
      <c r="T74" s="7"/>
      <c r="U74" s="7"/>
      <c r="V74" s="7"/>
      <c r="W74" s="7"/>
      <c r="X74" s="3" t="s">
        <v>55</v>
      </c>
      <c r="Y74" s="3"/>
      <c r="Z74" s="9">
        <v>0.66185000000000005</v>
      </c>
      <c r="AA74" s="5">
        <f t="shared" si="14"/>
        <v>0.17459669547624546</v>
      </c>
      <c r="AB74" s="9">
        <f t="shared" si="16"/>
        <v>0.48718142857142865</v>
      </c>
      <c r="AC74" s="9">
        <f t="shared" si="7"/>
        <v>0.3771053571428572</v>
      </c>
      <c r="AD74" s="8">
        <f t="shared" si="8"/>
        <v>1.2918973951008386</v>
      </c>
      <c r="AE74" s="3" t="s">
        <v>44</v>
      </c>
      <c r="AF74" s="10">
        <f t="shared" si="9"/>
        <v>11257.75</v>
      </c>
      <c r="AG74" s="11">
        <f t="shared" si="10"/>
        <v>0.82609757722457866</v>
      </c>
      <c r="AH74" s="11">
        <f t="shared" si="11"/>
        <v>1.7550798138072439</v>
      </c>
      <c r="AI74" s="3" t="s">
        <v>45</v>
      </c>
      <c r="AJ74" s="3" t="s">
        <v>40</v>
      </c>
      <c r="AK74" s="3" t="s">
        <v>46</v>
      </c>
      <c r="AL74" s="3" t="s">
        <v>47</v>
      </c>
      <c r="AM74" s="3" t="s">
        <v>39</v>
      </c>
    </row>
    <row r="75" spans="1:39" ht="21" customHeight="1">
      <c r="A75" s="4">
        <v>46035</v>
      </c>
      <c r="B75" s="3" t="s">
        <v>39</v>
      </c>
      <c r="C75" s="3" t="s">
        <v>40</v>
      </c>
      <c r="D75" s="4">
        <v>46057</v>
      </c>
      <c r="E75" s="3">
        <v>-22</v>
      </c>
      <c r="F75" s="3" t="s">
        <v>41</v>
      </c>
      <c r="G75" s="3" t="s">
        <v>50</v>
      </c>
      <c r="H75" s="3">
        <v>0</v>
      </c>
      <c r="I75" s="7">
        <v>29368</v>
      </c>
      <c r="J75" s="7">
        <v>9656</v>
      </c>
      <c r="K75" s="7">
        <v>19712</v>
      </c>
      <c r="L75" s="5">
        <f t="shared" si="12"/>
        <v>0.32879324434758922</v>
      </c>
      <c r="M75" s="5">
        <f t="shared" si="13"/>
        <v>1.3633382804680183E-2</v>
      </c>
      <c r="N75" s="7">
        <f t="shared" si="15"/>
        <v>30333.571428571428</v>
      </c>
      <c r="O75" s="7">
        <f t="shared" si="5"/>
        <v>33579.607142857145</v>
      </c>
      <c r="P75" s="8">
        <f t="shared" si="6"/>
        <v>0.87457842717040202</v>
      </c>
      <c r="Q75" s="7"/>
      <c r="R75" s="7"/>
      <c r="S75" s="7"/>
      <c r="T75" s="7"/>
      <c r="U75" s="7"/>
      <c r="V75" s="7"/>
      <c r="W75" s="7"/>
      <c r="X75" s="3" t="s">
        <v>55</v>
      </c>
      <c r="Y75" s="3"/>
      <c r="Z75" s="9">
        <v>0.52698999999999996</v>
      </c>
      <c r="AA75" s="5">
        <f t="shared" si="14"/>
        <v>-0.20376218176323957</v>
      </c>
      <c r="AB75" s="9">
        <f t="shared" si="16"/>
        <v>0.50607285714285721</v>
      </c>
      <c r="AC75" s="9">
        <f t="shared" si="7"/>
        <v>0.3846857142857143</v>
      </c>
      <c r="AD75" s="8">
        <f t="shared" si="8"/>
        <v>1.315548871063577</v>
      </c>
      <c r="AE75" s="3" t="s">
        <v>44</v>
      </c>
      <c r="AF75" s="10">
        <f t="shared" si="9"/>
        <v>11386.5</v>
      </c>
      <c r="AG75" s="11">
        <f t="shared" si="10"/>
        <v>0.84802178017828134</v>
      </c>
      <c r="AH75" s="11">
        <f t="shared" si="11"/>
        <v>1.3699234997029113</v>
      </c>
      <c r="AI75" s="3" t="s">
        <v>45</v>
      </c>
      <c r="AJ75" s="3" t="s">
        <v>40</v>
      </c>
      <c r="AK75" s="3" t="s">
        <v>46</v>
      </c>
      <c r="AL75" s="3" t="s">
        <v>47</v>
      </c>
      <c r="AM75" s="3" t="s">
        <v>39</v>
      </c>
    </row>
    <row r="76" spans="1:39" ht="21" customHeight="1">
      <c r="A76" s="4">
        <v>46036</v>
      </c>
      <c r="B76" s="3" t="s">
        <v>39</v>
      </c>
      <c r="C76" s="3" t="s">
        <v>40</v>
      </c>
      <c r="D76" s="4">
        <v>46057</v>
      </c>
      <c r="E76" s="3">
        <v>-21</v>
      </c>
      <c r="F76" s="3" t="s">
        <v>41</v>
      </c>
      <c r="G76" s="3" t="s">
        <v>51</v>
      </c>
      <c r="H76" s="3">
        <v>0</v>
      </c>
      <c r="I76" s="7">
        <v>31724</v>
      </c>
      <c r="J76" s="7">
        <v>11084</v>
      </c>
      <c r="K76" s="7">
        <v>20640</v>
      </c>
      <c r="L76" s="5">
        <f t="shared" si="12"/>
        <v>0.34938847560206782</v>
      </c>
      <c r="M76" s="5">
        <f t="shared" si="13"/>
        <v>8.0223372378098512E-2</v>
      </c>
      <c r="N76" s="7">
        <f t="shared" si="15"/>
        <v>30472.571428571428</v>
      </c>
      <c r="O76" s="7">
        <f t="shared" si="5"/>
        <v>33453.107142857145</v>
      </c>
      <c r="P76" s="8">
        <f t="shared" si="6"/>
        <v>0.94831250994195493</v>
      </c>
      <c r="Q76" s="7"/>
      <c r="R76" s="7"/>
      <c r="S76" s="7"/>
      <c r="T76" s="7"/>
      <c r="U76" s="7"/>
      <c r="V76" s="7"/>
      <c r="W76" s="7"/>
      <c r="X76" s="3" t="s">
        <v>55</v>
      </c>
      <c r="Y76" s="3"/>
      <c r="Z76" s="9">
        <v>0.95072999999999996</v>
      </c>
      <c r="AA76" s="5">
        <f t="shared" si="14"/>
        <v>0.80407597867132208</v>
      </c>
      <c r="AB76" s="9">
        <f t="shared" si="16"/>
        <v>0.5922842857142856</v>
      </c>
      <c r="AC76" s="9">
        <f t="shared" si="7"/>
        <v>0.38979464285714288</v>
      </c>
      <c r="AD76" s="8">
        <f t="shared" si="8"/>
        <v>1.5194777469821559</v>
      </c>
      <c r="AE76" s="3" t="s">
        <v>44</v>
      </c>
      <c r="AF76" s="10">
        <f t="shared" si="9"/>
        <v>12335.5</v>
      </c>
      <c r="AG76" s="11">
        <f t="shared" si="10"/>
        <v>0.89854485022901387</v>
      </c>
      <c r="AH76" s="11">
        <f t="shared" si="11"/>
        <v>2.4390535309343289</v>
      </c>
      <c r="AI76" s="3" t="s">
        <v>45</v>
      </c>
      <c r="AJ76" s="3" t="s">
        <v>40</v>
      </c>
      <c r="AK76" s="3" t="s">
        <v>46</v>
      </c>
      <c r="AL76" s="3" t="s">
        <v>47</v>
      </c>
      <c r="AM76" s="3" t="s">
        <v>39</v>
      </c>
    </row>
    <row r="77" spans="1:39" ht="21" customHeight="1">
      <c r="A77" s="4">
        <v>46037</v>
      </c>
      <c r="B77" s="3" t="s">
        <v>39</v>
      </c>
      <c r="C77" s="3" t="s">
        <v>40</v>
      </c>
      <c r="D77" s="4">
        <v>46057</v>
      </c>
      <c r="E77" s="3">
        <v>-20</v>
      </c>
      <c r="F77" s="3" t="s">
        <v>41</v>
      </c>
      <c r="G77" s="3" t="s">
        <v>52</v>
      </c>
      <c r="H77" s="3">
        <v>0</v>
      </c>
      <c r="I77" s="7">
        <v>30272</v>
      </c>
      <c r="J77" s="7">
        <v>10566</v>
      </c>
      <c r="K77" s="7">
        <v>19705</v>
      </c>
      <c r="L77" s="5">
        <f t="shared" si="12"/>
        <v>0.34903541226215645</v>
      </c>
      <c r="M77" s="5">
        <f t="shared" si="13"/>
        <v>-4.5769764216366138E-2</v>
      </c>
      <c r="N77" s="7">
        <f t="shared" si="15"/>
        <v>30432.571428571428</v>
      </c>
      <c r="O77" s="7">
        <f t="shared" si="5"/>
        <v>33397.75</v>
      </c>
      <c r="P77" s="8">
        <f t="shared" si="6"/>
        <v>0.90640836583302764</v>
      </c>
      <c r="Q77" s="7"/>
      <c r="R77" s="7"/>
      <c r="S77" s="7"/>
      <c r="T77" s="7"/>
      <c r="U77" s="7"/>
      <c r="V77" s="7"/>
      <c r="W77" s="7"/>
      <c r="X77" s="3" t="s">
        <v>55</v>
      </c>
      <c r="Y77" s="3"/>
      <c r="Z77" s="9">
        <v>1.0064200000000001</v>
      </c>
      <c r="AA77" s="5">
        <f t="shared" si="14"/>
        <v>5.857604156805829E-2</v>
      </c>
      <c r="AB77" s="9">
        <f t="shared" si="16"/>
        <v>0.66502428571428573</v>
      </c>
      <c r="AC77" s="9">
        <f t="shared" si="7"/>
        <v>0.41271321428571428</v>
      </c>
      <c r="AD77" s="8">
        <f t="shared" si="8"/>
        <v>1.6113472084126215</v>
      </c>
      <c r="AE77" s="3" t="s">
        <v>44</v>
      </c>
      <c r="AF77" s="10">
        <f t="shared" si="9"/>
        <v>13700.75</v>
      </c>
      <c r="AG77" s="11">
        <f t="shared" si="10"/>
        <v>0.77119865700782808</v>
      </c>
      <c r="AH77" s="11">
        <f t="shared" si="11"/>
        <v>2.4385456175466018</v>
      </c>
      <c r="AI77" s="3" t="s">
        <v>45</v>
      </c>
      <c r="AJ77" s="3" t="s">
        <v>40</v>
      </c>
      <c r="AK77" s="3" t="s">
        <v>46</v>
      </c>
      <c r="AL77" s="3" t="s">
        <v>47</v>
      </c>
      <c r="AM77" s="3" t="s">
        <v>39</v>
      </c>
    </row>
    <row r="78" spans="1:39" ht="21" customHeight="1">
      <c r="A78" s="4">
        <v>46038</v>
      </c>
      <c r="B78" s="3" t="s">
        <v>39</v>
      </c>
      <c r="C78" s="3" t="s">
        <v>40</v>
      </c>
      <c r="D78" s="4">
        <v>46057</v>
      </c>
      <c r="E78" s="3">
        <v>-19</v>
      </c>
      <c r="F78" s="3" t="s">
        <v>41</v>
      </c>
      <c r="G78" s="3" t="s">
        <v>53</v>
      </c>
      <c r="H78" s="3">
        <v>0</v>
      </c>
      <c r="I78" s="7">
        <v>33512</v>
      </c>
      <c r="J78" s="7">
        <v>13202</v>
      </c>
      <c r="K78" s="7">
        <v>20310</v>
      </c>
      <c r="L78" s="5">
        <f t="shared" si="12"/>
        <v>0.39394843638099786</v>
      </c>
      <c r="M78" s="5">
        <f t="shared" si="13"/>
        <v>0.10702959830866798</v>
      </c>
      <c r="N78" s="7">
        <f t="shared" si="15"/>
        <v>30475</v>
      </c>
      <c r="O78" s="7">
        <f t="shared" si="5"/>
        <v>33284.642857142855</v>
      </c>
      <c r="P78" s="8">
        <f t="shared" si="6"/>
        <v>1.0068306919750636</v>
      </c>
      <c r="Q78" s="7"/>
      <c r="R78" s="7"/>
      <c r="S78" s="7"/>
      <c r="T78" s="7"/>
      <c r="U78" s="7"/>
      <c r="V78" s="7"/>
      <c r="W78" s="7"/>
      <c r="X78" s="3" t="s">
        <v>55</v>
      </c>
      <c r="Y78" s="3"/>
      <c r="Z78" s="9">
        <v>1.0170300000000001</v>
      </c>
      <c r="AA78" s="5">
        <f t="shared" si="14"/>
        <v>1.0542318316408616E-2</v>
      </c>
      <c r="AB78" s="9">
        <f t="shared" si="16"/>
        <v>0.74002714285714288</v>
      </c>
      <c r="AC78" s="9">
        <f t="shared" si="7"/>
        <v>0.43927142857142859</v>
      </c>
      <c r="AD78" s="8">
        <f t="shared" si="8"/>
        <v>1.6846694201437444</v>
      </c>
      <c r="AE78" s="3" t="s">
        <v>44</v>
      </c>
      <c r="AF78" s="10">
        <f t="shared" si="9"/>
        <v>14267.75</v>
      </c>
      <c r="AG78" s="11">
        <f t="shared" si="10"/>
        <v>0.92530356923831714</v>
      </c>
      <c r="AH78" s="11">
        <f t="shared" si="11"/>
        <v>2.3152655370906374</v>
      </c>
      <c r="AI78" s="3" t="s">
        <v>45</v>
      </c>
      <c r="AJ78" s="3" t="s">
        <v>40</v>
      </c>
      <c r="AK78" s="3" t="s">
        <v>46</v>
      </c>
      <c r="AL78" s="3" t="s">
        <v>47</v>
      </c>
      <c r="AM78" s="3" t="s">
        <v>39</v>
      </c>
    </row>
    <row r="79" spans="1:39" ht="21" customHeight="1">
      <c r="A79" s="4">
        <v>46039</v>
      </c>
      <c r="B79" s="3" t="s">
        <v>39</v>
      </c>
      <c r="C79" s="3" t="s">
        <v>40</v>
      </c>
      <c r="D79" s="4">
        <v>46057</v>
      </c>
      <c r="E79" s="3">
        <v>-18</v>
      </c>
      <c r="F79" s="3" t="s">
        <v>41</v>
      </c>
      <c r="G79" s="3" t="s">
        <v>42</v>
      </c>
      <c r="H79" s="3">
        <v>1</v>
      </c>
      <c r="I79" s="7">
        <v>37622</v>
      </c>
      <c r="J79" s="7">
        <v>20006</v>
      </c>
      <c r="K79" s="7">
        <v>17616</v>
      </c>
      <c r="L79" s="5">
        <f t="shared" si="12"/>
        <v>0.53176332996650899</v>
      </c>
      <c r="M79" s="5">
        <f t="shared" si="13"/>
        <v>0.12264263547386012</v>
      </c>
      <c r="N79" s="7">
        <f t="shared" si="15"/>
        <v>31573.571428571428</v>
      </c>
      <c r="O79" s="7">
        <f t="shared" si="5"/>
        <v>33183.25</v>
      </c>
      <c r="P79" s="8">
        <f t="shared" si="6"/>
        <v>1.1337647759035054</v>
      </c>
      <c r="Q79" s="7"/>
      <c r="R79" s="7"/>
      <c r="S79" s="7"/>
      <c r="T79" s="7"/>
      <c r="U79" s="7"/>
      <c r="V79" s="7"/>
      <c r="W79" s="7"/>
      <c r="X79" s="3" t="s">
        <v>55</v>
      </c>
      <c r="Y79" s="3"/>
      <c r="Z79" s="9">
        <v>0.92451000000000005</v>
      </c>
      <c r="AA79" s="5">
        <f t="shared" si="14"/>
        <v>-9.0970767823958076E-2</v>
      </c>
      <c r="AB79" s="9">
        <f t="shared" si="16"/>
        <v>0.80728571428571427</v>
      </c>
      <c r="AC79" s="9">
        <f t="shared" si="7"/>
        <v>0.44642035714285716</v>
      </c>
      <c r="AD79" s="8">
        <f t="shared" si="8"/>
        <v>1.8083532737002359</v>
      </c>
      <c r="AE79" s="3" t="s">
        <v>44</v>
      </c>
      <c r="AF79" s="10">
        <f t="shared" si="9"/>
        <v>17024</v>
      </c>
      <c r="AG79" s="11">
        <f t="shared" si="10"/>
        <v>1.1751644736842106</v>
      </c>
      <c r="AH79" s="11">
        <f t="shared" si="11"/>
        <v>2.0709405053052978</v>
      </c>
      <c r="AI79" s="3" t="s">
        <v>45</v>
      </c>
      <c r="AJ79" s="3" t="s">
        <v>40</v>
      </c>
      <c r="AK79" s="3" t="s">
        <v>46</v>
      </c>
      <c r="AL79" s="3" t="s">
        <v>47</v>
      </c>
      <c r="AM79" s="3" t="s">
        <v>39</v>
      </c>
    </row>
    <row r="80" spans="1:39" ht="21" customHeight="1">
      <c r="A80" s="4">
        <v>46040</v>
      </c>
      <c r="B80" s="3" t="s">
        <v>39</v>
      </c>
      <c r="C80" s="3" t="s">
        <v>40</v>
      </c>
      <c r="D80" s="4">
        <v>46057</v>
      </c>
      <c r="E80" s="3">
        <v>-17</v>
      </c>
      <c r="F80" s="3" t="s">
        <v>41</v>
      </c>
      <c r="G80" s="3" t="s">
        <v>48</v>
      </c>
      <c r="H80" s="3">
        <v>1</v>
      </c>
      <c r="I80" s="7">
        <v>34514</v>
      </c>
      <c r="J80" s="7">
        <v>17706</v>
      </c>
      <c r="K80" s="7">
        <v>16807</v>
      </c>
      <c r="L80" s="5">
        <f t="shared" si="12"/>
        <v>0.51300921365243091</v>
      </c>
      <c r="M80" s="5">
        <f t="shared" si="13"/>
        <v>-8.261123810536386E-2</v>
      </c>
      <c r="N80" s="7">
        <f t="shared" si="15"/>
        <v>32283.571428571428</v>
      </c>
      <c r="O80" s="7">
        <f t="shared" si="5"/>
        <v>33249.035714285717</v>
      </c>
      <c r="P80" s="8">
        <f t="shared" si="6"/>
        <v>1.0380451420180821</v>
      </c>
      <c r="Q80" s="7"/>
      <c r="R80" s="7"/>
      <c r="S80" s="7"/>
      <c r="T80" s="7"/>
      <c r="U80" s="7"/>
      <c r="V80" s="7"/>
      <c r="W80" s="7"/>
      <c r="X80" s="3" t="s">
        <v>55</v>
      </c>
      <c r="Y80" s="3"/>
      <c r="Z80" s="9">
        <v>0.92471999999999999</v>
      </c>
      <c r="AA80" s="5">
        <f t="shared" si="14"/>
        <v>2.271473537331925E-4</v>
      </c>
      <c r="AB80" s="9">
        <f t="shared" si="16"/>
        <v>0.85889285714285712</v>
      </c>
      <c r="AC80" s="9">
        <f t="shared" si="7"/>
        <v>0.45929464285714289</v>
      </c>
      <c r="AD80" s="8">
        <f t="shared" si="8"/>
        <v>1.8700258548628523</v>
      </c>
      <c r="AE80" s="3" t="s">
        <v>44</v>
      </c>
      <c r="AF80" s="10">
        <f t="shared" si="9"/>
        <v>15849.5</v>
      </c>
      <c r="AG80" s="11">
        <f t="shared" si="10"/>
        <v>1.1171330325877789</v>
      </c>
      <c r="AH80" s="11">
        <f t="shared" si="11"/>
        <v>2.0133481075406774</v>
      </c>
      <c r="AI80" s="3" t="s">
        <v>45</v>
      </c>
      <c r="AJ80" s="3" t="s">
        <v>40</v>
      </c>
      <c r="AK80" s="3" t="s">
        <v>46</v>
      </c>
      <c r="AL80" s="3" t="s">
        <v>47</v>
      </c>
      <c r="AM80" s="3" t="s">
        <v>39</v>
      </c>
    </row>
    <row r="81" spans="1:39" ht="21" customHeight="1">
      <c r="A81" s="4">
        <v>46041</v>
      </c>
      <c r="B81" s="3" t="s">
        <v>39</v>
      </c>
      <c r="C81" s="3" t="s">
        <v>40</v>
      </c>
      <c r="D81" s="4">
        <v>46057</v>
      </c>
      <c r="E81" s="3">
        <v>-16</v>
      </c>
      <c r="F81" s="3" t="s">
        <v>41</v>
      </c>
      <c r="G81" s="3" t="s">
        <v>49</v>
      </c>
      <c r="H81" s="3">
        <v>0</v>
      </c>
      <c r="I81" s="7">
        <v>30040</v>
      </c>
      <c r="J81" s="7">
        <v>10406</v>
      </c>
      <c r="K81" s="7">
        <v>19635</v>
      </c>
      <c r="L81" s="5">
        <f t="shared" si="12"/>
        <v>0.34640479360852194</v>
      </c>
      <c r="M81" s="5">
        <f t="shared" si="13"/>
        <v>-0.12962855652778582</v>
      </c>
      <c r="N81" s="7">
        <f t="shared" si="15"/>
        <v>32436</v>
      </c>
      <c r="O81" s="7">
        <f t="shared" si="5"/>
        <v>33260.678571428572</v>
      </c>
      <c r="P81" s="8">
        <f t="shared" si="6"/>
        <v>0.90316858495499297</v>
      </c>
      <c r="Q81" s="7"/>
      <c r="R81" s="7"/>
      <c r="S81" s="7"/>
      <c r="T81" s="7"/>
      <c r="U81" s="7"/>
      <c r="V81" s="7"/>
      <c r="W81" s="7"/>
      <c r="X81" s="3" t="s">
        <v>55</v>
      </c>
      <c r="Y81" s="3"/>
      <c r="Z81" s="9">
        <v>0.86817</v>
      </c>
      <c r="AA81" s="5">
        <f t="shared" si="14"/>
        <v>-6.1153646509213622E-2</v>
      </c>
      <c r="AB81" s="9">
        <f t="shared" si="16"/>
        <v>0.8883671428571428</v>
      </c>
      <c r="AC81" s="9">
        <f t="shared" si="7"/>
        <v>0.48080714285714288</v>
      </c>
      <c r="AD81" s="8">
        <f t="shared" si="8"/>
        <v>1.8476579561154605</v>
      </c>
      <c r="AE81" s="3" t="s">
        <v>44</v>
      </c>
      <c r="AF81" s="10">
        <f t="shared" si="9"/>
        <v>11013.75</v>
      </c>
      <c r="AG81" s="11">
        <f t="shared" si="10"/>
        <v>0.94481897627965039</v>
      </c>
      <c r="AH81" s="11">
        <f t="shared" si="11"/>
        <v>1.8056512115044641</v>
      </c>
      <c r="AI81" s="3" t="s">
        <v>45</v>
      </c>
      <c r="AJ81" s="3" t="s">
        <v>40</v>
      </c>
      <c r="AK81" s="3" t="s">
        <v>46</v>
      </c>
      <c r="AL81" s="3" t="s">
        <v>47</v>
      </c>
      <c r="AM81" s="3" t="s">
        <v>39</v>
      </c>
    </row>
    <row r="82" spans="1:39" ht="21" customHeight="1">
      <c r="A82" s="4">
        <v>46042</v>
      </c>
      <c r="B82" s="3" t="s">
        <v>39</v>
      </c>
      <c r="C82" s="3" t="s">
        <v>40</v>
      </c>
      <c r="D82" s="4">
        <v>46057</v>
      </c>
      <c r="E82" s="3">
        <v>-15</v>
      </c>
      <c r="F82" s="3" t="s">
        <v>41</v>
      </c>
      <c r="G82" s="3" t="s">
        <v>50</v>
      </c>
      <c r="H82" s="3">
        <v>0</v>
      </c>
      <c r="I82" s="7">
        <v>30922</v>
      </c>
      <c r="J82" s="7">
        <v>10955</v>
      </c>
      <c r="K82" s="7">
        <v>19968</v>
      </c>
      <c r="L82" s="5">
        <f t="shared" si="12"/>
        <v>0.35427850721169396</v>
      </c>
      <c r="M82" s="5">
        <f t="shared" si="13"/>
        <v>2.9360852197070519E-2</v>
      </c>
      <c r="N82" s="7">
        <f t="shared" si="15"/>
        <v>32658</v>
      </c>
      <c r="O82" s="7">
        <f t="shared" si="5"/>
        <v>33134.285714285717</v>
      </c>
      <c r="P82" s="8">
        <f t="shared" si="6"/>
        <v>0.93323273260325934</v>
      </c>
      <c r="Q82" s="7"/>
      <c r="R82" s="7"/>
      <c r="S82" s="7"/>
      <c r="T82" s="7"/>
      <c r="U82" s="7"/>
      <c r="V82" s="7"/>
      <c r="W82" s="7"/>
      <c r="X82" s="3" t="s">
        <v>55</v>
      </c>
      <c r="Y82" s="3"/>
      <c r="Z82" s="9">
        <v>1.08382</v>
      </c>
      <c r="AA82" s="5">
        <f t="shared" si="14"/>
        <v>0.24839605146457489</v>
      </c>
      <c r="AB82" s="9">
        <f t="shared" si="16"/>
        <v>0.96791428571428573</v>
      </c>
      <c r="AC82" s="9">
        <f t="shared" si="7"/>
        <v>0.49909571428571425</v>
      </c>
      <c r="AD82" s="8">
        <f t="shared" si="8"/>
        <v>1.9393359991069565</v>
      </c>
      <c r="AE82" s="3" t="s">
        <v>44</v>
      </c>
      <c r="AF82" s="10">
        <f t="shared" si="9"/>
        <v>11049.5</v>
      </c>
      <c r="AG82" s="11">
        <f t="shared" si="10"/>
        <v>0.99144757681343043</v>
      </c>
      <c r="AH82" s="11">
        <f t="shared" si="11"/>
        <v>2.171567434817828</v>
      </c>
      <c r="AI82" s="3" t="s">
        <v>45</v>
      </c>
      <c r="AJ82" s="3" t="s">
        <v>40</v>
      </c>
      <c r="AK82" s="3" t="s">
        <v>46</v>
      </c>
      <c r="AL82" s="3" t="s">
        <v>47</v>
      </c>
      <c r="AM82" s="3" t="s">
        <v>39</v>
      </c>
    </row>
    <row r="83" spans="1:39" ht="21" customHeight="1">
      <c r="A83" s="4">
        <v>46043</v>
      </c>
      <c r="B83" s="3" t="s">
        <v>39</v>
      </c>
      <c r="C83" s="3" t="s">
        <v>40</v>
      </c>
      <c r="D83" s="4">
        <v>46057</v>
      </c>
      <c r="E83" s="3">
        <v>-14</v>
      </c>
      <c r="F83" s="3" t="s">
        <v>41</v>
      </c>
      <c r="G83" s="3" t="s">
        <v>51</v>
      </c>
      <c r="H83" s="3">
        <v>0</v>
      </c>
      <c r="I83" s="7">
        <v>30838</v>
      </c>
      <c r="J83" s="7">
        <v>10882</v>
      </c>
      <c r="K83" s="7">
        <v>19957</v>
      </c>
      <c r="L83" s="5">
        <f t="shared" si="12"/>
        <v>0.35287632142162267</v>
      </c>
      <c r="M83" s="5">
        <f t="shared" si="13"/>
        <v>-2.7165125153612024E-3</v>
      </c>
      <c r="N83" s="7">
        <f t="shared" si="15"/>
        <v>32531.428571428572</v>
      </c>
      <c r="O83" s="7">
        <f t="shared" si="5"/>
        <v>33029.785714285717</v>
      </c>
      <c r="P83" s="8">
        <f t="shared" si="6"/>
        <v>0.9336421455093562</v>
      </c>
      <c r="Q83" s="7"/>
      <c r="R83" s="7"/>
      <c r="S83" s="7"/>
      <c r="T83" s="7"/>
      <c r="U83" s="7"/>
      <c r="V83" s="7"/>
      <c r="W83" s="7"/>
      <c r="X83" s="3" t="s">
        <v>55</v>
      </c>
      <c r="Y83" s="3"/>
      <c r="Z83" s="9">
        <v>1.96946</v>
      </c>
      <c r="AA83" s="5">
        <f t="shared" si="14"/>
        <v>0.81714675868686681</v>
      </c>
      <c r="AB83" s="9">
        <f t="shared" si="16"/>
        <v>1.1134471428571431</v>
      </c>
      <c r="AC83" s="9">
        <f t="shared" si="7"/>
        <v>0.52751464285714278</v>
      </c>
      <c r="AD83" s="8">
        <f t="shared" si="8"/>
        <v>2.1107416788024174</v>
      </c>
      <c r="AE83" s="3" t="s">
        <v>44</v>
      </c>
      <c r="AF83" s="10">
        <f t="shared" si="9"/>
        <v>12332</v>
      </c>
      <c r="AG83" s="11">
        <f t="shared" si="10"/>
        <v>0.88241972105092448</v>
      </c>
      <c r="AH83" s="11">
        <f t="shared" si="11"/>
        <v>3.733469822435532</v>
      </c>
      <c r="AI83" s="3" t="s">
        <v>45</v>
      </c>
      <c r="AJ83" s="3" t="s">
        <v>40</v>
      </c>
      <c r="AK83" s="3" t="s">
        <v>46</v>
      </c>
      <c r="AL83" s="3" t="s">
        <v>47</v>
      </c>
      <c r="AM83" s="3" t="s">
        <v>39</v>
      </c>
    </row>
    <row r="84" spans="1:39" ht="21" customHeight="1">
      <c r="A84" s="4">
        <v>46044</v>
      </c>
      <c r="B84" s="3" t="s">
        <v>39</v>
      </c>
      <c r="C84" s="3" t="s">
        <v>40</v>
      </c>
      <c r="D84" s="4">
        <v>46057</v>
      </c>
      <c r="E84" s="3">
        <v>-13</v>
      </c>
      <c r="F84" s="3" t="s">
        <v>41</v>
      </c>
      <c r="G84" s="3" t="s">
        <v>52</v>
      </c>
      <c r="H84" s="3">
        <v>0</v>
      </c>
      <c r="I84" s="7">
        <v>30247</v>
      </c>
      <c r="J84" s="7">
        <v>10626</v>
      </c>
      <c r="K84" s="7">
        <v>19621</v>
      </c>
      <c r="L84" s="5">
        <f t="shared" si="12"/>
        <v>0.35130756769266375</v>
      </c>
      <c r="M84" s="5">
        <f t="shared" si="13"/>
        <v>-1.9164666969323507E-2</v>
      </c>
      <c r="N84" s="7">
        <f t="shared" si="15"/>
        <v>32527.857142857141</v>
      </c>
      <c r="O84" s="7">
        <f t="shared" si="5"/>
        <v>32862</v>
      </c>
      <c r="P84" s="8">
        <f t="shared" si="6"/>
        <v>0.92042480676769522</v>
      </c>
      <c r="Q84" s="7"/>
      <c r="R84" s="7"/>
      <c r="S84" s="7"/>
      <c r="T84" s="7"/>
      <c r="U84" s="7"/>
      <c r="V84" s="7"/>
      <c r="W84" s="7"/>
      <c r="X84" s="3" t="s">
        <v>55</v>
      </c>
      <c r="Y84" s="3"/>
      <c r="Z84" s="9">
        <v>2.5386500000000001</v>
      </c>
      <c r="AA84" s="5">
        <f t="shared" si="14"/>
        <v>0.28900815451951312</v>
      </c>
      <c r="AB84" s="9">
        <f t="shared" si="16"/>
        <v>1.3323371428571431</v>
      </c>
      <c r="AC84" s="9">
        <f t="shared" si="7"/>
        <v>0.58845214285714287</v>
      </c>
      <c r="AD84" s="8">
        <f t="shared" si="8"/>
        <v>2.2641384843772951</v>
      </c>
      <c r="AE84" s="3" t="s">
        <v>44</v>
      </c>
      <c r="AF84" s="10">
        <f t="shared" si="9"/>
        <v>13496.75</v>
      </c>
      <c r="AG84" s="11">
        <f t="shared" si="10"/>
        <v>0.78730064645192366</v>
      </c>
      <c r="AH84" s="11">
        <f t="shared" si="11"/>
        <v>4.3141146324558495</v>
      </c>
      <c r="AI84" s="3" t="s">
        <v>45</v>
      </c>
      <c r="AJ84" s="3" t="s">
        <v>40</v>
      </c>
      <c r="AK84" s="3" t="s">
        <v>46</v>
      </c>
      <c r="AL84" s="3" t="s">
        <v>47</v>
      </c>
      <c r="AM84" s="3" t="s">
        <v>39</v>
      </c>
    </row>
    <row r="85" spans="1:39" ht="21" customHeight="1">
      <c r="A85" s="4">
        <v>46045</v>
      </c>
      <c r="B85" s="3" t="s">
        <v>39</v>
      </c>
      <c r="C85" s="3" t="s">
        <v>40</v>
      </c>
      <c r="D85" s="4">
        <v>46057</v>
      </c>
      <c r="E85" s="3">
        <v>-12</v>
      </c>
      <c r="F85" s="3" t="s">
        <v>41</v>
      </c>
      <c r="G85" s="3" t="s">
        <v>53</v>
      </c>
      <c r="H85" s="3">
        <v>0</v>
      </c>
      <c r="I85" s="7">
        <v>32680</v>
      </c>
      <c r="J85" s="7">
        <v>12652</v>
      </c>
      <c r="K85" s="7">
        <v>20027</v>
      </c>
      <c r="L85" s="5">
        <f t="shared" si="12"/>
        <v>0.38714810281517748</v>
      </c>
      <c r="M85" s="5">
        <f t="shared" si="13"/>
        <v>8.043772936158966E-2</v>
      </c>
      <c r="N85" s="7">
        <f t="shared" si="15"/>
        <v>32409</v>
      </c>
      <c r="O85" s="7">
        <f t="shared" si="5"/>
        <v>32747.5</v>
      </c>
      <c r="P85" s="8">
        <f t="shared" si="6"/>
        <v>0.99793877395221009</v>
      </c>
      <c r="Q85" s="7"/>
      <c r="R85" s="7"/>
      <c r="S85" s="7"/>
      <c r="T85" s="7"/>
      <c r="U85" s="7"/>
      <c r="V85" s="7"/>
      <c r="W85" s="7"/>
      <c r="X85" s="3" t="s">
        <v>55</v>
      </c>
      <c r="Y85" s="3"/>
      <c r="Z85" s="9">
        <v>2.7267399999999999</v>
      </c>
      <c r="AA85" s="5">
        <f t="shared" si="14"/>
        <v>7.4090559943276846E-2</v>
      </c>
      <c r="AB85" s="9">
        <f t="shared" si="16"/>
        <v>1.5765814285714284</v>
      </c>
      <c r="AC85" s="9">
        <f t="shared" si="7"/>
        <v>0.67120214285714286</v>
      </c>
      <c r="AD85" s="8">
        <f t="shared" si="8"/>
        <v>2.3488921263873026</v>
      </c>
      <c r="AE85" s="3" t="s">
        <v>44</v>
      </c>
      <c r="AF85" s="10">
        <f t="shared" si="9"/>
        <v>14037.75</v>
      </c>
      <c r="AG85" s="11">
        <f t="shared" si="10"/>
        <v>0.90128403768410181</v>
      </c>
      <c r="AH85" s="11">
        <f t="shared" si="11"/>
        <v>4.06247213155926</v>
      </c>
      <c r="AI85" s="3" t="s">
        <v>45</v>
      </c>
      <c r="AJ85" s="3" t="s">
        <v>40</v>
      </c>
      <c r="AK85" s="3" t="s">
        <v>46</v>
      </c>
      <c r="AL85" s="3" t="s">
        <v>47</v>
      </c>
      <c r="AM85" s="3" t="s">
        <v>39</v>
      </c>
    </row>
    <row r="86" spans="1:39" ht="21" customHeight="1">
      <c r="A86" s="4">
        <v>46046</v>
      </c>
      <c r="B86" s="3" t="s">
        <v>39</v>
      </c>
      <c r="C86" s="3" t="s">
        <v>40</v>
      </c>
      <c r="D86" s="4">
        <v>46057</v>
      </c>
      <c r="E86" s="3">
        <v>-11</v>
      </c>
      <c r="F86" s="3" t="s">
        <v>41</v>
      </c>
      <c r="G86" s="3" t="s">
        <v>42</v>
      </c>
      <c r="H86" s="3">
        <v>1</v>
      </c>
      <c r="I86" s="7">
        <v>33208</v>
      </c>
      <c r="J86" s="7">
        <v>16328</v>
      </c>
      <c r="K86" s="7">
        <v>16880</v>
      </c>
      <c r="L86" s="5">
        <f t="shared" si="12"/>
        <v>0.49168874969886772</v>
      </c>
      <c r="M86" s="5">
        <f t="shared" si="13"/>
        <v>1.6156670746634072E-2</v>
      </c>
      <c r="N86" s="7">
        <f t="shared" si="15"/>
        <v>31778.428571428572</v>
      </c>
      <c r="O86" s="7">
        <f t="shared" si="5"/>
        <v>32614.392857142859</v>
      </c>
      <c r="P86" s="8">
        <f t="shared" si="6"/>
        <v>1.0182007724459949</v>
      </c>
      <c r="Q86" s="7"/>
      <c r="R86" s="7"/>
      <c r="S86" s="7"/>
      <c r="T86" s="7"/>
      <c r="U86" s="7"/>
      <c r="V86" s="7"/>
      <c r="W86" s="7"/>
      <c r="X86" s="3" t="s">
        <v>55</v>
      </c>
      <c r="Y86" s="3"/>
      <c r="Z86" s="9">
        <v>3.2794599999999998</v>
      </c>
      <c r="AA86" s="5">
        <f t="shared" si="14"/>
        <v>0.2027035947688447</v>
      </c>
      <c r="AB86" s="9">
        <f t="shared" si="16"/>
        <v>1.913002857142857</v>
      </c>
      <c r="AC86" s="9">
        <f t="shared" si="7"/>
        <v>0.76076535714285709</v>
      </c>
      <c r="AD86" s="8">
        <f t="shared" si="8"/>
        <v>2.5145767209055916</v>
      </c>
      <c r="AE86" s="3" t="s">
        <v>44</v>
      </c>
      <c r="AF86" s="10">
        <f t="shared" si="9"/>
        <v>17726.5</v>
      </c>
      <c r="AG86" s="11">
        <f t="shared" si="10"/>
        <v>0.92110681747665923</v>
      </c>
      <c r="AH86" s="11">
        <f t="shared" si="11"/>
        <v>4.3107378237047937</v>
      </c>
      <c r="AI86" s="3" t="s">
        <v>45</v>
      </c>
      <c r="AJ86" s="3" t="s">
        <v>40</v>
      </c>
      <c r="AK86" s="3" t="s">
        <v>46</v>
      </c>
      <c r="AL86" s="3" t="s">
        <v>47</v>
      </c>
      <c r="AM86" s="3" t="s">
        <v>39</v>
      </c>
    </row>
    <row r="87" spans="1:39" ht="21" customHeight="1">
      <c r="A87" s="4">
        <v>46047</v>
      </c>
      <c r="B87" s="3" t="s">
        <v>39</v>
      </c>
      <c r="C87" s="3" t="s">
        <v>40</v>
      </c>
      <c r="D87" s="4">
        <v>46057</v>
      </c>
      <c r="E87" s="3">
        <v>-10</v>
      </c>
      <c r="F87" s="3" t="s">
        <v>41</v>
      </c>
      <c r="G87" s="3" t="s">
        <v>48</v>
      </c>
      <c r="H87" s="3">
        <v>1</v>
      </c>
      <c r="I87" s="7">
        <v>33341</v>
      </c>
      <c r="J87" s="7">
        <v>16558</v>
      </c>
      <c r="K87" s="7">
        <v>16782</v>
      </c>
      <c r="L87" s="5">
        <f t="shared" si="12"/>
        <v>0.49662577607150354</v>
      </c>
      <c r="M87" s="5">
        <f t="shared" si="13"/>
        <v>4.0050590219224969E-3</v>
      </c>
      <c r="N87" s="7">
        <f t="shared" si="15"/>
        <v>31610.857142857141</v>
      </c>
      <c r="O87" s="7">
        <f t="shared" si="5"/>
        <v>32493.535714285714</v>
      </c>
      <c r="P87" s="8">
        <f t="shared" si="6"/>
        <v>1.0260810117177153</v>
      </c>
      <c r="Q87" s="7"/>
      <c r="R87" s="7"/>
      <c r="S87" s="7"/>
      <c r="T87" s="7"/>
      <c r="U87" s="7"/>
      <c r="V87" s="7"/>
      <c r="W87" s="7"/>
      <c r="X87" s="3" t="s">
        <v>55</v>
      </c>
      <c r="Y87" s="3"/>
      <c r="Z87" s="9">
        <v>2.9959600000000002</v>
      </c>
      <c r="AA87" s="5">
        <f t="shared" si="14"/>
        <v>-8.644715898349109E-2</v>
      </c>
      <c r="AB87" s="9">
        <f t="shared" si="16"/>
        <v>2.2088942857142859</v>
      </c>
      <c r="AC87" s="9">
        <f t="shared" si="7"/>
        <v>0.86980357142857134</v>
      </c>
      <c r="AD87" s="8">
        <f t="shared" si="8"/>
        <v>2.5395323246217338</v>
      </c>
      <c r="AE87" s="3" t="s">
        <v>44</v>
      </c>
      <c r="AF87" s="10">
        <f t="shared" si="9"/>
        <v>16234.5</v>
      </c>
      <c r="AG87" s="11">
        <f t="shared" si="10"/>
        <v>1.019926699313191</v>
      </c>
      <c r="AH87" s="11">
        <f t="shared" si="11"/>
        <v>3.4444098626537194</v>
      </c>
      <c r="AI87" s="3" t="s">
        <v>45</v>
      </c>
      <c r="AJ87" s="3" t="s">
        <v>40</v>
      </c>
      <c r="AK87" s="3" t="s">
        <v>46</v>
      </c>
      <c r="AL87" s="3" t="s">
        <v>47</v>
      </c>
      <c r="AM87" s="3" t="s">
        <v>39</v>
      </c>
    </row>
    <row r="88" spans="1:39" ht="21" customHeight="1">
      <c r="A88" s="4">
        <v>46048</v>
      </c>
      <c r="B88" s="3" t="s">
        <v>39</v>
      </c>
      <c r="C88" s="3" t="s">
        <v>40</v>
      </c>
      <c r="D88" s="4">
        <v>46057</v>
      </c>
      <c r="E88" s="3">
        <v>-9</v>
      </c>
      <c r="F88" s="3" t="s">
        <v>41</v>
      </c>
      <c r="G88" s="3" t="s">
        <v>49</v>
      </c>
      <c r="H88" s="3">
        <v>0</v>
      </c>
      <c r="I88" s="7">
        <v>30947</v>
      </c>
      <c r="J88" s="7">
        <v>11260</v>
      </c>
      <c r="K88" s="7">
        <v>19688</v>
      </c>
      <c r="L88" s="5">
        <f t="shared" si="12"/>
        <v>0.36384786893721521</v>
      </c>
      <c r="M88" s="5">
        <f t="shared" si="13"/>
        <v>-7.1803485198404404E-2</v>
      </c>
      <c r="N88" s="7">
        <f t="shared" si="15"/>
        <v>31740.428571428572</v>
      </c>
      <c r="O88" s="7">
        <f t="shared" si="5"/>
        <v>32426.642857142859</v>
      </c>
      <c r="P88" s="8">
        <f t="shared" si="6"/>
        <v>0.95436953298984739</v>
      </c>
      <c r="Q88" s="7"/>
      <c r="R88" s="7"/>
      <c r="S88" s="7"/>
      <c r="T88" s="7"/>
      <c r="U88" s="7"/>
      <c r="V88" s="7"/>
      <c r="W88" s="7"/>
      <c r="X88" s="3" t="s">
        <v>55</v>
      </c>
      <c r="Y88" s="3"/>
      <c r="Z88" s="9">
        <v>2.6498300000000001</v>
      </c>
      <c r="AA88" s="5">
        <f t="shared" si="14"/>
        <v>-0.11553225009679702</v>
      </c>
      <c r="AB88" s="9">
        <f t="shared" si="16"/>
        <v>2.4634171428571427</v>
      </c>
      <c r="AC88" s="9">
        <f t="shared" si="7"/>
        <v>0.96877499999999994</v>
      </c>
      <c r="AD88" s="8">
        <f t="shared" si="8"/>
        <v>2.5428165909082532</v>
      </c>
      <c r="AE88" s="3" t="s">
        <v>44</v>
      </c>
      <c r="AF88" s="10">
        <f t="shared" si="9"/>
        <v>10674.25</v>
      </c>
      <c r="AG88" s="11">
        <f t="shared" si="10"/>
        <v>1.0548750497693047</v>
      </c>
      <c r="AH88" s="11">
        <f t="shared" si="11"/>
        <v>2.735237800314831</v>
      </c>
      <c r="AI88" s="3" t="s">
        <v>45</v>
      </c>
      <c r="AJ88" s="3" t="s">
        <v>40</v>
      </c>
      <c r="AK88" s="3" t="s">
        <v>46</v>
      </c>
      <c r="AL88" s="3" t="s">
        <v>47</v>
      </c>
      <c r="AM88" s="3" t="s">
        <v>39</v>
      </c>
    </row>
    <row r="89" spans="1:39" ht="21" customHeight="1">
      <c r="A89" s="4">
        <v>46049</v>
      </c>
      <c r="B89" s="3" t="s">
        <v>39</v>
      </c>
      <c r="C89" s="3" t="s">
        <v>40</v>
      </c>
      <c r="D89" s="4">
        <v>46057</v>
      </c>
      <c r="E89" s="3">
        <v>-8</v>
      </c>
      <c r="F89" s="3" t="s">
        <v>41</v>
      </c>
      <c r="G89" s="3" t="s">
        <v>50</v>
      </c>
      <c r="H89" s="3">
        <v>0</v>
      </c>
      <c r="I89" s="7">
        <v>31948</v>
      </c>
      <c r="J89" s="7">
        <v>12170</v>
      </c>
      <c r="K89" s="7">
        <v>19778</v>
      </c>
      <c r="L89" s="5">
        <f t="shared" si="12"/>
        <v>0.3809315137097784</v>
      </c>
      <c r="M89" s="5">
        <f t="shared" si="13"/>
        <v>3.2345623162180592E-2</v>
      </c>
      <c r="N89" s="7">
        <f t="shared" si="15"/>
        <v>31887</v>
      </c>
      <c r="O89" s="7">
        <f t="shared" si="5"/>
        <v>32296.035714285714</v>
      </c>
      <c r="P89" s="8">
        <f t="shared" si="6"/>
        <v>0.98922357786061754</v>
      </c>
      <c r="Q89" s="7"/>
      <c r="R89" s="7"/>
      <c r="S89" s="7"/>
      <c r="T89" s="7"/>
      <c r="U89" s="7"/>
      <c r="V89" s="7"/>
      <c r="W89" s="7"/>
      <c r="X89" s="3" t="s">
        <v>55</v>
      </c>
      <c r="Y89" s="3"/>
      <c r="Z89" s="9">
        <v>3.1516700000000002</v>
      </c>
      <c r="AA89" s="5">
        <f t="shared" si="14"/>
        <v>0.18938573417917381</v>
      </c>
      <c r="AB89" s="9">
        <f t="shared" si="16"/>
        <v>2.7588242857142857</v>
      </c>
      <c r="AC89" s="9">
        <f t="shared" si="7"/>
        <v>1.0533221428571429</v>
      </c>
      <c r="AD89" s="8">
        <f t="shared" si="8"/>
        <v>2.6191648057743833</v>
      </c>
      <c r="AE89" s="3" t="s">
        <v>44</v>
      </c>
      <c r="AF89" s="10">
        <f t="shared" si="9"/>
        <v>10830.75</v>
      </c>
      <c r="AG89" s="11">
        <f t="shared" si="10"/>
        <v>1.123652563303557</v>
      </c>
      <c r="AH89" s="11">
        <f t="shared" si="11"/>
        <v>2.99212356008303</v>
      </c>
      <c r="AI89" s="3" t="s">
        <v>45</v>
      </c>
      <c r="AJ89" s="3" t="s">
        <v>40</v>
      </c>
      <c r="AK89" s="3" t="s">
        <v>46</v>
      </c>
      <c r="AL89" s="3" t="s">
        <v>47</v>
      </c>
      <c r="AM89" s="3" t="s">
        <v>39</v>
      </c>
    </row>
    <row r="90" spans="1:39" ht="21" customHeight="1">
      <c r="A90" s="4">
        <v>46050</v>
      </c>
      <c r="B90" s="3" t="s">
        <v>39</v>
      </c>
      <c r="C90" s="3" t="s">
        <v>40</v>
      </c>
      <c r="D90" s="4">
        <v>46057</v>
      </c>
      <c r="E90" s="3">
        <v>-7</v>
      </c>
      <c r="F90" s="3" t="s">
        <v>41</v>
      </c>
      <c r="G90" s="3" t="s">
        <v>51</v>
      </c>
      <c r="H90" s="3">
        <v>0</v>
      </c>
      <c r="I90" s="7">
        <v>31794</v>
      </c>
      <c r="J90" s="7">
        <v>11798</v>
      </c>
      <c r="K90" s="7">
        <v>19996</v>
      </c>
      <c r="L90" s="5">
        <f t="shared" si="12"/>
        <v>0.37107630370510158</v>
      </c>
      <c r="M90" s="5">
        <f t="shared" si="13"/>
        <v>-4.8203330411918932E-3</v>
      </c>
      <c r="N90" s="7">
        <f t="shared" si="15"/>
        <v>32023.571428571428</v>
      </c>
      <c r="O90" s="7">
        <f t="shared" si="5"/>
        <v>32217.035714285714</v>
      </c>
      <c r="P90" s="8">
        <f t="shared" si="6"/>
        <v>0.98686919187608158</v>
      </c>
      <c r="Q90" s="7"/>
      <c r="R90" s="7"/>
      <c r="S90" s="7"/>
      <c r="T90" s="7"/>
      <c r="U90" s="7"/>
      <c r="V90" s="7"/>
      <c r="W90" s="7"/>
      <c r="X90" s="3" t="s">
        <v>55</v>
      </c>
      <c r="Y90" s="3"/>
      <c r="Z90" s="9">
        <v>3.8273100000000002</v>
      </c>
      <c r="AA90" s="5">
        <f t="shared" si="14"/>
        <v>0.21437523598600117</v>
      </c>
      <c r="AB90" s="9">
        <f t="shared" si="16"/>
        <v>3.0242314285714289</v>
      </c>
      <c r="AC90" s="9">
        <f t="shared" si="7"/>
        <v>1.1586092857142858</v>
      </c>
      <c r="AD90" s="8">
        <f t="shared" si="8"/>
        <v>2.6102254365301256</v>
      </c>
      <c r="AE90" s="3" t="s">
        <v>44</v>
      </c>
      <c r="AF90" s="10">
        <f t="shared" si="9"/>
        <v>11714.5</v>
      </c>
      <c r="AG90" s="11">
        <f t="shared" si="10"/>
        <v>1.0071279183917368</v>
      </c>
      <c r="AH90" s="11">
        <f t="shared" si="11"/>
        <v>3.303365549707685</v>
      </c>
      <c r="AI90" s="3" t="s">
        <v>45</v>
      </c>
      <c r="AJ90" s="3" t="s">
        <v>40</v>
      </c>
      <c r="AK90" s="3" t="s">
        <v>46</v>
      </c>
      <c r="AL90" s="3" t="s">
        <v>47</v>
      </c>
      <c r="AM90" s="3" t="s">
        <v>39</v>
      </c>
    </row>
    <row r="91" spans="1:39" ht="21" customHeight="1">
      <c r="A91" s="4">
        <v>46051</v>
      </c>
      <c r="B91" s="3" t="s">
        <v>39</v>
      </c>
      <c r="C91" s="3" t="s">
        <v>40</v>
      </c>
      <c r="D91" s="4">
        <v>46057</v>
      </c>
      <c r="E91" s="3">
        <v>-6</v>
      </c>
      <c r="F91" s="3" t="s">
        <v>41</v>
      </c>
      <c r="G91" s="3" t="s">
        <v>52</v>
      </c>
      <c r="H91" s="3">
        <v>0</v>
      </c>
      <c r="I91" s="7">
        <v>32158</v>
      </c>
      <c r="J91" s="7">
        <v>12204</v>
      </c>
      <c r="K91" s="7">
        <v>19954</v>
      </c>
      <c r="L91" s="5">
        <f t="shared" si="12"/>
        <v>0.37950121276198767</v>
      </c>
      <c r="M91" s="5">
        <f t="shared" si="13"/>
        <v>1.1448701012769735E-2</v>
      </c>
      <c r="N91" s="7">
        <f t="shared" si="15"/>
        <v>32296.571428571428</v>
      </c>
      <c r="O91" s="7">
        <f t="shared" si="5"/>
        <v>32047.678571428572</v>
      </c>
      <c r="P91" s="8">
        <f t="shared" si="6"/>
        <v>1.0034424155972963</v>
      </c>
      <c r="Q91" s="7"/>
      <c r="R91" s="7"/>
      <c r="S91" s="7"/>
      <c r="T91" s="7"/>
      <c r="U91" s="7"/>
      <c r="V91" s="7"/>
      <c r="W91" s="7"/>
      <c r="X91" s="3" t="s">
        <v>55</v>
      </c>
      <c r="Y91" s="3"/>
      <c r="Z91" s="9">
        <v>3.4607600000000001</v>
      </c>
      <c r="AA91" s="5">
        <f t="shared" si="14"/>
        <v>-9.577222644625083E-2</v>
      </c>
      <c r="AB91" s="9">
        <f t="shared" si="16"/>
        <v>3.155961428571429</v>
      </c>
      <c r="AC91" s="9">
        <f t="shared" si="7"/>
        <v>1.2865928571428571</v>
      </c>
      <c r="AD91" s="8">
        <f t="shared" si="8"/>
        <v>2.452960477007379</v>
      </c>
      <c r="AE91" s="3" t="s">
        <v>44</v>
      </c>
      <c r="AF91" s="10">
        <f t="shared" si="9"/>
        <v>12411.75</v>
      </c>
      <c r="AG91" s="11">
        <f t="shared" si="10"/>
        <v>0.98326182850927546</v>
      </c>
      <c r="AH91" s="11">
        <f t="shared" si="11"/>
        <v>2.6898641483874908</v>
      </c>
      <c r="AI91" s="3" t="s">
        <v>45</v>
      </c>
      <c r="AJ91" s="3" t="s">
        <v>40</v>
      </c>
      <c r="AK91" s="3" t="s">
        <v>46</v>
      </c>
      <c r="AL91" s="3" t="s">
        <v>47</v>
      </c>
      <c r="AM91" s="3" t="s">
        <v>39</v>
      </c>
    </row>
    <row r="92" spans="1:39" ht="21" customHeight="1">
      <c r="A92" s="4">
        <v>46052</v>
      </c>
      <c r="B92" s="3" t="s">
        <v>39</v>
      </c>
      <c r="C92" s="3" t="s">
        <v>40</v>
      </c>
      <c r="D92" s="4">
        <v>46057</v>
      </c>
      <c r="E92" s="3">
        <v>-5</v>
      </c>
      <c r="F92" s="3" t="s">
        <v>41</v>
      </c>
      <c r="G92" s="3" t="s">
        <v>53</v>
      </c>
      <c r="H92" s="3">
        <v>0</v>
      </c>
      <c r="I92" s="7">
        <v>32669</v>
      </c>
      <c r="J92" s="7">
        <v>12768</v>
      </c>
      <c r="K92" s="7">
        <v>19901</v>
      </c>
      <c r="L92" s="5">
        <f t="shared" si="12"/>
        <v>0.39082922648382257</v>
      </c>
      <c r="M92" s="5">
        <f t="shared" si="13"/>
        <v>1.5890291684806268E-2</v>
      </c>
      <c r="N92" s="7">
        <f t="shared" si="15"/>
        <v>32295</v>
      </c>
      <c r="O92" s="7">
        <f t="shared" si="5"/>
        <v>31936.321428571428</v>
      </c>
      <c r="P92" s="8">
        <f t="shared" si="6"/>
        <v>1.0229418586316297</v>
      </c>
      <c r="Q92" s="7"/>
      <c r="R92" s="7"/>
      <c r="S92" s="7"/>
      <c r="T92" s="7"/>
      <c r="U92" s="7"/>
      <c r="V92" s="7"/>
      <c r="W92" s="7"/>
      <c r="X92" s="3" t="s">
        <v>55</v>
      </c>
      <c r="Y92" s="3"/>
      <c r="Z92" s="9">
        <v>4.7328099999999997</v>
      </c>
      <c r="AA92" s="5">
        <f t="shared" si="14"/>
        <v>0.36756377211941871</v>
      </c>
      <c r="AB92" s="9">
        <f t="shared" si="16"/>
        <v>3.4425428571428576</v>
      </c>
      <c r="AC92" s="9">
        <f t="shared" si="7"/>
        <v>1.4008339285714284</v>
      </c>
      <c r="AD92" s="8">
        <f t="shared" si="8"/>
        <v>2.457495343972405</v>
      </c>
      <c r="AE92" s="3" t="s">
        <v>44</v>
      </c>
      <c r="AF92" s="10">
        <f t="shared" si="9"/>
        <v>13255.25</v>
      </c>
      <c r="AG92" s="11">
        <f t="shared" si="10"/>
        <v>0.96324097998906089</v>
      </c>
      <c r="AH92" s="11">
        <f t="shared" si="11"/>
        <v>3.3785660837230886</v>
      </c>
      <c r="AI92" s="3" t="s">
        <v>45</v>
      </c>
      <c r="AJ92" s="3" t="s">
        <v>40</v>
      </c>
      <c r="AK92" s="3" t="s">
        <v>46</v>
      </c>
      <c r="AL92" s="3" t="s">
        <v>47</v>
      </c>
      <c r="AM92" s="3" t="s">
        <v>39</v>
      </c>
    </row>
    <row r="93" spans="1:39" ht="21" customHeight="1">
      <c r="A93" s="4">
        <v>46053</v>
      </c>
      <c r="B93" s="3" t="s">
        <v>39</v>
      </c>
      <c r="C93" s="3" t="s">
        <v>40</v>
      </c>
      <c r="D93" s="4">
        <v>46057</v>
      </c>
      <c r="E93" s="3">
        <v>-4</v>
      </c>
      <c r="F93" s="3" t="s">
        <v>41</v>
      </c>
      <c r="G93" s="3" t="s">
        <v>42</v>
      </c>
      <c r="H93" s="3">
        <v>1</v>
      </c>
      <c r="I93" s="7">
        <v>36253</v>
      </c>
      <c r="J93" s="7">
        <v>18942</v>
      </c>
      <c r="K93" s="7">
        <v>17311</v>
      </c>
      <c r="L93" s="5">
        <f t="shared" si="12"/>
        <v>0.52249469009461291</v>
      </c>
      <c r="M93" s="5">
        <f t="shared" si="13"/>
        <v>0.10970644953931852</v>
      </c>
      <c r="N93" s="7">
        <f t="shared" si="15"/>
        <v>32730</v>
      </c>
      <c r="O93" s="7">
        <f t="shared" si="5"/>
        <v>31876.571428571428</v>
      </c>
      <c r="P93" s="8">
        <f t="shared" si="6"/>
        <v>1.1372929513839094</v>
      </c>
      <c r="Q93" s="7"/>
      <c r="R93" s="7"/>
      <c r="S93" s="7"/>
      <c r="T93" s="7"/>
      <c r="U93" s="7"/>
      <c r="V93" s="7"/>
      <c r="W93" s="7"/>
      <c r="X93" s="3" t="s">
        <v>55</v>
      </c>
      <c r="Y93" s="3"/>
      <c r="Z93" s="9">
        <v>5.3140200000000002</v>
      </c>
      <c r="AA93" s="5">
        <f t="shared" si="14"/>
        <v>0.12280442274251469</v>
      </c>
      <c r="AB93" s="9">
        <f t="shared" si="16"/>
        <v>3.7331942857142861</v>
      </c>
      <c r="AC93" s="9">
        <f t="shared" si="7"/>
        <v>1.5513724999999998</v>
      </c>
      <c r="AD93" s="8">
        <f t="shared" si="8"/>
        <v>2.406381630275312</v>
      </c>
      <c r="AE93" s="3" t="s">
        <v>44</v>
      </c>
      <c r="AF93" s="10">
        <f t="shared" si="9"/>
        <v>17126.5</v>
      </c>
      <c r="AG93" s="11">
        <f t="shared" si="10"/>
        <v>1.1060053134032055</v>
      </c>
      <c r="AH93" s="11">
        <f t="shared" si="11"/>
        <v>3.4253668928642225</v>
      </c>
      <c r="AI93" s="3" t="s">
        <v>45</v>
      </c>
      <c r="AJ93" s="3" t="s">
        <v>40</v>
      </c>
      <c r="AK93" s="3" t="s">
        <v>46</v>
      </c>
      <c r="AL93" s="3" t="s">
        <v>47</v>
      </c>
      <c r="AM93" s="3" t="s">
        <v>39</v>
      </c>
    </row>
    <row r="94" spans="1:39" ht="21" customHeight="1">
      <c r="A94" s="4">
        <v>46054</v>
      </c>
      <c r="B94" s="3" t="s">
        <v>39</v>
      </c>
      <c r="C94" s="3" t="s">
        <v>40</v>
      </c>
      <c r="D94" s="4">
        <v>46057</v>
      </c>
      <c r="E94" s="3">
        <v>-3</v>
      </c>
      <c r="F94" s="3" t="s">
        <v>41</v>
      </c>
      <c r="G94" s="3" t="s">
        <v>48</v>
      </c>
      <c r="H94" s="3">
        <v>1</v>
      </c>
      <c r="I94" s="7">
        <v>33131</v>
      </c>
      <c r="J94" s="7">
        <v>16048</v>
      </c>
      <c r="K94" s="7">
        <v>17084</v>
      </c>
      <c r="L94" s="5">
        <f t="shared" si="12"/>
        <v>0.48438018773957925</v>
      </c>
      <c r="M94" s="5">
        <f t="shared" si="13"/>
        <v>-8.6117011005985677E-2</v>
      </c>
      <c r="N94" s="7">
        <f t="shared" si="15"/>
        <v>32700</v>
      </c>
      <c r="O94" s="7">
        <f t="shared" ref="O94:O157" si="17">AVERAGE(I66:I93)</f>
        <v>31908.678571428572</v>
      </c>
      <c r="P94" s="8">
        <f t="shared" ref="P94:P157" si="18">IFERROR(I94/O94,"")</f>
        <v>1.0383068645677451</v>
      </c>
      <c r="Q94" s="7"/>
      <c r="R94" s="7"/>
      <c r="S94" s="7"/>
      <c r="T94" s="7"/>
      <c r="U94" s="7"/>
      <c r="V94" s="7"/>
      <c r="W94" s="7"/>
      <c r="X94" s="3" t="s">
        <v>56</v>
      </c>
      <c r="Y94" s="3"/>
      <c r="Z94" s="9">
        <v>4.8802500000000002</v>
      </c>
      <c r="AA94" s="5">
        <f t="shared" si="14"/>
        <v>-8.162746847019775E-2</v>
      </c>
      <c r="AB94" s="9">
        <f t="shared" si="16"/>
        <v>4.0023785714285713</v>
      </c>
      <c r="AC94" s="9">
        <f t="shared" ref="AC94:AC157" si="19">AVERAGE(Z66:Z93)</f>
        <v>1.7229989285714284</v>
      </c>
      <c r="AD94" s="8">
        <f t="shared" ref="AD94:AD157" si="20">IFERROR(AB94/AC94,"")</f>
        <v>2.322914138285054</v>
      </c>
      <c r="AE94" s="3" t="s">
        <v>44</v>
      </c>
      <c r="AF94" s="10">
        <f t="shared" ref="AF94:AF157" si="21">IF(COUNT(J87,J80,J73,J66)=4,AVERAGE(J87,J80,J73,J66),"")</f>
        <v>16009.5</v>
      </c>
      <c r="AG94" s="11">
        <f t="shared" ref="AG94:AG157" si="22">IFERROR(J94/AF94,"")</f>
        <v>1.0024048221368562</v>
      </c>
      <c r="AH94" s="11">
        <f t="shared" ref="AH94:AH157" si="23">IFERROR(Z94/AC94,"")</f>
        <v>2.8324161548064972</v>
      </c>
      <c r="AI94" s="3" t="s">
        <v>45</v>
      </c>
      <c r="AJ94" s="3" t="s">
        <v>40</v>
      </c>
      <c r="AK94" s="3" t="s">
        <v>46</v>
      </c>
      <c r="AL94" s="3" t="s">
        <v>47</v>
      </c>
      <c r="AM94" s="3" t="s">
        <v>39</v>
      </c>
    </row>
    <row r="95" spans="1:39" ht="21" customHeight="1">
      <c r="A95" s="4">
        <v>46055</v>
      </c>
      <c r="B95" s="3" t="s">
        <v>39</v>
      </c>
      <c r="C95" s="3" t="s">
        <v>40</v>
      </c>
      <c r="D95" s="4">
        <v>46057</v>
      </c>
      <c r="E95" s="3">
        <v>-2</v>
      </c>
      <c r="F95" s="3" t="s">
        <v>41</v>
      </c>
      <c r="G95" s="3" t="s">
        <v>49</v>
      </c>
      <c r="H95" s="3">
        <v>0</v>
      </c>
      <c r="I95" s="7">
        <v>28130</v>
      </c>
      <c r="J95" s="7">
        <v>8782</v>
      </c>
      <c r="K95" s="7">
        <v>19348</v>
      </c>
      <c r="L95" s="5">
        <f t="shared" si="12"/>
        <v>0.31219338784216139</v>
      </c>
      <c r="M95" s="5">
        <f t="shared" si="13"/>
        <v>-0.15094624369925447</v>
      </c>
      <c r="N95" s="7">
        <f t="shared" si="15"/>
        <v>32297.571428571428</v>
      </c>
      <c r="O95" s="7">
        <f t="shared" si="17"/>
        <v>31875.785714285714</v>
      </c>
      <c r="P95" s="8">
        <f t="shared" si="18"/>
        <v>0.88248805071471625</v>
      </c>
      <c r="Q95" s="7"/>
      <c r="R95" s="7"/>
      <c r="S95" s="7"/>
      <c r="T95" s="7"/>
      <c r="U95" s="7"/>
      <c r="V95" s="7"/>
      <c r="W95" s="7"/>
      <c r="X95" s="3" t="s">
        <v>56</v>
      </c>
      <c r="Y95" s="3"/>
      <c r="Z95" s="9">
        <v>5.3779899999999996</v>
      </c>
      <c r="AA95" s="5">
        <f t="shared" si="14"/>
        <v>0.10199067670713569</v>
      </c>
      <c r="AB95" s="9">
        <f t="shared" si="16"/>
        <v>4.3921157142857146</v>
      </c>
      <c r="AC95" s="9">
        <f t="shared" si="19"/>
        <v>1.8795603571428572</v>
      </c>
      <c r="AD95" s="8">
        <f t="shared" si="20"/>
        <v>2.3367782245430115</v>
      </c>
      <c r="AE95" s="3" t="s">
        <v>44</v>
      </c>
      <c r="AF95" s="10">
        <f t="shared" si="21"/>
        <v>10218.5</v>
      </c>
      <c r="AG95" s="11">
        <f t="shared" si="22"/>
        <v>0.85942163722659881</v>
      </c>
      <c r="AH95" s="11">
        <f t="shared" si="23"/>
        <v>2.8613021016122877</v>
      </c>
      <c r="AI95" s="3" t="s">
        <v>45</v>
      </c>
      <c r="AJ95" s="3" t="s">
        <v>40</v>
      </c>
      <c r="AK95" s="3" t="s">
        <v>46</v>
      </c>
      <c r="AL95" s="3" t="s">
        <v>47</v>
      </c>
      <c r="AM95" s="3" t="s">
        <v>39</v>
      </c>
    </row>
    <row r="96" spans="1:39" ht="21" customHeight="1">
      <c r="A96" s="4">
        <v>46056</v>
      </c>
      <c r="B96" s="3" t="s">
        <v>39</v>
      </c>
      <c r="C96" s="3" t="s">
        <v>40</v>
      </c>
      <c r="D96" s="4">
        <v>46057</v>
      </c>
      <c r="E96" s="3">
        <v>-1</v>
      </c>
      <c r="F96" s="3" t="s">
        <v>41</v>
      </c>
      <c r="G96" s="3" t="s">
        <v>50</v>
      </c>
      <c r="H96" s="3">
        <v>0</v>
      </c>
      <c r="I96" s="7">
        <v>31017</v>
      </c>
      <c r="J96" s="7">
        <v>10322</v>
      </c>
      <c r="K96" s="7">
        <v>20696</v>
      </c>
      <c r="L96" s="5">
        <f t="shared" si="12"/>
        <v>0.33278524680014188</v>
      </c>
      <c r="M96" s="5">
        <f t="shared" si="13"/>
        <v>0.10263064344116613</v>
      </c>
      <c r="N96" s="7">
        <f t="shared" si="15"/>
        <v>32164.571428571428</v>
      </c>
      <c r="O96" s="7">
        <f t="shared" si="17"/>
        <v>31773.178571428572</v>
      </c>
      <c r="P96" s="8">
        <f t="shared" si="18"/>
        <v>0.97620072635387656</v>
      </c>
      <c r="Q96" s="7"/>
      <c r="R96" s="7"/>
      <c r="S96" s="7"/>
      <c r="T96" s="7"/>
      <c r="U96" s="7"/>
      <c r="V96" s="7"/>
      <c r="W96" s="7"/>
      <c r="X96" s="3" t="s">
        <v>56</v>
      </c>
      <c r="Y96" s="3"/>
      <c r="Z96" s="9">
        <v>6.9134700000000002</v>
      </c>
      <c r="AA96" s="5">
        <f t="shared" si="14"/>
        <v>0.285511873395079</v>
      </c>
      <c r="AB96" s="9">
        <f t="shared" si="16"/>
        <v>4.9295157142857144</v>
      </c>
      <c r="AC96" s="9">
        <f t="shared" si="19"/>
        <v>2.0577703571428572</v>
      </c>
      <c r="AD96" s="8">
        <f t="shared" si="20"/>
        <v>2.3955616316342394</v>
      </c>
      <c r="AE96" s="3" t="s">
        <v>44</v>
      </c>
      <c r="AF96" s="10">
        <f t="shared" si="21"/>
        <v>10739.75</v>
      </c>
      <c r="AG96" s="11">
        <f t="shared" si="22"/>
        <v>0.96110244651877375</v>
      </c>
      <c r="AH96" s="11">
        <f t="shared" si="23"/>
        <v>3.3596897613002423</v>
      </c>
      <c r="AI96" s="3" t="s">
        <v>45</v>
      </c>
      <c r="AJ96" s="3" t="s">
        <v>40</v>
      </c>
      <c r="AK96" s="3" t="s">
        <v>46</v>
      </c>
      <c r="AL96" s="3" t="s">
        <v>47</v>
      </c>
      <c r="AM96" s="3" t="s">
        <v>39</v>
      </c>
    </row>
    <row r="97" spans="1:39" ht="21" customHeight="1">
      <c r="A97" s="4">
        <v>46057</v>
      </c>
      <c r="B97" s="3" t="s">
        <v>39</v>
      </c>
      <c r="C97" s="3" t="s">
        <v>40</v>
      </c>
      <c r="D97" s="4">
        <v>46057</v>
      </c>
      <c r="E97" s="3">
        <v>0</v>
      </c>
      <c r="F97" s="3" t="s">
        <v>3</v>
      </c>
      <c r="G97" s="3" t="s">
        <v>51</v>
      </c>
      <c r="H97" s="3">
        <v>0</v>
      </c>
      <c r="I97" s="7">
        <v>32392</v>
      </c>
      <c r="J97" s="7">
        <v>11190</v>
      </c>
      <c r="K97" s="7">
        <v>21203</v>
      </c>
      <c r="L97" s="5">
        <f t="shared" si="12"/>
        <v>0.34545566806618916</v>
      </c>
      <c r="M97" s="5">
        <f t="shared" si="13"/>
        <v>4.4330528419898707E-2</v>
      </c>
      <c r="N97" s="7">
        <f t="shared" si="15"/>
        <v>32250</v>
      </c>
      <c r="O97" s="7">
        <f t="shared" si="17"/>
        <v>31760.785714285714</v>
      </c>
      <c r="P97" s="8">
        <f t="shared" si="18"/>
        <v>1.0198740135522015</v>
      </c>
      <c r="Q97" s="7"/>
      <c r="R97" s="7"/>
      <c r="S97" s="7"/>
      <c r="T97" s="7"/>
      <c r="U97" s="7"/>
      <c r="V97" s="7"/>
      <c r="W97" s="7"/>
      <c r="X97" s="3" t="s">
        <v>56</v>
      </c>
      <c r="Y97" s="3"/>
      <c r="Z97" s="9">
        <v>23.649930000000001</v>
      </c>
      <c r="AA97" s="5">
        <f t="shared" si="14"/>
        <v>2.4208479967368053</v>
      </c>
      <c r="AB97" s="9">
        <f t="shared" si="16"/>
        <v>7.7613185714285722</v>
      </c>
      <c r="AC97" s="9">
        <f t="shared" si="19"/>
        <v>2.2905817857142856</v>
      </c>
      <c r="AD97" s="8">
        <f t="shared" si="20"/>
        <v>3.3883612538236938</v>
      </c>
      <c r="AE97" s="3" t="s">
        <v>44</v>
      </c>
      <c r="AF97" s="10">
        <f t="shared" si="21"/>
        <v>10920.75</v>
      </c>
      <c r="AG97" s="11">
        <f t="shared" si="22"/>
        <v>1.0246549000755443</v>
      </c>
      <c r="AH97" s="11">
        <f t="shared" si="23"/>
        <v>10.324857268794315</v>
      </c>
      <c r="AI97" s="3" t="s">
        <v>45</v>
      </c>
      <c r="AJ97" s="3" t="s">
        <v>40</v>
      </c>
      <c r="AK97" s="3" t="s">
        <v>46</v>
      </c>
      <c r="AL97" s="3" t="s">
        <v>47</v>
      </c>
      <c r="AM97" s="3" t="s">
        <v>39</v>
      </c>
    </row>
    <row r="98" spans="1:39" ht="21" customHeight="1">
      <c r="A98" s="4">
        <v>46058</v>
      </c>
      <c r="B98" s="3" t="s">
        <v>39</v>
      </c>
      <c r="C98" s="3" t="s">
        <v>40</v>
      </c>
      <c r="D98" s="4">
        <v>46057</v>
      </c>
      <c r="E98" s="3">
        <v>1</v>
      </c>
      <c r="F98" s="3" t="s">
        <v>57</v>
      </c>
      <c r="G98" s="3" t="s">
        <v>52</v>
      </c>
      <c r="H98" s="3">
        <v>0</v>
      </c>
      <c r="I98" s="7">
        <v>31171</v>
      </c>
      <c r="J98" s="7">
        <v>10672</v>
      </c>
      <c r="K98" s="7">
        <v>20500</v>
      </c>
      <c r="L98" s="5">
        <f t="shared" si="12"/>
        <v>0.34236951012158739</v>
      </c>
      <c r="M98" s="5">
        <f t="shared" si="13"/>
        <v>-3.7694492467275853E-2</v>
      </c>
      <c r="N98" s="7">
        <f t="shared" si="15"/>
        <v>32109</v>
      </c>
      <c r="O98" s="7">
        <f t="shared" si="17"/>
        <v>31819.392857142859</v>
      </c>
      <c r="P98" s="8">
        <f t="shared" si="18"/>
        <v>0.97962271435995341</v>
      </c>
      <c r="Q98" s="7"/>
      <c r="R98" s="7"/>
      <c r="S98" s="7"/>
      <c r="T98" s="7"/>
      <c r="U98" s="7"/>
      <c r="V98" s="7"/>
      <c r="W98" s="7"/>
      <c r="X98" s="3" t="s">
        <v>56</v>
      </c>
      <c r="Y98" s="3"/>
      <c r="Z98" s="9">
        <v>28.005870000000002</v>
      </c>
      <c r="AA98" s="5">
        <f t="shared" si="14"/>
        <v>0.18418405466739229</v>
      </c>
      <c r="AB98" s="9">
        <f t="shared" si="16"/>
        <v>11.267762857142857</v>
      </c>
      <c r="AC98" s="9">
        <f t="shared" si="19"/>
        <v>3.122820357142857</v>
      </c>
      <c r="AD98" s="8">
        <f t="shared" si="20"/>
        <v>3.6082007827859823</v>
      </c>
      <c r="AE98" s="3" t="s">
        <v>44</v>
      </c>
      <c r="AF98" s="10">
        <f t="shared" si="21"/>
        <v>10867.25</v>
      </c>
      <c r="AG98" s="11">
        <f t="shared" si="22"/>
        <v>0.98203317306586302</v>
      </c>
      <c r="AH98" s="11">
        <f t="shared" si="23"/>
        <v>8.968133545031467</v>
      </c>
      <c r="AI98" s="3" t="s">
        <v>45</v>
      </c>
      <c r="AJ98" s="3" t="s">
        <v>40</v>
      </c>
      <c r="AK98" s="3" t="s">
        <v>46</v>
      </c>
      <c r="AL98" s="3" t="s">
        <v>47</v>
      </c>
      <c r="AM98" s="3" t="s">
        <v>39</v>
      </c>
    </row>
    <row r="99" spans="1:39" ht="21" customHeight="1">
      <c r="A99" s="4">
        <v>46059</v>
      </c>
      <c r="B99" s="3" t="s">
        <v>39</v>
      </c>
      <c r="C99" s="3" t="s">
        <v>40</v>
      </c>
      <c r="D99" s="4">
        <v>46057</v>
      </c>
      <c r="E99" s="3">
        <v>2</v>
      </c>
      <c r="F99" s="3" t="s">
        <v>57</v>
      </c>
      <c r="G99" s="3" t="s">
        <v>53</v>
      </c>
      <c r="H99" s="3">
        <v>0</v>
      </c>
      <c r="I99" s="7">
        <v>32526</v>
      </c>
      <c r="J99" s="7">
        <v>11662</v>
      </c>
      <c r="K99" s="7">
        <v>20864</v>
      </c>
      <c r="L99" s="5">
        <f t="shared" si="12"/>
        <v>0.35854393408350244</v>
      </c>
      <c r="M99" s="5">
        <f t="shared" si="13"/>
        <v>4.3469891886689593E-2</v>
      </c>
      <c r="N99" s="7">
        <f t="shared" si="15"/>
        <v>32088.571428571428</v>
      </c>
      <c r="O99" s="7">
        <f t="shared" si="17"/>
        <v>31841.5</v>
      </c>
      <c r="P99" s="8">
        <f t="shared" si="18"/>
        <v>1.021497102837492</v>
      </c>
      <c r="Q99" s="7"/>
      <c r="R99" s="7"/>
      <c r="S99" s="7"/>
      <c r="T99" s="7"/>
      <c r="U99" s="7"/>
      <c r="V99" s="7"/>
      <c r="W99" s="7"/>
      <c r="X99" s="3" t="s">
        <v>56</v>
      </c>
      <c r="Y99" s="3"/>
      <c r="Z99" s="9">
        <v>31.973490000000002</v>
      </c>
      <c r="AA99" s="5">
        <f t="shared" si="14"/>
        <v>0.14167101396957138</v>
      </c>
      <c r="AB99" s="9">
        <f t="shared" si="16"/>
        <v>15.159288571428572</v>
      </c>
      <c r="AC99" s="9">
        <f t="shared" si="19"/>
        <v>4.1052714285714282</v>
      </c>
      <c r="AD99" s="8">
        <f t="shared" si="20"/>
        <v>3.692639776733051</v>
      </c>
      <c r="AE99" s="3" t="s">
        <v>44</v>
      </c>
      <c r="AF99" s="10">
        <f t="shared" si="21"/>
        <v>12765.25</v>
      </c>
      <c r="AG99" s="11">
        <f t="shared" si="22"/>
        <v>0.91357396055698081</v>
      </c>
      <c r="AH99" s="11">
        <f t="shared" si="23"/>
        <v>7.7883985398564226</v>
      </c>
      <c r="AI99" s="3" t="s">
        <v>45</v>
      </c>
      <c r="AJ99" s="3" t="s">
        <v>40</v>
      </c>
      <c r="AK99" s="3" t="s">
        <v>46</v>
      </c>
      <c r="AL99" s="3" t="s">
        <v>47</v>
      </c>
      <c r="AM99" s="3" t="s">
        <v>39</v>
      </c>
    </row>
    <row r="100" spans="1:39" ht="21" customHeight="1">
      <c r="A100" s="4">
        <v>46060</v>
      </c>
      <c r="B100" s="3" t="s">
        <v>39</v>
      </c>
      <c r="C100" s="3" t="s">
        <v>40</v>
      </c>
      <c r="D100" s="4">
        <v>46057</v>
      </c>
      <c r="E100" s="3">
        <v>3</v>
      </c>
      <c r="F100" s="3" t="s">
        <v>57</v>
      </c>
      <c r="G100" s="3" t="s">
        <v>42</v>
      </c>
      <c r="H100" s="3">
        <v>1</v>
      </c>
      <c r="I100" s="7">
        <v>34184</v>
      </c>
      <c r="J100" s="7">
        <v>16782</v>
      </c>
      <c r="K100" s="7">
        <v>17402</v>
      </c>
      <c r="L100" s="5">
        <f t="shared" si="12"/>
        <v>0.49093142990872923</v>
      </c>
      <c r="M100" s="5">
        <f t="shared" si="13"/>
        <v>5.097460493143946E-2</v>
      </c>
      <c r="N100" s="7">
        <f t="shared" si="15"/>
        <v>31793</v>
      </c>
      <c r="O100" s="7">
        <f t="shared" si="17"/>
        <v>31816.892857142859</v>
      </c>
      <c r="P100" s="8">
        <f t="shared" si="18"/>
        <v>1.0743978097888252</v>
      </c>
      <c r="Q100" s="7"/>
      <c r="R100" s="7"/>
      <c r="S100" s="7"/>
      <c r="T100" s="7"/>
      <c r="U100" s="7"/>
      <c r="V100" s="7"/>
      <c r="W100" s="7"/>
      <c r="X100" s="3" t="s">
        <v>56</v>
      </c>
      <c r="Y100" s="3"/>
      <c r="Z100" s="9">
        <v>42.076520000000002</v>
      </c>
      <c r="AA100" s="5">
        <f t="shared" si="14"/>
        <v>0.31598145838943448</v>
      </c>
      <c r="AB100" s="9">
        <f t="shared" si="16"/>
        <v>20.411074285714285</v>
      </c>
      <c r="AC100" s="9">
        <f t="shared" si="19"/>
        <v>5.2296100000000001</v>
      </c>
      <c r="AD100" s="8">
        <f t="shared" si="20"/>
        <v>3.9029821125694428</v>
      </c>
      <c r="AE100" s="3" t="s">
        <v>44</v>
      </c>
      <c r="AF100" s="10">
        <f t="shared" si="21"/>
        <v>17368</v>
      </c>
      <c r="AG100" s="11">
        <f t="shared" si="22"/>
        <v>0.96625978811607549</v>
      </c>
      <c r="AH100" s="11">
        <f t="shared" si="23"/>
        <v>8.0458236847489584</v>
      </c>
      <c r="AI100" s="3" t="s">
        <v>45</v>
      </c>
      <c r="AJ100" s="3" t="s">
        <v>40</v>
      </c>
      <c r="AK100" s="3" t="s">
        <v>46</v>
      </c>
      <c r="AL100" s="3" t="s">
        <v>47</v>
      </c>
      <c r="AM100" s="3" t="s">
        <v>39</v>
      </c>
    </row>
    <row r="101" spans="1:39" ht="21" customHeight="1">
      <c r="A101" s="4">
        <v>46061</v>
      </c>
      <c r="B101" s="3" t="s">
        <v>39</v>
      </c>
      <c r="C101" s="3" t="s">
        <v>40</v>
      </c>
      <c r="D101" s="4">
        <v>46057</v>
      </c>
      <c r="E101" s="3">
        <v>4</v>
      </c>
      <c r="F101" s="3" t="s">
        <v>57</v>
      </c>
      <c r="G101" s="3" t="s">
        <v>48</v>
      </c>
      <c r="H101" s="3">
        <v>1</v>
      </c>
      <c r="I101" s="7">
        <v>32508</v>
      </c>
      <c r="J101" s="7">
        <v>15600</v>
      </c>
      <c r="K101" s="7">
        <v>16908</v>
      </c>
      <c r="L101" s="5">
        <f t="shared" si="12"/>
        <v>0.47988187523071246</v>
      </c>
      <c r="M101" s="5">
        <f t="shared" si="13"/>
        <v>-4.9028785396676766E-2</v>
      </c>
      <c r="N101" s="7">
        <f t="shared" si="15"/>
        <v>31704</v>
      </c>
      <c r="O101" s="7">
        <f t="shared" si="17"/>
        <v>31968.75</v>
      </c>
      <c r="P101" s="8">
        <f t="shared" si="18"/>
        <v>1.0168680351906159</v>
      </c>
      <c r="Q101" s="7"/>
      <c r="R101" s="7"/>
      <c r="S101" s="7"/>
      <c r="T101" s="7"/>
      <c r="U101" s="7"/>
      <c r="V101" s="7"/>
      <c r="W101" s="7"/>
      <c r="X101" s="3" t="s">
        <v>56</v>
      </c>
      <c r="Y101" s="3"/>
      <c r="Z101" s="9">
        <v>42.396000000000001</v>
      </c>
      <c r="AA101" s="5">
        <f t="shared" si="14"/>
        <v>7.5928332476165039E-3</v>
      </c>
      <c r="AB101" s="9">
        <f t="shared" si="16"/>
        <v>25.770467142857147</v>
      </c>
      <c r="AC101" s="9">
        <f t="shared" si="19"/>
        <v>6.7161392857142852</v>
      </c>
      <c r="AD101" s="8">
        <f t="shared" si="20"/>
        <v>3.8370953976003443</v>
      </c>
      <c r="AE101" s="3" t="s">
        <v>44</v>
      </c>
      <c r="AF101" s="10">
        <f t="shared" si="21"/>
        <v>15947.5</v>
      </c>
      <c r="AG101" s="11">
        <f t="shared" si="22"/>
        <v>0.97820975074463079</v>
      </c>
      <c r="AH101" s="11">
        <f t="shared" si="23"/>
        <v>6.3125552041750179</v>
      </c>
      <c r="AI101" s="3" t="s">
        <v>45</v>
      </c>
      <c r="AJ101" s="3" t="s">
        <v>40</v>
      </c>
      <c r="AK101" s="3" t="s">
        <v>46</v>
      </c>
      <c r="AL101" s="3" t="s">
        <v>47</v>
      </c>
      <c r="AM101" s="3" t="s">
        <v>39</v>
      </c>
    </row>
    <row r="102" spans="1:39" ht="21" customHeight="1">
      <c r="A102" s="4">
        <v>46062</v>
      </c>
      <c r="B102" s="3" t="s">
        <v>39</v>
      </c>
      <c r="C102" s="3" t="s">
        <v>40</v>
      </c>
      <c r="D102" s="4">
        <v>46057</v>
      </c>
      <c r="E102" s="3">
        <v>5</v>
      </c>
      <c r="F102" s="3" t="s">
        <v>57</v>
      </c>
      <c r="G102" s="3" t="s">
        <v>49</v>
      </c>
      <c r="H102" s="3">
        <v>0</v>
      </c>
      <c r="I102" s="7">
        <v>32578</v>
      </c>
      <c r="J102" s="7">
        <v>11522</v>
      </c>
      <c r="K102" s="7">
        <v>21056</v>
      </c>
      <c r="L102" s="5">
        <f t="shared" si="12"/>
        <v>0.35367425870219166</v>
      </c>
      <c r="M102" s="5">
        <f t="shared" si="13"/>
        <v>2.1533161068045814E-3</v>
      </c>
      <c r="N102" s="7">
        <f t="shared" si="15"/>
        <v>32339.428571428572</v>
      </c>
      <c r="O102" s="7">
        <f t="shared" si="17"/>
        <v>32074.607142857141</v>
      </c>
      <c r="P102" s="8">
        <f t="shared" si="18"/>
        <v>1.0156944356294311</v>
      </c>
      <c r="Q102" s="7"/>
      <c r="R102" s="7"/>
      <c r="S102" s="7"/>
      <c r="T102" s="7"/>
      <c r="U102" s="7"/>
      <c r="V102" s="7"/>
      <c r="W102" s="7"/>
      <c r="X102" s="3" t="s">
        <v>56</v>
      </c>
      <c r="Y102" s="3"/>
      <c r="Z102" s="9">
        <v>33.878140000000002</v>
      </c>
      <c r="AA102" s="5">
        <f t="shared" si="14"/>
        <v>-0.20091187847910175</v>
      </c>
      <c r="AB102" s="9">
        <f t="shared" si="16"/>
        <v>29.841917142857145</v>
      </c>
      <c r="AC102" s="9">
        <f t="shared" si="19"/>
        <v>8.2101582142857144</v>
      </c>
      <c r="AD102" s="8">
        <f t="shared" si="20"/>
        <v>3.6347554290649438</v>
      </c>
      <c r="AE102" s="3" t="s">
        <v>44</v>
      </c>
      <c r="AF102" s="10">
        <f t="shared" si="21"/>
        <v>9937</v>
      </c>
      <c r="AG102" s="11">
        <f t="shared" si="22"/>
        <v>1.1595048807487169</v>
      </c>
      <c r="AH102" s="11">
        <f t="shared" si="23"/>
        <v>4.1263687149234078</v>
      </c>
      <c r="AI102" s="3" t="s">
        <v>45</v>
      </c>
      <c r="AJ102" s="3" t="s">
        <v>40</v>
      </c>
      <c r="AK102" s="3" t="s">
        <v>46</v>
      </c>
      <c r="AL102" s="3" t="s">
        <v>47</v>
      </c>
      <c r="AM102" s="3" t="s">
        <v>39</v>
      </c>
    </row>
    <row r="103" spans="1:39" ht="21" customHeight="1">
      <c r="A103" s="4">
        <v>46063</v>
      </c>
      <c r="B103" s="3" t="s">
        <v>39</v>
      </c>
      <c r="C103" s="3" t="s">
        <v>40</v>
      </c>
      <c r="D103" s="4">
        <v>46057</v>
      </c>
      <c r="E103" s="3">
        <v>6</v>
      </c>
      <c r="F103" s="3" t="s">
        <v>57</v>
      </c>
      <c r="G103" s="3" t="s">
        <v>50</v>
      </c>
      <c r="H103" s="3">
        <v>0</v>
      </c>
      <c r="I103" s="7">
        <v>32508</v>
      </c>
      <c r="J103" s="7">
        <v>11382</v>
      </c>
      <c r="K103" s="7">
        <v>21126</v>
      </c>
      <c r="L103" s="5">
        <f t="shared" si="12"/>
        <v>0.35012919896640826</v>
      </c>
      <c r="M103" s="5">
        <f t="shared" si="13"/>
        <v>-2.1486892995272733E-3</v>
      </c>
      <c r="N103" s="7">
        <f t="shared" si="15"/>
        <v>32552.428571428572</v>
      </c>
      <c r="O103" s="7">
        <f t="shared" si="17"/>
        <v>32203.357142857141</v>
      </c>
      <c r="P103" s="8">
        <f t="shared" si="18"/>
        <v>1.0094599720082422</v>
      </c>
      <c r="Q103" s="7"/>
      <c r="R103" s="7"/>
      <c r="S103" s="7"/>
      <c r="T103" s="7"/>
      <c r="U103" s="7"/>
      <c r="V103" s="7"/>
      <c r="W103" s="7"/>
      <c r="X103" s="3" t="s">
        <v>56</v>
      </c>
      <c r="Y103" s="3"/>
      <c r="Z103" s="9">
        <v>27.096060000000001</v>
      </c>
      <c r="AA103" s="5">
        <f t="shared" si="14"/>
        <v>-0.20019044729138025</v>
      </c>
      <c r="AB103" s="9">
        <f t="shared" si="16"/>
        <v>32.725144285714286</v>
      </c>
      <c r="AC103" s="9">
        <f t="shared" si="19"/>
        <v>9.3964542857142863</v>
      </c>
      <c r="AD103" s="8">
        <f t="shared" si="20"/>
        <v>3.4827120199443011</v>
      </c>
      <c r="AE103" s="3" t="s">
        <v>44</v>
      </c>
      <c r="AF103" s="10">
        <f t="shared" si="21"/>
        <v>10775.75</v>
      </c>
      <c r="AG103" s="11">
        <f t="shared" si="22"/>
        <v>1.0562605851100852</v>
      </c>
      <c r="AH103" s="11">
        <f t="shared" si="23"/>
        <v>2.8836472967462803</v>
      </c>
      <c r="AI103" s="3" t="s">
        <v>45</v>
      </c>
      <c r="AJ103" s="3" t="s">
        <v>40</v>
      </c>
      <c r="AK103" s="3" t="s">
        <v>46</v>
      </c>
      <c r="AL103" s="3" t="s">
        <v>47</v>
      </c>
      <c r="AM103" s="3" t="s">
        <v>39</v>
      </c>
    </row>
    <row r="104" spans="1:39" ht="21" customHeight="1">
      <c r="A104" s="4">
        <v>46064</v>
      </c>
      <c r="B104" s="3" t="s">
        <v>39</v>
      </c>
      <c r="C104" s="3" t="s">
        <v>40</v>
      </c>
      <c r="D104" s="4">
        <v>46057</v>
      </c>
      <c r="E104" s="3">
        <v>7</v>
      </c>
      <c r="F104" s="3" t="s">
        <v>57</v>
      </c>
      <c r="G104" s="3" t="s">
        <v>51</v>
      </c>
      <c r="H104" s="3">
        <v>0</v>
      </c>
      <c r="I104" s="7">
        <v>32508</v>
      </c>
      <c r="J104" s="7">
        <v>11263</v>
      </c>
      <c r="K104" s="7">
        <v>21245</v>
      </c>
      <c r="L104" s="5">
        <f t="shared" si="12"/>
        <v>0.34646856158484063</v>
      </c>
      <c r="M104" s="5">
        <f t="shared" si="13"/>
        <v>0</v>
      </c>
      <c r="N104" s="7">
        <f t="shared" si="15"/>
        <v>32569</v>
      </c>
      <c r="O104" s="7">
        <f t="shared" si="17"/>
        <v>32315.5</v>
      </c>
      <c r="P104" s="8">
        <f t="shared" si="18"/>
        <v>1.0059568937506769</v>
      </c>
      <c r="Q104" s="7"/>
      <c r="R104" s="7"/>
      <c r="S104" s="7"/>
      <c r="T104" s="7"/>
      <c r="U104" s="7"/>
      <c r="V104" s="7"/>
      <c r="W104" s="7"/>
      <c r="X104" s="3" t="s">
        <v>56</v>
      </c>
      <c r="Y104" s="3"/>
      <c r="Z104" s="9">
        <v>26.247109999999999</v>
      </c>
      <c r="AA104" s="5">
        <f t="shared" si="14"/>
        <v>-3.1331123417943529E-2</v>
      </c>
      <c r="AB104" s="9">
        <f t="shared" si="16"/>
        <v>33.096170000000001</v>
      </c>
      <c r="AC104" s="9">
        <f t="shared" si="19"/>
        <v>10.345349642857146</v>
      </c>
      <c r="AD104" s="8">
        <f t="shared" si="20"/>
        <v>3.1991349874627923</v>
      </c>
      <c r="AE104" s="3" t="s">
        <v>44</v>
      </c>
      <c r="AF104" s="10">
        <f t="shared" si="21"/>
        <v>11238.5</v>
      </c>
      <c r="AG104" s="11">
        <f t="shared" si="22"/>
        <v>1.0021800062285893</v>
      </c>
      <c r="AH104" s="11">
        <f t="shared" si="23"/>
        <v>2.537092597747248</v>
      </c>
      <c r="AI104" s="3" t="s">
        <v>45</v>
      </c>
      <c r="AJ104" s="3" t="s">
        <v>40</v>
      </c>
      <c r="AK104" s="3" t="s">
        <v>46</v>
      </c>
      <c r="AL104" s="3" t="s">
        <v>47</v>
      </c>
      <c r="AM104" s="3" t="s">
        <v>39</v>
      </c>
    </row>
    <row r="105" spans="1:39" ht="21" customHeight="1">
      <c r="A105" s="4">
        <v>46065</v>
      </c>
      <c r="B105" s="3" t="s">
        <v>39</v>
      </c>
      <c r="C105" s="3" t="s">
        <v>40</v>
      </c>
      <c r="D105" s="4">
        <v>46057</v>
      </c>
      <c r="E105" s="3">
        <v>8</v>
      </c>
      <c r="F105" s="3" t="s">
        <v>57</v>
      </c>
      <c r="G105" s="3" t="s">
        <v>52</v>
      </c>
      <c r="H105" s="3">
        <v>0</v>
      </c>
      <c r="I105" s="7">
        <v>32540</v>
      </c>
      <c r="J105" s="7">
        <v>11319</v>
      </c>
      <c r="K105" s="7">
        <v>21220</v>
      </c>
      <c r="L105" s="5">
        <f t="shared" si="12"/>
        <v>0.34784880147510755</v>
      </c>
      <c r="M105" s="5">
        <f t="shared" si="13"/>
        <v>9.8437307739640545E-4</v>
      </c>
      <c r="N105" s="7">
        <f t="shared" si="15"/>
        <v>32764.571428571428</v>
      </c>
      <c r="O105" s="7">
        <f t="shared" si="17"/>
        <v>32343.5</v>
      </c>
      <c r="P105" s="8">
        <f t="shared" si="18"/>
        <v>1.0060754092785258</v>
      </c>
      <c r="Q105" s="7"/>
      <c r="R105" s="7"/>
      <c r="S105" s="7"/>
      <c r="T105" s="7"/>
      <c r="U105" s="7"/>
      <c r="V105" s="7"/>
      <c r="W105" s="7"/>
      <c r="X105" s="3" t="s">
        <v>56</v>
      </c>
      <c r="Y105" s="3"/>
      <c r="Z105" s="9">
        <v>26.932009999999998</v>
      </c>
      <c r="AA105" s="5">
        <f t="shared" si="14"/>
        <v>2.6094301429757438E-2</v>
      </c>
      <c r="AB105" s="9">
        <f t="shared" si="16"/>
        <v>32.942761428571423</v>
      </c>
      <c r="AC105" s="9">
        <f t="shared" si="19"/>
        <v>11.248791785714289</v>
      </c>
      <c r="AD105" s="8">
        <f t="shared" si="20"/>
        <v>2.9285599783621192</v>
      </c>
      <c r="AE105" s="3" t="s">
        <v>44</v>
      </c>
      <c r="AF105" s="10">
        <f t="shared" si="21"/>
        <v>11017</v>
      </c>
      <c r="AG105" s="11">
        <f t="shared" si="22"/>
        <v>1.0274121811745485</v>
      </c>
      <c r="AH105" s="11">
        <f t="shared" si="23"/>
        <v>2.3942135753817615</v>
      </c>
      <c r="AI105" s="3" t="s">
        <v>45</v>
      </c>
      <c r="AJ105" s="3" t="s">
        <v>40</v>
      </c>
      <c r="AK105" s="3" t="s">
        <v>46</v>
      </c>
      <c r="AL105" s="3" t="s">
        <v>47</v>
      </c>
      <c r="AM105" s="3" t="s">
        <v>39</v>
      </c>
    </row>
    <row r="106" spans="1:39" ht="21" customHeight="1">
      <c r="A106" s="4">
        <v>46066</v>
      </c>
      <c r="B106" s="3" t="s">
        <v>39</v>
      </c>
      <c r="C106" s="3" t="s">
        <v>40</v>
      </c>
      <c r="D106" s="4">
        <v>46057</v>
      </c>
      <c r="E106" s="3">
        <v>9</v>
      </c>
      <c r="F106" s="3" t="s">
        <v>57</v>
      </c>
      <c r="G106" s="3" t="s">
        <v>53</v>
      </c>
      <c r="H106" s="3">
        <v>0</v>
      </c>
      <c r="I106" s="7">
        <v>34444</v>
      </c>
      <c r="J106" s="7">
        <v>13412</v>
      </c>
      <c r="K106" s="7">
        <v>21032</v>
      </c>
      <c r="L106" s="5">
        <f t="shared" si="12"/>
        <v>0.38938566949250958</v>
      </c>
      <c r="M106" s="5">
        <f t="shared" si="13"/>
        <v>5.8512599877074356E-2</v>
      </c>
      <c r="N106" s="7">
        <f t="shared" si="15"/>
        <v>33038.571428571428</v>
      </c>
      <c r="O106" s="7">
        <f t="shared" si="17"/>
        <v>32424.5</v>
      </c>
      <c r="P106" s="8">
        <f t="shared" si="18"/>
        <v>1.0622831500871255</v>
      </c>
      <c r="Q106" s="7"/>
      <c r="R106" s="7"/>
      <c r="S106" s="7"/>
      <c r="T106" s="7"/>
      <c r="U106" s="7"/>
      <c r="V106" s="7"/>
      <c r="W106" s="7"/>
      <c r="X106" s="3" t="s">
        <v>56</v>
      </c>
      <c r="Y106" s="3"/>
      <c r="Z106" s="9">
        <v>31.881609999999998</v>
      </c>
      <c r="AA106" s="5">
        <f t="shared" si="14"/>
        <v>0.18378130707659768</v>
      </c>
      <c r="AB106" s="9">
        <f t="shared" si="16"/>
        <v>32.929635714285709</v>
      </c>
      <c r="AC106" s="9">
        <f t="shared" si="19"/>
        <v>12.174705714285716</v>
      </c>
      <c r="AD106" s="8">
        <f t="shared" si="20"/>
        <v>2.7047582493633748</v>
      </c>
      <c r="AE106" s="3" t="s">
        <v>44</v>
      </c>
      <c r="AF106" s="10">
        <f t="shared" si="21"/>
        <v>12571</v>
      </c>
      <c r="AG106" s="11">
        <f t="shared" si="22"/>
        <v>1.0669000079548165</v>
      </c>
      <c r="AH106" s="11">
        <f t="shared" si="23"/>
        <v>2.6186760278394519</v>
      </c>
      <c r="AI106" s="3" t="s">
        <v>45</v>
      </c>
      <c r="AJ106" s="3" t="s">
        <v>40</v>
      </c>
      <c r="AK106" s="3" t="s">
        <v>46</v>
      </c>
      <c r="AL106" s="3" t="s">
        <v>47</v>
      </c>
      <c r="AM106" s="3" t="s">
        <v>39</v>
      </c>
    </row>
    <row r="107" spans="1:39" ht="21" customHeight="1">
      <c r="A107" s="4">
        <v>46067</v>
      </c>
      <c r="B107" s="3" t="s">
        <v>39</v>
      </c>
      <c r="C107" s="3" t="s">
        <v>40</v>
      </c>
      <c r="D107" s="4">
        <v>46057</v>
      </c>
      <c r="E107" s="3">
        <v>10</v>
      </c>
      <c r="F107" s="3" t="s">
        <v>57</v>
      </c>
      <c r="G107" s="3" t="s">
        <v>42</v>
      </c>
      <c r="H107" s="3">
        <v>1</v>
      </c>
      <c r="I107" s="7">
        <v>43298</v>
      </c>
      <c r="J107" s="7">
        <v>25070</v>
      </c>
      <c r="K107" s="7">
        <v>18228</v>
      </c>
      <c r="L107" s="5">
        <f t="shared" si="12"/>
        <v>0.57901057785579013</v>
      </c>
      <c r="M107" s="5">
        <f t="shared" si="13"/>
        <v>0.25705492974102895</v>
      </c>
      <c r="N107" s="7">
        <f t="shared" si="15"/>
        <v>34340.571428571428</v>
      </c>
      <c r="O107" s="7">
        <f t="shared" si="17"/>
        <v>32457.785714285714</v>
      </c>
      <c r="P107" s="8">
        <f t="shared" si="18"/>
        <v>1.3339788604539082</v>
      </c>
      <c r="Q107" s="7"/>
      <c r="R107" s="7"/>
      <c r="S107" s="7"/>
      <c r="T107" s="7"/>
      <c r="U107" s="7"/>
      <c r="V107" s="7"/>
      <c r="W107" s="7"/>
      <c r="X107" s="3" t="s">
        <v>56</v>
      </c>
      <c r="Y107" s="3"/>
      <c r="Z107" s="9">
        <v>47.389420000000001</v>
      </c>
      <c r="AA107" s="5">
        <f t="shared" si="14"/>
        <v>0.48641865953444641</v>
      </c>
      <c r="AB107" s="9">
        <f t="shared" si="16"/>
        <v>33.68862142857143</v>
      </c>
      <c r="AC107" s="9">
        <f t="shared" si="19"/>
        <v>13.277012142857146</v>
      </c>
      <c r="AD107" s="8">
        <f t="shared" si="20"/>
        <v>2.5373646620256696</v>
      </c>
      <c r="AE107" s="3" t="s">
        <v>44</v>
      </c>
      <c r="AF107" s="10">
        <f t="shared" si="21"/>
        <v>18014.5</v>
      </c>
      <c r="AG107" s="11">
        <f t="shared" si="22"/>
        <v>1.3916567209747703</v>
      </c>
      <c r="AH107" s="11">
        <f t="shared" si="23"/>
        <v>3.5692834720720561</v>
      </c>
      <c r="AI107" s="3" t="s">
        <v>45</v>
      </c>
      <c r="AJ107" s="3" t="s">
        <v>40</v>
      </c>
      <c r="AK107" s="3" t="s">
        <v>46</v>
      </c>
      <c r="AL107" s="3" t="s">
        <v>47</v>
      </c>
      <c r="AM107" s="3" t="s">
        <v>39</v>
      </c>
    </row>
    <row r="108" spans="1:39" ht="21" customHeight="1">
      <c r="A108" s="4">
        <v>46068</v>
      </c>
      <c r="B108" s="3" t="s">
        <v>39</v>
      </c>
      <c r="C108" s="3" t="s">
        <v>40</v>
      </c>
      <c r="D108" s="4">
        <v>46057</v>
      </c>
      <c r="E108" s="3">
        <v>11</v>
      </c>
      <c r="F108" s="3" t="s">
        <v>57</v>
      </c>
      <c r="G108" s="3" t="s">
        <v>48</v>
      </c>
      <c r="H108" s="3">
        <v>1</v>
      </c>
      <c r="I108" s="7">
        <v>51628</v>
      </c>
      <c r="J108" s="7">
        <v>35066</v>
      </c>
      <c r="K108" s="7">
        <v>16562</v>
      </c>
      <c r="L108" s="5">
        <f t="shared" si="12"/>
        <v>0.67920508251336487</v>
      </c>
      <c r="M108" s="5">
        <f t="shared" si="13"/>
        <v>0.19238763915192392</v>
      </c>
      <c r="N108" s="7">
        <f t="shared" si="15"/>
        <v>37072</v>
      </c>
      <c r="O108" s="7">
        <f t="shared" si="17"/>
        <v>32660.5</v>
      </c>
      <c r="P108" s="8">
        <f t="shared" si="18"/>
        <v>1.5807473859861301</v>
      </c>
      <c r="Q108" s="7"/>
      <c r="R108" s="7"/>
      <c r="S108" s="7"/>
      <c r="T108" s="7"/>
      <c r="U108" s="7"/>
      <c r="V108" s="7"/>
      <c r="W108" s="7"/>
      <c r="X108" s="3" t="s">
        <v>56</v>
      </c>
      <c r="Y108" s="3"/>
      <c r="Z108" s="9">
        <v>56.859929999999999</v>
      </c>
      <c r="AA108" s="5">
        <f t="shared" si="14"/>
        <v>0.19984439564780487</v>
      </c>
      <c r="AB108" s="9">
        <f t="shared" si="16"/>
        <v>35.754897142857139</v>
      </c>
      <c r="AC108" s="9">
        <f t="shared" si="19"/>
        <v>14.936473214285721</v>
      </c>
      <c r="AD108" s="8">
        <f t="shared" si="20"/>
        <v>2.3937978283026018</v>
      </c>
      <c r="AE108" s="3" t="s">
        <v>44</v>
      </c>
      <c r="AF108" s="10">
        <f t="shared" si="21"/>
        <v>16478</v>
      </c>
      <c r="AG108" s="11">
        <f t="shared" si="22"/>
        <v>2.1280495205728851</v>
      </c>
      <c r="AH108" s="11">
        <f t="shared" si="23"/>
        <v>3.8067841842087153</v>
      </c>
      <c r="AI108" s="3" t="s">
        <v>45</v>
      </c>
      <c r="AJ108" s="3" t="s">
        <v>40</v>
      </c>
      <c r="AK108" s="3" t="s">
        <v>46</v>
      </c>
      <c r="AL108" s="3" t="s">
        <v>47</v>
      </c>
      <c r="AM108" s="3" t="s">
        <v>39</v>
      </c>
    </row>
    <row r="109" spans="1:39" ht="21" customHeight="1">
      <c r="A109" s="4">
        <v>46069</v>
      </c>
      <c r="B109" s="3" t="s">
        <v>39</v>
      </c>
      <c r="C109" s="3" t="s">
        <v>40</v>
      </c>
      <c r="D109" s="4">
        <v>46057</v>
      </c>
      <c r="E109" s="3">
        <v>12</v>
      </c>
      <c r="F109" s="3" t="s">
        <v>57</v>
      </c>
      <c r="G109" s="3" t="s">
        <v>49</v>
      </c>
      <c r="H109" s="3">
        <v>0</v>
      </c>
      <c r="I109" s="7">
        <v>59920</v>
      </c>
      <c r="J109" s="7">
        <v>44376</v>
      </c>
      <c r="K109" s="7">
        <v>15544</v>
      </c>
      <c r="L109" s="5">
        <f t="shared" si="12"/>
        <v>0.74058744993324432</v>
      </c>
      <c r="M109" s="5">
        <f t="shared" si="13"/>
        <v>0.160610521422484</v>
      </c>
      <c r="N109" s="7">
        <f t="shared" si="15"/>
        <v>40978</v>
      </c>
      <c r="O109" s="7">
        <f t="shared" si="17"/>
        <v>33271.714285714283</v>
      </c>
      <c r="P109" s="8">
        <f t="shared" si="18"/>
        <v>1.8009291461644814</v>
      </c>
      <c r="Q109" s="7"/>
      <c r="R109" s="7"/>
      <c r="S109" s="7"/>
      <c r="T109" s="7"/>
      <c r="U109" s="7"/>
      <c r="V109" s="7"/>
      <c r="W109" s="7"/>
      <c r="X109" s="3" t="s">
        <v>56</v>
      </c>
      <c r="Y109" s="3"/>
      <c r="Z109" s="9">
        <v>59.408969999999997</v>
      </c>
      <c r="AA109" s="5">
        <f t="shared" si="14"/>
        <v>4.4830164229889169E-2</v>
      </c>
      <c r="AB109" s="9">
        <f t="shared" si="16"/>
        <v>39.402158571428572</v>
      </c>
      <c r="AC109" s="9">
        <f t="shared" si="19"/>
        <v>16.934159285714291</v>
      </c>
      <c r="AD109" s="8">
        <f t="shared" si="20"/>
        <v>2.3267856352732168</v>
      </c>
      <c r="AE109" s="3" t="s">
        <v>44</v>
      </c>
      <c r="AF109" s="10">
        <f t="shared" si="21"/>
        <v>10492.5</v>
      </c>
      <c r="AG109" s="11">
        <f t="shared" si="22"/>
        <v>4.2293066476054326</v>
      </c>
      <c r="AH109" s="11">
        <f t="shared" si="23"/>
        <v>3.5082326200933749</v>
      </c>
      <c r="AI109" s="3" t="s">
        <v>45</v>
      </c>
      <c r="AJ109" s="3" t="s">
        <v>40</v>
      </c>
      <c r="AK109" s="3" t="s">
        <v>46</v>
      </c>
      <c r="AL109" s="3" t="s">
        <v>47</v>
      </c>
      <c r="AM109" s="3" t="s">
        <v>39</v>
      </c>
    </row>
    <row r="110" spans="1:39" ht="21" customHeight="1">
      <c r="A110" s="4">
        <v>46070</v>
      </c>
      <c r="B110" s="3" t="s">
        <v>39</v>
      </c>
      <c r="C110" s="3" t="s">
        <v>40</v>
      </c>
      <c r="D110" s="4">
        <v>46057</v>
      </c>
      <c r="E110" s="3">
        <v>13</v>
      </c>
      <c r="F110" s="3" t="s">
        <v>57</v>
      </c>
      <c r="G110" s="3" t="s">
        <v>50</v>
      </c>
      <c r="H110" s="3">
        <v>0</v>
      </c>
      <c r="I110" s="7">
        <v>61198</v>
      </c>
      <c r="J110" s="7">
        <v>46260</v>
      </c>
      <c r="K110" s="7">
        <v>14938</v>
      </c>
      <c r="L110" s="5">
        <f t="shared" si="12"/>
        <v>0.75590705578613682</v>
      </c>
      <c r="M110" s="5">
        <f t="shared" si="13"/>
        <v>2.1328437917222942E-2</v>
      </c>
      <c r="N110" s="7">
        <f t="shared" si="15"/>
        <v>45076.571428571428</v>
      </c>
      <c r="O110" s="7">
        <f t="shared" si="17"/>
        <v>34338.857142857145</v>
      </c>
      <c r="P110" s="8">
        <f t="shared" si="18"/>
        <v>1.7821792887690744</v>
      </c>
      <c r="Q110" s="7"/>
      <c r="R110" s="7"/>
      <c r="S110" s="7"/>
      <c r="T110" s="7"/>
      <c r="U110" s="7"/>
      <c r="V110" s="7"/>
      <c r="W110" s="7"/>
      <c r="X110" s="3" t="s">
        <v>56</v>
      </c>
      <c r="Y110" s="3"/>
      <c r="Z110" s="9">
        <v>73.318399999999997</v>
      </c>
      <c r="AA110" s="5">
        <f t="shared" si="14"/>
        <v>0.2341301322005751</v>
      </c>
      <c r="AB110" s="9">
        <f t="shared" si="16"/>
        <v>46.00535</v>
      </c>
      <c r="AC110" s="9">
        <f t="shared" si="19"/>
        <v>19.024902142857147</v>
      </c>
      <c r="AD110" s="8">
        <f t="shared" si="20"/>
        <v>2.4181648691040754</v>
      </c>
      <c r="AE110" s="3" t="s">
        <v>44</v>
      </c>
      <c r="AF110" s="10">
        <f t="shared" si="21"/>
        <v>11207.25</v>
      </c>
      <c r="AG110" s="11">
        <f t="shared" si="22"/>
        <v>4.1276852037743428</v>
      </c>
      <c r="AH110" s="11">
        <f t="shared" si="23"/>
        <v>3.8538122009488078</v>
      </c>
      <c r="AI110" s="3" t="s">
        <v>45</v>
      </c>
      <c r="AJ110" s="3" t="s">
        <v>40</v>
      </c>
      <c r="AK110" s="3" t="s">
        <v>46</v>
      </c>
      <c r="AL110" s="3" t="s">
        <v>47</v>
      </c>
      <c r="AM110" s="3" t="s">
        <v>39</v>
      </c>
    </row>
    <row r="111" spans="1:39" ht="21" customHeight="1">
      <c r="A111" s="4">
        <v>46071</v>
      </c>
      <c r="B111" s="3" t="s">
        <v>39</v>
      </c>
      <c r="C111" s="3" t="s">
        <v>40</v>
      </c>
      <c r="D111" s="4">
        <v>46057</v>
      </c>
      <c r="E111" s="3">
        <v>14</v>
      </c>
      <c r="F111" s="3" t="s">
        <v>57</v>
      </c>
      <c r="G111" s="3" t="s">
        <v>51</v>
      </c>
      <c r="H111" s="3">
        <v>0</v>
      </c>
      <c r="I111" s="7">
        <v>41622</v>
      </c>
      <c r="J111" s="7">
        <v>25998</v>
      </c>
      <c r="K111" s="7">
        <v>15624</v>
      </c>
      <c r="L111" s="5">
        <f t="shared" si="12"/>
        <v>0.62462159434914233</v>
      </c>
      <c r="M111" s="5">
        <f t="shared" si="13"/>
        <v>-0.31987973463185071</v>
      </c>
      <c r="N111" s="7">
        <f t="shared" si="15"/>
        <v>46378.571428571428</v>
      </c>
      <c r="O111" s="7">
        <f t="shared" si="17"/>
        <v>35420.142857142855</v>
      </c>
      <c r="P111" s="8">
        <f t="shared" si="18"/>
        <v>1.1750940748000533</v>
      </c>
      <c r="Q111" s="7"/>
      <c r="R111" s="7"/>
      <c r="S111" s="7"/>
      <c r="T111" s="7"/>
      <c r="U111" s="7"/>
      <c r="V111" s="7"/>
      <c r="W111" s="7"/>
      <c r="X111" s="3" t="s">
        <v>56</v>
      </c>
      <c r="Y111" s="3"/>
      <c r="Z111" s="9">
        <v>76.367159999999998</v>
      </c>
      <c r="AA111" s="5">
        <f t="shared" si="14"/>
        <v>4.1582467702514059E-2</v>
      </c>
      <c r="AB111" s="9">
        <f t="shared" si="16"/>
        <v>53.165357142857147</v>
      </c>
      <c r="AC111" s="9">
        <f t="shared" si="19"/>
        <v>21.604708571428574</v>
      </c>
      <c r="AD111" s="8">
        <f t="shared" si="20"/>
        <v>2.4608226936773572</v>
      </c>
      <c r="AE111" s="3" t="s">
        <v>44</v>
      </c>
      <c r="AF111" s="10">
        <f t="shared" si="21"/>
        <v>11283.25</v>
      </c>
      <c r="AG111" s="11">
        <f t="shared" si="22"/>
        <v>2.3041233687102562</v>
      </c>
      <c r="AH111" s="11">
        <f t="shared" si="23"/>
        <v>3.5347461294151747</v>
      </c>
      <c r="AI111" s="3" t="s">
        <v>45</v>
      </c>
      <c r="AJ111" s="3" t="s">
        <v>40</v>
      </c>
      <c r="AK111" s="3" t="s">
        <v>46</v>
      </c>
      <c r="AL111" s="3" t="s">
        <v>47</v>
      </c>
      <c r="AM111" s="3" t="s">
        <v>39</v>
      </c>
    </row>
    <row r="112" spans="1:39" ht="21" customHeight="1">
      <c r="A112" s="4">
        <v>46072</v>
      </c>
      <c r="B112" s="3" t="s">
        <v>39</v>
      </c>
      <c r="C112" s="3" t="s">
        <v>40</v>
      </c>
      <c r="D112" s="4">
        <v>46057</v>
      </c>
      <c r="E112" s="3">
        <v>15</v>
      </c>
      <c r="F112" s="3" t="s">
        <v>57</v>
      </c>
      <c r="G112" s="3" t="s">
        <v>52</v>
      </c>
      <c r="H112" s="3">
        <v>0</v>
      </c>
      <c r="I112" s="7">
        <v>34888</v>
      </c>
      <c r="J112" s="7">
        <v>14700</v>
      </c>
      <c r="K112" s="7">
        <v>20188</v>
      </c>
      <c r="L112" s="5">
        <f t="shared" si="12"/>
        <v>0.42134831460674155</v>
      </c>
      <c r="M112" s="5">
        <f t="shared" si="13"/>
        <v>-0.16178943827783387</v>
      </c>
      <c r="N112" s="7">
        <f t="shared" si="15"/>
        <v>46714</v>
      </c>
      <c r="O112" s="7">
        <f t="shared" si="17"/>
        <v>35805.285714285717</v>
      </c>
      <c r="P112" s="8">
        <f t="shared" si="18"/>
        <v>0.97438127650745887</v>
      </c>
      <c r="Q112" s="7"/>
      <c r="R112" s="7"/>
      <c r="S112" s="7"/>
      <c r="T112" s="7"/>
      <c r="U112" s="7"/>
      <c r="V112" s="7"/>
      <c r="W112" s="7"/>
      <c r="X112" s="3" t="s">
        <v>56</v>
      </c>
      <c r="Y112" s="3"/>
      <c r="Z112" s="9">
        <v>57.686680000000003</v>
      </c>
      <c r="AA112" s="5">
        <f t="shared" si="14"/>
        <v>-0.24461404614234705</v>
      </c>
      <c r="AB112" s="9">
        <f t="shared" si="16"/>
        <v>57.558881428571432</v>
      </c>
      <c r="AC112" s="9">
        <f t="shared" si="19"/>
        <v>24.261769285714287</v>
      </c>
      <c r="AD112" s="8">
        <f t="shared" si="20"/>
        <v>2.3724107154239165</v>
      </c>
      <c r="AE112" s="3" t="s">
        <v>44</v>
      </c>
      <c r="AF112" s="10">
        <f t="shared" si="21"/>
        <v>11205.25</v>
      </c>
      <c r="AG112" s="11">
        <f t="shared" si="22"/>
        <v>1.3118850538809932</v>
      </c>
      <c r="AH112" s="11">
        <f t="shared" si="23"/>
        <v>2.3776782031295149</v>
      </c>
      <c r="AI112" s="3" t="s">
        <v>45</v>
      </c>
      <c r="AJ112" s="3" t="s">
        <v>40</v>
      </c>
      <c r="AK112" s="3" t="s">
        <v>46</v>
      </c>
      <c r="AL112" s="3" t="s">
        <v>47</v>
      </c>
      <c r="AM112" s="3" t="s">
        <v>39</v>
      </c>
    </row>
    <row r="113" spans="1:39" ht="21" customHeight="1">
      <c r="A113" s="4">
        <v>46073</v>
      </c>
      <c r="B113" s="3" t="s">
        <v>39</v>
      </c>
      <c r="C113" s="3" t="s">
        <v>40</v>
      </c>
      <c r="D113" s="4">
        <v>46057</v>
      </c>
      <c r="E113" s="3">
        <v>16</v>
      </c>
      <c r="F113" s="3" t="s">
        <v>57</v>
      </c>
      <c r="G113" s="3" t="s">
        <v>53</v>
      </c>
      <c r="H113" s="3">
        <v>0</v>
      </c>
      <c r="I113" s="7">
        <v>35906</v>
      </c>
      <c r="J113" s="7">
        <v>15572</v>
      </c>
      <c r="K113" s="7">
        <v>20335</v>
      </c>
      <c r="L113" s="5">
        <f t="shared" si="12"/>
        <v>0.43368796301453794</v>
      </c>
      <c r="M113" s="5">
        <f t="shared" si="13"/>
        <v>2.9179087365283296E-2</v>
      </c>
      <c r="N113" s="7">
        <f t="shared" si="15"/>
        <v>46922.857142857145</v>
      </c>
      <c r="O113" s="7">
        <f t="shared" si="17"/>
        <v>35971.035714285717</v>
      </c>
      <c r="P113" s="8">
        <f t="shared" si="18"/>
        <v>0.99819199772833089</v>
      </c>
      <c r="Q113" s="7"/>
      <c r="R113" s="7"/>
      <c r="S113" s="7"/>
      <c r="T113" s="7"/>
      <c r="U113" s="7"/>
      <c r="V113" s="7"/>
      <c r="W113" s="7"/>
      <c r="X113" s="3" t="s">
        <v>56</v>
      </c>
      <c r="Y113" s="3"/>
      <c r="Z113" s="9">
        <v>51.397039999999997</v>
      </c>
      <c r="AA113" s="5">
        <f t="shared" si="14"/>
        <v>-0.10903106228335557</v>
      </c>
      <c r="AB113" s="9">
        <f t="shared" si="16"/>
        <v>60.346800000000009</v>
      </c>
      <c r="AC113" s="9">
        <f t="shared" si="19"/>
        <v>26.231341785714289</v>
      </c>
      <c r="AD113" s="8">
        <f t="shared" si="20"/>
        <v>2.3005609279531845</v>
      </c>
      <c r="AE113" s="3" t="s">
        <v>44</v>
      </c>
      <c r="AF113" s="10">
        <f t="shared" si="21"/>
        <v>12623.5</v>
      </c>
      <c r="AG113" s="11">
        <f t="shared" si="22"/>
        <v>1.2335723056204697</v>
      </c>
      <c r="AH113" s="11">
        <f t="shared" si="23"/>
        <v>1.9593751787409923</v>
      </c>
      <c r="AI113" s="3" t="s">
        <v>45</v>
      </c>
      <c r="AJ113" s="3" t="s">
        <v>40</v>
      </c>
      <c r="AK113" s="3" t="s">
        <v>46</v>
      </c>
      <c r="AL113" s="3" t="s">
        <v>47</v>
      </c>
      <c r="AM113" s="3" t="s">
        <v>39</v>
      </c>
    </row>
    <row r="114" spans="1:39" ht="21" customHeight="1">
      <c r="A114" s="4">
        <v>46074</v>
      </c>
      <c r="B114" s="3" t="s">
        <v>39</v>
      </c>
      <c r="C114" s="3" t="s">
        <v>40</v>
      </c>
      <c r="D114" s="4">
        <v>46057</v>
      </c>
      <c r="E114" s="3">
        <v>17</v>
      </c>
      <c r="F114" s="3" t="s">
        <v>57</v>
      </c>
      <c r="G114" s="3" t="s">
        <v>42</v>
      </c>
      <c r="H114" s="3">
        <v>1</v>
      </c>
      <c r="I114" s="7">
        <v>42602</v>
      </c>
      <c r="J114" s="7">
        <v>24808</v>
      </c>
      <c r="K114" s="7">
        <v>17794</v>
      </c>
      <c r="L114" s="5">
        <f t="shared" si="12"/>
        <v>0.58232007886953663</v>
      </c>
      <c r="M114" s="5">
        <f t="shared" si="13"/>
        <v>0.18648693811619221</v>
      </c>
      <c r="N114" s="7">
        <f t="shared" si="15"/>
        <v>46823.428571428572</v>
      </c>
      <c r="O114" s="7">
        <f t="shared" si="17"/>
        <v>36086.25</v>
      </c>
      <c r="P114" s="8">
        <f t="shared" si="18"/>
        <v>1.1805604627801447</v>
      </c>
      <c r="Q114" s="7"/>
      <c r="R114" s="7"/>
      <c r="S114" s="7"/>
      <c r="T114" s="7"/>
      <c r="U114" s="7"/>
      <c r="V114" s="7"/>
      <c r="W114" s="7"/>
      <c r="X114" s="3" t="s">
        <v>56</v>
      </c>
      <c r="Y114" s="3"/>
      <c r="Z114" s="9">
        <v>63.29898</v>
      </c>
      <c r="AA114" s="5">
        <f t="shared" si="14"/>
        <v>0.23156858838563465</v>
      </c>
      <c r="AB114" s="9">
        <f t="shared" si="16"/>
        <v>62.619594285714292</v>
      </c>
      <c r="AC114" s="9">
        <f t="shared" si="19"/>
        <v>27.969566785714285</v>
      </c>
      <c r="AD114" s="8">
        <f t="shared" si="20"/>
        <v>2.2388474861075727</v>
      </c>
      <c r="AE114" s="3" t="s">
        <v>44</v>
      </c>
      <c r="AF114" s="10">
        <f t="shared" si="21"/>
        <v>19280.5</v>
      </c>
      <c r="AG114" s="11">
        <f t="shared" si="22"/>
        <v>1.2866886232203523</v>
      </c>
      <c r="AH114" s="11">
        <f t="shared" si="23"/>
        <v>2.2631376626230244</v>
      </c>
      <c r="AI114" s="3" t="s">
        <v>45</v>
      </c>
      <c r="AJ114" s="3" t="s">
        <v>40</v>
      </c>
      <c r="AK114" s="3" t="s">
        <v>46</v>
      </c>
      <c r="AL114" s="3" t="s">
        <v>47</v>
      </c>
      <c r="AM114" s="3" t="s">
        <v>39</v>
      </c>
    </row>
    <row r="115" spans="1:39" ht="21" customHeight="1">
      <c r="A115" s="4">
        <v>46075</v>
      </c>
      <c r="B115" s="3" t="s">
        <v>39</v>
      </c>
      <c r="C115" s="3" t="s">
        <v>40</v>
      </c>
      <c r="D115" s="4">
        <v>46057</v>
      </c>
      <c r="E115" s="3">
        <v>18</v>
      </c>
      <c r="F115" s="3" t="s">
        <v>57</v>
      </c>
      <c r="G115" s="3" t="s">
        <v>48</v>
      </c>
      <c r="H115" s="3">
        <v>1</v>
      </c>
      <c r="I115" s="7">
        <v>35889</v>
      </c>
      <c r="J115" s="7">
        <v>19190</v>
      </c>
      <c r="K115" s="7">
        <v>16698</v>
      </c>
      <c r="L115" s="5">
        <f t="shared" si="12"/>
        <v>0.53470422692189812</v>
      </c>
      <c r="M115" s="5">
        <f t="shared" si="13"/>
        <v>-0.15757476174827478</v>
      </c>
      <c r="N115" s="7">
        <f t="shared" si="15"/>
        <v>44575</v>
      </c>
      <c r="O115" s="7">
        <f t="shared" si="17"/>
        <v>36421.75</v>
      </c>
      <c r="P115" s="8">
        <f t="shared" si="18"/>
        <v>0.98537275117203316</v>
      </c>
      <c r="Q115" s="7"/>
      <c r="R115" s="7"/>
      <c r="S115" s="7"/>
      <c r="T115" s="7"/>
      <c r="U115" s="7"/>
      <c r="V115" s="7"/>
      <c r="W115" s="7"/>
      <c r="X115" s="3" t="s">
        <v>56</v>
      </c>
      <c r="Y115" s="3"/>
      <c r="Z115" s="9">
        <v>65.058729999999997</v>
      </c>
      <c r="AA115" s="5">
        <f t="shared" si="14"/>
        <v>2.7800605949732438E-2</v>
      </c>
      <c r="AB115" s="9">
        <f t="shared" si="16"/>
        <v>63.790851428571436</v>
      </c>
      <c r="AC115" s="9">
        <f t="shared" si="19"/>
        <v>30.113121071428573</v>
      </c>
      <c r="AD115" s="8">
        <f t="shared" si="20"/>
        <v>2.1183739565639512</v>
      </c>
      <c r="AE115" s="3" t="s">
        <v>44</v>
      </c>
      <c r="AF115" s="10">
        <f t="shared" si="21"/>
        <v>20818</v>
      </c>
      <c r="AG115" s="11">
        <f t="shared" si="22"/>
        <v>0.92179844365452979</v>
      </c>
      <c r="AH115" s="11">
        <f t="shared" si="23"/>
        <v>2.1604778144942252</v>
      </c>
      <c r="AI115" s="3" t="s">
        <v>45</v>
      </c>
      <c r="AJ115" s="3" t="s">
        <v>40</v>
      </c>
      <c r="AK115" s="3" t="s">
        <v>46</v>
      </c>
      <c r="AL115" s="3" t="s">
        <v>47</v>
      </c>
      <c r="AM115" s="3" t="s">
        <v>39</v>
      </c>
    </row>
    <row r="116" spans="1:39" ht="21" customHeight="1">
      <c r="A116" s="4">
        <v>46076</v>
      </c>
      <c r="B116" s="3" t="s">
        <v>39</v>
      </c>
      <c r="C116" s="3" t="s">
        <v>40</v>
      </c>
      <c r="D116" s="4">
        <v>46057</v>
      </c>
      <c r="E116" s="3">
        <v>19</v>
      </c>
      <c r="F116" s="3" t="s">
        <v>57</v>
      </c>
      <c r="G116" s="3" t="s">
        <v>49</v>
      </c>
      <c r="H116" s="3">
        <v>0</v>
      </c>
      <c r="I116" s="7">
        <v>35931</v>
      </c>
      <c r="J116" s="7">
        <v>15264</v>
      </c>
      <c r="K116" s="7">
        <v>20668</v>
      </c>
      <c r="L116" s="5">
        <f t="shared" si="12"/>
        <v>0.42481422726893214</v>
      </c>
      <c r="M116" s="5">
        <f t="shared" si="13"/>
        <v>1.170275014628519E-3</v>
      </c>
      <c r="N116" s="7">
        <f t="shared" si="15"/>
        <v>41148</v>
      </c>
      <c r="O116" s="7">
        <f t="shared" si="17"/>
        <v>36512.75</v>
      </c>
      <c r="P116" s="8">
        <f t="shared" si="18"/>
        <v>0.98406720939945636</v>
      </c>
      <c r="Q116" s="7"/>
      <c r="R116" s="7"/>
      <c r="S116" s="7"/>
      <c r="T116" s="7"/>
      <c r="U116" s="7"/>
      <c r="V116" s="7"/>
      <c r="W116" s="7"/>
      <c r="X116" s="3" t="s">
        <v>56</v>
      </c>
      <c r="Y116" s="3"/>
      <c r="Z116" s="9">
        <v>52.528930000000003</v>
      </c>
      <c r="AA116" s="5">
        <f t="shared" si="14"/>
        <v>-0.19259213944077902</v>
      </c>
      <c r="AB116" s="9">
        <f t="shared" si="16"/>
        <v>62.807988571428567</v>
      </c>
      <c r="AC116" s="9">
        <f t="shared" si="19"/>
        <v>32.329648571428571</v>
      </c>
      <c r="AD116" s="8">
        <f t="shared" si="20"/>
        <v>1.9427365080279693</v>
      </c>
      <c r="AE116" s="3" t="s">
        <v>44</v>
      </c>
      <c r="AF116" s="10">
        <f t="shared" si="21"/>
        <v>18985</v>
      </c>
      <c r="AG116" s="11">
        <f t="shared" si="22"/>
        <v>0.80400316038978137</v>
      </c>
      <c r="AH116" s="11">
        <f t="shared" si="23"/>
        <v>1.6247912464604584</v>
      </c>
      <c r="AI116" s="3" t="s">
        <v>45</v>
      </c>
      <c r="AJ116" s="3" t="s">
        <v>40</v>
      </c>
      <c r="AK116" s="3" t="s">
        <v>46</v>
      </c>
      <c r="AL116" s="3" t="s">
        <v>47</v>
      </c>
      <c r="AM116" s="3" t="s">
        <v>39</v>
      </c>
    </row>
    <row r="117" spans="1:39" ht="21" customHeight="1">
      <c r="A117" s="4">
        <v>46077</v>
      </c>
      <c r="B117" s="3" t="s">
        <v>39</v>
      </c>
      <c r="C117" s="3" t="s">
        <v>40</v>
      </c>
      <c r="D117" s="4">
        <v>46057</v>
      </c>
      <c r="E117" s="3">
        <v>20</v>
      </c>
      <c r="F117" s="3" t="s">
        <v>57</v>
      </c>
      <c r="G117" s="3" t="s">
        <v>50</v>
      </c>
      <c r="H117" s="3">
        <v>0</v>
      </c>
      <c r="I117" s="7">
        <v>33656</v>
      </c>
      <c r="J117" s="7">
        <v>13762</v>
      </c>
      <c r="K117" s="7">
        <v>19894</v>
      </c>
      <c r="L117" s="5">
        <f t="shared" si="12"/>
        <v>0.40890183028286192</v>
      </c>
      <c r="M117" s="5">
        <f t="shared" si="13"/>
        <v>-6.3315799727254984E-2</v>
      </c>
      <c r="N117" s="7">
        <f t="shared" si="15"/>
        <v>37213.428571428572</v>
      </c>
      <c r="O117" s="7">
        <f t="shared" si="17"/>
        <v>36690.75</v>
      </c>
      <c r="P117" s="8">
        <f t="shared" si="18"/>
        <v>0.91728841738040245</v>
      </c>
      <c r="Q117" s="7"/>
      <c r="R117" s="7"/>
      <c r="S117" s="7"/>
      <c r="T117" s="7"/>
      <c r="U117" s="7"/>
      <c r="V117" s="7"/>
      <c r="W117" s="7"/>
      <c r="X117" s="3" t="s">
        <v>56</v>
      </c>
      <c r="Y117" s="3"/>
      <c r="Z117" s="9">
        <v>46.181550000000001</v>
      </c>
      <c r="AA117" s="5">
        <f t="shared" si="14"/>
        <v>-0.12083588986107274</v>
      </c>
      <c r="AB117" s="9">
        <f t="shared" si="16"/>
        <v>58.931295714285717</v>
      </c>
      <c r="AC117" s="9">
        <f t="shared" si="19"/>
        <v>34.111044999999997</v>
      </c>
      <c r="AD117" s="8">
        <f t="shared" si="20"/>
        <v>1.7276309099966221</v>
      </c>
      <c r="AE117" s="3" t="s">
        <v>44</v>
      </c>
      <c r="AF117" s="10">
        <f t="shared" si="21"/>
        <v>20033.5</v>
      </c>
      <c r="AG117" s="11">
        <f t="shared" si="22"/>
        <v>0.68694935982229766</v>
      </c>
      <c r="AH117" s="11">
        <f t="shared" si="23"/>
        <v>1.3538591385869301</v>
      </c>
      <c r="AI117" s="3" t="s">
        <v>45</v>
      </c>
      <c r="AJ117" s="3" t="s">
        <v>40</v>
      </c>
      <c r="AK117" s="3" t="s">
        <v>46</v>
      </c>
      <c r="AL117" s="3" t="s">
        <v>47</v>
      </c>
      <c r="AM117" s="3" t="s">
        <v>39</v>
      </c>
    </row>
    <row r="118" spans="1:39" ht="21" customHeight="1">
      <c r="A118" s="4">
        <v>46078</v>
      </c>
      <c r="B118" s="3" t="s">
        <v>39</v>
      </c>
      <c r="C118" s="3" t="s">
        <v>40</v>
      </c>
      <c r="D118" s="4">
        <v>46057</v>
      </c>
      <c r="E118" s="3">
        <v>21</v>
      </c>
      <c r="F118" s="3" t="s">
        <v>57</v>
      </c>
      <c r="G118" s="3" t="s">
        <v>51</v>
      </c>
      <c r="H118" s="3">
        <v>0</v>
      </c>
      <c r="I118" s="7">
        <v>38052</v>
      </c>
      <c r="J118" s="7">
        <v>16996</v>
      </c>
      <c r="K118" s="7">
        <v>21056</v>
      </c>
      <c r="L118" s="5">
        <f t="shared" si="12"/>
        <v>0.44665194996320823</v>
      </c>
      <c r="M118" s="5">
        <f t="shared" si="13"/>
        <v>0.13061564059900177</v>
      </c>
      <c r="N118" s="7">
        <f t="shared" si="15"/>
        <v>36703.428571428572</v>
      </c>
      <c r="O118" s="7">
        <f t="shared" si="17"/>
        <v>36751.75</v>
      </c>
      <c r="P118" s="8">
        <f t="shared" si="18"/>
        <v>1.0353792676539213</v>
      </c>
      <c r="Q118" s="7"/>
      <c r="R118" s="7"/>
      <c r="S118" s="7"/>
      <c r="T118" s="7"/>
      <c r="U118" s="7"/>
      <c r="V118" s="7"/>
      <c r="W118" s="7"/>
      <c r="X118" s="3" t="s">
        <v>56</v>
      </c>
      <c r="Y118" s="3"/>
      <c r="Z118" s="9">
        <v>48.111989999999999</v>
      </c>
      <c r="AA118" s="5">
        <f t="shared" si="14"/>
        <v>4.1801108884392146E-2</v>
      </c>
      <c r="AB118" s="9">
        <f t="shared" si="16"/>
        <v>54.894842857142862</v>
      </c>
      <c r="AC118" s="9">
        <f t="shared" si="19"/>
        <v>35.647826428571427</v>
      </c>
      <c r="AD118" s="8">
        <f t="shared" si="20"/>
        <v>1.5399211777227775</v>
      </c>
      <c r="AE118" s="3" t="s">
        <v>44</v>
      </c>
      <c r="AF118" s="10">
        <f t="shared" si="21"/>
        <v>15062.25</v>
      </c>
      <c r="AG118" s="11">
        <f t="shared" si="22"/>
        <v>1.128383873591263</v>
      </c>
      <c r="AH118" s="11">
        <f t="shared" si="23"/>
        <v>1.3496472245342468</v>
      </c>
      <c r="AI118" s="3" t="s">
        <v>45</v>
      </c>
      <c r="AJ118" s="3" t="s">
        <v>40</v>
      </c>
      <c r="AK118" s="3" t="s">
        <v>46</v>
      </c>
      <c r="AL118" s="3" t="s">
        <v>47</v>
      </c>
      <c r="AM118" s="3" t="s">
        <v>39</v>
      </c>
    </row>
    <row r="119" spans="1:39" ht="21" customHeight="1">
      <c r="A119" s="4">
        <v>46079</v>
      </c>
      <c r="B119" s="3" t="s">
        <v>39</v>
      </c>
      <c r="C119" s="3" t="s">
        <v>40</v>
      </c>
      <c r="D119" s="4">
        <v>46057</v>
      </c>
      <c r="E119" s="3">
        <v>22</v>
      </c>
      <c r="F119" s="3" t="s">
        <v>57</v>
      </c>
      <c r="G119" s="3" t="s">
        <v>52</v>
      </c>
      <c r="H119" s="3">
        <v>0</v>
      </c>
      <c r="I119" s="7">
        <v>37562</v>
      </c>
      <c r="J119" s="7">
        <v>16516</v>
      </c>
      <c r="K119" s="7">
        <v>21046</v>
      </c>
      <c r="L119" s="5">
        <f t="shared" si="12"/>
        <v>0.4396996965017837</v>
      </c>
      <c r="M119" s="5">
        <f t="shared" si="13"/>
        <v>-1.287711552612214E-2</v>
      </c>
      <c r="N119" s="7">
        <f t="shared" si="15"/>
        <v>37085.428571428572</v>
      </c>
      <c r="O119" s="7">
        <f t="shared" si="17"/>
        <v>36975.25</v>
      </c>
      <c r="P119" s="8">
        <f t="shared" si="18"/>
        <v>1.0158687229971399</v>
      </c>
      <c r="Q119" s="7"/>
      <c r="R119" s="7"/>
      <c r="S119" s="7"/>
      <c r="T119" s="7"/>
      <c r="U119" s="7"/>
      <c r="V119" s="7"/>
      <c r="W119" s="7"/>
      <c r="X119" s="3" t="s">
        <v>56</v>
      </c>
      <c r="Y119" s="3"/>
      <c r="Z119" s="9">
        <v>47.294989999999999</v>
      </c>
      <c r="AA119" s="5">
        <f t="shared" si="14"/>
        <v>-1.6981214038330195E-2</v>
      </c>
      <c r="AB119" s="9">
        <f t="shared" si="16"/>
        <v>53.410315714285716</v>
      </c>
      <c r="AC119" s="9">
        <f t="shared" si="19"/>
        <v>37.229422142857153</v>
      </c>
      <c r="AD119" s="8">
        <f t="shared" si="20"/>
        <v>1.4346265034503909</v>
      </c>
      <c r="AE119" s="3" t="s">
        <v>44</v>
      </c>
      <c r="AF119" s="10">
        <f t="shared" si="21"/>
        <v>12223.75</v>
      </c>
      <c r="AG119" s="11">
        <f t="shared" si="22"/>
        <v>1.3511401983842928</v>
      </c>
      <c r="AH119" s="11">
        <f t="shared" si="23"/>
        <v>1.2703659438634083</v>
      </c>
      <c r="AI119" s="3" t="s">
        <v>45</v>
      </c>
      <c r="AJ119" s="3" t="s">
        <v>40</v>
      </c>
      <c r="AK119" s="3" t="s">
        <v>46</v>
      </c>
      <c r="AL119" s="3" t="s">
        <v>47</v>
      </c>
      <c r="AM119" s="3" t="s">
        <v>39</v>
      </c>
    </row>
    <row r="120" spans="1:39" ht="21" customHeight="1">
      <c r="A120" s="4">
        <v>46080</v>
      </c>
      <c r="B120" s="3" t="s">
        <v>39</v>
      </c>
      <c r="C120" s="3" t="s">
        <v>40</v>
      </c>
      <c r="D120" s="4">
        <v>46057</v>
      </c>
      <c r="E120" s="3">
        <v>23</v>
      </c>
      <c r="F120" s="3" t="s">
        <v>57</v>
      </c>
      <c r="G120" s="3" t="s">
        <v>53</v>
      </c>
      <c r="H120" s="3">
        <v>0</v>
      </c>
      <c r="I120" s="7">
        <v>40596</v>
      </c>
      <c r="J120" s="7">
        <v>19817</v>
      </c>
      <c r="K120" s="7">
        <v>20780</v>
      </c>
      <c r="L120" s="5">
        <f t="shared" si="12"/>
        <v>0.4881515420238447</v>
      </c>
      <c r="M120" s="5">
        <f t="shared" si="13"/>
        <v>8.0773121772003575E-2</v>
      </c>
      <c r="N120" s="7">
        <f t="shared" si="15"/>
        <v>37755.428571428572</v>
      </c>
      <c r="O120" s="7">
        <f t="shared" si="17"/>
        <v>37168.25</v>
      </c>
      <c r="P120" s="8">
        <f t="shared" si="18"/>
        <v>1.0922225286366725</v>
      </c>
      <c r="Q120" s="7"/>
      <c r="R120" s="7"/>
      <c r="S120" s="7"/>
      <c r="T120" s="7"/>
      <c r="U120" s="7"/>
      <c r="V120" s="7"/>
      <c r="W120" s="7"/>
      <c r="X120" s="3" t="s">
        <v>56</v>
      </c>
      <c r="Y120" s="3"/>
      <c r="Z120" s="9">
        <v>50.709739999999996</v>
      </c>
      <c r="AA120" s="5">
        <f t="shared" si="14"/>
        <v>7.2201093604206346E-2</v>
      </c>
      <c r="AB120" s="9">
        <f t="shared" si="16"/>
        <v>53.312130000000003</v>
      </c>
      <c r="AC120" s="9">
        <f t="shared" si="19"/>
        <v>38.794930357142867</v>
      </c>
      <c r="AD120" s="8">
        <f t="shared" si="20"/>
        <v>1.3742035237391335</v>
      </c>
      <c r="AE120" s="3" t="s">
        <v>44</v>
      </c>
      <c r="AF120" s="10">
        <f t="shared" si="21"/>
        <v>13353.5</v>
      </c>
      <c r="AG120" s="11">
        <f t="shared" si="22"/>
        <v>1.4840304040139289</v>
      </c>
      <c r="AH120" s="11">
        <f t="shared" si="23"/>
        <v>1.3071228517017661</v>
      </c>
      <c r="AI120" s="3" t="s">
        <v>45</v>
      </c>
      <c r="AJ120" s="3" t="s">
        <v>40</v>
      </c>
      <c r="AK120" s="3" t="s">
        <v>46</v>
      </c>
      <c r="AL120" s="3" t="s">
        <v>47</v>
      </c>
      <c r="AM120" s="3" t="s">
        <v>39</v>
      </c>
    </row>
    <row r="121" spans="1:39" ht="21" customHeight="1">
      <c r="A121" s="4">
        <v>46081</v>
      </c>
      <c r="B121" s="3" t="s">
        <v>39</v>
      </c>
      <c r="C121" s="3" t="s">
        <v>40</v>
      </c>
      <c r="D121" s="4">
        <v>46057</v>
      </c>
      <c r="E121" s="3">
        <v>24</v>
      </c>
      <c r="F121" s="3" t="s">
        <v>57</v>
      </c>
      <c r="G121" s="3" t="s">
        <v>42</v>
      </c>
      <c r="H121" s="3">
        <v>1</v>
      </c>
      <c r="I121" s="7">
        <v>53438</v>
      </c>
      <c r="J121" s="7">
        <v>34912</v>
      </c>
      <c r="K121" s="7">
        <v>18526</v>
      </c>
      <c r="L121" s="5">
        <f t="shared" si="12"/>
        <v>0.65331786369250344</v>
      </c>
      <c r="M121" s="5">
        <f t="shared" si="13"/>
        <v>0.31633658488521044</v>
      </c>
      <c r="N121" s="7">
        <f t="shared" si="15"/>
        <v>39303.428571428572</v>
      </c>
      <c r="O121" s="7">
        <f t="shared" si="17"/>
        <v>37451.357142857145</v>
      </c>
      <c r="P121" s="8">
        <f t="shared" si="18"/>
        <v>1.4268641800125494</v>
      </c>
      <c r="Q121" s="7"/>
      <c r="R121" s="7"/>
      <c r="S121" s="7"/>
      <c r="T121" s="7"/>
      <c r="U121" s="7"/>
      <c r="V121" s="7"/>
      <c r="W121" s="7"/>
      <c r="X121" s="3" t="s">
        <v>56</v>
      </c>
      <c r="Y121" s="3"/>
      <c r="Z121" s="9">
        <v>67.125380000000007</v>
      </c>
      <c r="AA121" s="5">
        <f t="shared" si="14"/>
        <v>0.32371769210412071</v>
      </c>
      <c r="AB121" s="9">
        <f t="shared" si="16"/>
        <v>53.858758571428567</v>
      </c>
      <c r="AC121" s="9">
        <f t="shared" si="19"/>
        <v>40.436963571428578</v>
      </c>
      <c r="AD121" s="8">
        <f t="shared" si="20"/>
        <v>1.3319189626167527</v>
      </c>
      <c r="AE121" s="3" t="s">
        <v>44</v>
      </c>
      <c r="AF121" s="10">
        <f t="shared" si="21"/>
        <v>21400.5</v>
      </c>
      <c r="AG121" s="11">
        <f t="shared" si="22"/>
        <v>1.6313637531833369</v>
      </c>
      <c r="AH121" s="11">
        <f t="shared" si="23"/>
        <v>1.6600005062553358</v>
      </c>
      <c r="AI121" s="3" t="s">
        <v>45</v>
      </c>
      <c r="AJ121" s="3" t="s">
        <v>40</v>
      </c>
      <c r="AK121" s="3" t="s">
        <v>46</v>
      </c>
      <c r="AL121" s="3" t="s">
        <v>47</v>
      </c>
      <c r="AM121" s="3" t="s">
        <v>39</v>
      </c>
    </row>
    <row r="122" spans="1:39" ht="21" customHeight="1">
      <c r="A122" s="4">
        <v>46082</v>
      </c>
      <c r="B122" s="3" t="s">
        <v>39</v>
      </c>
      <c r="C122" s="3" t="s">
        <v>40</v>
      </c>
      <c r="D122" s="4">
        <v>46057</v>
      </c>
      <c r="E122" s="3">
        <v>25</v>
      </c>
      <c r="F122" s="3" t="s">
        <v>57</v>
      </c>
      <c r="G122" s="3" t="s">
        <v>48</v>
      </c>
      <c r="H122" s="3">
        <v>1</v>
      </c>
      <c r="I122" s="7">
        <v>55122</v>
      </c>
      <c r="J122" s="7">
        <v>37457</v>
      </c>
      <c r="K122" s="7">
        <v>17664</v>
      </c>
      <c r="L122" s="5">
        <f t="shared" si="12"/>
        <v>0.67952904466456221</v>
      </c>
      <c r="M122" s="5">
        <f t="shared" si="13"/>
        <v>3.1513155432463691E-2</v>
      </c>
      <c r="N122" s="7">
        <f t="shared" si="15"/>
        <v>42051</v>
      </c>
      <c r="O122" s="7">
        <f t="shared" si="17"/>
        <v>38065.107142857145</v>
      </c>
      <c r="P122" s="8">
        <f t="shared" si="18"/>
        <v>1.4480978548971075</v>
      </c>
      <c r="Q122" s="7"/>
      <c r="R122" s="7"/>
      <c r="S122" s="7"/>
      <c r="T122" s="7"/>
      <c r="U122" s="7"/>
      <c r="V122" s="7"/>
      <c r="W122" s="7"/>
      <c r="X122" s="3" t="s">
        <v>58</v>
      </c>
      <c r="Y122" s="3"/>
      <c r="Z122" s="9">
        <v>87.574169999999995</v>
      </c>
      <c r="AA122" s="5">
        <f t="shared" si="14"/>
        <v>0.30463574284421169</v>
      </c>
      <c r="AB122" s="9">
        <f t="shared" si="16"/>
        <v>57.075249999999997</v>
      </c>
      <c r="AC122" s="9">
        <f t="shared" si="19"/>
        <v>42.644512142857153</v>
      </c>
      <c r="AD122" s="8">
        <f t="shared" si="20"/>
        <v>1.3383961295840492</v>
      </c>
      <c r="AE122" s="3" t="s">
        <v>44</v>
      </c>
      <c r="AF122" s="10">
        <f t="shared" si="21"/>
        <v>21476</v>
      </c>
      <c r="AG122" s="11">
        <f t="shared" si="22"/>
        <v>1.7441329856584094</v>
      </c>
      <c r="AH122" s="11">
        <f t="shared" si="23"/>
        <v>2.0535859269917442</v>
      </c>
      <c r="AI122" s="3" t="s">
        <v>45</v>
      </c>
      <c r="AJ122" s="3" t="s">
        <v>40</v>
      </c>
      <c r="AK122" s="3" t="s">
        <v>46</v>
      </c>
      <c r="AL122" s="3" t="s">
        <v>47</v>
      </c>
      <c r="AM122" s="3" t="s">
        <v>39</v>
      </c>
    </row>
    <row r="123" spans="1:39" ht="21" customHeight="1">
      <c r="A123" s="4">
        <v>46083</v>
      </c>
      <c r="B123" s="3" t="s">
        <v>39</v>
      </c>
      <c r="C123" s="3" t="s">
        <v>40</v>
      </c>
      <c r="D123" s="4">
        <v>46057</v>
      </c>
      <c r="E123" s="3">
        <v>26</v>
      </c>
      <c r="F123" s="3" t="s">
        <v>57</v>
      </c>
      <c r="G123" s="3" t="s">
        <v>49</v>
      </c>
      <c r="H123" s="3">
        <v>0</v>
      </c>
      <c r="I123" s="7">
        <v>36918</v>
      </c>
      <c r="J123" s="7">
        <v>19772</v>
      </c>
      <c r="K123" s="7">
        <v>17146</v>
      </c>
      <c r="L123" s="5">
        <f t="shared" si="12"/>
        <v>0.53556530689636495</v>
      </c>
      <c r="M123" s="5">
        <f t="shared" si="13"/>
        <v>-0.33024926526613696</v>
      </c>
      <c r="N123" s="7">
        <f t="shared" si="15"/>
        <v>42192</v>
      </c>
      <c r="O123" s="7">
        <f t="shared" si="17"/>
        <v>38850.5</v>
      </c>
      <c r="P123" s="8">
        <f t="shared" si="18"/>
        <v>0.95025804043705997</v>
      </c>
      <c r="Q123" s="7"/>
      <c r="R123" s="7"/>
      <c r="S123" s="7"/>
      <c r="T123" s="7"/>
      <c r="U123" s="7"/>
      <c r="V123" s="7"/>
      <c r="W123" s="7"/>
      <c r="X123" s="3" t="s">
        <v>58</v>
      </c>
      <c r="Y123" s="3"/>
      <c r="Z123" s="9">
        <v>100</v>
      </c>
      <c r="AA123" s="5">
        <f t="shared" si="14"/>
        <v>0.14188921230997686</v>
      </c>
      <c r="AB123" s="9">
        <f t="shared" si="16"/>
        <v>63.856831428571425</v>
      </c>
      <c r="AC123" s="9">
        <f t="shared" si="19"/>
        <v>45.597866428571436</v>
      </c>
      <c r="AD123" s="8">
        <f t="shared" si="20"/>
        <v>1.4004346349977244</v>
      </c>
      <c r="AE123" s="3" t="s">
        <v>44</v>
      </c>
      <c r="AF123" s="10">
        <f t="shared" si="21"/>
        <v>19986</v>
      </c>
      <c r="AG123" s="11">
        <f t="shared" si="22"/>
        <v>0.98929250475332731</v>
      </c>
      <c r="AH123" s="11">
        <f t="shared" si="23"/>
        <v>2.1930850680623166</v>
      </c>
      <c r="AI123" s="3" t="s">
        <v>45</v>
      </c>
      <c r="AJ123" s="3" t="s">
        <v>40</v>
      </c>
      <c r="AK123" s="3" t="s">
        <v>46</v>
      </c>
      <c r="AL123" s="3" t="s">
        <v>47</v>
      </c>
      <c r="AM123" s="3" t="s">
        <v>39</v>
      </c>
    </row>
    <row r="124" spans="1:39" ht="21" customHeight="1">
      <c r="A124" s="4">
        <v>46084</v>
      </c>
      <c r="B124" s="3" t="s">
        <v>39</v>
      </c>
      <c r="C124" s="3" t="s">
        <v>40</v>
      </c>
      <c r="D124" s="4">
        <v>46057</v>
      </c>
      <c r="E124" s="3">
        <v>27</v>
      </c>
      <c r="F124" s="3" t="s">
        <v>57</v>
      </c>
      <c r="G124" s="3" t="s">
        <v>50</v>
      </c>
      <c r="H124" s="3">
        <v>0</v>
      </c>
      <c r="I124" s="7">
        <v>33520</v>
      </c>
      <c r="J124" s="7">
        <v>11739</v>
      </c>
      <c r="K124" s="7">
        <v>21780</v>
      </c>
      <c r="L124" s="5">
        <f t="shared" si="12"/>
        <v>0.35020883054892599</v>
      </c>
      <c r="M124" s="5">
        <f t="shared" si="13"/>
        <v>-9.2041822417249008E-2</v>
      </c>
      <c r="N124" s="7">
        <f t="shared" si="15"/>
        <v>42172.571428571428</v>
      </c>
      <c r="O124" s="7">
        <f t="shared" si="17"/>
        <v>39164.357142857145</v>
      </c>
      <c r="P124" s="8">
        <f t="shared" si="18"/>
        <v>0.85588025555306291</v>
      </c>
      <c r="Q124" s="7"/>
      <c r="R124" s="7"/>
      <c r="S124" s="7"/>
      <c r="T124" s="7"/>
      <c r="U124" s="7"/>
      <c r="V124" s="7"/>
      <c r="W124" s="7"/>
      <c r="X124" s="3" t="s">
        <v>58</v>
      </c>
      <c r="Y124" s="3"/>
      <c r="Z124" s="9">
        <v>74.760300000000001</v>
      </c>
      <c r="AA124" s="5">
        <f t="shared" si="14"/>
        <v>-0.25239699999999998</v>
      </c>
      <c r="AB124" s="9">
        <f t="shared" si="16"/>
        <v>67.939509999999999</v>
      </c>
      <c r="AC124" s="9">
        <f t="shared" si="19"/>
        <v>48.977223928571433</v>
      </c>
      <c r="AD124" s="8">
        <f t="shared" si="20"/>
        <v>1.3871653913885205</v>
      </c>
      <c r="AE124" s="3" t="s">
        <v>44</v>
      </c>
      <c r="AF124" s="10">
        <f t="shared" si="21"/>
        <v>20431.5</v>
      </c>
      <c r="AG124" s="11">
        <f t="shared" si="22"/>
        <v>0.57455399750385439</v>
      </c>
      <c r="AH124" s="11">
        <f t="shared" si="23"/>
        <v>1.526429919936473</v>
      </c>
      <c r="AI124" s="3" t="s">
        <v>45</v>
      </c>
      <c r="AJ124" s="3" t="s">
        <v>40</v>
      </c>
      <c r="AK124" s="3" t="s">
        <v>46</v>
      </c>
      <c r="AL124" s="3" t="s">
        <v>47</v>
      </c>
      <c r="AM124" s="3" t="s">
        <v>39</v>
      </c>
    </row>
    <row r="125" spans="1:39" ht="21" customHeight="1">
      <c r="A125" s="4">
        <v>46085</v>
      </c>
      <c r="B125" s="3" t="s">
        <v>39</v>
      </c>
      <c r="C125" s="3" t="s">
        <v>40</v>
      </c>
      <c r="D125" s="4">
        <v>46057</v>
      </c>
      <c r="E125" s="3">
        <v>28</v>
      </c>
      <c r="F125" s="3" t="s">
        <v>57</v>
      </c>
      <c r="G125" s="3" t="s">
        <v>51</v>
      </c>
      <c r="H125" s="3">
        <v>0</v>
      </c>
      <c r="I125" s="7">
        <v>36396</v>
      </c>
      <c r="J125" s="7">
        <v>14402</v>
      </c>
      <c r="K125" s="7">
        <v>21994</v>
      </c>
      <c r="L125" s="5">
        <f t="shared" si="12"/>
        <v>0.39570282448620725</v>
      </c>
      <c r="M125" s="5">
        <f t="shared" si="13"/>
        <v>8.5799522673031037E-2</v>
      </c>
      <c r="N125" s="7">
        <f t="shared" si="15"/>
        <v>41936</v>
      </c>
      <c r="O125" s="7">
        <f t="shared" si="17"/>
        <v>39253.75</v>
      </c>
      <c r="P125" s="8">
        <f t="shared" si="18"/>
        <v>0.92719803840397419</v>
      </c>
      <c r="Q125" s="7"/>
      <c r="R125" s="7"/>
      <c r="S125" s="7"/>
      <c r="T125" s="7"/>
      <c r="U125" s="7"/>
      <c r="V125" s="7"/>
      <c r="W125" s="7"/>
      <c r="X125" s="3" t="s">
        <v>58</v>
      </c>
      <c r="Y125" s="3"/>
      <c r="Z125" s="9">
        <v>71.067419999999998</v>
      </c>
      <c r="AA125" s="5">
        <f t="shared" si="14"/>
        <v>-4.9396270480455584E-2</v>
      </c>
      <c r="AB125" s="9">
        <f t="shared" si="16"/>
        <v>71.218857142857132</v>
      </c>
      <c r="AC125" s="9">
        <f t="shared" si="19"/>
        <v>51.400325000000002</v>
      </c>
      <c r="AD125" s="8">
        <f t="shared" si="20"/>
        <v>1.3855721173525095</v>
      </c>
      <c r="AE125" s="3" t="s">
        <v>44</v>
      </c>
      <c r="AF125" s="10">
        <f t="shared" si="21"/>
        <v>16361.75</v>
      </c>
      <c r="AG125" s="11">
        <f t="shared" si="22"/>
        <v>0.88022369245343557</v>
      </c>
      <c r="AH125" s="11">
        <f t="shared" si="23"/>
        <v>1.3826258880658828</v>
      </c>
      <c r="AI125" s="3" t="s">
        <v>45</v>
      </c>
      <c r="AJ125" s="3" t="s">
        <v>40</v>
      </c>
      <c r="AK125" s="3" t="s">
        <v>46</v>
      </c>
      <c r="AL125" s="3" t="s">
        <v>47</v>
      </c>
      <c r="AM125" s="3" t="s">
        <v>39</v>
      </c>
    </row>
    <row r="126" spans="1:39" ht="21" customHeight="1">
      <c r="A126" s="4">
        <v>46086</v>
      </c>
      <c r="B126" s="3" t="s">
        <v>39</v>
      </c>
      <c r="C126" s="3" t="s">
        <v>40</v>
      </c>
      <c r="D126" s="4">
        <v>46057</v>
      </c>
      <c r="E126" s="3">
        <v>29</v>
      </c>
      <c r="F126" s="3" t="s">
        <v>57</v>
      </c>
      <c r="G126" s="3" t="s">
        <v>52</v>
      </c>
      <c r="H126" s="3">
        <v>0</v>
      </c>
      <c r="I126" s="7">
        <v>36018</v>
      </c>
      <c r="J126" s="7">
        <v>14150</v>
      </c>
      <c r="K126" s="7">
        <v>21868</v>
      </c>
      <c r="L126" s="5">
        <f t="shared" si="12"/>
        <v>0.39285912599255929</v>
      </c>
      <c r="M126" s="5">
        <f t="shared" si="13"/>
        <v>-1.0385756676557834E-2</v>
      </c>
      <c r="N126" s="7">
        <f t="shared" si="15"/>
        <v>41715.428571428572</v>
      </c>
      <c r="O126" s="7">
        <f t="shared" si="17"/>
        <v>39396.75</v>
      </c>
      <c r="P126" s="8">
        <f t="shared" si="18"/>
        <v>0.9142378495688096</v>
      </c>
      <c r="Q126" s="7"/>
      <c r="R126" s="7"/>
      <c r="S126" s="7"/>
      <c r="T126" s="7"/>
      <c r="U126" s="7"/>
      <c r="V126" s="7"/>
      <c r="W126" s="7"/>
      <c r="X126" s="3" t="s">
        <v>58</v>
      </c>
      <c r="Y126" s="3"/>
      <c r="Z126" s="9">
        <v>71.803629999999998</v>
      </c>
      <c r="AA126" s="5">
        <f t="shared" si="14"/>
        <v>1.0359317954697023E-2</v>
      </c>
      <c r="AB126" s="9">
        <f t="shared" si="16"/>
        <v>74.720091428571422</v>
      </c>
      <c r="AC126" s="9">
        <f t="shared" si="19"/>
        <v>53.093806785714285</v>
      </c>
      <c r="AD126" s="8">
        <f t="shared" si="20"/>
        <v>1.4073221709292849</v>
      </c>
      <c r="AE126" s="3" t="s">
        <v>44</v>
      </c>
      <c r="AF126" s="10">
        <f t="shared" si="21"/>
        <v>13301.75</v>
      </c>
      <c r="AG126" s="11">
        <f t="shared" si="22"/>
        <v>1.0637698047249422</v>
      </c>
      <c r="AH126" s="11">
        <f t="shared" si="23"/>
        <v>1.3523918201947402</v>
      </c>
      <c r="AI126" s="3" t="s">
        <v>45</v>
      </c>
      <c r="AJ126" s="3" t="s">
        <v>40</v>
      </c>
      <c r="AK126" s="3" t="s">
        <v>46</v>
      </c>
      <c r="AL126" s="3" t="s">
        <v>47</v>
      </c>
      <c r="AM126" s="3" t="s">
        <v>39</v>
      </c>
    </row>
    <row r="127" spans="1:39" ht="21" customHeight="1">
      <c r="A127" s="4">
        <v>46087</v>
      </c>
      <c r="B127" s="3" t="s">
        <v>39</v>
      </c>
      <c r="C127" s="3" t="s">
        <v>40</v>
      </c>
      <c r="D127" s="4">
        <v>46057</v>
      </c>
      <c r="E127" s="3">
        <v>30</v>
      </c>
      <c r="F127" s="3" t="s">
        <v>57</v>
      </c>
      <c r="G127" s="3" t="s">
        <v>53</v>
      </c>
      <c r="H127" s="3">
        <v>0</v>
      </c>
      <c r="I127" s="7">
        <v>35728</v>
      </c>
      <c r="J127" s="7">
        <v>14350</v>
      </c>
      <c r="K127" s="7">
        <v>21378</v>
      </c>
      <c r="L127" s="5">
        <f t="shared" si="12"/>
        <v>0.40164576802507834</v>
      </c>
      <c r="M127" s="5">
        <f t="shared" si="13"/>
        <v>-8.0515297906602612E-3</v>
      </c>
      <c r="N127" s="7">
        <f t="shared" si="15"/>
        <v>41020</v>
      </c>
      <c r="O127" s="7">
        <f t="shared" si="17"/>
        <v>39569.857142857145</v>
      </c>
      <c r="P127" s="8">
        <f t="shared" si="18"/>
        <v>0.90290950182137197</v>
      </c>
      <c r="Q127" s="7"/>
      <c r="R127" s="7"/>
      <c r="S127" s="7"/>
      <c r="T127" s="7"/>
      <c r="U127" s="7"/>
      <c r="V127" s="7"/>
      <c r="W127" s="7"/>
      <c r="X127" s="3" t="s">
        <v>58</v>
      </c>
      <c r="Y127" s="3"/>
      <c r="Z127" s="9">
        <v>82.477059999999994</v>
      </c>
      <c r="AA127" s="5">
        <f t="shared" si="14"/>
        <v>0.14864749874066252</v>
      </c>
      <c r="AB127" s="9">
        <f t="shared" si="16"/>
        <v>79.258279999999985</v>
      </c>
      <c r="AC127" s="9">
        <f t="shared" si="19"/>
        <v>54.658012500000005</v>
      </c>
      <c r="AD127" s="8">
        <f t="shared" si="20"/>
        <v>1.4500761439139409</v>
      </c>
      <c r="AE127" s="3" t="s">
        <v>44</v>
      </c>
      <c r="AF127" s="10">
        <f t="shared" si="21"/>
        <v>15115.75</v>
      </c>
      <c r="AG127" s="11">
        <f t="shared" si="22"/>
        <v>0.94934091923986574</v>
      </c>
      <c r="AH127" s="11">
        <f t="shared" si="23"/>
        <v>1.50896558853105</v>
      </c>
      <c r="AI127" s="3" t="s">
        <v>45</v>
      </c>
      <c r="AJ127" s="3" t="s">
        <v>40</v>
      </c>
      <c r="AK127" s="3" t="s">
        <v>46</v>
      </c>
      <c r="AL127" s="3" t="s">
        <v>47</v>
      </c>
      <c r="AM127" s="3" t="s">
        <v>39</v>
      </c>
    </row>
    <row r="128" spans="1:39" ht="21" customHeight="1">
      <c r="A128" s="4">
        <v>46088</v>
      </c>
      <c r="B128" s="3" t="s">
        <v>39</v>
      </c>
      <c r="C128" s="3" t="s">
        <v>40</v>
      </c>
      <c r="D128" s="4">
        <v>46057</v>
      </c>
      <c r="E128" s="3">
        <v>31</v>
      </c>
      <c r="F128" s="3" t="s">
        <v>57</v>
      </c>
      <c r="G128" s="3" t="s">
        <v>42</v>
      </c>
      <c r="H128" s="3">
        <v>1</v>
      </c>
      <c r="I128" s="7">
        <v>40344</v>
      </c>
      <c r="J128" s="7">
        <v>21802</v>
      </c>
      <c r="K128" s="7">
        <v>18543</v>
      </c>
      <c r="L128" s="5">
        <f t="shared" si="12"/>
        <v>0.54040253817172323</v>
      </c>
      <c r="M128" s="5">
        <f t="shared" si="13"/>
        <v>0.12919838781907744</v>
      </c>
      <c r="N128" s="7">
        <f t="shared" si="15"/>
        <v>39149.428571428572</v>
      </c>
      <c r="O128" s="7">
        <f t="shared" si="17"/>
        <v>39684.214285714283</v>
      </c>
      <c r="P128" s="8">
        <f t="shared" si="18"/>
        <v>1.0166258983870882</v>
      </c>
      <c r="Q128" s="7"/>
      <c r="R128" s="7"/>
      <c r="S128" s="7"/>
      <c r="T128" s="7"/>
      <c r="U128" s="7"/>
      <c r="V128" s="7"/>
      <c r="W128" s="7"/>
      <c r="X128" s="3" t="s">
        <v>58</v>
      </c>
      <c r="Y128" s="3"/>
      <c r="Z128" s="9">
        <v>79.691509999999994</v>
      </c>
      <c r="AA128" s="5">
        <f t="shared" si="14"/>
        <v>-3.3773633541253734E-2</v>
      </c>
      <c r="AB128" s="9">
        <f t="shared" si="16"/>
        <v>81.053441428571432</v>
      </c>
      <c r="AC128" s="9">
        <f t="shared" si="19"/>
        <v>56.461711428571427</v>
      </c>
      <c r="AD128" s="8">
        <f t="shared" si="20"/>
        <v>1.435547017222645</v>
      </c>
      <c r="AE128" s="3" t="s">
        <v>44</v>
      </c>
      <c r="AF128" s="10">
        <f t="shared" si="21"/>
        <v>25393</v>
      </c>
      <c r="AG128" s="11">
        <f t="shared" si="22"/>
        <v>0.85858307407553258</v>
      </c>
      <c r="AH128" s="11">
        <f t="shared" si="23"/>
        <v>1.4114256897936244</v>
      </c>
      <c r="AI128" s="3" t="s">
        <v>45</v>
      </c>
      <c r="AJ128" s="3" t="s">
        <v>40</v>
      </c>
      <c r="AK128" s="3" t="s">
        <v>46</v>
      </c>
      <c r="AL128" s="3" t="s">
        <v>47</v>
      </c>
      <c r="AM128" s="3" t="s">
        <v>39</v>
      </c>
    </row>
    <row r="129" spans="1:39" ht="21" customHeight="1">
      <c r="A129" s="4">
        <v>46089</v>
      </c>
      <c r="B129" s="3" t="s">
        <v>39</v>
      </c>
      <c r="C129" s="3" t="s">
        <v>40</v>
      </c>
      <c r="D129" s="4">
        <v>46057</v>
      </c>
      <c r="E129" s="3">
        <v>32</v>
      </c>
      <c r="F129" s="3" t="s">
        <v>57</v>
      </c>
      <c r="G129" s="3" t="s">
        <v>48</v>
      </c>
      <c r="H129" s="3">
        <v>1</v>
      </c>
      <c r="I129" s="7">
        <v>38857</v>
      </c>
      <c r="J129" s="7">
        <v>20724</v>
      </c>
      <c r="K129" s="7">
        <v>18134</v>
      </c>
      <c r="L129" s="5">
        <f t="shared" si="12"/>
        <v>0.53334019610366212</v>
      </c>
      <c r="M129" s="5">
        <f t="shared" si="13"/>
        <v>-3.6858021019234632E-2</v>
      </c>
      <c r="N129" s="7">
        <f t="shared" si="15"/>
        <v>36825.857142857145</v>
      </c>
      <c r="O129" s="7">
        <f t="shared" si="17"/>
        <v>39904.214285714283</v>
      </c>
      <c r="P129" s="8">
        <f t="shared" si="18"/>
        <v>0.97375679976515195</v>
      </c>
      <c r="Q129" s="7"/>
      <c r="R129" s="7"/>
      <c r="S129" s="7"/>
      <c r="T129" s="7"/>
      <c r="U129" s="7"/>
      <c r="V129" s="7"/>
      <c r="W129" s="7"/>
      <c r="X129" s="3" t="s">
        <v>58</v>
      </c>
      <c r="Y129" s="3"/>
      <c r="Z129" s="9">
        <v>56.90184</v>
      </c>
      <c r="AA129" s="5">
        <f t="shared" si="14"/>
        <v>-0.28597362504487611</v>
      </c>
      <c r="AB129" s="9">
        <f t="shared" si="16"/>
        <v>76.671680000000009</v>
      </c>
      <c r="AC129" s="9">
        <f t="shared" si="19"/>
        <v>57.80510392857142</v>
      </c>
      <c r="AD129" s="8">
        <f t="shared" si="20"/>
        <v>1.3263825300745351</v>
      </c>
      <c r="AE129" s="3" t="s">
        <v>44</v>
      </c>
      <c r="AF129" s="10">
        <f t="shared" si="21"/>
        <v>26828.25</v>
      </c>
      <c r="AG129" s="11">
        <f t="shared" si="22"/>
        <v>0.77246931872186964</v>
      </c>
      <c r="AH129" s="11">
        <f t="shared" si="23"/>
        <v>0.98437397622037726</v>
      </c>
      <c r="AI129" s="3" t="s">
        <v>45</v>
      </c>
      <c r="AJ129" s="3" t="s">
        <v>40</v>
      </c>
      <c r="AK129" s="3" t="s">
        <v>46</v>
      </c>
      <c r="AL129" s="3" t="s">
        <v>47</v>
      </c>
      <c r="AM129" s="3" t="s">
        <v>39</v>
      </c>
    </row>
    <row r="130" spans="1:39" ht="21" customHeight="1">
      <c r="A130" s="4">
        <v>46090</v>
      </c>
      <c r="B130" s="3" t="s">
        <v>39</v>
      </c>
      <c r="C130" s="3" t="s">
        <v>40</v>
      </c>
      <c r="D130" s="4">
        <v>46057</v>
      </c>
      <c r="E130" s="3">
        <v>33</v>
      </c>
      <c r="F130" s="3" t="s">
        <v>57</v>
      </c>
      <c r="G130" s="3" t="s">
        <v>49</v>
      </c>
      <c r="H130" s="3">
        <v>0</v>
      </c>
      <c r="I130" s="7">
        <v>35259</v>
      </c>
      <c r="J130" s="7">
        <v>13934</v>
      </c>
      <c r="K130" s="7">
        <v>21326</v>
      </c>
      <c r="L130" s="5">
        <f t="shared" ref="L130:L193" si="24">IFERROR(J130/I130,"")</f>
        <v>0.39518988059786153</v>
      </c>
      <c r="M130" s="5">
        <f t="shared" si="13"/>
        <v>-9.2595928661502458E-2</v>
      </c>
      <c r="N130" s="7">
        <f t="shared" si="15"/>
        <v>36588.857142857145</v>
      </c>
      <c r="O130" s="7">
        <f t="shared" si="17"/>
        <v>40130.964285714283</v>
      </c>
      <c r="P130" s="8">
        <f t="shared" si="18"/>
        <v>0.87859837478541247</v>
      </c>
      <c r="Q130" s="7"/>
      <c r="R130" s="7"/>
      <c r="S130" s="7"/>
      <c r="T130" s="7"/>
      <c r="U130" s="7"/>
      <c r="V130" s="7"/>
      <c r="W130" s="7"/>
      <c r="X130" s="3" t="s">
        <v>58</v>
      </c>
      <c r="Y130" s="3"/>
      <c r="Z130" s="9">
        <v>39.454039999999999</v>
      </c>
      <c r="AA130" s="5">
        <f t="shared" si="14"/>
        <v>-0.3066298031838689</v>
      </c>
      <c r="AB130" s="9">
        <f t="shared" si="16"/>
        <v>68.022257142857143</v>
      </c>
      <c r="AC130" s="9">
        <f t="shared" si="19"/>
        <v>58.323169642857138</v>
      </c>
      <c r="AD130" s="8">
        <f t="shared" si="20"/>
        <v>1.1662990464920291</v>
      </c>
      <c r="AE130" s="3" t="s">
        <v>44</v>
      </c>
      <c r="AF130" s="10">
        <f t="shared" si="21"/>
        <v>22733.5</v>
      </c>
      <c r="AG130" s="11">
        <f t="shared" si="22"/>
        <v>0.61292805771218684</v>
      </c>
      <c r="AH130" s="11">
        <f t="shared" si="23"/>
        <v>0.67647283646614964</v>
      </c>
      <c r="AI130" s="3" t="s">
        <v>45</v>
      </c>
      <c r="AJ130" s="3" t="s">
        <v>40</v>
      </c>
      <c r="AK130" s="3" t="s">
        <v>46</v>
      </c>
      <c r="AL130" s="3" t="s">
        <v>47</v>
      </c>
      <c r="AM130" s="3" t="s">
        <v>39</v>
      </c>
    </row>
    <row r="131" spans="1:39" ht="21" customHeight="1">
      <c r="A131" s="4">
        <v>46091</v>
      </c>
      <c r="B131" s="3" t="s">
        <v>39</v>
      </c>
      <c r="C131" s="3" t="s">
        <v>40</v>
      </c>
      <c r="D131" s="4">
        <v>46057</v>
      </c>
      <c r="E131" s="3">
        <v>34</v>
      </c>
      <c r="F131" s="3" t="s">
        <v>57</v>
      </c>
      <c r="G131" s="3" t="s">
        <v>50</v>
      </c>
      <c r="H131" s="3">
        <v>0</v>
      </c>
      <c r="I131" s="7">
        <v>36446</v>
      </c>
      <c r="J131" s="7">
        <v>14948</v>
      </c>
      <c r="K131" s="7">
        <v>21497</v>
      </c>
      <c r="L131" s="5">
        <f t="shared" si="24"/>
        <v>0.41014103056576856</v>
      </c>
      <c r="M131" s="5">
        <f t="shared" ref="M131:M194" si="25">IF(AND(C131=C130,A131=A130+1),IFERROR(I131/I130-1,""),"")</f>
        <v>3.3665163504353446E-2</v>
      </c>
      <c r="N131" s="7">
        <f t="shared" si="15"/>
        <v>37006.857142857145</v>
      </c>
      <c r="O131" s="7">
        <f t="shared" si="17"/>
        <v>40226.714285714283</v>
      </c>
      <c r="P131" s="8">
        <f t="shared" si="18"/>
        <v>0.90601483733268939</v>
      </c>
      <c r="Q131" s="7"/>
      <c r="R131" s="7"/>
      <c r="S131" s="7"/>
      <c r="T131" s="7"/>
      <c r="U131" s="7"/>
      <c r="V131" s="7"/>
      <c r="W131" s="7"/>
      <c r="X131" s="3" t="s">
        <v>58</v>
      </c>
      <c r="Y131" s="3"/>
      <c r="Z131" s="9">
        <v>30.620509999999999</v>
      </c>
      <c r="AA131" s="5">
        <f t="shared" ref="AA131:AA194" si="26">IFERROR(Z131/Z130-1,"")</f>
        <v>-0.22389418168582986</v>
      </c>
      <c r="AB131" s="9">
        <f t="shared" si="16"/>
        <v>61.716572857142864</v>
      </c>
      <c r="AC131" s="9">
        <f t="shared" si="19"/>
        <v>58.52230892857142</v>
      </c>
      <c r="AD131" s="8">
        <f t="shared" si="20"/>
        <v>1.0545819874002265</v>
      </c>
      <c r="AE131" s="3" t="s">
        <v>44</v>
      </c>
      <c r="AF131" s="10">
        <f t="shared" si="21"/>
        <v>20785.75</v>
      </c>
      <c r="AG131" s="11">
        <f t="shared" si="22"/>
        <v>0.71914653067606416</v>
      </c>
      <c r="AH131" s="11">
        <f t="shared" si="23"/>
        <v>0.52322798878925691</v>
      </c>
      <c r="AI131" s="3" t="s">
        <v>45</v>
      </c>
      <c r="AJ131" s="3" t="s">
        <v>40</v>
      </c>
      <c r="AK131" s="3" t="s">
        <v>46</v>
      </c>
      <c r="AL131" s="3" t="s">
        <v>47</v>
      </c>
      <c r="AM131" s="3" t="s">
        <v>39</v>
      </c>
    </row>
    <row r="132" spans="1:39" ht="21" customHeight="1">
      <c r="A132" s="4">
        <v>46092</v>
      </c>
      <c r="B132" s="3" t="s">
        <v>39</v>
      </c>
      <c r="C132" s="3" t="s">
        <v>40</v>
      </c>
      <c r="D132" s="4">
        <v>46057</v>
      </c>
      <c r="E132" s="3">
        <v>35</v>
      </c>
      <c r="F132" s="3" t="s">
        <v>57</v>
      </c>
      <c r="G132" s="3" t="s">
        <v>51</v>
      </c>
      <c r="H132" s="3">
        <v>0</v>
      </c>
      <c r="I132" s="7">
        <v>37107</v>
      </c>
      <c r="J132" s="7">
        <v>15474</v>
      </c>
      <c r="K132" s="7">
        <v>21634</v>
      </c>
      <c r="L132" s="5">
        <f t="shared" si="24"/>
        <v>0.41701026760449511</v>
      </c>
      <c r="M132" s="5">
        <f t="shared" si="25"/>
        <v>1.8136421006420544E-2</v>
      </c>
      <c r="N132" s="7">
        <f t="shared" si="15"/>
        <v>37108.428571428572</v>
      </c>
      <c r="O132" s="7">
        <f t="shared" si="17"/>
        <v>40367.357142857145</v>
      </c>
      <c r="P132" s="8">
        <f t="shared" si="18"/>
        <v>0.91923283133649358</v>
      </c>
      <c r="Q132" s="7"/>
      <c r="R132" s="7"/>
      <c r="S132" s="7"/>
      <c r="T132" s="7"/>
      <c r="U132" s="7"/>
      <c r="V132" s="7"/>
      <c r="W132" s="7"/>
      <c r="X132" s="3" t="s">
        <v>58</v>
      </c>
      <c r="Y132" s="3"/>
      <c r="Z132" s="9">
        <v>28.369240000000001</v>
      </c>
      <c r="AA132" s="5">
        <f t="shared" si="26"/>
        <v>-7.3521636315005745E-2</v>
      </c>
      <c r="AB132" s="9">
        <f t="shared" si="16"/>
        <v>55.61683285714286</v>
      </c>
      <c r="AC132" s="9">
        <f t="shared" si="19"/>
        <v>58.648182142857138</v>
      </c>
      <c r="AD132" s="8">
        <f t="shared" si="20"/>
        <v>0.94831298814462106</v>
      </c>
      <c r="AE132" s="3" t="s">
        <v>44</v>
      </c>
      <c r="AF132" s="10">
        <f t="shared" si="21"/>
        <v>17164.75</v>
      </c>
      <c r="AG132" s="11">
        <f t="shared" si="22"/>
        <v>0.90149871102113344</v>
      </c>
      <c r="AH132" s="11">
        <f t="shared" si="23"/>
        <v>0.48371899969375504</v>
      </c>
      <c r="AI132" s="3" t="s">
        <v>45</v>
      </c>
      <c r="AJ132" s="3" t="s">
        <v>40</v>
      </c>
      <c r="AK132" s="3" t="s">
        <v>46</v>
      </c>
      <c r="AL132" s="3" t="s">
        <v>47</v>
      </c>
      <c r="AM132" s="3" t="s">
        <v>39</v>
      </c>
    </row>
    <row r="133" spans="1:39" ht="21" customHeight="1">
      <c r="A133" s="4">
        <v>46093</v>
      </c>
      <c r="B133" s="3" t="s">
        <v>39</v>
      </c>
      <c r="C133" s="3" t="s">
        <v>40</v>
      </c>
      <c r="D133" s="4">
        <v>46057</v>
      </c>
      <c r="E133" s="3">
        <v>36</v>
      </c>
      <c r="F133" s="3" t="s">
        <v>57</v>
      </c>
      <c r="G133" s="3" t="s">
        <v>52</v>
      </c>
      <c r="H133" s="3">
        <v>0</v>
      </c>
      <c r="I133" s="7">
        <v>37156</v>
      </c>
      <c r="J133" s="7">
        <v>15260</v>
      </c>
      <c r="K133" s="7">
        <v>21896</v>
      </c>
      <c r="L133" s="5">
        <f t="shared" si="24"/>
        <v>0.41070082893745291</v>
      </c>
      <c r="M133" s="5">
        <f t="shared" si="25"/>
        <v>1.3205055649876396E-3</v>
      </c>
      <c r="N133" s="7">
        <f t="shared" si="15"/>
        <v>37271</v>
      </c>
      <c r="O133" s="7">
        <f t="shared" si="17"/>
        <v>40531.607142857145</v>
      </c>
      <c r="P133" s="8">
        <f t="shared" si="18"/>
        <v>0.91671667173325933</v>
      </c>
      <c r="Q133" s="7"/>
      <c r="R133" s="7"/>
      <c r="S133" s="7"/>
      <c r="T133" s="7"/>
      <c r="U133" s="7"/>
      <c r="V133" s="7"/>
      <c r="W133" s="7"/>
      <c r="X133" s="3" t="s">
        <v>58</v>
      </c>
      <c r="Y133" s="3"/>
      <c r="Z133" s="9">
        <v>26.77291</v>
      </c>
      <c r="AA133" s="5">
        <f t="shared" si="26"/>
        <v>-5.6269748502251082E-2</v>
      </c>
      <c r="AB133" s="9">
        <f t="shared" si="16"/>
        <v>49.183872857142866</v>
      </c>
      <c r="AC133" s="9">
        <f t="shared" si="19"/>
        <v>58.723972500000002</v>
      </c>
      <c r="AD133" s="8">
        <f t="shared" si="20"/>
        <v>0.83754335347702957</v>
      </c>
      <c r="AE133" s="3" t="s">
        <v>44</v>
      </c>
      <c r="AF133" s="10">
        <f t="shared" si="21"/>
        <v>14171.25</v>
      </c>
      <c r="AG133" s="11">
        <f t="shared" si="22"/>
        <v>1.0768280850313134</v>
      </c>
      <c r="AH133" s="11">
        <f t="shared" si="23"/>
        <v>0.45591108469373387</v>
      </c>
      <c r="AI133" s="3" t="s">
        <v>45</v>
      </c>
      <c r="AJ133" s="3" t="s">
        <v>40</v>
      </c>
      <c r="AK133" s="3" t="s">
        <v>46</v>
      </c>
      <c r="AL133" s="3" t="s">
        <v>47</v>
      </c>
      <c r="AM133" s="3" t="s">
        <v>39</v>
      </c>
    </row>
    <row r="134" spans="1:39" ht="21" customHeight="1">
      <c r="A134" s="4">
        <v>46094</v>
      </c>
      <c r="B134" s="3" t="s">
        <v>39</v>
      </c>
      <c r="C134" s="3" t="s">
        <v>40</v>
      </c>
      <c r="D134" s="4">
        <v>46057</v>
      </c>
      <c r="E134" s="3">
        <v>37</v>
      </c>
      <c r="F134" s="3" t="s">
        <v>57</v>
      </c>
      <c r="G134" s="3" t="s">
        <v>53</v>
      </c>
      <c r="H134" s="3">
        <v>0</v>
      </c>
      <c r="I134" s="7">
        <v>39714</v>
      </c>
      <c r="J134" s="7">
        <v>17896</v>
      </c>
      <c r="K134" s="7">
        <v>21819</v>
      </c>
      <c r="L134" s="5">
        <f t="shared" si="24"/>
        <v>0.45062194692048146</v>
      </c>
      <c r="M134" s="5">
        <f t="shared" si="25"/>
        <v>6.8844870276671299E-2</v>
      </c>
      <c r="N134" s="7">
        <f t="shared" si="15"/>
        <v>37840.428571428572</v>
      </c>
      <c r="O134" s="7">
        <f t="shared" si="17"/>
        <v>40696.464285714283</v>
      </c>
      <c r="P134" s="8">
        <f t="shared" si="18"/>
        <v>0.97585873114635269</v>
      </c>
      <c r="Q134" s="7"/>
      <c r="R134" s="7"/>
      <c r="S134" s="7"/>
      <c r="T134" s="7"/>
      <c r="U134" s="7"/>
      <c r="V134" s="7"/>
      <c r="W134" s="7"/>
      <c r="X134" s="3" t="s">
        <v>58</v>
      </c>
      <c r="Y134" s="3"/>
      <c r="Z134" s="9">
        <v>28.730139999999999</v>
      </c>
      <c r="AA134" s="5">
        <f t="shared" si="26"/>
        <v>7.3104866075447195E-2</v>
      </c>
      <c r="AB134" s="9">
        <f t="shared" si="16"/>
        <v>41.505741428571426</v>
      </c>
      <c r="AC134" s="9">
        <f t="shared" si="19"/>
        <v>58.718290357142855</v>
      </c>
      <c r="AD134" s="8">
        <f t="shared" si="20"/>
        <v>0.70686222599671467</v>
      </c>
      <c r="AE134" s="3" t="s">
        <v>44</v>
      </c>
      <c r="AF134" s="10">
        <f t="shared" si="21"/>
        <v>15787.75</v>
      </c>
      <c r="AG134" s="11">
        <f t="shared" si="22"/>
        <v>1.1335370777976597</v>
      </c>
      <c r="AH134" s="11">
        <f t="shared" si="23"/>
        <v>0.48928774705895517</v>
      </c>
      <c r="AI134" s="3" t="s">
        <v>45</v>
      </c>
      <c r="AJ134" s="3" t="s">
        <v>40</v>
      </c>
      <c r="AK134" s="3" t="s">
        <v>46</v>
      </c>
      <c r="AL134" s="3" t="s">
        <v>47</v>
      </c>
      <c r="AM134" s="3" t="s">
        <v>39</v>
      </c>
    </row>
    <row r="135" spans="1:39" ht="21" customHeight="1">
      <c r="A135" s="4">
        <v>46095</v>
      </c>
      <c r="B135" s="3" t="s">
        <v>39</v>
      </c>
      <c r="C135" s="3" t="s">
        <v>40</v>
      </c>
      <c r="D135" s="4">
        <v>46057</v>
      </c>
      <c r="E135" s="3">
        <v>38</v>
      </c>
      <c r="F135" s="3" t="s">
        <v>57</v>
      </c>
      <c r="G135" s="3" t="s">
        <v>42</v>
      </c>
      <c r="H135" s="3">
        <v>1</v>
      </c>
      <c r="I135" s="7">
        <v>45248</v>
      </c>
      <c r="J135" s="7">
        <v>26352</v>
      </c>
      <c r="K135" s="7">
        <v>18896</v>
      </c>
      <c r="L135" s="5">
        <f t="shared" si="24"/>
        <v>0.58239038189533243</v>
      </c>
      <c r="M135" s="5">
        <f t="shared" si="25"/>
        <v>0.13934632623256293</v>
      </c>
      <c r="N135" s="7">
        <f t="shared" si="15"/>
        <v>38541</v>
      </c>
      <c r="O135" s="7">
        <f t="shared" si="17"/>
        <v>40884.678571428572</v>
      </c>
      <c r="P135" s="8">
        <f t="shared" si="18"/>
        <v>1.106722654574583</v>
      </c>
      <c r="Q135" s="7"/>
      <c r="R135" s="7"/>
      <c r="S135" s="7"/>
      <c r="T135" s="7"/>
      <c r="U135" s="7"/>
      <c r="V135" s="7"/>
      <c r="W135" s="7"/>
      <c r="X135" s="3" t="s">
        <v>58</v>
      </c>
      <c r="Y135" s="3"/>
      <c r="Z135" s="9">
        <v>39.138019999999997</v>
      </c>
      <c r="AA135" s="5">
        <f t="shared" si="26"/>
        <v>0.36226346269109722</v>
      </c>
      <c r="AB135" s="9">
        <f t="shared" si="16"/>
        <v>35.712385714285709</v>
      </c>
      <c r="AC135" s="9">
        <f t="shared" si="19"/>
        <v>58.605737857142842</v>
      </c>
      <c r="AD135" s="8">
        <f t="shared" si="20"/>
        <v>0.6093667108387596</v>
      </c>
      <c r="AE135" s="3" t="s">
        <v>44</v>
      </c>
      <c r="AF135" s="10">
        <f t="shared" si="21"/>
        <v>26648</v>
      </c>
      <c r="AG135" s="11">
        <f t="shared" si="22"/>
        <v>0.98889222455719006</v>
      </c>
      <c r="AH135" s="11">
        <f t="shared" si="23"/>
        <v>0.66781891041799879</v>
      </c>
      <c r="AI135" s="3" t="s">
        <v>45</v>
      </c>
      <c r="AJ135" s="3" t="s">
        <v>40</v>
      </c>
      <c r="AK135" s="3" t="s">
        <v>46</v>
      </c>
      <c r="AL135" s="3" t="s">
        <v>47</v>
      </c>
      <c r="AM135" s="3" t="s">
        <v>39</v>
      </c>
    </row>
    <row r="136" spans="1:39" ht="21" customHeight="1">
      <c r="A136" s="4">
        <v>46096</v>
      </c>
      <c r="B136" s="3" t="s">
        <v>39</v>
      </c>
      <c r="C136" s="3" t="s">
        <v>40</v>
      </c>
      <c r="D136" s="4">
        <v>46057</v>
      </c>
      <c r="E136" s="3">
        <v>39</v>
      </c>
      <c r="F136" s="3" t="s">
        <v>57</v>
      </c>
      <c r="G136" s="3" t="s">
        <v>48</v>
      </c>
      <c r="H136" s="3">
        <v>1</v>
      </c>
      <c r="I136" s="7">
        <v>39714</v>
      </c>
      <c r="J136" s="7">
        <v>21812</v>
      </c>
      <c r="K136" s="7">
        <v>17902</v>
      </c>
      <c r="L136" s="5">
        <f t="shared" si="24"/>
        <v>0.54922697285591981</v>
      </c>
      <c r="M136" s="5">
        <f t="shared" si="25"/>
        <v>-0.1223037482319661</v>
      </c>
      <c r="N136" s="7">
        <f t="shared" ref="N136:N199" si="27">AVERAGE(I130:I136)</f>
        <v>38663.428571428572</v>
      </c>
      <c r="O136" s="7">
        <f t="shared" si="17"/>
        <v>40954.321428571428</v>
      </c>
      <c r="P136" s="8">
        <f t="shared" si="18"/>
        <v>0.96971451643425033</v>
      </c>
      <c r="Q136" s="7"/>
      <c r="R136" s="7"/>
      <c r="S136" s="7"/>
      <c r="T136" s="7"/>
      <c r="U136" s="7"/>
      <c r="V136" s="7"/>
      <c r="W136" s="7"/>
      <c r="X136" s="3" t="s">
        <v>58</v>
      </c>
      <c r="Y136" s="3"/>
      <c r="Z136" s="9">
        <v>39.28631</v>
      </c>
      <c r="AA136" s="5">
        <f t="shared" si="26"/>
        <v>3.7888988763357112E-3</v>
      </c>
      <c r="AB136" s="9">
        <f t="shared" ref="AB136:AB199" si="28">AVERAGE(Z130:Z136)</f>
        <v>33.195881428571433</v>
      </c>
      <c r="AC136" s="9">
        <f t="shared" si="19"/>
        <v>58.311044999999986</v>
      </c>
      <c r="AD136" s="8">
        <f t="shared" si="20"/>
        <v>0.56928977054984076</v>
      </c>
      <c r="AE136" s="3" t="s">
        <v>44</v>
      </c>
      <c r="AF136" s="10">
        <f t="shared" si="21"/>
        <v>28109.25</v>
      </c>
      <c r="AG136" s="11">
        <f t="shared" si="22"/>
        <v>0.77597232227825363</v>
      </c>
      <c r="AH136" s="11">
        <f t="shared" si="23"/>
        <v>0.67373702529254975</v>
      </c>
      <c r="AI136" s="3" t="s">
        <v>45</v>
      </c>
      <c r="AJ136" s="3" t="s">
        <v>40</v>
      </c>
      <c r="AK136" s="3" t="s">
        <v>46</v>
      </c>
      <c r="AL136" s="3" t="s">
        <v>47</v>
      </c>
      <c r="AM136" s="3" t="s">
        <v>39</v>
      </c>
    </row>
    <row r="137" spans="1:39" ht="21" customHeight="1">
      <c r="A137" s="4">
        <v>46097</v>
      </c>
      <c r="B137" s="3" t="s">
        <v>39</v>
      </c>
      <c r="C137" s="3" t="s">
        <v>40</v>
      </c>
      <c r="D137" s="4">
        <v>46057</v>
      </c>
      <c r="E137" s="3">
        <v>40</v>
      </c>
      <c r="F137" s="3" t="s">
        <v>57</v>
      </c>
      <c r="G137" s="3" t="s">
        <v>49</v>
      </c>
      <c r="H137" s="3">
        <v>0</v>
      </c>
      <c r="I137" s="7">
        <v>35900</v>
      </c>
      <c r="J137" s="7">
        <v>14210</v>
      </c>
      <c r="K137" s="7">
        <v>21690</v>
      </c>
      <c r="L137" s="5">
        <f t="shared" si="24"/>
        <v>0.39582172701949858</v>
      </c>
      <c r="M137" s="5">
        <f t="shared" si="25"/>
        <v>-9.6036662134259987E-2</v>
      </c>
      <c r="N137" s="7">
        <f t="shared" si="27"/>
        <v>38755</v>
      </c>
      <c r="O137" s="7">
        <f t="shared" si="17"/>
        <v>40528.821428571428</v>
      </c>
      <c r="P137" s="8">
        <f t="shared" si="18"/>
        <v>0.88578938973763821</v>
      </c>
      <c r="Q137" s="7"/>
      <c r="R137" s="7"/>
      <c r="S137" s="7"/>
      <c r="T137" s="7"/>
      <c r="U137" s="7"/>
      <c r="V137" s="7"/>
      <c r="W137" s="7"/>
      <c r="X137" s="3" t="s">
        <v>58</v>
      </c>
      <c r="Y137" s="3"/>
      <c r="Z137" s="9">
        <v>27.524889999999999</v>
      </c>
      <c r="AA137" s="5">
        <f t="shared" si="26"/>
        <v>-0.29937706035512124</v>
      </c>
      <c r="AB137" s="9">
        <f t="shared" si="28"/>
        <v>31.491717142857141</v>
      </c>
      <c r="AC137" s="9">
        <f t="shared" si="19"/>
        <v>57.683415714285715</v>
      </c>
      <c r="AD137" s="8">
        <f t="shared" si="20"/>
        <v>0.5459405749971562</v>
      </c>
      <c r="AE137" s="3" t="s">
        <v>44</v>
      </c>
      <c r="AF137" s="10">
        <f t="shared" si="21"/>
        <v>23336.5</v>
      </c>
      <c r="AG137" s="11">
        <f t="shared" si="22"/>
        <v>0.60891736121526363</v>
      </c>
      <c r="AH137" s="11">
        <f t="shared" si="23"/>
        <v>0.47717163866187734</v>
      </c>
      <c r="AI137" s="3" t="s">
        <v>45</v>
      </c>
      <c r="AJ137" s="3" t="s">
        <v>40</v>
      </c>
      <c r="AK137" s="3" t="s">
        <v>46</v>
      </c>
      <c r="AL137" s="3" t="s">
        <v>47</v>
      </c>
      <c r="AM137" s="3" t="s">
        <v>39</v>
      </c>
    </row>
    <row r="138" spans="1:39" ht="21" customHeight="1">
      <c r="A138" s="4">
        <v>46098</v>
      </c>
      <c r="B138" s="3" t="s">
        <v>39</v>
      </c>
      <c r="C138" s="3" t="s">
        <v>40</v>
      </c>
      <c r="D138" s="4">
        <v>46057</v>
      </c>
      <c r="E138" s="3">
        <v>41</v>
      </c>
      <c r="F138" s="3" t="s">
        <v>57</v>
      </c>
      <c r="G138" s="3" t="s">
        <v>50</v>
      </c>
      <c r="H138" s="3">
        <v>0</v>
      </c>
      <c r="I138" s="7">
        <v>38654</v>
      </c>
      <c r="J138" s="7">
        <v>16908</v>
      </c>
      <c r="K138" s="7">
        <v>21746</v>
      </c>
      <c r="L138" s="5">
        <f t="shared" si="24"/>
        <v>0.43741915455062863</v>
      </c>
      <c r="M138" s="5">
        <f t="shared" si="25"/>
        <v>7.6713091922005594E-2</v>
      </c>
      <c r="N138" s="7">
        <f t="shared" si="27"/>
        <v>39070.428571428572</v>
      </c>
      <c r="O138" s="7">
        <f t="shared" si="17"/>
        <v>39670.964285714283</v>
      </c>
      <c r="P138" s="8">
        <f t="shared" si="18"/>
        <v>0.97436502227699828</v>
      </c>
      <c r="Q138" s="7"/>
      <c r="R138" s="7"/>
      <c r="S138" s="7"/>
      <c r="T138" s="7"/>
      <c r="U138" s="7"/>
      <c r="V138" s="7"/>
      <c r="W138" s="7"/>
      <c r="X138" s="3" t="s">
        <v>58</v>
      </c>
      <c r="Y138" s="3"/>
      <c r="Z138" s="9">
        <v>23.402550000000002</v>
      </c>
      <c r="AA138" s="5">
        <f t="shared" si="26"/>
        <v>-0.14976771932603539</v>
      </c>
      <c r="AB138" s="9">
        <f t="shared" si="28"/>
        <v>30.460579999999997</v>
      </c>
      <c r="AC138" s="9">
        <f t="shared" si="19"/>
        <v>56.544698571428569</v>
      </c>
      <c r="AD138" s="8">
        <f t="shared" si="20"/>
        <v>0.53869913129913471</v>
      </c>
      <c r="AE138" s="3" t="s">
        <v>44</v>
      </c>
      <c r="AF138" s="10">
        <f t="shared" si="21"/>
        <v>21677.25</v>
      </c>
      <c r="AG138" s="11">
        <f t="shared" si="22"/>
        <v>0.77998823651524063</v>
      </c>
      <c r="AH138" s="11">
        <f t="shared" si="23"/>
        <v>0.41387699627467922</v>
      </c>
      <c r="AI138" s="3" t="s">
        <v>45</v>
      </c>
      <c r="AJ138" s="3" t="s">
        <v>40</v>
      </c>
      <c r="AK138" s="3" t="s">
        <v>46</v>
      </c>
      <c r="AL138" s="3" t="s">
        <v>47</v>
      </c>
      <c r="AM138" s="3" t="s">
        <v>39</v>
      </c>
    </row>
    <row r="139" spans="1:39" ht="21" customHeight="1">
      <c r="A139" s="4">
        <v>46099</v>
      </c>
      <c r="B139" s="3" t="s">
        <v>39</v>
      </c>
      <c r="C139" s="3" t="s">
        <v>40</v>
      </c>
      <c r="D139" s="4">
        <v>46057</v>
      </c>
      <c r="E139" s="3">
        <v>42</v>
      </c>
      <c r="F139" s="3" t="s">
        <v>57</v>
      </c>
      <c r="G139" s="3" t="s">
        <v>51</v>
      </c>
      <c r="H139" s="3">
        <v>0</v>
      </c>
      <c r="I139" s="7">
        <v>35553</v>
      </c>
      <c r="J139" s="7">
        <v>14452</v>
      </c>
      <c r="K139" s="7">
        <v>21102</v>
      </c>
      <c r="L139" s="5">
        <f t="shared" si="24"/>
        <v>0.40649171659213007</v>
      </c>
      <c r="M139" s="5">
        <f t="shared" si="25"/>
        <v>-8.022455632017389E-2</v>
      </c>
      <c r="N139" s="7">
        <f t="shared" si="27"/>
        <v>38848.428571428572</v>
      </c>
      <c r="O139" s="7">
        <f t="shared" si="17"/>
        <v>38865.821428571428</v>
      </c>
      <c r="P139" s="8">
        <f t="shared" si="18"/>
        <v>0.91476260357291528</v>
      </c>
      <c r="Q139" s="7"/>
      <c r="R139" s="7"/>
      <c r="S139" s="7"/>
      <c r="T139" s="7"/>
      <c r="U139" s="7"/>
      <c r="V139" s="7"/>
      <c r="W139" s="7"/>
      <c r="X139" s="3" t="s">
        <v>58</v>
      </c>
      <c r="Y139" s="3"/>
      <c r="Z139" s="9">
        <v>25.498950000000001</v>
      </c>
      <c r="AA139" s="5">
        <f t="shared" si="26"/>
        <v>8.957998166866421E-2</v>
      </c>
      <c r="AB139" s="9">
        <f t="shared" si="28"/>
        <v>30.050538571428572</v>
      </c>
      <c r="AC139" s="9">
        <f t="shared" si="19"/>
        <v>54.761989642857138</v>
      </c>
      <c r="AD139" s="8">
        <f t="shared" si="20"/>
        <v>0.54874811465781359</v>
      </c>
      <c r="AE139" s="3" t="s">
        <v>44</v>
      </c>
      <c r="AF139" s="10">
        <f t="shared" si="21"/>
        <v>18217.5</v>
      </c>
      <c r="AG139" s="11">
        <f t="shared" si="22"/>
        <v>0.79330314258268153</v>
      </c>
      <c r="AH139" s="11">
        <f t="shared" si="23"/>
        <v>0.46563227826996872</v>
      </c>
      <c r="AI139" s="3" t="s">
        <v>45</v>
      </c>
      <c r="AJ139" s="3" t="s">
        <v>40</v>
      </c>
      <c r="AK139" s="3" t="s">
        <v>46</v>
      </c>
      <c r="AL139" s="3" t="s">
        <v>47</v>
      </c>
      <c r="AM139" s="3" t="s">
        <v>39</v>
      </c>
    </row>
    <row r="140" spans="1:39" ht="21" customHeight="1">
      <c r="A140" s="4">
        <v>46100</v>
      </c>
      <c r="B140" s="3" t="s">
        <v>39</v>
      </c>
      <c r="C140" s="3" t="s">
        <v>40</v>
      </c>
      <c r="D140" s="4">
        <v>46057</v>
      </c>
      <c r="E140" s="3">
        <v>43</v>
      </c>
      <c r="F140" s="3" t="s">
        <v>57</v>
      </c>
      <c r="G140" s="3" t="s">
        <v>52</v>
      </c>
      <c r="H140" s="3">
        <v>0</v>
      </c>
      <c r="I140" s="7">
        <v>39109</v>
      </c>
      <c r="J140" s="7">
        <v>17073</v>
      </c>
      <c r="K140" s="7">
        <v>22036</v>
      </c>
      <c r="L140" s="5">
        <f t="shared" si="24"/>
        <v>0.4365491319133703</v>
      </c>
      <c r="M140" s="5">
        <f t="shared" si="25"/>
        <v>0.10001968891514079</v>
      </c>
      <c r="N140" s="7">
        <f t="shared" si="27"/>
        <v>39127.428571428572</v>
      </c>
      <c r="O140" s="7">
        <f t="shared" si="17"/>
        <v>38649.071428571428</v>
      </c>
      <c r="P140" s="8">
        <f t="shared" si="18"/>
        <v>1.0119001195741166</v>
      </c>
      <c r="Q140" s="7"/>
      <c r="R140" s="7"/>
      <c r="S140" s="7"/>
      <c r="T140" s="7"/>
      <c r="U140" s="7"/>
      <c r="V140" s="7"/>
      <c r="W140" s="7"/>
      <c r="X140" s="3" t="s">
        <v>58</v>
      </c>
      <c r="Y140" s="3"/>
      <c r="Z140" s="9">
        <v>25.04327</v>
      </c>
      <c r="AA140" s="5">
        <f t="shared" si="26"/>
        <v>-1.7870539767323779E-2</v>
      </c>
      <c r="AB140" s="9">
        <f t="shared" si="28"/>
        <v>29.803447142857141</v>
      </c>
      <c r="AC140" s="9">
        <f t="shared" si="19"/>
        <v>52.945267857142838</v>
      </c>
      <c r="AD140" s="8">
        <f t="shared" si="20"/>
        <v>0.56291049888108868</v>
      </c>
      <c r="AE140" s="3" t="s">
        <v>44</v>
      </c>
      <c r="AF140" s="10">
        <f t="shared" si="21"/>
        <v>15156.5</v>
      </c>
      <c r="AG140" s="11">
        <f t="shared" si="22"/>
        <v>1.1264473988057928</v>
      </c>
      <c r="AH140" s="11">
        <f t="shared" si="23"/>
        <v>0.47300298994750323</v>
      </c>
      <c r="AI140" s="3" t="s">
        <v>45</v>
      </c>
      <c r="AJ140" s="3" t="s">
        <v>40</v>
      </c>
      <c r="AK140" s="3" t="s">
        <v>46</v>
      </c>
      <c r="AL140" s="3" t="s">
        <v>47</v>
      </c>
      <c r="AM140" s="3" t="s">
        <v>39</v>
      </c>
    </row>
    <row r="141" spans="1:39" ht="21" customHeight="1">
      <c r="A141" s="4">
        <v>46101</v>
      </c>
      <c r="B141" s="3" t="s">
        <v>39</v>
      </c>
      <c r="C141" s="3" t="s">
        <v>40</v>
      </c>
      <c r="D141" s="4">
        <v>46057</v>
      </c>
      <c r="E141" s="3">
        <v>44</v>
      </c>
      <c r="F141" s="3" t="s">
        <v>57</v>
      </c>
      <c r="G141" s="3" t="s">
        <v>53</v>
      </c>
      <c r="H141" s="3">
        <v>0</v>
      </c>
      <c r="I141" s="7">
        <v>40954</v>
      </c>
      <c r="J141" s="7">
        <v>18728</v>
      </c>
      <c r="K141" s="7">
        <v>22225</v>
      </c>
      <c r="L141" s="5">
        <f t="shared" si="24"/>
        <v>0.45729354885969625</v>
      </c>
      <c r="M141" s="5">
        <f t="shared" si="25"/>
        <v>4.7175841877828528E-2</v>
      </c>
      <c r="N141" s="7">
        <f t="shared" si="27"/>
        <v>39304.571428571428</v>
      </c>
      <c r="O141" s="7">
        <f t="shared" si="17"/>
        <v>38799.821428571428</v>
      </c>
      <c r="P141" s="8">
        <f t="shared" si="18"/>
        <v>1.055520321798241</v>
      </c>
      <c r="Q141" s="7"/>
      <c r="R141" s="7"/>
      <c r="S141" s="7"/>
      <c r="T141" s="7"/>
      <c r="U141" s="7"/>
      <c r="V141" s="7"/>
      <c r="W141" s="7"/>
      <c r="X141" s="3" t="s">
        <v>58</v>
      </c>
      <c r="Y141" s="3"/>
      <c r="Z141" s="9">
        <v>25.653390000000002</v>
      </c>
      <c r="AA141" s="5">
        <f t="shared" si="26"/>
        <v>2.4362633154536129E-2</v>
      </c>
      <c r="AB141" s="9">
        <f t="shared" si="28"/>
        <v>29.363911428571431</v>
      </c>
      <c r="AC141" s="9">
        <f t="shared" si="19"/>
        <v>51.779431785714273</v>
      </c>
      <c r="AD141" s="8">
        <f t="shared" si="20"/>
        <v>0.56709605370124605</v>
      </c>
      <c r="AE141" s="3" t="s">
        <v>44</v>
      </c>
      <c r="AF141" s="10">
        <f t="shared" si="21"/>
        <v>16908.75</v>
      </c>
      <c r="AG141" s="11">
        <f t="shared" si="22"/>
        <v>1.1075922229614845</v>
      </c>
      <c r="AH141" s="11">
        <f t="shared" si="23"/>
        <v>0.49543591181465346</v>
      </c>
      <c r="AI141" s="3" t="s">
        <v>45</v>
      </c>
      <c r="AJ141" s="3" t="s">
        <v>40</v>
      </c>
      <c r="AK141" s="3" t="s">
        <v>46</v>
      </c>
      <c r="AL141" s="3" t="s">
        <v>47</v>
      </c>
      <c r="AM141" s="3" t="s">
        <v>39</v>
      </c>
    </row>
    <row r="142" spans="1:39" ht="21" customHeight="1">
      <c r="A142" s="4">
        <v>46102</v>
      </c>
      <c r="B142" s="3" t="s">
        <v>39</v>
      </c>
      <c r="C142" s="3" t="s">
        <v>40</v>
      </c>
      <c r="D142" s="4">
        <v>46057</v>
      </c>
      <c r="E142" s="3">
        <v>45</v>
      </c>
      <c r="F142" s="3" t="s">
        <v>57</v>
      </c>
      <c r="G142" s="3" t="s">
        <v>42</v>
      </c>
      <c r="H142" s="3">
        <v>1</v>
      </c>
      <c r="I142" s="7">
        <v>46372</v>
      </c>
      <c r="J142" s="7">
        <v>27440</v>
      </c>
      <c r="K142" s="7">
        <v>18932</v>
      </c>
      <c r="L142" s="5">
        <f t="shared" si="24"/>
        <v>0.59173639265073752</v>
      </c>
      <c r="M142" s="5">
        <f t="shared" si="25"/>
        <v>0.13229476974166143</v>
      </c>
      <c r="N142" s="7">
        <f t="shared" si="27"/>
        <v>39465.142857142855</v>
      </c>
      <c r="O142" s="7">
        <f t="shared" si="17"/>
        <v>38980.107142857145</v>
      </c>
      <c r="P142" s="8">
        <f t="shared" si="18"/>
        <v>1.1896324407229695</v>
      </c>
      <c r="Q142" s="7"/>
      <c r="R142" s="7"/>
      <c r="S142" s="7"/>
      <c r="T142" s="7"/>
      <c r="U142" s="7"/>
      <c r="V142" s="7"/>
      <c r="W142" s="7"/>
      <c r="X142" s="3" t="s">
        <v>58</v>
      </c>
      <c r="Y142" s="3"/>
      <c r="Z142" s="9">
        <v>30.572099999999999</v>
      </c>
      <c r="AA142" s="5">
        <f t="shared" si="26"/>
        <v>0.19173723238916951</v>
      </c>
      <c r="AB142" s="9">
        <f t="shared" si="28"/>
        <v>28.140208571428577</v>
      </c>
      <c r="AC142" s="9">
        <f t="shared" si="19"/>
        <v>50.860015714285701</v>
      </c>
      <c r="AD142" s="8">
        <f t="shared" si="20"/>
        <v>0.55328745334076801</v>
      </c>
      <c r="AE142" s="3" t="s">
        <v>44</v>
      </c>
      <c r="AF142" s="10">
        <f t="shared" si="21"/>
        <v>26968.5</v>
      </c>
      <c r="AG142" s="11">
        <f t="shared" si="22"/>
        <v>1.0174833602165489</v>
      </c>
      <c r="AH142" s="11">
        <f t="shared" si="23"/>
        <v>0.60110284219618959</v>
      </c>
      <c r="AI142" s="3" t="s">
        <v>45</v>
      </c>
      <c r="AJ142" s="3" t="s">
        <v>40</v>
      </c>
      <c r="AK142" s="3" t="s">
        <v>46</v>
      </c>
      <c r="AL142" s="3" t="s">
        <v>47</v>
      </c>
      <c r="AM142" s="3" t="s">
        <v>39</v>
      </c>
    </row>
    <row r="143" spans="1:39" ht="21" customHeight="1">
      <c r="A143" s="4">
        <v>46103</v>
      </c>
      <c r="B143" s="3" t="s">
        <v>39</v>
      </c>
      <c r="C143" s="3" t="s">
        <v>40</v>
      </c>
      <c r="D143" s="4">
        <v>46057</v>
      </c>
      <c r="E143" s="3">
        <v>46</v>
      </c>
      <c r="F143" s="3" t="s">
        <v>57</v>
      </c>
      <c r="G143" s="3" t="s">
        <v>48</v>
      </c>
      <c r="H143" s="3">
        <v>1</v>
      </c>
      <c r="I143" s="7">
        <v>42438</v>
      </c>
      <c r="J143" s="7">
        <v>24146</v>
      </c>
      <c r="K143" s="7">
        <v>18291</v>
      </c>
      <c r="L143" s="5">
        <f t="shared" si="24"/>
        <v>0.56897120505207599</v>
      </c>
      <c r="M143" s="5">
        <f t="shared" si="25"/>
        <v>-8.4835676701457752E-2</v>
      </c>
      <c r="N143" s="7">
        <f t="shared" si="27"/>
        <v>39854.285714285717</v>
      </c>
      <c r="O143" s="7">
        <f t="shared" si="17"/>
        <v>39114.75</v>
      </c>
      <c r="P143" s="8">
        <f t="shared" si="18"/>
        <v>1.0849615554234655</v>
      </c>
      <c r="Q143" s="7"/>
      <c r="R143" s="7"/>
      <c r="S143" s="7"/>
      <c r="T143" s="7"/>
      <c r="U143" s="7"/>
      <c r="V143" s="7"/>
      <c r="W143" s="7"/>
      <c r="X143" s="3" t="s">
        <v>58</v>
      </c>
      <c r="Y143" s="3"/>
      <c r="Z143" s="9">
        <v>31.382459999999998</v>
      </c>
      <c r="AA143" s="5">
        <f t="shared" si="26"/>
        <v>2.6506520651181864E-2</v>
      </c>
      <c r="AB143" s="9">
        <f t="shared" si="28"/>
        <v>27.011087142857146</v>
      </c>
      <c r="AC143" s="9">
        <f t="shared" si="19"/>
        <v>49.691198571428558</v>
      </c>
      <c r="AD143" s="8">
        <f t="shared" si="20"/>
        <v>0.54357890168477396</v>
      </c>
      <c r="AE143" s="3" t="s">
        <v>44</v>
      </c>
      <c r="AF143" s="10">
        <f t="shared" si="21"/>
        <v>24795.75</v>
      </c>
      <c r="AG143" s="11">
        <f t="shared" si="22"/>
        <v>0.97379591260599097</v>
      </c>
      <c r="AH143" s="11">
        <f t="shared" si="23"/>
        <v>0.63154966879877761</v>
      </c>
      <c r="AI143" s="3" t="s">
        <v>45</v>
      </c>
      <c r="AJ143" s="3" t="s">
        <v>40</v>
      </c>
      <c r="AK143" s="3" t="s">
        <v>46</v>
      </c>
      <c r="AL143" s="3" t="s">
        <v>47</v>
      </c>
      <c r="AM143" s="3" t="s">
        <v>39</v>
      </c>
    </row>
    <row r="144" spans="1:39" ht="21" customHeight="1">
      <c r="A144" s="4">
        <v>46104</v>
      </c>
      <c r="B144" s="3" t="s">
        <v>39</v>
      </c>
      <c r="C144" s="3" t="s">
        <v>40</v>
      </c>
      <c r="D144" s="4">
        <v>46057</v>
      </c>
      <c r="E144" s="3">
        <v>47</v>
      </c>
      <c r="F144" s="3" t="s">
        <v>57</v>
      </c>
      <c r="G144" s="3" t="s">
        <v>49</v>
      </c>
      <c r="H144" s="3">
        <v>0</v>
      </c>
      <c r="I144" s="7">
        <v>37208</v>
      </c>
      <c r="J144" s="7">
        <v>15418</v>
      </c>
      <c r="K144" s="7">
        <v>21791</v>
      </c>
      <c r="L144" s="5">
        <f t="shared" si="24"/>
        <v>0.41437325306385725</v>
      </c>
      <c r="M144" s="5">
        <f t="shared" si="25"/>
        <v>-0.12323860690890243</v>
      </c>
      <c r="N144" s="7">
        <f t="shared" si="27"/>
        <v>40041.142857142855</v>
      </c>
      <c r="O144" s="7">
        <f t="shared" si="17"/>
        <v>39348.642857142855</v>
      </c>
      <c r="P144" s="8">
        <f t="shared" si="18"/>
        <v>0.94559805112174866</v>
      </c>
      <c r="Q144" s="7"/>
      <c r="R144" s="7"/>
      <c r="S144" s="7"/>
      <c r="T144" s="7"/>
      <c r="U144" s="7"/>
      <c r="V144" s="7"/>
      <c r="W144" s="7"/>
      <c r="X144" s="3" t="s">
        <v>58</v>
      </c>
      <c r="Y144" s="3"/>
      <c r="Z144" s="9">
        <v>23.91067</v>
      </c>
      <c r="AA144" s="5">
        <f t="shared" si="26"/>
        <v>-0.23808809124587427</v>
      </c>
      <c r="AB144" s="9">
        <f t="shared" si="28"/>
        <v>26.494770000000006</v>
      </c>
      <c r="AC144" s="9">
        <f t="shared" si="19"/>
        <v>48.488474642857128</v>
      </c>
      <c r="AD144" s="8">
        <f t="shared" si="20"/>
        <v>0.5464137652328267</v>
      </c>
      <c r="AE144" s="3" t="s">
        <v>44</v>
      </c>
      <c r="AF144" s="10">
        <f t="shared" si="21"/>
        <v>15795</v>
      </c>
      <c r="AG144" s="11">
        <f t="shared" si="22"/>
        <v>0.97613168724279831</v>
      </c>
      <c r="AH144" s="11">
        <f t="shared" si="23"/>
        <v>0.49312068849586504</v>
      </c>
      <c r="AI144" s="3" t="s">
        <v>45</v>
      </c>
      <c r="AJ144" s="3" t="s">
        <v>40</v>
      </c>
      <c r="AK144" s="3" t="s">
        <v>46</v>
      </c>
      <c r="AL144" s="3" t="s">
        <v>47</v>
      </c>
      <c r="AM144" s="3" t="s">
        <v>39</v>
      </c>
    </row>
    <row r="145" spans="1:39" ht="21" customHeight="1">
      <c r="A145" s="4">
        <v>46105</v>
      </c>
      <c r="B145" s="3" t="s">
        <v>39</v>
      </c>
      <c r="C145" s="3" t="s">
        <v>40</v>
      </c>
      <c r="D145" s="4">
        <v>46057</v>
      </c>
      <c r="E145" s="3">
        <v>48</v>
      </c>
      <c r="F145" s="3" t="s">
        <v>57</v>
      </c>
      <c r="G145" s="3" t="s">
        <v>50</v>
      </c>
      <c r="H145" s="3">
        <v>0</v>
      </c>
      <c r="I145" s="7">
        <v>40523</v>
      </c>
      <c r="J145" s="7">
        <v>18256</v>
      </c>
      <c r="K145" s="7">
        <v>22267</v>
      </c>
      <c r="L145" s="5">
        <f t="shared" si="24"/>
        <v>0.4505095871480394</v>
      </c>
      <c r="M145" s="5">
        <f t="shared" si="25"/>
        <v>8.9093743281014826E-2</v>
      </c>
      <c r="N145" s="7">
        <f t="shared" si="27"/>
        <v>40308.142857142855</v>
      </c>
      <c r="O145" s="7">
        <f t="shared" si="17"/>
        <v>39394.25</v>
      </c>
      <c r="P145" s="8">
        <f t="shared" si="18"/>
        <v>1.028652658700191</v>
      </c>
      <c r="Q145" s="7"/>
      <c r="R145" s="7"/>
      <c r="S145" s="7"/>
      <c r="T145" s="7"/>
      <c r="U145" s="7"/>
      <c r="V145" s="7"/>
      <c r="W145" s="7"/>
      <c r="X145" s="3" t="s">
        <v>58</v>
      </c>
      <c r="Y145" s="3"/>
      <c r="Z145" s="9">
        <v>19.74522</v>
      </c>
      <c r="AA145" s="5">
        <f t="shared" si="26"/>
        <v>-0.17420883647342378</v>
      </c>
      <c r="AB145" s="9">
        <f t="shared" si="28"/>
        <v>25.972294285714288</v>
      </c>
      <c r="AC145" s="9">
        <f t="shared" si="19"/>
        <v>47.466393928571414</v>
      </c>
      <c r="AD145" s="8">
        <f t="shared" si="20"/>
        <v>0.54717226517771766</v>
      </c>
      <c r="AE145" s="3" t="s">
        <v>44</v>
      </c>
      <c r="AF145" s="10">
        <f t="shared" si="21"/>
        <v>14339.25</v>
      </c>
      <c r="AG145" s="11">
        <f t="shared" si="22"/>
        <v>1.2731488745924648</v>
      </c>
      <c r="AH145" s="11">
        <f t="shared" si="23"/>
        <v>0.41598314861906482</v>
      </c>
      <c r="AI145" s="3" t="s">
        <v>45</v>
      </c>
      <c r="AJ145" s="3" t="s">
        <v>40</v>
      </c>
      <c r="AK145" s="3" t="s">
        <v>46</v>
      </c>
      <c r="AL145" s="3" t="s">
        <v>47</v>
      </c>
      <c r="AM145" s="3" t="s">
        <v>39</v>
      </c>
    </row>
    <row r="146" spans="1:39" ht="21" customHeight="1">
      <c r="A146" s="4">
        <v>46106</v>
      </c>
      <c r="B146" s="3" t="s">
        <v>39</v>
      </c>
      <c r="C146" s="3" t="s">
        <v>40</v>
      </c>
      <c r="D146" s="4">
        <v>46057</v>
      </c>
      <c r="E146" s="3">
        <v>49</v>
      </c>
      <c r="F146" s="3" t="s">
        <v>57</v>
      </c>
      <c r="G146" s="3" t="s">
        <v>51</v>
      </c>
      <c r="H146" s="3">
        <v>0</v>
      </c>
      <c r="I146" s="7">
        <v>39844</v>
      </c>
      <c r="J146" s="7">
        <v>17958</v>
      </c>
      <c r="K146" s="7">
        <v>21886</v>
      </c>
      <c r="L146" s="5">
        <f t="shared" si="24"/>
        <v>0.45070776026503362</v>
      </c>
      <c r="M146" s="5">
        <f t="shared" si="25"/>
        <v>-1.6755916393159431E-2</v>
      </c>
      <c r="N146" s="7">
        <f t="shared" si="27"/>
        <v>40921.142857142855</v>
      </c>
      <c r="O146" s="7">
        <f t="shared" si="17"/>
        <v>39639.5</v>
      </c>
      <c r="P146" s="8">
        <f t="shared" si="18"/>
        <v>1.0051589954464613</v>
      </c>
      <c r="Q146" s="7"/>
      <c r="R146" s="7"/>
      <c r="S146" s="7"/>
      <c r="T146" s="7"/>
      <c r="U146" s="7"/>
      <c r="V146" s="7"/>
      <c r="W146" s="7"/>
      <c r="X146" s="3" t="s">
        <v>58</v>
      </c>
      <c r="Y146" s="3"/>
      <c r="Z146" s="9">
        <v>21.614879999999999</v>
      </c>
      <c r="AA146" s="5">
        <f t="shared" si="26"/>
        <v>9.4689246308726771E-2</v>
      </c>
      <c r="AB146" s="9">
        <f t="shared" si="28"/>
        <v>25.417427142857143</v>
      </c>
      <c r="AC146" s="9">
        <f t="shared" si="19"/>
        <v>46.522239285714271</v>
      </c>
      <c r="AD146" s="8">
        <f t="shared" si="20"/>
        <v>0.54635003673742233</v>
      </c>
      <c r="AE146" s="3" t="s">
        <v>44</v>
      </c>
      <c r="AF146" s="10">
        <f t="shared" si="21"/>
        <v>15331</v>
      </c>
      <c r="AG146" s="11">
        <f t="shared" si="22"/>
        <v>1.1713521622855652</v>
      </c>
      <c r="AH146" s="11">
        <f t="shared" si="23"/>
        <v>0.46461392082296754</v>
      </c>
      <c r="AI146" s="3" t="s">
        <v>45</v>
      </c>
      <c r="AJ146" s="3" t="s">
        <v>40</v>
      </c>
      <c r="AK146" s="3" t="s">
        <v>46</v>
      </c>
      <c r="AL146" s="3" t="s">
        <v>47</v>
      </c>
      <c r="AM146" s="3" t="s">
        <v>39</v>
      </c>
    </row>
    <row r="147" spans="1:39" ht="21" customHeight="1">
      <c r="A147" s="4">
        <v>46107</v>
      </c>
      <c r="B147" s="3" t="s">
        <v>39</v>
      </c>
      <c r="C147" s="3" t="s">
        <v>40</v>
      </c>
      <c r="D147" s="4">
        <v>46057</v>
      </c>
      <c r="E147" s="3">
        <v>50</v>
      </c>
      <c r="F147" s="3" t="s">
        <v>57</v>
      </c>
      <c r="G147" s="3" t="s">
        <v>52</v>
      </c>
      <c r="H147" s="3">
        <v>0</v>
      </c>
      <c r="I147" s="7">
        <v>40814</v>
      </c>
      <c r="J147" s="7">
        <v>18904</v>
      </c>
      <c r="K147" s="7">
        <v>21910</v>
      </c>
      <c r="L147" s="5">
        <f t="shared" si="24"/>
        <v>0.4631744009408536</v>
      </c>
      <c r="M147" s="5">
        <f t="shared" si="25"/>
        <v>2.4344945286617792E-2</v>
      </c>
      <c r="N147" s="7">
        <f t="shared" si="27"/>
        <v>41164.714285714283</v>
      </c>
      <c r="O147" s="7">
        <f t="shared" si="17"/>
        <v>39703.5</v>
      </c>
      <c r="P147" s="8">
        <f t="shared" si="18"/>
        <v>1.0279698263377284</v>
      </c>
      <c r="Q147" s="7"/>
      <c r="R147" s="7"/>
      <c r="S147" s="7"/>
      <c r="T147" s="7"/>
      <c r="U147" s="7"/>
      <c r="V147" s="7"/>
      <c r="W147" s="7"/>
      <c r="X147" s="3" t="s">
        <v>58</v>
      </c>
      <c r="Y147" s="3"/>
      <c r="Z147" s="9">
        <v>18.570419999999999</v>
      </c>
      <c r="AA147" s="5">
        <f t="shared" si="26"/>
        <v>-0.14085019208989369</v>
      </c>
      <c r="AB147" s="9">
        <f t="shared" si="28"/>
        <v>24.492734285714285</v>
      </c>
      <c r="AC147" s="9">
        <f t="shared" si="19"/>
        <v>45.575913928571424</v>
      </c>
      <c r="AD147" s="8">
        <f t="shared" si="20"/>
        <v>0.53740522513932198</v>
      </c>
      <c r="AE147" s="3" t="s">
        <v>44</v>
      </c>
      <c r="AF147" s="10">
        <f t="shared" si="21"/>
        <v>15749.75</v>
      </c>
      <c r="AG147" s="11">
        <f t="shared" si="22"/>
        <v>1.20027302020667</v>
      </c>
      <c r="AH147" s="11">
        <f t="shared" si="23"/>
        <v>0.40746127503014812</v>
      </c>
      <c r="AI147" s="3" t="s">
        <v>45</v>
      </c>
      <c r="AJ147" s="3" t="s">
        <v>40</v>
      </c>
      <c r="AK147" s="3" t="s">
        <v>46</v>
      </c>
      <c r="AL147" s="3" t="s">
        <v>47</v>
      </c>
      <c r="AM147" s="3" t="s">
        <v>39</v>
      </c>
    </row>
    <row r="148" spans="1:39" ht="21" customHeight="1">
      <c r="A148" s="4">
        <v>46108</v>
      </c>
      <c r="B148" s="3" t="s">
        <v>39</v>
      </c>
      <c r="C148" s="3" t="s">
        <v>40</v>
      </c>
      <c r="D148" s="4">
        <v>46057</v>
      </c>
      <c r="E148" s="3">
        <v>51</v>
      </c>
      <c r="F148" s="3" t="s">
        <v>57</v>
      </c>
      <c r="G148" s="3" t="s">
        <v>53</v>
      </c>
      <c r="H148" s="3">
        <v>0</v>
      </c>
      <c r="I148" s="7">
        <v>43418</v>
      </c>
      <c r="J148" s="7">
        <v>21452</v>
      </c>
      <c r="K148" s="7">
        <v>21966</v>
      </c>
      <c r="L148" s="5">
        <f t="shared" si="24"/>
        <v>0.49408079598323273</v>
      </c>
      <c r="M148" s="5">
        <f t="shared" si="25"/>
        <v>6.3801636693291419E-2</v>
      </c>
      <c r="N148" s="7">
        <f t="shared" si="27"/>
        <v>41516.714285714283</v>
      </c>
      <c r="O148" s="7">
        <f t="shared" si="17"/>
        <v>39819.642857142855</v>
      </c>
      <c r="P148" s="8">
        <f t="shared" si="18"/>
        <v>1.0903663841427866</v>
      </c>
      <c r="Q148" s="7"/>
      <c r="R148" s="7"/>
      <c r="S148" s="7"/>
      <c r="T148" s="7"/>
      <c r="U148" s="7"/>
      <c r="V148" s="7"/>
      <c r="W148" s="7"/>
      <c r="X148" s="3" t="s">
        <v>58</v>
      </c>
      <c r="Y148" s="3"/>
      <c r="Z148" s="9">
        <v>16.723669999999998</v>
      </c>
      <c r="AA148" s="5">
        <f t="shared" si="26"/>
        <v>-9.9445785286493282E-2</v>
      </c>
      <c r="AB148" s="9">
        <f t="shared" si="28"/>
        <v>23.21706</v>
      </c>
      <c r="AC148" s="9">
        <f t="shared" si="19"/>
        <v>44.550036428571424</v>
      </c>
      <c r="AD148" s="8">
        <f t="shared" si="20"/>
        <v>0.52114570180486153</v>
      </c>
      <c r="AE148" s="3" t="s">
        <v>44</v>
      </c>
      <c r="AF148" s="10">
        <f t="shared" si="21"/>
        <v>17697.75</v>
      </c>
      <c r="AG148" s="11">
        <f t="shared" si="22"/>
        <v>1.2121314856408301</v>
      </c>
      <c r="AH148" s="11">
        <f t="shared" si="23"/>
        <v>0.37539071436706056</v>
      </c>
      <c r="AI148" s="3" t="s">
        <v>45</v>
      </c>
      <c r="AJ148" s="3" t="s">
        <v>40</v>
      </c>
      <c r="AK148" s="3" t="s">
        <v>46</v>
      </c>
      <c r="AL148" s="3" t="s">
        <v>47</v>
      </c>
      <c r="AM148" s="3" t="s">
        <v>39</v>
      </c>
    </row>
    <row r="149" spans="1:39" ht="21" customHeight="1">
      <c r="A149" s="4">
        <v>46109</v>
      </c>
      <c r="B149" s="3" t="s">
        <v>39</v>
      </c>
      <c r="C149" s="3" t="s">
        <v>40</v>
      </c>
      <c r="D149" s="4">
        <v>46057</v>
      </c>
      <c r="E149" s="3">
        <v>52</v>
      </c>
      <c r="F149" s="3" t="s">
        <v>57</v>
      </c>
      <c r="G149" s="3" t="s">
        <v>42</v>
      </c>
      <c r="H149" s="3">
        <v>1</v>
      </c>
      <c r="I149" s="7">
        <v>49112</v>
      </c>
      <c r="J149" s="7">
        <v>30152</v>
      </c>
      <c r="K149" s="7">
        <v>18960</v>
      </c>
      <c r="L149" s="5">
        <f t="shared" si="24"/>
        <v>0.61394363902915783</v>
      </c>
      <c r="M149" s="5">
        <f t="shared" si="25"/>
        <v>0.13114376525864846</v>
      </c>
      <c r="N149" s="7">
        <f t="shared" si="27"/>
        <v>41908.142857142855</v>
      </c>
      <c r="O149" s="7">
        <f t="shared" si="17"/>
        <v>39920.428571428572</v>
      </c>
      <c r="P149" s="8">
        <f t="shared" si="18"/>
        <v>1.230247313405596</v>
      </c>
      <c r="Q149" s="7"/>
      <c r="R149" s="7"/>
      <c r="S149" s="7"/>
      <c r="T149" s="7"/>
      <c r="U149" s="7"/>
      <c r="V149" s="7"/>
      <c r="W149" s="7"/>
      <c r="X149" s="3" t="s">
        <v>58</v>
      </c>
      <c r="Y149" s="3"/>
      <c r="Z149" s="9">
        <v>21.329319999999999</v>
      </c>
      <c r="AA149" s="5">
        <f t="shared" si="26"/>
        <v>0.27539708688344122</v>
      </c>
      <c r="AB149" s="9">
        <f t="shared" si="28"/>
        <v>21.896662857142854</v>
      </c>
      <c r="AC149" s="9">
        <f t="shared" si="19"/>
        <v>43.336248214285717</v>
      </c>
      <c r="AD149" s="8">
        <f t="shared" si="20"/>
        <v>0.50527361641621427</v>
      </c>
      <c r="AE149" s="3" t="s">
        <v>44</v>
      </c>
      <c r="AF149" s="10">
        <f t="shared" si="21"/>
        <v>27626.5</v>
      </c>
      <c r="AG149" s="11">
        <f t="shared" si="22"/>
        <v>1.0914158507230376</v>
      </c>
      <c r="AH149" s="11">
        <f t="shared" si="23"/>
        <v>0.49218196957273347</v>
      </c>
      <c r="AI149" s="3" t="s">
        <v>45</v>
      </c>
      <c r="AJ149" s="3" t="s">
        <v>40</v>
      </c>
      <c r="AK149" s="3" t="s">
        <v>46</v>
      </c>
      <c r="AL149" s="3" t="s">
        <v>47</v>
      </c>
      <c r="AM149" s="3" t="s">
        <v>39</v>
      </c>
    </row>
    <row r="150" spans="1:39" ht="21" customHeight="1">
      <c r="A150" s="4">
        <v>46110</v>
      </c>
      <c r="B150" s="3" t="s">
        <v>39</v>
      </c>
      <c r="C150" s="3" t="s">
        <v>40</v>
      </c>
      <c r="D150" s="4">
        <v>46057</v>
      </c>
      <c r="E150" s="3">
        <v>53</v>
      </c>
      <c r="F150" s="3" t="s">
        <v>57</v>
      </c>
      <c r="G150" s="3" t="s">
        <v>48</v>
      </c>
      <c r="H150" s="3">
        <v>1</v>
      </c>
      <c r="I150" s="7">
        <v>46294</v>
      </c>
      <c r="J150" s="7">
        <v>27489</v>
      </c>
      <c r="K150" s="7">
        <v>18806</v>
      </c>
      <c r="L150" s="5">
        <f t="shared" si="24"/>
        <v>0.59379185207586294</v>
      </c>
      <c r="M150" s="5">
        <f t="shared" si="25"/>
        <v>-5.7379051962860417E-2</v>
      </c>
      <c r="N150" s="7">
        <f t="shared" si="27"/>
        <v>42459</v>
      </c>
      <c r="O150" s="7">
        <f t="shared" si="17"/>
        <v>39765.928571428572</v>
      </c>
      <c r="P150" s="8">
        <f t="shared" si="18"/>
        <v>1.1641624290715491</v>
      </c>
      <c r="Q150" s="7"/>
      <c r="R150" s="7"/>
      <c r="S150" s="7"/>
      <c r="T150" s="7"/>
      <c r="U150" s="7"/>
      <c r="V150" s="7"/>
      <c r="W150" s="7"/>
      <c r="X150" s="3" t="s">
        <v>58</v>
      </c>
      <c r="Y150" s="3"/>
      <c r="Z150" s="9">
        <v>20.661950000000001</v>
      </c>
      <c r="AA150" s="5">
        <f t="shared" si="26"/>
        <v>-3.1288854965840329E-2</v>
      </c>
      <c r="AB150" s="9">
        <f t="shared" si="28"/>
        <v>20.36516142857143</v>
      </c>
      <c r="AC150" s="9">
        <f t="shared" si="19"/>
        <v>41.700674642857152</v>
      </c>
      <c r="AD150" s="8">
        <f t="shared" si="20"/>
        <v>0.48836527473446401</v>
      </c>
      <c r="AE150" s="3" t="s">
        <v>44</v>
      </c>
      <c r="AF150" s="10">
        <f t="shared" si="21"/>
        <v>26034.75</v>
      </c>
      <c r="AG150" s="11">
        <f t="shared" si="22"/>
        <v>1.0558580358943335</v>
      </c>
      <c r="AH150" s="11">
        <f t="shared" si="23"/>
        <v>0.495482391519034</v>
      </c>
      <c r="AI150" s="3" t="s">
        <v>45</v>
      </c>
      <c r="AJ150" s="3" t="s">
        <v>40</v>
      </c>
      <c r="AK150" s="3" t="s">
        <v>46</v>
      </c>
      <c r="AL150" s="3" t="s">
        <v>47</v>
      </c>
      <c r="AM150" s="3" t="s">
        <v>39</v>
      </c>
    </row>
    <row r="151" spans="1:39" ht="21" customHeight="1">
      <c r="A151" s="4">
        <v>46111</v>
      </c>
      <c r="B151" s="3" t="s">
        <v>39</v>
      </c>
      <c r="C151" s="3" t="s">
        <v>40</v>
      </c>
      <c r="D151" s="4">
        <v>46057</v>
      </c>
      <c r="E151" s="3">
        <v>54</v>
      </c>
      <c r="F151" s="3" t="s">
        <v>57</v>
      </c>
      <c r="G151" s="3" t="s">
        <v>49</v>
      </c>
      <c r="H151" s="3">
        <v>0</v>
      </c>
      <c r="I151" s="7">
        <v>38070</v>
      </c>
      <c r="J151" s="7">
        <v>16457</v>
      </c>
      <c r="K151" s="7">
        <v>21612</v>
      </c>
      <c r="L151" s="5">
        <f t="shared" si="24"/>
        <v>0.43228263724717625</v>
      </c>
      <c r="M151" s="5">
        <f t="shared" si="25"/>
        <v>-0.1776472113016806</v>
      </c>
      <c r="N151" s="7">
        <f t="shared" si="27"/>
        <v>42582.142857142855</v>
      </c>
      <c r="O151" s="7">
        <f t="shared" si="17"/>
        <v>39450.642857142855</v>
      </c>
      <c r="P151" s="8">
        <f t="shared" si="18"/>
        <v>0.96500328620391851</v>
      </c>
      <c r="Q151" s="7"/>
      <c r="R151" s="7"/>
      <c r="S151" s="7"/>
      <c r="T151" s="7"/>
      <c r="U151" s="7"/>
      <c r="V151" s="7"/>
      <c r="W151" s="7"/>
      <c r="X151" s="3" t="s">
        <v>58</v>
      </c>
      <c r="Y151" s="3"/>
      <c r="Z151" s="9">
        <v>16.503990000000002</v>
      </c>
      <c r="AA151" s="5">
        <f t="shared" si="26"/>
        <v>-0.20123754050319542</v>
      </c>
      <c r="AB151" s="9">
        <f t="shared" si="28"/>
        <v>19.307064285714286</v>
      </c>
      <c r="AC151" s="9">
        <f t="shared" si="19"/>
        <v>39.310952499999999</v>
      </c>
      <c r="AD151" s="8">
        <f t="shared" si="20"/>
        <v>0.49113702563463163</v>
      </c>
      <c r="AE151" s="3" t="s">
        <v>44</v>
      </c>
      <c r="AF151" s="10">
        <f t="shared" si="21"/>
        <v>15833.5</v>
      </c>
      <c r="AG151" s="11">
        <f t="shared" si="22"/>
        <v>1.0393785328575489</v>
      </c>
      <c r="AH151" s="11">
        <f t="shared" si="23"/>
        <v>0.41983185220454788</v>
      </c>
      <c r="AI151" s="3" t="s">
        <v>45</v>
      </c>
      <c r="AJ151" s="3" t="s">
        <v>40</v>
      </c>
      <c r="AK151" s="3" t="s">
        <v>46</v>
      </c>
      <c r="AL151" s="3" t="s">
        <v>47</v>
      </c>
      <c r="AM151" s="3" t="s">
        <v>39</v>
      </c>
    </row>
    <row r="152" spans="1:39" ht="21" customHeight="1">
      <c r="A152" s="4">
        <v>46112</v>
      </c>
      <c r="B152" s="3" t="s">
        <v>39</v>
      </c>
      <c r="C152" s="3" t="s">
        <v>40</v>
      </c>
      <c r="D152" s="4">
        <v>46057</v>
      </c>
      <c r="E152" s="3">
        <v>55</v>
      </c>
      <c r="F152" s="3" t="s">
        <v>57</v>
      </c>
      <c r="G152" s="3" t="s">
        <v>50</v>
      </c>
      <c r="H152" s="3">
        <v>0</v>
      </c>
      <c r="I152" s="7">
        <v>39018</v>
      </c>
      <c r="J152" s="7">
        <v>17556</v>
      </c>
      <c r="K152" s="7">
        <v>21462</v>
      </c>
      <c r="L152" s="5">
        <f t="shared" si="24"/>
        <v>0.44994617868675996</v>
      </c>
      <c r="M152" s="5">
        <f t="shared" si="25"/>
        <v>2.490149724192281E-2</v>
      </c>
      <c r="N152" s="7">
        <f t="shared" si="27"/>
        <v>42367.142857142855</v>
      </c>
      <c r="O152" s="7">
        <f t="shared" si="17"/>
        <v>39491.785714285717</v>
      </c>
      <c r="P152" s="8">
        <f t="shared" si="18"/>
        <v>0.98800293008491813</v>
      </c>
      <c r="Q152" s="7"/>
      <c r="R152" s="7"/>
      <c r="S152" s="7"/>
      <c r="T152" s="7"/>
      <c r="U152" s="7"/>
      <c r="V152" s="7"/>
      <c r="W152" s="7"/>
      <c r="X152" s="3" t="s">
        <v>58</v>
      </c>
      <c r="Y152" s="3"/>
      <c r="Z152" s="9">
        <v>13.79358</v>
      </c>
      <c r="AA152" s="5">
        <f t="shared" si="26"/>
        <v>-0.16422755951742585</v>
      </c>
      <c r="AB152" s="9">
        <f t="shared" si="28"/>
        <v>18.45683</v>
      </c>
      <c r="AC152" s="9">
        <f t="shared" si="19"/>
        <v>36.328952142857155</v>
      </c>
      <c r="AD152" s="8">
        <f t="shared" si="20"/>
        <v>0.50804740878354526</v>
      </c>
      <c r="AE152" s="3" t="s">
        <v>44</v>
      </c>
      <c r="AF152" s="10">
        <f t="shared" si="21"/>
        <v>15462.75</v>
      </c>
      <c r="AG152" s="11">
        <f t="shared" si="22"/>
        <v>1.135373720715914</v>
      </c>
      <c r="AH152" s="11">
        <f t="shared" si="23"/>
        <v>0.37968560022758696</v>
      </c>
      <c r="AI152" s="3" t="s">
        <v>45</v>
      </c>
      <c r="AJ152" s="3" t="s">
        <v>40</v>
      </c>
      <c r="AK152" s="3" t="s">
        <v>46</v>
      </c>
      <c r="AL152" s="3" t="s">
        <v>47</v>
      </c>
      <c r="AM152" s="3" t="s">
        <v>39</v>
      </c>
    </row>
    <row r="153" spans="1:39" ht="21" customHeight="1">
      <c r="A153" s="4">
        <v>46113</v>
      </c>
      <c r="B153" s="3" t="s">
        <v>39</v>
      </c>
      <c r="C153" s="3" t="s">
        <v>40</v>
      </c>
      <c r="D153" s="4">
        <v>46057</v>
      </c>
      <c r="E153" s="3">
        <v>56</v>
      </c>
      <c r="F153" s="3" t="s">
        <v>57</v>
      </c>
      <c r="G153" s="3" t="s">
        <v>51</v>
      </c>
      <c r="H153" s="3">
        <v>0</v>
      </c>
      <c r="I153" s="7">
        <v>33708</v>
      </c>
      <c r="J153" s="7">
        <v>12470</v>
      </c>
      <c r="K153" s="7">
        <v>21238</v>
      </c>
      <c r="L153" s="5">
        <f t="shared" si="24"/>
        <v>0.36994185356591908</v>
      </c>
      <c r="M153" s="5">
        <f t="shared" si="25"/>
        <v>-0.13609103490696606</v>
      </c>
      <c r="N153" s="7">
        <f t="shared" si="27"/>
        <v>41490.571428571428</v>
      </c>
      <c r="O153" s="7">
        <f t="shared" si="17"/>
        <v>39688.142857142855</v>
      </c>
      <c r="P153" s="8">
        <f t="shared" si="18"/>
        <v>0.84932167577938</v>
      </c>
      <c r="Q153" s="7"/>
      <c r="R153" s="7"/>
      <c r="S153" s="7"/>
      <c r="T153" s="7"/>
      <c r="U153" s="7"/>
      <c r="V153" s="7"/>
      <c r="W153" s="7"/>
      <c r="X153" s="3" t="s">
        <v>59</v>
      </c>
      <c r="Y153" s="3"/>
      <c r="Z153" s="9">
        <v>13.5464</v>
      </c>
      <c r="AA153" s="5">
        <f t="shared" si="26"/>
        <v>-1.7919930866388545E-2</v>
      </c>
      <c r="AB153" s="9">
        <f t="shared" si="28"/>
        <v>17.304190000000002</v>
      </c>
      <c r="AC153" s="9">
        <f t="shared" si="19"/>
        <v>34.151569285714295</v>
      </c>
      <c r="AD153" s="8">
        <f t="shared" si="20"/>
        <v>0.50668799009591625</v>
      </c>
      <c r="AE153" s="3" t="s">
        <v>44</v>
      </c>
      <c r="AF153" s="10">
        <f t="shared" si="21"/>
        <v>15571.5</v>
      </c>
      <c r="AG153" s="11">
        <f t="shared" si="22"/>
        <v>0.8008220145779148</v>
      </c>
      <c r="AH153" s="11">
        <f t="shared" si="23"/>
        <v>0.39665527187550059</v>
      </c>
      <c r="AI153" s="3" t="s">
        <v>45</v>
      </c>
      <c r="AJ153" s="3" t="s">
        <v>40</v>
      </c>
      <c r="AK153" s="3" t="s">
        <v>46</v>
      </c>
      <c r="AL153" s="3" t="s">
        <v>47</v>
      </c>
      <c r="AM153" s="3" t="s">
        <v>39</v>
      </c>
    </row>
    <row r="154" spans="1:39" ht="21" customHeight="1">
      <c r="A154" s="4">
        <v>46114</v>
      </c>
      <c r="B154" s="3" t="s">
        <v>39</v>
      </c>
      <c r="C154" s="3" t="s">
        <v>40</v>
      </c>
      <c r="D154" s="4">
        <v>46057</v>
      </c>
      <c r="E154" s="3">
        <v>57</v>
      </c>
      <c r="F154" s="3" t="s">
        <v>57</v>
      </c>
      <c r="G154" s="3" t="s">
        <v>52</v>
      </c>
      <c r="H154" s="3">
        <v>0</v>
      </c>
      <c r="I154" s="7">
        <v>34576</v>
      </c>
      <c r="J154" s="7">
        <v>13332</v>
      </c>
      <c r="K154" s="7">
        <v>21245</v>
      </c>
      <c r="L154" s="5">
        <f t="shared" si="24"/>
        <v>0.38558537714021285</v>
      </c>
      <c r="M154" s="5">
        <f t="shared" si="25"/>
        <v>2.5750563664411974E-2</v>
      </c>
      <c r="N154" s="7">
        <f t="shared" si="27"/>
        <v>40599.428571428572</v>
      </c>
      <c r="O154" s="7">
        <f t="shared" si="17"/>
        <v>39592.142857142855</v>
      </c>
      <c r="P154" s="8">
        <f t="shared" si="18"/>
        <v>0.87330458785112486</v>
      </c>
      <c r="Q154" s="7"/>
      <c r="R154" s="7"/>
      <c r="S154" s="7"/>
      <c r="T154" s="7"/>
      <c r="U154" s="7"/>
      <c r="V154" s="7"/>
      <c r="W154" s="7"/>
      <c r="X154" s="3" t="s">
        <v>59</v>
      </c>
      <c r="Y154" s="3"/>
      <c r="Z154" s="9">
        <v>12.698869999999999</v>
      </c>
      <c r="AA154" s="5">
        <f t="shared" si="26"/>
        <v>-6.256496190869909E-2</v>
      </c>
      <c r="AB154" s="9">
        <f t="shared" si="28"/>
        <v>16.465397142857146</v>
      </c>
      <c r="AC154" s="9">
        <f t="shared" si="19"/>
        <v>32.09724714285715</v>
      </c>
      <c r="AD154" s="8">
        <f t="shared" si="20"/>
        <v>0.51298471390937705</v>
      </c>
      <c r="AE154" s="3" t="s">
        <v>44</v>
      </c>
      <c r="AF154" s="10">
        <f t="shared" si="21"/>
        <v>16346.75</v>
      </c>
      <c r="AG154" s="11">
        <f t="shared" si="22"/>
        <v>0.81557496138376129</v>
      </c>
      <c r="AH154" s="11">
        <f t="shared" si="23"/>
        <v>0.39563735617202228</v>
      </c>
      <c r="AI154" s="3" t="s">
        <v>45</v>
      </c>
      <c r="AJ154" s="3" t="s">
        <v>40</v>
      </c>
      <c r="AK154" s="3" t="s">
        <v>46</v>
      </c>
      <c r="AL154" s="3" t="s">
        <v>47</v>
      </c>
      <c r="AM154" s="3" t="s">
        <v>39</v>
      </c>
    </row>
    <row r="155" spans="1:39" ht="21" customHeight="1">
      <c r="A155" s="4">
        <v>46115</v>
      </c>
      <c r="B155" s="3" t="s">
        <v>39</v>
      </c>
      <c r="C155" s="3" t="s">
        <v>40</v>
      </c>
      <c r="D155" s="4">
        <v>46057</v>
      </c>
      <c r="E155" s="3">
        <v>58</v>
      </c>
      <c r="F155" s="3" t="s">
        <v>57</v>
      </c>
      <c r="G155" s="3" t="s">
        <v>53</v>
      </c>
      <c r="H155" s="3">
        <v>0</v>
      </c>
      <c r="I155" s="7">
        <v>38384</v>
      </c>
      <c r="J155" s="7">
        <v>16712</v>
      </c>
      <c r="K155" s="7">
        <v>21672</v>
      </c>
      <c r="L155" s="5">
        <f t="shared" si="24"/>
        <v>0.43538974572738642</v>
      </c>
      <c r="M155" s="5">
        <f t="shared" si="25"/>
        <v>0.11013419713095796</v>
      </c>
      <c r="N155" s="7">
        <f t="shared" si="27"/>
        <v>39880.285714285717</v>
      </c>
      <c r="O155" s="7">
        <f t="shared" si="17"/>
        <v>39540.642857142855</v>
      </c>
      <c r="P155" s="8">
        <f t="shared" si="18"/>
        <v>0.97074800070090639</v>
      </c>
      <c r="Q155" s="7"/>
      <c r="R155" s="7"/>
      <c r="S155" s="7"/>
      <c r="T155" s="7"/>
      <c r="U155" s="7"/>
      <c r="V155" s="7"/>
      <c r="W155" s="7"/>
      <c r="X155" s="3" t="s">
        <v>59</v>
      </c>
      <c r="Y155" s="3"/>
      <c r="Z155" s="9">
        <v>14.10712</v>
      </c>
      <c r="AA155" s="5">
        <f t="shared" si="26"/>
        <v>0.11089569386882459</v>
      </c>
      <c r="AB155" s="9">
        <f t="shared" si="28"/>
        <v>16.091604285714286</v>
      </c>
      <c r="AC155" s="9">
        <f t="shared" si="19"/>
        <v>29.986362857142865</v>
      </c>
      <c r="AD155" s="8">
        <f t="shared" si="20"/>
        <v>0.53663074652887444</v>
      </c>
      <c r="AE155" s="3" t="s">
        <v>44</v>
      </c>
      <c r="AF155" s="10">
        <f t="shared" si="21"/>
        <v>18106.5</v>
      </c>
      <c r="AG155" s="11">
        <f t="shared" si="22"/>
        <v>0.92298345897881973</v>
      </c>
      <c r="AH155" s="11">
        <f t="shared" si="23"/>
        <v>0.47045118700148159</v>
      </c>
      <c r="AI155" s="3" t="s">
        <v>45</v>
      </c>
      <c r="AJ155" s="3" t="s">
        <v>40</v>
      </c>
      <c r="AK155" s="3" t="s">
        <v>46</v>
      </c>
      <c r="AL155" s="3" t="s">
        <v>47</v>
      </c>
      <c r="AM155" s="3" t="s">
        <v>39</v>
      </c>
    </row>
    <row r="156" spans="1:39" ht="21" customHeight="1">
      <c r="A156" s="4">
        <v>46116</v>
      </c>
      <c r="B156" s="3" t="s">
        <v>39</v>
      </c>
      <c r="C156" s="3" t="s">
        <v>40</v>
      </c>
      <c r="D156" s="4">
        <v>46057</v>
      </c>
      <c r="E156" s="3">
        <v>59</v>
      </c>
      <c r="F156" s="3" t="s">
        <v>57</v>
      </c>
      <c r="G156" s="3" t="s">
        <v>42</v>
      </c>
      <c r="H156" s="3">
        <v>1</v>
      </c>
      <c r="I156" s="7">
        <v>42256</v>
      </c>
      <c r="J156" s="7">
        <v>24014</v>
      </c>
      <c r="K156" s="7">
        <v>18242</v>
      </c>
      <c r="L156" s="5">
        <f t="shared" si="24"/>
        <v>0.56829799318439989</v>
      </c>
      <c r="M156" s="5">
        <f t="shared" si="25"/>
        <v>0.10087536473530645</v>
      </c>
      <c r="N156" s="7">
        <f t="shared" si="27"/>
        <v>38900.857142857145</v>
      </c>
      <c r="O156" s="7">
        <f t="shared" si="17"/>
        <v>39635.5</v>
      </c>
      <c r="P156" s="8">
        <f t="shared" si="18"/>
        <v>1.0661149726886252</v>
      </c>
      <c r="Q156" s="7"/>
      <c r="R156" s="7"/>
      <c r="S156" s="7"/>
      <c r="T156" s="7"/>
      <c r="U156" s="7"/>
      <c r="V156" s="7"/>
      <c r="W156" s="7"/>
      <c r="X156" s="3" t="s">
        <v>59</v>
      </c>
      <c r="Y156" s="3"/>
      <c r="Z156" s="9">
        <v>17.050640000000001</v>
      </c>
      <c r="AA156" s="5">
        <f t="shared" si="26"/>
        <v>0.20865492035227606</v>
      </c>
      <c r="AB156" s="9">
        <f t="shared" si="28"/>
        <v>15.480364285714286</v>
      </c>
      <c r="AC156" s="9">
        <f t="shared" si="19"/>
        <v>27.544579285714288</v>
      </c>
      <c r="AD156" s="8">
        <f t="shared" si="20"/>
        <v>0.5620112808817892</v>
      </c>
      <c r="AE156" s="3" t="s">
        <v>44</v>
      </c>
      <c r="AF156" s="10">
        <f t="shared" si="21"/>
        <v>26436.5</v>
      </c>
      <c r="AG156" s="11">
        <f t="shared" si="22"/>
        <v>0.908365328239366</v>
      </c>
      <c r="AH156" s="11">
        <f t="shared" si="23"/>
        <v>0.61901980143305868</v>
      </c>
      <c r="AI156" s="3" t="s">
        <v>45</v>
      </c>
      <c r="AJ156" s="3" t="s">
        <v>40</v>
      </c>
      <c r="AK156" s="3" t="s">
        <v>46</v>
      </c>
      <c r="AL156" s="3" t="s">
        <v>47</v>
      </c>
      <c r="AM156" s="3" t="s">
        <v>39</v>
      </c>
    </row>
    <row r="157" spans="1:39" ht="21" customHeight="1">
      <c r="A157" s="4">
        <v>46117</v>
      </c>
      <c r="B157" s="3" t="s">
        <v>39</v>
      </c>
      <c r="C157" s="3" t="s">
        <v>40</v>
      </c>
      <c r="D157" s="4">
        <v>46057</v>
      </c>
      <c r="E157" s="3">
        <v>60</v>
      </c>
      <c r="F157" s="3" t="s">
        <v>57</v>
      </c>
      <c r="G157" s="3" t="s">
        <v>48</v>
      </c>
      <c r="H157" s="3">
        <v>1</v>
      </c>
      <c r="I157" s="7">
        <v>42354</v>
      </c>
      <c r="J157" s="7">
        <v>23373</v>
      </c>
      <c r="K157" s="7">
        <v>18980</v>
      </c>
      <c r="L157" s="5">
        <f t="shared" si="24"/>
        <v>0.55184870378240547</v>
      </c>
      <c r="M157" s="5">
        <f t="shared" si="25"/>
        <v>2.3191972737599542E-3</v>
      </c>
      <c r="N157" s="7">
        <f t="shared" si="27"/>
        <v>38338</v>
      </c>
      <c r="O157" s="7">
        <f t="shared" si="17"/>
        <v>39703.785714285717</v>
      </c>
      <c r="P157" s="8">
        <f t="shared" si="18"/>
        <v>1.0667496622308414</v>
      </c>
      <c r="Q157" s="7"/>
      <c r="R157" s="7"/>
      <c r="S157" s="7"/>
      <c r="T157" s="7"/>
      <c r="U157" s="7"/>
      <c r="V157" s="7"/>
      <c r="W157" s="7"/>
      <c r="X157" s="3" t="s">
        <v>59</v>
      </c>
      <c r="Y157" s="3"/>
      <c r="Z157" s="9">
        <v>17.67362</v>
      </c>
      <c r="AA157" s="5">
        <f t="shared" si="26"/>
        <v>3.6537044943767416E-2</v>
      </c>
      <c r="AB157" s="9">
        <f t="shared" si="28"/>
        <v>15.053459999999999</v>
      </c>
      <c r="AC157" s="9">
        <f t="shared" si="19"/>
        <v>25.307405357142859</v>
      </c>
      <c r="AD157" s="8">
        <f t="shared" si="20"/>
        <v>0.59482431278761072</v>
      </c>
      <c r="AE157" s="3" t="s">
        <v>44</v>
      </c>
      <c r="AF157" s="10">
        <f t="shared" si="21"/>
        <v>23542.75</v>
      </c>
      <c r="AG157" s="11">
        <f t="shared" si="22"/>
        <v>0.99278971233182189</v>
      </c>
      <c r="AH157" s="11">
        <f t="shared" si="23"/>
        <v>0.69835764475206186</v>
      </c>
      <c r="AI157" s="3" t="s">
        <v>45</v>
      </c>
      <c r="AJ157" s="3" t="s">
        <v>40</v>
      </c>
      <c r="AK157" s="3" t="s">
        <v>46</v>
      </c>
      <c r="AL157" s="3" t="s">
        <v>47</v>
      </c>
      <c r="AM157" s="3" t="s">
        <v>39</v>
      </c>
    </row>
    <row r="158" spans="1:39" ht="21" customHeight="1">
      <c r="A158" s="4">
        <v>46118</v>
      </c>
      <c r="B158" s="3" t="s">
        <v>39</v>
      </c>
      <c r="C158" s="3" t="s">
        <v>40</v>
      </c>
      <c r="D158" s="4">
        <v>46057</v>
      </c>
      <c r="E158" s="3">
        <v>61</v>
      </c>
      <c r="F158" s="3" t="s">
        <v>57</v>
      </c>
      <c r="G158" s="3" t="s">
        <v>49</v>
      </c>
      <c r="H158" s="3">
        <v>0</v>
      </c>
      <c r="I158" s="7">
        <v>33285</v>
      </c>
      <c r="J158" s="7">
        <v>12229</v>
      </c>
      <c r="K158" s="7">
        <v>21056</v>
      </c>
      <c r="L158" s="5">
        <f t="shared" si="24"/>
        <v>0.36740273396424816</v>
      </c>
      <c r="M158" s="5">
        <f t="shared" si="25"/>
        <v>-0.21412381357132737</v>
      </c>
      <c r="N158" s="7">
        <f t="shared" si="27"/>
        <v>37654.428571428572</v>
      </c>
      <c r="O158" s="7">
        <f t="shared" ref="O158:O221" si="29">AVERAGE(I130:I157)</f>
        <v>39828.678571428572</v>
      </c>
      <c r="P158" s="8">
        <f t="shared" ref="P158:P221" si="30">IFERROR(I158/O158,"")</f>
        <v>0.83570435158442002</v>
      </c>
      <c r="Q158" s="7"/>
      <c r="R158" s="7"/>
      <c r="S158" s="7"/>
      <c r="T158" s="7"/>
      <c r="U158" s="7"/>
      <c r="V158" s="7"/>
      <c r="W158" s="7"/>
      <c r="X158" s="3" t="s">
        <v>59</v>
      </c>
      <c r="Y158" s="3"/>
      <c r="Z158" s="9">
        <v>13.68225</v>
      </c>
      <c r="AA158" s="5">
        <f t="shared" si="26"/>
        <v>-0.22583771745686509</v>
      </c>
      <c r="AB158" s="9">
        <f t="shared" si="28"/>
        <v>14.650354285714284</v>
      </c>
      <c r="AC158" s="9">
        <f t="shared" ref="AC158:AC221" si="31">AVERAGE(Z130:Z157)</f>
        <v>23.906397500000008</v>
      </c>
      <c r="AD158" s="8">
        <f t="shared" ref="AD158:AD221" si="32">IFERROR(AB158/AC158,"")</f>
        <v>0.61282149624234594</v>
      </c>
      <c r="AE158" s="3" t="s">
        <v>44</v>
      </c>
      <c r="AF158" s="10">
        <f t="shared" ref="AF158:AF221" si="33">IF(COUNT(J151,J144,J137,J130)=4,AVERAGE(J151,J144,J137,J130),"")</f>
        <v>15004.75</v>
      </c>
      <c r="AG158" s="11">
        <f t="shared" ref="AG158:AG221" si="34">IFERROR(J158/AF158,"")</f>
        <v>0.81500858061613823</v>
      </c>
      <c r="AH158" s="11">
        <f t="shared" ref="AH158:AH221" si="35">IFERROR(Z158/AC158,"")</f>
        <v>0.57232588055142963</v>
      </c>
      <c r="AI158" s="3" t="s">
        <v>45</v>
      </c>
      <c r="AJ158" s="3" t="s">
        <v>40</v>
      </c>
      <c r="AK158" s="3" t="s">
        <v>46</v>
      </c>
      <c r="AL158" s="3" t="s">
        <v>47</v>
      </c>
      <c r="AM158" s="3" t="s">
        <v>39</v>
      </c>
    </row>
    <row r="159" spans="1:39" ht="21" customHeight="1">
      <c r="A159" s="4">
        <v>46119</v>
      </c>
      <c r="B159" s="3" t="s">
        <v>39</v>
      </c>
      <c r="C159" s="3" t="s">
        <v>40</v>
      </c>
      <c r="D159" s="4">
        <v>46057</v>
      </c>
      <c r="E159" s="3">
        <v>62</v>
      </c>
      <c r="F159" s="3" t="s">
        <v>57</v>
      </c>
      <c r="G159" s="3" t="s">
        <v>50</v>
      </c>
      <c r="H159" s="3">
        <v>0</v>
      </c>
      <c r="I159" s="7">
        <v>37096</v>
      </c>
      <c r="J159" s="7">
        <v>15918</v>
      </c>
      <c r="K159" s="7">
        <v>21178</v>
      </c>
      <c r="L159" s="5">
        <f t="shared" si="24"/>
        <v>0.42910286823377186</v>
      </c>
      <c r="M159" s="5">
        <f t="shared" si="25"/>
        <v>0.11449601922788033</v>
      </c>
      <c r="N159" s="7">
        <f t="shared" si="27"/>
        <v>37379.857142857145</v>
      </c>
      <c r="O159" s="7">
        <f t="shared" si="29"/>
        <v>39758.178571428572</v>
      </c>
      <c r="P159" s="8">
        <f t="shared" si="30"/>
        <v>0.93304073106252172</v>
      </c>
      <c r="Q159" s="7"/>
      <c r="R159" s="7"/>
      <c r="S159" s="7"/>
      <c r="T159" s="7"/>
      <c r="U159" s="7"/>
      <c r="V159" s="7"/>
      <c r="W159" s="7"/>
      <c r="X159" s="3" t="s">
        <v>59</v>
      </c>
      <c r="Y159" s="3"/>
      <c r="Z159" s="9">
        <v>11.29068</v>
      </c>
      <c r="AA159" s="5">
        <f t="shared" si="26"/>
        <v>-0.17479361947048178</v>
      </c>
      <c r="AB159" s="9">
        <f t="shared" si="28"/>
        <v>14.292797142857141</v>
      </c>
      <c r="AC159" s="9">
        <f t="shared" si="31"/>
        <v>22.985976428571426</v>
      </c>
      <c r="AD159" s="8">
        <f t="shared" si="32"/>
        <v>0.62180509004139073</v>
      </c>
      <c r="AE159" s="3" t="s">
        <v>44</v>
      </c>
      <c r="AF159" s="10">
        <f t="shared" si="33"/>
        <v>16917</v>
      </c>
      <c r="AG159" s="11">
        <f t="shared" si="34"/>
        <v>0.94094697641425784</v>
      </c>
      <c r="AH159" s="11">
        <f t="shared" si="35"/>
        <v>0.49119862430406719</v>
      </c>
      <c r="AI159" s="3" t="s">
        <v>45</v>
      </c>
      <c r="AJ159" s="3" t="s">
        <v>40</v>
      </c>
      <c r="AK159" s="3" t="s">
        <v>46</v>
      </c>
      <c r="AL159" s="3" t="s">
        <v>47</v>
      </c>
      <c r="AM159" s="3" t="s">
        <v>39</v>
      </c>
    </row>
    <row r="160" spans="1:39" ht="21" customHeight="1">
      <c r="A160" s="4">
        <v>46120</v>
      </c>
      <c r="B160" s="3" t="s">
        <v>39</v>
      </c>
      <c r="C160" s="3" t="s">
        <v>40</v>
      </c>
      <c r="D160" s="4">
        <v>46057</v>
      </c>
      <c r="E160" s="3">
        <v>63</v>
      </c>
      <c r="F160" s="3" t="s">
        <v>57</v>
      </c>
      <c r="G160" s="3" t="s">
        <v>51</v>
      </c>
      <c r="H160" s="3">
        <v>0</v>
      </c>
      <c r="I160" s="7">
        <v>36796</v>
      </c>
      <c r="J160" s="7">
        <v>15316</v>
      </c>
      <c r="K160" s="7">
        <v>21480</v>
      </c>
      <c r="L160" s="5">
        <f t="shared" si="24"/>
        <v>0.41624089574953799</v>
      </c>
      <c r="M160" s="5">
        <f t="shared" si="25"/>
        <v>-8.0871252965278861E-3</v>
      </c>
      <c r="N160" s="7">
        <f t="shared" si="27"/>
        <v>37821</v>
      </c>
      <c r="O160" s="7">
        <f t="shared" si="29"/>
        <v>39781.392857142855</v>
      </c>
      <c r="P160" s="8">
        <f t="shared" si="30"/>
        <v>0.92495504448867427</v>
      </c>
      <c r="Q160" s="7"/>
      <c r="R160" s="7"/>
      <c r="S160" s="7"/>
      <c r="T160" s="7"/>
      <c r="U160" s="7"/>
      <c r="V160" s="7"/>
      <c r="W160" s="7"/>
      <c r="X160" s="3" t="s">
        <v>59</v>
      </c>
      <c r="Y160" s="3"/>
      <c r="Z160" s="9">
        <v>11.31973</v>
      </c>
      <c r="AA160" s="5">
        <f t="shared" si="26"/>
        <v>2.5729185487499695E-3</v>
      </c>
      <c r="AB160" s="9">
        <f t="shared" si="28"/>
        <v>13.97470142857143</v>
      </c>
      <c r="AC160" s="9">
        <f t="shared" si="31"/>
        <v>22.295625357142853</v>
      </c>
      <c r="AD160" s="8">
        <f t="shared" si="32"/>
        <v>0.62679118458071659</v>
      </c>
      <c r="AE160" s="3" t="s">
        <v>44</v>
      </c>
      <c r="AF160" s="10">
        <f t="shared" si="33"/>
        <v>15088.5</v>
      </c>
      <c r="AG160" s="11">
        <f t="shared" si="34"/>
        <v>1.0150777081883553</v>
      </c>
      <c r="AH160" s="11">
        <f t="shared" si="35"/>
        <v>0.50771080957249293</v>
      </c>
      <c r="AI160" s="3" t="s">
        <v>45</v>
      </c>
      <c r="AJ160" s="3" t="s">
        <v>40</v>
      </c>
      <c r="AK160" s="3" t="s">
        <v>46</v>
      </c>
      <c r="AL160" s="3" t="s">
        <v>47</v>
      </c>
      <c r="AM160" s="3" t="s">
        <v>39</v>
      </c>
    </row>
    <row r="161" spans="1:39" ht="21" customHeight="1">
      <c r="A161" s="4">
        <v>46121</v>
      </c>
      <c r="B161" s="3" t="s">
        <v>39</v>
      </c>
      <c r="C161" s="3" t="s">
        <v>40</v>
      </c>
      <c r="D161" s="4">
        <v>46057</v>
      </c>
      <c r="E161" s="3">
        <v>64</v>
      </c>
      <c r="F161" s="3" t="s">
        <v>57</v>
      </c>
      <c r="G161" s="3" t="s">
        <v>52</v>
      </c>
      <c r="H161" s="3">
        <v>0</v>
      </c>
      <c r="I161" s="7">
        <v>35522</v>
      </c>
      <c r="J161" s="7">
        <v>14648</v>
      </c>
      <c r="K161" s="7">
        <v>20874</v>
      </c>
      <c r="L161" s="5">
        <f t="shared" si="24"/>
        <v>0.41236416868419573</v>
      </c>
      <c r="M161" s="5">
        <f t="shared" si="25"/>
        <v>-3.4623328622676364E-2</v>
      </c>
      <c r="N161" s="7">
        <f t="shared" si="27"/>
        <v>37956.142857142855</v>
      </c>
      <c r="O161" s="7">
        <f t="shared" si="29"/>
        <v>39770.285714285717</v>
      </c>
      <c r="P161" s="8">
        <f t="shared" si="30"/>
        <v>0.89317940170694554</v>
      </c>
      <c r="Q161" s="7"/>
      <c r="R161" s="7"/>
      <c r="S161" s="7"/>
      <c r="T161" s="7"/>
      <c r="U161" s="7"/>
      <c r="V161" s="7"/>
      <c r="W161" s="7"/>
      <c r="X161" s="3" t="s">
        <v>59</v>
      </c>
      <c r="Y161" s="3"/>
      <c r="Z161" s="9">
        <v>12.225020000000001</v>
      </c>
      <c r="AA161" s="5">
        <f t="shared" si="26"/>
        <v>7.9974522360515721E-2</v>
      </c>
      <c r="AB161" s="9">
        <f t="shared" si="28"/>
        <v>13.907008571428573</v>
      </c>
      <c r="AC161" s="9">
        <f t="shared" si="31"/>
        <v>21.686714285714285</v>
      </c>
      <c r="AD161" s="8">
        <f t="shared" si="32"/>
        <v>0.64126858445262747</v>
      </c>
      <c r="AE161" s="3" t="s">
        <v>44</v>
      </c>
      <c r="AF161" s="10">
        <f t="shared" si="33"/>
        <v>16142.25</v>
      </c>
      <c r="AG161" s="11">
        <f t="shared" si="34"/>
        <v>0.90743235918165066</v>
      </c>
      <c r="AH161" s="11">
        <f t="shared" si="35"/>
        <v>0.56371010559460377</v>
      </c>
      <c r="AI161" s="3" t="s">
        <v>45</v>
      </c>
      <c r="AJ161" s="3" t="s">
        <v>40</v>
      </c>
      <c r="AK161" s="3" t="s">
        <v>46</v>
      </c>
      <c r="AL161" s="3" t="s">
        <v>47</v>
      </c>
      <c r="AM161" s="3" t="s">
        <v>39</v>
      </c>
    </row>
    <row r="162" spans="1:39" ht="21" customHeight="1">
      <c r="A162" s="4">
        <v>46122</v>
      </c>
      <c r="B162" s="3" t="s">
        <v>39</v>
      </c>
      <c r="C162" s="3" t="s">
        <v>40</v>
      </c>
      <c r="D162" s="4">
        <v>46057</v>
      </c>
      <c r="E162" s="3">
        <v>65</v>
      </c>
      <c r="F162" s="3" t="s">
        <v>57</v>
      </c>
      <c r="G162" s="3" t="s">
        <v>53</v>
      </c>
      <c r="H162" s="3">
        <v>0</v>
      </c>
      <c r="I162" s="7">
        <v>38434</v>
      </c>
      <c r="J162" s="7">
        <v>17878</v>
      </c>
      <c r="K162" s="7">
        <v>20556</v>
      </c>
      <c r="L162" s="5">
        <f t="shared" si="24"/>
        <v>0.46516105531560598</v>
      </c>
      <c r="M162" s="5">
        <f t="shared" si="25"/>
        <v>8.1977366139293961E-2</v>
      </c>
      <c r="N162" s="7">
        <f t="shared" si="27"/>
        <v>37963.285714285717</v>
      </c>
      <c r="O162" s="7">
        <f t="shared" si="29"/>
        <v>39711.928571428572</v>
      </c>
      <c r="P162" s="8">
        <f t="shared" si="30"/>
        <v>0.96782003248394233</v>
      </c>
      <c r="Q162" s="7"/>
      <c r="R162" s="7"/>
      <c r="S162" s="7"/>
      <c r="T162" s="7"/>
      <c r="U162" s="7"/>
      <c r="V162" s="7"/>
      <c r="W162" s="7"/>
      <c r="X162" s="3" t="s">
        <v>59</v>
      </c>
      <c r="Y162" s="3"/>
      <c r="Z162" s="9">
        <v>12.56598</v>
      </c>
      <c r="AA162" s="5">
        <f t="shared" si="26"/>
        <v>2.7890342919684397E-2</v>
      </c>
      <c r="AB162" s="9">
        <f t="shared" si="28"/>
        <v>13.686845714285713</v>
      </c>
      <c r="AC162" s="9">
        <f t="shared" si="31"/>
        <v>21.167146785714284</v>
      </c>
      <c r="AD162" s="8">
        <f t="shared" si="32"/>
        <v>0.64660796529851494</v>
      </c>
      <c r="AE162" s="3" t="s">
        <v>44</v>
      </c>
      <c r="AF162" s="10">
        <f t="shared" si="33"/>
        <v>18697</v>
      </c>
      <c r="AG162" s="11">
        <f t="shared" si="34"/>
        <v>0.95619618120554095</v>
      </c>
      <c r="AH162" s="11">
        <f t="shared" si="35"/>
        <v>0.59365488070790839</v>
      </c>
      <c r="AI162" s="3" t="s">
        <v>45</v>
      </c>
      <c r="AJ162" s="3" t="s">
        <v>40</v>
      </c>
      <c r="AK162" s="3" t="s">
        <v>46</v>
      </c>
      <c r="AL162" s="3" t="s">
        <v>47</v>
      </c>
      <c r="AM162" s="3" t="s">
        <v>39</v>
      </c>
    </row>
    <row r="163" spans="1:39" ht="21" customHeight="1">
      <c r="A163" s="4">
        <v>46123</v>
      </c>
      <c r="B163" s="3" t="s">
        <v>39</v>
      </c>
      <c r="C163" s="3" t="s">
        <v>40</v>
      </c>
      <c r="D163" s="4">
        <v>46057</v>
      </c>
      <c r="E163" s="3">
        <v>66</v>
      </c>
      <c r="F163" s="3" t="s">
        <v>57</v>
      </c>
      <c r="G163" s="3" t="s">
        <v>42</v>
      </c>
      <c r="H163" s="3">
        <v>1</v>
      </c>
      <c r="I163" s="7">
        <v>52360</v>
      </c>
      <c r="J163" s="7">
        <v>33352</v>
      </c>
      <c r="K163" s="7">
        <v>19008</v>
      </c>
      <c r="L163" s="5">
        <f t="shared" si="24"/>
        <v>0.63697478991596634</v>
      </c>
      <c r="M163" s="5">
        <f t="shared" si="25"/>
        <v>0.36233543216943342</v>
      </c>
      <c r="N163" s="7">
        <f t="shared" si="27"/>
        <v>39406.714285714283</v>
      </c>
      <c r="O163" s="7">
        <f t="shared" si="29"/>
        <v>39666.214285714283</v>
      </c>
      <c r="P163" s="8">
        <f t="shared" si="30"/>
        <v>1.3200150541932951</v>
      </c>
      <c r="Q163" s="7"/>
      <c r="R163" s="7"/>
      <c r="S163" s="7"/>
      <c r="T163" s="7"/>
      <c r="U163" s="7"/>
      <c r="V163" s="7"/>
      <c r="W163" s="7"/>
      <c r="X163" s="3" t="s">
        <v>59</v>
      </c>
      <c r="Y163" s="3"/>
      <c r="Z163" s="9">
        <v>16.567810000000001</v>
      </c>
      <c r="AA163" s="5">
        <f t="shared" si="26"/>
        <v>0.31846541216841051</v>
      </c>
      <c r="AB163" s="9">
        <f t="shared" si="28"/>
        <v>13.617869999999998</v>
      </c>
      <c r="AC163" s="9">
        <f t="shared" si="31"/>
        <v>20.589855357142852</v>
      </c>
      <c r="AD163" s="8">
        <f t="shared" si="32"/>
        <v>0.66138735623879974</v>
      </c>
      <c r="AE163" s="3" t="s">
        <v>44</v>
      </c>
      <c r="AF163" s="10">
        <f t="shared" si="33"/>
        <v>26989.5</v>
      </c>
      <c r="AG163" s="11">
        <f t="shared" si="34"/>
        <v>1.2357398247466607</v>
      </c>
      <c r="AH163" s="11">
        <f t="shared" si="35"/>
        <v>0.80465888237784255</v>
      </c>
      <c r="AI163" s="3" t="s">
        <v>45</v>
      </c>
      <c r="AJ163" s="3" t="s">
        <v>40</v>
      </c>
      <c r="AK163" s="3" t="s">
        <v>46</v>
      </c>
      <c r="AL163" s="3" t="s">
        <v>47</v>
      </c>
      <c r="AM163" s="3" t="s">
        <v>39</v>
      </c>
    </row>
    <row r="164" spans="1:39" ht="21" customHeight="1">
      <c r="A164" s="4">
        <v>46124</v>
      </c>
      <c r="B164" s="3" t="s">
        <v>39</v>
      </c>
      <c r="C164" s="3" t="s">
        <v>40</v>
      </c>
      <c r="D164" s="4">
        <v>46057</v>
      </c>
      <c r="E164" s="3">
        <v>67</v>
      </c>
      <c r="F164" s="3" t="s">
        <v>57</v>
      </c>
      <c r="G164" s="3" t="s">
        <v>48</v>
      </c>
      <c r="H164" s="3">
        <v>1</v>
      </c>
      <c r="I164" s="7">
        <v>48310</v>
      </c>
      <c r="J164" s="7">
        <v>29519</v>
      </c>
      <c r="K164" s="7">
        <v>18792</v>
      </c>
      <c r="L164" s="5">
        <f t="shared" si="24"/>
        <v>0.61103291244048852</v>
      </c>
      <c r="M164" s="5">
        <f t="shared" si="25"/>
        <v>-7.7349121466768533E-2</v>
      </c>
      <c r="N164" s="7">
        <f t="shared" si="27"/>
        <v>40257.571428571428</v>
      </c>
      <c r="O164" s="7">
        <f t="shared" si="29"/>
        <v>39920.214285714283</v>
      </c>
      <c r="P164" s="8">
        <f t="shared" si="30"/>
        <v>1.2101638446687411</v>
      </c>
      <c r="Q164" s="7"/>
      <c r="R164" s="7"/>
      <c r="S164" s="7"/>
      <c r="T164" s="7"/>
      <c r="U164" s="7"/>
      <c r="V164" s="7"/>
      <c r="W164" s="7"/>
      <c r="X164" s="3" t="s">
        <v>59</v>
      </c>
      <c r="Y164" s="3"/>
      <c r="Z164" s="9">
        <v>12.862069999999999</v>
      </c>
      <c r="AA164" s="5">
        <f t="shared" si="26"/>
        <v>-0.22367108265968783</v>
      </c>
      <c r="AB164" s="9">
        <f t="shared" si="28"/>
        <v>12.930505714285713</v>
      </c>
      <c r="AC164" s="9">
        <f t="shared" si="31"/>
        <v>19.783776428571432</v>
      </c>
      <c r="AD164" s="8">
        <f t="shared" si="32"/>
        <v>0.6535913788234925</v>
      </c>
      <c r="AE164" s="3" t="s">
        <v>44</v>
      </c>
      <c r="AF164" s="10">
        <f t="shared" si="33"/>
        <v>24205</v>
      </c>
      <c r="AG164" s="11">
        <f t="shared" si="34"/>
        <v>1.2195414170625904</v>
      </c>
      <c r="AH164" s="11">
        <f t="shared" si="35"/>
        <v>0.65013219525796861</v>
      </c>
      <c r="AI164" s="3" t="s">
        <v>45</v>
      </c>
      <c r="AJ164" s="3" t="s">
        <v>40</v>
      </c>
      <c r="AK164" s="3" t="s">
        <v>46</v>
      </c>
      <c r="AL164" s="3" t="s">
        <v>47</v>
      </c>
      <c r="AM164" s="3" t="s">
        <v>39</v>
      </c>
    </row>
    <row r="165" spans="1:39" ht="21" customHeight="1">
      <c r="A165" s="4">
        <v>46125</v>
      </c>
      <c r="B165" s="3" t="s">
        <v>39</v>
      </c>
      <c r="C165" s="3" t="s">
        <v>40</v>
      </c>
      <c r="D165" s="4">
        <v>46057</v>
      </c>
      <c r="E165" s="3">
        <v>68</v>
      </c>
      <c r="F165" s="3" t="s">
        <v>57</v>
      </c>
      <c r="G165" s="3" t="s">
        <v>49</v>
      </c>
      <c r="H165" s="3">
        <v>0</v>
      </c>
      <c r="I165" s="7">
        <v>36502</v>
      </c>
      <c r="J165" s="7">
        <v>15180</v>
      </c>
      <c r="K165" s="7">
        <v>21322</v>
      </c>
      <c r="L165" s="5">
        <f t="shared" si="24"/>
        <v>0.41586762369185248</v>
      </c>
      <c r="M165" s="5">
        <f t="shared" si="25"/>
        <v>-0.24442144483543782</v>
      </c>
      <c r="N165" s="7">
        <f t="shared" si="27"/>
        <v>40717.142857142855</v>
      </c>
      <c r="O165" s="7">
        <f t="shared" si="29"/>
        <v>40227.214285714283</v>
      </c>
      <c r="P165" s="8">
        <f t="shared" si="30"/>
        <v>0.90739566853285181</v>
      </c>
      <c r="Q165" s="7"/>
      <c r="R165" s="7"/>
      <c r="S165" s="7"/>
      <c r="T165" s="7"/>
      <c r="U165" s="7"/>
      <c r="V165" s="7"/>
      <c r="W165" s="7"/>
      <c r="X165" s="3" t="s">
        <v>59</v>
      </c>
      <c r="Y165" s="3"/>
      <c r="Z165" s="9">
        <v>10.19364</v>
      </c>
      <c r="AA165" s="5">
        <f t="shared" si="26"/>
        <v>-0.2074650503379315</v>
      </c>
      <c r="AB165" s="9">
        <f t="shared" si="28"/>
        <v>12.432132857142857</v>
      </c>
      <c r="AC165" s="9">
        <f t="shared" si="31"/>
        <v>18.840053571428573</v>
      </c>
      <c r="AD165" s="8">
        <f t="shared" si="32"/>
        <v>0.65987778697171584</v>
      </c>
      <c r="AE165" s="3" t="s">
        <v>44</v>
      </c>
      <c r="AF165" s="10">
        <f t="shared" si="33"/>
        <v>14578.5</v>
      </c>
      <c r="AG165" s="11">
        <f t="shared" si="34"/>
        <v>1.0412593888260109</v>
      </c>
      <c r="AH165" s="11">
        <f t="shared" si="35"/>
        <v>0.54106215576047612</v>
      </c>
      <c r="AI165" s="3" t="s">
        <v>45</v>
      </c>
      <c r="AJ165" s="3" t="s">
        <v>40</v>
      </c>
      <c r="AK165" s="3" t="s">
        <v>46</v>
      </c>
      <c r="AL165" s="3" t="s">
        <v>47</v>
      </c>
      <c r="AM165" s="3" t="s">
        <v>39</v>
      </c>
    </row>
    <row r="166" spans="1:39" ht="21" customHeight="1">
      <c r="A166" s="4">
        <v>46126</v>
      </c>
      <c r="B166" s="3" t="s">
        <v>39</v>
      </c>
      <c r="C166" s="3" t="s">
        <v>40</v>
      </c>
      <c r="D166" s="4">
        <v>46057</v>
      </c>
      <c r="E166" s="3">
        <v>69</v>
      </c>
      <c r="F166" s="3" t="s">
        <v>57</v>
      </c>
      <c r="G166" s="3" t="s">
        <v>50</v>
      </c>
      <c r="H166" s="3">
        <v>0</v>
      </c>
      <c r="I166" s="7">
        <v>40470</v>
      </c>
      <c r="J166" s="7">
        <v>18739</v>
      </c>
      <c r="K166" s="7">
        <v>21732</v>
      </c>
      <c r="L166" s="5">
        <f t="shared" si="24"/>
        <v>0.4630343464294539</v>
      </c>
      <c r="M166" s="5">
        <f t="shared" si="25"/>
        <v>0.10870637225357505</v>
      </c>
      <c r="N166" s="7">
        <f t="shared" si="27"/>
        <v>41199.142857142855</v>
      </c>
      <c r="O166" s="7">
        <f t="shared" si="29"/>
        <v>40248.714285714283</v>
      </c>
      <c r="P166" s="8">
        <f t="shared" si="30"/>
        <v>1.0054979573438017</v>
      </c>
      <c r="Q166" s="7"/>
      <c r="R166" s="7"/>
      <c r="S166" s="7"/>
      <c r="T166" s="7"/>
      <c r="U166" s="7"/>
      <c r="V166" s="7"/>
      <c r="W166" s="7"/>
      <c r="X166" s="3" t="s">
        <v>59</v>
      </c>
      <c r="Y166" s="3"/>
      <c r="Z166" s="9">
        <v>8.7196499999999997</v>
      </c>
      <c r="AA166" s="5">
        <f t="shared" si="26"/>
        <v>-0.14459898524962633</v>
      </c>
      <c r="AB166" s="9">
        <f t="shared" si="28"/>
        <v>12.064842857142859</v>
      </c>
      <c r="AC166" s="9">
        <f t="shared" si="31"/>
        <v>18.22108035714286</v>
      </c>
      <c r="AD166" s="8">
        <f t="shared" si="32"/>
        <v>0.662136526521234</v>
      </c>
      <c r="AE166" s="3" t="s">
        <v>44</v>
      </c>
      <c r="AF166" s="10">
        <f t="shared" si="33"/>
        <v>17159.5</v>
      </c>
      <c r="AG166" s="11">
        <f t="shared" si="34"/>
        <v>1.0920481366007169</v>
      </c>
      <c r="AH166" s="11">
        <f t="shared" si="35"/>
        <v>0.47854736541907644</v>
      </c>
      <c r="AI166" s="3" t="s">
        <v>45</v>
      </c>
      <c r="AJ166" s="3" t="s">
        <v>40</v>
      </c>
      <c r="AK166" s="3" t="s">
        <v>46</v>
      </c>
      <c r="AL166" s="3" t="s">
        <v>47</v>
      </c>
      <c r="AM166" s="3" t="s">
        <v>39</v>
      </c>
    </row>
    <row r="167" spans="1:39" ht="21" customHeight="1">
      <c r="A167" s="4">
        <v>46127</v>
      </c>
      <c r="B167" s="3" t="s">
        <v>39</v>
      </c>
      <c r="C167" s="3" t="s">
        <v>40</v>
      </c>
      <c r="D167" s="4">
        <v>46057</v>
      </c>
      <c r="E167" s="3">
        <v>70</v>
      </c>
      <c r="F167" s="3" t="s">
        <v>57</v>
      </c>
      <c r="G167" s="3" t="s">
        <v>51</v>
      </c>
      <c r="H167" s="3">
        <v>0</v>
      </c>
      <c r="I167" s="7">
        <v>41212</v>
      </c>
      <c r="J167" s="7">
        <v>19824</v>
      </c>
      <c r="K167" s="7">
        <v>21388</v>
      </c>
      <c r="L167" s="5">
        <f t="shared" si="24"/>
        <v>0.48102494419101233</v>
      </c>
      <c r="M167" s="5">
        <f t="shared" si="25"/>
        <v>1.833456881640716E-2</v>
      </c>
      <c r="N167" s="7">
        <f t="shared" si="27"/>
        <v>41830</v>
      </c>
      <c r="O167" s="7">
        <f t="shared" si="29"/>
        <v>40313.571428571428</v>
      </c>
      <c r="P167" s="8">
        <f t="shared" si="30"/>
        <v>1.022286007902337</v>
      </c>
      <c r="Q167" s="7"/>
      <c r="R167" s="7"/>
      <c r="S167" s="7"/>
      <c r="T167" s="7"/>
      <c r="U167" s="7"/>
      <c r="V167" s="7"/>
      <c r="W167" s="7"/>
      <c r="X167" s="3" t="s">
        <v>59</v>
      </c>
      <c r="Y167" s="3"/>
      <c r="Z167" s="9">
        <v>8.2273599999999991</v>
      </c>
      <c r="AA167" s="5">
        <f t="shared" si="26"/>
        <v>-5.6457541300396263E-2</v>
      </c>
      <c r="AB167" s="9">
        <f t="shared" si="28"/>
        <v>11.623075714285717</v>
      </c>
      <c r="AC167" s="9">
        <f t="shared" si="31"/>
        <v>17.696691071428575</v>
      </c>
      <c r="AD167" s="8">
        <f t="shared" si="32"/>
        <v>0.65679372869040187</v>
      </c>
      <c r="AE167" s="3" t="s">
        <v>44</v>
      </c>
      <c r="AF167" s="10">
        <f t="shared" si="33"/>
        <v>15049</v>
      </c>
      <c r="AG167" s="11">
        <f t="shared" si="34"/>
        <v>1.3172968303541763</v>
      </c>
      <c r="AH167" s="11">
        <f t="shared" si="35"/>
        <v>0.46490951143307951</v>
      </c>
      <c r="AI167" s="3" t="s">
        <v>45</v>
      </c>
      <c r="AJ167" s="3" t="s">
        <v>40</v>
      </c>
      <c r="AK167" s="3" t="s">
        <v>46</v>
      </c>
      <c r="AL167" s="3" t="s">
        <v>47</v>
      </c>
      <c r="AM167" s="3" t="s">
        <v>39</v>
      </c>
    </row>
    <row r="168" spans="1:39" ht="21" customHeight="1">
      <c r="A168" s="4">
        <v>46128</v>
      </c>
      <c r="B168" s="3" t="s">
        <v>39</v>
      </c>
      <c r="C168" s="3" t="s">
        <v>40</v>
      </c>
      <c r="D168" s="4">
        <v>46057</v>
      </c>
      <c r="E168" s="3">
        <v>71</v>
      </c>
      <c r="F168" s="3" t="s">
        <v>57</v>
      </c>
      <c r="G168" s="3" t="s">
        <v>52</v>
      </c>
      <c r="H168" s="3">
        <v>0</v>
      </c>
      <c r="I168" s="7">
        <v>42780</v>
      </c>
      <c r="J168" s="7">
        <v>21388</v>
      </c>
      <c r="K168" s="7">
        <v>21392</v>
      </c>
      <c r="L168" s="5">
        <f t="shared" si="24"/>
        <v>0.49995324918186068</v>
      </c>
      <c r="M168" s="5">
        <f t="shared" si="25"/>
        <v>3.8047170726972723E-2</v>
      </c>
      <c r="N168" s="7">
        <f t="shared" si="27"/>
        <v>42866.857142857145</v>
      </c>
      <c r="O168" s="7">
        <f t="shared" si="29"/>
        <v>40515.678571428572</v>
      </c>
      <c r="P168" s="8">
        <f t="shared" si="30"/>
        <v>1.0558875356012971</v>
      </c>
      <c r="Q168" s="7"/>
      <c r="R168" s="7"/>
      <c r="S168" s="7"/>
      <c r="T168" s="7"/>
      <c r="U168" s="7"/>
      <c r="V168" s="7"/>
      <c r="W168" s="7"/>
      <c r="X168" s="3" t="s">
        <v>59</v>
      </c>
      <c r="Y168" s="3"/>
      <c r="Z168" s="9">
        <v>8.2129399999999997</v>
      </c>
      <c r="AA168" s="5">
        <f t="shared" si="26"/>
        <v>-1.7526885902645617E-3</v>
      </c>
      <c r="AB168" s="9">
        <f t="shared" si="28"/>
        <v>11.049921428571428</v>
      </c>
      <c r="AC168" s="9">
        <f t="shared" si="31"/>
        <v>17.079848571428577</v>
      </c>
      <c r="AD168" s="8">
        <f t="shared" si="32"/>
        <v>0.64695663912711143</v>
      </c>
      <c r="AE168" s="3" t="s">
        <v>44</v>
      </c>
      <c r="AF168" s="10">
        <f t="shared" si="33"/>
        <v>15989.25</v>
      </c>
      <c r="AG168" s="11">
        <f t="shared" si="34"/>
        <v>1.3376487327423112</v>
      </c>
      <c r="AH168" s="11">
        <f t="shared" si="35"/>
        <v>0.48085555124526846</v>
      </c>
      <c r="AI168" s="3" t="s">
        <v>45</v>
      </c>
      <c r="AJ168" s="3" t="s">
        <v>40</v>
      </c>
      <c r="AK168" s="3" t="s">
        <v>46</v>
      </c>
      <c r="AL168" s="3" t="s">
        <v>47</v>
      </c>
      <c r="AM168" s="3" t="s">
        <v>39</v>
      </c>
    </row>
    <row r="169" spans="1:39" ht="21" customHeight="1">
      <c r="A169" s="4">
        <v>46129</v>
      </c>
      <c r="B169" s="3" t="s">
        <v>39</v>
      </c>
      <c r="C169" s="3" t="s">
        <v>40</v>
      </c>
      <c r="D169" s="4">
        <v>46057</v>
      </c>
      <c r="E169" s="3">
        <v>72</v>
      </c>
      <c r="F169" s="3" t="s">
        <v>57</v>
      </c>
      <c r="G169" s="3" t="s">
        <v>53</v>
      </c>
      <c r="H169" s="3">
        <v>0</v>
      </c>
      <c r="I169" s="7">
        <v>42770</v>
      </c>
      <c r="J169" s="7">
        <v>21304</v>
      </c>
      <c r="K169" s="7">
        <v>21466</v>
      </c>
      <c r="L169" s="5">
        <f t="shared" si="24"/>
        <v>0.49810614916997897</v>
      </c>
      <c r="M169" s="5">
        <f t="shared" si="25"/>
        <v>-2.3375409069659181E-4</v>
      </c>
      <c r="N169" s="7">
        <f t="shared" si="27"/>
        <v>43486.285714285717</v>
      </c>
      <c r="O169" s="7">
        <f t="shared" si="29"/>
        <v>40646.785714285717</v>
      </c>
      <c r="P169" s="8">
        <f t="shared" si="30"/>
        <v>1.0522357241391429</v>
      </c>
      <c r="Q169" s="7"/>
      <c r="R169" s="7"/>
      <c r="S169" s="7"/>
      <c r="T169" s="7"/>
      <c r="U169" s="7"/>
      <c r="V169" s="7"/>
      <c r="W169" s="7"/>
      <c r="X169" s="3" t="s">
        <v>59</v>
      </c>
      <c r="Y169" s="3"/>
      <c r="Z169" s="9">
        <v>8.5869099999999996</v>
      </c>
      <c r="AA169" s="5">
        <f t="shared" si="26"/>
        <v>4.5534242305435013E-2</v>
      </c>
      <c r="AB169" s="9">
        <f t="shared" si="28"/>
        <v>10.481482857142856</v>
      </c>
      <c r="AC169" s="9">
        <f t="shared" si="31"/>
        <v>16.478765357142862</v>
      </c>
      <c r="AD169" s="8">
        <f t="shared" si="32"/>
        <v>0.63605996140964327</v>
      </c>
      <c r="AE169" s="3" t="s">
        <v>44</v>
      </c>
      <c r="AF169" s="10">
        <f t="shared" si="33"/>
        <v>18692.5</v>
      </c>
      <c r="AG169" s="11">
        <f t="shared" si="34"/>
        <v>1.1397084392135883</v>
      </c>
      <c r="AH169" s="11">
        <f t="shared" si="35"/>
        <v>0.52108940287070293</v>
      </c>
      <c r="AI169" s="3" t="s">
        <v>45</v>
      </c>
      <c r="AJ169" s="3" t="s">
        <v>40</v>
      </c>
      <c r="AK169" s="3" t="s">
        <v>46</v>
      </c>
      <c r="AL169" s="3" t="s">
        <v>47</v>
      </c>
      <c r="AM169" s="3" t="s">
        <v>39</v>
      </c>
    </row>
    <row r="170" spans="1:39" ht="21" customHeight="1">
      <c r="A170" s="4">
        <v>46130</v>
      </c>
      <c r="B170" s="3" t="s">
        <v>39</v>
      </c>
      <c r="C170" s="3" t="s">
        <v>40</v>
      </c>
      <c r="D170" s="4">
        <v>46057</v>
      </c>
      <c r="E170" s="3">
        <v>73</v>
      </c>
      <c r="F170" s="3" t="s">
        <v>57</v>
      </c>
      <c r="G170" s="3" t="s">
        <v>42</v>
      </c>
      <c r="H170" s="3">
        <v>1</v>
      </c>
      <c r="I170" s="7">
        <v>53764</v>
      </c>
      <c r="J170" s="7">
        <v>34814</v>
      </c>
      <c r="K170" s="7">
        <v>18949</v>
      </c>
      <c r="L170" s="5">
        <f t="shared" si="24"/>
        <v>0.64753366564987724</v>
      </c>
      <c r="M170" s="5">
        <f t="shared" si="25"/>
        <v>0.25704933364507832</v>
      </c>
      <c r="N170" s="7">
        <f t="shared" si="27"/>
        <v>43686.857142857145</v>
      </c>
      <c r="O170" s="7">
        <f t="shared" si="29"/>
        <v>40711.642857142855</v>
      </c>
      <c r="P170" s="8">
        <f t="shared" si="30"/>
        <v>1.3206050217294807</v>
      </c>
      <c r="Q170" s="7"/>
      <c r="R170" s="7"/>
      <c r="S170" s="7"/>
      <c r="T170" s="7"/>
      <c r="U170" s="7"/>
      <c r="V170" s="7"/>
      <c r="W170" s="7"/>
      <c r="X170" s="3" t="s">
        <v>59</v>
      </c>
      <c r="Y170" s="3"/>
      <c r="Z170" s="9">
        <v>9.5969499999999996</v>
      </c>
      <c r="AA170" s="5">
        <f t="shared" si="26"/>
        <v>0.11762554865487118</v>
      </c>
      <c r="AB170" s="9">
        <f t="shared" si="28"/>
        <v>9.4856457142857131</v>
      </c>
      <c r="AC170" s="9">
        <f t="shared" si="31"/>
        <v>15.869248214285717</v>
      </c>
      <c r="AD170" s="8">
        <f t="shared" si="32"/>
        <v>0.59773756048169968</v>
      </c>
      <c r="AE170" s="3" t="s">
        <v>44</v>
      </c>
      <c r="AF170" s="10">
        <f t="shared" si="33"/>
        <v>28739.5</v>
      </c>
      <c r="AG170" s="11">
        <f t="shared" si="34"/>
        <v>1.2113641503853581</v>
      </c>
      <c r="AH170" s="11">
        <f t="shared" si="35"/>
        <v>0.60475139530306754</v>
      </c>
      <c r="AI170" s="3" t="s">
        <v>45</v>
      </c>
      <c r="AJ170" s="3" t="s">
        <v>40</v>
      </c>
      <c r="AK170" s="3" t="s">
        <v>46</v>
      </c>
      <c r="AL170" s="3" t="s">
        <v>47</v>
      </c>
      <c r="AM170" s="3" t="s">
        <v>39</v>
      </c>
    </row>
    <row r="171" spans="1:39" ht="21" customHeight="1">
      <c r="A171" s="4">
        <v>46131</v>
      </c>
      <c r="B171" s="3" t="s">
        <v>39</v>
      </c>
      <c r="C171" s="3" t="s">
        <v>40</v>
      </c>
      <c r="D171" s="4">
        <v>46057</v>
      </c>
      <c r="E171" s="3">
        <v>74</v>
      </c>
      <c r="F171" s="3" t="s">
        <v>57</v>
      </c>
      <c r="G171" s="3" t="s">
        <v>48</v>
      </c>
      <c r="H171" s="3">
        <v>1</v>
      </c>
      <c r="I171" s="7">
        <v>51426</v>
      </c>
      <c r="J171" s="7">
        <v>32305</v>
      </c>
      <c r="K171" s="7">
        <v>19120</v>
      </c>
      <c r="L171" s="5">
        <f t="shared" si="24"/>
        <v>0.62818418698712708</v>
      </c>
      <c r="M171" s="5">
        <f t="shared" si="25"/>
        <v>-4.3486347741983455E-2</v>
      </c>
      <c r="N171" s="7">
        <f t="shared" si="27"/>
        <v>44132</v>
      </c>
      <c r="O171" s="7">
        <f t="shared" si="29"/>
        <v>40975.642857142855</v>
      </c>
      <c r="P171" s="8">
        <f t="shared" si="30"/>
        <v>1.2550382718653417</v>
      </c>
      <c r="Q171" s="7"/>
      <c r="R171" s="7"/>
      <c r="S171" s="7"/>
      <c r="T171" s="7"/>
      <c r="U171" s="7"/>
      <c r="V171" s="7"/>
      <c r="W171" s="7"/>
      <c r="X171" s="3" t="s">
        <v>59</v>
      </c>
      <c r="Y171" s="3"/>
      <c r="Z171" s="9">
        <v>8.95594</v>
      </c>
      <c r="AA171" s="5">
        <f t="shared" si="26"/>
        <v>-6.679309572312031E-2</v>
      </c>
      <c r="AB171" s="9">
        <f t="shared" si="28"/>
        <v>8.9276271428571423</v>
      </c>
      <c r="AC171" s="9">
        <f t="shared" si="31"/>
        <v>15.120135714285718</v>
      </c>
      <c r="AD171" s="8">
        <f t="shared" si="32"/>
        <v>0.5904462308775571</v>
      </c>
      <c r="AE171" s="3" t="s">
        <v>44</v>
      </c>
      <c r="AF171" s="10">
        <f t="shared" si="33"/>
        <v>26131.75</v>
      </c>
      <c r="AG171" s="11">
        <f t="shared" si="34"/>
        <v>1.2362356137648647</v>
      </c>
      <c r="AH171" s="11">
        <f t="shared" si="35"/>
        <v>0.59231875753193808</v>
      </c>
      <c r="AI171" s="3" t="s">
        <v>45</v>
      </c>
      <c r="AJ171" s="3" t="s">
        <v>40</v>
      </c>
      <c r="AK171" s="3" t="s">
        <v>46</v>
      </c>
      <c r="AL171" s="3" t="s">
        <v>47</v>
      </c>
      <c r="AM171" s="3" t="s">
        <v>39</v>
      </c>
    </row>
    <row r="172" spans="1:39" ht="21" customHeight="1">
      <c r="A172" s="4">
        <v>46132</v>
      </c>
      <c r="B172" s="3" t="s">
        <v>39</v>
      </c>
      <c r="C172" s="3" t="s">
        <v>40</v>
      </c>
      <c r="D172" s="4">
        <v>46057</v>
      </c>
      <c r="E172" s="3">
        <v>75</v>
      </c>
      <c r="F172" s="3" t="s">
        <v>57</v>
      </c>
      <c r="G172" s="3" t="s">
        <v>49</v>
      </c>
      <c r="H172" s="3">
        <v>0</v>
      </c>
      <c r="I172" s="7">
        <v>35868</v>
      </c>
      <c r="J172" s="7">
        <v>14777</v>
      </c>
      <c r="K172" s="7">
        <v>21091</v>
      </c>
      <c r="L172" s="5">
        <f t="shared" si="24"/>
        <v>0.41198282591725216</v>
      </c>
      <c r="M172" s="5">
        <f t="shared" si="25"/>
        <v>-0.30253179325632951</v>
      </c>
      <c r="N172" s="7">
        <f t="shared" si="27"/>
        <v>44041.428571428572</v>
      </c>
      <c r="O172" s="7">
        <f t="shared" si="29"/>
        <v>41296.642857142855</v>
      </c>
      <c r="P172" s="8">
        <f t="shared" si="30"/>
        <v>0.86854517748762006</v>
      </c>
      <c r="Q172" s="7"/>
      <c r="R172" s="7"/>
      <c r="S172" s="7"/>
      <c r="T172" s="7"/>
      <c r="U172" s="7"/>
      <c r="V172" s="7"/>
      <c r="W172" s="7"/>
      <c r="X172" s="3" t="s">
        <v>59</v>
      </c>
      <c r="Y172" s="3"/>
      <c r="Z172" s="9">
        <v>7.3948099999999997</v>
      </c>
      <c r="AA172" s="5">
        <f t="shared" si="26"/>
        <v>-0.17431224416420843</v>
      </c>
      <c r="AB172" s="9">
        <f t="shared" si="28"/>
        <v>8.5277942857142843</v>
      </c>
      <c r="AC172" s="9">
        <f t="shared" si="31"/>
        <v>14.319188571428572</v>
      </c>
      <c r="AD172" s="8">
        <f t="shared" si="32"/>
        <v>0.59555010698930255</v>
      </c>
      <c r="AE172" s="3" t="s">
        <v>44</v>
      </c>
      <c r="AF172" s="10">
        <f t="shared" si="33"/>
        <v>14821</v>
      </c>
      <c r="AG172" s="11">
        <f t="shared" si="34"/>
        <v>0.99703123945752647</v>
      </c>
      <c r="AH172" s="11">
        <f t="shared" si="35"/>
        <v>0.5164266091693942</v>
      </c>
      <c r="AI172" s="3" t="s">
        <v>45</v>
      </c>
      <c r="AJ172" s="3" t="s">
        <v>40</v>
      </c>
      <c r="AK172" s="3" t="s">
        <v>46</v>
      </c>
      <c r="AL172" s="3" t="s">
        <v>47</v>
      </c>
      <c r="AM172" s="3" t="s">
        <v>39</v>
      </c>
    </row>
    <row r="173" spans="1:39" ht="21" customHeight="1">
      <c r="A173" s="4">
        <v>46133</v>
      </c>
      <c r="B173" s="3" t="s">
        <v>39</v>
      </c>
      <c r="C173" s="3" t="s">
        <v>40</v>
      </c>
      <c r="D173" s="4">
        <v>46057</v>
      </c>
      <c r="E173" s="3">
        <v>76</v>
      </c>
      <c r="F173" s="3" t="s">
        <v>57</v>
      </c>
      <c r="G173" s="3" t="s">
        <v>50</v>
      </c>
      <c r="H173" s="3">
        <v>0</v>
      </c>
      <c r="I173" s="7">
        <v>39872</v>
      </c>
      <c r="J173" s="7">
        <v>18260</v>
      </c>
      <c r="K173" s="7">
        <v>21612</v>
      </c>
      <c r="L173" s="5">
        <f t="shared" si="24"/>
        <v>0.45796548956661315</v>
      </c>
      <c r="M173" s="5">
        <f t="shared" si="25"/>
        <v>0.11163153786104596</v>
      </c>
      <c r="N173" s="7">
        <f t="shared" si="27"/>
        <v>43956</v>
      </c>
      <c r="O173" s="7">
        <f t="shared" si="29"/>
        <v>41248.785714285717</v>
      </c>
      <c r="P173" s="8">
        <f t="shared" si="30"/>
        <v>0.96662239407913297</v>
      </c>
      <c r="Q173" s="7"/>
      <c r="R173" s="7"/>
      <c r="S173" s="7"/>
      <c r="T173" s="7"/>
      <c r="U173" s="7"/>
      <c r="V173" s="7"/>
      <c r="W173" s="7"/>
      <c r="X173" s="3" t="s">
        <v>59</v>
      </c>
      <c r="Y173" s="3"/>
      <c r="Z173" s="9">
        <v>6.5754000000000001</v>
      </c>
      <c r="AA173" s="5">
        <f t="shared" si="26"/>
        <v>-0.11080879698058499</v>
      </c>
      <c r="AB173" s="9">
        <f t="shared" si="28"/>
        <v>8.2214728571428584</v>
      </c>
      <c r="AC173" s="9">
        <f t="shared" si="31"/>
        <v>13.729336428571431</v>
      </c>
      <c r="AD173" s="8">
        <f t="shared" si="32"/>
        <v>0.59882521634720565</v>
      </c>
      <c r="AE173" s="3" t="s">
        <v>44</v>
      </c>
      <c r="AF173" s="10">
        <f t="shared" si="33"/>
        <v>17617.25</v>
      </c>
      <c r="AG173" s="11">
        <f t="shared" si="34"/>
        <v>1.0364841277724957</v>
      </c>
      <c r="AH173" s="11">
        <f t="shared" si="35"/>
        <v>0.47893064855751266</v>
      </c>
      <c r="AI173" s="3" t="s">
        <v>45</v>
      </c>
      <c r="AJ173" s="3" t="s">
        <v>40</v>
      </c>
      <c r="AK173" s="3" t="s">
        <v>46</v>
      </c>
      <c r="AL173" s="3" t="s">
        <v>47</v>
      </c>
      <c r="AM173" s="3" t="s">
        <v>39</v>
      </c>
    </row>
    <row r="174" spans="1:39" ht="21" customHeight="1">
      <c r="A174" s="4">
        <v>46134</v>
      </c>
      <c r="B174" s="3" t="s">
        <v>39</v>
      </c>
      <c r="C174" s="3" t="s">
        <v>40</v>
      </c>
      <c r="D174" s="4">
        <v>46057</v>
      </c>
      <c r="E174" s="3">
        <v>77</v>
      </c>
      <c r="F174" s="3" t="s">
        <v>57</v>
      </c>
      <c r="G174" s="3" t="s">
        <v>51</v>
      </c>
      <c r="H174" s="3">
        <v>0</v>
      </c>
      <c r="I174" s="7">
        <v>39235</v>
      </c>
      <c r="J174" s="7">
        <v>17563</v>
      </c>
      <c r="K174" s="7">
        <v>21672</v>
      </c>
      <c r="L174" s="5">
        <f t="shared" si="24"/>
        <v>0.44763603925066903</v>
      </c>
      <c r="M174" s="5">
        <f t="shared" si="25"/>
        <v>-1.5976123595505598E-2</v>
      </c>
      <c r="N174" s="7">
        <f t="shared" si="27"/>
        <v>43673.571428571428</v>
      </c>
      <c r="O174" s="7">
        <f t="shared" si="29"/>
        <v>41225.535714285717</v>
      </c>
      <c r="P174" s="8">
        <f t="shared" si="30"/>
        <v>0.95171595275119869</v>
      </c>
      <c r="Q174" s="7"/>
      <c r="R174" s="7"/>
      <c r="S174" s="7"/>
      <c r="T174" s="7"/>
      <c r="U174" s="7"/>
      <c r="V174" s="7"/>
      <c r="W174" s="7"/>
      <c r="X174" s="3" t="s">
        <v>59</v>
      </c>
      <c r="Y174" s="3"/>
      <c r="Z174" s="9">
        <v>7.1036000000000001</v>
      </c>
      <c r="AA174" s="5">
        <f t="shared" si="26"/>
        <v>8.0329713781670975E-2</v>
      </c>
      <c r="AB174" s="9">
        <f t="shared" si="28"/>
        <v>8.0609357142857139</v>
      </c>
      <c r="AC174" s="9">
        <f t="shared" si="31"/>
        <v>13.258985714285716</v>
      </c>
      <c r="AD174" s="8">
        <f t="shared" si="32"/>
        <v>0.60796020811762153</v>
      </c>
      <c r="AE174" s="3" t="s">
        <v>44</v>
      </c>
      <c r="AF174" s="10">
        <f t="shared" si="33"/>
        <v>16392</v>
      </c>
      <c r="AG174" s="11">
        <f t="shared" si="34"/>
        <v>1.0714372864812103</v>
      </c>
      <c r="AH174" s="11">
        <f t="shared" si="35"/>
        <v>0.53575742165151607</v>
      </c>
      <c r="AI174" s="3" t="s">
        <v>45</v>
      </c>
      <c r="AJ174" s="3" t="s">
        <v>40</v>
      </c>
      <c r="AK174" s="3" t="s">
        <v>46</v>
      </c>
      <c r="AL174" s="3" t="s">
        <v>47</v>
      </c>
      <c r="AM174" s="3" t="s">
        <v>39</v>
      </c>
    </row>
    <row r="175" spans="1:39" ht="21" customHeight="1">
      <c r="A175" s="4">
        <v>46135</v>
      </c>
      <c r="B175" s="3" t="s">
        <v>39</v>
      </c>
      <c r="C175" s="3" t="s">
        <v>40</v>
      </c>
      <c r="D175" s="4">
        <v>46057</v>
      </c>
      <c r="E175" s="3">
        <v>78</v>
      </c>
      <c r="F175" s="3" t="s">
        <v>57</v>
      </c>
      <c r="G175" s="3" t="s">
        <v>52</v>
      </c>
      <c r="H175" s="3">
        <v>0</v>
      </c>
      <c r="I175" s="7">
        <v>41240</v>
      </c>
      <c r="J175" s="7">
        <v>19446</v>
      </c>
      <c r="K175" s="7">
        <v>21794</v>
      </c>
      <c r="L175" s="5">
        <f t="shared" si="24"/>
        <v>0.47153249272550923</v>
      </c>
      <c r="M175" s="5">
        <f t="shared" si="25"/>
        <v>5.1102332101440107E-2</v>
      </c>
      <c r="N175" s="7">
        <f t="shared" si="27"/>
        <v>43453.571428571428</v>
      </c>
      <c r="O175" s="7">
        <f t="shared" si="29"/>
        <v>41203.785714285717</v>
      </c>
      <c r="P175" s="8">
        <f t="shared" si="30"/>
        <v>1.0008789067578741</v>
      </c>
      <c r="Q175" s="7"/>
      <c r="R175" s="7"/>
      <c r="S175" s="7"/>
      <c r="T175" s="7"/>
      <c r="U175" s="7"/>
      <c r="V175" s="7"/>
      <c r="W175" s="7"/>
      <c r="X175" s="3" t="s">
        <v>59</v>
      </c>
      <c r="Y175" s="3"/>
      <c r="Z175" s="9">
        <v>6.4146700000000001</v>
      </c>
      <c r="AA175" s="5">
        <f t="shared" si="26"/>
        <v>-9.6983219775888307E-2</v>
      </c>
      <c r="AB175" s="9">
        <f t="shared" si="28"/>
        <v>7.8040400000000005</v>
      </c>
      <c r="AC175" s="9">
        <f t="shared" si="31"/>
        <v>12.740725714285714</v>
      </c>
      <c r="AD175" s="8">
        <f t="shared" si="32"/>
        <v>0.61252711776454094</v>
      </c>
      <c r="AE175" s="3" t="s">
        <v>44</v>
      </c>
      <c r="AF175" s="10">
        <f t="shared" si="33"/>
        <v>17068</v>
      </c>
      <c r="AG175" s="11">
        <f t="shared" si="34"/>
        <v>1.1393250527302554</v>
      </c>
      <c r="AH175" s="11">
        <f t="shared" si="35"/>
        <v>0.50347759961643812</v>
      </c>
      <c r="AI175" s="3" t="s">
        <v>45</v>
      </c>
      <c r="AJ175" s="3" t="s">
        <v>40</v>
      </c>
      <c r="AK175" s="3" t="s">
        <v>46</v>
      </c>
      <c r="AL175" s="3" t="s">
        <v>47</v>
      </c>
      <c r="AM175" s="3" t="s">
        <v>39</v>
      </c>
    </row>
    <row r="176" spans="1:39" ht="21" customHeight="1">
      <c r="A176" s="4">
        <v>46136</v>
      </c>
      <c r="B176" s="3" t="s">
        <v>39</v>
      </c>
      <c r="C176" s="3" t="s">
        <v>40</v>
      </c>
      <c r="D176" s="4">
        <v>46057</v>
      </c>
      <c r="E176" s="3">
        <v>79</v>
      </c>
      <c r="F176" s="3" t="s">
        <v>57</v>
      </c>
      <c r="G176" s="3" t="s">
        <v>53</v>
      </c>
      <c r="H176" s="3">
        <v>0</v>
      </c>
      <c r="I176" s="7">
        <v>57876</v>
      </c>
      <c r="J176" s="7">
        <v>34475</v>
      </c>
      <c r="K176" s="7">
        <v>23401</v>
      </c>
      <c r="L176" s="5">
        <f t="shared" si="24"/>
        <v>0.59567005321722299</v>
      </c>
      <c r="M176" s="5">
        <f t="shared" si="25"/>
        <v>0.4033947623666343</v>
      </c>
      <c r="N176" s="7">
        <f t="shared" si="27"/>
        <v>45611.571428571428</v>
      </c>
      <c r="O176" s="7">
        <f t="shared" si="29"/>
        <v>41219</v>
      </c>
      <c r="P176" s="8">
        <f t="shared" si="30"/>
        <v>1.4041097552099759</v>
      </c>
      <c r="Q176" s="7"/>
      <c r="R176" s="7"/>
      <c r="S176" s="7"/>
      <c r="T176" s="7"/>
      <c r="U176" s="7"/>
      <c r="V176" s="7"/>
      <c r="W176" s="7"/>
      <c r="X176" s="3" t="s">
        <v>59</v>
      </c>
      <c r="Y176" s="3"/>
      <c r="Z176" s="9">
        <v>6.8841999999999999</v>
      </c>
      <c r="AA176" s="5">
        <f t="shared" si="26"/>
        <v>7.3196282895301001E-2</v>
      </c>
      <c r="AB176" s="9">
        <f t="shared" si="28"/>
        <v>7.5607957142857147</v>
      </c>
      <c r="AC176" s="9">
        <f t="shared" si="31"/>
        <v>12.306591785714286</v>
      </c>
      <c r="AD176" s="8">
        <f t="shared" si="32"/>
        <v>0.61436958712341649</v>
      </c>
      <c r="AE176" s="3" t="s">
        <v>44</v>
      </c>
      <c r="AF176" s="10">
        <f t="shared" si="33"/>
        <v>19336.5</v>
      </c>
      <c r="AG176" s="11">
        <f t="shared" si="34"/>
        <v>1.782897628836656</v>
      </c>
      <c r="AH176" s="11">
        <f t="shared" si="35"/>
        <v>0.55939126931887861</v>
      </c>
      <c r="AI176" s="3" t="s">
        <v>45</v>
      </c>
      <c r="AJ176" s="3" t="s">
        <v>40</v>
      </c>
      <c r="AK176" s="3" t="s">
        <v>46</v>
      </c>
      <c r="AL176" s="3" t="s">
        <v>47</v>
      </c>
      <c r="AM176" s="3" t="s">
        <v>39</v>
      </c>
    </row>
    <row r="177" spans="1:39" ht="21" customHeight="1">
      <c r="A177" s="4">
        <v>46137</v>
      </c>
      <c r="B177" s="3" t="s">
        <v>39</v>
      </c>
      <c r="C177" s="3" t="s">
        <v>40</v>
      </c>
      <c r="D177" s="4">
        <v>46057</v>
      </c>
      <c r="E177" s="3">
        <v>80</v>
      </c>
      <c r="F177" s="3" t="s">
        <v>57</v>
      </c>
      <c r="G177" s="3" t="s">
        <v>42</v>
      </c>
      <c r="H177" s="3">
        <v>1</v>
      </c>
      <c r="I177" s="7">
        <v>72978</v>
      </c>
      <c r="J177" s="7">
        <v>52129</v>
      </c>
      <c r="K177" s="7">
        <v>20850</v>
      </c>
      <c r="L177" s="5">
        <f t="shared" si="24"/>
        <v>0.71431116226808078</v>
      </c>
      <c r="M177" s="5">
        <f t="shared" si="25"/>
        <v>0.26093717603151556</v>
      </c>
      <c r="N177" s="7">
        <f t="shared" si="27"/>
        <v>48356.428571428572</v>
      </c>
      <c r="O177" s="7">
        <f t="shared" si="29"/>
        <v>41735.357142857145</v>
      </c>
      <c r="P177" s="8">
        <f t="shared" si="30"/>
        <v>1.7485893255975149</v>
      </c>
      <c r="Q177" s="7"/>
      <c r="R177" s="7"/>
      <c r="S177" s="7"/>
      <c r="T177" s="7"/>
      <c r="U177" s="7"/>
      <c r="V177" s="7"/>
      <c r="W177" s="7"/>
      <c r="X177" s="3" t="s">
        <v>59</v>
      </c>
      <c r="Y177" s="3"/>
      <c r="Z177" s="9">
        <v>8.4806799999999996</v>
      </c>
      <c r="AA177" s="5">
        <f t="shared" si="26"/>
        <v>0.23190494175067533</v>
      </c>
      <c r="AB177" s="9">
        <f t="shared" si="28"/>
        <v>7.4013285714285715</v>
      </c>
      <c r="AC177" s="9">
        <f t="shared" si="31"/>
        <v>11.95518214285714</v>
      </c>
      <c r="AD177" s="8">
        <f t="shared" si="32"/>
        <v>0.61908956994441455</v>
      </c>
      <c r="AE177" s="3" t="s">
        <v>44</v>
      </c>
      <c r="AF177" s="10">
        <f t="shared" si="33"/>
        <v>30583</v>
      </c>
      <c r="AG177" s="11">
        <f t="shared" si="34"/>
        <v>1.7045090409704737</v>
      </c>
      <c r="AH177" s="11">
        <f t="shared" si="35"/>
        <v>0.70937271374547395</v>
      </c>
      <c r="AI177" s="3" t="s">
        <v>45</v>
      </c>
      <c r="AJ177" s="3" t="s">
        <v>40</v>
      </c>
      <c r="AK177" s="3" t="s">
        <v>46</v>
      </c>
      <c r="AL177" s="3" t="s">
        <v>47</v>
      </c>
      <c r="AM177" s="3" t="s">
        <v>39</v>
      </c>
    </row>
    <row r="178" spans="1:39" ht="21" customHeight="1">
      <c r="A178" s="4">
        <v>46138</v>
      </c>
      <c r="B178" s="3" t="s">
        <v>39</v>
      </c>
      <c r="C178" s="3" t="s">
        <v>40</v>
      </c>
      <c r="D178" s="4">
        <v>46057</v>
      </c>
      <c r="E178" s="3">
        <v>81</v>
      </c>
      <c r="F178" s="3" t="s">
        <v>57</v>
      </c>
      <c r="G178" s="3" t="s">
        <v>48</v>
      </c>
      <c r="H178" s="3">
        <v>1</v>
      </c>
      <c r="I178" s="7">
        <v>63948</v>
      </c>
      <c r="J178" s="7">
        <v>43894</v>
      </c>
      <c r="K178" s="7">
        <v>20055</v>
      </c>
      <c r="L178" s="5">
        <f t="shared" si="24"/>
        <v>0.68640145117908302</v>
      </c>
      <c r="M178" s="5">
        <f t="shared" si="25"/>
        <v>-0.12373592041437143</v>
      </c>
      <c r="N178" s="7">
        <f t="shared" si="27"/>
        <v>50145.285714285717</v>
      </c>
      <c r="O178" s="7">
        <f t="shared" si="29"/>
        <v>42587.714285714283</v>
      </c>
      <c r="P178" s="8">
        <f t="shared" si="30"/>
        <v>1.5015598059802626</v>
      </c>
      <c r="Q178" s="7"/>
      <c r="R178" s="7"/>
      <c r="S178" s="7"/>
      <c r="T178" s="7"/>
      <c r="U178" s="7"/>
      <c r="V178" s="7"/>
      <c r="W178" s="7"/>
      <c r="X178" s="3" t="s">
        <v>59</v>
      </c>
      <c r="Y178" s="3"/>
      <c r="Z178" s="9">
        <v>7.5165899999999999</v>
      </c>
      <c r="AA178" s="5">
        <f t="shared" si="26"/>
        <v>-0.1136807425819627</v>
      </c>
      <c r="AB178" s="9">
        <f t="shared" si="28"/>
        <v>7.1957071428571435</v>
      </c>
      <c r="AC178" s="9">
        <f t="shared" si="31"/>
        <v>11.496302142857143</v>
      </c>
      <c r="AD178" s="8">
        <f t="shared" si="32"/>
        <v>0.6259149292912386</v>
      </c>
      <c r="AE178" s="3" t="s">
        <v>44</v>
      </c>
      <c r="AF178" s="10">
        <f t="shared" si="33"/>
        <v>28171.5</v>
      </c>
      <c r="AG178" s="11">
        <f t="shared" si="34"/>
        <v>1.5580994977193263</v>
      </c>
      <c r="AH178" s="11">
        <f t="shared" si="35"/>
        <v>0.65382676156177666</v>
      </c>
      <c r="AI178" s="3" t="s">
        <v>45</v>
      </c>
      <c r="AJ178" s="3" t="s">
        <v>40</v>
      </c>
      <c r="AK178" s="3" t="s">
        <v>46</v>
      </c>
      <c r="AL178" s="3" t="s">
        <v>47</v>
      </c>
      <c r="AM178" s="3" t="s">
        <v>39</v>
      </c>
    </row>
    <row r="179" spans="1:39" ht="21" customHeight="1">
      <c r="A179" s="4">
        <v>46139</v>
      </c>
      <c r="B179" s="3" t="s">
        <v>39</v>
      </c>
      <c r="C179" s="3" t="s">
        <v>40</v>
      </c>
      <c r="D179" s="4">
        <v>46057</v>
      </c>
      <c r="E179" s="3">
        <v>82</v>
      </c>
      <c r="F179" s="3" t="s">
        <v>57</v>
      </c>
      <c r="G179" s="3" t="s">
        <v>49</v>
      </c>
      <c r="H179" s="3">
        <v>0</v>
      </c>
      <c r="I179" s="7">
        <v>37278</v>
      </c>
      <c r="J179" s="7">
        <v>16037</v>
      </c>
      <c r="K179" s="7">
        <v>21242</v>
      </c>
      <c r="L179" s="5">
        <f t="shared" si="24"/>
        <v>0.43020011803208325</v>
      </c>
      <c r="M179" s="5">
        <f t="shared" si="25"/>
        <v>-0.41705760930756242</v>
      </c>
      <c r="N179" s="7">
        <f t="shared" si="27"/>
        <v>50346.714285714283</v>
      </c>
      <c r="O179" s="7">
        <f t="shared" si="29"/>
        <v>43218.214285714283</v>
      </c>
      <c r="P179" s="8">
        <f t="shared" si="30"/>
        <v>0.8625529910504004</v>
      </c>
      <c r="Q179" s="7"/>
      <c r="R179" s="7"/>
      <c r="S179" s="7"/>
      <c r="T179" s="7"/>
      <c r="U179" s="7"/>
      <c r="V179" s="7"/>
      <c r="W179" s="7"/>
      <c r="X179" s="3" t="s">
        <v>59</v>
      </c>
      <c r="Y179" s="3"/>
      <c r="Z179" s="9">
        <v>6.1583800000000002</v>
      </c>
      <c r="AA179" s="5">
        <f t="shared" si="26"/>
        <v>-0.18069496939436624</v>
      </c>
      <c r="AB179" s="9">
        <f t="shared" si="28"/>
        <v>7.0190742857142867</v>
      </c>
      <c r="AC179" s="9">
        <f t="shared" si="31"/>
        <v>11.026825000000002</v>
      </c>
      <c r="AD179" s="8">
        <f t="shared" si="32"/>
        <v>0.63654535967645132</v>
      </c>
      <c r="AE179" s="3" t="s">
        <v>44</v>
      </c>
      <c r="AF179" s="10">
        <f t="shared" si="33"/>
        <v>14660.75</v>
      </c>
      <c r="AG179" s="11">
        <f t="shared" si="34"/>
        <v>1.0938730965332606</v>
      </c>
      <c r="AH179" s="11">
        <f t="shared" si="35"/>
        <v>0.55849077136891168</v>
      </c>
      <c r="AI179" s="3" t="s">
        <v>45</v>
      </c>
      <c r="AJ179" s="3" t="s">
        <v>40</v>
      </c>
      <c r="AK179" s="3" t="s">
        <v>46</v>
      </c>
      <c r="AL179" s="3" t="s">
        <v>47</v>
      </c>
      <c r="AM179" s="3" t="s">
        <v>39</v>
      </c>
    </row>
    <row r="180" spans="1:39" ht="21" customHeight="1">
      <c r="A180" s="4">
        <v>46140</v>
      </c>
      <c r="B180" s="3" t="s">
        <v>39</v>
      </c>
      <c r="C180" s="3" t="s">
        <v>40</v>
      </c>
      <c r="D180" s="4">
        <v>46057</v>
      </c>
      <c r="E180" s="3">
        <v>83</v>
      </c>
      <c r="F180" s="3" t="s">
        <v>57</v>
      </c>
      <c r="G180" s="3" t="s">
        <v>50</v>
      </c>
      <c r="H180" s="3">
        <v>0</v>
      </c>
      <c r="I180" s="7">
        <v>38612</v>
      </c>
      <c r="J180" s="7">
        <v>17605</v>
      </c>
      <c r="K180" s="7">
        <v>21007</v>
      </c>
      <c r="L180" s="5">
        <f t="shared" si="24"/>
        <v>0.45594633792603334</v>
      </c>
      <c r="M180" s="5">
        <f t="shared" si="25"/>
        <v>3.5785181608455341E-2</v>
      </c>
      <c r="N180" s="7">
        <f t="shared" si="27"/>
        <v>50166.714285714283</v>
      </c>
      <c r="O180" s="7">
        <f t="shared" si="29"/>
        <v>43189.928571428572</v>
      </c>
      <c r="P180" s="8">
        <f t="shared" si="30"/>
        <v>0.89400472001574438</v>
      </c>
      <c r="Q180" s="7"/>
      <c r="R180" s="7"/>
      <c r="S180" s="7"/>
      <c r="T180" s="7"/>
      <c r="U180" s="7"/>
      <c r="V180" s="7"/>
      <c r="W180" s="7"/>
      <c r="X180" s="3" t="s">
        <v>59</v>
      </c>
      <c r="Y180" s="3"/>
      <c r="Z180" s="9">
        <v>5.6142700000000003</v>
      </c>
      <c r="AA180" s="5">
        <f t="shared" si="26"/>
        <v>-8.835278108853295E-2</v>
      </c>
      <c r="AB180" s="9">
        <f t="shared" si="28"/>
        <v>6.8817700000000004</v>
      </c>
      <c r="AC180" s="9">
        <f t="shared" si="31"/>
        <v>10.657338928571431</v>
      </c>
      <c r="AD180" s="8">
        <f t="shared" si="32"/>
        <v>0.64573061306613355</v>
      </c>
      <c r="AE180" s="3" t="s">
        <v>44</v>
      </c>
      <c r="AF180" s="10">
        <f t="shared" si="33"/>
        <v>17618.25</v>
      </c>
      <c r="AG180" s="11">
        <f t="shared" si="34"/>
        <v>0.99924793892696495</v>
      </c>
      <c r="AH180" s="11">
        <f t="shared" si="35"/>
        <v>0.52679848484020841</v>
      </c>
      <c r="AI180" s="3" t="s">
        <v>45</v>
      </c>
      <c r="AJ180" s="3" t="s">
        <v>40</v>
      </c>
      <c r="AK180" s="3" t="s">
        <v>46</v>
      </c>
      <c r="AL180" s="3" t="s">
        <v>47</v>
      </c>
      <c r="AM180" s="3" t="s">
        <v>39</v>
      </c>
    </row>
    <row r="181" spans="1:39" ht="21" customHeight="1">
      <c r="A181" s="4">
        <v>46141</v>
      </c>
      <c r="B181" s="3" t="s">
        <v>39</v>
      </c>
      <c r="C181" s="3" t="s">
        <v>40</v>
      </c>
      <c r="D181" s="4">
        <v>46057</v>
      </c>
      <c r="E181" s="3">
        <v>84</v>
      </c>
      <c r="F181" s="3" t="s">
        <v>57</v>
      </c>
      <c r="G181" s="3" t="s">
        <v>51</v>
      </c>
      <c r="H181" s="3">
        <v>0</v>
      </c>
      <c r="I181" s="7">
        <v>40806</v>
      </c>
      <c r="J181" s="7">
        <v>19068</v>
      </c>
      <c r="K181" s="7">
        <v>21738</v>
      </c>
      <c r="L181" s="5">
        <f t="shared" si="24"/>
        <v>0.46728422290839583</v>
      </c>
      <c r="M181" s="5">
        <f t="shared" si="25"/>
        <v>5.6821713456956413E-2</v>
      </c>
      <c r="N181" s="7">
        <f t="shared" si="27"/>
        <v>50391.142857142855</v>
      </c>
      <c r="O181" s="7">
        <f t="shared" si="29"/>
        <v>43175.428571428572</v>
      </c>
      <c r="P181" s="8">
        <f t="shared" si="30"/>
        <v>0.94512090210040101</v>
      </c>
      <c r="Q181" s="7"/>
      <c r="R181" s="7"/>
      <c r="S181" s="7"/>
      <c r="T181" s="7"/>
      <c r="U181" s="7"/>
      <c r="V181" s="7"/>
      <c r="W181" s="7"/>
      <c r="X181" s="3" t="s">
        <v>59</v>
      </c>
      <c r="Y181" s="3"/>
      <c r="Z181" s="9">
        <v>8.3426399999999994</v>
      </c>
      <c r="AA181" s="5">
        <f t="shared" si="26"/>
        <v>0.48597057141890199</v>
      </c>
      <c r="AB181" s="9">
        <f t="shared" si="28"/>
        <v>7.0587757142857139</v>
      </c>
      <c r="AC181" s="9">
        <f t="shared" si="31"/>
        <v>10.365220714285714</v>
      </c>
      <c r="AD181" s="8">
        <f t="shared" si="32"/>
        <v>0.68100582793736941</v>
      </c>
      <c r="AE181" s="3" t="s">
        <v>44</v>
      </c>
      <c r="AF181" s="10">
        <f t="shared" si="33"/>
        <v>16293.25</v>
      </c>
      <c r="AG181" s="11">
        <f t="shared" si="34"/>
        <v>1.1703005845979164</v>
      </c>
      <c r="AH181" s="11">
        <f t="shared" si="35"/>
        <v>0.80486853391379087</v>
      </c>
      <c r="AI181" s="3" t="s">
        <v>45</v>
      </c>
      <c r="AJ181" s="3" t="s">
        <v>40</v>
      </c>
      <c r="AK181" s="3" t="s">
        <v>46</v>
      </c>
      <c r="AL181" s="3" t="s">
        <v>47</v>
      </c>
      <c r="AM181" s="3" t="s">
        <v>39</v>
      </c>
    </row>
    <row r="182" spans="1:39" ht="21" customHeight="1">
      <c r="A182" s="4">
        <v>46142</v>
      </c>
      <c r="B182" s="3" t="s">
        <v>39</v>
      </c>
      <c r="C182" s="3" t="s">
        <v>40</v>
      </c>
      <c r="D182" s="4">
        <v>46057</v>
      </c>
      <c r="E182" s="3">
        <v>85</v>
      </c>
      <c r="F182" s="3" t="s">
        <v>57</v>
      </c>
      <c r="G182" s="3" t="s">
        <v>52</v>
      </c>
      <c r="H182" s="3">
        <v>0</v>
      </c>
      <c r="I182" s="7">
        <v>44768</v>
      </c>
      <c r="J182" s="7">
        <v>22978</v>
      </c>
      <c r="K182" s="7">
        <v>21791</v>
      </c>
      <c r="L182" s="5">
        <f t="shared" si="24"/>
        <v>0.5132684060042888</v>
      </c>
      <c r="M182" s="5">
        <f t="shared" si="25"/>
        <v>9.7093564671862032E-2</v>
      </c>
      <c r="N182" s="7">
        <f t="shared" si="27"/>
        <v>50895.142857142855</v>
      </c>
      <c r="O182" s="7">
        <f t="shared" si="29"/>
        <v>43428.928571428572</v>
      </c>
      <c r="P182" s="8">
        <f t="shared" si="30"/>
        <v>1.0308336280129275</v>
      </c>
      <c r="Q182" s="7"/>
      <c r="R182" s="7"/>
      <c r="S182" s="7"/>
      <c r="T182" s="7"/>
      <c r="U182" s="7"/>
      <c r="V182" s="7"/>
      <c r="W182" s="7"/>
      <c r="X182" s="3" t="s">
        <v>59</v>
      </c>
      <c r="Y182" s="3"/>
      <c r="Z182" s="9">
        <v>8.5453499999999991</v>
      </c>
      <c r="AA182" s="5">
        <f t="shared" si="26"/>
        <v>2.4298063922211677E-2</v>
      </c>
      <c r="AB182" s="9">
        <f t="shared" si="28"/>
        <v>7.3631585714285706</v>
      </c>
      <c r="AC182" s="9">
        <f t="shared" si="31"/>
        <v>10.179372142857144</v>
      </c>
      <c r="AD182" s="8">
        <f t="shared" si="32"/>
        <v>0.72334113225198204</v>
      </c>
      <c r="AE182" s="3" t="s">
        <v>44</v>
      </c>
      <c r="AF182" s="10">
        <f t="shared" si="33"/>
        <v>17203.5</v>
      </c>
      <c r="AG182" s="11">
        <f t="shared" si="34"/>
        <v>1.3356584415961867</v>
      </c>
      <c r="AH182" s="11">
        <f t="shared" si="35"/>
        <v>0.83947711902803979</v>
      </c>
      <c r="AI182" s="3" t="s">
        <v>45</v>
      </c>
      <c r="AJ182" s="3" t="s">
        <v>40</v>
      </c>
      <c r="AK182" s="3" t="s">
        <v>46</v>
      </c>
      <c r="AL182" s="3" t="s">
        <v>47</v>
      </c>
      <c r="AM182" s="3" t="s">
        <v>39</v>
      </c>
    </row>
    <row r="183" spans="1:39" ht="21" customHeight="1">
      <c r="A183" s="4">
        <v>46143</v>
      </c>
      <c r="B183" s="3" t="s">
        <v>39</v>
      </c>
      <c r="C183" s="3" t="s">
        <v>40</v>
      </c>
      <c r="D183" s="4">
        <v>46057</v>
      </c>
      <c r="E183" s="3">
        <v>86</v>
      </c>
      <c r="F183" s="3" t="s">
        <v>57</v>
      </c>
      <c r="G183" s="3" t="s">
        <v>53</v>
      </c>
      <c r="H183" s="3">
        <v>0</v>
      </c>
      <c r="I183" s="7">
        <v>72768</v>
      </c>
      <c r="J183" s="7">
        <v>53182</v>
      </c>
      <c r="K183" s="7">
        <v>19586</v>
      </c>
      <c r="L183" s="5">
        <f t="shared" si="24"/>
        <v>0.73084322779243627</v>
      </c>
      <c r="M183" s="5">
        <f t="shared" si="25"/>
        <v>0.62544674767691211</v>
      </c>
      <c r="N183" s="7">
        <f t="shared" si="27"/>
        <v>53022.571428571428</v>
      </c>
      <c r="O183" s="7">
        <f t="shared" si="29"/>
        <v>43792.928571428572</v>
      </c>
      <c r="P183" s="8">
        <f t="shared" si="30"/>
        <v>1.6616381314008621</v>
      </c>
      <c r="Q183" s="7"/>
      <c r="R183" s="7"/>
      <c r="S183" s="7"/>
      <c r="T183" s="7"/>
      <c r="U183" s="7"/>
      <c r="V183" s="7"/>
      <c r="W183" s="7"/>
      <c r="X183" s="3" t="s">
        <v>60</v>
      </c>
      <c r="Y183" s="3"/>
      <c r="Z183" s="9">
        <v>11.077859999999999</v>
      </c>
      <c r="AA183" s="5">
        <f t="shared" si="26"/>
        <v>0.29636117888676305</v>
      </c>
      <c r="AB183" s="9">
        <f t="shared" si="28"/>
        <v>7.9622528571428575</v>
      </c>
      <c r="AC183" s="9">
        <f t="shared" si="31"/>
        <v>10.031032142857143</v>
      </c>
      <c r="AD183" s="8">
        <f t="shared" si="32"/>
        <v>0.79376207191326631</v>
      </c>
      <c r="AE183" s="3" t="s">
        <v>44</v>
      </c>
      <c r="AF183" s="10">
        <f t="shared" si="33"/>
        <v>22592.25</v>
      </c>
      <c r="AG183" s="11">
        <f t="shared" si="34"/>
        <v>2.353993072845777</v>
      </c>
      <c r="AH183" s="11">
        <f t="shared" si="35"/>
        <v>1.1043589375683815</v>
      </c>
      <c r="AI183" s="3" t="s">
        <v>45</v>
      </c>
      <c r="AJ183" s="3" t="s">
        <v>40</v>
      </c>
      <c r="AK183" s="3" t="s">
        <v>46</v>
      </c>
      <c r="AL183" s="3" t="s">
        <v>47</v>
      </c>
      <c r="AM183" s="3" t="s">
        <v>39</v>
      </c>
    </row>
    <row r="184" spans="1:39" ht="21" customHeight="1">
      <c r="A184" s="4">
        <v>46144</v>
      </c>
      <c r="B184" s="3" t="s">
        <v>39</v>
      </c>
      <c r="C184" s="3" t="s">
        <v>40</v>
      </c>
      <c r="D184" s="4">
        <v>46057</v>
      </c>
      <c r="E184" s="3">
        <v>87</v>
      </c>
      <c r="F184" s="3" t="s">
        <v>57</v>
      </c>
      <c r="G184" s="3" t="s">
        <v>42</v>
      </c>
      <c r="H184" s="3">
        <v>1</v>
      </c>
      <c r="I184" s="7">
        <v>81378</v>
      </c>
      <c r="J184" s="7">
        <v>62580</v>
      </c>
      <c r="K184" s="7">
        <v>18798</v>
      </c>
      <c r="L184" s="5">
        <f t="shared" si="24"/>
        <v>0.76900390769003912</v>
      </c>
      <c r="M184" s="5">
        <f t="shared" si="25"/>
        <v>0.1183212401055409</v>
      </c>
      <c r="N184" s="7">
        <f t="shared" si="27"/>
        <v>54222.571428571428</v>
      </c>
      <c r="O184" s="7">
        <f t="shared" si="29"/>
        <v>45020.928571428572</v>
      </c>
      <c r="P184" s="8">
        <f t="shared" si="30"/>
        <v>1.8075593414491355</v>
      </c>
      <c r="Q184" s="7"/>
      <c r="R184" s="7"/>
      <c r="S184" s="7"/>
      <c r="T184" s="7"/>
      <c r="U184" s="7"/>
      <c r="V184" s="7"/>
      <c r="W184" s="7"/>
      <c r="X184" s="3" t="s">
        <v>60</v>
      </c>
      <c r="Y184" s="3"/>
      <c r="Z184" s="9">
        <v>10.41367</v>
      </c>
      <c r="AA184" s="5">
        <f t="shared" si="26"/>
        <v>-5.9956525899406587E-2</v>
      </c>
      <c r="AB184" s="9">
        <f t="shared" si="28"/>
        <v>8.2383942857142838</v>
      </c>
      <c r="AC184" s="9">
        <f t="shared" si="31"/>
        <v>9.9228442857142856</v>
      </c>
      <c r="AD184" s="8">
        <f t="shared" si="32"/>
        <v>0.83024524506294328</v>
      </c>
      <c r="AE184" s="3" t="s">
        <v>44</v>
      </c>
      <c r="AF184" s="10">
        <f t="shared" si="33"/>
        <v>36077.25</v>
      </c>
      <c r="AG184" s="11">
        <f t="shared" si="34"/>
        <v>1.7346111469139138</v>
      </c>
      <c r="AH184" s="11">
        <f t="shared" si="35"/>
        <v>1.0494642161212129</v>
      </c>
      <c r="AI184" s="3" t="s">
        <v>45</v>
      </c>
      <c r="AJ184" s="3" t="s">
        <v>40</v>
      </c>
      <c r="AK184" s="3" t="s">
        <v>46</v>
      </c>
      <c r="AL184" s="3" t="s">
        <v>47</v>
      </c>
      <c r="AM184" s="3" t="s">
        <v>39</v>
      </c>
    </row>
    <row r="185" spans="1:39" ht="21" customHeight="1">
      <c r="A185" s="4">
        <v>46145</v>
      </c>
      <c r="B185" s="3" t="s">
        <v>39</v>
      </c>
      <c r="C185" s="3" t="s">
        <v>40</v>
      </c>
      <c r="D185" s="4">
        <v>46057</v>
      </c>
      <c r="E185" s="3">
        <v>88</v>
      </c>
      <c r="F185" s="3" t="s">
        <v>57</v>
      </c>
      <c r="G185" s="3" t="s">
        <v>48</v>
      </c>
      <c r="H185" s="3">
        <v>1</v>
      </c>
      <c r="I185" s="7">
        <v>62926</v>
      </c>
      <c r="J185" s="7">
        <v>45605</v>
      </c>
      <c r="K185" s="7">
        <v>17322</v>
      </c>
      <c r="L185" s="5">
        <f t="shared" si="24"/>
        <v>0.7247401709945015</v>
      </c>
      <c r="M185" s="5">
        <f t="shared" si="25"/>
        <v>-0.22674432893411001</v>
      </c>
      <c r="N185" s="7">
        <f t="shared" si="27"/>
        <v>54076.571428571428</v>
      </c>
      <c r="O185" s="7">
        <f t="shared" si="29"/>
        <v>46418.142857142855</v>
      </c>
      <c r="P185" s="8">
        <f t="shared" si="30"/>
        <v>1.3556337269602097</v>
      </c>
      <c r="Q185" s="7"/>
      <c r="R185" s="7"/>
      <c r="S185" s="7"/>
      <c r="T185" s="7"/>
      <c r="U185" s="7"/>
      <c r="V185" s="7"/>
      <c r="W185" s="7"/>
      <c r="X185" s="3" t="s">
        <v>60</v>
      </c>
      <c r="Y185" s="3"/>
      <c r="Z185" s="9">
        <v>10.46209</v>
      </c>
      <c r="AA185" s="5">
        <f t="shared" si="26"/>
        <v>4.6496576135022227E-3</v>
      </c>
      <c r="AB185" s="9">
        <f t="shared" si="28"/>
        <v>8.659180000000001</v>
      </c>
      <c r="AC185" s="9">
        <f t="shared" si="31"/>
        <v>9.6858096428571425</v>
      </c>
      <c r="AD185" s="8">
        <f t="shared" si="32"/>
        <v>0.89400683260234881</v>
      </c>
      <c r="AE185" s="3" t="s">
        <v>44</v>
      </c>
      <c r="AF185" s="10">
        <f t="shared" si="33"/>
        <v>32272.75</v>
      </c>
      <c r="AG185" s="11">
        <f t="shared" si="34"/>
        <v>1.413111680907267</v>
      </c>
      <c r="AH185" s="11">
        <f t="shared" si="35"/>
        <v>1.0801461504785332</v>
      </c>
      <c r="AI185" s="3" t="s">
        <v>45</v>
      </c>
      <c r="AJ185" s="3" t="s">
        <v>40</v>
      </c>
      <c r="AK185" s="3" t="s">
        <v>46</v>
      </c>
      <c r="AL185" s="3" t="s">
        <v>47</v>
      </c>
      <c r="AM185" s="3" t="s">
        <v>39</v>
      </c>
    </row>
    <row r="186" spans="1:39" ht="21" customHeight="1">
      <c r="A186" s="4">
        <v>46146</v>
      </c>
      <c r="B186" s="3" t="s">
        <v>39</v>
      </c>
      <c r="C186" s="3" t="s">
        <v>40</v>
      </c>
      <c r="D186" s="4">
        <v>46057</v>
      </c>
      <c r="E186" s="3">
        <v>89</v>
      </c>
      <c r="F186" s="3" t="s">
        <v>57</v>
      </c>
      <c r="G186" s="3" t="s">
        <v>49</v>
      </c>
      <c r="H186" s="3">
        <v>0</v>
      </c>
      <c r="I186" s="7">
        <v>54789</v>
      </c>
      <c r="J186" s="7">
        <v>33523</v>
      </c>
      <c r="K186" s="7">
        <v>21266</v>
      </c>
      <c r="L186" s="5">
        <f t="shared" si="24"/>
        <v>0.61185639453174911</v>
      </c>
      <c r="M186" s="5">
        <f t="shared" si="25"/>
        <v>-0.12931061882210848</v>
      </c>
      <c r="N186" s="7">
        <f t="shared" si="27"/>
        <v>56578.142857142855</v>
      </c>
      <c r="O186" s="7">
        <f t="shared" si="29"/>
        <v>47152.857142857145</v>
      </c>
      <c r="P186" s="8">
        <f t="shared" si="30"/>
        <v>1.1619444360287212</v>
      </c>
      <c r="Q186" s="7"/>
      <c r="R186" s="7"/>
      <c r="S186" s="7"/>
      <c r="T186" s="7"/>
      <c r="U186" s="7"/>
      <c r="V186" s="7"/>
      <c r="W186" s="7"/>
      <c r="X186" s="3" t="s">
        <v>60</v>
      </c>
      <c r="Y186" s="3"/>
      <c r="Z186" s="9">
        <v>7.56677</v>
      </c>
      <c r="AA186" s="5">
        <f t="shared" si="26"/>
        <v>-0.27674393930849384</v>
      </c>
      <c r="AB186" s="9">
        <f t="shared" si="28"/>
        <v>8.8603785714285728</v>
      </c>
      <c r="AC186" s="9">
        <f t="shared" si="31"/>
        <v>9.4282549999999983</v>
      </c>
      <c r="AD186" s="8">
        <f t="shared" si="32"/>
        <v>0.93976866041792195</v>
      </c>
      <c r="AE186" s="3" t="s">
        <v>44</v>
      </c>
      <c r="AF186" s="10">
        <f t="shared" si="33"/>
        <v>14555.75</v>
      </c>
      <c r="AG186" s="11">
        <f t="shared" si="34"/>
        <v>2.3030761039451764</v>
      </c>
      <c r="AH186" s="11">
        <f t="shared" si="35"/>
        <v>0.80256314662681494</v>
      </c>
      <c r="AI186" s="3" t="s">
        <v>45</v>
      </c>
      <c r="AJ186" s="3" t="s">
        <v>40</v>
      </c>
      <c r="AK186" s="3" t="s">
        <v>46</v>
      </c>
      <c r="AL186" s="3" t="s">
        <v>47</v>
      </c>
      <c r="AM186" s="3" t="s">
        <v>39</v>
      </c>
    </row>
    <row r="187" spans="1:39" ht="21" customHeight="1">
      <c r="A187" s="4">
        <v>46147</v>
      </c>
      <c r="B187" s="3" t="s">
        <v>39</v>
      </c>
      <c r="C187" s="3" t="s">
        <v>40</v>
      </c>
      <c r="D187" s="4">
        <v>46057</v>
      </c>
      <c r="E187" s="3">
        <v>90</v>
      </c>
      <c r="F187" s="3" t="s">
        <v>57</v>
      </c>
      <c r="G187" s="3" t="s">
        <v>50</v>
      </c>
      <c r="H187" s="3">
        <v>0</v>
      </c>
      <c r="I187" s="7">
        <v>48850</v>
      </c>
      <c r="J187" s="7">
        <v>28388</v>
      </c>
      <c r="K187" s="7">
        <v>20461</v>
      </c>
      <c r="L187" s="5">
        <f t="shared" si="24"/>
        <v>0.5811258955987717</v>
      </c>
      <c r="M187" s="5">
        <f t="shared" si="25"/>
        <v>-0.1083976710653598</v>
      </c>
      <c r="N187" s="7">
        <f t="shared" si="27"/>
        <v>58040.714285714283</v>
      </c>
      <c r="O187" s="7">
        <f t="shared" si="29"/>
        <v>47920.857142857145</v>
      </c>
      <c r="P187" s="8">
        <f t="shared" si="30"/>
        <v>1.0193891118093523</v>
      </c>
      <c r="Q187" s="7"/>
      <c r="R187" s="7"/>
      <c r="S187" s="7"/>
      <c r="T187" s="7"/>
      <c r="U187" s="7"/>
      <c r="V187" s="7"/>
      <c r="W187" s="7"/>
      <c r="X187" s="3" t="s">
        <v>60</v>
      </c>
      <c r="Y187" s="3"/>
      <c r="Z187" s="9">
        <v>6.8745200000000004</v>
      </c>
      <c r="AA187" s="5">
        <f t="shared" si="26"/>
        <v>-9.1485534779040423E-2</v>
      </c>
      <c r="AB187" s="9">
        <f t="shared" si="28"/>
        <v>9.0404142857142862</v>
      </c>
      <c r="AC187" s="9">
        <f t="shared" si="31"/>
        <v>9.2098449999999996</v>
      </c>
      <c r="AD187" s="8">
        <f t="shared" si="32"/>
        <v>0.98160330447627364</v>
      </c>
      <c r="AE187" s="3" t="s">
        <v>44</v>
      </c>
      <c r="AF187" s="10">
        <f t="shared" si="33"/>
        <v>17630.5</v>
      </c>
      <c r="AG187" s="11">
        <f t="shared" si="34"/>
        <v>1.6101642040781601</v>
      </c>
      <c r="AH187" s="11">
        <f t="shared" si="35"/>
        <v>0.74643167175994829</v>
      </c>
      <c r="AI187" s="3" t="s">
        <v>45</v>
      </c>
      <c r="AJ187" s="3" t="s">
        <v>40</v>
      </c>
      <c r="AK187" s="3" t="s">
        <v>46</v>
      </c>
      <c r="AL187" s="3" t="s">
        <v>47</v>
      </c>
      <c r="AM187" s="3" t="s">
        <v>39</v>
      </c>
    </row>
    <row r="188" spans="1:39" ht="21" customHeight="1">
      <c r="A188" s="4">
        <v>46148</v>
      </c>
      <c r="B188" s="3" t="s">
        <v>39</v>
      </c>
      <c r="C188" s="3" t="s">
        <v>40</v>
      </c>
      <c r="D188" s="4">
        <v>46057</v>
      </c>
      <c r="E188" s="3">
        <v>91</v>
      </c>
      <c r="F188" s="3" t="s">
        <v>57</v>
      </c>
      <c r="G188" s="3" t="s">
        <v>51</v>
      </c>
      <c r="H188" s="3">
        <v>0</v>
      </c>
      <c r="I188" s="7">
        <v>37412</v>
      </c>
      <c r="J188" s="7">
        <v>13744</v>
      </c>
      <c r="K188" s="7">
        <v>23667</v>
      </c>
      <c r="L188" s="5">
        <f t="shared" si="24"/>
        <v>0.36736875868705227</v>
      </c>
      <c r="M188" s="5">
        <f t="shared" si="25"/>
        <v>-0.23414534288638689</v>
      </c>
      <c r="N188" s="7">
        <f t="shared" si="27"/>
        <v>57555.857142857145</v>
      </c>
      <c r="O188" s="7">
        <f t="shared" si="29"/>
        <v>48340.642857142855</v>
      </c>
      <c r="P188" s="8">
        <f t="shared" si="30"/>
        <v>0.77392433755092216</v>
      </c>
      <c r="Q188" s="7"/>
      <c r="R188" s="7"/>
      <c r="S188" s="7"/>
      <c r="T188" s="7"/>
      <c r="U188" s="7"/>
      <c r="V188" s="7"/>
      <c r="W188" s="7"/>
      <c r="X188" s="3" t="s">
        <v>60</v>
      </c>
      <c r="Y188" s="3"/>
      <c r="Z188" s="9">
        <v>4.3829399999999996</v>
      </c>
      <c r="AA188" s="5">
        <f t="shared" si="26"/>
        <v>-0.3624369410518844</v>
      </c>
      <c r="AB188" s="9">
        <f t="shared" si="28"/>
        <v>8.4747428571428554</v>
      </c>
      <c r="AC188" s="9">
        <f t="shared" si="31"/>
        <v>9.0521249999999984</v>
      </c>
      <c r="AD188" s="8">
        <f t="shared" si="32"/>
        <v>0.93621584513502154</v>
      </c>
      <c r="AE188" s="3" t="s">
        <v>44</v>
      </c>
      <c r="AF188" s="10">
        <f t="shared" si="33"/>
        <v>17942.75</v>
      </c>
      <c r="AG188" s="11">
        <f t="shared" si="34"/>
        <v>0.76599183514232771</v>
      </c>
      <c r="AH188" s="11">
        <f t="shared" si="35"/>
        <v>0.484189071626828</v>
      </c>
      <c r="AI188" s="3" t="s">
        <v>45</v>
      </c>
      <c r="AJ188" s="3" t="s">
        <v>40</v>
      </c>
      <c r="AK188" s="3" t="s">
        <v>46</v>
      </c>
      <c r="AL188" s="3" t="s">
        <v>47</v>
      </c>
      <c r="AM188" s="3" t="s">
        <v>39</v>
      </c>
    </row>
    <row r="189" spans="1:39" ht="21" customHeight="1">
      <c r="A189" s="4">
        <v>46149</v>
      </c>
      <c r="B189" s="3" t="s">
        <v>39</v>
      </c>
      <c r="C189" s="3" t="s">
        <v>40</v>
      </c>
      <c r="D189" s="4">
        <v>46057</v>
      </c>
      <c r="E189" s="3">
        <v>92</v>
      </c>
      <c r="F189" s="3" t="s">
        <v>57</v>
      </c>
      <c r="G189" s="3" t="s">
        <v>52</v>
      </c>
      <c r="H189" s="3">
        <v>0</v>
      </c>
      <c r="I189" s="7">
        <v>39011</v>
      </c>
      <c r="J189" s="7">
        <v>15365</v>
      </c>
      <c r="K189" s="7">
        <v>23646</v>
      </c>
      <c r="L189" s="5">
        <f t="shared" si="24"/>
        <v>0.39386326933429033</v>
      </c>
      <c r="M189" s="5">
        <f t="shared" si="25"/>
        <v>4.2740297230835056E-2</v>
      </c>
      <c r="N189" s="7">
        <f t="shared" si="27"/>
        <v>56733.428571428572</v>
      </c>
      <c r="O189" s="7">
        <f t="shared" si="29"/>
        <v>48362.642857142855</v>
      </c>
      <c r="P189" s="8">
        <f t="shared" si="30"/>
        <v>0.80663499129345706</v>
      </c>
      <c r="Q189" s="7"/>
      <c r="R189" s="7"/>
      <c r="S189" s="7"/>
      <c r="T189" s="7"/>
      <c r="U189" s="7"/>
      <c r="V189" s="7"/>
      <c r="W189" s="7"/>
      <c r="X189" s="3" t="s">
        <v>60</v>
      </c>
      <c r="Y189" s="3"/>
      <c r="Z189" s="9">
        <v>3.6166800000000001</v>
      </c>
      <c r="AA189" s="5">
        <f t="shared" si="26"/>
        <v>-0.17482785527522615</v>
      </c>
      <c r="AB189" s="9">
        <f t="shared" si="28"/>
        <v>7.7706471428571424</v>
      </c>
      <c r="AC189" s="9">
        <f t="shared" si="31"/>
        <v>8.8043824999999991</v>
      </c>
      <c r="AD189" s="8">
        <f t="shared" si="32"/>
        <v>0.88258854529061448</v>
      </c>
      <c r="AE189" s="3" t="s">
        <v>44</v>
      </c>
      <c r="AF189" s="10">
        <f t="shared" si="33"/>
        <v>19615</v>
      </c>
      <c r="AG189" s="11">
        <f t="shared" si="34"/>
        <v>0.78332908488401731</v>
      </c>
      <c r="AH189" s="11">
        <f t="shared" si="35"/>
        <v>0.41078178963714951</v>
      </c>
      <c r="AI189" s="3" t="s">
        <v>45</v>
      </c>
      <c r="AJ189" s="3" t="s">
        <v>40</v>
      </c>
      <c r="AK189" s="3" t="s">
        <v>46</v>
      </c>
      <c r="AL189" s="3" t="s">
        <v>47</v>
      </c>
      <c r="AM189" s="3" t="s">
        <v>39</v>
      </c>
    </row>
    <row r="190" spans="1:39" ht="21" customHeight="1">
      <c r="A190" s="4">
        <v>46150</v>
      </c>
      <c r="B190" s="3" t="s">
        <v>39</v>
      </c>
      <c r="C190" s="3" t="s">
        <v>40</v>
      </c>
      <c r="D190" s="4">
        <v>46057</v>
      </c>
      <c r="E190" s="3">
        <v>93</v>
      </c>
      <c r="F190" s="3" t="s">
        <v>57</v>
      </c>
      <c r="G190" s="3" t="s">
        <v>53</v>
      </c>
      <c r="H190" s="3">
        <v>0</v>
      </c>
      <c r="I190" s="7">
        <v>42217</v>
      </c>
      <c r="J190" s="7">
        <v>18728</v>
      </c>
      <c r="K190" s="7">
        <v>23488</v>
      </c>
      <c r="L190" s="5">
        <f t="shared" si="24"/>
        <v>0.44361276263116756</v>
      </c>
      <c r="M190" s="5">
        <f t="shared" si="25"/>
        <v>8.2181948681141259E-2</v>
      </c>
      <c r="N190" s="7">
        <f t="shared" si="27"/>
        <v>52369</v>
      </c>
      <c r="O190" s="7">
        <f t="shared" si="29"/>
        <v>48487.25</v>
      </c>
      <c r="P190" s="8">
        <f t="shared" si="30"/>
        <v>0.87068249900747108</v>
      </c>
      <c r="Q190" s="7"/>
      <c r="R190" s="7"/>
      <c r="S190" s="7"/>
      <c r="T190" s="7"/>
      <c r="U190" s="7"/>
      <c r="V190" s="7"/>
      <c r="W190" s="7"/>
      <c r="X190" s="3" t="s">
        <v>60</v>
      </c>
      <c r="Y190" s="3"/>
      <c r="Z190" s="9">
        <v>6.0712999999999999</v>
      </c>
      <c r="AA190" s="5">
        <f t="shared" si="26"/>
        <v>0.67869427209484945</v>
      </c>
      <c r="AB190" s="9">
        <f t="shared" si="28"/>
        <v>7.0554242857142855</v>
      </c>
      <c r="AC190" s="9">
        <f t="shared" si="31"/>
        <v>8.4969417857142826</v>
      </c>
      <c r="AD190" s="8">
        <f t="shared" si="32"/>
        <v>0.83034866704352517</v>
      </c>
      <c r="AE190" s="3" t="s">
        <v>44</v>
      </c>
      <c r="AF190" s="10">
        <f t="shared" si="33"/>
        <v>31709.75</v>
      </c>
      <c r="AG190" s="11">
        <f t="shared" si="34"/>
        <v>0.59060698996365468</v>
      </c>
      <c r="AH190" s="11">
        <f t="shared" si="35"/>
        <v>0.71452766808495027</v>
      </c>
      <c r="AI190" s="3" t="s">
        <v>45</v>
      </c>
      <c r="AJ190" s="3" t="s">
        <v>40</v>
      </c>
      <c r="AK190" s="3" t="s">
        <v>46</v>
      </c>
      <c r="AL190" s="3" t="s">
        <v>47</v>
      </c>
      <c r="AM190" s="3" t="s">
        <v>39</v>
      </c>
    </row>
    <row r="191" spans="1:39" ht="21" customHeight="1">
      <c r="A191" s="4">
        <v>46151</v>
      </c>
      <c r="B191" s="3" t="s">
        <v>39</v>
      </c>
      <c r="C191" s="3" t="s">
        <v>40</v>
      </c>
      <c r="D191" s="4">
        <v>46057</v>
      </c>
      <c r="E191" s="3">
        <v>94</v>
      </c>
      <c r="F191" s="3" t="s">
        <v>57</v>
      </c>
      <c r="G191" s="3" t="s">
        <v>42</v>
      </c>
      <c r="H191" s="3">
        <v>1</v>
      </c>
      <c r="I191" s="7">
        <v>54246</v>
      </c>
      <c r="J191" s="7">
        <v>33988</v>
      </c>
      <c r="K191" s="7">
        <v>20258</v>
      </c>
      <c r="L191" s="5">
        <f t="shared" si="24"/>
        <v>0.6265531099067212</v>
      </c>
      <c r="M191" s="5">
        <f t="shared" si="25"/>
        <v>0.28493261008598436</v>
      </c>
      <c r="N191" s="7">
        <f t="shared" si="27"/>
        <v>48493</v>
      </c>
      <c r="O191" s="7">
        <f t="shared" si="29"/>
        <v>48622.357142857145</v>
      </c>
      <c r="P191" s="8">
        <f t="shared" si="30"/>
        <v>1.1156596098502598</v>
      </c>
      <c r="Q191" s="7"/>
      <c r="R191" s="7"/>
      <c r="S191" s="7"/>
      <c r="T191" s="7"/>
      <c r="U191" s="7"/>
      <c r="V191" s="7"/>
      <c r="W191" s="7"/>
      <c r="X191" s="3" t="s">
        <v>60</v>
      </c>
      <c r="Y191" s="3"/>
      <c r="Z191" s="9">
        <v>10.249129999999999</v>
      </c>
      <c r="AA191" s="5">
        <f t="shared" si="26"/>
        <v>0.68812774858761694</v>
      </c>
      <c r="AB191" s="9">
        <f t="shared" si="28"/>
        <v>7.0319185714285721</v>
      </c>
      <c r="AC191" s="9">
        <f t="shared" si="31"/>
        <v>8.2649889285714284</v>
      </c>
      <c r="AD191" s="8">
        <f t="shared" si="32"/>
        <v>0.85080798440271022</v>
      </c>
      <c r="AE191" s="3" t="s">
        <v>44</v>
      </c>
      <c r="AF191" s="10">
        <f t="shared" si="33"/>
        <v>45718.75</v>
      </c>
      <c r="AG191" s="11">
        <f t="shared" si="34"/>
        <v>0.74341490088858508</v>
      </c>
      <c r="AH191" s="11">
        <f t="shared" si="35"/>
        <v>1.2400657869691207</v>
      </c>
      <c r="AI191" s="3" t="s">
        <v>45</v>
      </c>
      <c r="AJ191" s="3" t="s">
        <v>40</v>
      </c>
      <c r="AK191" s="3" t="s">
        <v>46</v>
      </c>
      <c r="AL191" s="3" t="s">
        <v>47</v>
      </c>
      <c r="AM191" s="3" t="s">
        <v>39</v>
      </c>
    </row>
    <row r="192" spans="1:39" ht="21" customHeight="1">
      <c r="A192" s="4">
        <v>46152</v>
      </c>
      <c r="B192" s="3" t="s">
        <v>39</v>
      </c>
      <c r="C192" s="3" t="s">
        <v>40</v>
      </c>
      <c r="D192" s="4">
        <v>46057</v>
      </c>
      <c r="E192" s="3">
        <v>95</v>
      </c>
      <c r="F192" s="3" t="s">
        <v>57</v>
      </c>
      <c r="G192" s="3" t="s">
        <v>48</v>
      </c>
      <c r="H192" s="3">
        <v>1</v>
      </c>
      <c r="I192" s="7">
        <v>50015</v>
      </c>
      <c r="J192" s="7">
        <v>30516</v>
      </c>
      <c r="K192" s="7">
        <v>19498</v>
      </c>
      <c r="L192" s="5">
        <f t="shared" si="24"/>
        <v>0.61013695891232633</v>
      </c>
      <c r="M192" s="5">
        <f t="shared" si="25"/>
        <v>-7.7996534306676968E-2</v>
      </c>
      <c r="N192" s="7">
        <f t="shared" si="27"/>
        <v>46648.571428571428</v>
      </c>
      <c r="O192" s="7">
        <f t="shared" si="29"/>
        <v>48689.714285714283</v>
      </c>
      <c r="P192" s="8">
        <f t="shared" si="30"/>
        <v>1.0272190078279955</v>
      </c>
      <c r="Q192" s="7"/>
      <c r="R192" s="7"/>
      <c r="S192" s="7"/>
      <c r="T192" s="7"/>
      <c r="U192" s="7"/>
      <c r="V192" s="7"/>
      <c r="W192" s="7"/>
      <c r="X192" s="3" t="s">
        <v>60</v>
      </c>
      <c r="Y192" s="3"/>
      <c r="Z192" s="9">
        <v>6.4649900000000002</v>
      </c>
      <c r="AA192" s="5">
        <f t="shared" si="26"/>
        <v>-0.36921572855452112</v>
      </c>
      <c r="AB192" s="9">
        <f t="shared" si="28"/>
        <v>6.4609042857142853</v>
      </c>
      <c r="AC192" s="9">
        <f t="shared" si="31"/>
        <v>8.039321785714284</v>
      </c>
      <c r="AD192" s="8">
        <f t="shared" si="32"/>
        <v>0.80366285340079113</v>
      </c>
      <c r="AE192" s="3" t="s">
        <v>44</v>
      </c>
      <c r="AF192" s="10">
        <f t="shared" si="33"/>
        <v>37830.75</v>
      </c>
      <c r="AG192" s="11">
        <f t="shared" si="34"/>
        <v>0.80664538768065663</v>
      </c>
      <c r="AH192" s="11">
        <f t="shared" si="35"/>
        <v>0.80417106969000296</v>
      </c>
      <c r="AI192" s="3" t="s">
        <v>45</v>
      </c>
      <c r="AJ192" s="3" t="s">
        <v>40</v>
      </c>
      <c r="AK192" s="3" t="s">
        <v>46</v>
      </c>
      <c r="AL192" s="3" t="s">
        <v>47</v>
      </c>
      <c r="AM192" s="3" t="s">
        <v>39</v>
      </c>
    </row>
    <row r="193" spans="1:39" ht="21" customHeight="1">
      <c r="A193" s="4">
        <v>46153</v>
      </c>
      <c r="B193" s="3" t="s">
        <v>39</v>
      </c>
      <c r="C193" s="3" t="s">
        <v>40</v>
      </c>
      <c r="D193" s="4">
        <v>46057</v>
      </c>
      <c r="E193" s="3">
        <v>96</v>
      </c>
      <c r="F193" s="3" t="s">
        <v>57</v>
      </c>
      <c r="G193" s="3" t="s">
        <v>49</v>
      </c>
      <c r="H193" s="3">
        <v>0</v>
      </c>
      <c r="I193" s="7">
        <v>36320</v>
      </c>
      <c r="J193" s="7">
        <v>13566</v>
      </c>
      <c r="K193" s="7">
        <v>22754</v>
      </c>
      <c r="L193" s="5">
        <f t="shared" si="24"/>
        <v>0.37351321585903086</v>
      </c>
      <c r="M193" s="5">
        <f t="shared" si="25"/>
        <v>-0.27381785464360697</v>
      </c>
      <c r="N193" s="7">
        <f t="shared" si="27"/>
        <v>44010.142857142855</v>
      </c>
      <c r="O193" s="7">
        <f t="shared" si="29"/>
        <v>48750.607142857145</v>
      </c>
      <c r="P193" s="8">
        <f t="shared" si="30"/>
        <v>0.74501636243358138</v>
      </c>
      <c r="Q193" s="7"/>
      <c r="R193" s="7"/>
      <c r="S193" s="7"/>
      <c r="T193" s="7"/>
      <c r="U193" s="7"/>
      <c r="V193" s="7"/>
      <c r="W193" s="7"/>
      <c r="X193" s="3" t="s">
        <v>60</v>
      </c>
      <c r="Y193" s="3"/>
      <c r="Z193" s="9">
        <v>4.2880799999999999</v>
      </c>
      <c r="AA193" s="5">
        <f t="shared" si="26"/>
        <v>-0.33672287196113226</v>
      </c>
      <c r="AB193" s="9">
        <f t="shared" si="28"/>
        <v>5.9925199999999998</v>
      </c>
      <c r="AC193" s="9">
        <f t="shared" si="31"/>
        <v>7.8108546428571417</v>
      </c>
      <c r="AD193" s="8">
        <f t="shared" si="32"/>
        <v>0.76720413757539707</v>
      </c>
      <c r="AE193" s="3" t="s">
        <v>44</v>
      </c>
      <c r="AF193" s="10">
        <f t="shared" si="33"/>
        <v>19879.25</v>
      </c>
      <c r="AG193" s="11">
        <f t="shared" si="34"/>
        <v>0.68242011142271464</v>
      </c>
      <c r="AH193" s="11">
        <f t="shared" si="35"/>
        <v>0.54898986040168563</v>
      </c>
      <c r="AI193" s="3" t="s">
        <v>45</v>
      </c>
      <c r="AJ193" s="3" t="s">
        <v>40</v>
      </c>
      <c r="AK193" s="3" t="s">
        <v>46</v>
      </c>
      <c r="AL193" s="3" t="s">
        <v>47</v>
      </c>
      <c r="AM193" s="3" t="s">
        <v>39</v>
      </c>
    </row>
    <row r="194" spans="1:39" ht="21" customHeight="1">
      <c r="A194" s="4">
        <v>46154</v>
      </c>
      <c r="B194" s="3" t="s">
        <v>39</v>
      </c>
      <c r="C194" s="3" t="s">
        <v>40</v>
      </c>
      <c r="D194" s="4">
        <v>46057</v>
      </c>
      <c r="E194" s="3">
        <v>97</v>
      </c>
      <c r="F194" s="3" t="s">
        <v>57</v>
      </c>
      <c r="G194" s="3" t="s">
        <v>50</v>
      </c>
      <c r="H194" s="3">
        <v>0</v>
      </c>
      <c r="I194" s="7">
        <v>40288</v>
      </c>
      <c r="J194" s="7">
        <v>17160</v>
      </c>
      <c r="K194" s="7">
        <v>23128</v>
      </c>
      <c r="L194" s="5">
        <f t="shared" ref="L194:L257" si="36">IFERROR(J194/I194,"")</f>
        <v>0.42593328038125494</v>
      </c>
      <c r="M194" s="5">
        <f t="shared" si="25"/>
        <v>0.109251101321586</v>
      </c>
      <c r="N194" s="7">
        <f t="shared" si="27"/>
        <v>42787</v>
      </c>
      <c r="O194" s="7">
        <f t="shared" si="29"/>
        <v>48744.107142857145</v>
      </c>
      <c r="P194" s="8">
        <f t="shared" si="30"/>
        <v>0.82652042188249863</v>
      </c>
      <c r="Q194" s="7"/>
      <c r="R194" s="7"/>
      <c r="S194" s="7"/>
      <c r="T194" s="7"/>
      <c r="U194" s="7"/>
      <c r="V194" s="7"/>
      <c r="W194" s="7"/>
      <c r="X194" s="3" t="s">
        <v>60</v>
      </c>
      <c r="Y194" s="3"/>
      <c r="Z194" s="9">
        <v>3.36598</v>
      </c>
      <c r="AA194" s="5">
        <f t="shared" si="26"/>
        <v>-0.21503796570959499</v>
      </c>
      <c r="AB194" s="9">
        <f t="shared" si="28"/>
        <v>5.4913000000000007</v>
      </c>
      <c r="AC194" s="9">
        <f t="shared" si="31"/>
        <v>7.5999417857142841</v>
      </c>
      <c r="AD194" s="8">
        <f t="shared" si="32"/>
        <v>0.72254500821599366</v>
      </c>
      <c r="AE194" s="3" t="s">
        <v>44</v>
      </c>
      <c r="AF194" s="10">
        <f t="shared" si="33"/>
        <v>20748</v>
      </c>
      <c r="AG194" s="11">
        <f t="shared" si="34"/>
        <v>0.82706766917293228</v>
      </c>
      <c r="AH194" s="11">
        <f t="shared" si="35"/>
        <v>0.44289549774276943</v>
      </c>
      <c r="AI194" s="3" t="s">
        <v>45</v>
      </c>
      <c r="AJ194" s="3" t="s">
        <v>40</v>
      </c>
      <c r="AK194" s="3" t="s">
        <v>46</v>
      </c>
      <c r="AL194" s="3" t="s">
        <v>47</v>
      </c>
      <c r="AM194" s="3" t="s">
        <v>39</v>
      </c>
    </row>
    <row r="195" spans="1:39" ht="21" customHeight="1">
      <c r="A195" s="4">
        <v>46155</v>
      </c>
      <c r="B195" s="3" t="s">
        <v>39</v>
      </c>
      <c r="C195" s="3" t="s">
        <v>40</v>
      </c>
      <c r="D195" s="4">
        <v>46057</v>
      </c>
      <c r="E195" s="3">
        <v>98</v>
      </c>
      <c r="F195" s="3" t="s">
        <v>57</v>
      </c>
      <c r="G195" s="3" t="s">
        <v>51</v>
      </c>
      <c r="H195" s="3">
        <v>0</v>
      </c>
      <c r="I195" s="7">
        <v>40778</v>
      </c>
      <c r="J195" s="7">
        <v>17353</v>
      </c>
      <c r="K195" s="7">
        <v>23426</v>
      </c>
      <c r="L195" s="5">
        <f t="shared" si="36"/>
        <v>0.42554808965618718</v>
      </c>
      <c r="M195" s="5">
        <f t="shared" ref="M195:M258" si="37">IF(AND(C195=C194,A195=A194+1),IFERROR(I195/I194-1,""),"")</f>
        <v>1.2162430500397114E-2</v>
      </c>
      <c r="N195" s="7">
        <f t="shared" si="27"/>
        <v>43267.857142857145</v>
      </c>
      <c r="O195" s="7">
        <f t="shared" si="29"/>
        <v>48737.607142857145</v>
      </c>
      <c r="P195" s="8">
        <f t="shared" si="30"/>
        <v>0.83668449048952365</v>
      </c>
      <c r="Q195" s="7"/>
      <c r="R195" s="7"/>
      <c r="S195" s="7"/>
      <c r="T195" s="7"/>
      <c r="U195" s="7"/>
      <c r="V195" s="7"/>
      <c r="W195" s="7"/>
      <c r="X195" s="3" t="s">
        <v>60</v>
      </c>
      <c r="Y195" s="3"/>
      <c r="Z195" s="9">
        <v>3.1953499999999999</v>
      </c>
      <c r="AA195" s="5">
        <f t="shared" ref="AA195:AA258" si="38">IFERROR(Z195/Z194-1,"")</f>
        <v>-5.0692517483764021E-2</v>
      </c>
      <c r="AB195" s="9">
        <f t="shared" si="28"/>
        <v>5.3216442857142852</v>
      </c>
      <c r="AC195" s="9">
        <f t="shared" si="31"/>
        <v>7.4087392857142849</v>
      </c>
      <c r="AD195" s="8">
        <f t="shared" si="32"/>
        <v>0.71829282695581043</v>
      </c>
      <c r="AE195" s="3" t="s">
        <v>44</v>
      </c>
      <c r="AF195" s="10">
        <f t="shared" si="33"/>
        <v>17549.75</v>
      </c>
      <c r="AG195" s="11">
        <f t="shared" si="34"/>
        <v>0.98878901408851982</v>
      </c>
      <c r="AH195" s="11">
        <f t="shared" si="35"/>
        <v>0.43129470167230116</v>
      </c>
      <c r="AI195" s="3" t="s">
        <v>45</v>
      </c>
      <c r="AJ195" s="3" t="s">
        <v>40</v>
      </c>
      <c r="AK195" s="3" t="s">
        <v>46</v>
      </c>
      <c r="AL195" s="3" t="s">
        <v>47</v>
      </c>
      <c r="AM195" s="3" t="s">
        <v>39</v>
      </c>
    </row>
    <row r="196" spans="1:39" ht="21" customHeight="1">
      <c r="A196" s="4">
        <v>46156</v>
      </c>
      <c r="B196" s="3" t="s">
        <v>39</v>
      </c>
      <c r="C196" s="3" t="s">
        <v>40</v>
      </c>
      <c r="D196" s="4">
        <v>46057</v>
      </c>
      <c r="E196" s="3">
        <v>99</v>
      </c>
      <c r="F196" s="3" t="s">
        <v>57</v>
      </c>
      <c r="G196" s="3" t="s">
        <v>52</v>
      </c>
      <c r="H196" s="3">
        <v>0</v>
      </c>
      <c r="I196" s="7">
        <v>42665</v>
      </c>
      <c r="J196" s="7">
        <v>19338</v>
      </c>
      <c r="K196" s="7">
        <v>23328</v>
      </c>
      <c r="L196" s="5">
        <f t="shared" si="36"/>
        <v>0.45325208015938123</v>
      </c>
      <c r="M196" s="5">
        <f t="shared" si="37"/>
        <v>4.627495218009714E-2</v>
      </c>
      <c r="N196" s="7">
        <f t="shared" si="27"/>
        <v>43789.857142857145</v>
      </c>
      <c r="O196" s="7">
        <f t="shared" si="29"/>
        <v>48722.107142857145</v>
      </c>
      <c r="P196" s="8">
        <f t="shared" si="30"/>
        <v>0.87568051757085918</v>
      </c>
      <c r="Q196" s="7"/>
      <c r="R196" s="7"/>
      <c r="S196" s="7"/>
      <c r="T196" s="7"/>
      <c r="U196" s="7"/>
      <c r="V196" s="7"/>
      <c r="W196" s="7"/>
      <c r="X196" s="3" t="s">
        <v>60</v>
      </c>
      <c r="Y196" s="3"/>
      <c r="Z196" s="9">
        <v>2.71557</v>
      </c>
      <c r="AA196" s="5">
        <f t="shared" si="38"/>
        <v>-0.15014943589904073</v>
      </c>
      <c r="AB196" s="9">
        <f t="shared" si="28"/>
        <v>5.192914285714286</v>
      </c>
      <c r="AC196" s="9">
        <f t="shared" si="31"/>
        <v>7.2290246428571416</v>
      </c>
      <c r="AD196" s="8">
        <f t="shared" si="32"/>
        <v>0.71834231341918353</v>
      </c>
      <c r="AE196" s="3" t="s">
        <v>44</v>
      </c>
      <c r="AF196" s="10">
        <f t="shared" si="33"/>
        <v>19794.25</v>
      </c>
      <c r="AG196" s="11">
        <f t="shared" si="34"/>
        <v>0.97695037700342269</v>
      </c>
      <c r="AH196" s="11">
        <f t="shared" si="35"/>
        <v>0.37564818687998275</v>
      </c>
      <c r="AI196" s="3" t="s">
        <v>45</v>
      </c>
      <c r="AJ196" s="3" t="s">
        <v>40</v>
      </c>
      <c r="AK196" s="3" t="s">
        <v>46</v>
      </c>
      <c r="AL196" s="3" t="s">
        <v>47</v>
      </c>
      <c r="AM196" s="3" t="s">
        <v>39</v>
      </c>
    </row>
    <row r="197" spans="1:39" ht="21" customHeight="1">
      <c r="A197" s="4">
        <v>46157</v>
      </c>
      <c r="B197" s="3" t="s">
        <v>39</v>
      </c>
      <c r="C197" s="3" t="s">
        <v>40</v>
      </c>
      <c r="D197" s="4">
        <v>46057</v>
      </c>
      <c r="E197" s="3">
        <v>100</v>
      </c>
      <c r="F197" s="3" t="s">
        <v>57</v>
      </c>
      <c r="G197" s="3" t="s">
        <v>53</v>
      </c>
      <c r="H197" s="3">
        <v>0</v>
      </c>
      <c r="I197" s="7">
        <v>43981</v>
      </c>
      <c r="J197" s="7">
        <v>20696</v>
      </c>
      <c r="K197" s="7">
        <v>23286</v>
      </c>
      <c r="L197" s="5">
        <f t="shared" si="36"/>
        <v>0.47056683567904323</v>
      </c>
      <c r="M197" s="5">
        <f t="shared" si="37"/>
        <v>3.0844954881050102E-2</v>
      </c>
      <c r="N197" s="7">
        <f t="shared" si="27"/>
        <v>44041.857142857145</v>
      </c>
      <c r="O197" s="7">
        <f t="shared" si="29"/>
        <v>48718</v>
      </c>
      <c r="P197" s="8">
        <f t="shared" si="30"/>
        <v>0.90276694445584793</v>
      </c>
      <c r="Q197" s="7"/>
      <c r="R197" s="7"/>
      <c r="S197" s="7"/>
      <c r="T197" s="7"/>
      <c r="U197" s="7"/>
      <c r="V197" s="7"/>
      <c r="W197" s="7"/>
      <c r="X197" s="3" t="s">
        <v>60</v>
      </c>
      <c r="Y197" s="3"/>
      <c r="Z197" s="9">
        <v>3.0975999999999999</v>
      </c>
      <c r="AA197" s="5">
        <f t="shared" si="38"/>
        <v>0.14068133025479002</v>
      </c>
      <c r="AB197" s="9">
        <f t="shared" si="28"/>
        <v>4.7680999999999996</v>
      </c>
      <c r="AC197" s="9">
        <f t="shared" si="31"/>
        <v>7.0326900000000006</v>
      </c>
      <c r="AD197" s="8">
        <f t="shared" si="32"/>
        <v>0.67799092523628923</v>
      </c>
      <c r="AE197" s="3" t="s">
        <v>44</v>
      </c>
      <c r="AF197" s="10">
        <f t="shared" si="33"/>
        <v>31922.25</v>
      </c>
      <c r="AG197" s="11">
        <f t="shared" si="34"/>
        <v>0.64832522770168144</v>
      </c>
      <c r="AH197" s="11">
        <f t="shared" si="35"/>
        <v>0.440457349890298</v>
      </c>
      <c r="AI197" s="3" t="s">
        <v>45</v>
      </c>
      <c r="AJ197" s="3" t="s">
        <v>40</v>
      </c>
      <c r="AK197" s="3" t="s">
        <v>46</v>
      </c>
      <c r="AL197" s="3" t="s">
        <v>47</v>
      </c>
      <c r="AM197" s="3" t="s">
        <v>39</v>
      </c>
    </row>
    <row r="198" spans="1:39" ht="21" customHeight="1">
      <c r="A198" s="4">
        <v>46158</v>
      </c>
      <c r="B198" s="3" t="s">
        <v>39</v>
      </c>
      <c r="C198" s="3" t="s">
        <v>40</v>
      </c>
      <c r="D198" s="4">
        <v>46057</v>
      </c>
      <c r="E198" s="3">
        <v>101</v>
      </c>
      <c r="F198" s="3" t="s">
        <v>57</v>
      </c>
      <c r="G198" s="3" t="s">
        <v>42</v>
      </c>
      <c r="H198" s="3">
        <v>1</v>
      </c>
      <c r="I198" s="7">
        <v>55654</v>
      </c>
      <c r="J198" s="7">
        <v>35875</v>
      </c>
      <c r="K198" s="7">
        <v>19778</v>
      </c>
      <c r="L198" s="5">
        <f t="shared" si="36"/>
        <v>0.64460775505803714</v>
      </c>
      <c r="M198" s="5">
        <f t="shared" si="37"/>
        <v>0.26541006343648399</v>
      </c>
      <c r="N198" s="7">
        <f t="shared" si="27"/>
        <v>44243</v>
      </c>
      <c r="O198" s="7">
        <f t="shared" si="29"/>
        <v>48761.25</v>
      </c>
      <c r="P198" s="8">
        <f t="shared" si="30"/>
        <v>1.1413571227152708</v>
      </c>
      <c r="Q198" s="7"/>
      <c r="R198" s="7"/>
      <c r="S198" s="7"/>
      <c r="T198" s="7"/>
      <c r="U198" s="7"/>
      <c r="V198" s="7"/>
      <c r="W198" s="7"/>
      <c r="X198" s="3" t="s">
        <v>60</v>
      </c>
      <c r="Y198" s="3"/>
      <c r="Z198" s="9">
        <v>3.8571399999999998</v>
      </c>
      <c r="AA198" s="5">
        <f t="shared" si="38"/>
        <v>0.24520273760330569</v>
      </c>
      <c r="AB198" s="9">
        <f t="shared" si="28"/>
        <v>3.8549585714285719</v>
      </c>
      <c r="AC198" s="9">
        <f t="shared" si="31"/>
        <v>6.8366432142857141</v>
      </c>
      <c r="AD198" s="8">
        <f t="shared" si="32"/>
        <v>0.56386715681949395</v>
      </c>
      <c r="AE198" s="3" t="s">
        <v>44</v>
      </c>
      <c r="AF198" s="10">
        <f t="shared" si="33"/>
        <v>45877.75</v>
      </c>
      <c r="AG198" s="11">
        <f t="shared" si="34"/>
        <v>0.78196947321958898</v>
      </c>
      <c r="AH198" s="11">
        <f t="shared" si="35"/>
        <v>0.5641862357158256</v>
      </c>
      <c r="AI198" s="3" t="s">
        <v>45</v>
      </c>
      <c r="AJ198" s="3" t="s">
        <v>40</v>
      </c>
      <c r="AK198" s="3" t="s">
        <v>46</v>
      </c>
      <c r="AL198" s="3" t="s">
        <v>47</v>
      </c>
      <c r="AM198" s="3" t="s">
        <v>39</v>
      </c>
    </row>
    <row r="199" spans="1:39" ht="21" customHeight="1">
      <c r="A199" s="4">
        <v>46159</v>
      </c>
      <c r="B199" s="3" t="s">
        <v>39</v>
      </c>
      <c r="C199" s="3" t="s">
        <v>40</v>
      </c>
      <c r="D199" s="4">
        <v>46057</v>
      </c>
      <c r="E199" s="3">
        <v>102</v>
      </c>
      <c r="F199" s="3" t="s">
        <v>57</v>
      </c>
      <c r="G199" s="3" t="s">
        <v>48</v>
      </c>
      <c r="H199" s="3">
        <v>1</v>
      </c>
      <c r="I199" s="7">
        <v>50512</v>
      </c>
      <c r="J199" s="7">
        <v>31084</v>
      </c>
      <c r="K199" s="7">
        <v>19428</v>
      </c>
      <c r="L199" s="5">
        <f t="shared" si="36"/>
        <v>0.61537852391510928</v>
      </c>
      <c r="M199" s="5">
        <f t="shared" si="37"/>
        <v>-9.2392280878283661E-2</v>
      </c>
      <c r="N199" s="7">
        <f t="shared" si="27"/>
        <v>44314</v>
      </c>
      <c r="O199" s="7">
        <f t="shared" si="29"/>
        <v>48828.75</v>
      </c>
      <c r="P199" s="8">
        <f t="shared" si="30"/>
        <v>1.0344725187517601</v>
      </c>
      <c r="Q199" s="7"/>
      <c r="R199" s="7"/>
      <c r="S199" s="7"/>
      <c r="T199" s="7"/>
      <c r="U199" s="7"/>
      <c r="V199" s="7"/>
      <c r="W199" s="7"/>
      <c r="X199" s="3" t="s">
        <v>60</v>
      </c>
      <c r="Y199" s="3"/>
      <c r="Z199" s="9">
        <v>3.5519400000000001</v>
      </c>
      <c r="AA199" s="5">
        <f t="shared" si="38"/>
        <v>-7.9125984537766203E-2</v>
      </c>
      <c r="AB199" s="9">
        <f t="shared" si="28"/>
        <v>3.4388085714285714</v>
      </c>
      <c r="AC199" s="9">
        <f t="shared" si="31"/>
        <v>6.6316500000000005</v>
      </c>
      <c r="AD199" s="8">
        <f t="shared" si="32"/>
        <v>0.51854494302753784</v>
      </c>
      <c r="AE199" s="3" t="s">
        <v>44</v>
      </c>
      <c r="AF199" s="10">
        <f t="shared" si="33"/>
        <v>38080</v>
      </c>
      <c r="AG199" s="11">
        <f t="shared" si="34"/>
        <v>0.816281512605042</v>
      </c>
      <c r="AH199" s="11">
        <f t="shared" si="35"/>
        <v>0.53560426138291373</v>
      </c>
      <c r="AI199" s="3" t="s">
        <v>45</v>
      </c>
      <c r="AJ199" s="3" t="s">
        <v>40</v>
      </c>
      <c r="AK199" s="3" t="s">
        <v>46</v>
      </c>
      <c r="AL199" s="3" t="s">
        <v>47</v>
      </c>
      <c r="AM199" s="3" t="s">
        <v>39</v>
      </c>
    </row>
    <row r="200" spans="1:39" ht="21" customHeight="1">
      <c r="A200" s="4">
        <v>46160</v>
      </c>
      <c r="B200" s="3" t="s">
        <v>39</v>
      </c>
      <c r="C200" s="3" t="s">
        <v>40</v>
      </c>
      <c r="D200" s="4">
        <v>46057</v>
      </c>
      <c r="E200" s="3">
        <v>103</v>
      </c>
      <c r="F200" s="3" t="s">
        <v>57</v>
      </c>
      <c r="G200" s="3" t="s">
        <v>49</v>
      </c>
      <c r="H200" s="3">
        <v>0</v>
      </c>
      <c r="I200" s="7">
        <v>39540</v>
      </c>
      <c r="J200" s="7">
        <v>16544</v>
      </c>
      <c r="K200" s="7">
        <v>22995</v>
      </c>
      <c r="L200" s="5">
        <f t="shared" si="36"/>
        <v>0.41841173495194739</v>
      </c>
      <c r="M200" s="5">
        <f t="shared" si="37"/>
        <v>-0.21721571111815019</v>
      </c>
      <c r="N200" s="7">
        <f t="shared" ref="N200:N263" si="39">AVERAGE(I194:I200)</f>
        <v>44774</v>
      </c>
      <c r="O200" s="7">
        <f t="shared" si="29"/>
        <v>48796.107142857145</v>
      </c>
      <c r="P200" s="8">
        <f t="shared" si="30"/>
        <v>0.81031054145859116</v>
      </c>
      <c r="Q200" s="7"/>
      <c r="R200" s="7"/>
      <c r="S200" s="7"/>
      <c r="T200" s="7"/>
      <c r="U200" s="7"/>
      <c r="V200" s="7"/>
      <c r="W200" s="7"/>
      <c r="X200" s="3" t="s">
        <v>60</v>
      </c>
      <c r="Y200" s="3"/>
      <c r="Z200" s="9">
        <v>2.5496099999999999</v>
      </c>
      <c r="AA200" s="5">
        <f t="shared" si="38"/>
        <v>-0.28219226676126286</v>
      </c>
      <c r="AB200" s="9">
        <f t="shared" ref="AB200:AB263" si="40">AVERAGE(Z194:Z200)</f>
        <v>3.1904557142857146</v>
      </c>
      <c r="AC200" s="9">
        <f t="shared" si="31"/>
        <v>6.4386500000000018</v>
      </c>
      <c r="AD200" s="8">
        <f t="shared" si="32"/>
        <v>0.49551625174310043</v>
      </c>
      <c r="AE200" s="3" t="s">
        <v>44</v>
      </c>
      <c r="AF200" s="10">
        <f t="shared" si="33"/>
        <v>19475.75</v>
      </c>
      <c r="AG200" s="11">
        <f t="shared" si="34"/>
        <v>0.84946664441677466</v>
      </c>
      <c r="AH200" s="11">
        <f t="shared" si="35"/>
        <v>0.39598518322940357</v>
      </c>
      <c r="AI200" s="3" t="s">
        <v>45</v>
      </c>
      <c r="AJ200" s="3" t="s">
        <v>40</v>
      </c>
      <c r="AK200" s="3" t="s">
        <v>46</v>
      </c>
      <c r="AL200" s="3" t="s">
        <v>47</v>
      </c>
      <c r="AM200" s="3" t="s">
        <v>39</v>
      </c>
    </row>
    <row r="201" spans="1:39" ht="21" customHeight="1">
      <c r="A201" s="4">
        <v>46161</v>
      </c>
      <c r="B201" s="3" t="s">
        <v>39</v>
      </c>
      <c r="C201" s="3" t="s">
        <v>40</v>
      </c>
      <c r="D201" s="4">
        <v>46057</v>
      </c>
      <c r="E201" s="3">
        <v>104</v>
      </c>
      <c r="F201" s="3" t="s">
        <v>57</v>
      </c>
      <c r="G201" s="3" t="s">
        <v>50</v>
      </c>
      <c r="H201" s="3">
        <v>0</v>
      </c>
      <c r="I201" s="7">
        <v>43239</v>
      </c>
      <c r="J201" s="7">
        <v>20128</v>
      </c>
      <c r="K201" s="7">
        <v>23110</v>
      </c>
      <c r="L201" s="5">
        <f t="shared" si="36"/>
        <v>0.4655056777446287</v>
      </c>
      <c r="M201" s="5">
        <f t="shared" si="37"/>
        <v>9.3550834597875498E-2</v>
      </c>
      <c r="N201" s="7">
        <f t="shared" si="39"/>
        <v>45195.571428571428</v>
      </c>
      <c r="O201" s="7">
        <f t="shared" si="29"/>
        <v>48927.25</v>
      </c>
      <c r="P201" s="8">
        <f t="shared" si="30"/>
        <v>0.88374065576953542</v>
      </c>
      <c r="Q201" s="7"/>
      <c r="R201" s="7"/>
      <c r="S201" s="7"/>
      <c r="T201" s="7"/>
      <c r="U201" s="7"/>
      <c r="V201" s="7"/>
      <c r="W201" s="7"/>
      <c r="X201" s="3" t="s">
        <v>60</v>
      </c>
      <c r="Y201" s="3"/>
      <c r="Z201" s="9">
        <v>2.2968500000000001</v>
      </c>
      <c r="AA201" s="5">
        <f t="shared" si="38"/>
        <v>-9.9136730715678079E-2</v>
      </c>
      <c r="AB201" s="9">
        <f t="shared" si="40"/>
        <v>3.0377228571428572</v>
      </c>
      <c r="AC201" s="9">
        <f t="shared" si="31"/>
        <v>6.265607142857144</v>
      </c>
      <c r="AD201" s="8">
        <f t="shared" si="32"/>
        <v>0.48482497990731704</v>
      </c>
      <c r="AE201" s="3" t="s">
        <v>44</v>
      </c>
      <c r="AF201" s="10">
        <f t="shared" si="33"/>
        <v>20353.25</v>
      </c>
      <c r="AG201" s="11">
        <f t="shared" si="34"/>
        <v>0.98893297139277514</v>
      </c>
      <c r="AH201" s="11">
        <f t="shared" si="35"/>
        <v>0.36658059588342246</v>
      </c>
      <c r="AI201" s="3" t="s">
        <v>45</v>
      </c>
      <c r="AJ201" s="3" t="s">
        <v>40</v>
      </c>
      <c r="AK201" s="3" t="s">
        <v>46</v>
      </c>
      <c r="AL201" s="3" t="s">
        <v>47</v>
      </c>
      <c r="AM201" s="3" t="s">
        <v>39</v>
      </c>
    </row>
    <row r="202" spans="1:39" ht="21" customHeight="1">
      <c r="A202" s="4">
        <v>46162</v>
      </c>
      <c r="B202" s="3" t="s">
        <v>39</v>
      </c>
      <c r="C202" s="3" t="s">
        <v>40</v>
      </c>
      <c r="D202" s="4">
        <v>46057</v>
      </c>
      <c r="E202" s="3">
        <v>105</v>
      </c>
      <c r="F202" s="3" t="s">
        <v>57</v>
      </c>
      <c r="G202" s="3" t="s">
        <v>51</v>
      </c>
      <c r="H202" s="3">
        <v>0</v>
      </c>
      <c r="I202" s="7">
        <v>36736</v>
      </c>
      <c r="J202" s="7">
        <v>14945</v>
      </c>
      <c r="K202" s="7">
        <v>21791</v>
      </c>
      <c r="L202" s="5">
        <f t="shared" si="36"/>
        <v>0.40682164634146339</v>
      </c>
      <c r="M202" s="5">
        <f t="shared" si="37"/>
        <v>-0.1503966326695807</v>
      </c>
      <c r="N202" s="7">
        <f t="shared" si="39"/>
        <v>44618.142857142855</v>
      </c>
      <c r="O202" s="7">
        <f t="shared" si="29"/>
        <v>49047.5</v>
      </c>
      <c r="P202" s="8">
        <f t="shared" si="30"/>
        <v>0.7489882256995769</v>
      </c>
      <c r="Q202" s="7"/>
      <c r="R202" s="7"/>
      <c r="S202" s="7"/>
      <c r="T202" s="7"/>
      <c r="U202" s="7"/>
      <c r="V202" s="7"/>
      <c r="W202" s="7"/>
      <c r="X202" s="3" t="s">
        <v>60</v>
      </c>
      <c r="Y202" s="3"/>
      <c r="Z202" s="9">
        <v>2.4086699999999999</v>
      </c>
      <c r="AA202" s="5">
        <f t="shared" si="38"/>
        <v>4.8684067309576085E-2</v>
      </c>
      <c r="AB202" s="9">
        <f t="shared" si="40"/>
        <v>2.9253399999999998</v>
      </c>
      <c r="AC202" s="9">
        <f t="shared" si="31"/>
        <v>6.1128017857142867</v>
      </c>
      <c r="AD202" s="8">
        <f t="shared" si="32"/>
        <v>0.47855960368886247</v>
      </c>
      <c r="AE202" s="3" t="s">
        <v>44</v>
      </c>
      <c r="AF202" s="10">
        <f t="shared" si="33"/>
        <v>16932</v>
      </c>
      <c r="AG202" s="11">
        <f t="shared" si="34"/>
        <v>0.88264824001889908</v>
      </c>
      <c r="AH202" s="11">
        <f t="shared" si="35"/>
        <v>0.39403698736463194</v>
      </c>
      <c r="AI202" s="3" t="s">
        <v>45</v>
      </c>
      <c r="AJ202" s="3" t="s">
        <v>40</v>
      </c>
      <c r="AK202" s="3" t="s">
        <v>46</v>
      </c>
      <c r="AL202" s="3" t="s">
        <v>47</v>
      </c>
      <c r="AM202" s="3" t="s">
        <v>39</v>
      </c>
    </row>
    <row r="203" spans="1:39" ht="21" customHeight="1">
      <c r="A203" s="4">
        <v>46163</v>
      </c>
      <c r="B203" s="3" t="s">
        <v>39</v>
      </c>
      <c r="C203" s="3" t="s">
        <v>40</v>
      </c>
      <c r="D203" s="4">
        <v>46057</v>
      </c>
      <c r="E203" s="3">
        <v>106</v>
      </c>
      <c r="F203" s="3" t="s">
        <v>57</v>
      </c>
      <c r="G203" s="3" t="s">
        <v>52</v>
      </c>
      <c r="H203" s="3">
        <v>0</v>
      </c>
      <c r="I203" s="7">
        <v>39032</v>
      </c>
      <c r="J203" s="7">
        <v>16418</v>
      </c>
      <c r="K203" s="7">
        <v>22614</v>
      </c>
      <c r="L203" s="5">
        <f t="shared" si="36"/>
        <v>0.42062922730067637</v>
      </c>
      <c r="M203" s="5">
        <f t="shared" si="37"/>
        <v>6.25E-2</v>
      </c>
      <c r="N203" s="7">
        <f t="shared" si="39"/>
        <v>44099.142857142855</v>
      </c>
      <c r="O203" s="7">
        <f t="shared" si="29"/>
        <v>48958.25</v>
      </c>
      <c r="P203" s="8">
        <f t="shared" si="30"/>
        <v>0.79725071872462761</v>
      </c>
      <c r="Q203" s="7"/>
      <c r="R203" s="7"/>
      <c r="S203" s="7"/>
      <c r="T203" s="7"/>
      <c r="U203" s="7"/>
      <c r="V203" s="7"/>
      <c r="W203" s="7"/>
      <c r="X203" s="3" t="s">
        <v>60</v>
      </c>
      <c r="Y203" s="3"/>
      <c r="Z203" s="9">
        <v>2.2193100000000001</v>
      </c>
      <c r="AA203" s="5">
        <f t="shared" si="38"/>
        <v>-7.8615999701079797E-2</v>
      </c>
      <c r="AB203" s="9">
        <f t="shared" si="40"/>
        <v>2.8544457142857143</v>
      </c>
      <c r="AC203" s="9">
        <f t="shared" si="31"/>
        <v>5.945125714285715</v>
      </c>
      <c r="AD203" s="8">
        <f t="shared" si="32"/>
        <v>0.48013210341821433</v>
      </c>
      <c r="AE203" s="3" t="s">
        <v>44</v>
      </c>
      <c r="AF203" s="10">
        <f t="shared" si="33"/>
        <v>19281.75</v>
      </c>
      <c r="AG203" s="11">
        <f t="shared" si="34"/>
        <v>0.85147872988706941</v>
      </c>
      <c r="AH203" s="11">
        <f t="shared" si="35"/>
        <v>0.37329908679090767</v>
      </c>
      <c r="AI203" s="3" t="s">
        <v>45</v>
      </c>
      <c r="AJ203" s="3" t="s">
        <v>40</v>
      </c>
      <c r="AK203" s="3" t="s">
        <v>46</v>
      </c>
      <c r="AL203" s="3" t="s">
        <v>47</v>
      </c>
      <c r="AM203" s="3" t="s">
        <v>39</v>
      </c>
    </row>
    <row r="204" spans="1:39" ht="21" customHeight="1">
      <c r="A204" s="4">
        <v>46164</v>
      </c>
      <c r="B204" s="3" t="s">
        <v>39</v>
      </c>
      <c r="C204" s="3" t="s">
        <v>40</v>
      </c>
      <c r="D204" s="4">
        <v>46057</v>
      </c>
      <c r="E204" s="3">
        <v>107</v>
      </c>
      <c r="F204" s="3" t="s">
        <v>57</v>
      </c>
      <c r="G204" s="3" t="s">
        <v>53</v>
      </c>
      <c r="H204" s="3">
        <v>0</v>
      </c>
      <c r="I204" s="7">
        <v>46014</v>
      </c>
      <c r="J204" s="7">
        <v>22666</v>
      </c>
      <c r="K204" s="7">
        <v>23348</v>
      </c>
      <c r="L204" s="5">
        <f t="shared" si="36"/>
        <v>0.49258921197896294</v>
      </c>
      <c r="M204" s="5">
        <f t="shared" si="37"/>
        <v>0.17887886862061908</v>
      </c>
      <c r="N204" s="7">
        <f t="shared" si="39"/>
        <v>44389.571428571428</v>
      </c>
      <c r="O204" s="7">
        <f t="shared" si="29"/>
        <v>48879.392857142855</v>
      </c>
      <c r="P204" s="8">
        <f t="shared" si="30"/>
        <v>0.94137830505551934</v>
      </c>
      <c r="Q204" s="7"/>
      <c r="R204" s="7"/>
      <c r="S204" s="7"/>
      <c r="T204" s="7"/>
      <c r="U204" s="7"/>
      <c r="V204" s="7"/>
      <c r="W204" s="7"/>
      <c r="X204" s="3" t="s">
        <v>60</v>
      </c>
      <c r="Y204" s="3"/>
      <c r="Z204" s="9">
        <v>2.30463</v>
      </c>
      <c r="AA204" s="5">
        <f t="shared" si="38"/>
        <v>3.8444381361774527E-2</v>
      </c>
      <c r="AB204" s="9">
        <f t="shared" si="40"/>
        <v>2.7411642857142859</v>
      </c>
      <c r="AC204" s="9">
        <f t="shared" si="31"/>
        <v>5.7952914285714296</v>
      </c>
      <c r="AD204" s="8">
        <f t="shared" si="32"/>
        <v>0.47299852293881922</v>
      </c>
      <c r="AE204" s="3" t="s">
        <v>44</v>
      </c>
      <c r="AF204" s="10">
        <f t="shared" si="33"/>
        <v>31770.25</v>
      </c>
      <c r="AG204" s="11">
        <f t="shared" si="34"/>
        <v>0.71343473847388672</v>
      </c>
      <c r="AH204" s="11">
        <f t="shared" si="35"/>
        <v>0.39767283982267371</v>
      </c>
      <c r="AI204" s="3" t="s">
        <v>45</v>
      </c>
      <c r="AJ204" s="3" t="s">
        <v>40</v>
      </c>
      <c r="AK204" s="3" t="s">
        <v>46</v>
      </c>
      <c r="AL204" s="3" t="s">
        <v>47</v>
      </c>
      <c r="AM204" s="3" t="s">
        <v>39</v>
      </c>
    </row>
    <row r="205" spans="1:39" ht="21" customHeight="1">
      <c r="A205" s="4">
        <v>46165</v>
      </c>
      <c r="B205" s="3" t="s">
        <v>39</v>
      </c>
      <c r="C205" s="3" t="s">
        <v>40</v>
      </c>
      <c r="D205" s="4">
        <v>46057</v>
      </c>
      <c r="E205" s="3">
        <v>108</v>
      </c>
      <c r="F205" s="3" t="s">
        <v>57</v>
      </c>
      <c r="G205" s="3" t="s">
        <v>42</v>
      </c>
      <c r="H205" s="3">
        <v>1</v>
      </c>
      <c r="I205" s="7">
        <v>68414</v>
      </c>
      <c r="J205" s="7">
        <v>48468</v>
      </c>
      <c r="K205" s="7">
        <v>19946</v>
      </c>
      <c r="L205" s="5">
        <f t="shared" si="36"/>
        <v>0.70845148653784318</v>
      </c>
      <c r="M205" s="5">
        <f t="shared" si="37"/>
        <v>0.48680836267223015</v>
      </c>
      <c r="N205" s="7">
        <f t="shared" si="39"/>
        <v>46212.428571428572</v>
      </c>
      <c r="O205" s="7">
        <f t="shared" si="29"/>
        <v>48455.75</v>
      </c>
      <c r="P205" s="8">
        <f t="shared" si="30"/>
        <v>1.4118861022685647</v>
      </c>
      <c r="Q205" s="7"/>
      <c r="R205" s="7"/>
      <c r="S205" s="7"/>
      <c r="T205" s="7"/>
      <c r="U205" s="7"/>
      <c r="V205" s="7"/>
      <c r="W205" s="7"/>
      <c r="X205" s="3" t="s">
        <v>60</v>
      </c>
      <c r="Y205" s="3"/>
      <c r="Z205" s="9">
        <v>2.9541900000000001</v>
      </c>
      <c r="AA205" s="5">
        <f t="shared" si="38"/>
        <v>0.28185001496986506</v>
      </c>
      <c r="AB205" s="9">
        <f t="shared" si="40"/>
        <v>2.6121714285714286</v>
      </c>
      <c r="AC205" s="9">
        <f t="shared" si="31"/>
        <v>5.6317353571428574</v>
      </c>
      <c r="AD205" s="8">
        <f t="shared" si="32"/>
        <v>0.46383064240729144</v>
      </c>
      <c r="AE205" s="3" t="s">
        <v>44</v>
      </c>
      <c r="AF205" s="10">
        <f t="shared" si="33"/>
        <v>46143</v>
      </c>
      <c r="AG205" s="11">
        <f t="shared" si="34"/>
        <v>1.0503868409076134</v>
      </c>
      <c r="AH205" s="11">
        <f t="shared" si="35"/>
        <v>0.5245612253873283</v>
      </c>
      <c r="AI205" s="3" t="s">
        <v>45</v>
      </c>
      <c r="AJ205" s="3" t="s">
        <v>40</v>
      </c>
      <c r="AK205" s="3" t="s">
        <v>46</v>
      </c>
      <c r="AL205" s="3" t="s">
        <v>47</v>
      </c>
      <c r="AM205" s="3" t="s">
        <v>39</v>
      </c>
    </row>
    <row r="206" spans="1:39" ht="21" customHeight="1">
      <c r="A206" s="4">
        <v>46166</v>
      </c>
      <c r="B206" s="3" t="s">
        <v>39</v>
      </c>
      <c r="C206" s="3" t="s">
        <v>40</v>
      </c>
      <c r="D206" s="4">
        <v>46057</v>
      </c>
      <c r="E206" s="3">
        <v>109</v>
      </c>
      <c r="F206" s="3" t="s">
        <v>57</v>
      </c>
      <c r="G206" s="3" t="s">
        <v>48</v>
      </c>
      <c r="H206" s="3">
        <v>1</v>
      </c>
      <c r="I206" s="7">
        <v>78715</v>
      </c>
      <c r="J206" s="7">
        <v>59384</v>
      </c>
      <c r="K206" s="7">
        <v>19330</v>
      </c>
      <c r="L206" s="5">
        <f t="shared" si="36"/>
        <v>0.75441783649876137</v>
      </c>
      <c r="M206" s="5">
        <f t="shared" si="37"/>
        <v>0.15056859707077508</v>
      </c>
      <c r="N206" s="7">
        <f t="shared" si="39"/>
        <v>50241.428571428572</v>
      </c>
      <c r="O206" s="7">
        <f t="shared" si="29"/>
        <v>48292.75</v>
      </c>
      <c r="P206" s="8">
        <f t="shared" si="30"/>
        <v>1.62995480688095</v>
      </c>
      <c r="Q206" s="7"/>
      <c r="R206" s="7"/>
      <c r="S206" s="7"/>
      <c r="T206" s="7"/>
      <c r="U206" s="7"/>
      <c r="V206" s="7"/>
      <c r="W206" s="7"/>
      <c r="X206" s="3" t="s">
        <v>60</v>
      </c>
      <c r="Y206" s="3"/>
      <c r="Z206" s="9">
        <v>3.2301299999999999</v>
      </c>
      <c r="AA206" s="5">
        <f t="shared" si="38"/>
        <v>9.3406314421211833E-2</v>
      </c>
      <c r="AB206" s="9">
        <f t="shared" si="40"/>
        <v>2.5661985714285716</v>
      </c>
      <c r="AC206" s="9">
        <f t="shared" si="31"/>
        <v>5.4343607142857149</v>
      </c>
      <c r="AD206" s="8">
        <f t="shared" si="32"/>
        <v>0.47221719468908485</v>
      </c>
      <c r="AE206" s="3" t="s">
        <v>44</v>
      </c>
      <c r="AF206" s="10">
        <f t="shared" si="33"/>
        <v>37774.75</v>
      </c>
      <c r="AG206" s="11">
        <f t="shared" si="34"/>
        <v>1.5720554073819151</v>
      </c>
      <c r="AH206" s="11">
        <f t="shared" si="35"/>
        <v>0.59439006165135722</v>
      </c>
      <c r="AI206" s="3" t="s">
        <v>45</v>
      </c>
      <c r="AJ206" s="3" t="s">
        <v>40</v>
      </c>
      <c r="AK206" s="3" t="s">
        <v>46</v>
      </c>
      <c r="AL206" s="3" t="s">
        <v>47</v>
      </c>
      <c r="AM206" s="3" t="s">
        <v>39</v>
      </c>
    </row>
    <row r="207" spans="1:39" ht="21" customHeight="1">
      <c r="A207" s="4">
        <v>46167</v>
      </c>
      <c r="B207" s="3" t="s">
        <v>39</v>
      </c>
      <c r="C207" s="3" t="s">
        <v>40</v>
      </c>
      <c r="D207" s="4">
        <v>46057</v>
      </c>
      <c r="E207" s="3">
        <v>110</v>
      </c>
      <c r="F207" s="3" t="s">
        <v>57</v>
      </c>
      <c r="G207" s="3" t="s">
        <v>49</v>
      </c>
      <c r="H207" s="3">
        <v>0</v>
      </c>
      <c r="I207" s="7">
        <v>60550</v>
      </c>
      <c r="J207" s="7">
        <v>40901</v>
      </c>
      <c r="K207" s="7">
        <v>19649</v>
      </c>
      <c r="L207" s="5">
        <f t="shared" si="36"/>
        <v>0.67549132947976875</v>
      </c>
      <c r="M207" s="5">
        <f t="shared" si="37"/>
        <v>-0.23076923076923073</v>
      </c>
      <c r="N207" s="7">
        <f t="shared" si="39"/>
        <v>53242.857142857145</v>
      </c>
      <c r="O207" s="7">
        <f t="shared" si="29"/>
        <v>48820.142857142855</v>
      </c>
      <c r="P207" s="8">
        <f t="shared" si="30"/>
        <v>1.2402667517213328</v>
      </c>
      <c r="Q207" s="7"/>
      <c r="R207" s="7"/>
      <c r="S207" s="7"/>
      <c r="T207" s="7"/>
      <c r="U207" s="7"/>
      <c r="V207" s="7"/>
      <c r="W207" s="7"/>
      <c r="X207" s="3" t="s">
        <v>60</v>
      </c>
      <c r="Y207" s="3"/>
      <c r="Z207" s="9">
        <v>2.96366</v>
      </c>
      <c r="AA207" s="5">
        <f t="shared" si="38"/>
        <v>-8.2495131774882102E-2</v>
      </c>
      <c r="AB207" s="9">
        <f t="shared" si="40"/>
        <v>2.6253485714285714</v>
      </c>
      <c r="AC207" s="9">
        <f t="shared" si="31"/>
        <v>5.2812728571428584</v>
      </c>
      <c r="AD207" s="8">
        <f t="shared" si="32"/>
        <v>0.49710527034743507</v>
      </c>
      <c r="AE207" s="3" t="s">
        <v>44</v>
      </c>
      <c r="AF207" s="10">
        <f t="shared" si="33"/>
        <v>19917.5</v>
      </c>
      <c r="AG207" s="11">
        <f t="shared" si="34"/>
        <v>2.0535207731894065</v>
      </c>
      <c r="AH207" s="11">
        <f t="shared" si="35"/>
        <v>0.56116396182630202</v>
      </c>
      <c r="AI207" s="3" t="s">
        <v>45</v>
      </c>
      <c r="AJ207" s="3" t="s">
        <v>40</v>
      </c>
      <c r="AK207" s="3" t="s">
        <v>46</v>
      </c>
      <c r="AL207" s="3" t="s">
        <v>47</v>
      </c>
      <c r="AM207" s="3" t="s">
        <v>39</v>
      </c>
    </row>
    <row r="208" spans="1:39" ht="21" customHeight="1">
      <c r="A208" s="4">
        <v>46168</v>
      </c>
      <c r="B208" s="3" t="s">
        <v>39</v>
      </c>
      <c r="C208" s="3" t="s">
        <v>40</v>
      </c>
      <c r="D208" s="4">
        <v>46057</v>
      </c>
      <c r="E208" s="3">
        <v>111</v>
      </c>
      <c r="F208" s="3" t="s">
        <v>57</v>
      </c>
      <c r="G208" s="3" t="s">
        <v>50</v>
      </c>
      <c r="H208" s="3">
        <v>0</v>
      </c>
      <c r="I208" s="7">
        <v>37940</v>
      </c>
      <c r="J208" s="7">
        <v>14574</v>
      </c>
      <c r="K208" s="7">
        <v>23366</v>
      </c>
      <c r="L208" s="5">
        <f t="shared" si="36"/>
        <v>0.3841328413284133</v>
      </c>
      <c r="M208" s="5">
        <f t="shared" si="37"/>
        <v>-0.37341040462427744</v>
      </c>
      <c r="N208" s="7">
        <f t="shared" si="39"/>
        <v>52485.857142857145</v>
      </c>
      <c r="O208" s="7">
        <f t="shared" si="29"/>
        <v>49651.285714285717</v>
      </c>
      <c r="P208" s="8">
        <f t="shared" si="30"/>
        <v>0.76412925575226076</v>
      </c>
      <c r="Q208" s="7"/>
      <c r="R208" s="7"/>
      <c r="S208" s="7"/>
      <c r="T208" s="7"/>
      <c r="U208" s="7"/>
      <c r="V208" s="7"/>
      <c r="W208" s="7"/>
      <c r="X208" s="3" t="s">
        <v>60</v>
      </c>
      <c r="Y208" s="3"/>
      <c r="Z208" s="9">
        <v>2.1424799999999999</v>
      </c>
      <c r="AA208" s="5">
        <f t="shared" si="38"/>
        <v>-0.2770830662086744</v>
      </c>
      <c r="AB208" s="9">
        <f t="shared" si="40"/>
        <v>2.6032957142857143</v>
      </c>
      <c r="AC208" s="9">
        <f t="shared" si="31"/>
        <v>5.1671757142857144</v>
      </c>
      <c r="AD208" s="8">
        <f t="shared" si="32"/>
        <v>0.50381404818271824</v>
      </c>
      <c r="AE208" s="3" t="s">
        <v>44</v>
      </c>
      <c r="AF208" s="10">
        <f t="shared" si="33"/>
        <v>20820.25</v>
      </c>
      <c r="AG208" s="11">
        <f t="shared" si="34"/>
        <v>0.69999159472148509</v>
      </c>
      <c r="AH208" s="11">
        <f t="shared" si="35"/>
        <v>0.41463269655736218</v>
      </c>
      <c r="AI208" s="3" t="s">
        <v>45</v>
      </c>
      <c r="AJ208" s="3" t="s">
        <v>40</v>
      </c>
      <c r="AK208" s="3" t="s">
        <v>46</v>
      </c>
      <c r="AL208" s="3" t="s">
        <v>47</v>
      </c>
      <c r="AM208" s="3" t="s">
        <v>39</v>
      </c>
    </row>
    <row r="209" spans="1:39" ht="21" customHeight="1">
      <c r="A209" s="4">
        <v>46169</v>
      </c>
      <c r="B209" s="3" t="s">
        <v>39</v>
      </c>
      <c r="C209" s="3" t="s">
        <v>40</v>
      </c>
      <c r="D209" s="4">
        <v>46057</v>
      </c>
      <c r="E209" s="3">
        <v>112</v>
      </c>
      <c r="F209" s="3" t="s">
        <v>57</v>
      </c>
      <c r="G209" s="3" t="s">
        <v>51</v>
      </c>
      <c r="H209" s="3">
        <v>0</v>
      </c>
      <c r="I209" s="7">
        <v>39053</v>
      </c>
      <c r="J209" s="7">
        <v>15673</v>
      </c>
      <c r="K209" s="7">
        <v>23380</v>
      </c>
      <c r="L209" s="5">
        <f t="shared" si="36"/>
        <v>0.40132640258110774</v>
      </c>
      <c r="M209" s="5">
        <f t="shared" si="37"/>
        <v>2.9335793357933682E-2</v>
      </c>
      <c r="N209" s="7">
        <f t="shared" si="39"/>
        <v>52816.857142857145</v>
      </c>
      <c r="O209" s="7">
        <f t="shared" si="29"/>
        <v>49627.285714285717</v>
      </c>
      <c r="P209" s="8">
        <f t="shared" si="30"/>
        <v>0.78692597102400463</v>
      </c>
      <c r="Q209" s="7"/>
      <c r="R209" s="7"/>
      <c r="S209" s="7"/>
      <c r="T209" s="7"/>
      <c r="U209" s="7"/>
      <c r="V209" s="7"/>
      <c r="W209" s="7"/>
      <c r="X209" s="3" t="s">
        <v>60</v>
      </c>
      <c r="Y209" s="3"/>
      <c r="Z209" s="9">
        <v>1.91821</v>
      </c>
      <c r="AA209" s="5">
        <f t="shared" si="38"/>
        <v>-0.10467775661849821</v>
      </c>
      <c r="AB209" s="9">
        <f t="shared" si="40"/>
        <v>2.5332299999999996</v>
      </c>
      <c r="AC209" s="9">
        <f t="shared" si="31"/>
        <v>5.0431832142857145</v>
      </c>
      <c r="AD209" s="8">
        <f t="shared" si="32"/>
        <v>0.50230774738149009</v>
      </c>
      <c r="AE209" s="3" t="s">
        <v>44</v>
      </c>
      <c r="AF209" s="10">
        <f t="shared" si="33"/>
        <v>16277.5</v>
      </c>
      <c r="AG209" s="11">
        <f t="shared" si="34"/>
        <v>0.96286284748886497</v>
      </c>
      <c r="AH209" s="11">
        <f t="shared" si="35"/>
        <v>0.38035699249758143</v>
      </c>
      <c r="AI209" s="3" t="s">
        <v>45</v>
      </c>
      <c r="AJ209" s="3" t="s">
        <v>40</v>
      </c>
      <c r="AK209" s="3" t="s">
        <v>46</v>
      </c>
      <c r="AL209" s="3" t="s">
        <v>47</v>
      </c>
      <c r="AM209" s="3" t="s">
        <v>39</v>
      </c>
    </row>
    <row r="210" spans="1:39" ht="21" customHeight="1">
      <c r="A210" s="4">
        <v>46170</v>
      </c>
      <c r="B210" s="3" t="s">
        <v>39</v>
      </c>
      <c r="C210" s="3" t="s">
        <v>40</v>
      </c>
      <c r="D210" s="4">
        <v>46057</v>
      </c>
      <c r="E210" s="3">
        <v>113</v>
      </c>
      <c r="F210" s="3" t="s">
        <v>57</v>
      </c>
      <c r="G210" s="3" t="s">
        <v>52</v>
      </c>
      <c r="H210" s="3">
        <v>0</v>
      </c>
      <c r="I210" s="7">
        <v>40534</v>
      </c>
      <c r="J210" s="7">
        <v>17272</v>
      </c>
      <c r="K210" s="7">
        <v>23261</v>
      </c>
      <c r="L210" s="5">
        <f t="shared" si="36"/>
        <v>0.42611141264123947</v>
      </c>
      <c r="M210" s="5">
        <f t="shared" si="37"/>
        <v>3.7922822830512404E-2</v>
      </c>
      <c r="N210" s="7">
        <f t="shared" si="39"/>
        <v>53031.428571428572</v>
      </c>
      <c r="O210" s="7">
        <f t="shared" si="29"/>
        <v>49564.678571428572</v>
      </c>
      <c r="P210" s="8">
        <f t="shared" si="30"/>
        <v>0.81780011831582256</v>
      </c>
      <c r="Q210" s="7"/>
      <c r="R210" s="7"/>
      <c r="S210" s="7"/>
      <c r="T210" s="7"/>
      <c r="U210" s="7"/>
      <c r="V210" s="7"/>
      <c r="W210" s="7"/>
      <c r="X210" s="3" t="s">
        <v>60</v>
      </c>
      <c r="Y210" s="3"/>
      <c r="Z210" s="9">
        <v>1.6311800000000001</v>
      </c>
      <c r="AA210" s="5">
        <f t="shared" si="38"/>
        <v>-0.1496342944724508</v>
      </c>
      <c r="AB210" s="9">
        <f t="shared" si="40"/>
        <v>2.4492114285714282</v>
      </c>
      <c r="AC210" s="9">
        <f t="shared" si="31"/>
        <v>4.8137392857142851</v>
      </c>
      <c r="AD210" s="8">
        <f t="shared" si="32"/>
        <v>0.50879602803582302</v>
      </c>
      <c r="AE210" s="3" t="s">
        <v>44</v>
      </c>
      <c r="AF210" s="10">
        <f t="shared" si="33"/>
        <v>18524.75</v>
      </c>
      <c r="AG210" s="11">
        <f t="shared" si="34"/>
        <v>0.93237425606283486</v>
      </c>
      <c r="AH210" s="11">
        <f t="shared" si="35"/>
        <v>0.33885923253900485</v>
      </c>
      <c r="AI210" s="3" t="s">
        <v>45</v>
      </c>
      <c r="AJ210" s="3" t="s">
        <v>40</v>
      </c>
      <c r="AK210" s="3" t="s">
        <v>46</v>
      </c>
      <c r="AL210" s="3" t="s">
        <v>47</v>
      </c>
      <c r="AM210" s="3" t="s">
        <v>39</v>
      </c>
    </row>
    <row r="211" spans="1:39" ht="21" customHeight="1">
      <c r="A211" s="4">
        <v>46171</v>
      </c>
      <c r="B211" s="3" t="s">
        <v>39</v>
      </c>
      <c r="C211" s="3" t="s">
        <v>40</v>
      </c>
      <c r="D211" s="4">
        <v>46057</v>
      </c>
      <c r="E211" s="3">
        <v>114</v>
      </c>
      <c r="F211" s="3" t="s">
        <v>57</v>
      </c>
      <c r="G211" s="3" t="s">
        <v>53</v>
      </c>
      <c r="H211" s="3">
        <v>0</v>
      </c>
      <c r="I211" s="7">
        <v>45045</v>
      </c>
      <c r="J211" s="7">
        <v>21350</v>
      </c>
      <c r="K211" s="7">
        <v>23695</v>
      </c>
      <c r="L211" s="5">
        <f t="shared" si="36"/>
        <v>0.47397047397047398</v>
      </c>
      <c r="M211" s="5">
        <f t="shared" si="37"/>
        <v>0.11128928800513149</v>
      </c>
      <c r="N211" s="7">
        <f t="shared" si="39"/>
        <v>52893</v>
      </c>
      <c r="O211" s="7">
        <f t="shared" si="29"/>
        <v>49413.464285714283</v>
      </c>
      <c r="P211" s="8">
        <f t="shared" si="30"/>
        <v>0.91159364458935066</v>
      </c>
      <c r="Q211" s="7"/>
      <c r="R211" s="7"/>
      <c r="S211" s="7"/>
      <c r="T211" s="7"/>
      <c r="U211" s="7"/>
      <c r="V211" s="7"/>
      <c r="W211" s="7"/>
      <c r="X211" s="3" t="s">
        <v>60</v>
      </c>
      <c r="Y211" s="3"/>
      <c r="Z211" s="9">
        <v>1.6412800000000001</v>
      </c>
      <c r="AA211" s="5">
        <f t="shared" si="38"/>
        <v>6.1918365845583523E-3</v>
      </c>
      <c r="AB211" s="9">
        <f t="shared" si="40"/>
        <v>2.354447142857143</v>
      </c>
      <c r="AC211" s="9">
        <f t="shared" si="31"/>
        <v>4.5668046428571429</v>
      </c>
      <c r="AD211" s="8">
        <f t="shared" si="32"/>
        <v>0.51555679013764943</v>
      </c>
      <c r="AE211" s="3" t="s">
        <v>44</v>
      </c>
      <c r="AF211" s="10">
        <f t="shared" si="33"/>
        <v>28818</v>
      </c>
      <c r="AG211" s="11">
        <f t="shared" si="34"/>
        <v>0.74085640918870155</v>
      </c>
      <c r="AH211" s="11">
        <f t="shared" si="35"/>
        <v>0.35939352093089783</v>
      </c>
      <c r="AI211" s="3" t="s">
        <v>45</v>
      </c>
      <c r="AJ211" s="3" t="s">
        <v>40</v>
      </c>
      <c r="AK211" s="3" t="s">
        <v>46</v>
      </c>
      <c r="AL211" s="3" t="s">
        <v>47</v>
      </c>
      <c r="AM211" s="3" t="s">
        <v>39</v>
      </c>
    </row>
    <row r="212" spans="1:39" ht="21" customHeight="1">
      <c r="A212" s="4">
        <v>46172</v>
      </c>
      <c r="B212" s="3" t="s">
        <v>39</v>
      </c>
      <c r="C212" s="3" t="s">
        <v>40</v>
      </c>
      <c r="D212" s="4">
        <v>46057</v>
      </c>
      <c r="E212" s="3">
        <v>115</v>
      </c>
      <c r="F212" s="3" t="s">
        <v>57</v>
      </c>
      <c r="G212" s="3" t="s">
        <v>42</v>
      </c>
      <c r="H212" s="3">
        <v>1</v>
      </c>
      <c r="I212" s="7">
        <v>54716</v>
      </c>
      <c r="J212" s="7">
        <v>34380</v>
      </c>
      <c r="K212" s="7">
        <v>20335</v>
      </c>
      <c r="L212" s="5">
        <f t="shared" si="36"/>
        <v>0.62833540463484172</v>
      </c>
      <c r="M212" s="5">
        <f t="shared" si="37"/>
        <v>0.21469641469641476</v>
      </c>
      <c r="N212" s="7">
        <f t="shared" si="39"/>
        <v>50936.142857142855</v>
      </c>
      <c r="O212" s="7">
        <f t="shared" si="29"/>
        <v>48423.357142857145</v>
      </c>
      <c r="P212" s="8">
        <f t="shared" si="30"/>
        <v>1.1299505698991188</v>
      </c>
      <c r="Q212" s="7"/>
      <c r="R212" s="7"/>
      <c r="S212" s="7"/>
      <c r="T212" s="7"/>
      <c r="U212" s="7"/>
      <c r="V212" s="7"/>
      <c r="W212" s="7"/>
      <c r="X212" s="3" t="s">
        <v>60</v>
      </c>
      <c r="Y212" s="3"/>
      <c r="Z212" s="9">
        <v>2.1791700000000001</v>
      </c>
      <c r="AA212" s="5">
        <f t="shared" si="38"/>
        <v>0.32772592123220901</v>
      </c>
      <c r="AB212" s="9">
        <f t="shared" si="40"/>
        <v>2.2437299999999998</v>
      </c>
      <c r="AC212" s="9">
        <f t="shared" si="31"/>
        <v>4.2297839285714289</v>
      </c>
      <c r="AD212" s="8">
        <f t="shared" si="32"/>
        <v>0.53045972037578737</v>
      </c>
      <c r="AE212" s="3" t="s">
        <v>44</v>
      </c>
      <c r="AF212" s="10">
        <f t="shared" si="33"/>
        <v>45227.75</v>
      </c>
      <c r="AG212" s="11">
        <f t="shared" si="34"/>
        <v>0.76015278230732242</v>
      </c>
      <c r="AH212" s="11">
        <f t="shared" si="35"/>
        <v>0.51519652937354532</v>
      </c>
      <c r="AI212" s="3" t="s">
        <v>45</v>
      </c>
      <c r="AJ212" s="3" t="s">
        <v>40</v>
      </c>
      <c r="AK212" s="3" t="s">
        <v>46</v>
      </c>
      <c r="AL212" s="3" t="s">
        <v>47</v>
      </c>
      <c r="AM212" s="3" t="s">
        <v>39</v>
      </c>
    </row>
    <row r="213" spans="1:39" ht="21" customHeight="1">
      <c r="A213" s="4">
        <v>46173</v>
      </c>
      <c r="B213" s="3" t="s">
        <v>39</v>
      </c>
      <c r="C213" s="3" t="s">
        <v>40</v>
      </c>
      <c r="D213" s="4">
        <v>46057</v>
      </c>
      <c r="E213" s="3">
        <v>116</v>
      </c>
      <c r="F213" s="3" t="s">
        <v>57</v>
      </c>
      <c r="G213" s="3" t="s">
        <v>48</v>
      </c>
      <c r="H213" s="3">
        <v>1</v>
      </c>
      <c r="I213" s="7">
        <v>50886</v>
      </c>
      <c r="J213" s="7">
        <v>31412</v>
      </c>
      <c r="K213" s="7">
        <v>19474</v>
      </c>
      <c r="L213" s="5">
        <f t="shared" si="36"/>
        <v>0.61730141885783907</v>
      </c>
      <c r="M213" s="5">
        <f t="shared" si="37"/>
        <v>-6.9997806857226452E-2</v>
      </c>
      <c r="N213" s="7">
        <f t="shared" si="39"/>
        <v>46960.571428571428</v>
      </c>
      <c r="O213" s="7">
        <f t="shared" si="29"/>
        <v>47471.142857142855</v>
      </c>
      <c r="P213" s="8">
        <f t="shared" si="30"/>
        <v>1.071935431450084</v>
      </c>
      <c r="Q213" s="7"/>
      <c r="R213" s="7"/>
      <c r="S213" s="7"/>
      <c r="T213" s="7"/>
      <c r="U213" s="7"/>
      <c r="V213" s="7"/>
      <c r="W213" s="7"/>
      <c r="X213" s="3" t="s">
        <v>60</v>
      </c>
      <c r="Y213" s="3"/>
      <c r="Z213" s="9">
        <v>2.0276299999999998</v>
      </c>
      <c r="AA213" s="5">
        <f t="shared" si="38"/>
        <v>-6.9540237796959503E-2</v>
      </c>
      <c r="AB213" s="9">
        <f t="shared" si="40"/>
        <v>2.0719442857142858</v>
      </c>
      <c r="AC213" s="9">
        <f t="shared" si="31"/>
        <v>3.9356946428571442</v>
      </c>
      <c r="AD213" s="8">
        <f t="shared" si="32"/>
        <v>0.52644945142648158</v>
      </c>
      <c r="AE213" s="3" t="s">
        <v>44</v>
      </c>
      <c r="AF213" s="10">
        <f t="shared" si="33"/>
        <v>41647.25</v>
      </c>
      <c r="AG213" s="11">
        <f t="shared" si="34"/>
        <v>0.75423947559562754</v>
      </c>
      <c r="AH213" s="11">
        <f t="shared" si="35"/>
        <v>0.51518986710006243</v>
      </c>
      <c r="AI213" s="3" t="s">
        <v>45</v>
      </c>
      <c r="AJ213" s="3" t="s">
        <v>40</v>
      </c>
      <c r="AK213" s="3" t="s">
        <v>46</v>
      </c>
      <c r="AL213" s="3" t="s">
        <v>47</v>
      </c>
      <c r="AM213" s="3" t="s">
        <v>39</v>
      </c>
    </row>
    <row r="214" spans="1:39" ht="21" customHeight="1">
      <c r="A214" s="4">
        <v>46174</v>
      </c>
      <c r="B214" s="3" t="s">
        <v>39</v>
      </c>
      <c r="C214" s="3" t="s">
        <v>40</v>
      </c>
      <c r="D214" s="4">
        <v>46057</v>
      </c>
      <c r="E214" s="3">
        <v>117</v>
      </c>
      <c r="F214" s="3" t="s">
        <v>57</v>
      </c>
      <c r="G214" s="3" t="s">
        <v>49</v>
      </c>
      <c r="H214" s="3">
        <v>0</v>
      </c>
      <c r="I214" s="7">
        <v>37524</v>
      </c>
      <c r="J214" s="7">
        <v>13748</v>
      </c>
      <c r="K214" s="7">
        <v>23776</v>
      </c>
      <c r="L214" s="5">
        <f t="shared" si="36"/>
        <v>0.36637885086877731</v>
      </c>
      <c r="M214" s="5">
        <f t="shared" si="37"/>
        <v>-0.2625869590850135</v>
      </c>
      <c r="N214" s="7">
        <f t="shared" si="39"/>
        <v>43671.142857142855</v>
      </c>
      <c r="O214" s="7">
        <f t="shared" si="29"/>
        <v>47041.142857142855</v>
      </c>
      <c r="P214" s="8">
        <f t="shared" si="30"/>
        <v>0.79768470153786353</v>
      </c>
      <c r="Q214" s="7"/>
      <c r="R214" s="7"/>
      <c r="S214" s="7"/>
      <c r="T214" s="7"/>
      <c r="U214" s="7"/>
      <c r="V214" s="7"/>
      <c r="W214" s="7"/>
      <c r="X214" s="3" t="s">
        <v>61</v>
      </c>
      <c r="Y214" s="3"/>
      <c r="Z214" s="9">
        <v>1.44967</v>
      </c>
      <c r="AA214" s="5">
        <f t="shared" si="38"/>
        <v>-0.28504214279725582</v>
      </c>
      <c r="AB214" s="9">
        <f t="shared" si="40"/>
        <v>1.8556599999999999</v>
      </c>
      <c r="AC214" s="9">
        <f t="shared" si="31"/>
        <v>3.6344639285714293</v>
      </c>
      <c r="AD214" s="8">
        <f t="shared" si="32"/>
        <v>0.51057323348629013</v>
      </c>
      <c r="AE214" s="3" t="s">
        <v>44</v>
      </c>
      <c r="AF214" s="10">
        <f t="shared" si="33"/>
        <v>26133.5</v>
      </c>
      <c r="AG214" s="11">
        <f t="shared" si="34"/>
        <v>0.52606807354544938</v>
      </c>
      <c r="AH214" s="11">
        <f t="shared" si="35"/>
        <v>0.39886762628286987</v>
      </c>
      <c r="AI214" s="3" t="s">
        <v>45</v>
      </c>
      <c r="AJ214" s="3" t="s">
        <v>40</v>
      </c>
      <c r="AK214" s="3" t="s">
        <v>46</v>
      </c>
      <c r="AL214" s="3" t="s">
        <v>47</v>
      </c>
      <c r="AM214" s="3" t="s">
        <v>39</v>
      </c>
    </row>
    <row r="215" spans="1:39" ht="21" customHeight="1">
      <c r="A215" s="4">
        <v>46175</v>
      </c>
      <c r="B215" s="3" t="s">
        <v>39</v>
      </c>
      <c r="C215" s="3" t="s">
        <v>40</v>
      </c>
      <c r="D215" s="4">
        <v>46057</v>
      </c>
      <c r="E215" s="3">
        <v>118</v>
      </c>
      <c r="F215" s="3" t="s">
        <v>57</v>
      </c>
      <c r="G215" s="3" t="s">
        <v>50</v>
      </c>
      <c r="H215" s="3">
        <v>0</v>
      </c>
      <c r="I215" s="7">
        <v>39998</v>
      </c>
      <c r="J215" s="7">
        <v>16212</v>
      </c>
      <c r="K215" s="7">
        <v>23786</v>
      </c>
      <c r="L215" s="5">
        <f t="shared" si="36"/>
        <v>0.40532026601330068</v>
      </c>
      <c r="M215" s="5">
        <f t="shared" si="37"/>
        <v>6.5931137405393914E-2</v>
      </c>
      <c r="N215" s="7">
        <f t="shared" si="39"/>
        <v>43965.142857142855</v>
      </c>
      <c r="O215" s="7">
        <f t="shared" si="29"/>
        <v>46424.535714285717</v>
      </c>
      <c r="P215" s="8">
        <f t="shared" si="30"/>
        <v>0.86157027495466909</v>
      </c>
      <c r="Q215" s="7"/>
      <c r="R215" s="7"/>
      <c r="S215" s="7"/>
      <c r="T215" s="7"/>
      <c r="U215" s="7"/>
      <c r="V215" s="7"/>
      <c r="W215" s="7"/>
      <c r="X215" s="3" t="s">
        <v>61</v>
      </c>
      <c r="Y215" s="3"/>
      <c r="Z215" s="9">
        <v>1.5196400000000001</v>
      </c>
      <c r="AA215" s="5">
        <f t="shared" si="38"/>
        <v>4.8266157125414821E-2</v>
      </c>
      <c r="AB215" s="9">
        <f t="shared" si="40"/>
        <v>1.7666828571428572</v>
      </c>
      <c r="AC215" s="9">
        <f t="shared" si="31"/>
        <v>3.4159960714285718</v>
      </c>
      <c r="AD215" s="8">
        <f t="shared" si="32"/>
        <v>0.51717941713089544</v>
      </c>
      <c r="AE215" s="3" t="s">
        <v>44</v>
      </c>
      <c r="AF215" s="10">
        <f t="shared" si="33"/>
        <v>20062.5</v>
      </c>
      <c r="AG215" s="11">
        <f t="shared" si="34"/>
        <v>0.80807476635514019</v>
      </c>
      <c r="AH215" s="11">
        <f t="shared" si="35"/>
        <v>0.44485999638883827</v>
      </c>
      <c r="AI215" s="3" t="s">
        <v>45</v>
      </c>
      <c r="AJ215" s="3" t="s">
        <v>40</v>
      </c>
      <c r="AK215" s="3" t="s">
        <v>46</v>
      </c>
      <c r="AL215" s="3" t="s">
        <v>47</v>
      </c>
      <c r="AM215" s="3" t="s">
        <v>39</v>
      </c>
    </row>
    <row r="216" spans="1:39" ht="21" customHeight="1">
      <c r="A216" s="4">
        <v>46176</v>
      </c>
      <c r="B216" s="3" t="s">
        <v>39</v>
      </c>
      <c r="C216" s="3" t="s">
        <v>40</v>
      </c>
      <c r="D216" s="4">
        <v>46057</v>
      </c>
      <c r="E216" s="3">
        <v>119</v>
      </c>
      <c r="F216" s="3" t="s">
        <v>57</v>
      </c>
      <c r="G216" s="3" t="s">
        <v>51</v>
      </c>
      <c r="H216" s="3">
        <v>0</v>
      </c>
      <c r="I216" s="7">
        <v>43253</v>
      </c>
      <c r="J216" s="7">
        <v>21364</v>
      </c>
      <c r="K216" s="7">
        <v>21889</v>
      </c>
      <c r="L216" s="5">
        <f t="shared" si="36"/>
        <v>0.4939310568053083</v>
      </c>
      <c r="M216" s="5">
        <f t="shared" si="37"/>
        <v>8.1379068953447709E-2</v>
      </c>
      <c r="N216" s="7">
        <f t="shared" si="39"/>
        <v>44565.142857142855</v>
      </c>
      <c r="O216" s="7">
        <f t="shared" si="29"/>
        <v>46108.392857142855</v>
      </c>
      <c r="P216" s="8">
        <f t="shared" si="30"/>
        <v>0.93807216690484774</v>
      </c>
      <c r="Q216" s="7"/>
      <c r="R216" s="7"/>
      <c r="S216" s="7"/>
      <c r="T216" s="7"/>
      <c r="U216" s="7"/>
      <c r="V216" s="7"/>
      <c r="W216" s="7"/>
      <c r="X216" s="3" t="s">
        <v>61</v>
      </c>
      <c r="Y216" s="3"/>
      <c r="Z216" s="9">
        <v>2.0981000000000001</v>
      </c>
      <c r="AA216" s="5">
        <f t="shared" si="38"/>
        <v>0.38065594482903831</v>
      </c>
      <c r="AB216" s="9">
        <f t="shared" si="40"/>
        <v>1.7923814285714286</v>
      </c>
      <c r="AC216" s="9">
        <f t="shared" si="31"/>
        <v>3.2247503571428573</v>
      </c>
      <c r="AD216" s="8">
        <f t="shared" si="32"/>
        <v>0.55582021243947899</v>
      </c>
      <c r="AE216" s="3" t="s">
        <v>44</v>
      </c>
      <c r="AF216" s="10">
        <f t="shared" si="33"/>
        <v>15428.75</v>
      </c>
      <c r="AG216" s="11">
        <f t="shared" si="34"/>
        <v>1.384687677225958</v>
      </c>
      <c r="AH216" s="11">
        <f t="shared" si="35"/>
        <v>0.65062400732902803</v>
      </c>
      <c r="AI216" s="3" t="s">
        <v>45</v>
      </c>
      <c r="AJ216" s="3" t="s">
        <v>40</v>
      </c>
      <c r="AK216" s="3" t="s">
        <v>46</v>
      </c>
      <c r="AL216" s="3" t="s">
        <v>47</v>
      </c>
      <c r="AM216" s="3" t="s">
        <v>39</v>
      </c>
    </row>
    <row r="217" spans="1:39" ht="21" customHeight="1">
      <c r="A217" s="4">
        <v>46177</v>
      </c>
      <c r="B217" s="3" t="s">
        <v>39</v>
      </c>
      <c r="C217" s="3" t="s">
        <v>40</v>
      </c>
      <c r="D217" s="4">
        <v>46057</v>
      </c>
      <c r="E217" s="3">
        <v>120</v>
      </c>
      <c r="F217" s="3" t="s">
        <v>57</v>
      </c>
      <c r="G217" s="3" t="s">
        <v>52</v>
      </c>
      <c r="H217" s="3">
        <v>0</v>
      </c>
      <c r="I217" s="7">
        <v>40344</v>
      </c>
      <c r="J217" s="7">
        <v>16695</v>
      </c>
      <c r="K217" s="7">
        <v>23650</v>
      </c>
      <c r="L217" s="5">
        <f t="shared" si="36"/>
        <v>0.41381618084473526</v>
      </c>
      <c r="M217" s="5">
        <f t="shared" si="37"/>
        <v>-6.7255450488983404E-2</v>
      </c>
      <c r="N217" s="7">
        <f t="shared" si="39"/>
        <v>44538</v>
      </c>
      <c r="O217" s="7">
        <f t="shared" si="29"/>
        <v>46317</v>
      </c>
      <c r="P217" s="8">
        <f t="shared" si="30"/>
        <v>0.87104087052270229</v>
      </c>
      <c r="Q217" s="7"/>
      <c r="R217" s="7"/>
      <c r="S217" s="7"/>
      <c r="T217" s="7"/>
      <c r="U217" s="7"/>
      <c r="V217" s="7"/>
      <c r="W217" s="7"/>
      <c r="X217" s="3" t="s">
        <v>61</v>
      </c>
      <c r="Y217" s="3"/>
      <c r="Z217" s="9">
        <v>1.2743100000000001</v>
      </c>
      <c r="AA217" s="5">
        <f t="shared" si="38"/>
        <v>-0.39263619465230448</v>
      </c>
      <c r="AB217" s="9">
        <f t="shared" si="40"/>
        <v>1.7414000000000001</v>
      </c>
      <c r="AC217" s="9">
        <f t="shared" si="31"/>
        <v>3.1431489285714287</v>
      </c>
      <c r="AD217" s="8">
        <f t="shared" si="32"/>
        <v>0.55403038149753592</v>
      </c>
      <c r="AE217" s="3" t="s">
        <v>44</v>
      </c>
      <c r="AF217" s="10">
        <f t="shared" si="33"/>
        <v>17098.25</v>
      </c>
      <c r="AG217" s="11">
        <f t="shared" si="34"/>
        <v>0.97641571505855862</v>
      </c>
      <c r="AH217" s="11">
        <f t="shared" si="35"/>
        <v>0.4054246327358017</v>
      </c>
      <c r="AI217" s="3" t="s">
        <v>45</v>
      </c>
      <c r="AJ217" s="3" t="s">
        <v>40</v>
      </c>
      <c r="AK217" s="3" t="s">
        <v>46</v>
      </c>
      <c r="AL217" s="3" t="s">
        <v>47</v>
      </c>
      <c r="AM217" s="3" t="s">
        <v>39</v>
      </c>
    </row>
    <row r="218" spans="1:39" ht="21" customHeight="1">
      <c r="A218" s="4">
        <v>46178</v>
      </c>
      <c r="B218" s="3" t="s">
        <v>39</v>
      </c>
      <c r="C218" s="3" t="s">
        <v>40</v>
      </c>
      <c r="D218" s="4">
        <v>46057</v>
      </c>
      <c r="E218" s="3">
        <v>121</v>
      </c>
      <c r="F218" s="3" t="s">
        <v>57</v>
      </c>
      <c r="G218" s="3" t="s">
        <v>53</v>
      </c>
      <c r="H218" s="3">
        <v>0</v>
      </c>
      <c r="I218" s="7">
        <v>45563</v>
      </c>
      <c r="J218" s="7">
        <v>21710</v>
      </c>
      <c r="K218" s="7">
        <v>23852</v>
      </c>
      <c r="L218" s="5">
        <f t="shared" si="36"/>
        <v>0.47648311129644666</v>
      </c>
      <c r="M218" s="5">
        <f t="shared" si="37"/>
        <v>0.12936248264921679</v>
      </c>
      <c r="N218" s="7">
        <f t="shared" si="39"/>
        <v>44612</v>
      </c>
      <c r="O218" s="7">
        <f t="shared" si="29"/>
        <v>46364.607142857145</v>
      </c>
      <c r="P218" s="8">
        <f t="shared" si="30"/>
        <v>0.98271079618150847</v>
      </c>
      <c r="Q218" s="7"/>
      <c r="R218" s="7"/>
      <c r="S218" s="7"/>
      <c r="T218" s="7"/>
      <c r="U218" s="7"/>
      <c r="V218" s="7"/>
      <c r="W218" s="7"/>
      <c r="X218" s="3" t="s">
        <v>61</v>
      </c>
      <c r="Y218" s="3"/>
      <c r="Z218" s="9">
        <v>1.3356600000000001</v>
      </c>
      <c r="AA218" s="5">
        <f t="shared" si="38"/>
        <v>4.8143701297172603E-2</v>
      </c>
      <c r="AB218" s="9">
        <f t="shared" si="40"/>
        <v>1.69774</v>
      </c>
      <c r="AC218" s="9">
        <f t="shared" si="31"/>
        <v>3.0594928571428572</v>
      </c>
      <c r="AD218" s="8">
        <f t="shared" si="32"/>
        <v>0.55490896016846858</v>
      </c>
      <c r="AE218" s="3" t="s">
        <v>44</v>
      </c>
      <c r="AF218" s="10">
        <f t="shared" si="33"/>
        <v>20860</v>
      </c>
      <c r="AG218" s="11">
        <f t="shared" si="34"/>
        <v>1.0407478427612655</v>
      </c>
      <c r="AH218" s="11">
        <f t="shared" si="35"/>
        <v>0.4365625488818175</v>
      </c>
      <c r="AI218" s="3" t="s">
        <v>45</v>
      </c>
      <c r="AJ218" s="3" t="s">
        <v>40</v>
      </c>
      <c r="AK218" s="3" t="s">
        <v>46</v>
      </c>
      <c r="AL218" s="3" t="s">
        <v>47</v>
      </c>
      <c r="AM218" s="3" t="s">
        <v>39</v>
      </c>
    </row>
    <row r="219" spans="1:39" ht="21" customHeight="1">
      <c r="A219" s="4">
        <v>46179</v>
      </c>
      <c r="B219" s="3" t="s">
        <v>39</v>
      </c>
      <c r="C219" s="3" t="s">
        <v>40</v>
      </c>
      <c r="D219" s="4">
        <v>46057</v>
      </c>
      <c r="E219" s="3">
        <v>122</v>
      </c>
      <c r="F219" s="3" t="s">
        <v>57</v>
      </c>
      <c r="G219" s="3" t="s">
        <v>42</v>
      </c>
      <c r="H219" s="3">
        <v>1</v>
      </c>
      <c r="I219" s="7">
        <v>59136</v>
      </c>
      <c r="J219" s="7">
        <v>39515</v>
      </c>
      <c r="K219" s="7">
        <v>19621</v>
      </c>
      <c r="L219" s="5">
        <f t="shared" si="36"/>
        <v>0.66820549242424243</v>
      </c>
      <c r="M219" s="5">
        <f t="shared" si="37"/>
        <v>0.29789522200030727</v>
      </c>
      <c r="N219" s="7">
        <f t="shared" si="39"/>
        <v>45243.428571428572</v>
      </c>
      <c r="O219" s="7">
        <f t="shared" si="29"/>
        <v>46484.107142857145</v>
      </c>
      <c r="P219" s="8">
        <f t="shared" si="30"/>
        <v>1.2721767424350103</v>
      </c>
      <c r="Q219" s="7"/>
      <c r="R219" s="7"/>
      <c r="S219" s="7"/>
      <c r="T219" s="7"/>
      <c r="U219" s="7"/>
      <c r="V219" s="7"/>
      <c r="W219" s="7"/>
      <c r="X219" s="3" t="s">
        <v>61</v>
      </c>
      <c r="Y219" s="3"/>
      <c r="Z219" s="9">
        <v>1.5841700000000001</v>
      </c>
      <c r="AA219" s="5">
        <f t="shared" si="38"/>
        <v>0.18605782908824109</v>
      </c>
      <c r="AB219" s="9">
        <f t="shared" si="40"/>
        <v>1.6127400000000001</v>
      </c>
      <c r="AC219" s="9">
        <f t="shared" si="31"/>
        <v>2.8903628571428572</v>
      </c>
      <c r="AD219" s="8">
        <f t="shared" si="32"/>
        <v>0.55797146576752099</v>
      </c>
      <c r="AE219" s="3" t="s">
        <v>44</v>
      </c>
      <c r="AF219" s="10">
        <f t="shared" si="33"/>
        <v>38177.75</v>
      </c>
      <c r="AG219" s="11">
        <f t="shared" si="34"/>
        <v>1.0350269463234476</v>
      </c>
      <c r="AH219" s="11">
        <f t="shared" si="35"/>
        <v>0.54808689368710006</v>
      </c>
      <c r="AI219" s="3" t="s">
        <v>45</v>
      </c>
      <c r="AJ219" s="3" t="s">
        <v>40</v>
      </c>
      <c r="AK219" s="3" t="s">
        <v>46</v>
      </c>
      <c r="AL219" s="3" t="s">
        <v>47</v>
      </c>
      <c r="AM219" s="3" t="s">
        <v>39</v>
      </c>
    </row>
    <row r="220" spans="1:39" ht="21" customHeight="1">
      <c r="A220" s="4">
        <v>46180</v>
      </c>
      <c r="B220" s="3" t="s">
        <v>39</v>
      </c>
      <c r="C220" s="3" t="s">
        <v>40</v>
      </c>
      <c r="D220" s="4">
        <v>46057</v>
      </c>
      <c r="E220" s="3">
        <v>123</v>
      </c>
      <c r="F220" s="3" t="s">
        <v>57</v>
      </c>
      <c r="G220" s="3" t="s">
        <v>48</v>
      </c>
      <c r="H220" s="3">
        <v>1</v>
      </c>
      <c r="I220" s="7">
        <v>53088</v>
      </c>
      <c r="J220" s="7">
        <v>33782</v>
      </c>
      <c r="K220" s="7">
        <v>19306</v>
      </c>
      <c r="L220" s="5">
        <f t="shared" si="36"/>
        <v>0.63633966244725737</v>
      </c>
      <c r="M220" s="5">
        <f t="shared" si="37"/>
        <v>-0.10227272727272729</v>
      </c>
      <c r="N220" s="7">
        <f t="shared" si="39"/>
        <v>45558</v>
      </c>
      <c r="O220" s="7">
        <f t="shared" si="29"/>
        <v>46658.75</v>
      </c>
      <c r="P220" s="8">
        <f t="shared" si="30"/>
        <v>1.1377930184584886</v>
      </c>
      <c r="Q220" s="7"/>
      <c r="R220" s="7"/>
      <c r="S220" s="7"/>
      <c r="T220" s="7"/>
      <c r="U220" s="7"/>
      <c r="V220" s="7"/>
      <c r="W220" s="7"/>
      <c r="X220" s="3" t="s">
        <v>61</v>
      </c>
      <c r="Y220" s="3"/>
      <c r="Z220" s="9">
        <v>1.46288</v>
      </c>
      <c r="AA220" s="5">
        <f t="shared" si="38"/>
        <v>-7.656375262755899E-2</v>
      </c>
      <c r="AB220" s="9">
        <f t="shared" si="40"/>
        <v>1.5320614285714285</v>
      </c>
      <c r="AC220" s="9">
        <f t="shared" si="31"/>
        <v>2.5809000000000002</v>
      </c>
      <c r="AD220" s="8">
        <f t="shared" si="32"/>
        <v>0.59361518407200142</v>
      </c>
      <c r="AE220" s="3" t="s">
        <v>44</v>
      </c>
      <c r="AF220" s="10">
        <f t="shared" si="33"/>
        <v>38099</v>
      </c>
      <c r="AG220" s="11">
        <f t="shared" si="34"/>
        <v>0.88668993936848739</v>
      </c>
      <c r="AH220" s="11">
        <f t="shared" si="35"/>
        <v>0.56681002750978338</v>
      </c>
      <c r="AI220" s="3" t="s">
        <v>45</v>
      </c>
      <c r="AJ220" s="3" t="s">
        <v>40</v>
      </c>
      <c r="AK220" s="3" t="s">
        <v>46</v>
      </c>
      <c r="AL220" s="3" t="s">
        <v>47</v>
      </c>
      <c r="AM220" s="3" t="s">
        <v>39</v>
      </c>
    </row>
    <row r="221" spans="1:39" ht="21" customHeight="1">
      <c r="A221" s="4">
        <v>46181</v>
      </c>
      <c r="B221" s="3" t="s">
        <v>39</v>
      </c>
      <c r="C221" s="3" t="s">
        <v>40</v>
      </c>
      <c r="D221" s="4">
        <v>46057</v>
      </c>
      <c r="E221" s="3">
        <v>124</v>
      </c>
      <c r="F221" s="3" t="s">
        <v>57</v>
      </c>
      <c r="G221" s="3" t="s">
        <v>49</v>
      </c>
      <c r="H221" s="3">
        <v>0</v>
      </c>
      <c r="I221" s="7">
        <v>38672</v>
      </c>
      <c r="J221" s="7">
        <v>15228</v>
      </c>
      <c r="K221" s="7">
        <v>23443</v>
      </c>
      <c r="L221" s="5">
        <f t="shared" si="36"/>
        <v>0.39377327265204798</v>
      </c>
      <c r="M221" s="5">
        <f t="shared" si="37"/>
        <v>-0.27154912597950576</v>
      </c>
      <c r="N221" s="7">
        <f t="shared" si="39"/>
        <v>45722</v>
      </c>
      <c r="O221" s="7">
        <f t="shared" si="29"/>
        <v>46768.5</v>
      </c>
      <c r="P221" s="8">
        <f t="shared" si="30"/>
        <v>0.82688134107358591</v>
      </c>
      <c r="Q221" s="7"/>
      <c r="R221" s="7"/>
      <c r="S221" s="7"/>
      <c r="T221" s="7"/>
      <c r="U221" s="7"/>
      <c r="V221" s="7"/>
      <c r="W221" s="7"/>
      <c r="X221" s="3" t="s">
        <v>61</v>
      </c>
      <c r="Y221" s="3"/>
      <c r="Z221" s="9">
        <v>1.04254</v>
      </c>
      <c r="AA221" s="5">
        <f t="shared" si="38"/>
        <v>-0.28733730722957451</v>
      </c>
      <c r="AB221" s="9">
        <f t="shared" si="40"/>
        <v>1.4739000000000002</v>
      </c>
      <c r="AC221" s="9">
        <f t="shared" si="31"/>
        <v>2.4022532142857145</v>
      </c>
      <c r="AD221" s="8">
        <f t="shared" si="32"/>
        <v>0.61354897611751114</v>
      </c>
      <c r="AE221" s="3" t="s">
        <v>44</v>
      </c>
      <c r="AF221" s="10">
        <f t="shared" si="33"/>
        <v>21189.75</v>
      </c>
      <c r="AG221" s="11">
        <f t="shared" si="34"/>
        <v>0.718649346972003</v>
      </c>
      <c r="AH221" s="11">
        <f t="shared" si="35"/>
        <v>0.43398422522664359</v>
      </c>
      <c r="AI221" s="3" t="s">
        <v>45</v>
      </c>
      <c r="AJ221" s="3" t="s">
        <v>40</v>
      </c>
      <c r="AK221" s="3" t="s">
        <v>46</v>
      </c>
      <c r="AL221" s="3" t="s">
        <v>47</v>
      </c>
      <c r="AM221" s="3" t="s">
        <v>39</v>
      </c>
    </row>
    <row r="222" spans="1:39" ht="21" customHeight="1">
      <c r="A222" s="4">
        <v>46182</v>
      </c>
      <c r="B222" s="3" t="s">
        <v>39</v>
      </c>
      <c r="C222" s="3" t="s">
        <v>40</v>
      </c>
      <c r="D222" s="4">
        <v>46057</v>
      </c>
      <c r="E222" s="3">
        <v>125</v>
      </c>
      <c r="F222" s="3" t="s">
        <v>57</v>
      </c>
      <c r="G222" s="3" t="s">
        <v>50</v>
      </c>
      <c r="H222" s="3">
        <v>0</v>
      </c>
      <c r="I222" s="7">
        <v>42746</v>
      </c>
      <c r="J222" s="7">
        <v>18932</v>
      </c>
      <c r="K222" s="7">
        <v>23814</v>
      </c>
      <c r="L222" s="5">
        <f t="shared" si="36"/>
        <v>0.44289524166003835</v>
      </c>
      <c r="M222" s="5">
        <f t="shared" si="37"/>
        <v>0.1053475382705833</v>
      </c>
      <c r="N222" s="7">
        <f t="shared" si="39"/>
        <v>46114.571428571428</v>
      </c>
      <c r="O222" s="7">
        <f t="shared" ref="O222:O285" si="41">AVERAGE(I194:I221)</f>
        <v>46852.5</v>
      </c>
      <c r="P222" s="8">
        <f t="shared" ref="P222:P285" si="42">IFERROR(I222/O222,"")</f>
        <v>0.91235259591270479</v>
      </c>
      <c r="Q222" s="7"/>
      <c r="R222" s="7"/>
      <c r="S222" s="7"/>
      <c r="T222" s="7"/>
      <c r="U222" s="7"/>
      <c r="V222" s="7"/>
      <c r="W222" s="7"/>
      <c r="X222" s="3" t="s">
        <v>61</v>
      </c>
      <c r="Y222" s="3"/>
      <c r="Z222" s="9">
        <v>1.0529999999999999</v>
      </c>
      <c r="AA222" s="5">
        <f t="shared" si="38"/>
        <v>1.0033188175033958E-2</v>
      </c>
      <c r="AB222" s="9">
        <f t="shared" si="40"/>
        <v>1.4072371428571431</v>
      </c>
      <c r="AC222" s="9">
        <f t="shared" ref="AC222:AC285" si="43">AVERAGE(Z194:Z221)</f>
        <v>2.2863410714285712</v>
      </c>
      <c r="AD222" s="8">
        <f t="shared" ref="AD222:AD285" si="44">IFERROR(AB222/AC222,"")</f>
        <v>0.61549746905340819</v>
      </c>
      <c r="AE222" s="3" t="s">
        <v>44</v>
      </c>
      <c r="AF222" s="10">
        <f t="shared" ref="AF222:AF285" si="45">IF(COUNT(J215,J208,J201,J194)=4,AVERAGE(J215,J208,J201,J194),"")</f>
        <v>17018.5</v>
      </c>
      <c r="AG222" s="11">
        <f t="shared" ref="AG222:AG285" si="46">IFERROR(J222/AF222,"")</f>
        <v>1.1124364661985486</v>
      </c>
      <c r="AH222" s="11">
        <f t="shared" ref="AH222:AH285" si="47">IFERROR(Z222/AC222,"")</f>
        <v>0.46056120548193424</v>
      </c>
      <c r="AI222" s="3" t="s">
        <v>45</v>
      </c>
      <c r="AJ222" s="3" t="s">
        <v>40</v>
      </c>
      <c r="AK222" s="3" t="s">
        <v>46</v>
      </c>
      <c r="AL222" s="3" t="s">
        <v>47</v>
      </c>
      <c r="AM222" s="3" t="s">
        <v>39</v>
      </c>
    </row>
    <row r="223" spans="1:39" ht="21" customHeight="1">
      <c r="A223" s="4">
        <v>46183</v>
      </c>
      <c r="B223" s="3" t="s">
        <v>39</v>
      </c>
      <c r="C223" s="3" t="s">
        <v>40</v>
      </c>
      <c r="D223" s="4">
        <v>46057</v>
      </c>
      <c r="E223" s="3">
        <v>126</v>
      </c>
      <c r="F223" s="3" t="s">
        <v>57</v>
      </c>
      <c r="G223" s="3" t="s">
        <v>51</v>
      </c>
      <c r="H223" s="3">
        <v>0</v>
      </c>
      <c r="I223" s="7">
        <v>41076</v>
      </c>
      <c r="J223" s="7">
        <v>17304</v>
      </c>
      <c r="K223" s="7">
        <v>23772</v>
      </c>
      <c r="L223" s="5">
        <f t="shared" si="36"/>
        <v>0.42126789366053169</v>
      </c>
      <c r="M223" s="5">
        <f t="shared" si="37"/>
        <v>-3.9067982969166692E-2</v>
      </c>
      <c r="N223" s="7">
        <f t="shared" si="39"/>
        <v>45803.571428571428</v>
      </c>
      <c r="O223" s="7">
        <f t="shared" si="41"/>
        <v>46940.285714285717</v>
      </c>
      <c r="P223" s="8">
        <f t="shared" si="42"/>
        <v>0.87506923690281269</v>
      </c>
      <c r="Q223" s="7"/>
      <c r="R223" s="7"/>
      <c r="S223" s="7"/>
      <c r="T223" s="7"/>
      <c r="U223" s="7"/>
      <c r="V223" s="7"/>
      <c r="W223" s="7"/>
      <c r="X223" s="3" t="s">
        <v>61</v>
      </c>
      <c r="Y223" s="3"/>
      <c r="Z223" s="9">
        <v>1.02685</v>
      </c>
      <c r="AA223" s="5">
        <f t="shared" si="38"/>
        <v>-2.4833808167141425E-2</v>
      </c>
      <c r="AB223" s="9">
        <f t="shared" si="40"/>
        <v>1.2542014285714287</v>
      </c>
      <c r="AC223" s="9">
        <f t="shared" si="43"/>
        <v>2.2037346428571429</v>
      </c>
      <c r="AD223" s="8">
        <f t="shared" si="44"/>
        <v>0.5691254310661269</v>
      </c>
      <c r="AE223" s="3" t="s">
        <v>44</v>
      </c>
      <c r="AF223" s="10">
        <f t="shared" si="45"/>
        <v>17333.75</v>
      </c>
      <c r="AG223" s="11">
        <f t="shared" si="46"/>
        <v>0.99828369510348314</v>
      </c>
      <c r="AH223" s="11">
        <f t="shared" si="47"/>
        <v>0.46595900433306642</v>
      </c>
      <c r="AI223" s="3" t="s">
        <v>45</v>
      </c>
      <c r="AJ223" s="3" t="s">
        <v>40</v>
      </c>
      <c r="AK223" s="3" t="s">
        <v>46</v>
      </c>
      <c r="AL223" s="3" t="s">
        <v>47</v>
      </c>
      <c r="AM223" s="3" t="s">
        <v>39</v>
      </c>
    </row>
    <row r="224" spans="1:39" ht="21" customHeight="1">
      <c r="A224" s="4">
        <v>46184</v>
      </c>
      <c r="B224" s="3" t="s">
        <v>39</v>
      </c>
      <c r="C224" s="3" t="s">
        <v>40</v>
      </c>
      <c r="D224" s="4">
        <v>46057</v>
      </c>
      <c r="E224" s="3">
        <v>127</v>
      </c>
      <c r="F224" s="3" t="s">
        <v>57</v>
      </c>
      <c r="G224" s="3" t="s">
        <v>52</v>
      </c>
      <c r="H224" s="3">
        <v>0</v>
      </c>
      <c r="I224" s="7">
        <v>47114</v>
      </c>
      <c r="J224" s="7">
        <v>23324</v>
      </c>
      <c r="K224" s="7">
        <v>23790</v>
      </c>
      <c r="L224" s="5">
        <f t="shared" si="36"/>
        <v>0.49505454854183467</v>
      </c>
      <c r="M224" s="5">
        <f t="shared" si="37"/>
        <v>0.1469958126399844</v>
      </c>
      <c r="N224" s="7">
        <f t="shared" si="39"/>
        <v>46770.714285714283</v>
      </c>
      <c r="O224" s="7">
        <f t="shared" si="41"/>
        <v>46950.928571428572</v>
      </c>
      <c r="P224" s="8">
        <f t="shared" si="42"/>
        <v>1.0034732311699297</v>
      </c>
      <c r="Q224" s="7"/>
      <c r="R224" s="7"/>
      <c r="S224" s="7"/>
      <c r="T224" s="7"/>
      <c r="U224" s="7"/>
      <c r="V224" s="7"/>
      <c r="W224" s="7"/>
      <c r="X224" s="3" t="s">
        <v>61</v>
      </c>
      <c r="Y224" s="3"/>
      <c r="Z224" s="9">
        <v>0.93015999999999999</v>
      </c>
      <c r="AA224" s="5">
        <f t="shared" si="38"/>
        <v>-9.4161756829137744E-2</v>
      </c>
      <c r="AB224" s="9">
        <f t="shared" si="40"/>
        <v>1.2050371428571431</v>
      </c>
      <c r="AC224" s="9">
        <f t="shared" si="43"/>
        <v>2.1262882142857142</v>
      </c>
      <c r="AD224" s="8">
        <f t="shared" si="44"/>
        <v>0.56673273865742246</v>
      </c>
      <c r="AE224" s="3" t="s">
        <v>44</v>
      </c>
      <c r="AF224" s="10">
        <f t="shared" si="45"/>
        <v>17430.75</v>
      </c>
      <c r="AG224" s="11">
        <f t="shared" si="46"/>
        <v>1.3380950332028168</v>
      </c>
      <c r="AH224" s="11">
        <f t="shared" si="47"/>
        <v>0.437457158324357</v>
      </c>
      <c r="AI224" s="3" t="s">
        <v>45</v>
      </c>
      <c r="AJ224" s="3" t="s">
        <v>40</v>
      </c>
      <c r="AK224" s="3" t="s">
        <v>46</v>
      </c>
      <c r="AL224" s="3" t="s">
        <v>47</v>
      </c>
      <c r="AM224" s="3" t="s">
        <v>39</v>
      </c>
    </row>
    <row r="225" spans="1:39" ht="21" customHeight="1">
      <c r="A225" s="4">
        <v>46185</v>
      </c>
      <c r="B225" s="3" t="s">
        <v>39</v>
      </c>
      <c r="C225" s="3" t="s">
        <v>40</v>
      </c>
      <c r="D225" s="4">
        <v>46057</v>
      </c>
      <c r="E225" s="3">
        <v>128</v>
      </c>
      <c r="F225" s="3" t="s">
        <v>57</v>
      </c>
      <c r="G225" s="3" t="s">
        <v>53</v>
      </c>
      <c r="H225" s="3">
        <v>0</v>
      </c>
      <c r="I225" s="7">
        <v>46882</v>
      </c>
      <c r="J225" s="7">
        <v>23492</v>
      </c>
      <c r="K225" s="7">
        <v>23390</v>
      </c>
      <c r="L225" s="5">
        <f t="shared" si="36"/>
        <v>0.50108783754959263</v>
      </c>
      <c r="M225" s="5">
        <f t="shared" si="37"/>
        <v>-4.9242263446109824E-3</v>
      </c>
      <c r="N225" s="7">
        <f t="shared" si="39"/>
        <v>46959.142857142855</v>
      </c>
      <c r="O225" s="7">
        <f t="shared" si="41"/>
        <v>47109.821428571428</v>
      </c>
      <c r="P225" s="8">
        <f t="shared" si="42"/>
        <v>0.99516403540359721</v>
      </c>
      <c r="Q225" s="7"/>
      <c r="R225" s="7"/>
      <c r="S225" s="7"/>
      <c r="T225" s="7"/>
      <c r="U225" s="7"/>
      <c r="V225" s="7"/>
      <c r="W225" s="7"/>
      <c r="X225" s="3" t="s">
        <v>61</v>
      </c>
      <c r="Y225" s="3"/>
      <c r="Z225" s="9">
        <v>0.88082000000000005</v>
      </c>
      <c r="AA225" s="5">
        <f t="shared" si="38"/>
        <v>-5.30446374817235E-2</v>
      </c>
      <c r="AB225" s="9">
        <f t="shared" si="40"/>
        <v>1.1400599999999999</v>
      </c>
      <c r="AC225" s="9">
        <f t="shared" si="43"/>
        <v>2.0625235714285717</v>
      </c>
      <c r="AD225" s="8">
        <f t="shared" si="44"/>
        <v>0.55275004649297499</v>
      </c>
      <c r="AE225" s="3" t="s">
        <v>44</v>
      </c>
      <c r="AF225" s="10">
        <f t="shared" si="45"/>
        <v>21605.5</v>
      </c>
      <c r="AG225" s="11">
        <f t="shared" si="46"/>
        <v>1.0873157297910254</v>
      </c>
      <c r="AH225" s="11">
        <f t="shared" si="47"/>
        <v>0.42705936174582243</v>
      </c>
      <c r="AI225" s="3" t="s">
        <v>45</v>
      </c>
      <c r="AJ225" s="3" t="s">
        <v>40</v>
      </c>
      <c r="AK225" s="3" t="s">
        <v>46</v>
      </c>
      <c r="AL225" s="3" t="s">
        <v>47</v>
      </c>
      <c r="AM225" s="3" t="s">
        <v>39</v>
      </c>
    </row>
    <row r="226" spans="1:39" ht="21" customHeight="1">
      <c r="A226" s="4">
        <v>46186</v>
      </c>
      <c r="B226" s="3" t="s">
        <v>39</v>
      </c>
      <c r="C226" s="3" t="s">
        <v>40</v>
      </c>
      <c r="D226" s="4">
        <v>46057</v>
      </c>
      <c r="E226" s="3">
        <v>129</v>
      </c>
      <c r="F226" s="3" t="s">
        <v>57</v>
      </c>
      <c r="G226" s="3" t="s">
        <v>42</v>
      </c>
      <c r="H226" s="3">
        <v>1</v>
      </c>
      <c r="I226" s="7">
        <v>58510</v>
      </c>
      <c r="J226" s="7">
        <v>38423</v>
      </c>
      <c r="K226" s="7">
        <v>20086</v>
      </c>
      <c r="L226" s="5">
        <f t="shared" si="36"/>
        <v>0.65669116390360627</v>
      </c>
      <c r="M226" s="5">
        <f t="shared" si="37"/>
        <v>0.24802696130711155</v>
      </c>
      <c r="N226" s="7">
        <f t="shared" si="39"/>
        <v>46869.714285714283</v>
      </c>
      <c r="O226" s="7">
        <f t="shared" si="41"/>
        <v>47213.428571428572</v>
      </c>
      <c r="P226" s="8">
        <f t="shared" si="42"/>
        <v>1.2392660683703789</v>
      </c>
      <c r="Q226" s="7"/>
      <c r="R226" s="7"/>
      <c r="S226" s="7"/>
      <c r="T226" s="7"/>
      <c r="U226" s="7"/>
      <c r="V226" s="7"/>
      <c r="W226" s="7"/>
      <c r="X226" s="3" t="s">
        <v>61</v>
      </c>
      <c r="Y226" s="3"/>
      <c r="Z226" s="9">
        <v>1.2495000000000001</v>
      </c>
      <c r="AA226" s="5">
        <f t="shared" si="38"/>
        <v>0.41856451942508111</v>
      </c>
      <c r="AB226" s="9">
        <f t="shared" si="40"/>
        <v>1.0922499999999999</v>
      </c>
      <c r="AC226" s="9">
        <f t="shared" si="43"/>
        <v>1.9833528571428574</v>
      </c>
      <c r="AD226" s="8">
        <f t="shared" si="44"/>
        <v>0.55070886457060075</v>
      </c>
      <c r="AE226" s="3" t="s">
        <v>44</v>
      </c>
      <c r="AF226" s="10">
        <f t="shared" si="45"/>
        <v>39559.5</v>
      </c>
      <c r="AG226" s="11">
        <f t="shared" si="46"/>
        <v>0.97127112324473264</v>
      </c>
      <c r="AH226" s="11">
        <f t="shared" si="47"/>
        <v>0.62999379838037606</v>
      </c>
      <c r="AI226" s="3" t="s">
        <v>45</v>
      </c>
      <c r="AJ226" s="3" t="s">
        <v>40</v>
      </c>
      <c r="AK226" s="3" t="s">
        <v>46</v>
      </c>
      <c r="AL226" s="3" t="s">
        <v>47</v>
      </c>
      <c r="AM226" s="3" t="s">
        <v>39</v>
      </c>
    </row>
    <row r="227" spans="1:39" ht="21" customHeight="1">
      <c r="A227" s="4">
        <v>46187</v>
      </c>
      <c r="B227" s="3" t="s">
        <v>39</v>
      </c>
      <c r="C227" s="3" t="s">
        <v>40</v>
      </c>
      <c r="D227" s="4">
        <v>46057</v>
      </c>
      <c r="E227" s="3">
        <v>130</v>
      </c>
      <c r="F227" s="3" t="s">
        <v>57</v>
      </c>
      <c r="G227" s="3" t="s">
        <v>48</v>
      </c>
      <c r="H227" s="3">
        <v>1</v>
      </c>
      <c r="I227" s="7">
        <v>54352</v>
      </c>
      <c r="J227" s="7">
        <v>34822</v>
      </c>
      <c r="K227" s="7">
        <v>19530</v>
      </c>
      <c r="L227" s="5">
        <f t="shared" si="36"/>
        <v>0.64067559611421843</v>
      </c>
      <c r="M227" s="5">
        <f t="shared" si="37"/>
        <v>-7.1064775252093648E-2</v>
      </c>
      <c r="N227" s="7">
        <f t="shared" si="39"/>
        <v>47050.285714285717</v>
      </c>
      <c r="O227" s="7">
        <f t="shared" si="41"/>
        <v>47315.428571428572</v>
      </c>
      <c r="P227" s="8">
        <f t="shared" si="42"/>
        <v>1.1487162145841887</v>
      </c>
      <c r="Q227" s="7"/>
      <c r="R227" s="7"/>
      <c r="S227" s="7"/>
      <c r="T227" s="7"/>
      <c r="U227" s="7"/>
      <c r="V227" s="7"/>
      <c r="W227" s="7"/>
      <c r="X227" s="3" t="s">
        <v>61</v>
      </c>
      <c r="Y227" s="3"/>
      <c r="Z227" s="9">
        <v>1.15584</v>
      </c>
      <c r="AA227" s="5">
        <f t="shared" si="38"/>
        <v>-7.49579831932774E-2</v>
      </c>
      <c r="AB227" s="9">
        <f t="shared" si="40"/>
        <v>1.048387142857143</v>
      </c>
      <c r="AC227" s="9">
        <f t="shared" si="43"/>
        <v>1.8902228571428572</v>
      </c>
      <c r="AD227" s="8">
        <f t="shared" si="44"/>
        <v>0.55463679263820742</v>
      </c>
      <c r="AE227" s="3" t="s">
        <v>44</v>
      </c>
      <c r="AF227" s="10">
        <f t="shared" si="45"/>
        <v>38915.5</v>
      </c>
      <c r="AG227" s="11">
        <f t="shared" si="46"/>
        <v>0.89481055106577068</v>
      </c>
      <c r="AH227" s="11">
        <f t="shared" si="47"/>
        <v>0.61148345319826225</v>
      </c>
      <c r="AI227" s="3" t="s">
        <v>45</v>
      </c>
      <c r="AJ227" s="3" t="s">
        <v>40</v>
      </c>
      <c r="AK227" s="3" t="s">
        <v>46</v>
      </c>
      <c r="AL227" s="3" t="s">
        <v>47</v>
      </c>
      <c r="AM227" s="3" t="s">
        <v>39</v>
      </c>
    </row>
    <row r="228" spans="1:39" ht="21" customHeight="1">
      <c r="A228" s="4">
        <v>46188</v>
      </c>
      <c r="B228" s="3" t="s">
        <v>39</v>
      </c>
      <c r="C228" s="3" t="s">
        <v>40</v>
      </c>
      <c r="D228" s="4">
        <v>46057</v>
      </c>
      <c r="E228" s="3">
        <v>131</v>
      </c>
      <c r="F228" s="3" t="s">
        <v>57</v>
      </c>
      <c r="G228" s="3" t="s">
        <v>49</v>
      </c>
      <c r="H228" s="3">
        <v>0</v>
      </c>
      <c r="I228" s="7">
        <v>39760</v>
      </c>
      <c r="J228" s="7">
        <v>16415</v>
      </c>
      <c r="K228" s="7">
        <v>23345</v>
      </c>
      <c r="L228" s="5">
        <f t="shared" si="36"/>
        <v>0.41285211267605632</v>
      </c>
      <c r="M228" s="5">
        <f t="shared" si="37"/>
        <v>-0.26847218133647333</v>
      </c>
      <c r="N228" s="7">
        <f t="shared" si="39"/>
        <v>47205.714285714283</v>
      </c>
      <c r="O228" s="7">
        <f t="shared" si="41"/>
        <v>47452.571428571428</v>
      </c>
      <c r="P228" s="8">
        <f t="shared" si="42"/>
        <v>0.83788926085595239</v>
      </c>
      <c r="Q228" s="7"/>
      <c r="R228" s="7"/>
      <c r="S228" s="7"/>
      <c r="T228" s="7"/>
      <c r="U228" s="7"/>
      <c r="V228" s="7"/>
      <c r="W228" s="7"/>
      <c r="X228" s="3" t="s">
        <v>61</v>
      </c>
      <c r="Y228" s="3"/>
      <c r="Z228" s="9">
        <v>0.84350000000000003</v>
      </c>
      <c r="AA228" s="5">
        <f t="shared" si="38"/>
        <v>-0.27022771317829453</v>
      </c>
      <c r="AB228" s="9">
        <f t="shared" si="40"/>
        <v>1.0199528571428571</v>
      </c>
      <c r="AC228" s="9">
        <f t="shared" si="43"/>
        <v>1.804647857142857</v>
      </c>
      <c r="AD228" s="8">
        <f t="shared" si="44"/>
        <v>0.56518109785565607</v>
      </c>
      <c r="AE228" s="3" t="s">
        <v>44</v>
      </c>
      <c r="AF228" s="10">
        <f t="shared" si="45"/>
        <v>21605.25</v>
      </c>
      <c r="AG228" s="11">
        <f t="shared" si="46"/>
        <v>0.75976903761817149</v>
      </c>
      <c r="AH228" s="11">
        <f t="shared" si="47"/>
        <v>0.46740420667744048</v>
      </c>
      <c r="AI228" s="3" t="s">
        <v>45</v>
      </c>
      <c r="AJ228" s="3" t="s">
        <v>40</v>
      </c>
      <c r="AK228" s="3" t="s">
        <v>46</v>
      </c>
      <c r="AL228" s="3" t="s">
        <v>47</v>
      </c>
      <c r="AM228" s="3" t="s">
        <v>39</v>
      </c>
    </row>
    <row r="229" spans="1:39" ht="21" customHeight="1">
      <c r="A229" s="4">
        <v>46189</v>
      </c>
      <c r="B229" s="3" t="s">
        <v>39</v>
      </c>
      <c r="C229" s="3" t="s">
        <v>40</v>
      </c>
      <c r="D229" s="4">
        <v>46057</v>
      </c>
      <c r="E229" s="3">
        <v>132</v>
      </c>
      <c r="F229" s="3" t="s">
        <v>57</v>
      </c>
      <c r="G229" s="3" t="s">
        <v>50</v>
      </c>
      <c r="H229" s="3">
        <v>0</v>
      </c>
      <c r="I229" s="7">
        <v>42553</v>
      </c>
      <c r="J229" s="7">
        <v>18907</v>
      </c>
      <c r="K229" s="7">
        <v>23646</v>
      </c>
      <c r="L229" s="5">
        <f t="shared" si="36"/>
        <v>0.44431649942424739</v>
      </c>
      <c r="M229" s="5">
        <f t="shared" si="37"/>
        <v>7.0246478873239537E-2</v>
      </c>
      <c r="N229" s="7">
        <f t="shared" si="39"/>
        <v>47178.142857142855</v>
      </c>
      <c r="O229" s="7">
        <f t="shared" si="41"/>
        <v>47460.428571428572</v>
      </c>
      <c r="P229" s="8">
        <f t="shared" si="42"/>
        <v>0.89659957317825678</v>
      </c>
      <c r="Q229" s="7"/>
      <c r="R229" s="7"/>
      <c r="S229" s="7"/>
      <c r="T229" s="7"/>
      <c r="U229" s="7"/>
      <c r="V229" s="7"/>
      <c r="W229" s="7"/>
      <c r="X229" s="3" t="s">
        <v>61</v>
      </c>
      <c r="Y229" s="3"/>
      <c r="Z229" s="9">
        <v>0.88117999999999996</v>
      </c>
      <c r="AA229" s="5">
        <f t="shared" si="38"/>
        <v>4.467101363366921E-2</v>
      </c>
      <c r="AB229" s="9">
        <f t="shared" si="40"/>
        <v>0.9954071428571426</v>
      </c>
      <c r="AC229" s="9">
        <f t="shared" si="43"/>
        <v>1.743715357142857</v>
      </c>
      <c r="AD229" s="8">
        <f t="shared" si="44"/>
        <v>0.57085414702555271</v>
      </c>
      <c r="AE229" s="3" t="s">
        <v>44</v>
      </c>
      <c r="AF229" s="10">
        <f t="shared" si="45"/>
        <v>17461.5</v>
      </c>
      <c r="AG229" s="11">
        <f t="shared" si="46"/>
        <v>1.082782120665464</v>
      </c>
      <c r="AH229" s="11">
        <f t="shared" si="47"/>
        <v>0.50534624036565601</v>
      </c>
      <c r="AI229" s="3" t="s">
        <v>45</v>
      </c>
      <c r="AJ229" s="3" t="s">
        <v>40</v>
      </c>
      <c r="AK229" s="3" t="s">
        <v>46</v>
      </c>
      <c r="AL229" s="3" t="s">
        <v>47</v>
      </c>
      <c r="AM229" s="3" t="s">
        <v>39</v>
      </c>
    </row>
    <row r="230" spans="1:39" ht="21" customHeight="1">
      <c r="A230" s="4">
        <v>46190</v>
      </c>
      <c r="B230" s="3" t="s">
        <v>39</v>
      </c>
      <c r="C230" s="3" t="s">
        <v>40</v>
      </c>
      <c r="D230" s="4">
        <v>46057</v>
      </c>
      <c r="E230" s="3">
        <v>133</v>
      </c>
      <c r="F230" s="3" t="s">
        <v>57</v>
      </c>
      <c r="G230" s="3" t="s">
        <v>51</v>
      </c>
      <c r="H230" s="3">
        <v>0</v>
      </c>
      <c r="I230" s="7">
        <v>41108</v>
      </c>
      <c r="J230" s="7">
        <v>17560</v>
      </c>
      <c r="K230" s="7">
        <v>23548</v>
      </c>
      <c r="L230" s="5">
        <f t="shared" si="36"/>
        <v>0.42716746132139727</v>
      </c>
      <c r="M230" s="5">
        <f t="shared" si="37"/>
        <v>-3.3957652809437633E-2</v>
      </c>
      <c r="N230" s="7">
        <f t="shared" si="39"/>
        <v>47182.714285714283</v>
      </c>
      <c r="O230" s="7">
        <f t="shared" si="41"/>
        <v>47435.928571428572</v>
      </c>
      <c r="P230" s="8">
        <f t="shared" si="42"/>
        <v>0.86660051226993406</v>
      </c>
      <c r="Q230" s="7"/>
      <c r="R230" s="7"/>
      <c r="S230" s="7"/>
      <c r="T230" s="7"/>
      <c r="U230" s="7"/>
      <c r="V230" s="7"/>
      <c r="W230" s="7"/>
      <c r="X230" s="3" t="s">
        <v>61</v>
      </c>
      <c r="Y230" s="3"/>
      <c r="Z230" s="9">
        <v>0.89348000000000005</v>
      </c>
      <c r="AA230" s="5">
        <f t="shared" si="38"/>
        <v>1.3958555573208686E-2</v>
      </c>
      <c r="AB230" s="9">
        <f t="shared" si="40"/>
        <v>0.97635428571428562</v>
      </c>
      <c r="AC230" s="9">
        <f t="shared" si="43"/>
        <v>1.6931557142857139</v>
      </c>
      <c r="AD230" s="8">
        <f t="shared" si="44"/>
        <v>0.57664766298602199</v>
      </c>
      <c r="AE230" s="3" t="s">
        <v>44</v>
      </c>
      <c r="AF230" s="10">
        <f t="shared" si="45"/>
        <v>17321.5</v>
      </c>
      <c r="AG230" s="11">
        <f t="shared" si="46"/>
        <v>1.0137690153855035</v>
      </c>
      <c r="AH230" s="11">
        <f t="shared" si="47"/>
        <v>0.52770102150759923</v>
      </c>
      <c r="AI230" s="3" t="s">
        <v>45</v>
      </c>
      <c r="AJ230" s="3" t="s">
        <v>40</v>
      </c>
      <c r="AK230" s="3" t="s">
        <v>46</v>
      </c>
      <c r="AL230" s="3" t="s">
        <v>47</v>
      </c>
      <c r="AM230" s="3" t="s">
        <v>39</v>
      </c>
    </row>
    <row r="231" spans="1:39" ht="21" customHeight="1">
      <c r="A231" s="4">
        <v>46191</v>
      </c>
      <c r="B231" s="3" t="s">
        <v>39</v>
      </c>
      <c r="C231" s="3" t="s">
        <v>40</v>
      </c>
      <c r="D231" s="4">
        <v>46057</v>
      </c>
      <c r="E231" s="3">
        <v>134</v>
      </c>
      <c r="F231" s="3" t="s">
        <v>57</v>
      </c>
      <c r="G231" s="3" t="s">
        <v>52</v>
      </c>
      <c r="H231" s="3">
        <v>0</v>
      </c>
      <c r="I231" s="7">
        <v>41272</v>
      </c>
      <c r="J231" s="7">
        <v>17910</v>
      </c>
      <c r="K231" s="7">
        <v>23362</v>
      </c>
      <c r="L231" s="5">
        <f t="shared" si="36"/>
        <v>0.43395037798022873</v>
      </c>
      <c r="M231" s="5">
        <f t="shared" si="37"/>
        <v>3.9894910966236097E-3</v>
      </c>
      <c r="N231" s="7">
        <f t="shared" si="39"/>
        <v>46348.142857142855</v>
      </c>
      <c r="O231" s="7">
        <f t="shared" si="41"/>
        <v>47592.071428571428</v>
      </c>
      <c r="P231" s="8">
        <f t="shared" si="42"/>
        <v>0.86720327065282488</v>
      </c>
      <c r="Q231" s="7"/>
      <c r="R231" s="7"/>
      <c r="S231" s="7"/>
      <c r="T231" s="7"/>
      <c r="U231" s="7"/>
      <c r="V231" s="7"/>
      <c r="W231" s="7"/>
      <c r="X231" s="3" t="s">
        <v>61</v>
      </c>
      <c r="Y231" s="3"/>
      <c r="Z231" s="9">
        <v>0.90774999999999995</v>
      </c>
      <c r="AA231" s="5">
        <f t="shared" si="38"/>
        <v>1.5971258450105053E-2</v>
      </c>
      <c r="AB231" s="9">
        <f t="shared" si="40"/>
        <v>0.97315285714285715</v>
      </c>
      <c r="AC231" s="9">
        <f t="shared" si="43"/>
        <v>1.6390417857142852</v>
      </c>
      <c r="AD231" s="8">
        <f t="shared" si="44"/>
        <v>0.59373279291885939</v>
      </c>
      <c r="AE231" s="3" t="s">
        <v>44</v>
      </c>
      <c r="AF231" s="10">
        <f t="shared" si="45"/>
        <v>18427.25</v>
      </c>
      <c r="AG231" s="11">
        <f t="shared" si="46"/>
        <v>0.9719301577826317</v>
      </c>
      <c r="AH231" s="11">
        <f t="shared" si="47"/>
        <v>0.55382968751123551</v>
      </c>
      <c r="AI231" s="3" t="s">
        <v>45</v>
      </c>
      <c r="AJ231" s="3" t="s">
        <v>40</v>
      </c>
      <c r="AK231" s="3" t="s">
        <v>46</v>
      </c>
      <c r="AL231" s="3" t="s">
        <v>47</v>
      </c>
      <c r="AM231" s="3" t="s">
        <v>39</v>
      </c>
    </row>
    <row r="232" spans="1:39" ht="21" customHeight="1">
      <c r="A232" s="4">
        <v>46192</v>
      </c>
      <c r="B232" s="3" t="s">
        <v>39</v>
      </c>
      <c r="C232" s="3" t="s">
        <v>40</v>
      </c>
      <c r="D232" s="4">
        <v>46057</v>
      </c>
      <c r="E232" s="3">
        <v>135</v>
      </c>
      <c r="F232" s="3" t="s">
        <v>57</v>
      </c>
      <c r="G232" s="3" t="s">
        <v>53</v>
      </c>
      <c r="H232" s="3">
        <v>0</v>
      </c>
      <c r="I232" s="7">
        <v>45112</v>
      </c>
      <c r="J232" s="7">
        <v>21854</v>
      </c>
      <c r="K232" s="7">
        <v>23258</v>
      </c>
      <c r="L232" s="5">
        <f t="shared" si="36"/>
        <v>0.48443873027132472</v>
      </c>
      <c r="M232" s="5">
        <f t="shared" si="37"/>
        <v>9.3041287071137901E-2</v>
      </c>
      <c r="N232" s="7">
        <f t="shared" si="39"/>
        <v>46095.285714285717</v>
      </c>
      <c r="O232" s="7">
        <f t="shared" si="41"/>
        <v>47672.071428571428</v>
      </c>
      <c r="P232" s="8">
        <f t="shared" si="42"/>
        <v>0.9462982968464615</v>
      </c>
      <c r="Q232" s="7"/>
      <c r="R232" s="7"/>
      <c r="S232" s="7"/>
      <c r="T232" s="7"/>
      <c r="U232" s="7"/>
      <c r="V232" s="7"/>
      <c r="W232" s="7"/>
      <c r="X232" s="3" t="s">
        <v>61</v>
      </c>
      <c r="Y232" s="3"/>
      <c r="Z232" s="9">
        <v>0.94571000000000005</v>
      </c>
      <c r="AA232" s="5">
        <f t="shared" si="38"/>
        <v>4.1817681079592495E-2</v>
      </c>
      <c r="AB232" s="9">
        <f t="shared" si="40"/>
        <v>0.98242285714285715</v>
      </c>
      <c r="AC232" s="9">
        <f t="shared" si="43"/>
        <v>1.5922003571428565</v>
      </c>
      <c r="AD232" s="8">
        <f t="shared" si="44"/>
        <v>0.61702213087414326</v>
      </c>
      <c r="AE232" s="3" t="s">
        <v>44</v>
      </c>
      <c r="AF232" s="10">
        <f t="shared" si="45"/>
        <v>22304.5</v>
      </c>
      <c r="AG232" s="11">
        <f t="shared" si="46"/>
        <v>0.9798022820507073</v>
      </c>
      <c r="AH232" s="11">
        <f t="shared" si="47"/>
        <v>0.59396419285889435</v>
      </c>
      <c r="AI232" s="3" t="s">
        <v>45</v>
      </c>
      <c r="AJ232" s="3" t="s">
        <v>40</v>
      </c>
      <c r="AK232" s="3" t="s">
        <v>46</v>
      </c>
      <c r="AL232" s="3" t="s">
        <v>47</v>
      </c>
      <c r="AM232" s="3" t="s">
        <v>39</v>
      </c>
    </row>
    <row r="233" spans="1:39" ht="21" customHeight="1">
      <c r="A233" s="4">
        <v>46193</v>
      </c>
      <c r="B233" s="3" t="s">
        <v>39</v>
      </c>
      <c r="C233" s="3" t="s">
        <v>40</v>
      </c>
      <c r="D233" s="4">
        <v>46057</v>
      </c>
      <c r="E233" s="3">
        <v>136</v>
      </c>
      <c r="F233" s="3" t="s">
        <v>57</v>
      </c>
      <c r="G233" s="3" t="s">
        <v>42</v>
      </c>
      <c r="H233" s="3">
        <v>1</v>
      </c>
      <c r="I233" s="7">
        <v>49224</v>
      </c>
      <c r="J233" s="7">
        <v>30852</v>
      </c>
      <c r="K233" s="7">
        <v>18372</v>
      </c>
      <c r="L233" s="5">
        <f t="shared" si="36"/>
        <v>0.6267674305216967</v>
      </c>
      <c r="M233" s="5">
        <f t="shared" si="37"/>
        <v>9.1150913282496804E-2</v>
      </c>
      <c r="N233" s="7">
        <f t="shared" si="39"/>
        <v>44768.714285714283</v>
      </c>
      <c r="O233" s="7">
        <f t="shared" si="41"/>
        <v>47639.857142857145</v>
      </c>
      <c r="P233" s="8">
        <f t="shared" si="42"/>
        <v>1.0332524686711906</v>
      </c>
      <c r="Q233" s="7"/>
      <c r="R233" s="7"/>
      <c r="S233" s="7"/>
      <c r="T233" s="7"/>
      <c r="U233" s="7"/>
      <c r="V233" s="7"/>
      <c r="W233" s="7"/>
      <c r="X233" s="3" t="s">
        <v>61</v>
      </c>
      <c r="Y233" s="3"/>
      <c r="Z233" s="9">
        <v>1.2438400000000001</v>
      </c>
      <c r="AA233" s="5">
        <f t="shared" si="38"/>
        <v>0.31524463101796529</v>
      </c>
      <c r="AB233" s="9">
        <f t="shared" si="40"/>
        <v>0.98161428571428566</v>
      </c>
      <c r="AC233" s="9">
        <f t="shared" si="43"/>
        <v>1.5436674999999995</v>
      </c>
      <c r="AD233" s="8">
        <f t="shared" si="44"/>
        <v>0.63589748810173563</v>
      </c>
      <c r="AE233" s="3" t="s">
        <v>44</v>
      </c>
      <c r="AF233" s="10">
        <f t="shared" si="45"/>
        <v>40196.5</v>
      </c>
      <c r="AG233" s="11">
        <f t="shared" si="46"/>
        <v>0.76752951127585733</v>
      </c>
      <c r="AH233" s="11">
        <f t="shared" si="47"/>
        <v>0.80576937714890051</v>
      </c>
      <c r="AI233" s="3" t="s">
        <v>45</v>
      </c>
      <c r="AJ233" s="3" t="s">
        <v>40</v>
      </c>
      <c r="AK233" s="3" t="s">
        <v>46</v>
      </c>
      <c r="AL233" s="3" t="s">
        <v>47</v>
      </c>
      <c r="AM233" s="3" t="s">
        <v>39</v>
      </c>
    </row>
    <row r="234" spans="1:39" ht="21" customHeight="1">
      <c r="A234" s="4">
        <v>46194</v>
      </c>
      <c r="B234" s="3" t="s">
        <v>39</v>
      </c>
      <c r="C234" s="3" t="s">
        <v>40</v>
      </c>
      <c r="D234" s="4">
        <v>46057</v>
      </c>
      <c r="E234" s="3">
        <v>137</v>
      </c>
      <c r="F234" s="3" t="s">
        <v>57</v>
      </c>
      <c r="G234" s="3" t="s">
        <v>48</v>
      </c>
      <c r="H234" s="3">
        <v>1</v>
      </c>
      <c r="I234" s="7">
        <v>50718</v>
      </c>
      <c r="J234" s="7">
        <v>31028</v>
      </c>
      <c r="K234" s="7">
        <v>19691</v>
      </c>
      <c r="L234" s="5">
        <f t="shared" si="36"/>
        <v>0.61177491225994718</v>
      </c>
      <c r="M234" s="5">
        <f t="shared" si="37"/>
        <v>3.0351048269136927E-2</v>
      </c>
      <c r="N234" s="7">
        <f t="shared" si="39"/>
        <v>44249.571428571428</v>
      </c>
      <c r="O234" s="7">
        <f t="shared" si="41"/>
        <v>46954.5</v>
      </c>
      <c r="P234" s="8">
        <f t="shared" si="42"/>
        <v>1.0801520621026739</v>
      </c>
      <c r="Q234" s="7"/>
      <c r="R234" s="7"/>
      <c r="S234" s="7"/>
      <c r="T234" s="7"/>
      <c r="U234" s="7"/>
      <c r="V234" s="7"/>
      <c r="W234" s="7"/>
      <c r="X234" s="3" t="s">
        <v>61</v>
      </c>
      <c r="Y234" s="3"/>
      <c r="Z234" s="9">
        <v>1.0608500000000001</v>
      </c>
      <c r="AA234" s="5">
        <f t="shared" si="38"/>
        <v>-0.14711699253923327</v>
      </c>
      <c r="AB234" s="9">
        <f t="shared" si="40"/>
        <v>0.9680442857142858</v>
      </c>
      <c r="AC234" s="9">
        <f t="shared" si="43"/>
        <v>1.4825835714285707</v>
      </c>
      <c r="AD234" s="8">
        <f t="shared" si="44"/>
        <v>0.65294416070016814</v>
      </c>
      <c r="AE234" s="3" t="s">
        <v>44</v>
      </c>
      <c r="AF234" s="10">
        <f t="shared" si="45"/>
        <v>39850</v>
      </c>
      <c r="AG234" s="11">
        <f t="shared" si="46"/>
        <v>0.77861982434127985</v>
      </c>
      <c r="AH234" s="11">
        <f t="shared" si="47"/>
        <v>0.71554145104805023</v>
      </c>
      <c r="AI234" s="3" t="s">
        <v>45</v>
      </c>
      <c r="AJ234" s="3" t="s">
        <v>40</v>
      </c>
      <c r="AK234" s="3" t="s">
        <v>46</v>
      </c>
      <c r="AL234" s="3" t="s">
        <v>47</v>
      </c>
      <c r="AM234" s="3" t="s">
        <v>39</v>
      </c>
    </row>
    <row r="235" spans="1:39" ht="21" customHeight="1">
      <c r="A235" s="4">
        <v>46195</v>
      </c>
      <c r="B235" s="3" t="s">
        <v>39</v>
      </c>
      <c r="C235" s="3" t="s">
        <v>40</v>
      </c>
      <c r="D235" s="4">
        <v>46057</v>
      </c>
      <c r="E235" s="3">
        <v>138</v>
      </c>
      <c r="F235" s="3" t="s">
        <v>57</v>
      </c>
      <c r="G235" s="3" t="s">
        <v>49</v>
      </c>
      <c r="H235" s="3">
        <v>0</v>
      </c>
      <c r="I235" s="7">
        <v>40054</v>
      </c>
      <c r="J235" s="7">
        <v>16544</v>
      </c>
      <c r="K235" s="7">
        <v>23510</v>
      </c>
      <c r="L235" s="5">
        <f t="shared" si="36"/>
        <v>0.41304239276976085</v>
      </c>
      <c r="M235" s="5">
        <f t="shared" si="37"/>
        <v>-0.21026065696596874</v>
      </c>
      <c r="N235" s="7">
        <f t="shared" si="39"/>
        <v>44291.571428571428</v>
      </c>
      <c r="O235" s="7">
        <f t="shared" si="41"/>
        <v>45954.607142857145</v>
      </c>
      <c r="P235" s="8">
        <f t="shared" si="42"/>
        <v>0.87159922563336956</v>
      </c>
      <c r="Q235" s="7"/>
      <c r="R235" s="7"/>
      <c r="S235" s="7"/>
      <c r="T235" s="7"/>
      <c r="U235" s="7"/>
      <c r="V235" s="7"/>
      <c r="W235" s="7"/>
      <c r="X235" s="3" t="s">
        <v>61</v>
      </c>
      <c r="Y235" s="3"/>
      <c r="Z235" s="9">
        <v>0.74970999999999999</v>
      </c>
      <c r="AA235" s="5">
        <f t="shared" si="38"/>
        <v>-0.2932931140123487</v>
      </c>
      <c r="AB235" s="9">
        <f t="shared" si="40"/>
        <v>0.95464571428571432</v>
      </c>
      <c r="AC235" s="9">
        <f t="shared" si="43"/>
        <v>1.4051092857142855</v>
      </c>
      <c r="AD235" s="8">
        <f t="shared" si="44"/>
        <v>0.6794102949795976</v>
      </c>
      <c r="AE235" s="3" t="s">
        <v>44</v>
      </c>
      <c r="AF235" s="10">
        <f t="shared" si="45"/>
        <v>21573</v>
      </c>
      <c r="AG235" s="11">
        <f t="shared" si="46"/>
        <v>0.76688453159041392</v>
      </c>
      <c r="AH235" s="11">
        <f t="shared" si="47"/>
        <v>0.5335599213685972</v>
      </c>
      <c r="AI235" s="3" t="s">
        <v>45</v>
      </c>
      <c r="AJ235" s="3" t="s">
        <v>40</v>
      </c>
      <c r="AK235" s="3" t="s">
        <v>46</v>
      </c>
      <c r="AL235" s="3" t="s">
        <v>47</v>
      </c>
      <c r="AM235" s="3" t="s">
        <v>39</v>
      </c>
    </row>
    <row r="236" spans="1:39" ht="21" customHeight="1">
      <c r="A236" s="4">
        <v>46196</v>
      </c>
      <c r="B236" s="3" t="s">
        <v>39</v>
      </c>
      <c r="C236" s="3" t="s">
        <v>40</v>
      </c>
      <c r="D236" s="4">
        <v>46057</v>
      </c>
      <c r="E236" s="3">
        <v>139</v>
      </c>
      <c r="F236" s="3" t="s">
        <v>57</v>
      </c>
      <c r="G236" s="3" t="s">
        <v>50</v>
      </c>
      <c r="H236" s="3">
        <v>0</v>
      </c>
      <c r="I236" s="7">
        <v>43194</v>
      </c>
      <c r="J236" s="7">
        <v>19722</v>
      </c>
      <c r="K236" s="7">
        <v>23471</v>
      </c>
      <c r="L236" s="5">
        <f t="shared" si="36"/>
        <v>0.45659119322128072</v>
      </c>
      <c r="M236" s="5">
        <f t="shared" si="37"/>
        <v>7.8394167873371057E-2</v>
      </c>
      <c r="N236" s="7">
        <f t="shared" si="39"/>
        <v>44383.142857142855</v>
      </c>
      <c r="O236" s="7">
        <f t="shared" si="41"/>
        <v>45222.607142857145</v>
      </c>
      <c r="P236" s="8">
        <f t="shared" si="42"/>
        <v>0.95514174721398037</v>
      </c>
      <c r="Q236" s="7"/>
      <c r="R236" s="7"/>
      <c r="S236" s="7"/>
      <c r="T236" s="7"/>
      <c r="U236" s="7"/>
      <c r="V236" s="7"/>
      <c r="W236" s="7"/>
      <c r="X236" s="3" t="s">
        <v>61</v>
      </c>
      <c r="Y236" s="3"/>
      <c r="Z236" s="9">
        <v>0.74809000000000003</v>
      </c>
      <c r="AA236" s="5">
        <f t="shared" si="38"/>
        <v>-2.1608355230688936E-3</v>
      </c>
      <c r="AB236" s="9">
        <f t="shared" si="40"/>
        <v>0.93563285714285727</v>
      </c>
      <c r="AC236" s="9">
        <f t="shared" si="43"/>
        <v>1.3260396428571428</v>
      </c>
      <c r="AD236" s="8">
        <f t="shared" si="44"/>
        <v>0.70558437840282207</v>
      </c>
      <c r="AE236" s="3" t="s">
        <v>44</v>
      </c>
      <c r="AF236" s="10">
        <f t="shared" si="45"/>
        <v>17156.25</v>
      </c>
      <c r="AG236" s="11">
        <f t="shared" si="46"/>
        <v>1.149551912568306</v>
      </c>
      <c r="AH236" s="11">
        <f t="shared" si="47"/>
        <v>0.56415357114673637</v>
      </c>
      <c r="AI236" s="3" t="s">
        <v>45</v>
      </c>
      <c r="AJ236" s="3" t="s">
        <v>40</v>
      </c>
      <c r="AK236" s="3" t="s">
        <v>46</v>
      </c>
      <c r="AL236" s="3" t="s">
        <v>47</v>
      </c>
      <c r="AM236" s="3" t="s">
        <v>39</v>
      </c>
    </row>
    <row r="237" spans="1:39" ht="21" customHeight="1">
      <c r="A237" s="4">
        <v>46197</v>
      </c>
      <c r="B237" s="3" t="s">
        <v>39</v>
      </c>
      <c r="C237" s="3" t="s">
        <v>40</v>
      </c>
      <c r="D237" s="4">
        <v>46057</v>
      </c>
      <c r="E237" s="3">
        <v>140</v>
      </c>
      <c r="F237" s="3" t="s">
        <v>57</v>
      </c>
      <c r="G237" s="3" t="s">
        <v>51</v>
      </c>
      <c r="H237" s="3">
        <v>0</v>
      </c>
      <c r="I237" s="7">
        <v>43400</v>
      </c>
      <c r="J237" s="7">
        <v>19558</v>
      </c>
      <c r="K237" s="7">
        <v>23842</v>
      </c>
      <c r="L237" s="5">
        <f t="shared" si="36"/>
        <v>0.45064516129032256</v>
      </c>
      <c r="M237" s="5">
        <f t="shared" si="37"/>
        <v>4.7691809047551992E-3</v>
      </c>
      <c r="N237" s="7">
        <f t="shared" si="39"/>
        <v>44710.571428571428</v>
      </c>
      <c r="O237" s="7">
        <f t="shared" si="41"/>
        <v>45410.25</v>
      </c>
      <c r="P237" s="8">
        <f t="shared" si="42"/>
        <v>0.95573136021052518</v>
      </c>
      <c r="Q237" s="7"/>
      <c r="R237" s="7"/>
      <c r="S237" s="7"/>
      <c r="T237" s="7"/>
      <c r="U237" s="7"/>
      <c r="V237" s="7"/>
      <c r="W237" s="7"/>
      <c r="X237" s="3" t="s">
        <v>61</v>
      </c>
      <c r="Y237" s="3"/>
      <c r="Z237" s="9">
        <v>0.75756000000000001</v>
      </c>
      <c r="AA237" s="5">
        <f t="shared" si="38"/>
        <v>1.2658904677244731E-2</v>
      </c>
      <c r="AB237" s="9">
        <f t="shared" si="40"/>
        <v>0.91621571428571436</v>
      </c>
      <c r="AC237" s="9">
        <f t="shared" si="43"/>
        <v>1.27624</v>
      </c>
      <c r="AD237" s="8">
        <f t="shared" si="44"/>
        <v>0.71790236498285143</v>
      </c>
      <c r="AE237" s="3" t="s">
        <v>44</v>
      </c>
      <c r="AF237" s="10">
        <f t="shared" si="45"/>
        <v>17975.25</v>
      </c>
      <c r="AG237" s="11">
        <f t="shared" si="46"/>
        <v>1.0880516265420508</v>
      </c>
      <c r="AH237" s="11">
        <f t="shared" si="47"/>
        <v>0.59358741302576312</v>
      </c>
      <c r="AI237" s="3" t="s">
        <v>45</v>
      </c>
      <c r="AJ237" s="3" t="s">
        <v>40</v>
      </c>
      <c r="AK237" s="3" t="s">
        <v>46</v>
      </c>
      <c r="AL237" s="3" t="s">
        <v>47</v>
      </c>
      <c r="AM237" s="3" t="s">
        <v>39</v>
      </c>
    </row>
    <row r="238" spans="1:39" ht="21" customHeight="1">
      <c r="A238" s="4">
        <v>46198</v>
      </c>
      <c r="B238" s="3" t="s">
        <v>39</v>
      </c>
      <c r="C238" s="3" t="s">
        <v>40</v>
      </c>
      <c r="D238" s="4">
        <v>46057</v>
      </c>
      <c r="E238" s="3">
        <v>141</v>
      </c>
      <c r="F238" s="3" t="s">
        <v>57</v>
      </c>
      <c r="G238" s="3" t="s">
        <v>52</v>
      </c>
      <c r="H238" s="3">
        <v>0</v>
      </c>
      <c r="I238" s="7">
        <v>40887</v>
      </c>
      <c r="J238" s="7">
        <v>17927</v>
      </c>
      <c r="K238" s="7">
        <v>22960</v>
      </c>
      <c r="L238" s="5">
        <f t="shared" si="36"/>
        <v>0.438452319808252</v>
      </c>
      <c r="M238" s="5">
        <f t="shared" si="37"/>
        <v>-5.7903225806451575E-2</v>
      </c>
      <c r="N238" s="7">
        <f t="shared" si="39"/>
        <v>44655.571428571428</v>
      </c>
      <c r="O238" s="7">
        <f t="shared" si="41"/>
        <v>45565.5</v>
      </c>
      <c r="P238" s="8">
        <f t="shared" si="42"/>
        <v>0.89732363301181817</v>
      </c>
      <c r="Q238" s="7"/>
      <c r="R238" s="7"/>
      <c r="S238" s="7"/>
      <c r="T238" s="7"/>
      <c r="U238" s="7"/>
      <c r="V238" s="7"/>
      <c r="W238" s="7"/>
      <c r="X238" s="3" t="s">
        <v>61</v>
      </c>
      <c r="Y238" s="3"/>
      <c r="Z238" s="9">
        <v>0.71352000000000004</v>
      </c>
      <c r="AA238" s="5">
        <f t="shared" si="38"/>
        <v>-5.8134009187391089E-2</v>
      </c>
      <c r="AB238" s="9">
        <f t="shared" si="40"/>
        <v>0.8884685714285715</v>
      </c>
      <c r="AC238" s="9">
        <f t="shared" si="43"/>
        <v>1.2347882142857143</v>
      </c>
      <c r="AD238" s="8">
        <f t="shared" si="44"/>
        <v>0.71953113995546381</v>
      </c>
      <c r="AE238" s="3" t="s">
        <v>44</v>
      </c>
      <c r="AF238" s="10">
        <f t="shared" si="45"/>
        <v>18800.25</v>
      </c>
      <c r="AG238" s="11">
        <f t="shared" si="46"/>
        <v>0.9535511495857768</v>
      </c>
      <c r="AH238" s="11">
        <f t="shared" si="47"/>
        <v>0.57784808094621209</v>
      </c>
      <c r="AI238" s="3" t="s">
        <v>45</v>
      </c>
      <c r="AJ238" s="3" t="s">
        <v>40</v>
      </c>
      <c r="AK238" s="3" t="s">
        <v>46</v>
      </c>
      <c r="AL238" s="3" t="s">
        <v>47</v>
      </c>
      <c r="AM238" s="3" t="s">
        <v>39</v>
      </c>
    </row>
    <row r="239" spans="1:39" ht="21" customHeight="1">
      <c r="A239" s="4">
        <v>46199</v>
      </c>
      <c r="B239" s="3" t="s">
        <v>39</v>
      </c>
      <c r="C239" s="3" t="s">
        <v>40</v>
      </c>
      <c r="D239" s="4">
        <v>46057</v>
      </c>
      <c r="E239" s="3">
        <v>142</v>
      </c>
      <c r="F239" s="3" t="s">
        <v>57</v>
      </c>
      <c r="G239" s="3" t="s">
        <v>53</v>
      </c>
      <c r="H239" s="3">
        <v>0</v>
      </c>
      <c r="I239" s="7">
        <v>46725</v>
      </c>
      <c r="J239" s="7">
        <v>23230</v>
      </c>
      <c r="K239" s="7">
        <v>23496</v>
      </c>
      <c r="L239" s="5">
        <f t="shared" si="36"/>
        <v>0.49716425896201177</v>
      </c>
      <c r="M239" s="5">
        <f t="shared" si="37"/>
        <v>0.14278376990241393</v>
      </c>
      <c r="N239" s="7">
        <f t="shared" si="39"/>
        <v>44886</v>
      </c>
      <c r="O239" s="7">
        <f t="shared" si="41"/>
        <v>45578.107142857145</v>
      </c>
      <c r="P239" s="8">
        <f t="shared" si="42"/>
        <v>1.0251632401834527</v>
      </c>
      <c r="Q239" s="7"/>
      <c r="R239" s="7"/>
      <c r="S239" s="7"/>
      <c r="T239" s="7"/>
      <c r="U239" s="7"/>
      <c r="V239" s="7"/>
      <c r="W239" s="7"/>
      <c r="X239" s="3" t="s">
        <v>61</v>
      </c>
      <c r="Y239" s="3"/>
      <c r="Z239" s="9">
        <v>0.80293000000000003</v>
      </c>
      <c r="AA239" s="5">
        <f t="shared" si="38"/>
        <v>0.12530833053032842</v>
      </c>
      <c r="AB239" s="9">
        <f t="shared" si="40"/>
        <v>0.86807142857142849</v>
      </c>
      <c r="AC239" s="9">
        <f t="shared" si="43"/>
        <v>1.202014642857143</v>
      </c>
      <c r="AD239" s="8">
        <f t="shared" si="44"/>
        <v>0.7221804108043608</v>
      </c>
      <c r="AE239" s="3" t="s">
        <v>44</v>
      </c>
      <c r="AF239" s="10">
        <f t="shared" si="45"/>
        <v>22101.5</v>
      </c>
      <c r="AG239" s="11">
        <f t="shared" si="46"/>
        <v>1.0510598828133837</v>
      </c>
      <c r="AH239" s="11">
        <f t="shared" si="47"/>
        <v>0.66798687085164454</v>
      </c>
      <c r="AI239" s="3" t="s">
        <v>45</v>
      </c>
      <c r="AJ239" s="3" t="s">
        <v>40</v>
      </c>
      <c r="AK239" s="3" t="s">
        <v>46</v>
      </c>
      <c r="AL239" s="3" t="s">
        <v>47</v>
      </c>
      <c r="AM239" s="3" t="s">
        <v>39</v>
      </c>
    </row>
    <row r="240" spans="1:39" ht="21" customHeight="1">
      <c r="A240" s="4">
        <v>46200</v>
      </c>
      <c r="B240" s="3" t="s">
        <v>39</v>
      </c>
      <c r="C240" s="3" t="s">
        <v>40</v>
      </c>
      <c r="D240" s="4">
        <v>46057</v>
      </c>
      <c r="E240" s="3">
        <v>143</v>
      </c>
      <c r="F240" s="3" t="s">
        <v>57</v>
      </c>
      <c r="G240" s="3" t="s">
        <v>42</v>
      </c>
      <c r="H240" s="3">
        <v>1</v>
      </c>
      <c r="I240" s="7">
        <v>57698</v>
      </c>
      <c r="J240" s="7">
        <v>37754</v>
      </c>
      <c r="K240" s="7">
        <v>19943</v>
      </c>
      <c r="L240" s="5">
        <f t="shared" si="36"/>
        <v>0.65433810530694303</v>
      </c>
      <c r="M240" s="5">
        <f t="shared" si="37"/>
        <v>0.23484216158373461</v>
      </c>
      <c r="N240" s="7">
        <f t="shared" si="39"/>
        <v>46096.571428571428</v>
      </c>
      <c r="O240" s="7">
        <f t="shared" si="41"/>
        <v>45638.107142857145</v>
      </c>
      <c r="P240" s="8">
        <f t="shared" si="42"/>
        <v>1.2642505049430026</v>
      </c>
      <c r="Q240" s="7"/>
      <c r="R240" s="7"/>
      <c r="S240" s="7"/>
      <c r="T240" s="7"/>
      <c r="U240" s="7"/>
      <c r="V240" s="7"/>
      <c r="W240" s="7"/>
      <c r="X240" s="3" t="s">
        <v>61</v>
      </c>
      <c r="Y240" s="3"/>
      <c r="Z240" s="9">
        <v>1.14666</v>
      </c>
      <c r="AA240" s="5">
        <f t="shared" si="38"/>
        <v>0.42809460351462758</v>
      </c>
      <c r="AB240" s="9">
        <f t="shared" si="40"/>
        <v>0.85418857142857141</v>
      </c>
      <c r="AC240" s="9">
        <f t="shared" si="43"/>
        <v>1.1720735714285717</v>
      </c>
      <c r="AD240" s="8">
        <f t="shared" si="44"/>
        <v>0.72878409022349255</v>
      </c>
      <c r="AE240" s="3" t="s">
        <v>44</v>
      </c>
      <c r="AF240" s="10">
        <f t="shared" si="45"/>
        <v>35792.5</v>
      </c>
      <c r="AG240" s="11">
        <f t="shared" si="46"/>
        <v>1.0548019836557938</v>
      </c>
      <c r="AH240" s="11">
        <f t="shared" si="47"/>
        <v>0.9783174264414165</v>
      </c>
      <c r="AI240" s="3" t="s">
        <v>45</v>
      </c>
      <c r="AJ240" s="3" t="s">
        <v>40</v>
      </c>
      <c r="AK240" s="3" t="s">
        <v>46</v>
      </c>
      <c r="AL240" s="3" t="s">
        <v>47</v>
      </c>
      <c r="AM240" s="3" t="s">
        <v>39</v>
      </c>
    </row>
    <row r="241" spans="1:39" ht="21" customHeight="1">
      <c r="A241" s="4">
        <v>46201</v>
      </c>
      <c r="B241" s="3" t="s">
        <v>39</v>
      </c>
      <c r="C241" s="3" t="s">
        <v>40</v>
      </c>
      <c r="D241" s="4">
        <v>46057</v>
      </c>
      <c r="E241" s="3">
        <v>144</v>
      </c>
      <c r="F241" s="3" t="s">
        <v>57</v>
      </c>
      <c r="G241" s="3" t="s">
        <v>48</v>
      </c>
      <c r="H241" s="3">
        <v>1</v>
      </c>
      <c r="I241" s="7">
        <v>54730</v>
      </c>
      <c r="J241" s="7">
        <v>35410</v>
      </c>
      <c r="K241" s="7">
        <v>19320</v>
      </c>
      <c r="L241" s="5">
        <f t="shared" si="36"/>
        <v>0.6469943358304403</v>
      </c>
      <c r="M241" s="5">
        <f t="shared" si="37"/>
        <v>-5.144025789455442E-2</v>
      </c>
      <c r="N241" s="7">
        <f t="shared" si="39"/>
        <v>46669.714285714283</v>
      </c>
      <c r="O241" s="7">
        <f t="shared" si="41"/>
        <v>45744.607142857145</v>
      </c>
      <c r="P241" s="8">
        <f t="shared" si="42"/>
        <v>1.1964251836086846</v>
      </c>
      <c r="Q241" s="7"/>
      <c r="R241" s="7"/>
      <c r="S241" s="7"/>
      <c r="T241" s="7"/>
      <c r="U241" s="7"/>
      <c r="V241" s="7"/>
      <c r="W241" s="7"/>
      <c r="X241" s="3" t="s">
        <v>61</v>
      </c>
      <c r="Y241" s="3"/>
      <c r="Z241" s="9">
        <v>0.99334999999999996</v>
      </c>
      <c r="AA241" s="5">
        <f t="shared" si="38"/>
        <v>-0.13370135872882982</v>
      </c>
      <c r="AB241" s="9">
        <f t="shared" si="40"/>
        <v>0.84454571428571434</v>
      </c>
      <c r="AC241" s="9">
        <f t="shared" si="43"/>
        <v>1.1351982142857142</v>
      </c>
      <c r="AD241" s="8">
        <f t="shared" si="44"/>
        <v>0.74396321598965576</v>
      </c>
      <c r="AE241" s="3" t="s">
        <v>44</v>
      </c>
      <c r="AF241" s="10">
        <f t="shared" si="45"/>
        <v>32761</v>
      </c>
      <c r="AG241" s="11">
        <f t="shared" si="46"/>
        <v>1.0808583376575807</v>
      </c>
      <c r="AH241" s="11">
        <f t="shared" si="47"/>
        <v>0.87504542158307785</v>
      </c>
      <c r="AI241" s="3" t="s">
        <v>45</v>
      </c>
      <c r="AJ241" s="3" t="s">
        <v>40</v>
      </c>
      <c r="AK241" s="3" t="s">
        <v>46</v>
      </c>
      <c r="AL241" s="3" t="s">
        <v>47</v>
      </c>
      <c r="AM241" s="3" t="s">
        <v>39</v>
      </c>
    </row>
    <row r="242" spans="1:39" ht="21" customHeight="1">
      <c r="A242" s="4">
        <v>46202</v>
      </c>
      <c r="B242" s="3" t="s">
        <v>39</v>
      </c>
      <c r="C242" s="3" t="s">
        <v>40</v>
      </c>
      <c r="D242" s="4">
        <v>46057</v>
      </c>
      <c r="E242" s="3">
        <v>145</v>
      </c>
      <c r="F242" s="3" t="s">
        <v>57</v>
      </c>
      <c r="G242" s="3" t="s">
        <v>49</v>
      </c>
      <c r="H242" s="3">
        <v>0</v>
      </c>
      <c r="I242" s="7">
        <v>42091</v>
      </c>
      <c r="J242" s="7">
        <v>18844</v>
      </c>
      <c r="K242" s="7">
        <v>23247</v>
      </c>
      <c r="L242" s="5">
        <f t="shared" si="36"/>
        <v>0.44769665724264096</v>
      </c>
      <c r="M242" s="5">
        <f t="shared" si="37"/>
        <v>-0.23093367440160795</v>
      </c>
      <c r="N242" s="7">
        <f t="shared" si="39"/>
        <v>46960.714285714283</v>
      </c>
      <c r="O242" s="7">
        <f t="shared" si="41"/>
        <v>45881.892857142855</v>
      </c>
      <c r="P242" s="8">
        <f t="shared" si="42"/>
        <v>0.91737714769209455</v>
      </c>
      <c r="Q242" s="7"/>
      <c r="R242" s="7"/>
      <c r="S242" s="7"/>
      <c r="T242" s="7"/>
      <c r="U242" s="7"/>
      <c r="V242" s="7"/>
      <c r="W242" s="7"/>
      <c r="X242" s="3" t="s">
        <v>61</v>
      </c>
      <c r="Y242" s="3"/>
      <c r="Z242" s="9">
        <v>0.68857000000000002</v>
      </c>
      <c r="AA242" s="5">
        <f t="shared" si="38"/>
        <v>-0.30682035536316499</v>
      </c>
      <c r="AB242" s="9">
        <f t="shared" si="40"/>
        <v>0.83581142857142865</v>
      </c>
      <c r="AC242" s="9">
        <f t="shared" si="43"/>
        <v>1.0982596428571429</v>
      </c>
      <c r="AD242" s="8">
        <f t="shared" si="44"/>
        <v>0.76103263377414987</v>
      </c>
      <c r="AE242" s="3" t="s">
        <v>44</v>
      </c>
      <c r="AF242" s="10">
        <f t="shared" si="45"/>
        <v>15483.75</v>
      </c>
      <c r="AG242" s="11">
        <f t="shared" si="46"/>
        <v>1.2170178412852184</v>
      </c>
      <c r="AH242" s="11">
        <f t="shared" si="47"/>
        <v>0.62696467495488806</v>
      </c>
      <c r="AI242" s="3" t="s">
        <v>45</v>
      </c>
      <c r="AJ242" s="3" t="s">
        <v>40</v>
      </c>
      <c r="AK242" s="3" t="s">
        <v>46</v>
      </c>
      <c r="AL242" s="3" t="s">
        <v>47</v>
      </c>
      <c r="AM242" s="3" t="s">
        <v>39</v>
      </c>
    </row>
    <row r="243" spans="1:39" ht="21" customHeight="1">
      <c r="A243" s="4">
        <v>46203</v>
      </c>
      <c r="B243" s="3" t="s">
        <v>39</v>
      </c>
      <c r="C243" s="3" t="s">
        <v>40</v>
      </c>
      <c r="D243" s="4">
        <v>46057</v>
      </c>
      <c r="E243" s="3">
        <v>146</v>
      </c>
      <c r="F243" s="3" t="s">
        <v>57</v>
      </c>
      <c r="G243" s="3" t="s">
        <v>50</v>
      </c>
      <c r="H243" s="3">
        <v>0</v>
      </c>
      <c r="I243" s="7">
        <v>41461</v>
      </c>
      <c r="J243" s="7">
        <v>18305</v>
      </c>
      <c r="K243" s="7">
        <v>23156</v>
      </c>
      <c r="L243" s="5">
        <f t="shared" si="36"/>
        <v>0.44149924024987336</v>
      </c>
      <c r="M243" s="5">
        <f t="shared" si="37"/>
        <v>-1.4967570264427077E-2</v>
      </c>
      <c r="N243" s="7">
        <f t="shared" si="39"/>
        <v>46713.142857142855</v>
      </c>
      <c r="O243" s="7">
        <f t="shared" si="41"/>
        <v>46045</v>
      </c>
      <c r="P243" s="8">
        <f t="shared" si="42"/>
        <v>0.90044521663589971</v>
      </c>
      <c r="Q243" s="7"/>
      <c r="R243" s="7"/>
      <c r="S243" s="7"/>
      <c r="T243" s="7"/>
      <c r="U243" s="7"/>
      <c r="V243" s="7"/>
      <c r="W243" s="7"/>
      <c r="X243" s="3" t="s">
        <v>61</v>
      </c>
      <c r="Y243" s="3"/>
      <c r="Z243" s="9">
        <v>0.88224000000000002</v>
      </c>
      <c r="AA243" s="5">
        <f t="shared" si="38"/>
        <v>0.28126406901259138</v>
      </c>
      <c r="AB243" s="9">
        <f t="shared" si="40"/>
        <v>0.85497571428571451</v>
      </c>
      <c r="AC243" s="9">
        <f t="shared" si="43"/>
        <v>1.0710774999999999</v>
      </c>
      <c r="AD243" s="8">
        <f t="shared" si="44"/>
        <v>0.79823888960949563</v>
      </c>
      <c r="AE243" s="3" t="s">
        <v>44</v>
      </c>
      <c r="AF243" s="10">
        <f t="shared" si="45"/>
        <v>18443.25</v>
      </c>
      <c r="AG243" s="11">
        <f t="shared" si="46"/>
        <v>0.992504032640668</v>
      </c>
      <c r="AH243" s="11">
        <f t="shared" si="47"/>
        <v>0.82369389703359475</v>
      </c>
      <c r="AI243" s="3" t="s">
        <v>45</v>
      </c>
      <c r="AJ243" s="3" t="s">
        <v>40</v>
      </c>
      <c r="AK243" s="3" t="s">
        <v>46</v>
      </c>
      <c r="AL243" s="3" t="s">
        <v>47</v>
      </c>
      <c r="AM243" s="3" t="s">
        <v>39</v>
      </c>
    </row>
    <row r="244" spans="1:39" ht="21" customHeight="1">
      <c r="A244" s="4">
        <v>46204</v>
      </c>
      <c r="B244" s="3" t="s">
        <v>39</v>
      </c>
      <c r="C244" s="3" t="s">
        <v>40</v>
      </c>
      <c r="D244" s="4">
        <v>46057</v>
      </c>
      <c r="E244" s="3">
        <v>147</v>
      </c>
      <c r="F244" s="3" t="s">
        <v>57</v>
      </c>
      <c r="G244" s="3" t="s">
        <v>51</v>
      </c>
      <c r="H244" s="3">
        <v>0</v>
      </c>
      <c r="I244" s="7">
        <v>38132</v>
      </c>
      <c r="J244" s="7">
        <v>14707</v>
      </c>
      <c r="K244" s="7">
        <v>23426</v>
      </c>
      <c r="L244" s="5">
        <f t="shared" si="36"/>
        <v>0.38568656246721911</v>
      </c>
      <c r="M244" s="5">
        <f t="shared" si="37"/>
        <v>-8.02923229058633E-2</v>
      </c>
      <c r="N244" s="7">
        <f t="shared" si="39"/>
        <v>45960.571428571428</v>
      </c>
      <c r="O244" s="7">
        <f t="shared" si="41"/>
        <v>46097.25</v>
      </c>
      <c r="P244" s="8">
        <f t="shared" si="42"/>
        <v>0.82720769677149941</v>
      </c>
      <c r="Q244" s="7"/>
      <c r="R244" s="7"/>
      <c r="S244" s="7"/>
      <c r="T244" s="7"/>
      <c r="U244" s="7"/>
      <c r="V244" s="7"/>
      <c r="W244" s="7"/>
      <c r="X244" s="3" t="s">
        <v>62</v>
      </c>
      <c r="Y244" s="3"/>
      <c r="Z244" s="9">
        <v>0.73423000000000005</v>
      </c>
      <c r="AA244" s="5">
        <f t="shared" si="38"/>
        <v>-0.16776614073268037</v>
      </c>
      <c r="AB244" s="9">
        <f t="shared" si="40"/>
        <v>0.85164285714285726</v>
      </c>
      <c r="AC244" s="9">
        <f t="shared" si="43"/>
        <v>1.0483132142857141</v>
      </c>
      <c r="AD244" s="8">
        <f t="shared" si="44"/>
        <v>0.81239351516057967</v>
      </c>
      <c r="AE244" s="3" t="s">
        <v>44</v>
      </c>
      <c r="AF244" s="10">
        <f t="shared" si="45"/>
        <v>18946.5</v>
      </c>
      <c r="AG244" s="11">
        <f t="shared" si="46"/>
        <v>0.77623835536906549</v>
      </c>
      <c r="AH244" s="11">
        <f t="shared" si="47"/>
        <v>0.70039181992023258</v>
      </c>
      <c r="AI244" s="3" t="s">
        <v>45</v>
      </c>
      <c r="AJ244" s="3" t="s">
        <v>40</v>
      </c>
      <c r="AK244" s="3" t="s">
        <v>46</v>
      </c>
      <c r="AL244" s="3" t="s">
        <v>47</v>
      </c>
      <c r="AM244" s="3" t="s">
        <v>39</v>
      </c>
    </row>
    <row r="245" spans="1:39" ht="21" customHeight="1">
      <c r="A245" s="4">
        <v>46205</v>
      </c>
      <c r="B245" s="3" t="s">
        <v>39</v>
      </c>
      <c r="C245" s="3" t="s">
        <v>40</v>
      </c>
      <c r="D245" s="4">
        <v>46057</v>
      </c>
      <c r="E245" s="3">
        <v>148</v>
      </c>
      <c r="F245" s="3" t="s">
        <v>57</v>
      </c>
      <c r="G245" s="3" t="s">
        <v>52</v>
      </c>
      <c r="H245" s="3">
        <v>0</v>
      </c>
      <c r="I245" s="7">
        <v>39484</v>
      </c>
      <c r="J245" s="7">
        <v>16520</v>
      </c>
      <c r="K245" s="7">
        <v>22964</v>
      </c>
      <c r="L245" s="5">
        <f t="shared" si="36"/>
        <v>0.41839732549893627</v>
      </c>
      <c r="M245" s="5">
        <f t="shared" si="37"/>
        <v>3.5455785167313625E-2</v>
      </c>
      <c r="N245" s="7">
        <f t="shared" si="39"/>
        <v>45760.142857142855</v>
      </c>
      <c r="O245" s="7">
        <f t="shared" si="41"/>
        <v>45914.357142857145</v>
      </c>
      <c r="P245" s="8">
        <f t="shared" si="42"/>
        <v>0.85994887997996261</v>
      </c>
      <c r="Q245" s="7"/>
      <c r="R245" s="7"/>
      <c r="S245" s="7"/>
      <c r="T245" s="7"/>
      <c r="U245" s="7"/>
      <c r="V245" s="7"/>
      <c r="W245" s="7"/>
      <c r="X245" s="3" t="s">
        <v>62</v>
      </c>
      <c r="Y245" s="3"/>
      <c r="Z245" s="9">
        <v>0.68255999999999994</v>
      </c>
      <c r="AA245" s="5">
        <f t="shared" si="38"/>
        <v>-7.0373043869087493E-2</v>
      </c>
      <c r="AB245" s="9">
        <f t="shared" si="40"/>
        <v>0.84721999999999997</v>
      </c>
      <c r="AC245" s="9">
        <f t="shared" si="43"/>
        <v>0.99960357142857148</v>
      </c>
      <c r="AD245" s="8">
        <f t="shared" si="44"/>
        <v>0.84755599541246707</v>
      </c>
      <c r="AE245" s="3" t="s">
        <v>44</v>
      </c>
      <c r="AF245" s="10">
        <f t="shared" si="45"/>
        <v>18964</v>
      </c>
      <c r="AG245" s="11">
        <f t="shared" si="46"/>
        <v>0.87112423539337691</v>
      </c>
      <c r="AH245" s="11">
        <f t="shared" si="47"/>
        <v>0.68283069359638993</v>
      </c>
      <c r="AI245" s="3" t="s">
        <v>45</v>
      </c>
      <c r="AJ245" s="3" t="s">
        <v>40</v>
      </c>
      <c r="AK245" s="3" t="s">
        <v>46</v>
      </c>
      <c r="AL245" s="3" t="s">
        <v>47</v>
      </c>
      <c r="AM245" s="3" t="s">
        <v>39</v>
      </c>
    </row>
    <row r="246" spans="1:39" ht="21" customHeight="1">
      <c r="A246" s="4">
        <v>46206</v>
      </c>
      <c r="B246" s="3" t="s">
        <v>39</v>
      </c>
      <c r="C246" s="3" t="s">
        <v>40</v>
      </c>
      <c r="D246" s="4">
        <v>46057</v>
      </c>
      <c r="E246" s="3">
        <v>149</v>
      </c>
      <c r="F246" s="3" t="s">
        <v>57</v>
      </c>
      <c r="G246" s="3" t="s">
        <v>53</v>
      </c>
      <c r="H246" s="3">
        <v>0</v>
      </c>
      <c r="I246" s="7">
        <v>43978</v>
      </c>
      <c r="J246" s="7">
        <v>20685</v>
      </c>
      <c r="K246" s="7">
        <v>23292</v>
      </c>
      <c r="L246" s="5">
        <f t="shared" si="36"/>
        <v>0.47034881076902085</v>
      </c>
      <c r="M246" s="5">
        <f t="shared" si="37"/>
        <v>0.11381825549589708</v>
      </c>
      <c r="N246" s="7">
        <f t="shared" si="39"/>
        <v>45367.714285714283</v>
      </c>
      <c r="O246" s="7">
        <f t="shared" si="41"/>
        <v>45883.642857142855</v>
      </c>
      <c r="P246" s="8">
        <f t="shared" si="42"/>
        <v>0.95846792585593066</v>
      </c>
      <c r="Q246" s="7"/>
      <c r="R246" s="7"/>
      <c r="S246" s="7"/>
      <c r="T246" s="7"/>
      <c r="U246" s="7"/>
      <c r="V246" s="7"/>
      <c r="W246" s="7"/>
      <c r="X246" s="3" t="s">
        <v>62</v>
      </c>
      <c r="Y246" s="3"/>
      <c r="Z246" s="9">
        <v>0.78017000000000003</v>
      </c>
      <c r="AA246" s="5">
        <f t="shared" si="38"/>
        <v>0.14300574308485725</v>
      </c>
      <c r="AB246" s="9">
        <f t="shared" si="40"/>
        <v>0.8439685714285714</v>
      </c>
      <c r="AC246" s="9">
        <f t="shared" si="43"/>
        <v>0.97846964285714289</v>
      </c>
      <c r="AD246" s="8">
        <f t="shared" si="44"/>
        <v>0.86253935172089058</v>
      </c>
      <c r="AE246" s="3" t="s">
        <v>44</v>
      </c>
      <c r="AF246" s="10">
        <f t="shared" si="45"/>
        <v>22571.5</v>
      </c>
      <c r="AG246" s="11">
        <f t="shared" si="46"/>
        <v>0.91642115056597917</v>
      </c>
      <c r="AH246" s="11">
        <f t="shared" si="47"/>
        <v>0.7973369492812209</v>
      </c>
      <c r="AI246" s="3" t="s">
        <v>45</v>
      </c>
      <c r="AJ246" s="3" t="s">
        <v>40</v>
      </c>
      <c r="AK246" s="3" t="s">
        <v>46</v>
      </c>
      <c r="AL246" s="3" t="s">
        <v>47</v>
      </c>
      <c r="AM246" s="3" t="s">
        <v>39</v>
      </c>
    </row>
    <row r="247" spans="1:39" ht="21" customHeight="1">
      <c r="A247" s="4">
        <v>46207</v>
      </c>
      <c r="B247" s="3" t="s">
        <v>39</v>
      </c>
      <c r="C247" s="3" t="s">
        <v>40</v>
      </c>
      <c r="D247" s="4">
        <v>46057</v>
      </c>
      <c r="E247" s="3">
        <v>150</v>
      </c>
      <c r="F247" s="3" t="s">
        <v>57</v>
      </c>
      <c r="G247" s="3" t="s">
        <v>42</v>
      </c>
      <c r="H247" s="3">
        <v>1</v>
      </c>
      <c r="I247" s="7">
        <v>56612</v>
      </c>
      <c r="J247" s="7">
        <v>36760</v>
      </c>
      <c r="K247" s="7">
        <v>19852</v>
      </c>
      <c r="L247" s="5">
        <f t="shared" si="36"/>
        <v>0.64933229703949691</v>
      </c>
      <c r="M247" s="5">
        <f t="shared" si="37"/>
        <v>0.28728000363818262</v>
      </c>
      <c r="N247" s="7">
        <f t="shared" si="39"/>
        <v>45212.571428571428</v>
      </c>
      <c r="O247" s="7">
        <f t="shared" si="41"/>
        <v>45827.035714285717</v>
      </c>
      <c r="P247" s="8">
        <f t="shared" si="42"/>
        <v>1.2353406481046356</v>
      </c>
      <c r="Q247" s="7"/>
      <c r="R247" s="7"/>
      <c r="S247" s="7"/>
      <c r="T247" s="7"/>
      <c r="U247" s="7"/>
      <c r="V247" s="7"/>
      <c r="W247" s="7"/>
      <c r="X247" s="3" t="s">
        <v>62</v>
      </c>
      <c r="Y247" s="3"/>
      <c r="Z247" s="9">
        <v>0.86973</v>
      </c>
      <c r="AA247" s="5">
        <f t="shared" si="38"/>
        <v>0.114795493289924</v>
      </c>
      <c r="AB247" s="9">
        <f t="shared" si="40"/>
        <v>0.80440714285714277</v>
      </c>
      <c r="AC247" s="9">
        <f t="shared" si="43"/>
        <v>0.95863071428571422</v>
      </c>
      <c r="AD247" s="8">
        <f t="shared" si="44"/>
        <v>0.83912097835975863</v>
      </c>
      <c r="AE247" s="3" t="s">
        <v>44</v>
      </c>
      <c r="AF247" s="10">
        <f t="shared" si="45"/>
        <v>36636</v>
      </c>
      <c r="AG247" s="11">
        <f t="shared" si="46"/>
        <v>1.0033846489791463</v>
      </c>
      <c r="AH247" s="11">
        <f t="shared" si="47"/>
        <v>0.90726281459492453</v>
      </c>
      <c r="AI247" s="3" t="s">
        <v>45</v>
      </c>
      <c r="AJ247" s="3" t="s">
        <v>40</v>
      </c>
      <c r="AK247" s="3" t="s">
        <v>46</v>
      </c>
      <c r="AL247" s="3" t="s">
        <v>47</v>
      </c>
      <c r="AM247" s="3" t="s">
        <v>39</v>
      </c>
    </row>
    <row r="248" spans="1:39" ht="21" customHeight="1">
      <c r="A248" s="4">
        <v>46208</v>
      </c>
      <c r="B248" s="3" t="s">
        <v>39</v>
      </c>
      <c r="C248" s="3" t="s">
        <v>40</v>
      </c>
      <c r="D248" s="4">
        <v>46057</v>
      </c>
      <c r="E248" s="3">
        <v>151</v>
      </c>
      <c r="F248" s="3" t="s">
        <v>57</v>
      </c>
      <c r="G248" s="3" t="s">
        <v>48</v>
      </c>
      <c r="H248" s="3">
        <v>1</v>
      </c>
      <c r="I248" s="7">
        <v>51300</v>
      </c>
      <c r="J248" s="7">
        <v>32014</v>
      </c>
      <c r="K248" s="7">
        <v>19285</v>
      </c>
      <c r="L248" s="5">
        <f t="shared" si="36"/>
        <v>0.6240545808966862</v>
      </c>
      <c r="M248" s="5">
        <f t="shared" si="37"/>
        <v>-9.3831696460114467E-2</v>
      </c>
      <c r="N248" s="7">
        <f t="shared" si="39"/>
        <v>44722.571428571428</v>
      </c>
      <c r="O248" s="7">
        <f t="shared" si="41"/>
        <v>45736.892857142855</v>
      </c>
      <c r="P248" s="8">
        <f t="shared" si="42"/>
        <v>1.1216328175207104</v>
      </c>
      <c r="Q248" s="7"/>
      <c r="R248" s="7"/>
      <c r="S248" s="7"/>
      <c r="T248" s="7"/>
      <c r="U248" s="7"/>
      <c r="V248" s="7"/>
      <c r="W248" s="7"/>
      <c r="X248" s="3" t="s">
        <v>62</v>
      </c>
      <c r="Y248" s="3"/>
      <c r="Z248" s="9">
        <v>0.95942000000000005</v>
      </c>
      <c r="AA248" s="5">
        <f t="shared" si="38"/>
        <v>0.10312395800995722</v>
      </c>
      <c r="AB248" s="9">
        <f t="shared" si="40"/>
        <v>0.79955999999999994</v>
      </c>
      <c r="AC248" s="9">
        <f t="shared" si="43"/>
        <v>0.93311499999999992</v>
      </c>
      <c r="AD248" s="8">
        <f t="shared" si="44"/>
        <v>0.85687187538513476</v>
      </c>
      <c r="AE248" s="3" t="s">
        <v>44</v>
      </c>
      <c r="AF248" s="10">
        <f t="shared" si="45"/>
        <v>33760.5</v>
      </c>
      <c r="AG248" s="11">
        <f t="shared" si="46"/>
        <v>0.94826794626856825</v>
      </c>
      <c r="AH248" s="11">
        <f t="shared" si="47"/>
        <v>1.0281905231402348</v>
      </c>
      <c r="AI248" s="3" t="s">
        <v>45</v>
      </c>
      <c r="AJ248" s="3" t="s">
        <v>40</v>
      </c>
      <c r="AK248" s="3" t="s">
        <v>46</v>
      </c>
      <c r="AL248" s="3" t="s">
        <v>47</v>
      </c>
      <c r="AM248" s="3" t="s">
        <v>39</v>
      </c>
    </row>
    <row r="249" spans="1:39" ht="21" customHeight="1">
      <c r="A249" s="4">
        <v>46209</v>
      </c>
      <c r="B249" s="3" t="s">
        <v>39</v>
      </c>
      <c r="C249" s="3" t="s">
        <v>40</v>
      </c>
      <c r="D249" s="4">
        <v>46057</v>
      </c>
      <c r="E249" s="3">
        <v>152</v>
      </c>
      <c r="F249" s="3" t="s">
        <v>57</v>
      </c>
      <c r="G249" s="3" t="s">
        <v>49</v>
      </c>
      <c r="H249" s="3">
        <v>0</v>
      </c>
      <c r="I249" s="7">
        <v>36796</v>
      </c>
      <c r="J249" s="7">
        <v>14049</v>
      </c>
      <c r="K249" s="7">
        <v>22746</v>
      </c>
      <c r="L249" s="5">
        <f t="shared" si="36"/>
        <v>0.38180780519621699</v>
      </c>
      <c r="M249" s="5">
        <f t="shared" si="37"/>
        <v>-0.28272904483430794</v>
      </c>
      <c r="N249" s="7">
        <f t="shared" si="39"/>
        <v>43966.142857142855</v>
      </c>
      <c r="O249" s="7">
        <f t="shared" si="41"/>
        <v>45673.035714285717</v>
      </c>
      <c r="P249" s="8">
        <f t="shared" si="42"/>
        <v>0.8056394637348544</v>
      </c>
      <c r="Q249" s="7"/>
      <c r="R249" s="7"/>
      <c r="S249" s="7"/>
      <c r="T249" s="7"/>
      <c r="U249" s="7"/>
      <c r="V249" s="7"/>
      <c r="W249" s="7"/>
      <c r="X249" s="3" t="s">
        <v>62</v>
      </c>
      <c r="Y249" s="3"/>
      <c r="Z249" s="9">
        <v>0.68871000000000004</v>
      </c>
      <c r="AA249" s="5">
        <f t="shared" si="38"/>
        <v>-0.28216005503324926</v>
      </c>
      <c r="AB249" s="9">
        <f t="shared" si="40"/>
        <v>0.79958000000000007</v>
      </c>
      <c r="AC249" s="9">
        <f t="shared" si="43"/>
        <v>0.91513428571428579</v>
      </c>
      <c r="AD249" s="8">
        <f t="shared" si="44"/>
        <v>0.8737296946271742</v>
      </c>
      <c r="AE249" s="3" t="s">
        <v>44</v>
      </c>
      <c r="AF249" s="10">
        <f t="shared" si="45"/>
        <v>16757.75</v>
      </c>
      <c r="AG249" s="11">
        <f t="shared" si="46"/>
        <v>0.8383583714997539</v>
      </c>
      <c r="AH249" s="11">
        <f t="shared" si="47"/>
        <v>0.75257807597323734</v>
      </c>
      <c r="AI249" s="3" t="s">
        <v>45</v>
      </c>
      <c r="AJ249" s="3" t="s">
        <v>40</v>
      </c>
      <c r="AK249" s="3" t="s">
        <v>46</v>
      </c>
      <c r="AL249" s="3" t="s">
        <v>47</v>
      </c>
      <c r="AM249" s="3" t="s">
        <v>39</v>
      </c>
    </row>
    <row r="250" spans="1:39" ht="21" customHeight="1">
      <c r="A250" s="4">
        <v>46210</v>
      </c>
      <c r="B250" s="3" t="s">
        <v>39</v>
      </c>
      <c r="C250" s="3" t="s">
        <v>40</v>
      </c>
      <c r="D250" s="4">
        <v>46057</v>
      </c>
      <c r="E250" s="3">
        <v>153</v>
      </c>
      <c r="F250" s="3" t="s">
        <v>57</v>
      </c>
      <c r="G250" s="3" t="s">
        <v>50</v>
      </c>
      <c r="H250" s="3">
        <v>0</v>
      </c>
      <c r="I250" s="7">
        <v>37436</v>
      </c>
      <c r="J250" s="7">
        <v>14738</v>
      </c>
      <c r="K250" s="7">
        <v>22698</v>
      </c>
      <c r="L250" s="5">
        <f t="shared" si="36"/>
        <v>0.39368522278021156</v>
      </c>
      <c r="M250" s="5">
        <f t="shared" si="37"/>
        <v>1.7393194912490584E-2</v>
      </c>
      <c r="N250" s="7">
        <f t="shared" si="39"/>
        <v>43391.142857142855</v>
      </c>
      <c r="O250" s="7">
        <f t="shared" si="41"/>
        <v>45606.035714285717</v>
      </c>
      <c r="P250" s="8">
        <f t="shared" si="42"/>
        <v>0.82085626197660233</v>
      </c>
      <c r="Q250" s="7"/>
      <c r="R250" s="7"/>
      <c r="S250" s="7"/>
      <c r="T250" s="7"/>
      <c r="U250" s="7"/>
      <c r="V250" s="7"/>
      <c r="W250" s="7"/>
      <c r="X250" s="3" t="s">
        <v>62</v>
      </c>
      <c r="Y250" s="3"/>
      <c r="Z250" s="9">
        <v>0.72341999999999995</v>
      </c>
      <c r="AA250" s="5">
        <f t="shared" si="38"/>
        <v>5.0398571241886847E-2</v>
      </c>
      <c r="AB250" s="9">
        <f t="shared" si="40"/>
        <v>0.77689142857142868</v>
      </c>
      <c r="AC250" s="9">
        <f t="shared" si="43"/>
        <v>0.90249749999999995</v>
      </c>
      <c r="AD250" s="8">
        <f t="shared" si="44"/>
        <v>0.86082391205674114</v>
      </c>
      <c r="AE250" s="3" t="s">
        <v>44</v>
      </c>
      <c r="AF250" s="10">
        <f t="shared" si="45"/>
        <v>18966.5</v>
      </c>
      <c r="AG250" s="11">
        <f t="shared" si="46"/>
        <v>0.7770542799145862</v>
      </c>
      <c r="AH250" s="11">
        <f t="shared" si="47"/>
        <v>0.80157562763331758</v>
      </c>
      <c r="AI250" s="3" t="s">
        <v>45</v>
      </c>
      <c r="AJ250" s="3" t="s">
        <v>40</v>
      </c>
      <c r="AK250" s="3" t="s">
        <v>46</v>
      </c>
      <c r="AL250" s="3" t="s">
        <v>47</v>
      </c>
      <c r="AM250" s="3" t="s">
        <v>39</v>
      </c>
    </row>
    <row r="251" spans="1:39" ht="21" customHeight="1">
      <c r="A251" s="4">
        <v>46211</v>
      </c>
      <c r="B251" s="3" t="s">
        <v>39</v>
      </c>
      <c r="C251" s="3" t="s">
        <v>40</v>
      </c>
      <c r="D251" s="4">
        <v>46057</v>
      </c>
      <c r="E251" s="3">
        <v>154</v>
      </c>
      <c r="F251" s="3" t="s">
        <v>57</v>
      </c>
      <c r="G251" s="3" t="s">
        <v>51</v>
      </c>
      <c r="H251" s="3">
        <v>0</v>
      </c>
      <c r="I251" s="7">
        <v>36659</v>
      </c>
      <c r="J251" s="7">
        <v>14094</v>
      </c>
      <c r="K251" s="7">
        <v>22564</v>
      </c>
      <c r="L251" s="5">
        <f t="shared" si="36"/>
        <v>0.3844622057339262</v>
      </c>
      <c r="M251" s="5">
        <f t="shared" si="37"/>
        <v>-2.0755422587883321E-2</v>
      </c>
      <c r="N251" s="7">
        <f t="shared" si="39"/>
        <v>43180.714285714283</v>
      </c>
      <c r="O251" s="7">
        <f t="shared" si="41"/>
        <v>45416.392857142855</v>
      </c>
      <c r="P251" s="8">
        <f t="shared" si="42"/>
        <v>0.80717550852862285</v>
      </c>
      <c r="Q251" s="7"/>
      <c r="R251" s="7"/>
      <c r="S251" s="7"/>
      <c r="T251" s="7"/>
      <c r="U251" s="7"/>
      <c r="V251" s="7"/>
      <c r="W251" s="7"/>
      <c r="X251" s="3" t="s">
        <v>62</v>
      </c>
      <c r="Y251" s="3"/>
      <c r="Z251" s="9">
        <v>0.81699999999999995</v>
      </c>
      <c r="AA251" s="5">
        <f t="shared" si="38"/>
        <v>0.12935777280141547</v>
      </c>
      <c r="AB251" s="9">
        <f t="shared" si="40"/>
        <v>0.7887157142857143</v>
      </c>
      <c r="AC251" s="9">
        <f t="shared" si="43"/>
        <v>0.89072678571428576</v>
      </c>
      <c r="AD251" s="8">
        <f t="shared" si="44"/>
        <v>0.88547434177948581</v>
      </c>
      <c r="AE251" s="3" t="s">
        <v>44</v>
      </c>
      <c r="AF251" s="10">
        <f t="shared" si="45"/>
        <v>17282.25</v>
      </c>
      <c r="AG251" s="11">
        <f t="shared" si="46"/>
        <v>0.81551881265460224</v>
      </c>
      <c r="AH251" s="11">
        <f t="shared" si="47"/>
        <v>0.91722850721822258</v>
      </c>
      <c r="AI251" s="3" t="s">
        <v>45</v>
      </c>
      <c r="AJ251" s="3" t="s">
        <v>40</v>
      </c>
      <c r="AK251" s="3" t="s">
        <v>46</v>
      </c>
      <c r="AL251" s="3" t="s">
        <v>47</v>
      </c>
      <c r="AM251" s="3" t="s">
        <v>39</v>
      </c>
    </row>
    <row r="252" spans="1:39" ht="21" customHeight="1">
      <c r="A252" s="4">
        <v>46212</v>
      </c>
      <c r="B252" s="3" t="s">
        <v>39</v>
      </c>
      <c r="C252" s="3" t="s">
        <v>40</v>
      </c>
      <c r="D252" s="4">
        <v>46057</v>
      </c>
      <c r="E252" s="3">
        <v>155</v>
      </c>
      <c r="F252" s="3" t="s">
        <v>57</v>
      </c>
      <c r="G252" s="3" t="s">
        <v>52</v>
      </c>
      <c r="H252" s="3">
        <v>0</v>
      </c>
      <c r="I252" s="7">
        <v>36946</v>
      </c>
      <c r="J252" s="7">
        <v>14668</v>
      </c>
      <c r="K252" s="7">
        <v>22278</v>
      </c>
      <c r="L252" s="5">
        <f t="shared" si="36"/>
        <v>0.39701185513993398</v>
      </c>
      <c r="M252" s="5">
        <f t="shared" si="37"/>
        <v>7.8289096811150483E-3</v>
      </c>
      <c r="N252" s="7">
        <f t="shared" si="39"/>
        <v>42818.142857142855</v>
      </c>
      <c r="O252" s="7">
        <f t="shared" si="41"/>
        <v>45258.642857142855</v>
      </c>
      <c r="P252" s="8">
        <f t="shared" si="42"/>
        <v>0.81633026683143395</v>
      </c>
      <c r="Q252" s="7"/>
      <c r="R252" s="7"/>
      <c r="S252" s="7"/>
      <c r="T252" s="7"/>
      <c r="U252" s="7"/>
      <c r="V252" s="7"/>
      <c r="W252" s="7"/>
      <c r="X252" s="3" t="s">
        <v>62</v>
      </c>
      <c r="Y252" s="3"/>
      <c r="Z252" s="9">
        <v>0.82018000000000002</v>
      </c>
      <c r="AA252" s="5">
        <f t="shared" si="38"/>
        <v>3.8922888616892415E-3</v>
      </c>
      <c r="AB252" s="9">
        <f t="shared" si="40"/>
        <v>0.8083757142857142</v>
      </c>
      <c r="AC252" s="9">
        <f t="shared" si="43"/>
        <v>0.8832321428571428</v>
      </c>
      <c r="AD252" s="8">
        <f t="shared" si="44"/>
        <v>0.91524716443258325</v>
      </c>
      <c r="AE252" s="3" t="s">
        <v>44</v>
      </c>
      <c r="AF252" s="10">
        <f t="shared" si="45"/>
        <v>18920.25</v>
      </c>
      <c r="AG252" s="11">
        <f t="shared" si="46"/>
        <v>0.77525402677025934</v>
      </c>
      <c r="AH252" s="11">
        <f t="shared" si="47"/>
        <v>0.92861203776712975</v>
      </c>
      <c r="AI252" s="3" t="s">
        <v>45</v>
      </c>
      <c r="AJ252" s="3" t="s">
        <v>40</v>
      </c>
      <c r="AK252" s="3" t="s">
        <v>46</v>
      </c>
      <c r="AL252" s="3" t="s">
        <v>47</v>
      </c>
      <c r="AM252" s="3" t="s">
        <v>39</v>
      </c>
    </row>
    <row r="253" spans="1:39" ht="21" customHeight="1">
      <c r="A253" s="4">
        <v>46213</v>
      </c>
      <c r="B253" s="3" t="s">
        <v>39</v>
      </c>
      <c r="C253" s="3" t="s">
        <v>40</v>
      </c>
      <c r="D253" s="4">
        <v>46057</v>
      </c>
      <c r="E253" s="3">
        <v>156</v>
      </c>
      <c r="F253" s="3" t="s">
        <v>57</v>
      </c>
      <c r="G253" s="3" t="s">
        <v>53</v>
      </c>
      <c r="H253" s="3">
        <v>0</v>
      </c>
      <c r="I253" s="7">
        <v>43148</v>
      </c>
      <c r="J253" s="7">
        <v>19684</v>
      </c>
      <c r="K253" s="7">
        <v>23464</v>
      </c>
      <c r="L253" s="5">
        <f t="shared" si="36"/>
        <v>0.45619727449707981</v>
      </c>
      <c r="M253" s="5">
        <f t="shared" si="37"/>
        <v>0.16786661614247822</v>
      </c>
      <c r="N253" s="7">
        <f t="shared" si="39"/>
        <v>42699.571428571428</v>
      </c>
      <c r="O253" s="7">
        <f t="shared" si="41"/>
        <v>44895.5</v>
      </c>
      <c r="P253" s="8">
        <f t="shared" si="42"/>
        <v>0.96107627713245203</v>
      </c>
      <c r="Q253" s="7"/>
      <c r="R253" s="7"/>
      <c r="S253" s="7"/>
      <c r="T253" s="7"/>
      <c r="U253" s="7"/>
      <c r="V253" s="7"/>
      <c r="W253" s="7"/>
      <c r="X253" s="3" t="s">
        <v>62</v>
      </c>
      <c r="Y253" s="3"/>
      <c r="Z253" s="9">
        <v>0.93637999999999999</v>
      </c>
      <c r="AA253" s="5">
        <f t="shared" si="38"/>
        <v>0.14167621741568914</v>
      </c>
      <c r="AB253" s="9">
        <f t="shared" si="40"/>
        <v>0.83069142857142853</v>
      </c>
      <c r="AC253" s="9">
        <f t="shared" si="43"/>
        <v>0.87930428571428598</v>
      </c>
      <c r="AD253" s="8">
        <f t="shared" si="44"/>
        <v>0.94471440895643111</v>
      </c>
      <c r="AE253" s="3" t="s">
        <v>44</v>
      </c>
      <c r="AF253" s="10">
        <f t="shared" si="45"/>
        <v>22315.25</v>
      </c>
      <c r="AG253" s="11">
        <f t="shared" si="46"/>
        <v>0.88208736178174119</v>
      </c>
      <c r="AH253" s="11">
        <f t="shared" si="47"/>
        <v>1.0649100831339058</v>
      </c>
      <c r="AI253" s="3" t="s">
        <v>45</v>
      </c>
      <c r="AJ253" s="3" t="s">
        <v>40</v>
      </c>
      <c r="AK253" s="3" t="s">
        <v>46</v>
      </c>
      <c r="AL253" s="3" t="s">
        <v>47</v>
      </c>
      <c r="AM253" s="3" t="s">
        <v>39</v>
      </c>
    </row>
    <row r="254" spans="1:39" ht="21" customHeight="1">
      <c r="A254" s="4">
        <v>46214</v>
      </c>
      <c r="B254" s="3" t="s">
        <v>39</v>
      </c>
      <c r="C254" s="3" t="s">
        <v>40</v>
      </c>
      <c r="D254" s="4">
        <v>46057</v>
      </c>
      <c r="E254" s="3">
        <v>157</v>
      </c>
      <c r="F254" s="3" t="s">
        <v>57</v>
      </c>
      <c r="G254" s="3" t="s">
        <v>42</v>
      </c>
      <c r="H254" s="3">
        <v>1</v>
      </c>
      <c r="I254" s="7">
        <v>54145</v>
      </c>
      <c r="J254" s="7">
        <v>34440</v>
      </c>
      <c r="K254" s="7">
        <v>19705</v>
      </c>
      <c r="L254" s="5">
        <f t="shared" si="36"/>
        <v>0.63606981254040074</v>
      </c>
      <c r="M254" s="5">
        <f t="shared" si="37"/>
        <v>0.2548669695003245</v>
      </c>
      <c r="N254" s="7">
        <f t="shared" si="39"/>
        <v>42347.142857142855</v>
      </c>
      <c r="O254" s="7">
        <f t="shared" si="41"/>
        <v>44762.142857142855</v>
      </c>
      <c r="P254" s="8">
        <f t="shared" si="42"/>
        <v>1.2096159062983709</v>
      </c>
      <c r="Q254" s="7"/>
      <c r="R254" s="7"/>
      <c r="S254" s="7"/>
      <c r="T254" s="7"/>
      <c r="U254" s="7"/>
      <c r="V254" s="7"/>
      <c r="W254" s="7"/>
      <c r="X254" s="3" t="s">
        <v>62</v>
      </c>
      <c r="Y254" s="3"/>
      <c r="Z254" s="9">
        <v>1.20949</v>
      </c>
      <c r="AA254" s="5">
        <f t="shared" si="38"/>
        <v>0.2916657767145816</v>
      </c>
      <c r="AB254" s="9">
        <f t="shared" si="40"/>
        <v>0.87922857142857136</v>
      </c>
      <c r="AC254" s="9">
        <f t="shared" si="43"/>
        <v>0.88128857142857164</v>
      </c>
      <c r="AD254" s="8">
        <f t="shared" si="44"/>
        <v>0.99766251365695002</v>
      </c>
      <c r="AE254" s="3" t="s">
        <v>44</v>
      </c>
      <c r="AF254" s="10">
        <f t="shared" si="45"/>
        <v>35947.25</v>
      </c>
      <c r="AG254" s="11">
        <f t="shared" si="46"/>
        <v>0.95807050608878286</v>
      </c>
      <c r="AH254" s="11">
        <f t="shared" si="47"/>
        <v>1.3724108529393644</v>
      </c>
      <c r="AI254" s="3" t="s">
        <v>45</v>
      </c>
      <c r="AJ254" s="3" t="s">
        <v>40</v>
      </c>
      <c r="AK254" s="3" t="s">
        <v>46</v>
      </c>
      <c r="AL254" s="3" t="s">
        <v>47</v>
      </c>
      <c r="AM254" s="3" t="s">
        <v>39</v>
      </c>
    </row>
    <row r="255" spans="1:39" ht="21" customHeight="1">
      <c r="A255" s="4">
        <v>46215</v>
      </c>
      <c r="B255" s="3" t="s">
        <v>39</v>
      </c>
      <c r="C255" s="3" t="s">
        <v>40</v>
      </c>
      <c r="D255" s="4">
        <v>46057</v>
      </c>
      <c r="E255" s="3">
        <v>158</v>
      </c>
      <c r="F255" s="3" t="s">
        <v>57</v>
      </c>
      <c r="G255" s="3" t="s">
        <v>48</v>
      </c>
      <c r="H255" s="3">
        <v>1</v>
      </c>
      <c r="I255" s="7">
        <v>53134</v>
      </c>
      <c r="J255" s="7">
        <v>33786</v>
      </c>
      <c r="K255" s="7">
        <v>19348</v>
      </c>
      <c r="L255" s="5">
        <f t="shared" si="36"/>
        <v>0.63586404185643841</v>
      </c>
      <c r="M255" s="5">
        <f t="shared" si="37"/>
        <v>-1.8672084218302687E-2</v>
      </c>
      <c r="N255" s="7">
        <f t="shared" si="39"/>
        <v>42609.142857142855</v>
      </c>
      <c r="O255" s="7">
        <f t="shared" si="41"/>
        <v>44606.25</v>
      </c>
      <c r="P255" s="8">
        <f t="shared" si="42"/>
        <v>1.1911783662603335</v>
      </c>
      <c r="Q255" s="7"/>
      <c r="R255" s="7"/>
      <c r="S255" s="7"/>
      <c r="T255" s="7"/>
      <c r="U255" s="7"/>
      <c r="V255" s="7"/>
      <c r="W255" s="7"/>
      <c r="X255" s="3" t="s">
        <v>62</v>
      </c>
      <c r="Y255" s="3"/>
      <c r="Z255" s="9">
        <v>1.0570999999999999</v>
      </c>
      <c r="AA255" s="5">
        <f t="shared" si="38"/>
        <v>-0.12599525419805047</v>
      </c>
      <c r="AB255" s="9">
        <f t="shared" si="40"/>
        <v>0.89318285714285717</v>
      </c>
      <c r="AC255" s="9">
        <f t="shared" si="43"/>
        <v>0.87985964285714291</v>
      </c>
      <c r="AD255" s="8">
        <f t="shared" si="44"/>
        <v>1.0151424314024111</v>
      </c>
      <c r="AE255" s="3" t="s">
        <v>44</v>
      </c>
      <c r="AF255" s="10">
        <f t="shared" si="45"/>
        <v>33318.5</v>
      </c>
      <c r="AG255" s="11">
        <f t="shared" si="46"/>
        <v>1.014031243903537</v>
      </c>
      <c r="AH255" s="11">
        <f t="shared" si="47"/>
        <v>1.2014416260385685</v>
      </c>
      <c r="AI255" s="3" t="s">
        <v>45</v>
      </c>
      <c r="AJ255" s="3" t="s">
        <v>40</v>
      </c>
      <c r="AK255" s="3" t="s">
        <v>46</v>
      </c>
      <c r="AL255" s="3" t="s">
        <v>47</v>
      </c>
      <c r="AM255" s="3" t="s">
        <v>39</v>
      </c>
    </row>
    <row r="256" spans="1:39" ht="21" customHeight="1">
      <c r="A256" s="4">
        <v>46216</v>
      </c>
      <c r="B256" s="3" t="s">
        <v>39</v>
      </c>
      <c r="C256" s="3" t="s">
        <v>40</v>
      </c>
      <c r="D256" s="4">
        <v>46057</v>
      </c>
      <c r="E256" s="3">
        <v>159</v>
      </c>
      <c r="F256" s="3" t="s">
        <v>57</v>
      </c>
      <c r="G256" s="3" t="s">
        <v>49</v>
      </c>
      <c r="H256" s="3">
        <v>0</v>
      </c>
      <c r="I256" s="7">
        <v>39644</v>
      </c>
      <c r="J256" s="7">
        <v>16908</v>
      </c>
      <c r="K256" s="7">
        <v>22736</v>
      </c>
      <c r="L256" s="5">
        <f t="shared" si="36"/>
        <v>0.4264958127333266</v>
      </c>
      <c r="M256" s="5">
        <f t="shared" si="37"/>
        <v>-0.25388640042157562</v>
      </c>
      <c r="N256" s="7">
        <f t="shared" si="39"/>
        <v>43016</v>
      </c>
      <c r="O256" s="7">
        <f t="shared" si="41"/>
        <v>44562.75</v>
      </c>
      <c r="P256" s="8">
        <f t="shared" si="42"/>
        <v>0.8896219376048381</v>
      </c>
      <c r="Q256" s="7"/>
      <c r="R256" s="7"/>
      <c r="S256" s="7"/>
      <c r="T256" s="7"/>
      <c r="U256" s="7"/>
      <c r="V256" s="7"/>
      <c r="W256" s="7"/>
      <c r="X256" s="3" t="s">
        <v>62</v>
      </c>
      <c r="Y256" s="3"/>
      <c r="Z256" s="9">
        <v>0.75233000000000005</v>
      </c>
      <c r="AA256" s="5">
        <f t="shared" si="38"/>
        <v>-0.28830763409327398</v>
      </c>
      <c r="AB256" s="9">
        <f t="shared" si="40"/>
        <v>0.9022714285714285</v>
      </c>
      <c r="AC256" s="9">
        <f t="shared" si="43"/>
        <v>0.87633321428571431</v>
      </c>
      <c r="AD256" s="8">
        <f t="shared" si="44"/>
        <v>1.0295985749060717</v>
      </c>
      <c r="AE256" s="3" t="s">
        <v>44</v>
      </c>
      <c r="AF256" s="10">
        <f t="shared" si="45"/>
        <v>16463</v>
      </c>
      <c r="AG256" s="11">
        <f t="shared" si="46"/>
        <v>1.0270303103930025</v>
      </c>
      <c r="AH256" s="11">
        <f t="shared" si="47"/>
        <v>0.85849764420171226</v>
      </c>
      <c r="AI256" s="3" t="s">
        <v>45</v>
      </c>
      <c r="AJ256" s="3" t="s">
        <v>40</v>
      </c>
      <c r="AK256" s="3" t="s">
        <v>46</v>
      </c>
      <c r="AL256" s="3" t="s">
        <v>47</v>
      </c>
      <c r="AM256" s="3" t="s">
        <v>39</v>
      </c>
    </row>
    <row r="257" spans="1:39" ht="21" customHeight="1">
      <c r="A257" s="4">
        <v>46217</v>
      </c>
      <c r="B257" s="3" t="s">
        <v>39</v>
      </c>
      <c r="C257" s="3" t="s">
        <v>40</v>
      </c>
      <c r="D257" s="4">
        <v>46057</v>
      </c>
      <c r="E257" s="3">
        <v>160</v>
      </c>
      <c r="F257" s="3" t="s">
        <v>57</v>
      </c>
      <c r="G257" s="3" t="s">
        <v>50</v>
      </c>
      <c r="H257" s="3">
        <v>0</v>
      </c>
      <c r="I257" s="7">
        <v>40558</v>
      </c>
      <c r="J257" s="7">
        <v>17630</v>
      </c>
      <c r="K257" s="7">
        <v>22928</v>
      </c>
      <c r="L257" s="5">
        <f t="shared" si="36"/>
        <v>0.43468612850732286</v>
      </c>
      <c r="M257" s="5">
        <f t="shared" si="37"/>
        <v>2.3055191201695191E-2</v>
      </c>
      <c r="N257" s="7">
        <f t="shared" si="39"/>
        <v>43462</v>
      </c>
      <c r="O257" s="7">
        <f t="shared" si="41"/>
        <v>44558.607142857145</v>
      </c>
      <c r="P257" s="8">
        <f t="shared" si="42"/>
        <v>0.9102169614496477</v>
      </c>
      <c r="Q257" s="7"/>
      <c r="R257" s="7"/>
      <c r="S257" s="7"/>
      <c r="T257" s="7"/>
      <c r="U257" s="7"/>
      <c r="V257" s="7"/>
      <c r="W257" s="7"/>
      <c r="X257" s="3" t="s">
        <v>62</v>
      </c>
      <c r="Y257" s="3"/>
      <c r="Z257" s="9">
        <v>0.69557000000000002</v>
      </c>
      <c r="AA257" s="5">
        <f t="shared" si="38"/>
        <v>-7.5445615620804762E-2</v>
      </c>
      <c r="AB257" s="9">
        <f t="shared" si="40"/>
        <v>0.898292857142857</v>
      </c>
      <c r="AC257" s="9">
        <f t="shared" si="43"/>
        <v>0.873077142857143</v>
      </c>
      <c r="AD257" s="8">
        <f t="shared" si="44"/>
        <v>1.0288814275943539</v>
      </c>
      <c r="AE257" s="3" t="s">
        <v>44</v>
      </c>
      <c r="AF257" s="10">
        <f t="shared" si="45"/>
        <v>17918</v>
      </c>
      <c r="AG257" s="11">
        <f t="shared" si="46"/>
        <v>0.98392677754213642</v>
      </c>
      <c r="AH257" s="11">
        <f t="shared" si="47"/>
        <v>0.79668790517610932</v>
      </c>
      <c r="AI257" s="3" t="s">
        <v>45</v>
      </c>
      <c r="AJ257" s="3" t="s">
        <v>40</v>
      </c>
      <c r="AK257" s="3" t="s">
        <v>46</v>
      </c>
      <c r="AL257" s="3" t="s">
        <v>47</v>
      </c>
      <c r="AM257" s="3" t="s">
        <v>39</v>
      </c>
    </row>
    <row r="258" spans="1:39" ht="21" customHeight="1">
      <c r="A258" s="4">
        <v>46218</v>
      </c>
      <c r="B258" s="3" t="s">
        <v>39</v>
      </c>
      <c r="C258" s="3" t="s">
        <v>40</v>
      </c>
      <c r="D258" s="4">
        <v>46057</v>
      </c>
      <c r="E258" s="3">
        <v>161</v>
      </c>
      <c r="F258" s="3" t="s">
        <v>57</v>
      </c>
      <c r="G258" s="3" t="s">
        <v>51</v>
      </c>
      <c r="H258" s="3">
        <v>0</v>
      </c>
      <c r="I258" s="7">
        <v>38255</v>
      </c>
      <c r="J258" s="7">
        <v>15466</v>
      </c>
      <c r="K258" s="7">
        <v>22788</v>
      </c>
      <c r="L258" s="5">
        <f t="shared" ref="L258:L321" si="48">IFERROR(J258/I258,"")</f>
        <v>0.40428702130440464</v>
      </c>
      <c r="M258" s="5">
        <f t="shared" si="37"/>
        <v>-5.6782878840179518E-2</v>
      </c>
      <c r="N258" s="7">
        <f t="shared" si="39"/>
        <v>43690</v>
      </c>
      <c r="O258" s="7">
        <f t="shared" si="41"/>
        <v>44487.357142857145</v>
      </c>
      <c r="P258" s="8">
        <f t="shared" si="42"/>
        <v>0.85990722885956361</v>
      </c>
      <c r="Q258" s="7"/>
      <c r="R258" s="7"/>
      <c r="S258" s="7"/>
      <c r="T258" s="7"/>
      <c r="U258" s="7"/>
      <c r="V258" s="7"/>
      <c r="W258" s="7"/>
      <c r="X258" s="3" t="s">
        <v>62</v>
      </c>
      <c r="Y258" s="3"/>
      <c r="Z258" s="9">
        <v>0.82555000000000001</v>
      </c>
      <c r="AA258" s="5">
        <f t="shared" si="38"/>
        <v>0.18686832382075136</v>
      </c>
      <c r="AB258" s="9">
        <f t="shared" si="40"/>
        <v>0.89951428571428571</v>
      </c>
      <c r="AC258" s="9">
        <f t="shared" si="43"/>
        <v>0.86644821428571439</v>
      </c>
      <c r="AD258" s="8">
        <f t="shared" si="44"/>
        <v>1.038162778667425</v>
      </c>
      <c r="AE258" s="3" t="s">
        <v>44</v>
      </c>
      <c r="AF258" s="10">
        <f t="shared" si="45"/>
        <v>16479.75</v>
      </c>
      <c r="AG258" s="11">
        <f t="shared" si="46"/>
        <v>0.93848511051441919</v>
      </c>
      <c r="AH258" s="11">
        <f t="shared" si="47"/>
        <v>0.95279785495382407</v>
      </c>
      <c r="AI258" s="3" t="s">
        <v>45</v>
      </c>
      <c r="AJ258" s="3" t="s">
        <v>40</v>
      </c>
      <c r="AK258" s="3" t="s">
        <v>46</v>
      </c>
      <c r="AL258" s="3" t="s">
        <v>47</v>
      </c>
      <c r="AM258" s="3" t="s">
        <v>39</v>
      </c>
    </row>
    <row r="259" spans="1:39" ht="21" customHeight="1">
      <c r="A259" s="4">
        <v>46219</v>
      </c>
      <c r="B259" s="3" t="s">
        <v>39</v>
      </c>
      <c r="C259" s="3" t="s">
        <v>40</v>
      </c>
      <c r="D259" s="4">
        <v>46057</v>
      </c>
      <c r="E259" s="3">
        <v>162</v>
      </c>
      <c r="F259" s="3" t="s">
        <v>57</v>
      </c>
      <c r="G259" s="3" t="s">
        <v>52</v>
      </c>
      <c r="H259" s="3">
        <v>0</v>
      </c>
      <c r="I259" s="7">
        <v>45118</v>
      </c>
      <c r="J259" s="7">
        <v>22162</v>
      </c>
      <c r="K259" s="7">
        <v>22956</v>
      </c>
      <c r="L259" s="5">
        <f t="shared" si="48"/>
        <v>0.49120085110155592</v>
      </c>
      <c r="M259" s="5">
        <f t="shared" ref="M259:M322" si="49">IF(AND(C259=C258,A259=A258+1),IFERROR(I259/I258-1,""),"")</f>
        <v>0.17940138543981177</v>
      </c>
      <c r="N259" s="7">
        <f t="shared" si="39"/>
        <v>44857.428571428572</v>
      </c>
      <c r="O259" s="7">
        <f t="shared" si="41"/>
        <v>44385.464285714283</v>
      </c>
      <c r="P259" s="8">
        <f t="shared" si="42"/>
        <v>1.0165039552041251</v>
      </c>
      <c r="Q259" s="7"/>
      <c r="R259" s="7"/>
      <c r="S259" s="7"/>
      <c r="T259" s="7"/>
      <c r="U259" s="7"/>
      <c r="V259" s="7"/>
      <c r="W259" s="7"/>
      <c r="X259" s="3" t="s">
        <v>62</v>
      </c>
      <c r="Y259" s="3"/>
      <c r="Z259" s="9">
        <v>1.0078400000000001</v>
      </c>
      <c r="AA259" s="5">
        <f t="shared" ref="AA259:AA322" si="50">IFERROR(Z259/Z258-1,"")</f>
        <v>0.22081036884501248</v>
      </c>
      <c r="AB259" s="9">
        <f t="shared" si="40"/>
        <v>0.926322857142857</v>
      </c>
      <c r="AC259" s="9">
        <f t="shared" si="43"/>
        <v>0.86402214285714274</v>
      </c>
      <c r="AD259" s="8">
        <f t="shared" si="44"/>
        <v>1.0721054602601949</v>
      </c>
      <c r="AE259" s="3" t="s">
        <v>44</v>
      </c>
      <c r="AF259" s="10">
        <f t="shared" si="45"/>
        <v>16756.25</v>
      </c>
      <c r="AG259" s="11">
        <f t="shared" si="46"/>
        <v>1.3226109660574412</v>
      </c>
      <c r="AH259" s="11">
        <f t="shared" si="47"/>
        <v>1.1664515873022436</v>
      </c>
      <c r="AI259" s="3" t="s">
        <v>45</v>
      </c>
      <c r="AJ259" s="3" t="s">
        <v>40</v>
      </c>
      <c r="AK259" s="3" t="s">
        <v>46</v>
      </c>
      <c r="AL259" s="3" t="s">
        <v>47</v>
      </c>
      <c r="AM259" s="3" t="s">
        <v>39</v>
      </c>
    </row>
    <row r="260" spans="1:39" ht="21" customHeight="1">
      <c r="A260" s="4">
        <v>46220</v>
      </c>
      <c r="B260" s="3" t="s">
        <v>39</v>
      </c>
      <c r="C260" s="3" t="s">
        <v>40</v>
      </c>
      <c r="D260" s="4">
        <v>46057</v>
      </c>
      <c r="E260" s="3">
        <v>163</v>
      </c>
      <c r="F260" s="3" t="s">
        <v>57</v>
      </c>
      <c r="G260" s="3" t="s">
        <v>53</v>
      </c>
      <c r="H260" s="3">
        <v>0</v>
      </c>
      <c r="I260" s="7">
        <v>66944</v>
      </c>
      <c r="J260" s="7">
        <v>47534</v>
      </c>
      <c r="K260" s="7">
        <v>19411</v>
      </c>
      <c r="L260" s="5">
        <f t="shared" si="48"/>
        <v>0.7100561663479924</v>
      </c>
      <c r="M260" s="5">
        <f t="shared" si="49"/>
        <v>0.48375371248725574</v>
      </c>
      <c r="N260" s="7">
        <f t="shared" si="39"/>
        <v>48256.857142857145</v>
      </c>
      <c r="O260" s="7">
        <f t="shared" si="41"/>
        <v>44522.821428571428</v>
      </c>
      <c r="P260" s="8">
        <f t="shared" si="42"/>
        <v>1.5035884486206512</v>
      </c>
      <c r="Q260" s="7"/>
      <c r="R260" s="7"/>
      <c r="S260" s="7"/>
      <c r="T260" s="7"/>
      <c r="U260" s="7"/>
      <c r="V260" s="7"/>
      <c r="W260" s="7"/>
      <c r="X260" s="3" t="s">
        <v>62</v>
      </c>
      <c r="Y260" s="3"/>
      <c r="Z260" s="9">
        <v>1.64001</v>
      </c>
      <c r="AA260" s="5">
        <f t="shared" si="50"/>
        <v>0.62725234164153032</v>
      </c>
      <c r="AB260" s="9">
        <f t="shared" si="40"/>
        <v>1.0268414285714287</v>
      </c>
      <c r="AC260" s="9">
        <f t="shared" si="43"/>
        <v>0.86759678571428567</v>
      </c>
      <c r="AD260" s="8">
        <f t="shared" si="44"/>
        <v>1.1835468335974044</v>
      </c>
      <c r="AE260" s="3" t="s">
        <v>44</v>
      </c>
      <c r="AF260" s="10">
        <f t="shared" si="45"/>
        <v>21363.25</v>
      </c>
      <c r="AG260" s="11">
        <f t="shared" si="46"/>
        <v>2.2250359846933403</v>
      </c>
      <c r="AH260" s="11">
        <f t="shared" si="47"/>
        <v>1.8902905439533095</v>
      </c>
      <c r="AI260" s="3" t="s">
        <v>45</v>
      </c>
      <c r="AJ260" s="3" t="s">
        <v>40</v>
      </c>
      <c r="AK260" s="3" t="s">
        <v>46</v>
      </c>
      <c r="AL260" s="3" t="s">
        <v>47</v>
      </c>
      <c r="AM260" s="3" t="s">
        <v>39</v>
      </c>
    </row>
    <row r="261" spans="1:39" ht="21" customHeight="1">
      <c r="A261" s="4">
        <v>46221</v>
      </c>
      <c r="B261" s="3" t="s">
        <v>39</v>
      </c>
      <c r="C261" s="3" t="s">
        <v>40</v>
      </c>
      <c r="D261" s="4">
        <v>46057</v>
      </c>
      <c r="E261" s="3">
        <v>164</v>
      </c>
      <c r="F261" s="3" t="s">
        <v>57</v>
      </c>
      <c r="G261" s="3" t="s">
        <v>42</v>
      </c>
      <c r="H261" s="3">
        <v>1</v>
      </c>
      <c r="I261" s="7">
        <v>59084</v>
      </c>
      <c r="J261" s="7">
        <v>41492</v>
      </c>
      <c r="K261" s="7">
        <v>17591</v>
      </c>
      <c r="L261" s="5">
        <f t="shared" si="48"/>
        <v>0.70225441743957751</v>
      </c>
      <c r="M261" s="5">
        <f t="shared" si="49"/>
        <v>-0.11741156787762907</v>
      </c>
      <c r="N261" s="7">
        <f t="shared" si="39"/>
        <v>48962.428571428572</v>
      </c>
      <c r="O261" s="7">
        <f t="shared" si="41"/>
        <v>45302.535714285717</v>
      </c>
      <c r="P261" s="8">
        <f t="shared" si="42"/>
        <v>1.3042095562295077</v>
      </c>
      <c r="Q261" s="7"/>
      <c r="R261" s="7"/>
      <c r="S261" s="7"/>
      <c r="T261" s="7"/>
      <c r="U261" s="7"/>
      <c r="V261" s="7"/>
      <c r="W261" s="7"/>
      <c r="X261" s="3" t="s">
        <v>62</v>
      </c>
      <c r="Y261" s="3"/>
      <c r="Z261" s="9">
        <v>1.1726700000000001</v>
      </c>
      <c r="AA261" s="5">
        <f t="shared" si="50"/>
        <v>-0.28496167706294462</v>
      </c>
      <c r="AB261" s="9">
        <f t="shared" si="40"/>
        <v>1.0215814285714286</v>
      </c>
      <c r="AC261" s="9">
        <f t="shared" si="43"/>
        <v>0.89239321428571439</v>
      </c>
      <c r="AD261" s="8">
        <f t="shared" si="44"/>
        <v>1.1447660204242123</v>
      </c>
      <c r="AE261" s="3" t="s">
        <v>44</v>
      </c>
      <c r="AF261" s="10">
        <f t="shared" si="45"/>
        <v>34951.5</v>
      </c>
      <c r="AG261" s="11">
        <f t="shared" si="46"/>
        <v>1.1871307383087992</v>
      </c>
      <c r="AH261" s="11">
        <f t="shared" si="47"/>
        <v>1.3140731924307869</v>
      </c>
      <c r="AI261" s="3" t="s">
        <v>45</v>
      </c>
      <c r="AJ261" s="3" t="s">
        <v>40</v>
      </c>
      <c r="AK261" s="3" t="s">
        <v>46</v>
      </c>
      <c r="AL261" s="3" t="s">
        <v>47</v>
      </c>
      <c r="AM261" s="3" t="s">
        <v>39</v>
      </c>
    </row>
    <row r="262" spans="1:39" ht="21" customHeight="1">
      <c r="A262" s="4">
        <v>46222</v>
      </c>
      <c r="B262" s="3" t="s">
        <v>39</v>
      </c>
      <c r="C262" s="3" t="s">
        <v>40</v>
      </c>
      <c r="D262" s="4">
        <v>46057</v>
      </c>
      <c r="E262" s="3">
        <v>165</v>
      </c>
      <c r="F262" s="3" t="s">
        <v>57</v>
      </c>
      <c r="G262" s="3" t="s">
        <v>48</v>
      </c>
      <c r="H262" s="3">
        <v>1</v>
      </c>
      <c r="I262" s="7">
        <v>54218</v>
      </c>
      <c r="J262" s="7">
        <v>35312</v>
      </c>
      <c r="K262" s="7">
        <v>18907</v>
      </c>
      <c r="L262" s="5">
        <f t="shared" si="48"/>
        <v>0.65129661735954847</v>
      </c>
      <c r="M262" s="5">
        <f t="shared" si="49"/>
        <v>-8.2357321779161885E-2</v>
      </c>
      <c r="N262" s="7">
        <f t="shared" si="39"/>
        <v>49117.285714285717</v>
      </c>
      <c r="O262" s="7">
        <f t="shared" si="41"/>
        <v>45654.678571428572</v>
      </c>
      <c r="P262" s="8">
        <f t="shared" si="42"/>
        <v>1.1875672263287051</v>
      </c>
      <c r="Q262" s="7"/>
      <c r="R262" s="7"/>
      <c r="S262" s="7"/>
      <c r="T262" s="7"/>
      <c r="U262" s="7"/>
      <c r="V262" s="7"/>
      <c r="W262" s="7"/>
      <c r="X262" s="3" t="s">
        <v>62</v>
      </c>
      <c r="Y262" s="3"/>
      <c r="Z262" s="9">
        <v>1.1834800000000001</v>
      </c>
      <c r="AA262" s="5">
        <f t="shared" si="50"/>
        <v>9.2182796524171717E-3</v>
      </c>
      <c r="AB262" s="9">
        <f t="shared" si="40"/>
        <v>1.0396357142857144</v>
      </c>
      <c r="AC262" s="9">
        <f t="shared" si="43"/>
        <v>0.88985142857142852</v>
      </c>
      <c r="AD262" s="8">
        <f t="shared" si="44"/>
        <v>1.1683250494464568</v>
      </c>
      <c r="AE262" s="3" t="s">
        <v>44</v>
      </c>
      <c r="AF262" s="10">
        <f t="shared" si="45"/>
        <v>33059.5</v>
      </c>
      <c r="AG262" s="11">
        <f t="shared" si="46"/>
        <v>1.0681347267805019</v>
      </c>
      <c r="AH262" s="11">
        <f t="shared" si="47"/>
        <v>1.329974827258483</v>
      </c>
      <c r="AI262" s="3" t="s">
        <v>45</v>
      </c>
      <c r="AJ262" s="3" t="s">
        <v>40</v>
      </c>
      <c r="AK262" s="3" t="s">
        <v>46</v>
      </c>
      <c r="AL262" s="3" t="s">
        <v>47</v>
      </c>
      <c r="AM262" s="3" t="s">
        <v>39</v>
      </c>
    </row>
    <row r="263" spans="1:39" ht="21" customHeight="1">
      <c r="A263" s="4">
        <v>46223</v>
      </c>
      <c r="B263" s="3" t="s">
        <v>39</v>
      </c>
      <c r="C263" s="3" t="s">
        <v>40</v>
      </c>
      <c r="D263" s="4">
        <v>46057</v>
      </c>
      <c r="E263" s="3">
        <v>166</v>
      </c>
      <c r="F263" s="3" t="s">
        <v>57</v>
      </c>
      <c r="G263" s="3" t="s">
        <v>49</v>
      </c>
      <c r="H263" s="3">
        <v>0</v>
      </c>
      <c r="I263" s="7">
        <v>37485</v>
      </c>
      <c r="J263" s="7">
        <v>15194</v>
      </c>
      <c r="K263" s="7">
        <v>22292</v>
      </c>
      <c r="L263" s="5">
        <f t="shared" si="48"/>
        <v>0.4053354675203415</v>
      </c>
      <c r="M263" s="5">
        <f t="shared" si="49"/>
        <v>-0.30862444206721018</v>
      </c>
      <c r="N263" s="7">
        <f t="shared" si="39"/>
        <v>48808.857142857145</v>
      </c>
      <c r="O263" s="7">
        <f t="shared" si="41"/>
        <v>45779.678571428572</v>
      </c>
      <c r="P263" s="8">
        <f t="shared" si="42"/>
        <v>0.81881308846486001</v>
      </c>
      <c r="Q263" s="7"/>
      <c r="R263" s="7"/>
      <c r="S263" s="7"/>
      <c r="T263" s="7"/>
      <c r="U263" s="7"/>
      <c r="V263" s="7"/>
      <c r="W263" s="7"/>
      <c r="X263" s="3" t="s">
        <v>62</v>
      </c>
      <c r="Y263" s="3"/>
      <c r="Z263" s="9">
        <v>0.95999000000000001</v>
      </c>
      <c r="AA263" s="5">
        <f t="shared" si="50"/>
        <v>-0.18884138303984865</v>
      </c>
      <c r="AB263" s="9">
        <f t="shared" si="40"/>
        <v>1.0693014285714286</v>
      </c>
      <c r="AC263" s="9">
        <f t="shared" si="43"/>
        <v>0.89423107142857139</v>
      </c>
      <c r="AD263" s="8">
        <f t="shared" si="44"/>
        <v>1.1957775375252562</v>
      </c>
      <c r="AE263" s="3" t="s">
        <v>44</v>
      </c>
      <c r="AF263" s="10">
        <f t="shared" si="45"/>
        <v>16586.25</v>
      </c>
      <c r="AG263" s="11">
        <f t="shared" si="46"/>
        <v>0.91605998944909184</v>
      </c>
      <c r="AH263" s="11">
        <f t="shared" si="47"/>
        <v>1.0735368415082871</v>
      </c>
      <c r="AI263" s="3" t="s">
        <v>45</v>
      </c>
      <c r="AJ263" s="3" t="s">
        <v>40</v>
      </c>
      <c r="AK263" s="3" t="s">
        <v>46</v>
      </c>
      <c r="AL263" s="3" t="s">
        <v>47</v>
      </c>
      <c r="AM263" s="3" t="s">
        <v>39</v>
      </c>
    </row>
    <row r="264" spans="1:39" ht="21" customHeight="1">
      <c r="A264" s="4">
        <v>46224</v>
      </c>
      <c r="B264" s="3" t="s">
        <v>39</v>
      </c>
      <c r="C264" s="3" t="s">
        <v>40</v>
      </c>
      <c r="D264" s="4">
        <v>46057</v>
      </c>
      <c r="E264" s="3">
        <v>167</v>
      </c>
      <c r="F264" s="3" t="s">
        <v>57</v>
      </c>
      <c r="G264" s="3" t="s">
        <v>50</v>
      </c>
      <c r="H264" s="3">
        <v>0</v>
      </c>
      <c r="I264" s="7">
        <v>38594</v>
      </c>
      <c r="J264" s="7">
        <v>16208</v>
      </c>
      <c r="K264" s="7">
        <v>22386</v>
      </c>
      <c r="L264" s="5">
        <f t="shared" si="48"/>
        <v>0.41996165207026998</v>
      </c>
      <c r="M264" s="5">
        <f t="shared" si="49"/>
        <v>2.9585167400293377E-2</v>
      </c>
      <c r="N264" s="7">
        <f t="shared" ref="N264:N327" si="51">AVERAGE(I258:I264)</f>
        <v>48528.285714285717</v>
      </c>
      <c r="O264" s="7">
        <f t="shared" si="41"/>
        <v>45687.928571428572</v>
      </c>
      <c r="P264" s="8">
        <f t="shared" si="42"/>
        <v>0.84473079009616481</v>
      </c>
      <c r="Q264" s="7"/>
      <c r="R264" s="7"/>
      <c r="S264" s="7"/>
      <c r="T264" s="7"/>
      <c r="U264" s="7"/>
      <c r="V264" s="7"/>
      <c r="W264" s="7"/>
      <c r="X264" s="3" t="s">
        <v>62</v>
      </c>
      <c r="Y264" s="3"/>
      <c r="Z264" s="9">
        <v>0.85148999999999997</v>
      </c>
      <c r="AA264" s="5">
        <f t="shared" si="50"/>
        <v>-0.1130220106459443</v>
      </c>
      <c r="AB264" s="9">
        <f t="shared" ref="AB264:AB327" si="52">AVERAGE(Z258:Z264)</f>
        <v>1.0915757142857143</v>
      </c>
      <c r="AC264" s="9">
        <f t="shared" si="43"/>
        <v>0.90174107142857163</v>
      </c>
      <c r="AD264" s="8">
        <f t="shared" si="44"/>
        <v>1.2105201247586512</v>
      </c>
      <c r="AE264" s="3" t="s">
        <v>44</v>
      </c>
      <c r="AF264" s="10">
        <f t="shared" si="45"/>
        <v>17598.75</v>
      </c>
      <c r="AG264" s="11">
        <f t="shared" si="46"/>
        <v>0.92097450102990264</v>
      </c>
      <c r="AH264" s="11">
        <f t="shared" si="47"/>
        <v>0.94427328085548767</v>
      </c>
      <c r="AI264" s="3" t="s">
        <v>45</v>
      </c>
      <c r="AJ264" s="3" t="s">
        <v>40</v>
      </c>
      <c r="AK264" s="3" t="s">
        <v>46</v>
      </c>
      <c r="AL264" s="3" t="s">
        <v>47</v>
      </c>
      <c r="AM264" s="3" t="s">
        <v>39</v>
      </c>
    </row>
    <row r="265" spans="1:39" ht="21" customHeight="1">
      <c r="A265" s="4">
        <v>46225</v>
      </c>
      <c r="B265" s="3" t="s">
        <v>39</v>
      </c>
      <c r="C265" s="3" t="s">
        <v>40</v>
      </c>
      <c r="D265" s="4">
        <v>46057</v>
      </c>
      <c r="E265" s="3">
        <v>168</v>
      </c>
      <c r="F265" s="3" t="s">
        <v>57</v>
      </c>
      <c r="G265" s="3" t="s">
        <v>51</v>
      </c>
      <c r="H265" s="3">
        <v>0</v>
      </c>
      <c r="I265" s="7">
        <v>38563</v>
      </c>
      <c r="J265" s="7">
        <v>16278</v>
      </c>
      <c r="K265" s="7">
        <v>22284</v>
      </c>
      <c r="L265" s="5">
        <f t="shared" si="48"/>
        <v>0.42211446204911446</v>
      </c>
      <c r="M265" s="5">
        <f t="shared" si="49"/>
        <v>-8.0323366326373602E-4</v>
      </c>
      <c r="N265" s="7">
        <f t="shared" si="51"/>
        <v>48572.285714285717</v>
      </c>
      <c r="O265" s="7">
        <f t="shared" si="41"/>
        <v>45523.642857142855</v>
      </c>
      <c r="P265" s="8">
        <f t="shared" si="42"/>
        <v>0.84709828958578826</v>
      </c>
      <c r="Q265" s="7"/>
      <c r="R265" s="7"/>
      <c r="S265" s="7"/>
      <c r="T265" s="7"/>
      <c r="U265" s="7"/>
      <c r="V265" s="7"/>
      <c r="W265" s="7"/>
      <c r="X265" s="3" t="s">
        <v>62</v>
      </c>
      <c r="Y265" s="3"/>
      <c r="Z265" s="9">
        <v>1.24603</v>
      </c>
      <c r="AA265" s="5">
        <f t="shared" si="50"/>
        <v>0.46335247624751896</v>
      </c>
      <c r="AB265" s="9">
        <f t="shared" si="52"/>
        <v>1.1516442857142857</v>
      </c>
      <c r="AC265" s="9">
        <f t="shared" si="43"/>
        <v>0.90543392857142879</v>
      </c>
      <c r="AD265" s="8">
        <f t="shared" si="44"/>
        <v>1.2719252607766991</v>
      </c>
      <c r="AE265" s="3" t="s">
        <v>44</v>
      </c>
      <c r="AF265" s="10">
        <f t="shared" si="45"/>
        <v>15956.25</v>
      </c>
      <c r="AG265" s="11">
        <f t="shared" si="46"/>
        <v>1.0201645123384253</v>
      </c>
      <c r="AH265" s="11">
        <f t="shared" si="47"/>
        <v>1.3761688850846965</v>
      </c>
      <c r="AI265" s="3" t="s">
        <v>45</v>
      </c>
      <c r="AJ265" s="3" t="s">
        <v>40</v>
      </c>
      <c r="AK265" s="3" t="s">
        <v>46</v>
      </c>
      <c r="AL265" s="3" t="s">
        <v>47</v>
      </c>
      <c r="AM265" s="3" t="s">
        <v>39</v>
      </c>
    </row>
    <row r="266" spans="1:39" ht="21" customHeight="1">
      <c r="A266" s="4">
        <v>46226</v>
      </c>
      <c r="B266" s="3" t="s">
        <v>39</v>
      </c>
      <c r="C266" s="3" t="s">
        <v>40</v>
      </c>
      <c r="D266" s="4">
        <v>46057</v>
      </c>
      <c r="E266" s="3">
        <v>169</v>
      </c>
      <c r="F266" s="3" t="s">
        <v>57</v>
      </c>
      <c r="G266" s="3" t="s">
        <v>52</v>
      </c>
      <c r="H266" s="3">
        <v>0</v>
      </c>
      <c r="I266" s="7">
        <v>41097</v>
      </c>
      <c r="J266" s="7">
        <v>18886</v>
      </c>
      <c r="K266" s="7">
        <v>22211</v>
      </c>
      <c r="L266" s="5">
        <f t="shared" si="48"/>
        <v>0.45954692556634302</v>
      </c>
      <c r="M266" s="5">
        <f t="shared" si="49"/>
        <v>6.5710655291341347E-2</v>
      </c>
      <c r="N266" s="7">
        <f t="shared" si="51"/>
        <v>47997.857142857145</v>
      </c>
      <c r="O266" s="7">
        <f t="shared" si="41"/>
        <v>45350.892857142855</v>
      </c>
      <c r="P266" s="8">
        <f t="shared" si="42"/>
        <v>0.90620046069340265</v>
      </c>
      <c r="Q266" s="7"/>
      <c r="R266" s="7"/>
      <c r="S266" s="7"/>
      <c r="T266" s="7"/>
      <c r="U266" s="7"/>
      <c r="V266" s="7"/>
      <c r="W266" s="7"/>
      <c r="X266" s="3" t="s">
        <v>62</v>
      </c>
      <c r="Y266" s="3"/>
      <c r="Z266" s="9">
        <v>1.35036</v>
      </c>
      <c r="AA266" s="5">
        <f t="shared" si="50"/>
        <v>8.3729926245756481E-2</v>
      </c>
      <c r="AB266" s="9">
        <f t="shared" si="52"/>
        <v>1.2005757142857143</v>
      </c>
      <c r="AC266" s="9">
        <f t="shared" si="43"/>
        <v>0.9228792857142859</v>
      </c>
      <c r="AD266" s="8">
        <f t="shared" si="44"/>
        <v>1.3009022229342793</v>
      </c>
      <c r="AE266" s="3" t="s">
        <v>44</v>
      </c>
      <c r="AF266" s="10">
        <f t="shared" si="45"/>
        <v>17819.25</v>
      </c>
      <c r="AG266" s="11">
        <f t="shared" si="46"/>
        <v>1.059865033601302</v>
      </c>
      <c r="AH266" s="11">
        <f t="shared" si="47"/>
        <v>1.4632032822741867</v>
      </c>
      <c r="AI266" s="3" t="s">
        <v>45</v>
      </c>
      <c r="AJ266" s="3" t="s">
        <v>40</v>
      </c>
      <c r="AK266" s="3" t="s">
        <v>46</v>
      </c>
      <c r="AL266" s="3" t="s">
        <v>47</v>
      </c>
      <c r="AM266" s="3" t="s">
        <v>39</v>
      </c>
    </row>
    <row r="267" spans="1:39" ht="21" customHeight="1">
      <c r="A267" s="4">
        <v>46227</v>
      </c>
      <c r="B267" s="3" t="s">
        <v>39</v>
      </c>
      <c r="C267" s="3" t="s">
        <v>40</v>
      </c>
      <c r="D267" s="4">
        <v>46057</v>
      </c>
      <c r="E267" s="3">
        <v>170</v>
      </c>
      <c r="F267" s="3" t="s">
        <v>57</v>
      </c>
      <c r="G267" s="3" t="s">
        <v>53</v>
      </c>
      <c r="H267" s="3">
        <v>0</v>
      </c>
      <c r="I267" s="7">
        <v>46732</v>
      </c>
      <c r="J267" s="7">
        <v>24325</v>
      </c>
      <c r="K267" s="7">
        <v>22407</v>
      </c>
      <c r="L267" s="5">
        <f t="shared" si="48"/>
        <v>0.52052127022168959</v>
      </c>
      <c r="M267" s="5">
        <f t="shared" si="49"/>
        <v>0.13711463123828982</v>
      </c>
      <c r="N267" s="7">
        <f t="shared" si="51"/>
        <v>45110.428571428572</v>
      </c>
      <c r="O267" s="7">
        <f t="shared" si="41"/>
        <v>45358.392857142855</v>
      </c>
      <c r="P267" s="8">
        <f t="shared" si="42"/>
        <v>1.030283417386135</v>
      </c>
      <c r="Q267" s="7"/>
      <c r="R267" s="7"/>
      <c r="S267" s="7"/>
      <c r="T267" s="7"/>
      <c r="U267" s="7"/>
      <c r="V267" s="7"/>
      <c r="W267" s="7"/>
      <c r="X267" s="3" t="s">
        <v>62</v>
      </c>
      <c r="Y267" s="3"/>
      <c r="Z267" s="9">
        <v>1.6563399999999999</v>
      </c>
      <c r="AA267" s="5">
        <f t="shared" si="50"/>
        <v>0.22659142747119287</v>
      </c>
      <c r="AB267" s="9">
        <f t="shared" si="52"/>
        <v>1.2029085714285714</v>
      </c>
      <c r="AC267" s="9">
        <f t="shared" si="43"/>
        <v>0.94562357142857145</v>
      </c>
      <c r="AD267" s="8">
        <f t="shared" si="44"/>
        <v>1.2720797236592936</v>
      </c>
      <c r="AE267" s="3" t="s">
        <v>44</v>
      </c>
      <c r="AF267" s="10">
        <f t="shared" si="45"/>
        <v>27783.25</v>
      </c>
      <c r="AG267" s="11">
        <f t="shared" si="46"/>
        <v>0.87552752107834753</v>
      </c>
      <c r="AH267" s="11">
        <f t="shared" si="47"/>
        <v>1.7515849329958386</v>
      </c>
      <c r="AI267" s="3" t="s">
        <v>45</v>
      </c>
      <c r="AJ267" s="3" t="s">
        <v>40</v>
      </c>
      <c r="AK267" s="3" t="s">
        <v>46</v>
      </c>
      <c r="AL267" s="3" t="s">
        <v>47</v>
      </c>
      <c r="AM267" s="3" t="s">
        <v>39</v>
      </c>
    </row>
    <row r="268" spans="1:39" ht="21" customHeight="1">
      <c r="A268" s="4">
        <v>46228</v>
      </c>
      <c r="B268" s="3" t="s">
        <v>39</v>
      </c>
      <c r="C268" s="3" t="s">
        <v>40</v>
      </c>
      <c r="D268" s="4">
        <v>46057</v>
      </c>
      <c r="E268" s="3">
        <v>171</v>
      </c>
      <c r="F268" s="3" t="s">
        <v>57</v>
      </c>
      <c r="G268" s="3" t="s">
        <v>42</v>
      </c>
      <c r="H268" s="3">
        <v>1</v>
      </c>
      <c r="I268" s="7">
        <v>57824</v>
      </c>
      <c r="J268" s="7">
        <v>38182</v>
      </c>
      <c r="K268" s="7">
        <v>19642</v>
      </c>
      <c r="L268" s="5">
        <f t="shared" si="48"/>
        <v>0.66031405644715002</v>
      </c>
      <c r="M268" s="5">
        <f t="shared" si="49"/>
        <v>0.2373534194984166</v>
      </c>
      <c r="N268" s="7">
        <f t="shared" si="51"/>
        <v>44930.428571428572</v>
      </c>
      <c r="O268" s="7">
        <f t="shared" si="41"/>
        <v>45358.642857142855</v>
      </c>
      <c r="P268" s="8">
        <f t="shared" si="42"/>
        <v>1.2748176831947291</v>
      </c>
      <c r="Q268" s="7"/>
      <c r="R268" s="7"/>
      <c r="S268" s="7"/>
      <c r="T268" s="7"/>
      <c r="U268" s="7"/>
      <c r="V268" s="7"/>
      <c r="W268" s="7"/>
      <c r="X268" s="3" t="s">
        <v>62</v>
      </c>
      <c r="Y268" s="3"/>
      <c r="Z268" s="9">
        <v>1.9491000000000001</v>
      </c>
      <c r="AA268" s="5">
        <f t="shared" si="50"/>
        <v>0.17675115012618181</v>
      </c>
      <c r="AB268" s="9">
        <f t="shared" si="52"/>
        <v>1.3138271428571429</v>
      </c>
      <c r="AC268" s="9">
        <f t="shared" si="43"/>
        <v>0.97610249999999998</v>
      </c>
      <c r="AD268" s="8">
        <f t="shared" si="44"/>
        <v>1.3459930108335374</v>
      </c>
      <c r="AE268" s="3" t="s">
        <v>44</v>
      </c>
      <c r="AF268" s="10">
        <f t="shared" si="45"/>
        <v>37611.5</v>
      </c>
      <c r="AG268" s="11">
        <f t="shared" si="46"/>
        <v>1.0151682331201892</v>
      </c>
      <c r="AH268" s="11">
        <f t="shared" si="47"/>
        <v>1.9968189816130992</v>
      </c>
      <c r="AI268" s="3" t="s">
        <v>45</v>
      </c>
      <c r="AJ268" s="3" t="s">
        <v>40</v>
      </c>
      <c r="AK268" s="3" t="s">
        <v>46</v>
      </c>
      <c r="AL268" s="3" t="s">
        <v>47</v>
      </c>
      <c r="AM268" s="3" t="s">
        <v>39</v>
      </c>
    </row>
    <row r="269" spans="1:39" ht="21" customHeight="1">
      <c r="A269" s="4">
        <v>46229</v>
      </c>
      <c r="B269" s="3" t="s">
        <v>39</v>
      </c>
      <c r="C269" s="3" t="s">
        <v>40</v>
      </c>
      <c r="D269" s="4">
        <v>46057</v>
      </c>
      <c r="E269" s="3">
        <v>172</v>
      </c>
      <c r="F269" s="3" t="s">
        <v>57</v>
      </c>
      <c r="G269" s="3" t="s">
        <v>48</v>
      </c>
      <c r="H269" s="3">
        <v>1</v>
      </c>
      <c r="I269" s="7">
        <v>56878</v>
      </c>
      <c r="J269" s="7">
        <v>38304</v>
      </c>
      <c r="K269" s="7">
        <v>18574</v>
      </c>
      <c r="L269" s="5">
        <f t="shared" si="48"/>
        <v>0.67344140089313975</v>
      </c>
      <c r="M269" s="5">
        <f t="shared" si="49"/>
        <v>-1.6359988931931357E-2</v>
      </c>
      <c r="N269" s="7">
        <f t="shared" si="51"/>
        <v>45310.428571428572</v>
      </c>
      <c r="O269" s="7">
        <f t="shared" si="41"/>
        <v>45363.142857142855</v>
      </c>
      <c r="P269" s="8">
        <f t="shared" si="42"/>
        <v>1.2538372876658836</v>
      </c>
      <c r="Q269" s="7"/>
      <c r="R269" s="7"/>
      <c r="S269" s="7"/>
      <c r="T269" s="7"/>
      <c r="U269" s="7"/>
      <c r="V269" s="7"/>
      <c r="W269" s="7"/>
      <c r="X269" s="3" t="s">
        <v>62</v>
      </c>
      <c r="Y269" s="3"/>
      <c r="Z269" s="9">
        <v>1.8716299999999999</v>
      </c>
      <c r="AA269" s="5">
        <f t="shared" si="50"/>
        <v>-3.9746549689600452E-2</v>
      </c>
      <c r="AB269" s="9">
        <f t="shared" si="52"/>
        <v>1.4121342857142858</v>
      </c>
      <c r="AC269" s="9">
        <f t="shared" si="43"/>
        <v>1.0047610714285715</v>
      </c>
      <c r="AD269" s="8">
        <f t="shared" si="44"/>
        <v>1.4054428718128082</v>
      </c>
      <c r="AE269" s="3" t="s">
        <v>44</v>
      </c>
      <c r="AF269" s="10">
        <f t="shared" si="45"/>
        <v>34130.5</v>
      </c>
      <c r="AG269" s="11">
        <f t="shared" si="46"/>
        <v>1.1222806580624369</v>
      </c>
      <c r="AH269" s="11">
        <f t="shared" si="47"/>
        <v>1.8627612605839836</v>
      </c>
      <c r="AI269" s="3" t="s">
        <v>45</v>
      </c>
      <c r="AJ269" s="3" t="s">
        <v>40</v>
      </c>
      <c r="AK269" s="3" t="s">
        <v>46</v>
      </c>
      <c r="AL269" s="3" t="s">
        <v>47</v>
      </c>
      <c r="AM269" s="3" t="s">
        <v>39</v>
      </c>
    </row>
    <row r="270" spans="1:39" ht="21" customHeight="1">
      <c r="A270" s="4">
        <v>46230</v>
      </c>
      <c r="B270" s="3" t="s">
        <v>39</v>
      </c>
      <c r="C270" s="3" t="s">
        <v>40</v>
      </c>
      <c r="D270" s="4">
        <v>46057</v>
      </c>
      <c r="E270" s="3">
        <v>173</v>
      </c>
      <c r="F270" s="3" t="s">
        <v>57</v>
      </c>
      <c r="G270" s="3" t="s">
        <v>49</v>
      </c>
      <c r="H270" s="3">
        <v>0</v>
      </c>
      <c r="I270" s="7">
        <v>48062</v>
      </c>
      <c r="J270" s="7">
        <v>26250</v>
      </c>
      <c r="K270" s="7">
        <v>21812</v>
      </c>
      <c r="L270" s="5">
        <f t="shared" si="48"/>
        <v>0.54616953102242938</v>
      </c>
      <c r="M270" s="5">
        <f t="shared" si="49"/>
        <v>-0.15499841766588141</v>
      </c>
      <c r="N270" s="7">
        <f t="shared" si="51"/>
        <v>46821.428571428572</v>
      </c>
      <c r="O270" s="7">
        <f t="shared" si="41"/>
        <v>45439.857142857145</v>
      </c>
      <c r="P270" s="8">
        <f t="shared" si="42"/>
        <v>1.0577057900710201</v>
      </c>
      <c r="Q270" s="7"/>
      <c r="R270" s="7"/>
      <c r="S270" s="7"/>
      <c r="T270" s="7"/>
      <c r="U270" s="7"/>
      <c r="V270" s="7"/>
      <c r="W270" s="7"/>
      <c r="X270" s="3" t="s">
        <v>62</v>
      </c>
      <c r="Y270" s="3"/>
      <c r="Z270" s="9">
        <v>1.2290700000000001</v>
      </c>
      <c r="AA270" s="5">
        <f t="shared" si="50"/>
        <v>-0.34331571945309691</v>
      </c>
      <c r="AB270" s="9">
        <f t="shared" si="52"/>
        <v>1.4505742857142856</v>
      </c>
      <c r="AC270" s="9">
        <f t="shared" si="43"/>
        <v>1.0361282142857144</v>
      </c>
      <c r="AD270" s="8">
        <f t="shared" si="44"/>
        <v>1.3999949675284944</v>
      </c>
      <c r="AE270" s="3" t="s">
        <v>44</v>
      </c>
      <c r="AF270" s="10">
        <f t="shared" si="45"/>
        <v>16248.75</v>
      </c>
      <c r="AG270" s="11">
        <f t="shared" si="46"/>
        <v>1.615508885298869</v>
      </c>
      <c r="AH270" s="11">
        <f t="shared" si="47"/>
        <v>1.1862141992217592</v>
      </c>
      <c r="AI270" s="3" t="s">
        <v>45</v>
      </c>
      <c r="AJ270" s="3" t="s">
        <v>40</v>
      </c>
      <c r="AK270" s="3" t="s">
        <v>46</v>
      </c>
      <c r="AL270" s="3" t="s">
        <v>47</v>
      </c>
      <c r="AM270" s="3" t="s">
        <v>39</v>
      </c>
    </row>
    <row r="271" spans="1:39" ht="21" customHeight="1">
      <c r="A271" s="4">
        <v>46231</v>
      </c>
      <c r="B271" s="3" t="s">
        <v>39</v>
      </c>
      <c r="C271" s="3" t="s">
        <v>40</v>
      </c>
      <c r="D271" s="4">
        <v>46057</v>
      </c>
      <c r="E271" s="3">
        <v>174</v>
      </c>
      <c r="F271" s="3" t="s">
        <v>57</v>
      </c>
      <c r="G271" s="3" t="s">
        <v>50</v>
      </c>
      <c r="H271" s="3">
        <v>0</v>
      </c>
      <c r="I271" s="7">
        <v>49864</v>
      </c>
      <c r="J271" s="7">
        <v>28175</v>
      </c>
      <c r="K271" s="7">
        <v>21690</v>
      </c>
      <c r="L271" s="5">
        <f t="shared" si="48"/>
        <v>0.56503690036900367</v>
      </c>
      <c r="M271" s="5">
        <f t="shared" si="49"/>
        <v>3.7493237901044418E-2</v>
      </c>
      <c r="N271" s="7">
        <f t="shared" si="51"/>
        <v>48431.428571428572</v>
      </c>
      <c r="O271" s="7">
        <f t="shared" si="41"/>
        <v>45653.107142857145</v>
      </c>
      <c r="P271" s="8">
        <f t="shared" si="42"/>
        <v>1.0922367199228342</v>
      </c>
      <c r="Q271" s="7"/>
      <c r="R271" s="7"/>
      <c r="S271" s="7"/>
      <c r="T271" s="7"/>
      <c r="U271" s="7"/>
      <c r="V271" s="7"/>
      <c r="W271" s="7"/>
      <c r="X271" s="3" t="s">
        <v>62</v>
      </c>
      <c r="Y271" s="3"/>
      <c r="Z271" s="9">
        <v>1.1371899999999999</v>
      </c>
      <c r="AA271" s="5">
        <f t="shared" si="50"/>
        <v>-7.4755709601568854E-2</v>
      </c>
      <c r="AB271" s="9">
        <f t="shared" si="52"/>
        <v>1.4913885714285713</v>
      </c>
      <c r="AC271" s="9">
        <f t="shared" si="43"/>
        <v>1.0554317857142856</v>
      </c>
      <c r="AD271" s="8">
        <f t="shared" si="44"/>
        <v>1.4130601253583079</v>
      </c>
      <c r="AE271" s="3" t="s">
        <v>44</v>
      </c>
      <c r="AF271" s="10">
        <f t="shared" si="45"/>
        <v>16720.25</v>
      </c>
      <c r="AG271" s="11">
        <f t="shared" si="46"/>
        <v>1.6850824598914489</v>
      </c>
      <c r="AH271" s="11">
        <f t="shared" si="47"/>
        <v>1.0774642334941453</v>
      </c>
      <c r="AI271" s="3" t="s">
        <v>45</v>
      </c>
      <c r="AJ271" s="3" t="s">
        <v>40</v>
      </c>
      <c r="AK271" s="3" t="s">
        <v>46</v>
      </c>
      <c r="AL271" s="3" t="s">
        <v>47</v>
      </c>
      <c r="AM271" s="3" t="s">
        <v>39</v>
      </c>
    </row>
    <row r="272" spans="1:39" ht="21" customHeight="1">
      <c r="A272" s="4">
        <v>46232</v>
      </c>
      <c r="B272" s="3" t="s">
        <v>39</v>
      </c>
      <c r="C272" s="3" t="s">
        <v>40</v>
      </c>
      <c r="D272" s="4">
        <v>46057</v>
      </c>
      <c r="E272" s="3">
        <v>175</v>
      </c>
      <c r="F272" s="3" t="s">
        <v>57</v>
      </c>
      <c r="G272" s="3" t="s">
        <v>51</v>
      </c>
      <c r="H272" s="3">
        <v>0</v>
      </c>
      <c r="I272" s="7">
        <v>53238</v>
      </c>
      <c r="J272" s="7">
        <v>31087</v>
      </c>
      <c r="K272" s="7">
        <v>22152</v>
      </c>
      <c r="L272" s="5">
        <f t="shared" si="48"/>
        <v>0.5839250159660393</v>
      </c>
      <c r="M272" s="5">
        <f t="shared" si="49"/>
        <v>6.7664046205679451E-2</v>
      </c>
      <c r="N272" s="7">
        <f t="shared" si="51"/>
        <v>50527.857142857145</v>
      </c>
      <c r="O272" s="7">
        <f t="shared" si="41"/>
        <v>45953.214285714283</v>
      </c>
      <c r="P272" s="8">
        <f t="shared" si="42"/>
        <v>1.1585261407176555</v>
      </c>
      <c r="Q272" s="7"/>
      <c r="R272" s="7"/>
      <c r="S272" s="7"/>
      <c r="T272" s="7"/>
      <c r="U272" s="7"/>
      <c r="V272" s="7"/>
      <c r="W272" s="7"/>
      <c r="X272" s="3" t="s">
        <v>62</v>
      </c>
      <c r="Y272" s="3"/>
      <c r="Z272" s="9">
        <v>1.14927</v>
      </c>
      <c r="AA272" s="5">
        <f t="shared" si="50"/>
        <v>1.062267519060156E-2</v>
      </c>
      <c r="AB272" s="9">
        <f t="shared" si="52"/>
        <v>1.4775657142857141</v>
      </c>
      <c r="AC272" s="9">
        <f t="shared" si="43"/>
        <v>1.0645371428571428</v>
      </c>
      <c r="AD272" s="8">
        <f t="shared" si="44"/>
        <v>1.3879888777953127</v>
      </c>
      <c r="AE272" s="3" t="s">
        <v>44</v>
      </c>
      <c r="AF272" s="10">
        <f t="shared" si="45"/>
        <v>15136.25</v>
      </c>
      <c r="AG272" s="11">
        <f t="shared" si="46"/>
        <v>2.0538112147989098</v>
      </c>
      <c r="AH272" s="11">
        <f t="shared" si="47"/>
        <v>1.0795959612225836</v>
      </c>
      <c r="AI272" s="3" t="s">
        <v>45</v>
      </c>
      <c r="AJ272" s="3" t="s">
        <v>40</v>
      </c>
      <c r="AK272" s="3" t="s">
        <v>46</v>
      </c>
      <c r="AL272" s="3" t="s">
        <v>47</v>
      </c>
      <c r="AM272" s="3" t="s">
        <v>39</v>
      </c>
    </row>
    <row r="273" spans="1:39" ht="21" customHeight="1">
      <c r="A273" s="4">
        <v>46233</v>
      </c>
      <c r="B273" s="3" t="s">
        <v>39</v>
      </c>
      <c r="C273" s="3" t="s">
        <v>40</v>
      </c>
      <c r="D273" s="4">
        <v>46057</v>
      </c>
      <c r="E273" s="3">
        <v>176</v>
      </c>
      <c r="F273" s="3" t="s">
        <v>57</v>
      </c>
      <c r="G273" s="3" t="s">
        <v>52</v>
      </c>
      <c r="H273" s="3">
        <v>0</v>
      </c>
      <c r="I273" s="7">
        <v>56987</v>
      </c>
      <c r="J273" s="7">
        <v>35224</v>
      </c>
      <c r="K273" s="7">
        <v>21763</v>
      </c>
      <c r="L273" s="5">
        <f t="shared" si="48"/>
        <v>0.6181058837980592</v>
      </c>
      <c r="M273" s="5">
        <f t="shared" si="49"/>
        <v>7.0419625079830128E-2</v>
      </c>
      <c r="N273" s="7">
        <f t="shared" si="51"/>
        <v>52797.857142857145</v>
      </c>
      <c r="O273" s="7">
        <f t="shared" si="41"/>
        <v>46492.714285714283</v>
      </c>
      <c r="P273" s="8">
        <f t="shared" si="42"/>
        <v>1.2257189298476874</v>
      </c>
      <c r="Q273" s="7"/>
      <c r="R273" s="7"/>
      <c r="S273" s="7"/>
      <c r="T273" s="7"/>
      <c r="U273" s="7"/>
      <c r="V273" s="7"/>
      <c r="W273" s="7"/>
      <c r="X273" s="3" t="s">
        <v>62</v>
      </c>
      <c r="Y273" s="3"/>
      <c r="Z273" s="9">
        <v>1.1935899999999999</v>
      </c>
      <c r="AA273" s="5">
        <f t="shared" si="50"/>
        <v>3.8563609943703225E-2</v>
      </c>
      <c r="AB273" s="9">
        <f t="shared" si="52"/>
        <v>1.4551700000000001</v>
      </c>
      <c r="AC273" s="9">
        <f t="shared" si="43"/>
        <v>1.0793600000000001</v>
      </c>
      <c r="AD273" s="8">
        <f t="shared" si="44"/>
        <v>1.3481785502520012</v>
      </c>
      <c r="AE273" s="3" t="s">
        <v>44</v>
      </c>
      <c r="AF273" s="10">
        <f t="shared" si="45"/>
        <v>18059</v>
      </c>
      <c r="AG273" s="11">
        <f t="shared" si="46"/>
        <v>1.9504955977628884</v>
      </c>
      <c r="AH273" s="11">
        <f t="shared" si="47"/>
        <v>1.1058312333234508</v>
      </c>
      <c r="AI273" s="3" t="s">
        <v>45</v>
      </c>
      <c r="AJ273" s="3" t="s">
        <v>40</v>
      </c>
      <c r="AK273" s="3" t="s">
        <v>46</v>
      </c>
      <c r="AL273" s="3" t="s">
        <v>47</v>
      </c>
      <c r="AM273" s="3" t="s">
        <v>39</v>
      </c>
    </row>
    <row r="274" spans="1:39" ht="21" customHeight="1">
      <c r="A274" s="4">
        <v>46234</v>
      </c>
      <c r="B274" s="3" t="s">
        <v>39</v>
      </c>
      <c r="C274" s="3" t="s">
        <v>40</v>
      </c>
      <c r="D274" s="4">
        <v>46057</v>
      </c>
      <c r="E274" s="3">
        <v>177</v>
      </c>
      <c r="F274" s="3" t="s">
        <v>57</v>
      </c>
      <c r="G274" s="3" t="s">
        <v>53</v>
      </c>
      <c r="H274" s="3">
        <v>0</v>
      </c>
      <c r="I274" s="7">
        <v>67634</v>
      </c>
      <c r="J274" s="7">
        <v>45423</v>
      </c>
      <c r="K274" s="7">
        <v>22211</v>
      </c>
      <c r="L274" s="5">
        <f t="shared" si="48"/>
        <v>0.6716000827985924</v>
      </c>
      <c r="M274" s="5">
        <f t="shared" si="49"/>
        <v>0.18683208451050248</v>
      </c>
      <c r="N274" s="7">
        <f t="shared" si="51"/>
        <v>55783.857142857145</v>
      </c>
      <c r="O274" s="7">
        <f t="shared" si="41"/>
        <v>47117.821428571428</v>
      </c>
      <c r="P274" s="8">
        <f t="shared" si="42"/>
        <v>1.4354229026172232</v>
      </c>
      <c r="Q274" s="7"/>
      <c r="R274" s="7"/>
      <c r="S274" s="7"/>
      <c r="T274" s="7"/>
      <c r="U274" s="7"/>
      <c r="V274" s="7"/>
      <c r="W274" s="7"/>
      <c r="X274" s="3" t="s">
        <v>62</v>
      </c>
      <c r="Y274" s="3"/>
      <c r="Z274" s="9">
        <v>1.22801</v>
      </c>
      <c r="AA274" s="5">
        <f t="shared" si="50"/>
        <v>2.883737296726685E-2</v>
      </c>
      <c r="AB274" s="9">
        <f t="shared" si="52"/>
        <v>1.3939799999999998</v>
      </c>
      <c r="AC274" s="9">
        <f t="shared" si="43"/>
        <v>1.0976110714285716</v>
      </c>
      <c r="AD274" s="8">
        <f t="shared" si="44"/>
        <v>1.2700126996584462</v>
      </c>
      <c r="AE274" s="3" t="s">
        <v>44</v>
      </c>
      <c r="AF274" s="10">
        <f t="shared" si="45"/>
        <v>28057</v>
      </c>
      <c r="AG274" s="11">
        <f t="shared" si="46"/>
        <v>1.618954271661261</v>
      </c>
      <c r="AH274" s="11">
        <f t="shared" si="47"/>
        <v>1.1188024902133236</v>
      </c>
      <c r="AI274" s="3" t="s">
        <v>45</v>
      </c>
      <c r="AJ274" s="3" t="s">
        <v>40</v>
      </c>
      <c r="AK274" s="3" t="s">
        <v>46</v>
      </c>
      <c r="AL274" s="3" t="s">
        <v>47</v>
      </c>
      <c r="AM274" s="3" t="s">
        <v>39</v>
      </c>
    </row>
    <row r="275" spans="1:39" ht="21" customHeight="1">
      <c r="A275" s="4">
        <v>46235</v>
      </c>
      <c r="B275" s="3" t="s">
        <v>39</v>
      </c>
      <c r="C275" s="3" t="s">
        <v>40</v>
      </c>
      <c r="D275" s="4">
        <v>46057</v>
      </c>
      <c r="E275" s="3">
        <v>178</v>
      </c>
      <c r="F275" s="3" t="s">
        <v>57</v>
      </c>
      <c r="G275" s="3" t="s">
        <v>42</v>
      </c>
      <c r="H275" s="3">
        <v>1</v>
      </c>
      <c r="I275" s="7">
        <v>80426</v>
      </c>
      <c r="J275" s="7">
        <v>60851</v>
      </c>
      <c r="K275" s="7">
        <v>19576</v>
      </c>
      <c r="L275" s="5">
        <f t="shared" si="48"/>
        <v>0.75660855942108274</v>
      </c>
      <c r="M275" s="5">
        <f t="shared" si="49"/>
        <v>0.18913564183694587</v>
      </c>
      <c r="N275" s="7">
        <f t="shared" si="51"/>
        <v>59012.714285714283</v>
      </c>
      <c r="O275" s="7">
        <f t="shared" si="41"/>
        <v>47962.678571428572</v>
      </c>
      <c r="P275" s="8">
        <f t="shared" si="42"/>
        <v>1.6768454639209802</v>
      </c>
      <c r="Q275" s="7"/>
      <c r="R275" s="7"/>
      <c r="S275" s="7"/>
      <c r="T275" s="7"/>
      <c r="U275" s="7"/>
      <c r="V275" s="7"/>
      <c r="W275" s="7"/>
      <c r="X275" s="3" t="s">
        <v>63</v>
      </c>
      <c r="Y275" s="3"/>
      <c r="Z275" s="9">
        <v>1.66913</v>
      </c>
      <c r="AA275" s="5">
        <f t="shared" si="50"/>
        <v>0.35921531583619015</v>
      </c>
      <c r="AB275" s="9">
        <f t="shared" si="52"/>
        <v>1.3539842857142859</v>
      </c>
      <c r="AC275" s="9">
        <f t="shared" si="43"/>
        <v>1.1136053571428572</v>
      </c>
      <c r="AD275" s="8">
        <f t="shared" si="44"/>
        <v>1.215856476470409</v>
      </c>
      <c r="AE275" s="3" t="s">
        <v>44</v>
      </c>
      <c r="AF275" s="10">
        <f t="shared" si="45"/>
        <v>37718.5</v>
      </c>
      <c r="AG275" s="11">
        <f t="shared" si="46"/>
        <v>1.613293211554012</v>
      </c>
      <c r="AH275" s="11">
        <f t="shared" si="47"/>
        <v>1.4988523441396107</v>
      </c>
      <c r="AI275" s="3" t="s">
        <v>45</v>
      </c>
      <c r="AJ275" s="3" t="s">
        <v>40</v>
      </c>
      <c r="AK275" s="3" t="s">
        <v>46</v>
      </c>
      <c r="AL275" s="3" t="s">
        <v>47</v>
      </c>
      <c r="AM275" s="3" t="s">
        <v>39</v>
      </c>
    </row>
    <row r="276" spans="1:39" ht="21" customHeight="1">
      <c r="A276" s="4">
        <v>46236</v>
      </c>
      <c r="B276" s="3" t="s">
        <v>39</v>
      </c>
      <c r="C276" s="3" t="s">
        <v>40</v>
      </c>
      <c r="D276" s="4">
        <v>46057</v>
      </c>
      <c r="E276" s="3">
        <v>179</v>
      </c>
      <c r="F276" s="3" t="s">
        <v>57</v>
      </c>
      <c r="G276" s="3" t="s">
        <v>48</v>
      </c>
      <c r="H276" s="3">
        <v>1</v>
      </c>
      <c r="I276" s="7">
        <v>79016</v>
      </c>
      <c r="J276" s="7">
        <v>59976</v>
      </c>
      <c r="K276" s="7">
        <v>19040</v>
      </c>
      <c r="L276" s="5">
        <f t="shared" si="48"/>
        <v>0.75903614457831325</v>
      </c>
      <c r="M276" s="5">
        <f t="shared" si="49"/>
        <v>-1.7531643995722823E-2</v>
      </c>
      <c r="N276" s="7">
        <f t="shared" si="51"/>
        <v>62175.285714285717</v>
      </c>
      <c r="O276" s="7">
        <f t="shared" si="41"/>
        <v>48813.178571428572</v>
      </c>
      <c r="P276" s="8">
        <f t="shared" si="42"/>
        <v>1.6187431819129641</v>
      </c>
      <c r="Q276" s="7"/>
      <c r="R276" s="7"/>
      <c r="S276" s="7"/>
      <c r="T276" s="7"/>
      <c r="U276" s="7"/>
      <c r="V276" s="7"/>
      <c r="W276" s="7"/>
      <c r="X276" s="3" t="s">
        <v>63</v>
      </c>
      <c r="Y276" s="3"/>
      <c r="Z276" s="9">
        <v>1.5533600000000001</v>
      </c>
      <c r="AA276" s="5">
        <f t="shared" si="50"/>
        <v>-6.9359486678688853E-2</v>
      </c>
      <c r="AB276" s="9">
        <f t="shared" si="52"/>
        <v>1.3085171428571429</v>
      </c>
      <c r="AC276" s="9">
        <f t="shared" si="43"/>
        <v>1.1421553571428571</v>
      </c>
      <c r="AD276" s="8">
        <f t="shared" si="44"/>
        <v>1.145656004390196</v>
      </c>
      <c r="AE276" s="3" t="s">
        <v>44</v>
      </c>
      <c r="AF276" s="10">
        <f t="shared" si="45"/>
        <v>34854</v>
      </c>
      <c r="AG276" s="11">
        <f t="shared" si="46"/>
        <v>1.7207781029437081</v>
      </c>
      <c r="AH276" s="11">
        <f t="shared" si="47"/>
        <v>1.3600251404378001</v>
      </c>
      <c r="AI276" s="3" t="s">
        <v>45</v>
      </c>
      <c r="AJ276" s="3" t="s">
        <v>40</v>
      </c>
      <c r="AK276" s="3" t="s">
        <v>46</v>
      </c>
      <c r="AL276" s="3" t="s">
        <v>47</v>
      </c>
      <c r="AM276" s="3" t="s">
        <v>39</v>
      </c>
    </row>
    <row r="277" spans="1:39" ht="21" customHeight="1">
      <c r="A277" s="4">
        <v>46237</v>
      </c>
      <c r="B277" s="3" t="s">
        <v>39</v>
      </c>
      <c r="C277" s="3" t="s">
        <v>40</v>
      </c>
      <c r="D277" s="4">
        <v>46057</v>
      </c>
      <c r="E277" s="3">
        <v>180</v>
      </c>
      <c r="F277" s="3" t="s">
        <v>57</v>
      </c>
      <c r="G277" s="3" t="s">
        <v>49</v>
      </c>
      <c r="H277" s="3">
        <v>0</v>
      </c>
      <c r="I277" s="7">
        <v>61523</v>
      </c>
      <c r="J277" s="7">
        <v>39876</v>
      </c>
      <c r="K277" s="7">
        <v>21648</v>
      </c>
      <c r="L277" s="5">
        <f t="shared" si="48"/>
        <v>0.64814784714659557</v>
      </c>
      <c r="M277" s="5">
        <f t="shared" si="49"/>
        <v>-0.22138554216867468</v>
      </c>
      <c r="N277" s="7">
        <f t="shared" si="51"/>
        <v>64098.285714285717</v>
      </c>
      <c r="O277" s="7">
        <f t="shared" si="41"/>
        <v>49803.035714285717</v>
      </c>
      <c r="P277" s="8">
        <f t="shared" si="42"/>
        <v>1.235326303258909</v>
      </c>
      <c r="Q277" s="7"/>
      <c r="R277" s="7"/>
      <c r="S277" s="7"/>
      <c r="T277" s="7"/>
      <c r="U277" s="7"/>
      <c r="V277" s="7"/>
      <c r="W277" s="7"/>
      <c r="X277" s="3" t="s">
        <v>63</v>
      </c>
      <c r="Y277" s="3"/>
      <c r="Z277" s="9">
        <v>1.12503</v>
      </c>
      <c r="AA277" s="5">
        <f t="shared" si="50"/>
        <v>-0.27574419323273425</v>
      </c>
      <c r="AB277" s="9">
        <f t="shared" si="52"/>
        <v>1.2936542857142859</v>
      </c>
      <c r="AC277" s="9">
        <f t="shared" si="43"/>
        <v>1.1633674999999999</v>
      </c>
      <c r="AD277" s="8">
        <f t="shared" si="44"/>
        <v>1.111991082537793</v>
      </c>
      <c r="AE277" s="3" t="s">
        <v>44</v>
      </c>
      <c r="AF277" s="10">
        <f t="shared" si="45"/>
        <v>18100.25</v>
      </c>
      <c r="AG277" s="11">
        <f t="shared" si="46"/>
        <v>2.2030634935981546</v>
      </c>
      <c r="AH277" s="11">
        <f t="shared" si="47"/>
        <v>0.96704609678369047</v>
      </c>
      <c r="AI277" s="3" t="s">
        <v>45</v>
      </c>
      <c r="AJ277" s="3" t="s">
        <v>40</v>
      </c>
      <c r="AK277" s="3" t="s">
        <v>46</v>
      </c>
      <c r="AL277" s="3" t="s">
        <v>47</v>
      </c>
      <c r="AM277" s="3" t="s">
        <v>39</v>
      </c>
    </row>
    <row r="278" spans="1:39" ht="21" customHeight="1">
      <c r="A278" s="4">
        <v>46238</v>
      </c>
      <c r="B278" s="3" t="s">
        <v>39</v>
      </c>
      <c r="C278" s="3" t="s">
        <v>40</v>
      </c>
      <c r="D278" s="4">
        <v>46057</v>
      </c>
      <c r="E278" s="3">
        <v>181</v>
      </c>
      <c r="F278" s="3" t="s">
        <v>57</v>
      </c>
      <c r="G278" s="3" t="s">
        <v>50</v>
      </c>
      <c r="H278" s="3">
        <v>0</v>
      </c>
      <c r="I278" s="7">
        <v>58625</v>
      </c>
      <c r="J278" s="7">
        <v>36950</v>
      </c>
      <c r="K278" s="7">
        <v>21676</v>
      </c>
      <c r="L278" s="5">
        <f t="shared" si="48"/>
        <v>0.63027718550106615</v>
      </c>
      <c r="M278" s="5">
        <f t="shared" si="49"/>
        <v>-4.7104334964159777E-2</v>
      </c>
      <c r="N278" s="7">
        <f t="shared" si="51"/>
        <v>65349.857142857145</v>
      </c>
      <c r="O278" s="7">
        <f t="shared" si="41"/>
        <v>50686.142857142855</v>
      </c>
      <c r="P278" s="8">
        <f t="shared" si="42"/>
        <v>1.1566277624484573</v>
      </c>
      <c r="Q278" s="7"/>
      <c r="R278" s="7"/>
      <c r="S278" s="7"/>
      <c r="T278" s="7"/>
      <c r="U278" s="7"/>
      <c r="V278" s="7"/>
      <c r="W278" s="7"/>
      <c r="X278" s="3" t="s">
        <v>63</v>
      </c>
      <c r="Y278" s="3"/>
      <c r="Z278" s="9">
        <v>1.07944</v>
      </c>
      <c r="AA278" s="5">
        <f t="shared" si="50"/>
        <v>-4.0523363821409197E-2</v>
      </c>
      <c r="AB278" s="9">
        <f t="shared" si="52"/>
        <v>1.2854042857142858</v>
      </c>
      <c r="AC278" s="9">
        <f t="shared" si="43"/>
        <v>1.1789503571428572</v>
      </c>
      <c r="AD278" s="8">
        <f t="shared" si="44"/>
        <v>1.0902955140786552</v>
      </c>
      <c r="AE278" s="3" t="s">
        <v>44</v>
      </c>
      <c r="AF278" s="10">
        <f t="shared" si="45"/>
        <v>19187.75</v>
      </c>
      <c r="AG278" s="11">
        <f t="shared" si="46"/>
        <v>1.9257078083673176</v>
      </c>
      <c r="AH278" s="11">
        <f t="shared" si="47"/>
        <v>0.91559410747029502</v>
      </c>
      <c r="AI278" s="3" t="s">
        <v>45</v>
      </c>
      <c r="AJ278" s="3" t="s">
        <v>40</v>
      </c>
      <c r="AK278" s="3" t="s">
        <v>46</v>
      </c>
      <c r="AL278" s="3" t="s">
        <v>47</v>
      </c>
      <c r="AM278" s="3" t="s">
        <v>39</v>
      </c>
    </row>
    <row r="279" spans="1:39" ht="21" customHeight="1">
      <c r="A279" s="4">
        <v>46239</v>
      </c>
      <c r="B279" s="3" t="s">
        <v>39</v>
      </c>
      <c r="C279" s="3" t="s">
        <v>40</v>
      </c>
      <c r="D279" s="4">
        <v>46057</v>
      </c>
      <c r="E279" s="3">
        <v>182</v>
      </c>
      <c r="F279" s="3" t="s">
        <v>57</v>
      </c>
      <c r="G279" s="3" t="s">
        <v>51</v>
      </c>
      <c r="H279" s="3">
        <v>0</v>
      </c>
      <c r="I279" s="7">
        <v>52678</v>
      </c>
      <c r="J279" s="7">
        <v>30639</v>
      </c>
      <c r="K279" s="7">
        <v>22040</v>
      </c>
      <c r="L279" s="5">
        <f t="shared" si="48"/>
        <v>0.58162800410038351</v>
      </c>
      <c r="M279" s="5">
        <f t="shared" si="49"/>
        <v>-0.10144136460554376</v>
      </c>
      <c r="N279" s="7">
        <f t="shared" si="51"/>
        <v>65269.857142857145</v>
      </c>
      <c r="O279" s="7">
        <f t="shared" si="41"/>
        <v>51442.892857142855</v>
      </c>
      <c r="P279" s="8">
        <f t="shared" si="42"/>
        <v>1.0240092863029115</v>
      </c>
      <c r="Q279" s="7"/>
      <c r="R279" s="7"/>
      <c r="S279" s="7"/>
      <c r="T279" s="7"/>
      <c r="U279" s="7"/>
      <c r="V279" s="7"/>
      <c r="W279" s="7"/>
      <c r="X279" s="3" t="s">
        <v>63</v>
      </c>
      <c r="Y279" s="3"/>
      <c r="Z279" s="9">
        <v>1.01081</v>
      </c>
      <c r="AA279" s="5">
        <f t="shared" si="50"/>
        <v>-6.3579263321722368E-2</v>
      </c>
      <c r="AB279" s="9">
        <f t="shared" si="52"/>
        <v>1.2656242857142856</v>
      </c>
      <c r="AC279" s="9">
        <f t="shared" si="43"/>
        <v>1.1916653571428573</v>
      </c>
      <c r="AD279" s="8">
        <f t="shared" si="44"/>
        <v>1.0620635047650899</v>
      </c>
      <c r="AE279" s="3" t="s">
        <v>44</v>
      </c>
      <c r="AF279" s="10">
        <f t="shared" si="45"/>
        <v>19231.25</v>
      </c>
      <c r="AG279" s="11">
        <f t="shared" si="46"/>
        <v>1.5931881702957427</v>
      </c>
      <c r="AH279" s="11">
        <f t="shared" si="47"/>
        <v>0.84823309995645335</v>
      </c>
      <c r="AI279" s="3" t="s">
        <v>45</v>
      </c>
      <c r="AJ279" s="3" t="s">
        <v>40</v>
      </c>
      <c r="AK279" s="3" t="s">
        <v>46</v>
      </c>
      <c r="AL279" s="3" t="s">
        <v>47</v>
      </c>
      <c r="AM279" s="3" t="s">
        <v>39</v>
      </c>
    </row>
    <row r="280" spans="1:39" ht="21" customHeight="1">
      <c r="A280" s="4">
        <v>46240</v>
      </c>
      <c r="B280" s="3" t="s">
        <v>39</v>
      </c>
      <c r="C280" s="3" t="s">
        <v>40</v>
      </c>
      <c r="D280" s="4">
        <v>46057</v>
      </c>
      <c r="E280" s="3">
        <v>183</v>
      </c>
      <c r="F280" s="3" t="s">
        <v>57</v>
      </c>
      <c r="G280" s="3" t="s">
        <v>52</v>
      </c>
      <c r="H280" s="3">
        <v>0</v>
      </c>
      <c r="I280" s="7">
        <v>50494</v>
      </c>
      <c r="J280" s="7">
        <v>28494</v>
      </c>
      <c r="K280" s="7">
        <v>22001</v>
      </c>
      <c r="L280" s="5">
        <f t="shared" si="48"/>
        <v>0.56430466986176575</v>
      </c>
      <c r="M280" s="5">
        <f t="shared" si="49"/>
        <v>-4.1459432780287742E-2</v>
      </c>
      <c r="N280" s="7">
        <f t="shared" si="51"/>
        <v>64342.285714285717</v>
      </c>
      <c r="O280" s="7">
        <f t="shared" si="41"/>
        <v>52015</v>
      </c>
      <c r="P280" s="8">
        <f t="shared" si="42"/>
        <v>0.9707584350668077</v>
      </c>
      <c r="Q280" s="7"/>
      <c r="R280" s="7"/>
      <c r="S280" s="7"/>
      <c r="T280" s="7"/>
      <c r="U280" s="7"/>
      <c r="V280" s="7"/>
      <c r="W280" s="7"/>
      <c r="X280" s="3" t="s">
        <v>63</v>
      </c>
      <c r="Y280" s="3"/>
      <c r="Z280" s="9">
        <v>1.22052</v>
      </c>
      <c r="AA280" s="5">
        <f t="shared" si="50"/>
        <v>0.2074672787170686</v>
      </c>
      <c r="AB280" s="9">
        <f t="shared" si="52"/>
        <v>1.2694714285714286</v>
      </c>
      <c r="AC280" s="9">
        <f t="shared" si="43"/>
        <v>1.1985871428571429</v>
      </c>
      <c r="AD280" s="8">
        <f t="shared" si="44"/>
        <v>1.0591398682496416</v>
      </c>
      <c r="AE280" s="3" t="s">
        <v>44</v>
      </c>
      <c r="AF280" s="10">
        <f t="shared" si="45"/>
        <v>22735</v>
      </c>
      <c r="AG280" s="11">
        <f t="shared" si="46"/>
        <v>1.2533098746426214</v>
      </c>
      <c r="AH280" s="11">
        <f t="shared" si="47"/>
        <v>1.0182989257590187</v>
      </c>
      <c r="AI280" s="3" t="s">
        <v>45</v>
      </c>
      <c r="AJ280" s="3" t="s">
        <v>40</v>
      </c>
      <c r="AK280" s="3" t="s">
        <v>46</v>
      </c>
      <c r="AL280" s="3" t="s">
        <v>47</v>
      </c>
      <c r="AM280" s="3" t="s">
        <v>39</v>
      </c>
    </row>
    <row r="281" spans="1:39" ht="21" customHeight="1">
      <c r="A281" s="4">
        <v>46241</v>
      </c>
      <c r="B281" s="3" t="s">
        <v>39</v>
      </c>
      <c r="C281" s="3" t="s">
        <v>40</v>
      </c>
      <c r="D281" s="4">
        <v>46057</v>
      </c>
      <c r="E281" s="3">
        <v>184</v>
      </c>
      <c r="F281" s="3" t="s">
        <v>57</v>
      </c>
      <c r="G281" s="3" t="s">
        <v>53</v>
      </c>
      <c r="H281" s="3">
        <v>0</v>
      </c>
      <c r="I281" s="7">
        <v>55234</v>
      </c>
      <c r="J281" s="7">
        <v>33506</v>
      </c>
      <c r="K281" s="7">
        <v>21728</v>
      </c>
      <c r="L281" s="5">
        <f t="shared" si="48"/>
        <v>0.60661911141688085</v>
      </c>
      <c r="M281" s="5">
        <f t="shared" si="49"/>
        <v>9.3872539311601333E-2</v>
      </c>
      <c r="N281" s="7">
        <f t="shared" si="51"/>
        <v>62570.857142857145</v>
      </c>
      <c r="O281" s="7">
        <f t="shared" si="41"/>
        <v>52498.857142857145</v>
      </c>
      <c r="P281" s="8">
        <f t="shared" si="42"/>
        <v>1.0520990933135959</v>
      </c>
      <c r="Q281" s="7"/>
      <c r="R281" s="7"/>
      <c r="S281" s="7"/>
      <c r="T281" s="7"/>
      <c r="U281" s="7"/>
      <c r="V281" s="7"/>
      <c r="W281" s="7"/>
      <c r="X281" s="3" t="s">
        <v>63</v>
      </c>
      <c r="Y281" s="3"/>
      <c r="Z281" s="9">
        <v>1.3035000000000001</v>
      </c>
      <c r="AA281" s="5">
        <f t="shared" si="50"/>
        <v>6.7987415200078782E-2</v>
      </c>
      <c r="AB281" s="9">
        <f t="shared" si="52"/>
        <v>1.2802557142857143</v>
      </c>
      <c r="AC281" s="9">
        <f t="shared" si="43"/>
        <v>1.212885</v>
      </c>
      <c r="AD281" s="8">
        <f t="shared" si="44"/>
        <v>1.055545838464252</v>
      </c>
      <c r="AE281" s="3" t="s">
        <v>44</v>
      </c>
      <c r="AF281" s="10">
        <f t="shared" si="45"/>
        <v>34241.5</v>
      </c>
      <c r="AG281" s="11">
        <f t="shared" si="46"/>
        <v>0.97852021669611433</v>
      </c>
      <c r="AH281" s="11">
        <f t="shared" si="47"/>
        <v>1.0747102981733636</v>
      </c>
      <c r="AI281" s="3" t="s">
        <v>45</v>
      </c>
      <c r="AJ281" s="3" t="s">
        <v>40</v>
      </c>
      <c r="AK281" s="3" t="s">
        <v>46</v>
      </c>
      <c r="AL281" s="3" t="s">
        <v>47</v>
      </c>
      <c r="AM281" s="3" t="s">
        <v>39</v>
      </c>
    </row>
    <row r="282" spans="1:39" ht="21" customHeight="1">
      <c r="A282" s="4">
        <v>46242</v>
      </c>
      <c r="B282" s="3" t="s">
        <v>39</v>
      </c>
      <c r="C282" s="3" t="s">
        <v>40</v>
      </c>
      <c r="D282" s="4">
        <v>46057</v>
      </c>
      <c r="E282" s="3">
        <v>185</v>
      </c>
      <c r="F282" s="3" t="s">
        <v>57</v>
      </c>
      <c r="G282" s="3" t="s">
        <v>42</v>
      </c>
      <c r="H282" s="3">
        <v>1</v>
      </c>
      <c r="I282" s="7">
        <v>66374</v>
      </c>
      <c r="J282" s="7">
        <v>46946</v>
      </c>
      <c r="K282" s="7">
        <v>19428</v>
      </c>
      <c r="L282" s="5">
        <f t="shared" si="48"/>
        <v>0.70729502516045439</v>
      </c>
      <c r="M282" s="5">
        <f t="shared" si="49"/>
        <v>0.20168736647716989</v>
      </c>
      <c r="N282" s="7">
        <f t="shared" si="51"/>
        <v>60563.428571428572</v>
      </c>
      <c r="O282" s="7">
        <f t="shared" si="41"/>
        <v>52930.5</v>
      </c>
      <c r="P282" s="8">
        <f t="shared" si="42"/>
        <v>1.2539839978840177</v>
      </c>
      <c r="Q282" s="7"/>
      <c r="R282" s="7"/>
      <c r="S282" s="7"/>
      <c r="T282" s="7"/>
      <c r="U282" s="7"/>
      <c r="V282" s="7"/>
      <c r="W282" s="7"/>
      <c r="X282" s="3" t="s">
        <v>63</v>
      </c>
      <c r="Y282" s="3"/>
      <c r="Z282" s="9">
        <v>1.54678</v>
      </c>
      <c r="AA282" s="5">
        <f t="shared" si="50"/>
        <v>0.18663598005370141</v>
      </c>
      <c r="AB282" s="9">
        <f t="shared" si="52"/>
        <v>1.2627771428571428</v>
      </c>
      <c r="AC282" s="9">
        <f t="shared" si="43"/>
        <v>1.2259964285714287</v>
      </c>
      <c r="AD282" s="8">
        <f t="shared" si="44"/>
        <v>1.030000670008943</v>
      </c>
      <c r="AE282" s="3" t="s">
        <v>44</v>
      </c>
      <c r="AF282" s="10">
        <f t="shared" si="45"/>
        <v>43741.25</v>
      </c>
      <c r="AG282" s="11">
        <f t="shared" si="46"/>
        <v>1.0732660817877862</v>
      </c>
      <c r="AH282" s="11">
        <f t="shared" si="47"/>
        <v>1.2616513098674838</v>
      </c>
      <c r="AI282" s="3" t="s">
        <v>45</v>
      </c>
      <c r="AJ282" s="3" t="s">
        <v>40</v>
      </c>
      <c r="AK282" s="3" t="s">
        <v>46</v>
      </c>
      <c r="AL282" s="3" t="s">
        <v>47</v>
      </c>
      <c r="AM282" s="3" t="s">
        <v>39</v>
      </c>
    </row>
    <row r="283" spans="1:39" ht="21" customHeight="1">
      <c r="A283" s="4">
        <v>46243</v>
      </c>
      <c r="B283" s="3" t="s">
        <v>39</v>
      </c>
      <c r="C283" s="3" t="s">
        <v>40</v>
      </c>
      <c r="D283" s="4">
        <v>46057</v>
      </c>
      <c r="E283" s="3">
        <v>186</v>
      </c>
      <c r="F283" s="3" t="s">
        <v>57</v>
      </c>
      <c r="G283" s="3" t="s">
        <v>48</v>
      </c>
      <c r="H283" s="3">
        <v>1</v>
      </c>
      <c r="I283" s="7">
        <v>63490</v>
      </c>
      <c r="J283" s="7">
        <v>44432</v>
      </c>
      <c r="K283" s="7">
        <v>19058</v>
      </c>
      <c r="L283" s="5">
        <f t="shared" si="48"/>
        <v>0.69982674436919201</v>
      </c>
      <c r="M283" s="5">
        <f t="shared" si="49"/>
        <v>-4.3450748787175697E-2</v>
      </c>
      <c r="N283" s="7">
        <f t="shared" si="51"/>
        <v>58345.428571428572</v>
      </c>
      <c r="O283" s="7">
        <f t="shared" si="41"/>
        <v>53367.25</v>
      </c>
      <c r="P283" s="8">
        <f t="shared" si="42"/>
        <v>1.1896809372789492</v>
      </c>
      <c r="Q283" s="7"/>
      <c r="R283" s="7"/>
      <c r="S283" s="7"/>
      <c r="T283" s="7"/>
      <c r="U283" s="7"/>
      <c r="V283" s="7"/>
      <c r="W283" s="7"/>
      <c r="X283" s="3" t="s">
        <v>63</v>
      </c>
      <c r="Y283" s="3"/>
      <c r="Z283" s="9">
        <v>1.4170100000000001</v>
      </c>
      <c r="AA283" s="5">
        <f t="shared" si="50"/>
        <v>-8.3896869625932569E-2</v>
      </c>
      <c r="AB283" s="9">
        <f t="shared" si="52"/>
        <v>1.2432985714285714</v>
      </c>
      <c r="AC283" s="9">
        <f t="shared" si="43"/>
        <v>1.2380425000000002</v>
      </c>
      <c r="AD283" s="8">
        <f t="shared" si="44"/>
        <v>1.0042454693022018</v>
      </c>
      <c r="AE283" s="3" t="s">
        <v>44</v>
      </c>
      <c r="AF283" s="10">
        <f t="shared" si="45"/>
        <v>41844.5</v>
      </c>
      <c r="AG283" s="11">
        <f t="shared" si="46"/>
        <v>1.0618360835952156</v>
      </c>
      <c r="AH283" s="11">
        <f t="shared" si="47"/>
        <v>1.1445568306419205</v>
      </c>
      <c r="AI283" s="3" t="s">
        <v>45</v>
      </c>
      <c r="AJ283" s="3" t="s">
        <v>40</v>
      </c>
      <c r="AK283" s="3" t="s">
        <v>46</v>
      </c>
      <c r="AL283" s="3" t="s">
        <v>47</v>
      </c>
      <c r="AM283" s="3" t="s">
        <v>39</v>
      </c>
    </row>
    <row r="284" spans="1:39" ht="21" customHeight="1">
      <c r="A284" s="4">
        <v>46244</v>
      </c>
      <c r="B284" s="3" t="s">
        <v>39</v>
      </c>
      <c r="C284" s="3" t="s">
        <v>40</v>
      </c>
      <c r="D284" s="4">
        <v>46057</v>
      </c>
      <c r="E284" s="3">
        <v>187</v>
      </c>
      <c r="F284" s="3" t="s">
        <v>57</v>
      </c>
      <c r="G284" s="3" t="s">
        <v>49</v>
      </c>
      <c r="H284" s="3">
        <v>0</v>
      </c>
      <c r="I284" s="7">
        <v>46722</v>
      </c>
      <c r="J284" s="7">
        <v>24854</v>
      </c>
      <c r="K284" s="7">
        <v>21868</v>
      </c>
      <c r="L284" s="5">
        <f t="shared" si="48"/>
        <v>0.531954967681178</v>
      </c>
      <c r="M284" s="5">
        <f t="shared" si="49"/>
        <v>-0.26410458339896048</v>
      </c>
      <c r="N284" s="7">
        <f t="shared" si="51"/>
        <v>56231</v>
      </c>
      <c r="O284" s="7">
        <f t="shared" si="41"/>
        <v>53737.107142857145</v>
      </c>
      <c r="P284" s="8">
        <f t="shared" si="42"/>
        <v>0.86945506530137795</v>
      </c>
      <c r="Q284" s="7"/>
      <c r="R284" s="7"/>
      <c r="S284" s="7"/>
      <c r="T284" s="7"/>
      <c r="U284" s="7"/>
      <c r="V284" s="7"/>
      <c r="W284" s="7"/>
      <c r="X284" s="3" t="s">
        <v>63</v>
      </c>
      <c r="Y284" s="3"/>
      <c r="Z284" s="9">
        <v>0.96762000000000004</v>
      </c>
      <c r="AA284" s="5">
        <f t="shared" si="50"/>
        <v>-0.31713961087077724</v>
      </c>
      <c r="AB284" s="9">
        <f t="shared" si="52"/>
        <v>1.2208114285714287</v>
      </c>
      <c r="AC284" s="9">
        <f t="shared" si="43"/>
        <v>1.2508964285714286</v>
      </c>
      <c r="AD284" s="8">
        <f t="shared" si="44"/>
        <v>0.97594924782513115</v>
      </c>
      <c r="AE284" s="3" t="s">
        <v>44</v>
      </c>
      <c r="AF284" s="10">
        <f t="shared" si="45"/>
        <v>24557</v>
      </c>
      <c r="AG284" s="11">
        <f t="shared" si="46"/>
        <v>1.0120943111943641</v>
      </c>
      <c r="AH284" s="11">
        <f t="shared" si="47"/>
        <v>0.7735412604103914</v>
      </c>
      <c r="AI284" s="3" t="s">
        <v>45</v>
      </c>
      <c r="AJ284" s="3" t="s">
        <v>40</v>
      </c>
      <c r="AK284" s="3" t="s">
        <v>46</v>
      </c>
      <c r="AL284" s="3" t="s">
        <v>47</v>
      </c>
      <c r="AM284" s="3" t="s">
        <v>39</v>
      </c>
    </row>
    <row r="285" spans="1:39" ht="21" customHeight="1">
      <c r="A285" s="4">
        <v>46245</v>
      </c>
      <c r="B285" s="3" t="s">
        <v>39</v>
      </c>
      <c r="C285" s="3" t="s">
        <v>40</v>
      </c>
      <c r="D285" s="4">
        <v>46057</v>
      </c>
      <c r="E285" s="3">
        <v>188</v>
      </c>
      <c r="F285" s="3" t="s">
        <v>57</v>
      </c>
      <c r="G285" s="3" t="s">
        <v>50</v>
      </c>
      <c r="H285" s="3">
        <v>0</v>
      </c>
      <c r="I285" s="7">
        <v>47260</v>
      </c>
      <c r="J285" s="7">
        <v>24930</v>
      </c>
      <c r="K285" s="7">
        <v>22330</v>
      </c>
      <c r="L285" s="5">
        <f t="shared" si="48"/>
        <v>0.52750740584003386</v>
      </c>
      <c r="M285" s="5">
        <f t="shared" si="49"/>
        <v>1.1514918025769427E-2</v>
      </c>
      <c r="N285" s="7">
        <f t="shared" si="51"/>
        <v>54607.428571428572</v>
      </c>
      <c r="O285" s="7">
        <f t="shared" si="41"/>
        <v>53989.892857142855</v>
      </c>
      <c r="P285" s="8">
        <f t="shared" si="42"/>
        <v>0.87534902365985168</v>
      </c>
      <c r="Q285" s="7"/>
      <c r="R285" s="7"/>
      <c r="S285" s="7"/>
      <c r="T285" s="7"/>
      <c r="U285" s="7"/>
      <c r="V285" s="7"/>
      <c r="W285" s="7"/>
      <c r="X285" s="3" t="s">
        <v>63</v>
      </c>
      <c r="Y285" s="3"/>
      <c r="Z285" s="9">
        <v>0.84865999999999997</v>
      </c>
      <c r="AA285" s="5">
        <f t="shared" si="50"/>
        <v>-0.12294082387714189</v>
      </c>
      <c r="AB285" s="9">
        <f t="shared" si="52"/>
        <v>1.1878428571428572</v>
      </c>
      <c r="AC285" s="9">
        <f t="shared" si="43"/>
        <v>1.2585853571428571</v>
      </c>
      <c r="AD285" s="8">
        <f t="shared" si="44"/>
        <v>0.94379205224459783</v>
      </c>
      <c r="AE285" s="3" t="s">
        <v>44</v>
      </c>
      <c r="AF285" s="10">
        <f t="shared" si="45"/>
        <v>24740.75</v>
      </c>
      <c r="AG285" s="11">
        <f t="shared" si="46"/>
        <v>1.0076493234845347</v>
      </c>
      <c r="AH285" s="11">
        <f t="shared" si="47"/>
        <v>0.67429673735165807</v>
      </c>
      <c r="AI285" s="3" t="s">
        <v>45</v>
      </c>
      <c r="AJ285" s="3" t="s">
        <v>40</v>
      </c>
      <c r="AK285" s="3" t="s">
        <v>46</v>
      </c>
      <c r="AL285" s="3" t="s">
        <v>47</v>
      </c>
      <c r="AM285" s="3" t="s">
        <v>39</v>
      </c>
    </row>
    <row r="286" spans="1:39" ht="21" customHeight="1">
      <c r="A286" s="4">
        <v>46246</v>
      </c>
      <c r="B286" s="3" t="s">
        <v>39</v>
      </c>
      <c r="C286" s="3" t="s">
        <v>40</v>
      </c>
      <c r="D286" s="4">
        <v>46057</v>
      </c>
      <c r="E286" s="3">
        <v>189</v>
      </c>
      <c r="F286" s="3" t="s">
        <v>57</v>
      </c>
      <c r="G286" s="3" t="s">
        <v>51</v>
      </c>
      <c r="H286" s="3">
        <v>0</v>
      </c>
      <c r="I286" s="7">
        <v>47698</v>
      </c>
      <c r="J286" s="7">
        <v>25354</v>
      </c>
      <c r="K286" s="7">
        <v>22344</v>
      </c>
      <c r="L286" s="5">
        <f t="shared" si="48"/>
        <v>0.53155268564719693</v>
      </c>
      <c r="M286" s="5">
        <f t="shared" si="49"/>
        <v>9.2678798137959539E-3</v>
      </c>
      <c r="N286" s="7">
        <f t="shared" si="51"/>
        <v>53896</v>
      </c>
      <c r="O286" s="7">
        <f t="shared" ref="O286:O349" si="53">AVERAGE(I258:I285)</f>
        <v>54229.25</v>
      </c>
      <c r="P286" s="8">
        <f t="shared" ref="P286:P349" si="54">IFERROR(I286/O286,"")</f>
        <v>0.87956222887095059</v>
      </c>
      <c r="Q286" s="7"/>
      <c r="R286" s="7"/>
      <c r="S286" s="7"/>
      <c r="T286" s="7"/>
      <c r="U286" s="7"/>
      <c r="V286" s="7"/>
      <c r="W286" s="7"/>
      <c r="X286" s="3" t="s">
        <v>63</v>
      </c>
      <c r="Y286" s="3"/>
      <c r="Z286" s="9">
        <v>0.84350000000000003</v>
      </c>
      <c r="AA286" s="5">
        <f t="shared" si="50"/>
        <v>-6.0801734499091875E-3</v>
      </c>
      <c r="AB286" s="9">
        <f t="shared" si="52"/>
        <v>1.1639414285714287</v>
      </c>
      <c r="AC286" s="9">
        <f t="shared" ref="AC286:AC349" si="55">AVERAGE(Z258:Z285)</f>
        <v>1.2640528571428571</v>
      </c>
      <c r="AD286" s="8">
        <f t="shared" ref="AD286:AD349" si="56">IFERROR(AB286/AC286,"")</f>
        <v>0.92080123231736477</v>
      </c>
      <c r="AE286" s="3" t="s">
        <v>44</v>
      </c>
      <c r="AF286" s="10">
        <f t="shared" ref="AF286:AF349" si="57">IF(COUNT(J279,J272,J265,J258)=4,AVERAGE(J279,J272,J265,J258),"")</f>
        <v>23367.5</v>
      </c>
      <c r="AG286" s="11">
        <f t="shared" ref="AG286:AG349" si="58">IFERROR(J286/AF286,"")</f>
        <v>1.0850112335508719</v>
      </c>
      <c r="AH286" s="11">
        <f t="shared" ref="AH286:AH316" si="59">IFERROR(Z286/AC286,"")</f>
        <v>0.66729804472462162</v>
      </c>
      <c r="AI286" s="3" t="s">
        <v>45</v>
      </c>
      <c r="AJ286" s="3" t="s">
        <v>40</v>
      </c>
      <c r="AK286" s="3" t="s">
        <v>46</v>
      </c>
      <c r="AL286" s="3" t="s">
        <v>47</v>
      </c>
      <c r="AM286" s="3" t="s">
        <v>39</v>
      </c>
    </row>
    <row r="287" spans="1:39" ht="21" customHeight="1">
      <c r="A287" s="4">
        <v>46247</v>
      </c>
      <c r="B287" s="3" t="s">
        <v>39</v>
      </c>
      <c r="C287" s="3" t="s">
        <v>40</v>
      </c>
      <c r="D287" s="4">
        <v>46057</v>
      </c>
      <c r="E287" s="3">
        <v>190</v>
      </c>
      <c r="F287" s="3" t="s">
        <v>57</v>
      </c>
      <c r="G287" s="3" t="s">
        <v>52</v>
      </c>
      <c r="H287" s="3">
        <v>0</v>
      </c>
      <c r="I287" s="7">
        <v>48594</v>
      </c>
      <c r="J287" s="7">
        <v>26159</v>
      </c>
      <c r="K287" s="7">
        <v>22435</v>
      </c>
      <c r="L287" s="5">
        <f t="shared" si="48"/>
        <v>0.53831748775568999</v>
      </c>
      <c r="M287" s="5">
        <f t="shared" si="49"/>
        <v>1.8784854710889309E-2</v>
      </c>
      <c r="N287" s="7">
        <f t="shared" si="51"/>
        <v>53624.571428571428</v>
      </c>
      <c r="O287" s="7">
        <f t="shared" si="53"/>
        <v>54566.5</v>
      </c>
      <c r="P287" s="8">
        <f t="shared" si="54"/>
        <v>0.89054639751495879</v>
      </c>
      <c r="Q287" s="7"/>
      <c r="R287" s="7"/>
      <c r="S287" s="7"/>
      <c r="T287" s="7"/>
      <c r="U287" s="7"/>
      <c r="V287" s="7"/>
      <c r="W287" s="7"/>
      <c r="X287" s="3" t="s">
        <v>63</v>
      </c>
      <c r="Y287" s="3"/>
      <c r="Z287" s="9">
        <v>0.85602</v>
      </c>
      <c r="AA287" s="5">
        <f t="shared" si="50"/>
        <v>1.4842916419679941E-2</v>
      </c>
      <c r="AB287" s="9">
        <f t="shared" si="52"/>
        <v>1.1118699999999999</v>
      </c>
      <c r="AC287" s="9">
        <f t="shared" si="55"/>
        <v>1.2646939285714285</v>
      </c>
      <c r="AD287" s="8">
        <f t="shared" si="56"/>
        <v>0.87916133293685117</v>
      </c>
      <c r="AE287" s="3" t="s">
        <v>44</v>
      </c>
      <c r="AF287" s="10">
        <f t="shared" si="57"/>
        <v>26191.5</v>
      </c>
      <c r="AG287" s="11">
        <f t="shared" si="58"/>
        <v>0.99875913941545924</v>
      </c>
      <c r="AH287" s="11">
        <f t="shared" si="59"/>
        <v>0.67685942081412698</v>
      </c>
      <c r="AI287" s="3" t="s">
        <v>45</v>
      </c>
      <c r="AJ287" s="3" t="s">
        <v>40</v>
      </c>
      <c r="AK287" s="3" t="s">
        <v>46</v>
      </c>
      <c r="AL287" s="3" t="s">
        <v>47</v>
      </c>
      <c r="AM287" s="3" t="s">
        <v>39</v>
      </c>
    </row>
    <row r="288" spans="1:39" ht="21" customHeight="1">
      <c r="A288" s="4">
        <v>46248</v>
      </c>
      <c r="B288" s="3" t="s">
        <v>39</v>
      </c>
      <c r="C288" s="3" t="s">
        <v>40</v>
      </c>
      <c r="D288" s="4">
        <v>46057</v>
      </c>
      <c r="E288" s="3">
        <v>191</v>
      </c>
      <c r="F288" s="3" t="s">
        <v>57</v>
      </c>
      <c r="G288" s="3" t="s">
        <v>53</v>
      </c>
      <c r="H288" s="3">
        <v>0</v>
      </c>
      <c r="I288" s="7">
        <v>55699</v>
      </c>
      <c r="J288" s="7">
        <v>33383</v>
      </c>
      <c r="K288" s="7">
        <v>22316</v>
      </c>
      <c r="L288" s="5">
        <f t="shared" si="48"/>
        <v>0.59934648736961171</v>
      </c>
      <c r="M288" s="5">
        <f t="shared" si="49"/>
        <v>0.14621146643618554</v>
      </c>
      <c r="N288" s="7">
        <f t="shared" si="51"/>
        <v>53691</v>
      </c>
      <c r="O288" s="7">
        <f t="shared" si="53"/>
        <v>54690.642857142855</v>
      </c>
      <c r="P288" s="8">
        <f t="shared" si="54"/>
        <v>1.0184374710220736</v>
      </c>
      <c r="Q288" s="7"/>
      <c r="R288" s="7"/>
      <c r="S288" s="7"/>
      <c r="T288" s="7"/>
      <c r="U288" s="7"/>
      <c r="V288" s="7"/>
      <c r="W288" s="7"/>
      <c r="X288" s="3" t="s">
        <v>63</v>
      </c>
      <c r="Y288" s="3"/>
      <c r="Z288" s="9">
        <v>0.97667000000000004</v>
      </c>
      <c r="AA288" s="5">
        <f t="shared" si="50"/>
        <v>0.14094296862222855</v>
      </c>
      <c r="AB288" s="9">
        <f t="shared" si="52"/>
        <v>1.06518</v>
      </c>
      <c r="AC288" s="9">
        <f t="shared" si="55"/>
        <v>1.2592717857142859</v>
      </c>
      <c r="AD288" s="8">
        <f t="shared" si="56"/>
        <v>0.84586982102184327</v>
      </c>
      <c r="AE288" s="3" t="s">
        <v>44</v>
      </c>
      <c r="AF288" s="10">
        <f t="shared" si="57"/>
        <v>37697</v>
      </c>
      <c r="AG288" s="11">
        <f t="shared" si="58"/>
        <v>0.88556118524020477</v>
      </c>
      <c r="AH288" s="11">
        <f t="shared" si="59"/>
        <v>0.77558316725567855</v>
      </c>
      <c r="AI288" s="3" t="s">
        <v>45</v>
      </c>
      <c r="AJ288" s="3" t="s">
        <v>40</v>
      </c>
      <c r="AK288" s="3" t="s">
        <v>46</v>
      </c>
      <c r="AL288" s="3" t="s">
        <v>47</v>
      </c>
      <c r="AM288" s="3" t="s">
        <v>39</v>
      </c>
    </row>
    <row r="289" spans="1:39" ht="21" customHeight="1">
      <c r="A289" s="4">
        <v>46249</v>
      </c>
      <c r="B289" s="3" t="s">
        <v>39</v>
      </c>
      <c r="C289" s="3" t="s">
        <v>40</v>
      </c>
      <c r="D289" s="4">
        <v>46057</v>
      </c>
      <c r="E289" s="3">
        <v>192</v>
      </c>
      <c r="F289" s="3" t="s">
        <v>57</v>
      </c>
      <c r="G289" s="3" t="s">
        <v>42</v>
      </c>
      <c r="H289" s="3">
        <v>1</v>
      </c>
      <c r="I289" s="7">
        <v>84133</v>
      </c>
      <c r="J289" s="7">
        <v>65226</v>
      </c>
      <c r="K289" s="7">
        <v>18907</v>
      </c>
      <c r="L289" s="5">
        <f t="shared" si="48"/>
        <v>0.77527248523171644</v>
      </c>
      <c r="M289" s="5">
        <f t="shared" si="49"/>
        <v>0.51049390473796663</v>
      </c>
      <c r="N289" s="7">
        <f t="shared" si="51"/>
        <v>56228</v>
      </c>
      <c r="O289" s="7">
        <f t="shared" si="53"/>
        <v>54289.035714285717</v>
      </c>
      <c r="P289" s="8">
        <f t="shared" si="54"/>
        <v>1.5497236024374823</v>
      </c>
      <c r="Q289" s="7"/>
      <c r="R289" s="7"/>
      <c r="S289" s="7"/>
      <c r="T289" s="7"/>
      <c r="U289" s="7"/>
      <c r="V289" s="7"/>
      <c r="W289" s="7"/>
      <c r="X289" s="3" t="s">
        <v>63</v>
      </c>
      <c r="Y289" s="3"/>
      <c r="Z289" s="9">
        <v>1.35029</v>
      </c>
      <c r="AA289" s="5">
        <f t="shared" si="50"/>
        <v>0.38254476947177651</v>
      </c>
      <c r="AB289" s="9">
        <f t="shared" si="52"/>
        <v>1.03711</v>
      </c>
      <c r="AC289" s="9">
        <f t="shared" si="55"/>
        <v>1.2355810714285713</v>
      </c>
      <c r="AD289" s="8">
        <f t="shared" si="56"/>
        <v>0.83937025581081437</v>
      </c>
      <c r="AE289" s="3" t="s">
        <v>44</v>
      </c>
      <c r="AF289" s="10">
        <f t="shared" si="57"/>
        <v>46867.75</v>
      </c>
      <c r="AG289" s="11">
        <f t="shared" si="58"/>
        <v>1.3917032501026825</v>
      </c>
      <c r="AH289" s="11">
        <f t="shared" si="59"/>
        <v>1.0928380429450921</v>
      </c>
      <c r="AI289" s="3" t="s">
        <v>45</v>
      </c>
      <c r="AJ289" s="3" t="s">
        <v>40</v>
      </c>
      <c r="AK289" s="3" t="s">
        <v>46</v>
      </c>
      <c r="AL289" s="3" t="s">
        <v>47</v>
      </c>
      <c r="AM289" s="3" t="s">
        <v>39</v>
      </c>
    </row>
    <row r="290" spans="1:39" ht="21" customHeight="1">
      <c r="A290" s="4">
        <v>46250</v>
      </c>
      <c r="B290" s="3" t="s">
        <v>39</v>
      </c>
      <c r="C290" s="3" t="s">
        <v>40</v>
      </c>
      <c r="D290" s="4">
        <v>46057</v>
      </c>
      <c r="E290" s="3">
        <v>193</v>
      </c>
      <c r="F290" s="3" t="s">
        <v>57</v>
      </c>
      <c r="G290" s="3" t="s">
        <v>48</v>
      </c>
      <c r="H290" s="3">
        <v>1</v>
      </c>
      <c r="I290" s="7">
        <v>77868</v>
      </c>
      <c r="J290" s="7">
        <v>60256</v>
      </c>
      <c r="K290" s="7">
        <v>17612</v>
      </c>
      <c r="L290" s="5">
        <f t="shared" si="48"/>
        <v>0.7738223660553758</v>
      </c>
      <c r="M290" s="5">
        <f t="shared" si="49"/>
        <v>-7.4465429736250921E-2</v>
      </c>
      <c r="N290" s="7">
        <f t="shared" si="51"/>
        <v>58282</v>
      </c>
      <c r="O290" s="7">
        <f t="shared" si="53"/>
        <v>55183.642857142855</v>
      </c>
      <c r="P290" s="8">
        <f t="shared" si="54"/>
        <v>1.4110703093955119</v>
      </c>
      <c r="Q290" s="7"/>
      <c r="R290" s="7"/>
      <c r="S290" s="7"/>
      <c r="T290" s="7"/>
      <c r="U290" s="7"/>
      <c r="V290" s="7"/>
      <c r="W290" s="7"/>
      <c r="X290" s="3" t="s">
        <v>63</v>
      </c>
      <c r="Y290" s="3"/>
      <c r="Z290" s="9">
        <v>1.47455</v>
      </c>
      <c r="AA290" s="5">
        <f t="shared" si="50"/>
        <v>9.2024676180672227E-2</v>
      </c>
      <c r="AB290" s="9">
        <f t="shared" si="52"/>
        <v>1.0453300000000001</v>
      </c>
      <c r="AC290" s="9">
        <f t="shared" si="55"/>
        <v>1.2419246428571427</v>
      </c>
      <c r="AD290" s="8">
        <f t="shared" si="56"/>
        <v>0.84170163303559098</v>
      </c>
      <c r="AE290" s="3" t="s">
        <v>44</v>
      </c>
      <c r="AF290" s="10">
        <f t="shared" si="57"/>
        <v>44506</v>
      </c>
      <c r="AG290" s="11">
        <f t="shared" si="58"/>
        <v>1.3538848694558037</v>
      </c>
      <c r="AH290" s="11">
        <f t="shared" si="59"/>
        <v>1.1873103641841625</v>
      </c>
      <c r="AI290" s="3" t="s">
        <v>45</v>
      </c>
      <c r="AJ290" s="3" t="s">
        <v>40</v>
      </c>
      <c r="AK290" s="3" t="s">
        <v>46</v>
      </c>
      <c r="AL290" s="3" t="s">
        <v>47</v>
      </c>
      <c r="AM290" s="3" t="s">
        <v>39</v>
      </c>
    </row>
    <row r="291" spans="1:39" ht="21" customHeight="1">
      <c r="A291" s="4">
        <v>46251</v>
      </c>
      <c r="B291" s="3" t="s">
        <v>39</v>
      </c>
      <c r="C291" s="3" t="s">
        <v>40</v>
      </c>
      <c r="D291" s="4">
        <v>46057</v>
      </c>
      <c r="E291" s="3">
        <v>194</v>
      </c>
      <c r="F291" s="3" t="s">
        <v>57</v>
      </c>
      <c r="G291" s="3" t="s">
        <v>49</v>
      </c>
      <c r="H291" s="3">
        <v>0</v>
      </c>
      <c r="I291" s="7">
        <v>62794</v>
      </c>
      <c r="J291" s="7">
        <v>43656</v>
      </c>
      <c r="K291" s="7">
        <v>19138</v>
      </c>
      <c r="L291" s="5">
        <f t="shared" si="48"/>
        <v>0.6952256585024047</v>
      </c>
      <c r="M291" s="5">
        <f t="shared" si="49"/>
        <v>-0.19358401397236347</v>
      </c>
      <c r="N291" s="7">
        <f t="shared" si="51"/>
        <v>60578</v>
      </c>
      <c r="O291" s="7">
        <f t="shared" si="53"/>
        <v>56028.285714285717</v>
      </c>
      <c r="P291" s="8">
        <f t="shared" si="54"/>
        <v>1.1207553327655928</v>
      </c>
      <c r="Q291" s="7"/>
      <c r="R291" s="7"/>
      <c r="S291" s="7"/>
      <c r="T291" s="7"/>
      <c r="U291" s="7"/>
      <c r="V291" s="7"/>
      <c r="W291" s="7"/>
      <c r="X291" s="3" t="s">
        <v>63</v>
      </c>
      <c r="Y291" s="3"/>
      <c r="Z291" s="9">
        <v>1.26349</v>
      </c>
      <c r="AA291" s="5">
        <f t="shared" si="50"/>
        <v>-0.14313519378793527</v>
      </c>
      <c r="AB291" s="9">
        <f t="shared" si="52"/>
        <v>1.0875971428571429</v>
      </c>
      <c r="AC291" s="9">
        <f t="shared" si="55"/>
        <v>1.2523199999999999</v>
      </c>
      <c r="AD291" s="8">
        <f t="shared" si="56"/>
        <v>0.86846584168354979</v>
      </c>
      <c r="AE291" s="3" t="s">
        <v>44</v>
      </c>
      <c r="AF291" s="10">
        <f t="shared" si="57"/>
        <v>26543.5</v>
      </c>
      <c r="AG291" s="11">
        <f t="shared" si="58"/>
        <v>1.644696441690056</v>
      </c>
      <c r="AH291" s="11">
        <f t="shared" si="59"/>
        <v>1.008919445509135</v>
      </c>
      <c r="AI291" s="3" t="s">
        <v>45</v>
      </c>
      <c r="AJ291" s="3" t="s">
        <v>40</v>
      </c>
      <c r="AK291" s="3" t="s">
        <v>46</v>
      </c>
      <c r="AL291" s="3" t="s">
        <v>47</v>
      </c>
      <c r="AM291" s="3" t="s">
        <v>39</v>
      </c>
    </row>
    <row r="292" spans="1:39" ht="21" customHeight="1">
      <c r="A292" s="4">
        <v>46252</v>
      </c>
      <c r="B292" s="3" t="s">
        <v>39</v>
      </c>
      <c r="C292" s="3" t="s">
        <v>40</v>
      </c>
      <c r="D292" s="4">
        <v>46057</v>
      </c>
      <c r="E292" s="3">
        <v>195</v>
      </c>
      <c r="F292" s="3" t="s">
        <v>57</v>
      </c>
      <c r="G292" s="3" t="s">
        <v>50</v>
      </c>
      <c r="H292" s="3">
        <v>0</v>
      </c>
      <c r="I292" s="7">
        <v>43526</v>
      </c>
      <c r="J292" s="7">
        <v>20584</v>
      </c>
      <c r="K292" s="7">
        <v>22942</v>
      </c>
      <c r="L292" s="5">
        <f t="shared" si="48"/>
        <v>0.47291274180949316</v>
      </c>
      <c r="M292" s="5">
        <f t="shared" si="49"/>
        <v>-0.30684460298754657</v>
      </c>
      <c r="N292" s="7">
        <f t="shared" si="51"/>
        <v>60044.571428571428</v>
      </c>
      <c r="O292" s="7">
        <f t="shared" si="53"/>
        <v>56932.178571428572</v>
      </c>
      <c r="P292" s="8">
        <f t="shared" si="54"/>
        <v>0.76452370332871</v>
      </c>
      <c r="Q292" s="7"/>
      <c r="R292" s="7"/>
      <c r="S292" s="7"/>
      <c r="T292" s="7"/>
      <c r="U292" s="7"/>
      <c r="V292" s="7"/>
      <c r="W292" s="7"/>
      <c r="X292" s="3" t="s">
        <v>63</v>
      </c>
      <c r="Y292" s="3"/>
      <c r="Z292" s="9">
        <v>0.81233</v>
      </c>
      <c r="AA292" s="5">
        <f t="shared" si="50"/>
        <v>-0.35707445250852798</v>
      </c>
      <c r="AB292" s="9">
        <f t="shared" si="52"/>
        <v>1.0824071428571429</v>
      </c>
      <c r="AC292" s="9">
        <f t="shared" si="55"/>
        <v>1.2631592857142855</v>
      </c>
      <c r="AD292" s="8">
        <f t="shared" si="56"/>
        <v>0.85690471114659805</v>
      </c>
      <c r="AE292" s="3" t="s">
        <v>44</v>
      </c>
      <c r="AF292" s="10">
        <f t="shared" si="57"/>
        <v>26565.75</v>
      </c>
      <c r="AG292" s="11">
        <f t="shared" si="58"/>
        <v>0.77483225581811166</v>
      </c>
      <c r="AH292" s="11">
        <f t="shared" si="59"/>
        <v>0.6430938751644828</v>
      </c>
      <c r="AI292" s="3" t="s">
        <v>45</v>
      </c>
      <c r="AJ292" s="3" t="s">
        <v>40</v>
      </c>
      <c r="AK292" s="3" t="s">
        <v>46</v>
      </c>
      <c r="AL292" s="3" t="s">
        <v>47</v>
      </c>
      <c r="AM292" s="3" t="s">
        <v>39</v>
      </c>
    </row>
    <row r="293" spans="1:39" ht="21" customHeight="1">
      <c r="A293" s="4">
        <v>46253</v>
      </c>
      <c r="B293" s="3" t="s">
        <v>39</v>
      </c>
      <c r="C293" s="3" t="s">
        <v>40</v>
      </c>
      <c r="D293" s="4">
        <v>46057</v>
      </c>
      <c r="E293" s="3">
        <v>196</v>
      </c>
      <c r="F293" s="3" t="s">
        <v>57</v>
      </c>
      <c r="G293" s="3" t="s">
        <v>51</v>
      </c>
      <c r="H293" s="3">
        <v>0</v>
      </c>
      <c r="I293" s="7">
        <v>44306</v>
      </c>
      <c r="J293" s="7">
        <v>21245</v>
      </c>
      <c r="K293" s="7">
        <v>23062</v>
      </c>
      <c r="L293" s="5">
        <f t="shared" si="48"/>
        <v>0.47950616169367583</v>
      </c>
      <c r="M293" s="5">
        <f t="shared" si="49"/>
        <v>1.792032348481376E-2</v>
      </c>
      <c r="N293" s="7">
        <f t="shared" si="51"/>
        <v>59560</v>
      </c>
      <c r="O293" s="7">
        <f t="shared" si="53"/>
        <v>57108.321428571428</v>
      </c>
      <c r="P293" s="8">
        <f t="shared" si="54"/>
        <v>0.77582388856265005</v>
      </c>
      <c r="Q293" s="7"/>
      <c r="R293" s="7"/>
      <c r="S293" s="7"/>
      <c r="T293" s="7"/>
      <c r="U293" s="7"/>
      <c r="V293" s="7"/>
      <c r="W293" s="7"/>
      <c r="X293" s="3" t="s">
        <v>63</v>
      </c>
      <c r="Y293" s="3"/>
      <c r="Z293" s="9">
        <v>0.70440000000000003</v>
      </c>
      <c r="AA293" s="5">
        <f t="shared" si="50"/>
        <v>-0.13286472246500802</v>
      </c>
      <c r="AB293" s="9">
        <f t="shared" si="52"/>
        <v>1.0625357142857141</v>
      </c>
      <c r="AC293" s="9">
        <f t="shared" si="55"/>
        <v>1.2617607142857141</v>
      </c>
      <c r="AD293" s="8">
        <f t="shared" si="56"/>
        <v>0.8421055611065037</v>
      </c>
      <c r="AE293" s="3" t="s">
        <v>44</v>
      </c>
      <c r="AF293" s="10">
        <f t="shared" si="57"/>
        <v>25839.5</v>
      </c>
      <c r="AG293" s="11">
        <f t="shared" si="58"/>
        <v>0.82219083186594166</v>
      </c>
      <c r="AH293" s="11">
        <f t="shared" si="59"/>
        <v>0.55826750034673778</v>
      </c>
      <c r="AI293" s="3" t="s">
        <v>45</v>
      </c>
      <c r="AJ293" s="3" t="s">
        <v>40</v>
      </c>
      <c r="AK293" s="3" t="s">
        <v>46</v>
      </c>
      <c r="AL293" s="3" t="s">
        <v>47</v>
      </c>
      <c r="AM293" s="3" t="s">
        <v>39</v>
      </c>
    </row>
    <row r="294" spans="1:39" ht="21" customHeight="1">
      <c r="A294" s="4">
        <v>46254</v>
      </c>
      <c r="B294" s="3" t="s">
        <v>39</v>
      </c>
      <c r="C294" s="3" t="s">
        <v>40</v>
      </c>
      <c r="D294" s="4">
        <v>46057</v>
      </c>
      <c r="E294" s="3">
        <v>197</v>
      </c>
      <c r="F294" s="3" t="s">
        <v>57</v>
      </c>
      <c r="G294" s="3" t="s">
        <v>52</v>
      </c>
      <c r="H294" s="3">
        <v>0</v>
      </c>
      <c r="I294" s="7">
        <v>42332</v>
      </c>
      <c r="J294" s="7">
        <v>19418</v>
      </c>
      <c r="K294" s="7">
        <v>22914</v>
      </c>
      <c r="L294" s="5">
        <f t="shared" si="48"/>
        <v>0.45870736086175945</v>
      </c>
      <c r="M294" s="5">
        <f t="shared" si="49"/>
        <v>-4.4553785040400862E-2</v>
      </c>
      <c r="N294" s="7">
        <f t="shared" si="51"/>
        <v>58665.428571428572</v>
      </c>
      <c r="O294" s="7">
        <f t="shared" si="53"/>
        <v>57313.428571428572</v>
      </c>
      <c r="P294" s="8">
        <f t="shared" si="54"/>
        <v>0.73860526328908205</v>
      </c>
      <c r="Q294" s="7"/>
      <c r="R294" s="7"/>
      <c r="S294" s="7"/>
      <c r="T294" s="7"/>
      <c r="U294" s="7"/>
      <c r="V294" s="7"/>
      <c r="W294" s="7"/>
      <c r="X294" s="3" t="s">
        <v>63</v>
      </c>
      <c r="Y294" s="3"/>
      <c r="Z294" s="9">
        <v>0.61789000000000005</v>
      </c>
      <c r="AA294" s="5">
        <f t="shared" si="50"/>
        <v>-0.12281374219193641</v>
      </c>
      <c r="AB294" s="9">
        <f t="shared" si="52"/>
        <v>1.0285171428571429</v>
      </c>
      <c r="AC294" s="9">
        <f t="shared" si="55"/>
        <v>1.2424167857142854</v>
      </c>
      <c r="AD294" s="8">
        <f t="shared" si="56"/>
        <v>0.82783583953739959</v>
      </c>
      <c r="AE294" s="3" t="s">
        <v>44</v>
      </c>
      <c r="AF294" s="10">
        <f t="shared" si="57"/>
        <v>27190.75</v>
      </c>
      <c r="AG294" s="11">
        <f t="shared" si="58"/>
        <v>0.71413991890624573</v>
      </c>
      <c r="AH294" s="11">
        <f t="shared" si="59"/>
        <v>0.49732908240189716</v>
      </c>
      <c r="AI294" s="3" t="s">
        <v>45</v>
      </c>
      <c r="AJ294" s="3" t="s">
        <v>40</v>
      </c>
      <c r="AK294" s="3" t="s">
        <v>46</v>
      </c>
      <c r="AL294" s="3" t="s">
        <v>47</v>
      </c>
      <c r="AM294" s="3" t="s">
        <v>39</v>
      </c>
    </row>
    <row r="295" spans="1:39" ht="21" customHeight="1">
      <c r="A295" s="4">
        <v>46255</v>
      </c>
      <c r="B295" s="3" t="s">
        <v>39</v>
      </c>
      <c r="C295" s="3" t="s">
        <v>40</v>
      </c>
      <c r="D295" s="4">
        <v>46057</v>
      </c>
      <c r="E295" s="3">
        <v>198</v>
      </c>
      <c r="F295" s="3" t="s">
        <v>57</v>
      </c>
      <c r="G295" s="3" t="s">
        <v>53</v>
      </c>
      <c r="H295" s="3">
        <v>0</v>
      </c>
      <c r="I295" s="7">
        <v>45210</v>
      </c>
      <c r="J295" s="7">
        <v>22088</v>
      </c>
      <c r="K295" s="7">
        <v>23121</v>
      </c>
      <c r="L295" s="5">
        <f t="shared" si="48"/>
        <v>0.48856447688564475</v>
      </c>
      <c r="M295" s="5">
        <f t="shared" si="49"/>
        <v>6.7986393272229106E-2</v>
      </c>
      <c r="N295" s="7">
        <f t="shared" si="51"/>
        <v>57167</v>
      </c>
      <c r="O295" s="7">
        <f t="shared" si="53"/>
        <v>57357.535714285717</v>
      </c>
      <c r="P295" s="8">
        <f t="shared" si="54"/>
        <v>0.78821377935767556</v>
      </c>
      <c r="Q295" s="7"/>
      <c r="R295" s="7"/>
      <c r="S295" s="7"/>
      <c r="T295" s="7"/>
      <c r="U295" s="7"/>
      <c r="V295" s="7"/>
      <c r="W295" s="7"/>
      <c r="X295" s="3" t="s">
        <v>63</v>
      </c>
      <c r="Y295" s="3"/>
      <c r="Z295" s="9">
        <v>0.68920999999999999</v>
      </c>
      <c r="AA295" s="5">
        <f t="shared" si="50"/>
        <v>0.11542507566071625</v>
      </c>
      <c r="AB295" s="9">
        <f t="shared" si="52"/>
        <v>0.98745142857142854</v>
      </c>
      <c r="AC295" s="9">
        <f t="shared" si="55"/>
        <v>1.2162571428571431</v>
      </c>
      <c r="AD295" s="8">
        <f t="shared" si="56"/>
        <v>0.81187718762479721</v>
      </c>
      <c r="AE295" s="3" t="s">
        <v>44</v>
      </c>
      <c r="AF295" s="10">
        <f t="shared" si="57"/>
        <v>34159.25</v>
      </c>
      <c r="AG295" s="11">
        <f t="shared" si="58"/>
        <v>0.64661841228949701</v>
      </c>
      <c r="AH295" s="11">
        <f t="shared" si="59"/>
        <v>0.56666470906058386</v>
      </c>
      <c r="AI295" s="3" t="s">
        <v>45</v>
      </c>
      <c r="AJ295" s="3" t="s">
        <v>40</v>
      </c>
      <c r="AK295" s="3" t="s">
        <v>46</v>
      </c>
      <c r="AL295" s="3" t="s">
        <v>47</v>
      </c>
      <c r="AM295" s="3" t="s">
        <v>39</v>
      </c>
    </row>
    <row r="296" spans="1:39" ht="21" customHeight="1">
      <c r="A296" s="4">
        <v>46256</v>
      </c>
      <c r="B296" s="3" t="s">
        <v>39</v>
      </c>
      <c r="C296" s="3" t="s">
        <v>40</v>
      </c>
      <c r="D296" s="4">
        <v>46057</v>
      </c>
      <c r="E296" s="3">
        <v>199</v>
      </c>
      <c r="F296" s="3" t="s">
        <v>57</v>
      </c>
      <c r="G296" s="3" t="s">
        <v>42</v>
      </c>
      <c r="H296" s="3">
        <v>1</v>
      </c>
      <c r="I296" s="7">
        <v>52238</v>
      </c>
      <c r="J296" s="7">
        <v>33173</v>
      </c>
      <c r="K296" s="7">
        <v>19064</v>
      </c>
      <c r="L296" s="5">
        <f t="shared" si="48"/>
        <v>0.63503579769516449</v>
      </c>
      <c r="M296" s="5">
        <f t="shared" si="49"/>
        <v>0.15545233355452326</v>
      </c>
      <c r="N296" s="7">
        <f t="shared" si="51"/>
        <v>52610.571428571428</v>
      </c>
      <c r="O296" s="7">
        <f t="shared" si="53"/>
        <v>57303.178571428572</v>
      </c>
      <c r="P296" s="8">
        <f t="shared" si="54"/>
        <v>0.91160737156814409</v>
      </c>
      <c r="Q296" s="7"/>
      <c r="R296" s="7"/>
      <c r="S296" s="7"/>
      <c r="T296" s="7"/>
      <c r="U296" s="7"/>
      <c r="V296" s="7"/>
      <c r="W296" s="7"/>
      <c r="X296" s="3" t="s">
        <v>63</v>
      </c>
      <c r="Y296" s="3"/>
      <c r="Z296" s="9">
        <v>1.1879299999999999</v>
      </c>
      <c r="AA296" s="5">
        <f t="shared" si="50"/>
        <v>0.72361109095921416</v>
      </c>
      <c r="AB296" s="9">
        <f t="shared" si="52"/>
        <v>0.96425714285714281</v>
      </c>
      <c r="AC296" s="9">
        <f t="shared" si="55"/>
        <v>1.1817167857142858</v>
      </c>
      <c r="AD296" s="8">
        <f t="shared" si="56"/>
        <v>0.81597989849513719</v>
      </c>
      <c r="AE296" s="3" t="s">
        <v>44</v>
      </c>
      <c r="AF296" s="10">
        <f t="shared" si="57"/>
        <v>52801.25</v>
      </c>
      <c r="AG296" s="11">
        <f t="shared" si="58"/>
        <v>0.6282616415331076</v>
      </c>
      <c r="AH296" s="11">
        <f t="shared" si="59"/>
        <v>1.0052577862655632</v>
      </c>
      <c r="AI296" s="3" t="s">
        <v>45</v>
      </c>
      <c r="AJ296" s="3" t="s">
        <v>40</v>
      </c>
      <c r="AK296" s="3" t="s">
        <v>46</v>
      </c>
      <c r="AL296" s="3" t="s">
        <v>47</v>
      </c>
      <c r="AM296" s="3" t="s">
        <v>39</v>
      </c>
    </row>
    <row r="297" spans="1:39" ht="21" customHeight="1">
      <c r="A297" s="4">
        <v>46257</v>
      </c>
      <c r="B297" s="3" t="s">
        <v>39</v>
      </c>
      <c r="C297" s="3" t="s">
        <v>40</v>
      </c>
      <c r="D297" s="4">
        <v>46057</v>
      </c>
      <c r="E297" s="3">
        <v>200</v>
      </c>
      <c r="F297" s="3" t="s">
        <v>57</v>
      </c>
      <c r="G297" s="3" t="s">
        <v>48</v>
      </c>
      <c r="H297" s="3">
        <v>1</v>
      </c>
      <c r="I297" s="7">
        <v>52658</v>
      </c>
      <c r="J297" s="7">
        <v>33348</v>
      </c>
      <c r="K297" s="7">
        <v>19310</v>
      </c>
      <c r="L297" s="5">
        <f t="shared" si="48"/>
        <v>0.63329408636864293</v>
      </c>
      <c r="M297" s="5">
        <f t="shared" si="49"/>
        <v>8.0401240476282165E-3</v>
      </c>
      <c r="N297" s="7">
        <f t="shared" si="51"/>
        <v>49009.142857142855</v>
      </c>
      <c r="O297" s="7">
        <f t="shared" si="53"/>
        <v>57103.678571428572</v>
      </c>
      <c r="P297" s="8">
        <f t="shared" si="54"/>
        <v>0.92214724720636587</v>
      </c>
      <c r="Q297" s="7"/>
      <c r="R297" s="7"/>
      <c r="S297" s="7"/>
      <c r="T297" s="7"/>
      <c r="U297" s="7"/>
      <c r="V297" s="7"/>
      <c r="W297" s="7"/>
      <c r="X297" s="3" t="s">
        <v>63</v>
      </c>
      <c r="Y297" s="3"/>
      <c r="Z297" s="9">
        <v>1.02261</v>
      </c>
      <c r="AA297" s="5">
        <f t="shared" si="50"/>
        <v>-0.13916644920155219</v>
      </c>
      <c r="AB297" s="9">
        <f t="shared" si="52"/>
        <v>0.89969428571428567</v>
      </c>
      <c r="AC297" s="9">
        <f t="shared" si="55"/>
        <v>1.1545321428571427</v>
      </c>
      <c r="AD297" s="8">
        <f t="shared" si="56"/>
        <v>0.77927175200838938</v>
      </c>
      <c r="AE297" s="3" t="s">
        <v>44</v>
      </c>
      <c r="AF297" s="10">
        <f t="shared" si="57"/>
        <v>50742</v>
      </c>
      <c r="AG297" s="11">
        <f t="shared" si="58"/>
        <v>0.65720704741634151</v>
      </c>
      <c r="AH297" s="11">
        <f t="shared" si="59"/>
        <v>0.88573540921028637</v>
      </c>
      <c r="AI297" s="3" t="s">
        <v>45</v>
      </c>
      <c r="AJ297" s="3" t="s">
        <v>40</v>
      </c>
      <c r="AK297" s="3" t="s">
        <v>46</v>
      </c>
      <c r="AL297" s="3" t="s">
        <v>47</v>
      </c>
      <c r="AM297" s="3" t="s">
        <v>39</v>
      </c>
    </row>
    <row r="298" spans="1:39" ht="21" customHeight="1">
      <c r="A298" s="4">
        <v>46258</v>
      </c>
      <c r="B298" s="3" t="s">
        <v>39</v>
      </c>
      <c r="C298" s="3" t="s">
        <v>40</v>
      </c>
      <c r="D298" s="4">
        <v>46057</v>
      </c>
      <c r="E298" s="3">
        <v>201</v>
      </c>
      <c r="F298" s="3" t="s">
        <v>57</v>
      </c>
      <c r="G298" s="3" t="s">
        <v>49</v>
      </c>
      <c r="H298" s="3">
        <v>0</v>
      </c>
      <c r="I298" s="7">
        <v>41307</v>
      </c>
      <c r="J298" s="7">
        <v>18476</v>
      </c>
      <c r="K298" s="7">
        <v>22830</v>
      </c>
      <c r="L298" s="5">
        <f t="shared" si="48"/>
        <v>0.44728496380758709</v>
      </c>
      <c r="M298" s="5">
        <f t="shared" si="49"/>
        <v>-0.21556078848418092</v>
      </c>
      <c r="N298" s="7">
        <f t="shared" si="51"/>
        <v>45939.571428571428</v>
      </c>
      <c r="O298" s="7">
        <f t="shared" si="53"/>
        <v>56952.964285714283</v>
      </c>
      <c r="P298" s="8">
        <f t="shared" si="54"/>
        <v>0.72528270508935011</v>
      </c>
      <c r="Q298" s="7"/>
      <c r="R298" s="7"/>
      <c r="S298" s="7"/>
      <c r="T298" s="7"/>
      <c r="U298" s="7"/>
      <c r="V298" s="7"/>
      <c r="W298" s="7"/>
      <c r="X298" s="3" t="s">
        <v>63</v>
      </c>
      <c r="Y298" s="3"/>
      <c r="Z298" s="9">
        <v>0.66412000000000004</v>
      </c>
      <c r="AA298" s="5">
        <f t="shared" si="50"/>
        <v>-0.35056375353262725</v>
      </c>
      <c r="AB298" s="9">
        <f t="shared" si="52"/>
        <v>0.81406999999999996</v>
      </c>
      <c r="AC298" s="9">
        <f t="shared" si="55"/>
        <v>1.1242100000000002</v>
      </c>
      <c r="AD298" s="8">
        <f t="shared" si="56"/>
        <v>0.72412627534001639</v>
      </c>
      <c r="AE298" s="3" t="s">
        <v>44</v>
      </c>
      <c r="AF298" s="10">
        <f t="shared" si="57"/>
        <v>33659</v>
      </c>
      <c r="AG298" s="11">
        <f t="shared" si="58"/>
        <v>0.54891708012715767</v>
      </c>
      <c r="AH298" s="11">
        <f t="shared" si="59"/>
        <v>0.59074372225829686</v>
      </c>
      <c r="AI298" s="3" t="s">
        <v>45</v>
      </c>
      <c r="AJ298" s="3" t="s">
        <v>40</v>
      </c>
      <c r="AK298" s="3" t="s">
        <v>46</v>
      </c>
      <c r="AL298" s="3" t="s">
        <v>47</v>
      </c>
      <c r="AM298" s="3" t="s">
        <v>39</v>
      </c>
    </row>
    <row r="299" spans="1:39" ht="21" customHeight="1">
      <c r="A299" s="4">
        <v>46259</v>
      </c>
      <c r="B299" s="3" t="s">
        <v>39</v>
      </c>
      <c r="C299" s="3" t="s">
        <v>40</v>
      </c>
      <c r="D299" s="4">
        <v>46057</v>
      </c>
      <c r="E299" s="3">
        <v>202</v>
      </c>
      <c r="F299" s="3" t="s">
        <v>57</v>
      </c>
      <c r="G299" s="3" t="s">
        <v>50</v>
      </c>
      <c r="H299" s="3">
        <v>0</v>
      </c>
      <c r="I299" s="7">
        <v>43558</v>
      </c>
      <c r="J299" s="7">
        <v>20405</v>
      </c>
      <c r="K299" s="7">
        <v>23152</v>
      </c>
      <c r="L299" s="5">
        <f t="shared" si="48"/>
        <v>0.46845585196749162</v>
      </c>
      <c r="M299" s="5">
        <f t="shared" si="49"/>
        <v>5.4494395623017944E-2</v>
      </c>
      <c r="N299" s="7">
        <f t="shared" si="51"/>
        <v>45944.142857142855</v>
      </c>
      <c r="O299" s="7">
        <f t="shared" si="53"/>
        <v>56711.714285714283</v>
      </c>
      <c r="P299" s="8">
        <f t="shared" si="54"/>
        <v>0.76806001279655001</v>
      </c>
      <c r="Q299" s="7"/>
      <c r="R299" s="7"/>
      <c r="S299" s="7"/>
      <c r="T299" s="7"/>
      <c r="U299" s="7"/>
      <c r="V299" s="7"/>
      <c r="W299" s="7"/>
      <c r="X299" s="3" t="s">
        <v>63</v>
      </c>
      <c r="Y299" s="3"/>
      <c r="Z299" s="9">
        <v>0.65407999999999999</v>
      </c>
      <c r="AA299" s="5">
        <f t="shared" si="50"/>
        <v>-1.511774980425229E-2</v>
      </c>
      <c r="AB299" s="9">
        <f t="shared" si="52"/>
        <v>0.79146285714285725</v>
      </c>
      <c r="AC299" s="9">
        <f t="shared" si="55"/>
        <v>1.1040332142857143</v>
      </c>
      <c r="AD299" s="8">
        <f t="shared" si="56"/>
        <v>0.71688319418444002</v>
      </c>
      <c r="AE299" s="3" t="s">
        <v>44</v>
      </c>
      <c r="AF299" s="10">
        <f t="shared" si="57"/>
        <v>27659.75</v>
      </c>
      <c r="AG299" s="11">
        <f t="shared" si="58"/>
        <v>0.73771454911920753</v>
      </c>
      <c r="AH299" s="11">
        <f t="shared" si="59"/>
        <v>0.59244594414052631</v>
      </c>
      <c r="AI299" s="3" t="s">
        <v>45</v>
      </c>
      <c r="AJ299" s="3" t="s">
        <v>40</v>
      </c>
      <c r="AK299" s="3" t="s">
        <v>46</v>
      </c>
      <c r="AL299" s="3" t="s">
        <v>47</v>
      </c>
      <c r="AM299" s="3" t="s">
        <v>39</v>
      </c>
    </row>
    <row r="300" spans="1:39" ht="21" customHeight="1">
      <c r="A300" s="4">
        <v>46260</v>
      </c>
      <c r="B300" s="3" t="s">
        <v>39</v>
      </c>
      <c r="C300" s="3" t="s">
        <v>40</v>
      </c>
      <c r="D300" s="4">
        <v>46057</v>
      </c>
      <c r="E300" s="3">
        <v>203</v>
      </c>
      <c r="F300" s="3" t="s">
        <v>57</v>
      </c>
      <c r="G300" s="3" t="s">
        <v>51</v>
      </c>
      <c r="H300" s="3">
        <v>0</v>
      </c>
      <c r="I300" s="7">
        <v>42508</v>
      </c>
      <c r="J300" s="7">
        <v>19464</v>
      </c>
      <c r="K300" s="7">
        <v>23044</v>
      </c>
      <c r="L300" s="5">
        <f t="shared" si="48"/>
        <v>0.45789027947680438</v>
      </c>
      <c r="M300" s="5">
        <f t="shared" si="49"/>
        <v>-2.4105789981174519E-2</v>
      </c>
      <c r="N300" s="7">
        <f t="shared" si="51"/>
        <v>45687.285714285717</v>
      </c>
      <c r="O300" s="7">
        <f t="shared" si="53"/>
        <v>56486.5</v>
      </c>
      <c r="P300" s="8">
        <f t="shared" si="54"/>
        <v>0.75253379125985853</v>
      </c>
      <c r="Q300" s="7"/>
      <c r="R300" s="7"/>
      <c r="S300" s="7"/>
      <c r="T300" s="7"/>
      <c r="U300" s="7"/>
      <c r="V300" s="7"/>
      <c r="W300" s="7"/>
      <c r="X300" s="3" t="s">
        <v>63</v>
      </c>
      <c r="Y300" s="3"/>
      <c r="Z300" s="9">
        <v>0.69437000000000004</v>
      </c>
      <c r="AA300" s="5">
        <f t="shared" si="50"/>
        <v>6.1597969667319008E-2</v>
      </c>
      <c r="AB300" s="9">
        <f t="shared" si="52"/>
        <v>0.79003000000000012</v>
      </c>
      <c r="AC300" s="9">
        <f t="shared" si="55"/>
        <v>1.0867792857142857</v>
      </c>
      <c r="AD300" s="8">
        <f t="shared" si="56"/>
        <v>0.72694613375958195</v>
      </c>
      <c r="AE300" s="3" t="s">
        <v>44</v>
      </c>
      <c r="AF300" s="10">
        <f t="shared" si="57"/>
        <v>27081.25</v>
      </c>
      <c r="AG300" s="11">
        <f t="shared" si="58"/>
        <v>0.71872605585045002</v>
      </c>
      <c r="AH300" s="11">
        <f t="shared" si="59"/>
        <v>0.63892458121671447</v>
      </c>
      <c r="AI300" s="3" t="s">
        <v>45</v>
      </c>
      <c r="AJ300" s="3" t="s">
        <v>40</v>
      </c>
      <c r="AK300" s="3" t="s">
        <v>46</v>
      </c>
      <c r="AL300" s="3" t="s">
        <v>47</v>
      </c>
      <c r="AM300" s="3" t="s">
        <v>39</v>
      </c>
    </row>
    <row r="301" spans="1:39" ht="21" customHeight="1">
      <c r="A301" s="4">
        <v>46261</v>
      </c>
      <c r="B301" s="3" t="s">
        <v>39</v>
      </c>
      <c r="C301" s="3" t="s">
        <v>40</v>
      </c>
      <c r="D301" s="4">
        <v>46057</v>
      </c>
      <c r="E301" s="3">
        <v>204</v>
      </c>
      <c r="F301" s="3" t="s">
        <v>57</v>
      </c>
      <c r="G301" s="3" t="s">
        <v>52</v>
      </c>
      <c r="H301" s="3">
        <v>0</v>
      </c>
      <c r="I301" s="7">
        <v>43134</v>
      </c>
      <c r="J301" s="7">
        <v>20100</v>
      </c>
      <c r="K301" s="7">
        <v>23034</v>
      </c>
      <c r="L301" s="5">
        <f t="shared" si="48"/>
        <v>0.46598970649603561</v>
      </c>
      <c r="M301" s="5">
        <f t="shared" si="49"/>
        <v>1.4726639691352128E-2</v>
      </c>
      <c r="N301" s="7">
        <f t="shared" si="51"/>
        <v>45801.857142857145</v>
      </c>
      <c r="O301" s="7">
        <f t="shared" si="53"/>
        <v>56103.285714285717</v>
      </c>
      <c r="P301" s="8">
        <f t="shared" si="54"/>
        <v>0.76883197571825435</v>
      </c>
      <c r="Q301" s="7"/>
      <c r="R301" s="7"/>
      <c r="S301" s="7"/>
      <c r="T301" s="7"/>
      <c r="U301" s="7"/>
      <c r="V301" s="7"/>
      <c r="W301" s="7"/>
      <c r="X301" s="3" t="s">
        <v>63</v>
      </c>
      <c r="Y301" s="3"/>
      <c r="Z301" s="9">
        <v>0.62051000000000001</v>
      </c>
      <c r="AA301" s="5">
        <f t="shared" si="50"/>
        <v>-0.10636980284286479</v>
      </c>
      <c r="AB301" s="9">
        <f t="shared" si="52"/>
        <v>0.79040428571428578</v>
      </c>
      <c r="AC301" s="9">
        <f t="shared" si="55"/>
        <v>1.0705328571428572</v>
      </c>
      <c r="AD301" s="8">
        <f t="shared" si="56"/>
        <v>0.73832790879842214</v>
      </c>
      <c r="AE301" s="3" t="s">
        <v>44</v>
      </c>
      <c r="AF301" s="10">
        <f t="shared" si="57"/>
        <v>27323.75</v>
      </c>
      <c r="AG301" s="11">
        <f t="shared" si="58"/>
        <v>0.73562377052930139</v>
      </c>
      <c r="AH301" s="11">
        <f t="shared" si="59"/>
        <v>0.57962723503515601</v>
      </c>
      <c r="AI301" s="3" t="s">
        <v>45</v>
      </c>
      <c r="AJ301" s="3" t="s">
        <v>40</v>
      </c>
      <c r="AK301" s="3" t="s">
        <v>46</v>
      </c>
      <c r="AL301" s="3" t="s">
        <v>47</v>
      </c>
      <c r="AM301" s="3" t="s">
        <v>39</v>
      </c>
    </row>
    <row r="302" spans="1:39" ht="21" customHeight="1">
      <c r="A302" s="4">
        <v>46262</v>
      </c>
      <c r="B302" s="3" t="s">
        <v>39</v>
      </c>
      <c r="C302" s="3" t="s">
        <v>40</v>
      </c>
      <c r="D302" s="4">
        <v>46057</v>
      </c>
      <c r="E302" s="3">
        <v>205</v>
      </c>
      <c r="F302" s="3" t="s">
        <v>57</v>
      </c>
      <c r="G302" s="3" t="s">
        <v>53</v>
      </c>
      <c r="H302" s="3">
        <v>0</v>
      </c>
      <c r="I302" s="7">
        <v>45616</v>
      </c>
      <c r="J302" s="7">
        <v>22680</v>
      </c>
      <c r="K302" s="7">
        <v>22936</v>
      </c>
      <c r="L302" s="5">
        <f t="shared" si="48"/>
        <v>0.49719396702911262</v>
      </c>
      <c r="M302" s="5">
        <f t="shared" si="49"/>
        <v>5.7541614503639815E-2</v>
      </c>
      <c r="N302" s="7">
        <f t="shared" si="51"/>
        <v>45859.857142857145</v>
      </c>
      <c r="O302" s="7">
        <f t="shared" si="53"/>
        <v>55608.535714285717</v>
      </c>
      <c r="P302" s="8">
        <f t="shared" si="54"/>
        <v>0.82030572130820101</v>
      </c>
      <c r="Q302" s="7"/>
      <c r="R302" s="7"/>
      <c r="S302" s="7"/>
      <c r="T302" s="7"/>
      <c r="U302" s="7"/>
      <c r="V302" s="7"/>
      <c r="W302" s="7"/>
      <c r="X302" s="3" t="s">
        <v>63</v>
      </c>
      <c r="Y302" s="3"/>
      <c r="Z302" s="9">
        <v>0.67676999999999998</v>
      </c>
      <c r="AA302" s="5">
        <f t="shared" si="50"/>
        <v>9.06673542730978E-2</v>
      </c>
      <c r="AB302" s="9">
        <f t="shared" si="52"/>
        <v>0.78862714285714297</v>
      </c>
      <c r="AC302" s="9">
        <f t="shared" si="55"/>
        <v>1.0500657142857144</v>
      </c>
      <c r="AD302" s="8">
        <f t="shared" si="56"/>
        <v>0.75102646637081216</v>
      </c>
      <c r="AE302" s="3" t="s">
        <v>44</v>
      </c>
      <c r="AF302" s="10">
        <f t="shared" si="57"/>
        <v>33600</v>
      </c>
      <c r="AG302" s="11">
        <f t="shared" si="58"/>
        <v>0.67500000000000004</v>
      </c>
      <c r="AH302" s="11">
        <f t="shared" si="59"/>
        <v>0.64450252093066274</v>
      </c>
      <c r="AI302" s="3" t="s">
        <v>45</v>
      </c>
      <c r="AJ302" s="3" t="s">
        <v>40</v>
      </c>
      <c r="AK302" s="3" t="s">
        <v>46</v>
      </c>
      <c r="AL302" s="3" t="s">
        <v>47</v>
      </c>
      <c r="AM302" s="3" t="s">
        <v>39</v>
      </c>
    </row>
    <row r="303" spans="1:39" ht="21" customHeight="1">
      <c r="A303" s="4">
        <v>46263</v>
      </c>
      <c r="B303" s="3" t="s">
        <v>39</v>
      </c>
      <c r="C303" s="3" t="s">
        <v>40</v>
      </c>
      <c r="D303" s="4">
        <v>46057</v>
      </c>
      <c r="E303" s="3">
        <v>206</v>
      </c>
      <c r="F303" s="3" t="s">
        <v>57</v>
      </c>
      <c r="G303" s="3" t="s">
        <v>42</v>
      </c>
      <c r="H303" s="3">
        <v>1</v>
      </c>
      <c r="I303" s="7">
        <v>52686</v>
      </c>
      <c r="J303" s="7">
        <v>33288</v>
      </c>
      <c r="K303" s="7">
        <v>19397</v>
      </c>
      <c r="L303" s="5">
        <f t="shared" si="48"/>
        <v>0.63181869946475344</v>
      </c>
      <c r="M303" s="5">
        <f t="shared" si="49"/>
        <v>0.15498947737635915</v>
      </c>
      <c r="N303" s="7">
        <f t="shared" si="51"/>
        <v>45923.857142857145</v>
      </c>
      <c r="O303" s="7">
        <f t="shared" si="53"/>
        <v>54822.178571428572</v>
      </c>
      <c r="P303" s="8">
        <f t="shared" si="54"/>
        <v>0.96103440930124084</v>
      </c>
      <c r="Q303" s="7"/>
      <c r="R303" s="7"/>
      <c r="S303" s="7"/>
      <c r="T303" s="7"/>
      <c r="U303" s="7"/>
      <c r="V303" s="7"/>
      <c r="W303" s="7"/>
      <c r="X303" s="3" t="s">
        <v>63</v>
      </c>
      <c r="Y303" s="3"/>
      <c r="Z303" s="9">
        <v>0.80208999999999997</v>
      </c>
      <c r="AA303" s="5">
        <f t="shared" si="50"/>
        <v>0.18517369268732353</v>
      </c>
      <c r="AB303" s="9">
        <f t="shared" si="52"/>
        <v>0.7335071428571428</v>
      </c>
      <c r="AC303" s="9">
        <f t="shared" si="55"/>
        <v>1.0303785714285716</v>
      </c>
      <c r="AD303" s="8">
        <f t="shared" si="56"/>
        <v>0.7118812087096974</v>
      </c>
      <c r="AE303" s="3" t="s">
        <v>44</v>
      </c>
      <c r="AF303" s="10">
        <f t="shared" si="57"/>
        <v>51549</v>
      </c>
      <c r="AG303" s="11">
        <f t="shared" si="58"/>
        <v>0.64575452482104401</v>
      </c>
      <c r="AH303" s="11">
        <f t="shared" si="59"/>
        <v>0.778442042799803</v>
      </c>
      <c r="AI303" s="3" t="s">
        <v>45</v>
      </c>
      <c r="AJ303" s="3" t="s">
        <v>40</v>
      </c>
      <c r="AK303" s="3" t="s">
        <v>46</v>
      </c>
      <c r="AL303" s="3" t="s">
        <v>47</v>
      </c>
      <c r="AM303" s="3" t="s">
        <v>39</v>
      </c>
    </row>
    <row r="304" spans="1:39" ht="21" customHeight="1">
      <c r="A304" s="4">
        <v>46264</v>
      </c>
      <c r="B304" s="3" t="s">
        <v>39</v>
      </c>
      <c r="C304" s="3" t="s">
        <v>40</v>
      </c>
      <c r="D304" s="4">
        <v>46057</v>
      </c>
      <c r="E304" s="3">
        <v>207</v>
      </c>
      <c r="F304" s="3" t="s">
        <v>57</v>
      </c>
      <c r="G304" s="3" t="s">
        <v>48</v>
      </c>
      <c r="H304" s="3">
        <v>1</v>
      </c>
      <c r="I304" s="7">
        <v>48884</v>
      </c>
      <c r="J304" s="7">
        <v>29928</v>
      </c>
      <c r="K304" s="7">
        <v>18956</v>
      </c>
      <c r="L304" s="5">
        <f t="shared" si="48"/>
        <v>0.61222485884952127</v>
      </c>
      <c r="M304" s="5">
        <f t="shared" si="49"/>
        <v>-7.2163383061913944E-2</v>
      </c>
      <c r="N304" s="7">
        <f t="shared" si="51"/>
        <v>45384.714285714283</v>
      </c>
      <c r="O304" s="7">
        <f t="shared" si="53"/>
        <v>53831.464285714283</v>
      </c>
      <c r="P304" s="8">
        <f t="shared" si="54"/>
        <v>0.90809344773801304</v>
      </c>
      <c r="Q304" s="7"/>
      <c r="R304" s="7"/>
      <c r="S304" s="7"/>
      <c r="T304" s="7"/>
      <c r="U304" s="7"/>
      <c r="V304" s="7"/>
      <c r="W304" s="7"/>
      <c r="X304" s="3" t="s">
        <v>63</v>
      </c>
      <c r="Y304" s="3"/>
      <c r="Z304" s="9">
        <v>0.78744999999999998</v>
      </c>
      <c r="AA304" s="5">
        <f t="shared" si="50"/>
        <v>-1.8252315824907384E-2</v>
      </c>
      <c r="AB304" s="9">
        <f t="shared" si="52"/>
        <v>0.69991285714285711</v>
      </c>
      <c r="AC304" s="9">
        <f t="shared" si="55"/>
        <v>0.99941285714285721</v>
      </c>
      <c r="AD304" s="8">
        <f t="shared" si="56"/>
        <v>0.70032404740497622</v>
      </c>
      <c r="AE304" s="3" t="s">
        <v>44</v>
      </c>
      <c r="AF304" s="10">
        <f t="shared" si="57"/>
        <v>49503</v>
      </c>
      <c r="AG304" s="11">
        <f t="shared" si="58"/>
        <v>0.60456942003514935</v>
      </c>
      <c r="AH304" s="11">
        <f t="shared" si="59"/>
        <v>0.78791261726527995</v>
      </c>
      <c r="AI304" s="3" t="s">
        <v>45</v>
      </c>
      <c r="AJ304" s="3" t="s">
        <v>40</v>
      </c>
      <c r="AK304" s="3" t="s">
        <v>46</v>
      </c>
      <c r="AL304" s="3" t="s">
        <v>47</v>
      </c>
      <c r="AM304" s="3" t="s">
        <v>39</v>
      </c>
    </row>
    <row r="305" spans="1:39" ht="21" customHeight="1">
      <c r="A305" s="4">
        <v>46265</v>
      </c>
      <c r="B305" s="3" t="s">
        <v>39</v>
      </c>
      <c r="C305" s="3" t="s">
        <v>40</v>
      </c>
      <c r="D305" s="4">
        <v>46057</v>
      </c>
      <c r="E305" s="3">
        <v>208</v>
      </c>
      <c r="F305" s="3" t="s">
        <v>57</v>
      </c>
      <c r="G305" s="3" t="s">
        <v>49</v>
      </c>
      <c r="H305" s="3">
        <v>0</v>
      </c>
      <c r="I305" s="7">
        <v>36236</v>
      </c>
      <c r="J305" s="7">
        <v>14116</v>
      </c>
      <c r="K305" s="7">
        <v>22120</v>
      </c>
      <c r="L305" s="5">
        <f t="shared" si="48"/>
        <v>0.38955734628546196</v>
      </c>
      <c r="M305" s="5">
        <f t="shared" si="49"/>
        <v>-0.25873496440553145</v>
      </c>
      <c r="N305" s="7">
        <f t="shared" si="51"/>
        <v>44660.285714285717</v>
      </c>
      <c r="O305" s="7">
        <f t="shared" si="53"/>
        <v>52755.321428571428</v>
      </c>
      <c r="P305" s="8">
        <f t="shared" si="54"/>
        <v>0.68686909715946054</v>
      </c>
      <c r="Q305" s="7"/>
      <c r="R305" s="7"/>
      <c r="S305" s="7"/>
      <c r="T305" s="7"/>
      <c r="U305" s="7"/>
      <c r="V305" s="7"/>
      <c r="W305" s="7"/>
      <c r="X305" s="3" t="s">
        <v>63</v>
      </c>
      <c r="Y305" s="3"/>
      <c r="Z305" s="9">
        <v>0.53986000000000001</v>
      </c>
      <c r="AA305" s="5">
        <f t="shared" si="50"/>
        <v>-0.31441996317226484</v>
      </c>
      <c r="AB305" s="9">
        <f t="shared" si="52"/>
        <v>0.68216142857142859</v>
      </c>
      <c r="AC305" s="9">
        <f t="shared" si="55"/>
        <v>0.97205892857142862</v>
      </c>
      <c r="AD305" s="8">
        <f t="shared" si="56"/>
        <v>0.7017696237551736</v>
      </c>
      <c r="AE305" s="3" t="s">
        <v>44</v>
      </c>
      <c r="AF305" s="10">
        <f t="shared" si="57"/>
        <v>31715.5</v>
      </c>
      <c r="AG305" s="11">
        <f t="shared" si="58"/>
        <v>0.44508205766896314</v>
      </c>
      <c r="AH305" s="11">
        <f t="shared" si="59"/>
        <v>0.55537785223926384</v>
      </c>
      <c r="AI305" s="3" t="s">
        <v>45</v>
      </c>
      <c r="AJ305" s="3" t="s">
        <v>40</v>
      </c>
      <c r="AK305" s="3" t="s">
        <v>46</v>
      </c>
      <c r="AL305" s="3" t="s">
        <v>47</v>
      </c>
      <c r="AM305" s="3" t="s">
        <v>39</v>
      </c>
    </row>
    <row r="306" spans="1:39" ht="21" customHeight="1">
      <c r="A306" s="4">
        <v>46266</v>
      </c>
      <c r="B306" s="3" t="s">
        <v>39</v>
      </c>
      <c r="C306" s="3" t="s">
        <v>40</v>
      </c>
      <c r="D306" s="4">
        <v>46057</v>
      </c>
      <c r="E306" s="3">
        <v>209</v>
      </c>
      <c r="F306" s="3" t="s">
        <v>57</v>
      </c>
      <c r="G306" s="3" t="s">
        <v>50</v>
      </c>
      <c r="H306" s="3">
        <v>0</v>
      </c>
      <c r="I306" s="7">
        <v>35728</v>
      </c>
      <c r="J306" s="7">
        <v>12926</v>
      </c>
      <c r="K306" s="7">
        <v>22802</v>
      </c>
      <c r="L306" s="5">
        <f t="shared" si="48"/>
        <v>0.36178907299596957</v>
      </c>
      <c r="M306" s="5">
        <f t="shared" si="49"/>
        <v>-1.4019207418037305E-2</v>
      </c>
      <c r="N306" s="7">
        <f t="shared" si="51"/>
        <v>43541.714285714283</v>
      </c>
      <c r="O306" s="7">
        <f t="shared" si="53"/>
        <v>51852.214285714283</v>
      </c>
      <c r="P306" s="8">
        <f t="shared" si="54"/>
        <v>0.68903518378468476</v>
      </c>
      <c r="Q306" s="7"/>
      <c r="R306" s="7"/>
      <c r="S306" s="7"/>
      <c r="T306" s="7"/>
      <c r="U306" s="7"/>
      <c r="V306" s="7"/>
      <c r="W306" s="7"/>
      <c r="X306" s="3" t="s">
        <v>64</v>
      </c>
      <c r="Y306" s="3"/>
      <c r="Z306" s="9">
        <v>0.49249999999999999</v>
      </c>
      <c r="AA306" s="5">
        <f t="shared" si="50"/>
        <v>-8.7726447597525348E-2</v>
      </c>
      <c r="AB306" s="9">
        <f t="shared" si="52"/>
        <v>0.65907857142857129</v>
      </c>
      <c r="AC306" s="9">
        <f t="shared" si="55"/>
        <v>0.95116000000000012</v>
      </c>
      <c r="AD306" s="8">
        <f t="shared" si="56"/>
        <v>0.69292082449700498</v>
      </c>
      <c r="AE306" s="3" t="s">
        <v>44</v>
      </c>
      <c r="AF306" s="10">
        <f t="shared" si="57"/>
        <v>25717.25</v>
      </c>
      <c r="AG306" s="11">
        <f t="shared" si="58"/>
        <v>0.50261983687991518</v>
      </c>
      <c r="AH306" s="11">
        <f t="shared" si="59"/>
        <v>0.51778880524832827</v>
      </c>
      <c r="AI306" s="3" t="s">
        <v>45</v>
      </c>
      <c r="AJ306" s="3" t="s">
        <v>40</v>
      </c>
      <c r="AK306" s="3" t="s">
        <v>46</v>
      </c>
      <c r="AL306" s="3" t="s">
        <v>47</v>
      </c>
      <c r="AM306" s="3" t="s">
        <v>39</v>
      </c>
    </row>
    <row r="307" spans="1:39" ht="21" customHeight="1">
      <c r="A307" s="4">
        <v>46267</v>
      </c>
      <c r="B307" s="3" t="s">
        <v>39</v>
      </c>
      <c r="C307" s="3" t="s">
        <v>40</v>
      </c>
      <c r="D307" s="4">
        <v>46057</v>
      </c>
      <c r="E307" s="3">
        <v>210</v>
      </c>
      <c r="F307" s="3" t="s">
        <v>57</v>
      </c>
      <c r="G307" s="3" t="s">
        <v>51</v>
      </c>
      <c r="H307" s="3">
        <v>0</v>
      </c>
      <c r="I307" s="7">
        <v>36680</v>
      </c>
      <c r="J307" s="7">
        <v>13562</v>
      </c>
      <c r="K307" s="7">
        <v>23118</v>
      </c>
      <c r="L307" s="5">
        <f t="shared" si="48"/>
        <v>0.36973827699018541</v>
      </c>
      <c r="M307" s="5">
        <f t="shared" si="49"/>
        <v>2.6645768025078453E-2</v>
      </c>
      <c r="N307" s="7">
        <f t="shared" si="51"/>
        <v>42709.142857142855</v>
      </c>
      <c r="O307" s="7">
        <f t="shared" si="53"/>
        <v>51034.464285714283</v>
      </c>
      <c r="P307" s="8">
        <f t="shared" si="54"/>
        <v>0.71872998988778591</v>
      </c>
      <c r="Q307" s="7"/>
      <c r="R307" s="7"/>
      <c r="S307" s="7"/>
      <c r="T307" s="7"/>
      <c r="U307" s="7"/>
      <c r="V307" s="7"/>
      <c r="W307" s="7"/>
      <c r="X307" s="3" t="s">
        <v>64</v>
      </c>
      <c r="Y307" s="3"/>
      <c r="Z307" s="9">
        <v>0.46111999999999997</v>
      </c>
      <c r="AA307" s="5">
        <f t="shared" si="50"/>
        <v>-6.3715736040609205E-2</v>
      </c>
      <c r="AB307" s="9">
        <f t="shared" si="52"/>
        <v>0.6257571428571429</v>
      </c>
      <c r="AC307" s="9">
        <f t="shared" si="55"/>
        <v>0.93019785714285719</v>
      </c>
      <c r="AD307" s="8">
        <f t="shared" si="56"/>
        <v>0.67271402320704432</v>
      </c>
      <c r="AE307" s="3" t="s">
        <v>44</v>
      </c>
      <c r="AF307" s="10">
        <f t="shared" si="57"/>
        <v>24175.5</v>
      </c>
      <c r="AG307" s="11">
        <f t="shared" si="58"/>
        <v>0.56098115861099052</v>
      </c>
      <c r="AH307" s="11">
        <f t="shared" si="59"/>
        <v>0.49572249221939718</v>
      </c>
      <c r="AI307" s="3" t="s">
        <v>45</v>
      </c>
      <c r="AJ307" s="3" t="s">
        <v>40</v>
      </c>
      <c r="AK307" s="3" t="s">
        <v>46</v>
      </c>
      <c r="AL307" s="3" t="s">
        <v>47</v>
      </c>
      <c r="AM307" s="3" t="s">
        <v>39</v>
      </c>
    </row>
    <row r="308" spans="1:39" ht="21" customHeight="1">
      <c r="A308" s="4">
        <v>46268</v>
      </c>
      <c r="B308" s="3" t="s">
        <v>39</v>
      </c>
      <c r="C308" s="3" t="s">
        <v>40</v>
      </c>
      <c r="D308" s="4">
        <v>46057</v>
      </c>
      <c r="E308" s="3">
        <v>211</v>
      </c>
      <c r="F308" s="3" t="s">
        <v>57</v>
      </c>
      <c r="G308" s="3" t="s">
        <v>52</v>
      </c>
      <c r="H308" s="3">
        <v>0</v>
      </c>
      <c r="I308" s="7">
        <v>39487</v>
      </c>
      <c r="J308" s="7">
        <v>16054</v>
      </c>
      <c r="K308" s="7">
        <v>23432</v>
      </c>
      <c r="L308" s="5">
        <f t="shared" si="48"/>
        <v>0.40656418568136349</v>
      </c>
      <c r="M308" s="5">
        <f t="shared" si="49"/>
        <v>7.6526717557251933E-2</v>
      </c>
      <c r="N308" s="7">
        <f t="shared" si="51"/>
        <v>42188.142857142855</v>
      </c>
      <c r="O308" s="7">
        <f t="shared" si="53"/>
        <v>50463.107142857145</v>
      </c>
      <c r="P308" s="8">
        <f t="shared" si="54"/>
        <v>0.78249244320638767</v>
      </c>
      <c r="Q308" s="7"/>
      <c r="R308" s="7"/>
      <c r="S308" s="7"/>
      <c r="T308" s="7"/>
      <c r="U308" s="7"/>
      <c r="V308" s="7"/>
      <c r="W308" s="7"/>
      <c r="X308" s="3" t="s">
        <v>64</v>
      </c>
      <c r="Y308" s="3"/>
      <c r="Z308" s="9">
        <v>0.48692000000000002</v>
      </c>
      <c r="AA308" s="5">
        <f t="shared" si="50"/>
        <v>5.5950728660652427E-2</v>
      </c>
      <c r="AB308" s="9">
        <f t="shared" si="52"/>
        <v>0.60667285714285712</v>
      </c>
      <c r="AC308" s="9">
        <f t="shared" si="55"/>
        <v>0.9105660714285716</v>
      </c>
      <c r="AD308" s="8">
        <f t="shared" si="56"/>
        <v>0.66625901862459957</v>
      </c>
      <c r="AE308" s="3" t="s">
        <v>44</v>
      </c>
      <c r="AF308" s="10">
        <f t="shared" si="57"/>
        <v>23542.75</v>
      </c>
      <c r="AG308" s="11">
        <f t="shared" si="58"/>
        <v>0.68190844315128862</v>
      </c>
      <c r="AH308" s="11">
        <f t="shared" si="59"/>
        <v>0.53474428191254653</v>
      </c>
      <c r="AI308" s="3" t="s">
        <v>45</v>
      </c>
      <c r="AJ308" s="3" t="s">
        <v>40</v>
      </c>
      <c r="AK308" s="3" t="s">
        <v>46</v>
      </c>
      <c r="AL308" s="3" t="s">
        <v>47</v>
      </c>
      <c r="AM308" s="3" t="s">
        <v>39</v>
      </c>
    </row>
    <row r="309" spans="1:39" ht="21" customHeight="1">
      <c r="A309" s="4">
        <v>46269</v>
      </c>
      <c r="B309" s="3" t="s">
        <v>39</v>
      </c>
      <c r="C309" s="3" t="s">
        <v>40</v>
      </c>
      <c r="D309" s="4">
        <v>46057</v>
      </c>
      <c r="E309" s="3">
        <v>212</v>
      </c>
      <c r="F309" s="3" t="s">
        <v>57</v>
      </c>
      <c r="G309" s="3" t="s">
        <v>53</v>
      </c>
      <c r="H309" s="3">
        <v>0</v>
      </c>
      <c r="I309" s="7">
        <v>42962</v>
      </c>
      <c r="J309" s="7">
        <v>19632</v>
      </c>
      <c r="K309" s="7">
        <v>23331</v>
      </c>
      <c r="L309" s="5">
        <f t="shared" si="48"/>
        <v>0.4569619663889018</v>
      </c>
      <c r="M309" s="5">
        <f t="shared" si="49"/>
        <v>8.8003646769823085E-2</v>
      </c>
      <c r="N309" s="7">
        <f t="shared" si="51"/>
        <v>41809</v>
      </c>
      <c r="O309" s="7">
        <f t="shared" si="53"/>
        <v>50070</v>
      </c>
      <c r="P309" s="8">
        <f t="shared" si="54"/>
        <v>0.85803874575594163</v>
      </c>
      <c r="Q309" s="7"/>
      <c r="R309" s="7"/>
      <c r="S309" s="7"/>
      <c r="T309" s="7"/>
      <c r="U309" s="7"/>
      <c r="V309" s="7"/>
      <c r="W309" s="7"/>
      <c r="X309" s="3" t="s">
        <v>64</v>
      </c>
      <c r="Y309" s="3"/>
      <c r="Z309" s="9">
        <v>0.55449000000000004</v>
      </c>
      <c r="AA309" s="5">
        <f t="shared" si="50"/>
        <v>0.1387702291957611</v>
      </c>
      <c r="AB309" s="9">
        <f t="shared" si="52"/>
        <v>0.58920428571428574</v>
      </c>
      <c r="AC309" s="9">
        <f t="shared" si="55"/>
        <v>0.88436607142857149</v>
      </c>
      <c r="AD309" s="8">
        <f t="shared" si="56"/>
        <v>0.66624478793324515</v>
      </c>
      <c r="AE309" s="3" t="s">
        <v>44</v>
      </c>
      <c r="AF309" s="10">
        <f t="shared" si="57"/>
        <v>27914.25</v>
      </c>
      <c r="AG309" s="11">
        <f t="shared" si="58"/>
        <v>0.70329670329670335</v>
      </c>
      <c r="AH309" s="11">
        <f t="shared" si="59"/>
        <v>0.6269914890609698</v>
      </c>
      <c r="AI309" s="3" t="s">
        <v>45</v>
      </c>
      <c r="AJ309" s="3" t="s">
        <v>40</v>
      </c>
      <c r="AK309" s="3" t="s">
        <v>46</v>
      </c>
      <c r="AL309" s="3" t="s">
        <v>47</v>
      </c>
      <c r="AM309" s="3" t="s">
        <v>39</v>
      </c>
    </row>
    <row r="310" spans="1:39" ht="21" customHeight="1">
      <c r="A310" s="4">
        <v>46270</v>
      </c>
      <c r="B310" s="3" t="s">
        <v>39</v>
      </c>
      <c r="C310" s="3" t="s">
        <v>40</v>
      </c>
      <c r="D310" s="4">
        <v>46057</v>
      </c>
      <c r="E310" s="3">
        <v>213</v>
      </c>
      <c r="F310" s="3" t="s">
        <v>57</v>
      </c>
      <c r="G310" s="3" t="s">
        <v>42</v>
      </c>
      <c r="H310" s="3">
        <v>1</v>
      </c>
      <c r="I310" s="7">
        <v>55496</v>
      </c>
      <c r="J310" s="7">
        <v>35374</v>
      </c>
      <c r="K310" s="7">
        <v>20122</v>
      </c>
      <c r="L310" s="5">
        <f t="shared" si="48"/>
        <v>0.63741530921147471</v>
      </c>
      <c r="M310" s="5">
        <f t="shared" si="49"/>
        <v>0.29174619431125182</v>
      </c>
      <c r="N310" s="7">
        <f t="shared" si="51"/>
        <v>42210.428571428572</v>
      </c>
      <c r="O310" s="7">
        <f t="shared" si="53"/>
        <v>49631.714285714283</v>
      </c>
      <c r="P310" s="8">
        <f t="shared" si="54"/>
        <v>1.1181560177536254</v>
      </c>
      <c r="Q310" s="7"/>
      <c r="R310" s="7"/>
      <c r="S310" s="7"/>
      <c r="T310" s="7"/>
      <c r="U310" s="7"/>
      <c r="V310" s="7"/>
      <c r="W310" s="7"/>
      <c r="X310" s="3" t="s">
        <v>64</v>
      </c>
      <c r="Y310" s="3"/>
      <c r="Z310" s="9">
        <v>0.74172000000000005</v>
      </c>
      <c r="AA310" s="5">
        <f t="shared" si="50"/>
        <v>0.33766163501596069</v>
      </c>
      <c r="AB310" s="9">
        <f t="shared" si="52"/>
        <v>0.58057999999999998</v>
      </c>
      <c r="AC310" s="9">
        <f t="shared" si="55"/>
        <v>0.85761571428571426</v>
      </c>
      <c r="AD310" s="8">
        <f t="shared" si="56"/>
        <v>0.67696987162082256</v>
      </c>
      <c r="AE310" s="3" t="s">
        <v>44</v>
      </c>
      <c r="AF310" s="10">
        <f t="shared" si="57"/>
        <v>44658.25</v>
      </c>
      <c r="AG310" s="11">
        <f t="shared" si="58"/>
        <v>0.79210448237447728</v>
      </c>
      <c r="AH310" s="11">
        <f t="shared" si="59"/>
        <v>0.86486288397567346</v>
      </c>
      <c r="AI310" s="3" t="s">
        <v>45</v>
      </c>
      <c r="AJ310" s="3" t="s">
        <v>40</v>
      </c>
      <c r="AK310" s="3" t="s">
        <v>46</v>
      </c>
      <c r="AL310" s="3" t="s">
        <v>47</v>
      </c>
      <c r="AM310" s="3" t="s">
        <v>39</v>
      </c>
    </row>
    <row r="311" spans="1:39" ht="21" customHeight="1">
      <c r="A311" s="4">
        <v>46271</v>
      </c>
      <c r="B311" s="3" t="s">
        <v>39</v>
      </c>
      <c r="C311" s="3" t="s">
        <v>40</v>
      </c>
      <c r="D311" s="4">
        <v>46057</v>
      </c>
      <c r="E311" s="3">
        <v>214</v>
      </c>
      <c r="F311" s="3" t="s">
        <v>57</v>
      </c>
      <c r="G311" s="3" t="s">
        <v>48</v>
      </c>
      <c r="H311" s="3">
        <v>1</v>
      </c>
      <c r="I311" s="7">
        <v>49455</v>
      </c>
      <c r="J311" s="7">
        <v>29764</v>
      </c>
      <c r="K311" s="7">
        <v>19691</v>
      </c>
      <c r="L311" s="5">
        <f t="shared" si="48"/>
        <v>0.6018400566171267</v>
      </c>
      <c r="M311" s="5">
        <f t="shared" si="49"/>
        <v>-0.1088546922300706</v>
      </c>
      <c r="N311" s="7">
        <f t="shared" si="51"/>
        <v>42292</v>
      </c>
      <c r="O311" s="7">
        <f t="shared" si="53"/>
        <v>49243.214285714283</v>
      </c>
      <c r="P311" s="8">
        <f t="shared" si="54"/>
        <v>1.0043008101188706</v>
      </c>
      <c r="Q311" s="7"/>
      <c r="R311" s="7"/>
      <c r="S311" s="7"/>
      <c r="T311" s="7"/>
      <c r="U311" s="7"/>
      <c r="V311" s="7"/>
      <c r="W311" s="7"/>
      <c r="X311" s="3" t="s">
        <v>64</v>
      </c>
      <c r="Y311" s="3"/>
      <c r="Z311" s="9">
        <v>0.77615000000000001</v>
      </c>
      <c r="AA311" s="5">
        <f t="shared" si="50"/>
        <v>4.6419133904977539E-2</v>
      </c>
      <c r="AB311" s="9">
        <f t="shared" si="52"/>
        <v>0.57896571428571431</v>
      </c>
      <c r="AC311" s="9">
        <f t="shared" si="55"/>
        <v>0.82886357142857148</v>
      </c>
      <c r="AD311" s="8">
        <f t="shared" si="56"/>
        <v>0.69850544075407894</v>
      </c>
      <c r="AE311" s="3" t="s">
        <v>44</v>
      </c>
      <c r="AF311" s="10">
        <f t="shared" si="57"/>
        <v>41991</v>
      </c>
      <c r="AG311" s="11">
        <f t="shared" si="58"/>
        <v>0.70881855635731461</v>
      </c>
      <c r="AH311" s="11">
        <f t="shared" si="59"/>
        <v>0.93640259598124453</v>
      </c>
      <c r="AI311" s="3" t="s">
        <v>45</v>
      </c>
      <c r="AJ311" s="3" t="s">
        <v>40</v>
      </c>
      <c r="AK311" s="3" t="s">
        <v>46</v>
      </c>
      <c r="AL311" s="3" t="s">
        <v>47</v>
      </c>
      <c r="AM311" s="3" t="s">
        <v>39</v>
      </c>
    </row>
    <row r="312" spans="1:39" ht="21" customHeight="1">
      <c r="A312" s="4">
        <v>46272</v>
      </c>
      <c r="B312" s="3" t="s">
        <v>39</v>
      </c>
      <c r="C312" s="3" t="s">
        <v>40</v>
      </c>
      <c r="D312" s="4">
        <v>46057</v>
      </c>
      <c r="E312" s="3">
        <v>215</v>
      </c>
      <c r="F312" s="3" t="s">
        <v>57</v>
      </c>
      <c r="G312" s="3" t="s">
        <v>49</v>
      </c>
      <c r="H312" s="3">
        <v>0</v>
      </c>
      <c r="I312" s="7">
        <v>38924</v>
      </c>
      <c r="J312" s="7">
        <v>15550</v>
      </c>
      <c r="K312" s="7">
        <v>23373</v>
      </c>
      <c r="L312" s="5">
        <f t="shared" si="48"/>
        <v>0.39949645462953448</v>
      </c>
      <c r="M312" s="5">
        <f t="shared" si="49"/>
        <v>-0.21294105752704484</v>
      </c>
      <c r="N312" s="7">
        <f t="shared" si="51"/>
        <v>42676</v>
      </c>
      <c r="O312" s="7">
        <f t="shared" si="53"/>
        <v>48741.964285714283</v>
      </c>
      <c r="P312" s="8">
        <f t="shared" si="54"/>
        <v>0.79857265849682191</v>
      </c>
      <c r="Q312" s="7"/>
      <c r="R312" s="7"/>
      <c r="S312" s="7"/>
      <c r="T312" s="7"/>
      <c r="U312" s="7"/>
      <c r="V312" s="7"/>
      <c r="W312" s="7"/>
      <c r="X312" s="3" t="s">
        <v>64</v>
      </c>
      <c r="Y312" s="3"/>
      <c r="Z312" s="9">
        <v>0.56566000000000005</v>
      </c>
      <c r="AA312" s="5">
        <f t="shared" si="50"/>
        <v>-0.27119757778779874</v>
      </c>
      <c r="AB312" s="9">
        <f t="shared" si="52"/>
        <v>0.58265142857142849</v>
      </c>
      <c r="AC312" s="9">
        <f t="shared" si="55"/>
        <v>0.80597571428571446</v>
      </c>
      <c r="AD312" s="8">
        <f t="shared" si="56"/>
        <v>0.72291437352773813</v>
      </c>
      <c r="AE312" s="3" t="s">
        <v>44</v>
      </c>
      <c r="AF312" s="10">
        <f t="shared" si="57"/>
        <v>25275.5</v>
      </c>
      <c r="AG312" s="11">
        <f t="shared" si="58"/>
        <v>0.61522027259599221</v>
      </c>
      <c r="AH312" s="11">
        <f t="shared" si="59"/>
        <v>0.70183256142067374</v>
      </c>
      <c r="AI312" s="3" t="s">
        <v>45</v>
      </c>
      <c r="AJ312" s="3" t="s">
        <v>40</v>
      </c>
      <c r="AK312" s="3" t="s">
        <v>46</v>
      </c>
      <c r="AL312" s="3" t="s">
        <v>47</v>
      </c>
      <c r="AM312" s="3" t="s">
        <v>39</v>
      </c>
    </row>
    <row r="313" spans="1:39" ht="21" customHeight="1">
      <c r="A313" s="4">
        <v>46273</v>
      </c>
      <c r="B313" s="3" t="s">
        <v>39</v>
      </c>
      <c r="C313" s="3" t="s">
        <v>40</v>
      </c>
      <c r="D313" s="4">
        <v>46057</v>
      </c>
      <c r="E313" s="3">
        <v>216</v>
      </c>
      <c r="F313" s="3" t="s">
        <v>57</v>
      </c>
      <c r="G313" s="3" t="s">
        <v>50</v>
      </c>
      <c r="H313" s="3">
        <v>0</v>
      </c>
      <c r="I313" s="7">
        <v>41422</v>
      </c>
      <c r="J313" s="7">
        <v>17832</v>
      </c>
      <c r="K313" s="7">
        <v>23590</v>
      </c>
      <c r="L313" s="5">
        <f t="shared" si="48"/>
        <v>0.43049587175896864</v>
      </c>
      <c r="M313" s="5">
        <f t="shared" si="49"/>
        <v>6.4176343644024358E-2</v>
      </c>
      <c r="N313" s="7">
        <f t="shared" si="51"/>
        <v>43489.428571428572</v>
      </c>
      <c r="O313" s="7">
        <f t="shared" si="53"/>
        <v>48463.464285714283</v>
      </c>
      <c r="P313" s="8">
        <f t="shared" si="54"/>
        <v>0.85470571719343813</v>
      </c>
      <c r="Q313" s="7"/>
      <c r="R313" s="7"/>
      <c r="S313" s="7"/>
      <c r="T313" s="7"/>
      <c r="U313" s="7"/>
      <c r="V313" s="7"/>
      <c r="W313" s="7"/>
      <c r="X313" s="3" t="s">
        <v>64</v>
      </c>
      <c r="Y313" s="3"/>
      <c r="Z313" s="9">
        <v>0.61528000000000005</v>
      </c>
      <c r="AA313" s="5">
        <f t="shared" si="50"/>
        <v>8.7720538839585638E-2</v>
      </c>
      <c r="AB313" s="9">
        <f t="shared" si="52"/>
        <v>0.6001914285714286</v>
      </c>
      <c r="AC313" s="9">
        <f t="shared" si="55"/>
        <v>0.7916200000000001</v>
      </c>
      <c r="AD313" s="8">
        <f t="shared" si="56"/>
        <v>0.75818123414192229</v>
      </c>
      <c r="AE313" s="3" t="s">
        <v>44</v>
      </c>
      <c r="AF313" s="10">
        <f t="shared" si="57"/>
        <v>19711.25</v>
      </c>
      <c r="AG313" s="11">
        <f t="shared" si="58"/>
        <v>0.90466104382015344</v>
      </c>
      <c r="AH313" s="11">
        <f t="shared" si="59"/>
        <v>0.77724160582097468</v>
      </c>
      <c r="AI313" s="3" t="s">
        <v>45</v>
      </c>
      <c r="AJ313" s="3" t="s">
        <v>40</v>
      </c>
      <c r="AK313" s="3" t="s">
        <v>46</v>
      </c>
      <c r="AL313" s="3" t="s">
        <v>47</v>
      </c>
      <c r="AM313" s="3" t="s">
        <v>39</v>
      </c>
    </row>
    <row r="314" spans="1:39" ht="21" customHeight="1">
      <c r="A314" s="4">
        <v>46274</v>
      </c>
      <c r="B314" s="3" t="s">
        <v>39</v>
      </c>
      <c r="C314" s="3" t="s">
        <v>40</v>
      </c>
      <c r="D314" s="4">
        <v>46057</v>
      </c>
      <c r="E314" s="3">
        <v>217</v>
      </c>
      <c r="F314" s="3" t="s">
        <v>57</v>
      </c>
      <c r="G314" s="3" t="s">
        <v>51</v>
      </c>
      <c r="H314" s="3">
        <v>0</v>
      </c>
      <c r="I314" s="7">
        <v>40674</v>
      </c>
      <c r="J314" s="7">
        <v>17038</v>
      </c>
      <c r="K314" s="7">
        <v>23636</v>
      </c>
      <c r="L314" s="5">
        <f t="shared" si="48"/>
        <v>0.41889167527167231</v>
      </c>
      <c r="M314" s="5">
        <f t="shared" si="49"/>
        <v>-1.8058036792042875E-2</v>
      </c>
      <c r="N314" s="7">
        <f t="shared" si="51"/>
        <v>44060</v>
      </c>
      <c r="O314" s="7">
        <f t="shared" si="53"/>
        <v>48254.964285714283</v>
      </c>
      <c r="P314" s="8">
        <f t="shared" si="54"/>
        <v>0.84289773294975578</v>
      </c>
      <c r="Q314" s="7"/>
      <c r="R314" s="7"/>
      <c r="S314" s="7"/>
      <c r="T314" s="7"/>
      <c r="U314" s="7"/>
      <c r="V314" s="7"/>
      <c r="W314" s="7"/>
      <c r="X314" s="3" t="s">
        <v>64</v>
      </c>
      <c r="Y314" s="3"/>
      <c r="Z314" s="9">
        <v>0.76554</v>
      </c>
      <c r="AA314" s="5">
        <f t="shared" si="50"/>
        <v>0.24421401638278506</v>
      </c>
      <c r="AB314" s="9">
        <f t="shared" si="52"/>
        <v>0.64367999999999992</v>
      </c>
      <c r="AC314" s="9">
        <f t="shared" si="55"/>
        <v>0.78328500000000012</v>
      </c>
      <c r="AD314" s="8">
        <f t="shared" si="56"/>
        <v>0.82176985388460111</v>
      </c>
      <c r="AE314" s="3" t="s">
        <v>44</v>
      </c>
      <c r="AF314" s="10">
        <f t="shared" si="57"/>
        <v>19906.25</v>
      </c>
      <c r="AG314" s="11">
        <f t="shared" si="58"/>
        <v>0.85591208791208795</v>
      </c>
      <c r="AH314" s="11">
        <f t="shared" si="59"/>
        <v>0.97734541067427549</v>
      </c>
      <c r="AI314" s="3" t="s">
        <v>45</v>
      </c>
      <c r="AJ314" s="3" t="s">
        <v>40</v>
      </c>
      <c r="AK314" s="3" t="s">
        <v>46</v>
      </c>
      <c r="AL314" s="3" t="s">
        <v>47</v>
      </c>
      <c r="AM314" s="3" t="s">
        <v>39</v>
      </c>
    </row>
    <row r="315" spans="1:39" ht="21" customHeight="1">
      <c r="A315" s="4">
        <v>46275</v>
      </c>
      <c r="B315" s="3" t="s">
        <v>39</v>
      </c>
      <c r="C315" s="3" t="s">
        <v>40</v>
      </c>
      <c r="D315" s="4">
        <v>46057</v>
      </c>
      <c r="E315" s="3">
        <v>218</v>
      </c>
      <c r="F315" s="3" t="s">
        <v>57</v>
      </c>
      <c r="G315" s="3" t="s">
        <v>52</v>
      </c>
      <c r="H315" s="3">
        <v>0</v>
      </c>
      <c r="I315" s="7">
        <v>40453</v>
      </c>
      <c r="J315" s="7">
        <v>17031</v>
      </c>
      <c r="K315" s="7">
        <v>23422</v>
      </c>
      <c r="L315" s="5">
        <f t="shared" si="48"/>
        <v>0.42100709465305414</v>
      </c>
      <c r="M315" s="5">
        <f t="shared" si="49"/>
        <v>-5.4334464276933891E-3</v>
      </c>
      <c r="N315" s="7">
        <f t="shared" si="51"/>
        <v>44198</v>
      </c>
      <c r="O315" s="7">
        <f t="shared" si="53"/>
        <v>48004.107142857145</v>
      </c>
      <c r="P315" s="8">
        <f t="shared" si="54"/>
        <v>0.84269872741543683</v>
      </c>
      <c r="Q315" s="7"/>
      <c r="R315" s="7"/>
      <c r="S315" s="7"/>
      <c r="T315" s="7"/>
      <c r="U315" s="7"/>
      <c r="V315" s="7"/>
      <c r="W315" s="7"/>
      <c r="X315" s="3" t="s">
        <v>64</v>
      </c>
      <c r="Y315" s="3"/>
      <c r="Z315" s="9">
        <v>0.50897000000000003</v>
      </c>
      <c r="AA315" s="5">
        <f t="shared" si="50"/>
        <v>-0.33514904511847843</v>
      </c>
      <c r="AB315" s="9">
        <f t="shared" si="52"/>
        <v>0.64682999999999991</v>
      </c>
      <c r="AC315" s="9">
        <f t="shared" si="55"/>
        <v>0.78050071428571444</v>
      </c>
      <c r="AD315" s="8">
        <f t="shared" si="56"/>
        <v>0.82873723003822608</v>
      </c>
      <c r="AE315" s="3" t="s">
        <v>44</v>
      </c>
      <c r="AF315" s="10">
        <f t="shared" si="57"/>
        <v>20432.75</v>
      </c>
      <c r="AG315" s="11">
        <f t="shared" si="58"/>
        <v>0.83351482301697033</v>
      </c>
      <c r="AH315" s="11">
        <f t="shared" si="59"/>
        <v>0.65210702653333341</v>
      </c>
      <c r="AI315" s="3" t="s">
        <v>45</v>
      </c>
      <c r="AJ315" s="3" t="s">
        <v>40</v>
      </c>
      <c r="AK315" s="3" t="s">
        <v>46</v>
      </c>
      <c r="AL315" s="3" t="s">
        <v>47</v>
      </c>
      <c r="AM315" s="3" t="s">
        <v>39</v>
      </c>
    </row>
    <row r="316" spans="1:39" ht="21" customHeight="1">
      <c r="A316" s="4">
        <v>46276</v>
      </c>
      <c r="B316" s="3" t="s">
        <v>39</v>
      </c>
      <c r="C316" s="3" t="s">
        <v>40</v>
      </c>
      <c r="D316" s="4">
        <v>46057</v>
      </c>
      <c r="E316" s="3">
        <v>219</v>
      </c>
      <c r="F316" s="3" t="s">
        <v>57</v>
      </c>
      <c r="G316" s="3" t="s">
        <v>53</v>
      </c>
      <c r="H316" s="3">
        <v>0</v>
      </c>
      <c r="I316" s="7">
        <v>44828</v>
      </c>
      <c r="J316" s="7">
        <v>20881</v>
      </c>
      <c r="K316" s="7">
        <v>23947</v>
      </c>
      <c r="L316" s="5">
        <f t="shared" si="48"/>
        <v>0.46580262336039974</v>
      </c>
      <c r="M316" s="5">
        <f t="shared" si="49"/>
        <v>0.10815019899636624</v>
      </c>
      <c r="N316" s="7">
        <f t="shared" si="51"/>
        <v>44464.571428571428</v>
      </c>
      <c r="O316" s="7">
        <f t="shared" si="53"/>
        <v>47713.357142857145</v>
      </c>
      <c r="P316" s="8">
        <f t="shared" si="54"/>
        <v>0.93952726624919347</v>
      </c>
      <c r="Q316" s="7"/>
      <c r="R316" s="7"/>
      <c r="S316" s="7"/>
      <c r="T316" s="7"/>
      <c r="U316" s="7"/>
      <c r="V316" s="7"/>
      <c r="W316" s="7"/>
      <c r="X316" s="3" t="s">
        <v>64</v>
      </c>
      <c r="Y316" s="3"/>
      <c r="Z316" s="9">
        <v>0.54593999999999998</v>
      </c>
      <c r="AA316" s="5">
        <f t="shared" si="50"/>
        <v>7.2636894119496143E-2</v>
      </c>
      <c r="AB316" s="9">
        <f t="shared" si="52"/>
        <v>0.64560857142857142</v>
      </c>
      <c r="AC316" s="9">
        <f t="shared" si="55"/>
        <v>0.76810607142857168</v>
      </c>
      <c r="AD316" s="8">
        <f t="shared" si="56"/>
        <v>0.8405200732599708</v>
      </c>
      <c r="AE316" s="3" t="s">
        <v>44</v>
      </c>
      <c r="AF316" s="10">
        <f t="shared" si="57"/>
        <v>24445.75</v>
      </c>
      <c r="AG316" s="11">
        <f t="shared" si="58"/>
        <v>0.85417710644999645</v>
      </c>
      <c r="AH316" s="11">
        <f t="shared" si="59"/>
        <v>0.7107612090406038</v>
      </c>
      <c r="AI316" s="3" t="s">
        <v>45</v>
      </c>
      <c r="AJ316" s="3" t="s">
        <v>40</v>
      </c>
      <c r="AK316" s="3" t="s">
        <v>46</v>
      </c>
      <c r="AL316" s="3" t="s">
        <v>47</v>
      </c>
      <c r="AM316" s="3" t="s">
        <v>39</v>
      </c>
    </row>
    <row r="317" spans="1:39" ht="21" customHeight="1">
      <c r="A317" s="4">
        <v>46023</v>
      </c>
      <c r="B317" s="3" t="s">
        <v>65</v>
      </c>
      <c r="C317" s="3" t="s">
        <v>66</v>
      </c>
      <c r="D317" s="4">
        <v>46120</v>
      </c>
      <c r="E317" s="3">
        <v>-97</v>
      </c>
      <c r="F317" s="3" t="s">
        <v>41</v>
      </c>
      <c r="G317" s="3" t="s">
        <v>52</v>
      </c>
      <c r="H317" s="3">
        <v>0</v>
      </c>
      <c r="I317" s="7">
        <v>97664</v>
      </c>
      <c r="J317" s="7">
        <v>54708</v>
      </c>
      <c r="K317" s="7">
        <v>42956</v>
      </c>
      <c r="L317" s="5">
        <f t="shared" si="48"/>
        <v>0.56016546526867628</v>
      </c>
      <c r="M317" s="5" t="str">
        <f t="shared" si="49"/>
        <v/>
      </c>
      <c r="N317" s="7"/>
      <c r="O317" s="7"/>
      <c r="P317" s="8"/>
      <c r="Q317" s="7"/>
      <c r="R317" s="7"/>
      <c r="S317" s="7"/>
      <c r="T317" s="7"/>
      <c r="U317" s="7"/>
      <c r="V317" s="7"/>
      <c r="W317" s="7"/>
      <c r="X317" s="3" t="s">
        <v>67</v>
      </c>
      <c r="Y317" s="3"/>
      <c r="Z317" s="9">
        <v>4.5659999999999999E-2</v>
      </c>
      <c r="AA317" s="5"/>
      <c r="AB317" s="9"/>
      <c r="AC317" s="9"/>
      <c r="AD317" s="8"/>
      <c r="AE317" s="3" t="s">
        <v>44</v>
      </c>
      <c r="AF317" s="10"/>
      <c r="AG317" s="11"/>
      <c r="AH317" s="11"/>
      <c r="AI317" s="3" t="s">
        <v>45</v>
      </c>
      <c r="AJ317" s="3" t="s">
        <v>66</v>
      </c>
      <c r="AK317" s="3" t="s">
        <v>46</v>
      </c>
      <c r="AL317" s="3" t="s">
        <v>68</v>
      </c>
      <c r="AM317" s="3" t="s">
        <v>65</v>
      </c>
    </row>
    <row r="318" spans="1:39" ht="21" customHeight="1">
      <c r="A318" s="4">
        <v>46024</v>
      </c>
      <c r="B318" s="3" t="s">
        <v>65</v>
      </c>
      <c r="C318" s="3" t="s">
        <v>66</v>
      </c>
      <c r="D318" s="4">
        <v>46120</v>
      </c>
      <c r="E318" s="3">
        <v>-96</v>
      </c>
      <c r="F318" s="3" t="s">
        <v>41</v>
      </c>
      <c r="G318" s="3" t="s">
        <v>53</v>
      </c>
      <c r="H318" s="3">
        <v>0</v>
      </c>
      <c r="I318" s="7">
        <v>87748</v>
      </c>
      <c r="J318" s="7">
        <v>39207</v>
      </c>
      <c r="K318" s="7">
        <v>48542</v>
      </c>
      <c r="L318" s="5">
        <f t="shared" si="48"/>
        <v>0.44681360258923281</v>
      </c>
      <c r="M318" s="5">
        <f t="shared" si="49"/>
        <v>-0.10153178243774574</v>
      </c>
      <c r="N318" s="7"/>
      <c r="O318" s="7"/>
      <c r="P318" s="8"/>
      <c r="Q318" s="7"/>
      <c r="R318" s="7"/>
      <c r="S318" s="7"/>
      <c r="T318" s="7"/>
      <c r="U318" s="7"/>
      <c r="V318" s="7"/>
      <c r="W318" s="7"/>
      <c r="X318" s="3" t="s">
        <v>67</v>
      </c>
      <c r="Y318" s="3"/>
      <c r="Z318" s="9">
        <v>0.30292999999999998</v>
      </c>
      <c r="AA318" s="5">
        <f t="shared" ref="AA318:AA381" si="60">IFERROR(Z318/Z317-1,"")</f>
        <v>5.6344721857205426</v>
      </c>
      <c r="AB318" s="9"/>
      <c r="AC318" s="9"/>
      <c r="AD318" s="8"/>
      <c r="AE318" s="3" t="s">
        <v>44</v>
      </c>
      <c r="AF318" s="10"/>
      <c r="AG318" s="11"/>
      <c r="AH318" s="11"/>
      <c r="AI318" s="3" t="s">
        <v>45</v>
      </c>
      <c r="AJ318" s="3" t="s">
        <v>66</v>
      </c>
      <c r="AK318" s="3" t="s">
        <v>46</v>
      </c>
      <c r="AL318" s="3" t="s">
        <v>68</v>
      </c>
      <c r="AM318" s="3" t="s">
        <v>65</v>
      </c>
    </row>
    <row r="319" spans="1:39" ht="21" customHeight="1">
      <c r="A319" s="4">
        <v>46025</v>
      </c>
      <c r="B319" s="3" t="s">
        <v>65</v>
      </c>
      <c r="C319" s="3" t="s">
        <v>66</v>
      </c>
      <c r="D319" s="4">
        <v>46120</v>
      </c>
      <c r="E319" s="3">
        <v>-95</v>
      </c>
      <c r="F319" s="3" t="s">
        <v>41</v>
      </c>
      <c r="G319" s="3" t="s">
        <v>42</v>
      </c>
      <c r="H319" s="3">
        <v>1</v>
      </c>
      <c r="I319" s="7">
        <v>96033</v>
      </c>
      <c r="J319" s="7">
        <v>52052</v>
      </c>
      <c r="K319" s="7">
        <v>43981</v>
      </c>
      <c r="L319" s="5">
        <f t="shared" si="48"/>
        <v>0.54202201326627308</v>
      </c>
      <c r="M319" s="5">
        <f t="shared" si="49"/>
        <v>9.4418106395587342E-2</v>
      </c>
      <c r="N319" s="7"/>
      <c r="O319" s="7"/>
      <c r="P319" s="8"/>
      <c r="Q319" s="7"/>
      <c r="R319" s="7"/>
      <c r="S319" s="7"/>
      <c r="T319" s="7"/>
      <c r="U319" s="7"/>
      <c r="V319" s="7"/>
      <c r="W319" s="7"/>
      <c r="X319" s="3" t="s">
        <v>67</v>
      </c>
      <c r="Y319" s="3"/>
      <c r="Z319" s="9">
        <v>0.24278</v>
      </c>
      <c r="AA319" s="5">
        <f t="shared" si="60"/>
        <v>-0.19856072359951138</v>
      </c>
      <c r="AB319" s="9"/>
      <c r="AC319" s="9"/>
      <c r="AD319" s="8"/>
      <c r="AE319" s="3" t="s">
        <v>44</v>
      </c>
      <c r="AF319" s="10"/>
      <c r="AG319" s="11"/>
      <c r="AH319" s="11"/>
      <c r="AI319" s="3" t="s">
        <v>45</v>
      </c>
      <c r="AJ319" s="3" t="s">
        <v>66</v>
      </c>
      <c r="AK319" s="3" t="s">
        <v>46</v>
      </c>
      <c r="AL319" s="3" t="s">
        <v>68</v>
      </c>
      <c r="AM319" s="3" t="s">
        <v>65</v>
      </c>
    </row>
    <row r="320" spans="1:39" ht="21" customHeight="1">
      <c r="A320" s="4">
        <v>46026</v>
      </c>
      <c r="B320" s="3" t="s">
        <v>65</v>
      </c>
      <c r="C320" s="3" t="s">
        <v>66</v>
      </c>
      <c r="D320" s="4">
        <v>46120</v>
      </c>
      <c r="E320" s="3">
        <v>-94</v>
      </c>
      <c r="F320" s="3" t="s">
        <v>41</v>
      </c>
      <c r="G320" s="3" t="s">
        <v>48</v>
      </c>
      <c r="H320" s="3">
        <v>1</v>
      </c>
      <c r="I320" s="7">
        <v>90856</v>
      </c>
      <c r="J320" s="7">
        <v>47138</v>
      </c>
      <c r="K320" s="7">
        <v>43718</v>
      </c>
      <c r="L320" s="5">
        <f t="shared" si="48"/>
        <v>0.51882099145901206</v>
      </c>
      <c r="M320" s="5">
        <f t="shared" si="49"/>
        <v>-5.3908552268491006E-2</v>
      </c>
      <c r="N320" s="7"/>
      <c r="O320" s="7"/>
      <c r="P320" s="8"/>
      <c r="Q320" s="7"/>
      <c r="R320" s="7"/>
      <c r="S320" s="7"/>
      <c r="T320" s="7"/>
      <c r="U320" s="7"/>
      <c r="V320" s="7"/>
      <c r="W320" s="7"/>
      <c r="X320" s="3" t="s">
        <v>67</v>
      </c>
      <c r="Y320" s="3"/>
      <c r="Z320" s="9">
        <v>0.11754000000000001</v>
      </c>
      <c r="AA320" s="5">
        <f t="shared" si="60"/>
        <v>-0.51585797841667347</v>
      </c>
      <c r="AB320" s="9"/>
      <c r="AC320" s="9"/>
      <c r="AD320" s="8"/>
      <c r="AE320" s="3" t="s">
        <v>44</v>
      </c>
      <c r="AF320" s="10"/>
      <c r="AG320" s="11"/>
      <c r="AH320" s="11"/>
      <c r="AI320" s="3" t="s">
        <v>45</v>
      </c>
      <c r="AJ320" s="3" t="s">
        <v>66</v>
      </c>
      <c r="AK320" s="3" t="s">
        <v>46</v>
      </c>
      <c r="AL320" s="3" t="s">
        <v>68</v>
      </c>
      <c r="AM320" s="3" t="s">
        <v>65</v>
      </c>
    </row>
    <row r="321" spans="1:39" ht="21" customHeight="1">
      <c r="A321" s="4">
        <v>46027</v>
      </c>
      <c r="B321" s="3" t="s">
        <v>65</v>
      </c>
      <c r="C321" s="3" t="s">
        <v>66</v>
      </c>
      <c r="D321" s="4">
        <v>46120</v>
      </c>
      <c r="E321" s="3">
        <v>-93</v>
      </c>
      <c r="F321" s="3" t="s">
        <v>41</v>
      </c>
      <c r="G321" s="3" t="s">
        <v>49</v>
      </c>
      <c r="H321" s="3">
        <v>0</v>
      </c>
      <c r="I321" s="7">
        <v>80710</v>
      </c>
      <c r="J321" s="7">
        <v>30744</v>
      </c>
      <c r="K321" s="7">
        <v>49966</v>
      </c>
      <c r="L321" s="5">
        <f t="shared" si="48"/>
        <v>0.38091934084995666</v>
      </c>
      <c r="M321" s="5">
        <f t="shared" si="49"/>
        <v>-0.1116712159901383</v>
      </c>
      <c r="N321" s="7"/>
      <c r="O321" s="7"/>
      <c r="P321" s="8"/>
      <c r="Q321" s="7"/>
      <c r="R321" s="7"/>
      <c r="S321" s="7"/>
      <c r="T321" s="7"/>
      <c r="U321" s="7"/>
      <c r="V321" s="7"/>
      <c r="W321" s="7"/>
      <c r="X321" s="3" t="s">
        <v>67</v>
      </c>
      <c r="Y321" s="3"/>
      <c r="Z321" s="9">
        <v>7.8520000000000006E-2</v>
      </c>
      <c r="AA321" s="5">
        <f t="shared" si="60"/>
        <v>-0.33197209460609156</v>
      </c>
      <c r="AB321" s="9"/>
      <c r="AC321" s="9"/>
      <c r="AD321" s="8"/>
      <c r="AE321" s="3" t="s">
        <v>44</v>
      </c>
      <c r="AF321" s="10"/>
      <c r="AG321" s="11"/>
      <c r="AH321" s="11"/>
      <c r="AI321" s="3" t="s">
        <v>45</v>
      </c>
      <c r="AJ321" s="3" t="s">
        <v>66</v>
      </c>
      <c r="AK321" s="3" t="s">
        <v>46</v>
      </c>
      <c r="AL321" s="3" t="s">
        <v>68</v>
      </c>
      <c r="AM321" s="3" t="s">
        <v>65</v>
      </c>
    </row>
    <row r="322" spans="1:39" ht="21" customHeight="1">
      <c r="A322" s="4">
        <v>46028</v>
      </c>
      <c r="B322" s="3" t="s">
        <v>65</v>
      </c>
      <c r="C322" s="3" t="s">
        <v>66</v>
      </c>
      <c r="D322" s="4">
        <v>46120</v>
      </c>
      <c r="E322" s="3">
        <v>-92</v>
      </c>
      <c r="F322" s="3" t="s">
        <v>41</v>
      </c>
      <c r="G322" s="3" t="s">
        <v>50</v>
      </c>
      <c r="H322" s="3">
        <v>0</v>
      </c>
      <c r="I322" s="7">
        <v>81592</v>
      </c>
      <c r="J322" s="7">
        <v>31174</v>
      </c>
      <c r="K322" s="7">
        <v>50418</v>
      </c>
      <c r="L322" s="5">
        <f t="shared" ref="L322:L385" si="61">IFERROR(J322/I322,"")</f>
        <v>0.3820717717423277</v>
      </c>
      <c r="M322" s="5">
        <f t="shared" si="49"/>
        <v>1.0928013876843057E-2</v>
      </c>
      <c r="N322" s="7"/>
      <c r="O322" s="7"/>
      <c r="P322" s="8"/>
      <c r="Q322" s="7"/>
      <c r="R322" s="7"/>
      <c r="S322" s="7"/>
      <c r="T322" s="7"/>
      <c r="U322" s="7"/>
      <c r="V322" s="7"/>
      <c r="W322" s="7"/>
      <c r="X322" s="3" t="s">
        <v>67</v>
      </c>
      <c r="Y322" s="3"/>
      <c r="Z322" s="9">
        <v>5.2159999999999998E-2</v>
      </c>
      <c r="AA322" s="5">
        <f t="shared" si="60"/>
        <v>-0.33571064696892516</v>
      </c>
      <c r="AB322" s="9"/>
      <c r="AC322" s="9"/>
      <c r="AD322" s="8"/>
      <c r="AE322" s="3" t="s">
        <v>44</v>
      </c>
      <c r="AF322" s="10"/>
      <c r="AG322" s="11"/>
      <c r="AH322" s="11"/>
      <c r="AI322" s="3" t="s">
        <v>45</v>
      </c>
      <c r="AJ322" s="3" t="s">
        <v>66</v>
      </c>
      <c r="AK322" s="3" t="s">
        <v>46</v>
      </c>
      <c r="AL322" s="3" t="s">
        <v>68</v>
      </c>
      <c r="AM322" s="3" t="s">
        <v>65</v>
      </c>
    </row>
    <row r="323" spans="1:39" ht="21" customHeight="1">
      <c r="A323" s="4">
        <v>46029</v>
      </c>
      <c r="B323" s="3" t="s">
        <v>65</v>
      </c>
      <c r="C323" s="3" t="s">
        <v>66</v>
      </c>
      <c r="D323" s="4">
        <v>46120</v>
      </c>
      <c r="E323" s="3">
        <v>-91</v>
      </c>
      <c r="F323" s="3" t="s">
        <v>41</v>
      </c>
      <c r="G323" s="3" t="s">
        <v>51</v>
      </c>
      <c r="H323" s="3">
        <v>0</v>
      </c>
      <c r="I323" s="7">
        <v>81196</v>
      </c>
      <c r="J323" s="7">
        <v>31336</v>
      </c>
      <c r="K323" s="7">
        <v>49861</v>
      </c>
      <c r="L323" s="5">
        <f t="shared" si="61"/>
        <v>0.38593034139612786</v>
      </c>
      <c r="M323" s="5">
        <f t="shared" ref="M323:M386" si="62">IF(AND(C323=C322,A323=A322+1),IFERROR(I323/I322-1,""),"")</f>
        <v>-4.8534170016668599E-3</v>
      </c>
      <c r="N323" s="7">
        <f t="shared" ref="N323:N386" si="63">AVERAGE(I317:I323)</f>
        <v>87971.28571428571</v>
      </c>
      <c r="O323" s="7"/>
      <c r="P323" s="8"/>
      <c r="Q323" s="7"/>
      <c r="R323" s="7"/>
      <c r="S323" s="7"/>
      <c r="T323" s="7"/>
      <c r="U323" s="7"/>
      <c r="V323" s="7"/>
      <c r="W323" s="7"/>
      <c r="X323" s="3" t="s">
        <v>67</v>
      </c>
      <c r="Y323" s="3"/>
      <c r="Z323" s="9">
        <v>4.0419999999999998E-2</v>
      </c>
      <c r="AA323" s="5">
        <f t="shared" si="60"/>
        <v>-0.22507668711656448</v>
      </c>
      <c r="AB323" s="9">
        <f t="shared" ref="AB323:AB386" si="64">AVERAGE(Z317:Z323)</f>
        <v>0.12571571428571429</v>
      </c>
      <c r="AC323" s="9"/>
      <c r="AD323" s="8"/>
      <c r="AE323" s="3" t="s">
        <v>44</v>
      </c>
      <c r="AF323" s="10"/>
      <c r="AG323" s="11"/>
      <c r="AH323" s="11"/>
      <c r="AI323" s="3" t="s">
        <v>45</v>
      </c>
      <c r="AJ323" s="3" t="s">
        <v>66</v>
      </c>
      <c r="AK323" s="3" t="s">
        <v>46</v>
      </c>
      <c r="AL323" s="3" t="s">
        <v>68</v>
      </c>
      <c r="AM323" s="3" t="s">
        <v>65</v>
      </c>
    </row>
    <row r="324" spans="1:39" ht="21" customHeight="1">
      <c r="A324" s="4">
        <v>46030</v>
      </c>
      <c r="B324" s="3" t="s">
        <v>65</v>
      </c>
      <c r="C324" s="3" t="s">
        <v>66</v>
      </c>
      <c r="D324" s="4">
        <v>46120</v>
      </c>
      <c r="E324" s="3">
        <v>-90</v>
      </c>
      <c r="F324" s="3" t="s">
        <v>41</v>
      </c>
      <c r="G324" s="3" t="s">
        <v>52</v>
      </c>
      <c r="H324" s="3">
        <v>0</v>
      </c>
      <c r="I324" s="7">
        <v>81574</v>
      </c>
      <c r="J324" s="7">
        <v>31888</v>
      </c>
      <c r="K324" s="7">
        <v>49686</v>
      </c>
      <c r="L324" s="5">
        <f t="shared" si="61"/>
        <v>0.39090886802167357</v>
      </c>
      <c r="M324" s="5">
        <f t="shared" si="62"/>
        <v>4.6554017439282003E-3</v>
      </c>
      <c r="N324" s="7">
        <f t="shared" si="63"/>
        <v>85672.71428571429</v>
      </c>
      <c r="O324" s="7"/>
      <c r="P324" s="8"/>
      <c r="Q324" s="7"/>
      <c r="R324" s="7"/>
      <c r="S324" s="7"/>
      <c r="T324" s="7"/>
      <c r="U324" s="7"/>
      <c r="V324" s="7"/>
      <c r="W324" s="7"/>
      <c r="X324" s="3" t="s">
        <v>67</v>
      </c>
      <c r="Y324" s="3"/>
      <c r="Z324" s="9">
        <v>4.1340000000000002E-2</v>
      </c>
      <c r="AA324" s="5">
        <f t="shared" si="60"/>
        <v>2.2761009401286669E-2</v>
      </c>
      <c r="AB324" s="9">
        <f t="shared" si="64"/>
        <v>0.12509857142857142</v>
      </c>
      <c r="AC324" s="9"/>
      <c r="AD324" s="8"/>
      <c r="AE324" s="3" t="s">
        <v>44</v>
      </c>
      <c r="AF324" s="10"/>
      <c r="AG324" s="11"/>
      <c r="AH324" s="11"/>
      <c r="AI324" s="3" t="s">
        <v>45</v>
      </c>
      <c r="AJ324" s="3" t="s">
        <v>66</v>
      </c>
      <c r="AK324" s="3" t="s">
        <v>46</v>
      </c>
      <c r="AL324" s="3" t="s">
        <v>68</v>
      </c>
      <c r="AM324" s="3" t="s">
        <v>65</v>
      </c>
    </row>
    <row r="325" spans="1:39" ht="21" customHeight="1">
      <c r="A325" s="4">
        <v>46031</v>
      </c>
      <c r="B325" s="3" t="s">
        <v>65</v>
      </c>
      <c r="C325" s="3" t="s">
        <v>66</v>
      </c>
      <c r="D325" s="4">
        <v>46120</v>
      </c>
      <c r="E325" s="3">
        <v>-89</v>
      </c>
      <c r="F325" s="3" t="s">
        <v>41</v>
      </c>
      <c r="G325" s="3" t="s">
        <v>53</v>
      </c>
      <c r="H325" s="3">
        <v>0</v>
      </c>
      <c r="I325" s="7">
        <v>84742</v>
      </c>
      <c r="J325" s="7">
        <v>35298</v>
      </c>
      <c r="K325" s="7">
        <v>49444</v>
      </c>
      <c r="L325" s="5">
        <f t="shared" si="61"/>
        <v>0.41653489414930023</v>
      </c>
      <c r="M325" s="5">
        <f t="shared" si="62"/>
        <v>3.8835903596734278E-2</v>
      </c>
      <c r="N325" s="7">
        <f t="shared" si="63"/>
        <v>85243.28571428571</v>
      </c>
      <c r="O325" s="7"/>
      <c r="P325" s="8"/>
      <c r="Q325" s="7"/>
      <c r="R325" s="7"/>
      <c r="S325" s="7"/>
      <c r="T325" s="7"/>
      <c r="U325" s="7"/>
      <c r="V325" s="7"/>
      <c r="W325" s="7"/>
      <c r="X325" s="3" t="s">
        <v>67</v>
      </c>
      <c r="Y325" s="3"/>
      <c r="Z325" s="9">
        <v>3.8159999999999999E-2</v>
      </c>
      <c r="AA325" s="5">
        <f t="shared" si="60"/>
        <v>-7.6923076923076983E-2</v>
      </c>
      <c r="AB325" s="9">
        <f t="shared" si="64"/>
        <v>8.7274285714285721E-2</v>
      </c>
      <c r="AC325" s="9"/>
      <c r="AD325" s="8"/>
      <c r="AE325" s="3" t="s">
        <v>44</v>
      </c>
      <c r="AF325" s="10"/>
      <c r="AG325" s="11"/>
      <c r="AH325" s="11"/>
      <c r="AI325" s="3" t="s">
        <v>45</v>
      </c>
      <c r="AJ325" s="3" t="s">
        <v>66</v>
      </c>
      <c r="AK325" s="3" t="s">
        <v>46</v>
      </c>
      <c r="AL325" s="3" t="s">
        <v>68</v>
      </c>
      <c r="AM325" s="3" t="s">
        <v>65</v>
      </c>
    </row>
    <row r="326" spans="1:39" ht="21" customHeight="1">
      <c r="A326" s="4">
        <v>46032</v>
      </c>
      <c r="B326" s="3" t="s">
        <v>65</v>
      </c>
      <c r="C326" s="3" t="s">
        <v>66</v>
      </c>
      <c r="D326" s="4">
        <v>46120</v>
      </c>
      <c r="E326" s="3">
        <v>-88</v>
      </c>
      <c r="F326" s="3" t="s">
        <v>41</v>
      </c>
      <c r="G326" s="3" t="s">
        <v>42</v>
      </c>
      <c r="H326" s="3">
        <v>1</v>
      </c>
      <c r="I326" s="7">
        <v>88812</v>
      </c>
      <c r="J326" s="7">
        <v>45101</v>
      </c>
      <c r="K326" s="7">
        <v>43712</v>
      </c>
      <c r="L326" s="5">
        <f t="shared" si="61"/>
        <v>0.50782551907399898</v>
      </c>
      <c r="M326" s="5">
        <f t="shared" si="62"/>
        <v>4.8028132449080774E-2</v>
      </c>
      <c r="N326" s="7">
        <f t="shared" si="63"/>
        <v>84211.71428571429</v>
      </c>
      <c r="O326" s="7"/>
      <c r="P326" s="8"/>
      <c r="Q326" s="7"/>
      <c r="R326" s="7"/>
      <c r="S326" s="7"/>
      <c r="T326" s="7"/>
      <c r="U326" s="7"/>
      <c r="V326" s="7"/>
      <c r="W326" s="7"/>
      <c r="X326" s="3" t="s">
        <v>67</v>
      </c>
      <c r="Y326" s="3"/>
      <c r="Z326" s="9">
        <v>3.9079999999999997E-2</v>
      </c>
      <c r="AA326" s="5">
        <f t="shared" si="60"/>
        <v>2.4109014675052443E-2</v>
      </c>
      <c r="AB326" s="9">
        <f t="shared" si="64"/>
        <v>5.817428571428572E-2</v>
      </c>
      <c r="AC326" s="9"/>
      <c r="AD326" s="8"/>
      <c r="AE326" s="3" t="s">
        <v>44</v>
      </c>
      <c r="AF326" s="10"/>
      <c r="AG326" s="11"/>
      <c r="AH326" s="11"/>
      <c r="AI326" s="3" t="s">
        <v>45</v>
      </c>
      <c r="AJ326" s="3" t="s">
        <v>66</v>
      </c>
      <c r="AK326" s="3" t="s">
        <v>46</v>
      </c>
      <c r="AL326" s="3" t="s">
        <v>68</v>
      </c>
      <c r="AM326" s="3" t="s">
        <v>65</v>
      </c>
    </row>
    <row r="327" spans="1:39" ht="21" customHeight="1">
      <c r="A327" s="4">
        <v>46033</v>
      </c>
      <c r="B327" s="3" t="s">
        <v>65</v>
      </c>
      <c r="C327" s="3" t="s">
        <v>66</v>
      </c>
      <c r="D327" s="4">
        <v>46120</v>
      </c>
      <c r="E327" s="3">
        <v>-87</v>
      </c>
      <c r="F327" s="3" t="s">
        <v>41</v>
      </c>
      <c r="G327" s="3" t="s">
        <v>48</v>
      </c>
      <c r="H327" s="3">
        <v>1</v>
      </c>
      <c r="I327" s="7">
        <v>83576</v>
      </c>
      <c r="J327" s="7">
        <v>41041</v>
      </c>
      <c r="K327" s="7">
        <v>42536</v>
      </c>
      <c r="L327" s="5">
        <f t="shared" si="61"/>
        <v>0.4910620273762803</v>
      </c>
      <c r="M327" s="5">
        <f t="shared" si="62"/>
        <v>-5.8955996937350763E-2</v>
      </c>
      <c r="N327" s="7">
        <f t="shared" si="63"/>
        <v>83171.71428571429</v>
      </c>
      <c r="O327" s="7"/>
      <c r="P327" s="8"/>
      <c r="Q327" s="7"/>
      <c r="R327" s="7"/>
      <c r="S327" s="7"/>
      <c r="T327" s="7"/>
      <c r="U327" s="7"/>
      <c r="V327" s="7"/>
      <c r="W327" s="7"/>
      <c r="X327" s="3" t="s">
        <v>67</v>
      </c>
      <c r="Y327" s="3"/>
      <c r="Z327" s="9">
        <v>3.703E-2</v>
      </c>
      <c r="AA327" s="5">
        <f t="shared" si="60"/>
        <v>-5.2456499488229169E-2</v>
      </c>
      <c r="AB327" s="9">
        <f t="shared" si="64"/>
        <v>4.6672857142857148E-2</v>
      </c>
      <c r="AC327" s="9"/>
      <c r="AD327" s="8"/>
      <c r="AE327" s="3" t="s">
        <v>44</v>
      </c>
      <c r="AF327" s="10"/>
      <c r="AG327" s="11"/>
      <c r="AH327" s="11"/>
      <c r="AI327" s="3" t="s">
        <v>45</v>
      </c>
      <c r="AJ327" s="3" t="s">
        <v>66</v>
      </c>
      <c r="AK327" s="3" t="s">
        <v>46</v>
      </c>
      <c r="AL327" s="3" t="s">
        <v>68</v>
      </c>
      <c r="AM327" s="3" t="s">
        <v>65</v>
      </c>
    </row>
    <row r="328" spans="1:39" ht="21" customHeight="1">
      <c r="A328" s="4">
        <v>46034</v>
      </c>
      <c r="B328" s="3" t="s">
        <v>65</v>
      </c>
      <c r="C328" s="3" t="s">
        <v>66</v>
      </c>
      <c r="D328" s="4">
        <v>46120</v>
      </c>
      <c r="E328" s="3">
        <v>-86</v>
      </c>
      <c r="F328" s="3" t="s">
        <v>41</v>
      </c>
      <c r="G328" s="3" t="s">
        <v>49</v>
      </c>
      <c r="H328" s="3">
        <v>0</v>
      </c>
      <c r="I328" s="7">
        <v>78918</v>
      </c>
      <c r="J328" s="7">
        <v>30628</v>
      </c>
      <c r="K328" s="7">
        <v>48290</v>
      </c>
      <c r="L328" s="5">
        <f t="shared" si="61"/>
        <v>0.38809903950936414</v>
      </c>
      <c r="M328" s="5">
        <f t="shared" si="62"/>
        <v>-5.573370345553752E-2</v>
      </c>
      <c r="N328" s="7">
        <f t="shared" si="63"/>
        <v>82915.71428571429</v>
      </c>
      <c r="O328" s="7"/>
      <c r="P328" s="8"/>
      <c r="Q328" s="7"/>
      <c r="R328" s="7"/>
      <c r="S328" s="7"/>
      <c r="T328" s="7"/>
      <c r="U328" s="7"/>
      <c r="V328" s="7"/>
      <c r="W328" s="7"/>
      <c r="X328" s="3" t="s">
        <v>67</v>
      </c>
      <c r="Y328" s="3"/>
      <c r="Z328" s="9">
        <v>3.7100000000000001E-2</v>
      </c>
      <c r="AA328" s="5">
        <f t="shared" si="60"/>
        <v>1.890359168241984E-3</v>
      </c>
      <c r="AB328" s="9">
        <f t="shared" si="64"/>
        <v>4.0755714285714284E-2</v>
      </c>
      <c r="AC328" s="9"/>
      <c r="AD328" s="8"/>
      <c r="AE328" s="3" t="s">
        <v>44</v>
      </c>
      <c r="AF328" s="10"/>
      <c r="AG328" s="11"/>
      <c r="AH328" s="11"/>
      <c r="AI328" s="3" t="s">
        <v>45</v>
      </c>
      <c r="AJ328" s="3" t="s">
        <v>66</v>
      </c>
      <c r="AK328" s="3" t="s">
        <v>46</v>
      </c>
      <c r="AL328" s="3" t="s">
        <v>68</v>
      </c>
      <c r="AM328" s="3" t="s">
        <v>65</v>
      </c>
    </row>
    <row r="329" spans="1:39" ht="21" customHeight="1">
      <c r="A329" s="4">
        <v>46035</v>
      </c>
      <c r="B329" s="3" t="s">
        <v>65</v>
      </c>
      <c r="C329" s="3" t="s">
        <v>66</v>
      </c>
      <c r="D329" s="4">
        <v>46120</v>
      </c>
      <c r="E329" s="3">
        <v>-85</v>
      </c>
      <c r="F329" s="3" t="s">
        <v>41</v>
      </c>
      <c r="G329" s="3" t="s">
        <v>50</v>
      </c>
      <c r="H329" s="3">
        <v>0</v>
      </c>
      <c r="I329" s="7">
        <v>80440</v>
      </c>
      <c r="J329" s="7">
        <v>31647</v>
      </c>
      <c r="K329" s="7">
        <v>48794</v>
      </c>
      <c r="L329" s="5">
        <f t="shared" si="61"/>
        <v>0.39342366981601196</v>
      </c>
      <c r="M329" s="5">
        <f t="shared" si="62"/>
        <v>1.9285840999518467E-2</v>
      </c>
      <c r="N329" s="7">
        <f t="shared" si="63"/>
        <v>82751.142857142855</v>
      </c>
      <c r="O329" s="7"/>
      <c r="P329" s="8"/>
      <c r="Q329" s="7"/>
      <c r="R329" s="7"/>
      <c r="S329" s="7"/>
      <c r="T329" s="7"/>
      <c r="U329" s="7"/>
      <c r="V329" s="7"/>
      <c r="W329" s="7"/>
      <c r="X329" s="3" t="s">
        <v>67</v>
      </c>
      <c r="Y329" s="3"/>
      <c r="Z329" s="9">
        <v>4.6080000000000003E-2</v>
      </c>
      <c r="AA329" s="5">
        <f t="shared" si="60"/>
        <v>0.24204851752021561</v>
      </c>
      <c r="AB329" s="9">
        <f t="shared" si="64"/>
        <v>3.9887142857142857E-2</v>
      </c>
      <c r="AC329" s="9"/>
      <c r="AD329" s="8"/>
      <c r="AE329" s="3" t="s">
        <v>44</v>
      </c>
      <c r="AF329" s="10"/>
      <c r="AG329" s="11"/>
      <c r="AH329" s="11"/>
      <c r="AI329" s="3" t="s">
        <v>45</v>
      </c>
      <c r="AJ329" s="3" t="s">
        <v>66</v>
      </c>
      <c r="AK329" s="3" t="s">
        <v>46</v>
      </c>
      <c r="AL329" s="3" t="s">
        <v>68</v>
      </c>
      <c r="AM329" s="3" t="s">
        <v>65</v>
      </c>
    </row>
    <row r="330" spans="1:39" ht="21" customHeight="1">
      <c r="A330" s="4">
        <v>46036</v>
      </c>
      <c r="B330" s="3" t="s">
        <v>65</v>
      </c>
      <c r="C330" s="3" t="s">
        <v>66</v>
      </c>
      <c r="D330" s="4">
        <v>46120</v>
      </c>
      <c r="E330" s="3">
        <v>-84</v>
      </c>
      <c r="F330" s="3" t="s">
        <v>41</v>
      </c>
      <c r="G330" s="3" t="s">
        <v>51</v>
      </c>
      <c r="H330" s="3">
        <v>0</v>
      </c>
      <c r="I330" s="7">
        <v>81074</v>
      </c>
      <c r="J330" s="7">
        <v>32368</v>
      </c>
      <c r="K330" s="7">
        <v>48706</v>
      </c>
      <c r="L330" s="5">
        <f t="shared" si="61"/>
        <v>0.39924020031082713</v>
      </c>
      <c r="M330" s="5">
        <f t="shared" si="62"/>
        <v>7.8816509199404194E-3</v>
      </c>
      <c r="N330" s="7">
        <f t="shared" si="63"/>
        <v>82733.71428571429</v>
      </c>
      <c r="O330" s="7"/>
      <c r="P330" s="8"/>
      <c r="Q330" s="7"/>
      <c r="R330" s="7"/>
      <c r="S330" s="7"/>
      <c r="T330" s="7"/>
      <c r="U330" s="7"/>
      <c r="V330" s="7"/>
      <c r="W330" s="7"/>
      <c r="X330" s="3" t="s">
        <v>67</v>
      </c>
      <c r="Y330" s="3"/>
      <c r="Z330" s="9">
        <v>5.4559999999999997E-2</v>
      </c>
      <c r="AA330" s="5">
        <f t="shared" si="60"/>
        <v>0.18402777777777768</v>
      </c>
      <c r="AB330" s="9">
        <f t="shared" si="64"/>
        <v>4.1907142857142858E-2</v>
      </c>
      <c r="AC330" s="9"/>
      <c r="AD330" s="8"/>
      <c r="AE330" s="3" t="s">
        <v>44</v>
      </c>
      <c r="AF330" s="10"/>
      <c r="AG330" s="11"/>
      <c r="AH330" s="11"/>
      <c r="AI330" s="3" t="s">
        <v>45</v>
      </c>
      <c r="AJ330" s="3" t="s">
        <v>66</v>
      </c>
      <c r="AK330" s="3" t="s">
        <v>46</v>
      </c>
      <c r="AL330" s="3" t="s">
        <v>68</v>
      </c>
      <c r="AM330" s="3" t="s">
        <v>65</v>
      </c>
    </row>
    <row r="331" spans="1:39" ht="21" customHeight="1">
      <c r="A331" s="4">
        <v>46037</v>
      </c>
      <c r="B331" s="3" t="s">
        <v>65</v>
      </c>
      <c r="C331" s="3" t="s">
        <v>66</v>
      </c>
      <c r="D331" s="4">
        <v>46120</v>
      </c>
      <c r="E331" s="3">
        <v>-83</v>
      </c>
      <c r="F331" s="3" t="s">
        <v>41</v>
      </c>
      <c r="G331" s="3" t="s">
        <v>52</v>
      </c>
      <c r="H331" s="3">
        <v>0</v>
      </c>
      <c r="I331" s="7">
        <v>83769</v>
      </c>
      <c r="J331" s="7">
        <v>35164</v>
      </c>
      <c r="K331" s="7">
        <v>48604</v>
      </c>
      <c r="L331" s="5">
        <f t="shared" si="61"/>
        <v>0.41977342453652305</v>
      </c>
      <c r="M331" s="5">
        <f t="shared" si="62"/>
        <v>3.324123640131238E-2</v>
      </c>
      <c r="N331" s="7">
        <f t="shared" si="63"/>
        <v>83047.28571428571</v>
      </c>
      <c r="O331" s="7"/>
      <c r="P331" s="8"/>
      <c r="Q331" s="7"/>
      <c r="R331" s="7"/>
      <c r="S331" s="7"/>
      <c r="T331" s="7"/>
      <c r="U331" s="7"/>
      <c r="V331" s="7"/>
      <c r="W331" s="7"/>
      <c r="X331" s="3" t="s">
        <v>67</v>
      </c>
      <c r="Y331" s="3"/>
      <c r="Z331" s="9">
        <v>5.074E-2</v>
      </c>
      <c r="AA331" s="5">
        <f t="shared" si="60"/>
        <v>-7.0014662756598178E-2</v>
      </c>
      <c r="AB331" s="9">
        <f t="shared" si="64"/>
        <v>4.3250000000000004E-2</v>
      </c>
      <c r="AC331" s="9"/>
      <c r="AD331" s="8"/>
      <c r="AE331" s="3" t="s">
        <v>44</v>
      </c>
      <c r="AF331" s="10"/>
      <c r="AG331" s="11"/>
      <c r="AH331" s="11"/>
      <c r="AI331" s="3" t="s">
        <v>45</v>
      </c>
      <c r="AJ331" s="3" t="s">
        <v>66</v>
      </c>
      <c r="AK331" s="3" t="s">
        <v>46</v>
      </c>
      <c r="AL331" s="3" t="s">
        <v>68</v>
      </c>
      <c r="AM331" s="3" t="s">
        <v>65</v>
      </c>
    </row>
    <row r="332" spans="1:39" ht="21" customHeight="1">
      <c r="A332" s="4">
        <v>46038</v>
      </c>
      <c r="B332" s="3" t="s">
        <v>65</v>
      </c>
      <c r="C332" s="3" t="s">
        <v>66</v>
      </c>
      <c r="D332" s="4">
        <v>46120</v>
      </c>
      <c r="E332" s="3">
        <v>-82</v>
      </c>
      <c r="F332" s="3" t="s">
        <v>41</v>
      </c>
      <c r="G332" s="3" t="s">
        <v>53</v>
      </c>
      <c r="H332" s="3">
        <v>0</v>
      </c>
      <c r="I332" s="7">
        <v>84168</v>
      </c>
      <c r="J332" s="7">
        <v>35567</v>
      </c>
      <c r="K332" s="7">
        <v>48601</v>
      </c>
      <c r="L332" s="5">
        <f t="shared" si="61"/>
        <v>0.42257152361942779</v>
      </c>
      <c r="M332" s="5">
        <f t="shared" si="62"/>
        <v>4.763098520932596E-3</v>
      </c>
      <c r="N332" s="7">
        <f t="shared" si="63"/>
        <v>82965.28571428571</v>
      </c>
      <c r="O332" s="7"/>
      <c r="P332" s="8"/>
      <c r="Q332" s="7"/>
      <c r="R332" s="7"/>
      <c r="S332" s="7"/>
      <c r="T332" s="7"/>
      <c r="U332" s="7"/>
      <c r="V332" s="7"/>
      <c r="W332" s="7"/>
      <c r="X332" s="3" t="s">
        <v>67</v>
      </c>
      <c r="Y332" s="3"/>
      <c r="Z332" s="9">
        <v>6.1490000000000003E-2</v>
      </c>
      <c r="AA332" s="5">
        <f t="shared" si="60"/>
        <v>0.21186440677966112</v>
      </c>
      <c r="AB332" s="9">
        <f t="shared" si="64"/>
        <v>4.6582857142857141E-2</v>
      </c>
      <c r="AC332" s="9"/>
      <c r="AD332" s="8"/>
      <c r="AE332" s="3" t="s">
        <v>44</v>
      </c>
      <c r="AF332" s="10"/>
      <c r="AG332" s="11"/>
      <c r="AH332" s="11"/>
      <c r="AI332" s="3" t="s">
        <v>45</v>
      </c>
      <c r="AJ332" s="3" t="s">
        <v>66</v>
      </c>
      <c r="AK332" s="3" t="s">
        <v>46</v>
      </c>
      <c r="AL332" s="3" t="s">
        <v>68</v>
      </c>
      <c r="AM332" s="3" t="s">
        <v>65</v>
      </c>
    </row>
    <row r="333" spans="1:39" ht="21" customHeight="1">
      <c r="A333" s="4">
        <v>46039</v>
      </c>
      <c r="B333" s="3" t="s">
        <v>65</v>
      </c>
      <c r="C333" s="3" t="s">
        <v>66</v>
      </c>
      <c r="D333" s="4">
        <v>46120</v>
      </c>
      <c r="E333" s="3">
        <v>-81</v>
      </c>
      <c r="F333" s="3" t="s">
        <v>41</v>
      </c>
      <c r="G333" s="3" t="s">
        <v>42</v>
      </c>
      <c r="H333" s="3">
        <v>1</v>
      </c>
      <c r="I333" s="7">
        <v>99488</v>
      </c>
      <c r="J333" s="7">
        <v>54495</v>
      </c>
      <c r="K333" s="7">
        <v>44992</v>
      </c>
      <c r="L333" s="5">
        <f t="shared" si="61"/>
        <v>0.54775450305564488</v>
      </c>
      <c r="M333" s="5">
        <f t="shared" si="62"/>
        <v>0.1820169185438647</v>
      </c>
      <c r="N333" s="7">
        <f t="shared" si="63"/>
        <v>84490.428571428565</v>
      </c>
      <c r="O333" s="7"/>
      <c r="P333" s="8"/>
      <c r="Q333" s="7"/>
      <c r="R333" s="7"/>
      <c r="S333" s="7"/>
      <c r="T333" s="7"/>
      <c r="U333" s="7"/>
      <c r="V333" s="7"/>
      <c r="W333" s="7"/>
      <c r="X333" s="3" t="s">
        <v>67</v>
      </c>
      <c r="Y333" s="3"/>
      <c r="Z333" s="9">
        <v>6.5089999999999995E-2</v>
      </c>
      <c r="AA333" s="5">
        <f t="shared" si="60"/>
        <v>5.8546105057732722E-2</v>
      </c>
      <c r="AB333" s="9">
        <f t="shared" si="64"/>
        <v>5.0298571428571429E-2</v>
      </c>
      <c r="AC333" s="9"/>
      <c r="AD333" s="8"/>
      <c r="AE333" s="3" t="s">
        <v>44</v>
      </c>
      <c r="AF333" s="10"/>
      <c r="AG333" s="11"/>
      <c r="AH333" s="11"/>
      <c r="AI333" s="3" t="s">
        <v>45</v>
      </c>
      <c r="AJ333" s="3" t="s">
        <v>66</v>
      </c>
      <c r="AK333" s="3" t="s">
        <v>46</v>
      </c>
      <c r="AL333" s="3" t="s">
        <v>68</v>
      </c>
      <c r="AM333" s="3" t="s">
        <v>65</v>
      </c>
    </row>
    <row r="334" spans="1:39" ht="21" customHeight="1">
      <c r="A334" s="4">
        <v>46040</v>
      </c>
      <c r="B334" s="3" t="s">
        <v>65</v>
      </c>
      <c r="C334" s="3" t="s">
        <v>66</v>
      </c>
      <c r="D334" s="4">
        <v>46120</v>
      </c>
      <c r="E334" s="3">
        <v>-80</v>
      </c>
      <c r="F334" s="3" t="s">
        <v>41</v>
      </c>
      <c r="G334" s="3" t="s">
        <v>48</v>
      </c>
      <c r="H334" s="3">
        <v>1</v>
      </c>
      <c r="I334" s="7">
        <v>93684</v>
      </c>
      <c r="J334" s="7">
        <v>50704</v>
      </c>
      <c r="K334" s="7">
        <v>42980</v>
      </c>
      <c r="L334" s="5">
        <f t="shared" si="61"/>
        <v>0.54122368814311939</v>
      </c>
      <c r="M334" s="5">
        <f t="shared" si="62"/>
        <v>-5.8338694113862943E-2</v>
      </c>
      <c r="N334" s="7">
        <f t="shared" si="63"/>
        <v>85934.428571428565</v>
      </c>
      <c r="O334" s="7"/>
      <c r="P334" s="8"/>
      <c r="Q334" s="7"/>
      <c r="R334" s="7"/>
      <c r="S334" s="7"/>
      <c r="T334" s="7"/>
      <c r="U334" s="7"/>
      <c r="V334" s="7"/>
      <c r="W334" s="7"/>
      <c r="X334" s="3" t="s">
        <v>67</v>
      </c>
      <c r="Y334" s="3"/>
      <c r="Z334" s="9">
        <v>5.1380000000000002E-2</v>
      </c>
      <c r="AA334" s="5">
        <f t="shared" si="60"/>
        <v>-0.21063143339990775</v>
      </c>
      <c r="AB334" s="9">
        <f t="shared" si="64"/>
        <v>5.2348571428571425E-2</v>
      </c>
      <c r="AC334" s="9"/>
      <c r="AD334" s="8"/>
      <c r="AE334" s="3" t="s">
        <v>44</v>
      </c>
      <c r="AF334" s="10"/>
      <c r="AG334" s="11"/>
      <c r="AH334" s="11"/>
      <c r="AI334" s="3" t="s">
        <v>45</v>
      </c>
      <c r="AJ334" s="3" t="s">
        <v>66</v>
      </c>
      <c r="AK334" s="3" t="s">
        <v>46</v>
      </c>
      <c r="AL334" s="3" t="s">
        <v>68</v>
      </c>
      <c r="AM334" s="3" t="s">
        <v>65</v>
      </c>
    </row>
    <row r="335" spans="1:39" ht="21" customHeight="1">
      <c r="A335" s="4">
        <v>46041</v>
      </c>
      <c r="B335" s="3" t="s">
        <v>65</v>
      </c>
      <c r="C335" s="3" t="s">
        <v>66</v>
      </c>
      <c r="D335" s="4">
        <v>46120</v>
      </c>
      <c r="E335" s="3">
        <v>-79</v>
      </c>
      <c r="F335" s="3" t="s">
        <v>41</v>
      </c>
      <c r="G335" s="3" t="s">
        <v>49</v>
      </c>
      <c r="H335" s="3">
        <v>0</v>
      </c>
      <c r="I335" s="7">
        <v>80328</v>
      </c>
      <c r="J335" s="7">
        <v>32886</v>
      </c>
      <c r="K335" s="7">
        <v>47442</v>
      </c>
      <c r="L335" s="5">
        <f t="shared" si="61"/>
        <v>0.40939647445473559</v>
      </c>
      <c r="M335" s="5">
        <f t="shared" si="62"/>
        <v>-0.14256436531318051</v>
      </c>
      <c r="N335" s="7">
        <f t="shared" si="63"/>
        <v>86135.857142857145</v>
      </c>
      <c r="O335" s="7"/>
      <c r="P335" s="8"/>
      <c r="Q335" s="7"/>
      <c r="R335" s="7"/>
      <c r="S335" s="7"/>
      <c r="T335" s="7"/>
      <c r="U335" s="7"/>
      <c r="V335" s="7"/>
      <c r="W335" s="7"/>
      <c r="X335" s="3" t="s">
        <v>67</v>
      </c>
      <c r="Y335" s="3"/>
      <c r="Z335" s="9">
        <v>4.2259999999999999E-2</v>
      </c>
      <c r="AA335" s="5">
        <f t="shared" si="60"/>
        <v>-0.1775009731413002</v>
      </c>
      <c r="AB335" s="9">
        <f t="shared" si="64"/>
        <v>5.3085714285714285E-2</v>
      </c>
      <c r="AC335" s="9"/>
      <c r="AD335" s="8"/>
      <c r="AE335" s="3" t="s">
        <v>44</v>
      </c>
      <c r="AF335" s="10"/>
      <c r="AG335" s="11"/>
      <c r="AH335" s="11"/>
      <c r="AI335" s="3" t="s">
        <v>45</v>
      </c>
      <c r="AJ335" s="3" t="s">
        <v>66</v>
      </c>
      <c r="AK335" s="3" t="s">
        <v>46</v>
      </c>
      <c r="AL335" s="3" t="s">
        <v>68</v>
      </c>
      <c r="AM335" s="3" t="s">
        <v>65</v>
      </c>
    </row>
    <row r="336" spans="1:39" ht="21" customHeight="1">
      <c r="A336" s="4">
        <v>46042</v>
      </c>
      <c r="B336" s="3" t="s">
        <v>65</v>
      </c>
      <c r="C336" s="3" t="s">
        <v>66</v>
      </c>
      <c r="D336" s="4">
        <v>46120</v>
      </c>
      <c r="E336" s="3">
        <v>-78</v>
      </c>
      <c r="F336" s="3" t="s">
        <v>41</v>
      </c>
      <c r="G336" s="3" t="s">
        <v>50</v>
      </c>
      <c r="H336" s="3">
        <v>0</v>
      </c>
      <c r="I336" s="7">
        <v>80738</v>
      </c>
      <c r="J336" s="7">
        <v>32963</v>
      </c>
      <c r="K336" s="7">
        <v>47775</v>
      </c>
      <c r="L336" s="5">
        <f t="shared" si="61"/>
        <v>0.40827119819663604</v>
      </c>
      <c r="M336" s="5">
        <f t="shared" si="62"/>
        <v>5.1040732994722671E-3</v>
      </c>
      <c r="N336" s="7">
        <f t="shared" si="63"/>
        <v>86178.428571428565</v>
      </c>
      <c r="O336" s="7"/>
      <c r="P336" s="8"/>
      <c r="Q336" s="7"/>
      <c r="R336" s="7"/>
      <c r="S336" s="7"/>
      <c r="T336" s="7"/>
      <c r="U336" s="7"/>
      <c r="V336" s="7"/>
      <c r="W336" s="7"/>
      <c r="X336" s="3" t="s">
        <v>67</v>
      </c>
      <c r="Y336" s="3"/>
      <c r="Z336" s="9">
        <v>4.0140000000000002E-2</v>
      </c>
      <c r="AA336" s="5">
        <f t="shared" si="60"/>
        <v>-5.0165641268338779E-2</v>
      </c>
      <c r="AB336" s="9">
        <f t="shared" si="64"/>
        <v>5.2237142857142857E-2</v>
      </c>
      <c r="AC336" s="9"/>
      <c r="AD336" s="8"/>
      <c r="AE336" s="3" t="s">
        <v>44</v>
      </c>
      <c r="AF336" s="10"/>
      <c r="AG336" s="11"/>
      <c r="AH336" s="11"/>
      <c r="AI336" s="3" t="s">
        <v>45</v>
      </c>
      <c r="AJ336" s="3" t="s">
        <v>66</v>
      </c>
      <c r="AK336" s="3" t="s">
        <v>46</v>
      </c>
      <c r="AL336" s="3" t="s">
        <v>68</v>
      </c>
      <c r="AM336" s="3" t="s">
        <v>65</v>
      </c>
    </row>
    <row r="337" spans="1:39" ht="21" customHeight="1">
      <c r="A337" s="4">
        <v>46043</v>
      </c>
      <c r="B337" s="3" t="s">
        <v>65</v>
      </c>
      <c r="C337" s="3" t="s">
        <v>66</v>
      </c>
      <c r="D337" s="4">
        <v>46120</v>
      </c>
      <c r="E337" s="3">
        <v>-77</v>
      </c>
      <c r="F337" s="3" t="s">
        <v>41</v>
      </c>
      <c r="G337" s="3" t="s">
        <v>51</v>
      </c>
      <c r="H337" s="3">
        <v>0</v>
      </c>
      <c r="I337" s="7">
        <v>78362</v>
      </c>
      <c r="J337" s="7">
        <v>31010</v>
      </c>
      <c r="K337" s="7">
        <v>47352</v>
      </c>
      <c r="L337" s="5">
        <f t="shared" si="61"/>
        <v>0.39572752099231773</v>
      </c>
      <c r="M337" s="5">
        <f t="shared" si="62"/>
        <v>-2.9428521885605297E-2</v>
      </c>
      <c r="N337" s="7">
        <f t="shared" si="63"/>
        <v>85791</v>
      </c>
      <c r="O337" s="7"/>
      <c r="P337" s="8"/>
      <c r="Q337" s="7"/>
      <c r="R337" s="7"/>
      <c r="S337" s="7"/>
      <c r="T337" s="7"/>
      <c r="U337" s="7"/>
      <c r="V337" s="7"/>
      <c r="W337" s="7"/>
      <c r="X337" s="3" t="s">
        <v>67</v>
      </c>
      <c r="Y337" s="3"/>
      <c r="Z337" s="9">
        <v>3.9510000000000003E-2</v>
      </c>
      <c r="AA337" s="5">
        <f t="shared" si="60"/>
        <v>-1.5695067264573925E-2</v>
      </c>
      <c r="AB337" s="9">
        <f t="shared" si="64"/>
        <v>5.0087142857142851E-2</v>
      </c>
      <c r="AC337" s="9"/>
      <c r="AD337" s="8"/>
      <c r="AE337" s="3" t="s">
        <v>44</v>
      </c>
      <c r="AF337" s="10"/>
      <c r="AG337" s="11"/>
      <c r="AH337" s="11"/>
      <c r="AI337" s="3" t="s">
        <v>45</v>
      </c>
      <c r="AJ337" s="3" t="s">
        <v>66</v>
      </c>
      <c r="AK337" s="3" t="s">
        <v>46</v>
      </c>
      <c r="AL337" s="3" t="s">
        <v>68</v>
      </c>
      <c r="AM337" s="3" t="s">
        <v>65</v>
      </c>
    </row>
    <row r="338" spans="1:39" ht="21" customHeight="1">
      <c r="A338" s="4">
        <v>46044</v>
      </c>
      <c r="B338" s="3" t="s">
        <v>65</v>
      </c>
      <c r="C338" s="3" t="s">
        <v>66</v>
      </c>
      <c r="D338" s="4">
        <v>46120</v>
      </c>
      <c r="E338" s="3">
        <v>-76</v>
      </c>
      <c r="F338" s="3" t="s">
        <v>41</v>
      </c>
      <c r="G338" s="3" t="s">
        <v>52</v>
      </c>
      <c r="H338" s="3">
        <v>0</v>
      </c>
      <c r="I338" s="7">
        <v>80255</v>
      </c>
      <c r="J338" s="7">
        <v>32501</v>
      </c>
      <c r="K338" s="7">
        <v>47754</v>
      </c>
      <c r="L338" s="5">
        <f t="shared" si="61"/>
        <v>0.40497165285651987</v>
      </c>
      <c r="M338" s="5">
        <f t="shared" si="62"/>
        <v>2.4157116969959924E-2</v>
      </c>
      <c r="N338" s="7">
        <f t="shared" si="63"/>
        <v>85289</v>
      </c>
      <c r="O338" s="7"/>
      <c r="P338" s="8"/>
      <c r="Q338" s="7"/>
      <c r="R338" s="7"/>
      <c r="S338" s="7"/>
      <c r="T338" s="7"/>
      <c r="U338" s="7"/>
      <c r="V338" s="7"/>
      <c r="W338" s="7"/>
      <c r="X338" s="3" t="s">
        <v>67</v>
      </c>
      <c r="Y338" s="3"/>
      <c r="Z338" s="9">
        <v>3.4630000000000001E-2</v>
      </c>
      <c r="AA338" s="5">
        <f t="shared" si="60"/>
        <v>-0.12351303467476593</v>
      </c>
      <c r="AB338" s="9">
        <f t="shared" si="64"/>
        <v>4.7785714285714279E-2</v>
      </c>
      <c r="AC338" s="9"/>
      <c r="AD338" s="8"/>
      <c r="AE338" s="3" t="s">
        <v>44</v>
      </c>
      <c r="AF338" s="10"/>
      <c r="AG338" s="11"/>
      <c r="AH338" s="11"/>
      <c r="AI338" s="3" t="s">
        <v>45</v>
      </c>
      <c r="AJ338" s="3" t="s">
        <v>66</v>
      </c>
      <c r="AK338" s="3" t="s">
        <v>46</v>
      </c>
      <c r="AL338" s="3" t="s">
        <v>68</v>
      </c>
      <c r="AM338" s="3" t="s">
        <v>65</v>
      </c>
    </row>
    <row r="339" spans="1:39" ht="21" customHeight="1">
      <c r="A339" s="4">
        <v>46045</v>
      </c>
      <c r="B339" s="3" t="s">
        <v>65</v>
      </c>
      <c r="C339" s="3" t="s">
        <v>66</v>
      </c>
      <c r="D339" s="4">
        <v>46120</v>
      </c>
      <c r="E339" s="3">
        <v>-75</v>
      </c>
      <c r="F339" s="3" t="s">
        <v>41</v>
      </c>
      <c r="G339" s="3" t="s">
        <v>53</v>
      </c>
      <c r="H339" s="3">
        <v>0</v>
      </c>
      <c r="I339" s="7">
        <v>90552</v>
      </c>
      <c r="J339" s="7">
        <v>40394</v>
      </c>
      <c r="K339" s="7">
        <v>50158</v>
      </c>
      <c r="L339" s="5">
        <f t="shared" si="61"/>
        <v>0.44608622669847159</v>
      </c>
      <c r="M339" s="5">
        <f t="shared" si="62"/>
        <v>0.12830353249018756</v>
      </c>
      <c r="N339" s="7">
        <f t="shared" si="63"/>
        <v>86201</v>
      </c>
      <c r="O339" s="7"/>
      <c r="P339" s="8"/>
      <c r="Q339" s="7"/>
      <c r="R339" s="7"/>
      <c r="S339" s="7"/>
      <c r="T339" s="7"/>
      <c r="U339" s="7"/>
      <c r="V339" s="7"/>
      <c r="W339" s="7"/>
      <c r="X339" s="3" t="s">
        <v>67</v>
      </c>
      <c r="Y339" s="3"/>
      <c r="Z339" s="9">
        <v>3.2649999999999998E-2</v>
      </c>
      <c r="AA339" s="5">
        <f t="shared" si="60"/>
        <v>-5.717585908172107E-2</v>
      </c>
      <c r="AB339" s="9">
        <f t="shared" si="64"/>
        <v>4.3665714285714287E-2</v>
      </c>
      <c r="AC339" s="9"/>
      <c r="AD339" s="8"/>
      <c r="AE339" s="3" t="s">
        <v>44</v>
      </c>
      <c r="AF339" s="10"/>
      <c r="AG339" s="11"/>
      <c r="AH339" s="11"/>
      <c r="AI339" s="3" t="s">
        <v>45</v>
      </c>
      <c r="AJ339" s="3" t="s">
        <v>66</v>
      </c>
      <c r="AK339" s="3" t="s">
        <v>46</v>
      </c>
      <c r="AL339" s="3" t="s">
        <v>68</v>
      </c>
      <c r="AM339" s="3" t="s">
        <v>65</v>
      </c>
    </row>
    <row r="340" spans="1:39" ht="21" customHeight="1">
      <c r="A340" s="4">
        <v>46046</v>
      </c>
      <c r="B340" s="3" t="s">
        <v>65</v>
      </c>
      <c r="C340" s="3" t="s">
        <v>66</v>
      </c>
      <c r="D340" s="4">
        <v>46120</v>
      </c>
      <c r="E340" s="3">
        <v>-74</v>
      </c>
      <c r="F340" s="3" t="s">
        <v>41</v>
      </c>
      <c r="G340" s="3" t="s">
        <v>42</v>
      </c>
      <c r="H340" s="3">
        <v>1</v>
      </c>
      <c r="I340" s="7">
        <v>99631</v>
      </c>
      <c r="J340" s="7">
        <v>53935</v>
      </c>
      <c r="K340" s="7">
        <v>45696</v>
      </c>
      <c r="L340" s="5">
        <f t="shared" si="61"/>
        <v>0.54134757254268251</v>
      </c>
      <c r="M340" s="5">
        <f t="shared" si="62"/>
        <v>0.10026283240568956</v>
      </c>
      <c r="N340" s="7">
        <f t="shared" si="63"/>
        <v>86221.428571428565</v>
      </c>
      <c r="O340" s="7"/>
      <c r="P340" s="8"/>
      <c r="Q340" s="7"/>
      <c r="R340" s="7"/>
      <c r="S340" s="7"/>
      <c r="T340" s="7"/>
      <c r="U340" s="7"/>
      <c r="V340" s="7"/>
      <c r="W340" s="7"/>
      <c r="X340" s="3" t="s">
        <v>67</v>
      </c>
      <c r="Y340" s="3"/>
      <c r="Z340" s="9">
        <v>3.5409999999999997E-2</v>
      </c>
      <c r="AA340" s="5">
        <f t="shared" si="60"/>
        <v>8.453292496171505E-2</v>
      </c>
      <c r="AB340" s="9">
        <f t="shared" si="64"/>
        <v>3.9425714285714286E-2</v>
      </c>
      <c r="AC340" s="9"/>
      <c r="AD340" s="8"/>
      <c r="AE340" s="3" t="s">
        <v>44</v>
      </c>
      <c r="AF340" s="10"/>
      <c r="AG340" s="11"/>
      <c r="AH340" s="11"/>
      <c r="AI340" s="3" t="s">
        <v>45</v>
      </c>
      <c r="AJ340" s="3" t="s">
        <v>66</v>
      </c>
      <c r="AK340" s="3" t="s">
        <v>46</v>
      </c>
      <c r="AL340" s="3" t="s">
        <v>68</v>
      </c>
      <c r="AM340" s="3" t="s">
        <v>65</v>
      </c>
    </row>
    <row r="341" spans="1:39" ht="21" customHeight="1">
      <c r="A341" s="4">
        <v>46047</v>
      </c>
      <c r="B341" s="3" t="s">
        <v>65</v>
      </c>
      <c r="C341" s="3" t="s">
        <v>66</v>
      </c>
      <c r="D341" s="4">
        <v>46120</v>
      </c>
      <c r="E341" s="3">
        <v>-73</v>
      </c>
      <c r="F341" s="3" t="s">
        <v>41</v>
      </c>
      <c r="G341" s="3" t="s">
        <v>48</v>
      </c>
      <c r="H341" s="3">
        <v>1</v>
      </c>
      <c r="I341" s="7">
        <v>99806</v>
      </c>
      <c r="J341" s="7">
        <v>53998</v>
      </c>
      <c r="K341" s="7">
        <v>45808</v>
      </c>
      <c r="L341" s="5">
        <f t="shared" si="61"/>
        <v>0.54102959741899281</v>
      </c>
      <c r="M341" s="5">
        <f t="shared" si="62"/>
        <v>1.7564814164265918E-3</v>
      </c>
      <c r="N341" s="7">
        <f t="shared" si="63"/>
        <v>87096</v>
      </c>
      <c r="O341" s="7"/>
      <c r="P341" s="8"/>
      <c r="Q341" s="7"/>
      <c r="R341" s="7"/>
      <c r="S341" s="7"/>
      <c r="T341" s="7"/>
      <c r="U341" s="7"/>
      <c r="V341" s="7"/>
      <c r="W341" s="7"/>
      <c r="X341" s="3" t="s">
        <v>67</v>
      </c>
      <c r="Y341" s="3"/>
      <c r="Z341" s="9">
        <v>3.9079999999999997E-2</v>
      </c>
      <c r="AA341" s="5">
        <f t="shared" si="60"/>
        <v>0.10364303868963565</v>
      </c>
      <c r="AB341" s="9">
        <f t="shared" si="64"/>
        <v>3.7668571428571433E-2</v>
      </c>
      <c r="AC341" s="9"/>
      <c r="AD341" s="8"/>
      <c r="AE341" s="3" t="s">
        <v>44</v>
      </c>
      <c r="AF341" s="10"/>
      <c r="AG341" s="11"/>
      <c r="AH341" s="11"/>
      <c r="AI341" s="3" t="s">
        <v>45</v>
      </c>
      <c r="AJ341" s="3" t="s">
        <v>66</v>
      </c>
      <c r="AK341" s="3" t="s">
        <v>46</v>
      </c>
      <c r="AL341" s="3" t="s">
        <v>68</v>
      </c>
      <c r="AM341" s="3" t="s">
        <v>65</v>
      </c>
    </row>
    <row r="342" spans="1:39" ht="21" customHeight="1">
      <c r="A342" s="4">
        <v>46048</v>
      </c>
      <c r="B342" s="3" t="s">
        <v>65</v>
      </c>
      <c r="C342" s="3" t="s">
        <v>66</v>
      </c>
      <c r="D342" s="4">
        <v>46120</v>
      </c>
      <c r="E342" s="3">
        <v>-72</v>
      </c>
      <c r="F342" s="3" t="s">
        <v>41</v>
      </c>
      <c r="G342" s="3" t="s">
        <v>49</v>
      </c>
      <c r="H342" s="3">
        <v>0</v>
      </c>
      <c r="I342" s="7">
        <v>86863</v>
      </c>
      <c r="J342" s="7">
        <v>37016</v>
      </c>
      <c r="K342" s="7">
        <v>49847</v>
      </c>
      <c r="L342" s="5">
        <f t="shared" si="61"/>
        <v>0.42614231606092351</v>
      </c>
      <c r="M342" s="5">
        <f t="shared" si="62"/>
        <v>-0.12968158226960302</v>
      </c>
      <c r="N342" s="7">
        <f t="shared" si="63"/>
        <v>88029.571428571435</v>
      </c>
      <c r="O342" s="7"/>
      <c r="P342" s="8"/>
      <c r="Q342" s="7"/>
      <c r="R342" s="7"/>
      <c r="S342" s="7"/>
      <c r="T342" s="7"/>
      <c r="U342" s="7"/>
      <c r="V342" s="7"/>
      <c r="W342" s="7"/>
      <c r="X342" s="3" t="s">
        <v>67</v>
      </c>
      <c r="Y342" s="3"/>
      <c r="Z342" s="9">
        <v>4.6149999999999997E-2</v>
      </c>
      <c r="AA342" s="5">
        <f t="shared" si="60"/>
        <v>0.18091095189355166</v>
      </c>
      <c r="AB342" s="9">
        <f t="shared" si="64"/>
        <v>3.8224285714285711E-2</v>
      </c>
      <c r="AC342" s="9"/>
      <c r="AD342" s="8"/>
      <c r="AE342" s="3" t="s">
        <v>44</v>
      </c>
      <c r="AF342" s="10"/>
      <c r="AG342" s="11"/>
      <c r="AH342" s="11"/>
      <c r="AI342" s="3" t="s">
        <v>45</v>
      </c>
      <c r="AJ342" s="3" t="s">
        <v>66</v>
      </c>
      <c r="AK342" s="3" t="s">
        <v>46</v>
      </c>
      <c r="AL342" s="3" t="s">
        <v>68</v>
      </c>
      <c r="AM342" s="3" t="s">
        <v>65</v>
      </c>
    </row>
    <row r="343" spans="1:39" ht="21" customHeight="1">
      <c r="A343" s="4">
        <v>46049</v>
      </c>
      <c r="B343" s="3" t="s">
        <v>65</v>
      </c>
      <c r="C343" s="3" t="s">
        <v>66</v>
      </c>
      <c r="D343" s="4">
        <v>46120</v>
      </c>
      <c r="E343" s="3">
        <v>-71</v>
      </c>
      <c r="F343" s="3" t="s">
        <v>41</v>
      </c>
      <c r="G343" s="3" t="s">
        <v>50</v>
      </c>
      <c r="H343" s="3">
        <v>0</v>
      </c>
      <c r="I343" s="7">
        <v>89078</v>
      </c>
      <c r="J343" s="7">
        <v>38958</v>
      </c>
      <c r="K343" s="7">
        <v>50120</v>
      </c>
      <c r="L343" s="5">
        <f t="shared" si="61"/>
        <v>0.43734704416354209</v>
      </c>
      <c r="M343" s="5">
        <f t="shared" si="62"/>
        <v>2.5499925169519821E-2</v>
      </c>
      <c r="N343" s="7">
        <f t="shared" si="63"/>
        <v>89221</v>
      </c>
      <c r="O343" s="7"/>
      <c r="P343" s="8"/>
      <c r="Q343" s="7"/>
      <c r="R343" s="7"/>
      <c r="S343" s="7"/>
      <c r="T343" s="7"/>
      <c r="U343" s="7"/>
      <c r="V343" s="7"/>
      <c r="W343" s="7"/>
      <c r="X343" s="3" t="s">
        <v>67</v>
      </c>
      <c r="Y343" s="3"/>
      <c r="Z343" s="9">
        <v>8.9120000000000005E-2</v>
      </c>
      <c r="AA343" s="5">
        <f t="shared" si="60"/>
        <v>0.93109425785482158</v>
      </c>
      <c r="AB343" s="9">
        <f t="shared" si="64"/>
        <v>4.5221428571428572E-2</v>
      </c>
      <c r="AC343" s="9"/>
      <c r="AD343" s="8"/>
      <c r="AE343" s="3" t="s">
        <v>44</v>
      </c>
      <c r="AF343" s="10"/>
      <c r="AG343" s="11"/>
      <c r="AH343" s="11"/>
      <c r="AI343" s="3" t="s">
        <v>45</v>
      </c>
      <c r="AJ343" s="3" t="s">
        <v>66</v>
      </c>
      <c r="AK343" s="3" t="s">
        <v>46</v>
      </c>
      <c r="AL343" s="3" t="s">
        <v>68</v>
      </c>
      <c r="AM343" s="3" t="s">
        <v>65</v>
      </c>
    </row>
    <row r="344" spans="1:39" ht="21" customHeight="1">
      <c r="A344" s="4">
        <v>46050</v>
      </c>
      <c r="B344" s="3" t="s">
        <v>65</v>
      </c>
      <c r="C344" s="3" t="s">
        <v>66</v>
      </c>
      <c r="D344" s="4">
        <v>46120</v>
      </c>
      <c r="E344" s="3">
        <v>-70</v>
      </c>
      <c r="F344" s="3" t="s">
        <v>41</v>
      </c>
      <c r="G344" s="3" t="s">
        <v>51</v>
      </c>
      <c r="H344" s="3">
        <v>0</v>
      </c>
      <c r="I344" s="7">
        <v>88739</v>
      </c>
      <c r="J344" s="7">
        <v>38630</v>
      </c>
      <c r="K344" s="7">
        <v>50110</v>
      </c>
      <c r="L344" s="5">
        <f t="shared" si="61"/>
        <v>0.43532156098220626</v>
      </c>
      <c r="M344" s="5">
        <f t="shared" si="62"/>
        <v>-3.8056534722378244E-3</v>
      </c>
      <c r="N344" s="7">
        <f t="shared" si="63"/>
        <v>90703.428571428565</v>
      </c>
      <c r="O344" s="7"/>
      <c r="P344" s="8"/>
      <c r="Q344" s="7"/>
      <c r="R344" s="7"/>
      <c r="S344" s="7"/>
      <c r="T344" s="7"/>
      <c r="U344" s="7"/>
      <c r="V344" s="7"/>
      <c r="W344" s="7"/>
      <c r="X344" s="3" t="s">
        <v>67</v>
      </c>
      <c r="Y344" s="3"/>
      <c r="Z344" s="9">
        <v>9.4640000000000002E-2</v>
      </c>
      <c r="AA344" s="5">
        <f t="shared" si="60"/>
        <v>6.193895870736088E-2</v>
      </c>
      <c r="AB344" s="9">
        <f t="shared" si="64"/>
        <v>5.3097142857142857E-2</v>
      </c>
      <c r="AC344" s="9"/>
      <c r="AD344" s="8"/>
      <c r="AE344" s="3" t="s">
        <v>44</v>
      </c>
      <c r="AF344" s="10"/>
      <c r="AG344" s="11"/>
      <c r="AH344" s="11"/>
      <c r="AI344" s="3" t="s">
        <v>45</v>
      </c>
      <c r="AJ344" s="3" t="s">
        <v>66</v>
      </c>
      <c r="AK344" s="3" t="s">
        <v>46</v>
      </c>
      <c r="AL344" s="3" t="s">
        <v>68</v>
      </c>
      <c r="AM344" s="3" t="s">
        <v>65</v>
      </c>
    </row>
    <row r="345" spans="1:39" ht="21" customHeight="1">
      <c r="A345" s="4">
        <v>46051</v>
      </c>
      <c r="B345" s="3" t="s">
        <v>65</v>
      </c>
      <c r="C345" s="3" t="s">
        <v>66</v>
      </c>
      <c r="D345" s="4">
        <v>46120</v>
      </c>
      <c r="E345" s="3">
        <v>-69</v>
      </c>
      <c r="F345" s="3" t="s">
        <v>41</v>
      </c>
      <c r="G345" s="3" t="s">
        <v>52</v>
      </c>
      <c r="H345" s="3">
        <v>0</v>
      </c>
      <c r="I345" s="7">
        <v>89880</v>
      </c>
      <c r="J345" s="7">
        <v>39904</v>
      </c>
      <c r="K345" s="7">
        <v>49976</v>
      </c>
      <c r="L345" s="5">
        <f t="shared" si="61"/>
        <v>0.44396973742768137</v>
      </c>
      <c r="M345" s="5">
        <f t="shared" si="62"/>
        <v>1.2857931687307644E-2</v>
      </c>
      <c r="N345" s="7">
        <f t="shared" si="63"/>
        <v>92078.428571428565</v>
      </c>
      <c r="O345" s="7">
        <f t="shared" ref="O345:O408" si="65">AVERAGE(I317:I344)</f>
        <v>86799.857142857145</v>
      </c>
      <c r="P345" s="8">
        <f t="shared" ref="P345:P408" si="66">IFERROR(I345/O345,"")</f>
        <v>1.0354855751902159</v>
      </c>
      <c r="Q345" s="7"/>
      <c r="R345" s="7"/>
      <c r="S345" s="7"/>
      <c r="T345" s="7"/>
      <c r="U345" s="7"/>
      <c r="V345" s="7"/>
      <c r="W345" s="7"/>
      <c r="X345" s="3" t="s">
        <v>67</v>
      </c>
      <c r="Y345" s="3"/>
      <c r="Z345" s="9">
        <v>4.5580000000000002E-2</v>
      </c>
      <c r="AA345" s="5">
        <f t="shared" si="60"/>
        <v>-0.51838546069315306</v>
      </c>
      <c r="AB345" s="9">
        <f t="shared" si="64"/>
        <v>5.4661428571428569E-2</v>
      </c>
      <c r="AC345" s="9">
        <f t="shared" ref="AC345:AC408" si="67">AVERAGE(Z317:Z344)</f>
        <v>6.7701785714285714E-2</v>
      </c>
      <c r="AD345" s="8">
        <f t="shared" ref="AD345:AD408" si="68">IFERROR(AB345/AC345,"")</f>
        <v>0.80738532957033204</v>
      </c>
      <c r="AE345" s="3" t="s">
        <v>44</v>
      </c>
      <c r="AF345" s="10">
        <f t="shared" ref="AF345:AF408" si="69">IF(COUNT(J338,J331,J324,J317)=4,AVERAGE(J338,J331,J324,J317),"")</f>
        <v>38565.25</v>
      </c>
      <c r="AG345" s="11">
        <f t="shared" ref="AG345:AG408" si="70">IFERROR(J345/AF345,"")</f>
        <v>1.0347138939848699</v>
      </c>
      <c r="AH345" s="11">
        <f t="shared" ref="AH345:AH408" si="71">IFERROR(Z345/AC345,"")</f>
        <v>0.67324664363147213</v>
      </c>
      <c r="AI345" s="3" t="s">
        <v>45</v>
      </c>
      <c r="AJ345" s="3" t="s">
        <v>66</v>
      </c>
      <c r="AK345" s="3" t="s">
        <v>46</v>
      </c>
      <c r="AL345" s="3" t="s">
        <v>68</v>
      </c>
      <c r="AM345" s="3" t="s">
        <v>65</v>
      </c>
    </row>
    <row r="346" spans="1:39" ht="21" customHeight="1">
      <c r="A346" s="4">
        <v>46052</v>
      </c>
      <c r="B346" s="3" t="s">
        <v>65</v>
      </c>
      <c r="C346" s="3" t="s">
        <v>66</v>
      </c>
      <c r="D346" s="4">
        <v>46120</v>
      </c>
      <c r="E346" s="3">
        <v>-68</v>
      </c>
      <c r="F346" s="3" t="s">
        <v>41</v>
      </c>
      <c r="G346" s="3" t="s">
        <v>53</v>
      </c>
      <c r="H346" s="3">
        <v>0</v>
      </c>
      <c r="I346" s="7">
        <v>93919</v>
      </c>
      <c r="J346" s="7">
        <v>43264</v>
      </c>
      <c r="K346" s="7">
        <v>50656</v>
      </c>
      <c r="L346" s="5">
        <f t="shared" si="61"/>
        <v>0.46065226418509569</v>
      </c>
      <c r="M346" s="5">
        <f t="shared" si="62"/>
        <v>4.4937694704049846E-2</v>
      </c>
      <c r="N346" s="7">
        <f t="shared" si="63"/>
        <v>92559.428571428565</v>
      </c>
      <c r="O346" s="7">
        <f t="shared" si="65"/>
        <v>86521.857142857145</v>
      </c>
      <c r="P346" s="8">
        <f t="shared" si="66"/>
        <v>1.0854944993255213</v>
      </c>
      <c r="Q346" s="7"/>
      <c r="R346" s="7"/>
      <c r="S346" s="7"/>
      <c r="T346" s="7"/>
      <c r="U346" s="7"/>
      <c r="V346" s="7"/>
      <c r="W346" s="7"/>
      <c r="X346" s="3" t="s">
        <v>67</v>
      </c>
      <c r="Y346" s="3"/>
      <c r="Z346" s="9">
        <v>4.0500000000000001E-2</v>
      </c>
      <c r="AA346" s="5">
        <f t="shared" si="60"/>
        <v>-0.11145239139973673</v>
      </c>
      <c r="AB346" s="9">
        <f t="shared" si="64"/>
        <v>5.5782857142857141E-2</v>
      </c>
      <c r="AC346" s="9">
        <f t="shared" si="67"/>
        <v>6.7698928571428563E-2</v>
      </c>
      <c r="AD346" s="8">
        <f t="shared" si="68"/>
        <v>0.82398434244053242</v>
      </c>
      <c r="AE346" s="3" t="s">
        <v>44</v>
      </c>
      <c r="AF346" s="10">
        <f t="shared" si="69"/>
        <v>37616.5</v>
      </c>
      <c r="AG346" s="11">
        <f t="shared" si="70"/>
        <v>1.150133584995946</v>
      </c>
      <c r="AH346" s="11">
        <f t="shared" si="71"/>
        <v>0.59823694192248256</v>
      </c>
      <c r="AI346" s="3" t="s">
        <v>45</v>
      </c>
      <c r="AJ346" s="3" t="s">
        <v>66</v>
      </c>
      <c r="AK346" s="3" t="s">
        <v>46</v>
      </c>
      <c r="AL346" s="3" t="s">
        <v>68</v>
      </c>
      <c r="AM346" s="3" t="s">
        <v>65</v>
      </c>
    </row>
    <row r="347" spans="1:39" ht="21" customHeight="1">
      <c r="A347" s="4">
        <v>46053</v>
      </c>
      <c r="B347" s="3" t="s">
        <v>65</v>
      </c>
      <c r="C347" s="3" t="s">
        <v>66</v>
      </c>
      <c r="D347" s="4">
        <v>46120</v>
      </c>
      <c r="E347" s="3">
        <v>-67</v>
      </c>
      <c r="F347" s="3" t="s">
        <v>41</v>
      </c>
      <c r="G347" s="3" t="s">
        <v>42</v>
      </c>
      <c r="H347" s="3">
        <v>1</v>
      </c>
      <c r="I347" s="7">
        <v>105945</v>
      </c>
      <c r="J347" s="7">
        <v>59770</v>
      </c>
      <c r="K347" s="7">
        <v>46176</v>
      </c>
      <c r="L347" s="5">
        <f t="shared" si="61"/>
        <v>0.56416064939355326</v>
      </c>
      <c r="M347" s="5">
        <f t="shared" si="62"/>
        <v>0.12804650816128782</v>
      </c>
      <c r="N347" s="7">
        <f t="shared" si="63"/>
        <v>93461.428571428565</v>
      </c>
      <c r="O347" s="7">
        <f t="shared" si="65"/>
        <v>86742.25</v>
      </c>
      <c r="P347" s="8">
        <f t="shared" si="66"/>
        <v>1.2213771259103838</v>
      </c>
      <c r="Q347" s="7"/>
      <c r="R347" s="7"/>
      <c r="S347" s="7"/>
      <c r="T347" s="7"/>
      <c r="U347" s="7"/>
      <c r="V347" s="7"/>
      <c r="W347" s="7"/>
      <c r="X347" s="3" t="s">
        <v>67</v>
      </c>
      <c r="Y347" s="3"/>
      <c r="Z347" s="9">
        <v>4.2549999999999998E-2</v>
      </c>
      <c r="AA347" s="5">
        <f t="shared" si="60"/>
        <v>5.0617283950617153E-2</v>
      </c>
      <c r="AB347" s="9">
        <f t="shared" si="64"/>
        <v>5.6802857142857141E-2</v>
      </c>
      <c r="AC347" s="9">
        <f t="shared" si="67"/>
        <v>5.8326428571428571E-2</v>
      </c>
      <c r="AD347" s="8">
        <f t="shared" si="68"/>
        <v>0.97387854072522873</v>
      </c>
      <c r="AE347" s="3" t="s">
        <v>44</v>
      </c>
      <c r="AF347" s="10">
        <f t="shared" si="69"/>
        <v>51395.75</v>
      </c>
      <c r="AG347" s="11">
        <f t="shared" si="70"/>
        <v>1.1629366241372099</v>
      </c>
      <c r="AH347" s="11">
        <f t="shared" si="71"/>
        <v>0.72951492217446146</v>
      </c>
      <c r="AI347" s="3" t="s">
        <v>45</v>
      </c>
      <c r="AJ347" s="3" t="s">
        <v>66</v>
      </c>
      <c r="AK347" s="3" t="s">
        <v>46</v>
      </c>
      <c r="AL347" s="3" t="s">
        <v>68</v>
      </c>
      <c r="AM347" s="3" t="s">
        <v>65</v>
      </c>
    </row>
    <row r="348" spans="1:39" ht="21" customHeight="1">
      <c r="A348" s="4">
        <v>46054</v>
      </c>
      <c r="B348" s="3" t="s">
        <v>65</v>
      </c>
      <c r="C348" s="3" t="s">
        <v>66</v>
      </c>
      <c r="D348" s="4">
        <v>46120</v>
      </c>
      <c r="E348" s="3">
        <v>-66</v>
      </c>
      <c r="F348" s="3" t="s">
        <v>41</v>
      </c>
      <c r="G348" s="3" t="s">
        <v>48</v>
      </c>
      <c r="H348" s="3">
        <v>1</v>
      </c>
      <c r="I348" s="7">
        <v>98430</v>
      </c>
      <c r="J348" s="7">
        <v>49458</v>
      </c>
      <c r="K348" s="7">
        <v>48972</v>
      </c>
      <c r="L348" s="5">
        <f t="shared" si="61"/>
        <v>0.50246875952453518</v>
      </c>
      <c r="M348" s="5">
        <f t="shared" si="62"/>
        <v>-7.0933031289820203E-2</v>
      </c>
      <c r="N348" s="7">
        <f t="shared" si="63"/>
        <v>93264.857142857145</v>
      </c>
      <c r="O348" s="7">
        <f t="shared" si="65"/>
        <v>87096.25</v>
      </c>
      <c r="P348" s="8">
        <f t="shared" si="66"/>
        <v>1.1301290239246811</v>
      </c>
      <c r="Q348" s="7"/>
      <c r="R348" s="7"/>
      <c r="S348" s="7"/>
      <c r="T348" s="7"/>
      <c r="U348" s="7"/>
      <c r="V348" s="7"/>
      <c r="W348" s="7"/>
      <c r="X348" s="3" t="s">
        <v>69</v>
      </c>
      <c r="Y348" s="3"/>
      <c r="Z348" s="9">
        <v>4.24E-2</v>
      </c>
      <c r="AA348" s="5">
        <f t="shared" si="60"/>
        <v>-3.5252643948295859E-3</v>
      </c>
      <c r="AB348" s="9">
        <f t="shared" si="64"/>
        <v>5.7277142857142853E-2</v>
      </c>
      <c r="AC348" s="9">
        <f t="shared" si="67"/>
        <v>5.1175357142857147E-2</v>
      </c>
      <c r="AD348" s="8">
        <f t="shared" si="68"/>
        <v>1.1192328897139385</v>
      </c>
      <c r="AE348" s="3" t="s">
        <v>44</v>
      </c>
      <c r="AF348" s="10">
        <f t="shared" si="69"/>
        <v>48220.25</v>
      </c>
      <c r="AG348" s="11">
        <f t="shared" si="70"/>
        <v>1.0256686765414944</v>
      </c>
      <c r="AH348" s="11">
        <f t="shared" si="71"/>
        <v>0.82852377330048632</v>
      </c>
      <c r="AI348" s="3" t="s">
        <v>45</v>
      </c>
      <c r="AJ348" s="3" t="s">
        <v>66</v>
      </c>
      <c r="AK348" s="3" t="s">
        <v>46</v>
      </c>
      <c r="AL348" s="3" t="s">
        <v>68</v>
      </c>
      <c r="AM348" s="3" t="s">
        <v>65</v>
      </c>
    </row>
    <row r="349" spans="1:39" ht="21" customHeight="1">
      <c r="A349" s="4">
        <v>46055</v>
      </c>
      <c r="B349" s="3" t="s">
        <v>65</v>
      </c>
      <c r="C349" s="3" t="s">
        <v>66</v>
      </c>
      <c r="D349" s="4">
        <v>46120</v>
      </c>
      <c r="E349" s="3">
        <v>-65</v>
      </c>
      <c r="F349" s="3" t="s">
        <v>41</v>
      </c>
      <c r="G349" s="3" t="s">
        <v>49</v>
      </c>
      <c r="H349" s="3">
        <v>0</v>
      </c>
      <c r="I349" s="7">
        <v>82369</v>
      </c>
      <c r="J349" s="7">
        <v>29040</v>
      </c>
      <c r="K349" s="7">
        <v>53330</v>
      </c>
      <c r="L349" s="5">
        <f t="shared" si="61"/>
        <v>0.35255982226323007</v>
      </c>
      <c r="M349" s="5">
        <f t="shared" si="62"/>
        <v>-0.16317179721629582</v>
      </c>
      <c r="N349" s="7">
        <f t="shared" si="63"/>
        <v>92622.857142857145</v>
      </c>
      <c r="O349" s="7">
        <f t="shared" si="65"/>
        <v>87366.75</v>
      </c>
      <c r="P349" s="8">
        <f t="shared" si="66"/>
        <v>0.9427957432318359</v>
      </c>
      <c r="Q349" s="7"/>
      <c r="R349" s="7"/>
      <c r="S349" s="7"/>
      <c r="T349" s="7"/>
      <c r="U349" s="7"/>
      <c r="V349" s="7"/>
      <c r="W349" s="7"/>
      <c r="X349" s="3" t="s">
        <v>69</v>
      </c>
      <c r="Y349" s="3"/>
      <c r="Z349" s="9">
        <v>4.2119999999999998E-2</v>
      </c>
      <c r="AA349" s="5">
        <f t="shared" si="60"/>
        <v>-6.6037735849057144E-3</v>
      </c>
      <c r="AB349" s="9">
        <f t="shared" si="64"/>
        <v>5.6701428571428569E-2</v>
      </c>
      <c r="AC349" s="9">
        <f t="shared" si="67"/>
        <v>4.8491785714285716E-2</v>
      </c>
      <c r="AD349" s="8">
        <f t="shared" si="68"/>
        <v>1.1692996604726866</v>
      </c>
      <c r="AE349" s="3" t="s">
        <v>44</v>
      </c>
      <c r="AF349" s="10">
        <f t="shared" si="69"/>
        <v>32818.5</v>
      </c>
      <c r="AG349" s="11">
        <f t="shared" si="70"/>
        <v>0.88486676721970836</v>
      </c>
      <c r="AH349" s="11">
        <f t="shared" si="71"/>
        <v>0.86860072029872504</v>
      </c>
      <c r="AI349" s="3" t="s">
        <v>45</v>
      </c>
      <c r="AJ349" s="3" t="s">
        <v>66</v>
      </c>
      <c r="AK349" s="3" t="s">
        <v>46</v>
      </c>
      <c r="AL349" s="3" t="s">
        <v>68</v>
      </c>
      <c r="AM349" s="3" t="s">
        <v>65</v>
      </c>
    </row>
    <row r="350" spans="1:39" ht="21" customHeight="1">
      <c r="A350" s="4">
        <v>46056</v>
      </c>
      <c r="B350" s="3" t="s">
        <v>65</v>
      </c>
      <c r="C350" s="3" t="s">
        <v>66</v>
      </c>
      <c r="D350" s="4">
        <v>46120</v>
      </c>
      <c r="E350" s="3">
        <v>-64</v>
      </c>
      <c r="F350" s="3" t="s">
        <v>41</v>
      </c>
      <c r="G350" s="3" t="s">
        <v>50</v>
      </c>
      <c r="H350" s="3">
        <v>0</v>
      </c>
      <c r="I350" s="7">
        <v>88592</v>
      </c>
      <c r="J350" s="7">
        <v>33887</v>
      </c>
      <c r="K350" s="7">
        <v>54705</v>
      </c>
      <c r="L350" s="5">
        <f t="shared" si="61"/>
        <v>0.38250632111251581</v>
      </c>
      <c r="M350" s="5">
        <f t="shared" si="62"/>
        <v>7.5550267697798823E-2</v>
      </c>
      <c r="N350" s="7">
        <f t="shared" si="63"/>
        <v>92553.428571428565</v>
      </c>
      <c r="O350" s="7">
        <f t="shared" si="65"/>
        <v>87426</v>
      </c>
      <c r="P350" s="8">
        <f t="shared" si="66"/>
        <v>1.0133369935717063</v>
      </c>
      <c r="Q350" s="7"/>
      <c r="R350" s="7"/>
      <c r="S350" s="7"/>
      <c r="T350" s="7"/>
      <c r="U350" s="7"/>
      <c r="V350" s="7"/>
      <c r="W350" s="7"/>
      <c r="X350" s="3" t="s">
        <v>69</v>
      </c>
      <c r="Y350" s="3"/>
      <c r="Z350" s="9">
        <v>4.0500000000000001E-2</v>
      </c>
      <c r="AA350" s="5">
        <f t="shared" si="60"/>
        <v>-3.8461538461538325E-2</v>
      </c>
      <c r="AB350" s="9">
        <f t="shared" si="64"/>
        <v>4.9755714285714285E-2</v>
      </c>
      <c r="AC350" s="9">
        <f t="shared" si="67"/>
        <v>4.7191785714285714E-2</v>
      </c>
      <c r="AD350" s="8">
        <f t="shared" si="68"/>
        <v>1.0543299757070312</v>
      </c>
      <c r="AE350" s="3" t="s">
        <v>44</v>
      </c>
      <c r="AF350" s="10">
        <f t="shared" si="69"/>
        <v>33685.5</v>
      </c>
      <c r="AG350" s="11">
        <f t="shared" si="70"/>
        <v>1.0059818022591323</v>
      </c>
      <c r="AH350" s="11">
        <f t="shared" si="71"/>
        <v>0.8582002013062201</v>
      </c>
      <c r="AI350" s="3" t="s">
        <v>45</v>
      </c>
      <c r="AJ350" s="3" t="s">
        <v>66</v>
      </c>
      <c r="AK350" s="3" t="s">
        <v>46</v>
      </c>
      <c r="AL350" s="3" t="s">
        <v>68</v>
      </c>
      <c r="AM350" s="3" t="s">
        <v>65</v>
      </c>
    </row>
    <row r="351" spans="1:39" ht="21" customHeight="1">
      <c r="A351" s="4">
        <v>46057</v>
      </c>
      <c r="B351" s="3" t="s">
        <v>65</v>
      </c>
      <c r="C351" s="3" t="s">
        <v>66</v>
      </c>
      <c r="D351" s="4">
        <v>46120</v>
      </c>
      <c r="E351" s="3">
        <v>-63</v>
      </c>
      <c r="F351" s="3" t="s">
        <v>41</v>
      </c>
      <c r="G351" s="3" t="s">
        <v>51</v>
      </c>
      <c r="H351" s="3">
        <v>0</v>
      </c>
      <c r="I351" s="7">
        <v>87846</v>
      </c>
      <c r="J351" s="7">
        <v>33565</v>
      </c>
      <c r="K351" s="7">
        <v>54282</v>
      </c>
      <c r="L351" s="5">
        <f t="shared" si="61"/>
        <v>0.38208911048880995</v>
      </c>
      <c r="M351" s="5">
        <f t="shared" si="62"/>
        <v>-8.4206248871230294E-3</v>
      </c>
      <c r="N351" s="7">
        <f t="shared" si="63"/>
        <v>92425.857142857145</v>
      </c>
      <c r="O351" s="7">
        <f t="shared" si="65"/>
        <v>87676</v>
      </c>
      <c r="P351" s="8">
        <f t="shared" si="66"/>
        <v>1.0019389570692094</v>
      </c>
      <c r="Q351" s="7"/>
      <c r="R351" s="7"/>
      <c r="S351" s="7"/>
      <c r="T351" s="7"/>
      <c r="U351" s="7"/>
      <c r="V351" s="7"/>
      <c r="W351" s="7"/>
      <c r="X351" s="3" t="s">
        <v>69</v>
      </c>
      <c r="Y351" s="3"/>
      <c r="Z351" s="9">
        <v>3.6540000000000003E-2</v>
      </c>
      <c r="AA351" s="5">
        <f t="shared" si="60"/>
        <v>-9.7777777777777741E-2</v>
      </c>
      <c r="AB351" s="9">
        <f t="shared" si="64"/>
        <v>4.1455714285714283E-2</v>
      </c>
      <c r="AC351" s="9">
        <f t="shared" si="67"/>
        <v>4.6775357142857139E-2</v>
      </c>
      <c r="AD351" s="8">
        <f t="shared" si="68"/>
        <v>0.88627253361431158</v>
      </c>
      <c r="AE351" s="3" t="s">
        <v>44</v>
      </c>
      <c r="AF351" s="10">
        <f t="shared" si="69"/>
        <v>33336</v>
      </c>
      <c r="AG351" s="11">
        <f t="shared" si="70"/>
        <v>1.0068694504439646</v>
      </c>
      <c r="AH351" s="11">
        <f t="shared" si="71"/>
        <v>0.7811805666903362</v>
      </c>
      <c r="AI351" s="3" t="s">
        <v>45</v>
      </c>
      <c r="AJ351" s="3" t="s">
        <v>66</v>
      </c>
      <c r="AK351" s="3" t="s">
        <v>46</v>
      </c>
      <c r="AL351" s="3" t="s">
        <v>68</v>
      </c>
      <c r="AM351" s="3" t="s">
        <v>65</v>
      </c>
    </row>
    <row r="352" spans="1:39" ht="21" customHeight="1">
      <c r="A352" s="4">
        <v>46058</v>
      </c>
      <c r="B352" s="3" t="s">
        <v>65</v>
      </c>
      <c r="C352" s="3" t="s">
        <v>66</v>
      </c>
      <c r="D352" s="4">
        <v>46120</v>
      </c>
      <c r="E352" s="3">
        <v>-62</v>
      </c>
      <c r="F352" s="3" t="s">
        <v>41</v>
      </c>
      <c r="G352" s="3" t="s">
        <v>52</v>
      </c>
      <c r="H352" s="3">
        <v>0</v>
      </c>
      <c r="I352" s="7">
        <v>92466</v>
      </c>
      <c r="J352" s="7">
        <v>37156</v>
      </c>
      <c r="K352" s="7">
        <v>55310</v>
      </c>
      <c r="L352" s="5">
        <f t="shared" si="61"/>
        <v>0.40183418770142537</v>
      </c>
      <c r="M352" s="5">
        <f t="shared" si="62"/>
        <v>5.259203606311047E-2</v>
      </c>
      <c r="N352" s="7">
        <f t="shared" si="63"/>
        <v>92795.28571428571</v>
      </c>
      <c r="O352" s="7">
        <f t="shared" si="65"/>
        <v>87913.5</v>
      </c>
      <c r="P352" s="8">
        <f t="shared" si="66"/>
        <v>1.0517838557218175</v>
      </c>
      <c r="Q352" s="7"/>
      <c r="R352" s="7"/>
      <c r="S352" s="7"/>
      <c r="T352" s="7"/>
      <c r="U352" s="7"/>
      <c r="V352" s="7"/>
      <c r="W352" s="7"/>
      <c r="X352" s="3" t="s">
        <v>69</v>
      </c>
      <c r="Y352" s="3"/>
      <c r="Z352" s="9">
        <v>3.993E-2</v>
      </c>
      <c r="AA352" s="5">
        <f t="shared" si="60"/>
        <v>9.2775041050902951E-2</v>
      </c>
      <c r="AB352" s="9">
        <f t="shared" si="64"/>
        <v>4.064857142857143E-2</v>
      </c>
      <c r="AC352" s="9">
        <f t="shared" si="67"/>
        <v>4.6636785714285714E-2</v>
      </c>
      <c r="AD352" s="8">
        <f t="shared" si="68"/>
        <v>0.8715989064426457</v>
      </c>
      <c r="AE352" s="3" t="s">
        <v>44</v>
      </c>
      <c r="AF352" s="10">
        <f t="shared" si="69"/>
        <v>34864.25</v>
      </c>
      <c r="AG352" s="11">
        <f t="shared" si="70"/>
        <v>1.0657335235950867</v>
      </c>
      <c r="AH352" s="11">
        <f t="shared" si="71"/>
        <v>0.85619108153434986</v>
      </c>
      <c r="AI352" s="3" t="s">
        <v>45</v>
      </c>
      <c r="AJ352" s="3" t="s">
        <v>66</v>
      </c>
      <c r="AK352" s="3" t="s">
        <v>46</v>
      </c>
      <c r="AL352" s="3" t="s">
        <v>68</v>
      </c>
      <c r="AM352" s="3" t="s">
        <v>65</v>
      </c>
    </row>
    <row r="353" spans="1:39" ht="21" customHeight="1">
      <c r="A353" s="4">
        <v>46059</v>
      </c>
      <c r="B353" s="3" t="s">
        <v>65</v>
      </c>
      <c r="C353" s="3" t="s">
        <v>66</v>
      </c>
      <c r="D353" s="4">
        <v>46120</v>
      </c>
      <c r="E353" s="3">
        <v>-61</v>
      </c>
      <c r="F353" s="3" t="s">
        <v>41</v>
      </c>
      <c r="G353" s="3" t="s">
        <v>53</v>
      </c>
      <c r="H353" s="3">
        <v>0</v>
      </c>
      <c r="I353" s="7">
        <v>92628</v>
      </c>
      <c r="J353" s="7">
        <v>38619</v>
      </c>
      <c r="K353" s="7">
        <v>54008</v>
      </c>
      <c r="L353" s="5">
        <f t="shared" si="61"/>
        <v>0.41692576758647493</v>
      </c>
      <c r="M353" s="5">
        <f t="shared" si="62"/>
        <v>1.7519953280125122E-3</v>
      </c>
      <c r="N353" s="7">
        <f t="shared" si="63"/>
        <v>92610.857142857145</v>
      </c>
      <c r="O353" s="7">
        <f t="shared" si="65"/>
        <v>88302.5</v>
      </c>
      <c r="P353" s="8">
        <f t="shared" si="66"/>
        <v>1.0489850230740918</v>
      </c>
      <c r="Q353" s="7"/>
      <c r="R353" s="7"/>
      <c r="S353" s="7"/>
      <c r="T353" s="7"/>
      <c r="U353" s="7"/>
      <c r="V353" s="7"/>
      <c r="W353" s="7"/>
      <c r="X353" s="3" t="s">
        <v>69</v>
      </c>
      <c r="Y353" s="3"/>
      <c r="Z353" s="9">
        <v>4.0140000000000002E-2</v>
      </c>
      <c r="AA353" s="5">
        <f t="shared" si="60"/>
        <v>5.259203606311047E-3</v>
      </c>
      <c r="AB353" s="9">
        <f t="shared" si="64"/>
        <v>4.0597142857142852E-2</v>
      </c>
      <c r="AC353" s="9">
        <f t="shared" si="67"/>
        <v>4.658642857142857E-2</v>
      </c>
      <c r="AD353" s="8">
        <f t="shared" si="68"/>
        <v>0.87143711381303557</v>
      </c>
      <c r="AE353" s="3" t="s">
        <v>44</v>
      </c>
      <c r="AF353" s="10">
        <f t="shared" si="69"/>
        <v>38630.75</v>
      </c>
      <c r="AG353" s="11">
        <f t="shared" si="70"/>
        <v>0.99969583816001506</v>
      </c>
      <c r="AH353" s="11">
        <f t="shared" si="71"/>
        <v>0.86162432345410223</v>
      </c>
      <c r="AI353" s="3" t="s">
        <v>45</v>
      </c>
      <c r="AJ353" s="3" t="s">
        <v>66</v>
      </c>
      <c r="AK353" s="3" t="s">
        <v>46</v>
      </c>
      <c r="AL353" s="3" t="s">
        <v>68</v>
      </c>
      <c r="AM353" s="3" t="s">
        <v>65</v>
      </c>
    </row>
    <row r="354" spans="1:39" ht="21" customHeight="1">
      <c r="A354" s="4">
        <v>46060</v>
      </c>
      <c r="B354" s="3" t="s">
        <v>65</v>
      </c>
      <c r="C354" s="3" t="s">
        <v>66</v>
      </c>
      <c r="D354" s="4">
        <v>46120</v>
      </c>
      <c r="E354" s="3">
        <v>-60</v>
      </c>
      <c r="F354" s="3" t="s">
        <v>41</v>
      </c>
      <c r="G354" s="3" t="s">
        <v>42</v>
      </c>
      <c r="H354" s="3">
        <v>1</v>
      </c>
      <c r="I354" s="7">
        <v>105427</v>
      </c>
      <c r="J354" s="7">
        <v>55832</v>
      </c>
      <c r="K354" s="7">
        <v>49595</v>
      </c>
      <c r="L354" s="5">
        <f t="shared" si="61"/>
        <v>0.52957970918265718</v>
      </c>
      <c r="M354" s="5">
        <f t="shared" si="62"/>
        <v>0.13817636135941624</v>
      </c>
      <c r="N354" s="7">
        <f t="shared" si="63"/>
        <v>92536.857142857145</v>
      </c>
      <c r="O354" s="7">
        <f t="shared" si="65"/>
        <v>88584.142857142855</v>
      </c>
      <c r="P354" s="8">
        <f t="shared" si="66"/>
        <v>1.1901339968939944</v>
      </c>
      <c r="Q354" s="7"/>
      <c r="R354" s="7"/>
      <c r="S354" s="7"/>
      <c r="T354" s="7"/>
      <c r="U354" s="7"/>
      <c r="V354" s="7"/>
      <c r="W354" s="7"/>
      <c r="X354" s="3" t="s">
        <v>69</v>
      </c>
      <c r="Y354" s="3"/>
      <c r="Z354" s="9">
        <v>0.04</v>
      </c>
      <c r="AA354" s="5">
        <f t="shared" si="60"/>
        <v>-3.4877927254609586E-3</v>
      </c>
      <c r="AB354" s="9">
        <f t="shared" si="64"/>
        <v>4.023285714285714E-2</v>
      </c>
      <c r="AC354" s="9">
        <f t="shared" si="67"/>
        <v>4.6657142857142855E-2</v>
      </c>
      <c r="AD354" s="8">
        <f t="shared" si="68"/>
        <v>0.86230863441518679</v>
      </c>
      <c r="AE354" s="3" t="s">
        <v>44</v>
      </c>
      <c r="AF354" s="10">
        <f t="shared" si="69"/>
        <v>53325.25</v>
      </c>
      <c r="AG354" s="11">
        <f t="shared" si="70"/>
        <v>1.047008687254162</v>
      </c>
      <c r="AH354" s="11">
        <f t="shared" si="71"/>
        <v>0.85731781996325784</v>
      </c>
      <c r="AI354" s="3" t="s">
        <v>45</v>
      </c>
      <c r="AJ354" s="3" t="s">
        <v>66</v>
      </c>
      <c r="AK354" s="3" t="s">
        <v>46</v>
      </c>
      <c r="AL354" s="3" t="s">
        <v>68</v>
      </c>
      <c r="AM354" s="3" t="s">
        <v>65</v>
      </c>
    </row>
    <row r="355" spans="1:39" ht="21" customHeight="1">
      <c r="A355" s="4">
        <v>46061</v>
      </c>
      <c r="B355" s="3" t="s">
        <v>65</v>
      </c>
      <c r="C355" s="3" t="s">
        <v>66</v>
      </c>
      <c r="D355" s="4">
        <v>46120</v>
      </c>
      <c r="E355" s="3">
        <v>-59</v>
      </c>
      <c r="F355" s="3" t="s">
        <v>41</v>
      </c>
      <c r="G355" s="3" t="s">
        <v>48</v>
      </c>
      <c r="H355" s="3">
        <v>1</v>
      </c>
      <c r="I355" s="7">
        <v>99099</v>
      </c>
      <c r="J355" s="7">
        <v>50547</v>
      </c>
      <c r="K355" s="7">
        <v>48552</v>
      </c>
      <c r="L355" s="5">
        <f t="shared" si="61"/>
        <v>0.51006569188387374</v>
      </c>
      <c r="M355" s="5">
        <f t="shared" si="62"/>
        <v>-6.0022574862226952E-2</v>
      </c>
      <c r="N355" s="7">
        <f t="shared" si="63"/>
        <v>92632.428571428565</v>
      </c>
      <c r="O355" s="7">
        <f t="shared" si="65"/>
        <v>89177.53571428571</v>
      </c>
      <c r="P355" s="8">
        <f t="shared" si="66"/>
        <v>1.1112551967964386</v>
      </c>
      <c r="Q355" s="7"/>
      <c r="R355" s="7"/>
      <c r="S355" s="7"/>
      <c r="T355" s="7"/>
      <c r="U355" s="7"/>
      <c r="V355" s="7"/>
      <c r="W355" s="7"/>
      <c r="X355" s="3" t="s">
        <v>69</v>
      </c>
      <c r="Y355" s="3"/>
      <c r="Z355" s="9">
        <v>3.7670000000000002E-2</v>
      </c>
      <c r="AA355" s="5">
        <f t="shared" si="60"/>
        <v>-5.8249999999999913E-2</v>
      </c>
      <c r="AB355" s="9">
        <f t="shared" si="64"/>
        <v>3.955714285714286E-2</v>
      </c>
      <c r="AC355" s="9">
        <f t="shared" si="67"/>
        <v>4.6690000000000009E-2</v>
      </c>
      <c r="AD355" s="8">
        <f t="shared" si="68"/>
        <v>0.8472294465012391</v>
      </c>
      <c r="AE355" s="3" t="s">
        <v>44</v>
      </c>
      <c r="AF355" s="10">
        <f t="shared" si="69"/>
        <v>48800.25</v>
      </c>
      <c r="AG355" s="11">
        <f t="shared" si="70"/>
        <v>1.0357938740067929</v>
      </c>
      <c r="AH355" s="11">
        <f t="shared" si="71"/>
        <v>0.80681088027414849</v>
      </c>
      <c r="AI355" s="3" t="s">
        <v>45</v>
      </c>
      <c r="AJ355" s="3" t="s">
        <v>66</v>
      </c>
      <c r="AK355" s="3" t="s">
        <v>46</v>
      </c>
      <c r="AL355" s="3" t="s">
        <v>68</v>
      </c>
      <c r="AM355" s="3" t="s">
        <v>65</v>
      </c>
    </row>
    <row r="356" spans="1:39" ht="21" customHeight="1">
      <c r="A356" s="4">
        <v>46062</v>
      </c>
      <c r="B356" s="3" t="s">
        <v>65</v>
      </c>
      <c r="C356" s="3" t="s">
        <v>66</v>
      </c>
      <c r="D356" s="4">
        <v>46120</v>
      </c>
      <c r="E356" s="3">
        <v>-58</v>
      </c>
      <c r="F356" s="3" t="s">
        <v>41</v>
      </c>
      <c r="G356" s="3" t="s">
        <v>49</v>
      </c>
      <c r="H356" s="3">
        <v>0</v>
      </c>
      <c r="I356" s="7">
        <v>89544</v>
      </c>
      <c r="J356" s="7">
        <v>35606</v>
      </c>
      <c r="K356" s="7">
        <v>53938</v>
      </c>
      <c r="L356" s="5">
        <f t="shared" si="61"/>
        <v>0.39763691592959888</v>
      </c>
      <c r="M356" s="5">
        <f t="shared" si="62"/>
        <v>-9.6418732782369121E-2</v>
      </c>
      <c r="N356" s="7">
        <f t="shared" si="63"/>
        <v>93657.428571428565</v>
      </c>
      <c r="O356" s="7">
        <f t="shared" si="65"/>
        <v>89731.928571428565</v>
      </c>
      <c r="P356" s="8">
        <f t="shared" si="66"/>
        <v>0.99790566664039804</v>
      </c>
      <c r="Q356" s="7"/>
      <c r="R356" s="7"/>
      <c r="S356" s="7"/>
      <c r="T356" s="7"/>
      <c r="U356" s="7"/>
      <c r="V356" s="7"/>
      <c r="W356" s="7"/>
      <c r="X356" s="3" t="s">
        <v>69</v>
      </c>
      <c r="Y356" s="3"/>
      <c r="Z356" s="9">
        <v>4.113E-2</v>
      </c>
      <c r="AA356" s="5">
        <f t="shared" si="60"/>
        <v>9.1850278736394841E-2</v>
      </c>
      <c r="AB356" s="9">
        <f t="shared" si="64"/>
        <v>3.9415714285714283E-2</v>
      </c>
      <c r="AC356" s="9">
        <f t="shared" si="67"/>
        <v>4.6712857142857153E-2</v>
      </c>
      <c r="AD356" s="8">
        <f t="shared" si="68"/>
        <v>0.84378727178201141</v>
      </c>
      <c r="AE356" s="3" t="s">
        <v>44</v>
      </c>
      <c r="AF356" s="10">
        <f t="shared" si="69"/>
        <v>32392.5</v>
      </c>
      <c r="AG356" s="11">
        <f t="shared" si="70"/>
        <v>1.0992050629003627</v>
      </c>
      <c r="AH356" s="11">
        <f t="shared" si="71"/>
        <v>0.8804856417627448</v>
      </c>
      <c r="AI356" s="3" t="s">
        <v>45</v>
      </c>
      <c r="AJ356" s="3" t="s">
        <v>66</v>
      </c>
      <c r="AK356" s="3" t="s">
        <v>46</v>
      </c>
      <c r="AL356" s="3" t="s">
        <v>68</v>
      </c>
      <c r="AM356" s="3" t="s">
        <v>65</v>
      </c>
    </row>
    <row r="357" spans="1:39" ht="21" customHeight="1">
      <c r="A357" s="4">
        <v>46063</v>
      </c>
      <c r="B357" s="3" t="s">
        <v>65</v>
      </c>
      <c r="C357" s="3" t="s">
        <v>66</v>
      </c>
      <c r="D357" s="4">
        <v>46120</v>
      </c>
      <c r="E357" s="3">
        <v>-57</v>
      </c>
      <c r="F357" s="3" t="s">
        <v>41</v>
      </c>
      <c r="G357" s="3" t="s">
        <v>50</v>
      </c>
      <c r="H357" s="3">
        <v>0</v>
      </c>
      <c r="I357" s="7">
        <v>91738</v>
      </c>
      <c r="J357" s="7">
        <v>37135</v>
      </c>
      <c r="K357" s="7">
        <v>54604</v>
      </c>
      <c r="L357" s="5">
        <f t="shared" si="61"/>
        <v>0.40479408751008306</v>
      </c>
      <c r="M357" s="5">
        <f t="shared" si="62"/>
        <v>2.4501920843384317E-2</v>
      </c>
      <c r="N357" s="7">
        <f t="shared" si="63"/>
        <v>94106.857142857145</v>
      </c>
      <c r="O357" s="7">
        <f t="shared" si="65"/>
        <v>90111.428571428565</v>
      </c>
      <c r="P357" s="8">
        <f t="shared" si="66"/>
        <v>1.0180506674276293</v>
      </c>
      <c r="Q357" s="7"/>
      <c r="R357" s="7"/>
      <c r="S357" s="7"/>
      <c r="T357" s="7"/>
      <c r="U357" s="7"/>
      <c r="V357" s="7"/>
      <c r="W357" s="7"/>
      <c r="X357" s="3" t="s">
        <v>69</v>
      </c>
      <c r="Y357" s="3"/>
      <c r="Z357" s="9">
        <v>0.39906000000000003</v>
      </c>
      <c r="AA357" s="5">
        <f t="shared" si="60"/>
        <v>8.7024070021881847</v>
      </c>
      <c r="AB357" s="9">
        <f t="shared" si="64"/>
        <v>9.0638571428571443E-2</v>
      </c>
      <c r="AC357" s="9">
        <f t="shared" si="67"/>
        <v>4.6856785714285719E-2</v>
      </c>
      <c r="AD357" s="8">
        <f t="shared" si="68"/>
        <v>1.9343744998056389</v>
      </c>
      <c r="AE357" s="3" t="s">
        <v>44</v>
      </c>
      <c r="AF357" s="10">
        <f t="shared" si="69"/>
        <v>34363.75</v>
      </c>
      <c r="AG357" s="11">
        <f t="shared" si="70"/>
        <v>1.0806445745880471</v>
      </c>
      <c r="AH357" s="11">
        <f t="shared" si="71"/>
        <v>8.5165893032721289</v>
      </c>
      <c r="AI357" s="3" t="s">
        <v>45</v>
      </c>
      <c r="AJ357" s="3" t="s">
        <v>66</v>
      </c>
      <c r="AK357" s="3" t="s">
        <v>46</v>
      </c>
      <c r="AL357" s="3" t="s">
        <v>68</v>
      </c>
      <c r="AM357" s="3" t="s">
        <v>65</v>
      </c>
    </row>
    <row r="358" spans="1:39" ht="21" customHeight="1">
      <c r="A358" s="4">
        <v>46064</v>
      </c>
      <c r="B358" s="3" t="s">
        <v>65</v>
      </c>
      <c r="C358" s="3" t="s">
        <v>66</v>
      </c>
      <c r="D358" s="4">
        <v>46120</v>
      </c>
      <c r="E358" s="3">
        <v>-56</v>
      </c>
      <c r="F358" s="3" t="s">
        <v>41</v>
      </c>
      <c r="G358" s="3" t="s">
        <v>51</v>
      </c>
      <c r="H358" s="3">
        <v>0</v>
      </c>
      <c r="I358" s="7">
        <v>90318</v>
      </c>
      <c r="J358" s="7">
        <v>36040</v>
      </c>
      <c r="K358" s="7">
        <v>54278</v>
      </c>
      <c r="L358" s="5">
        <f t="shared" si="61"/>
        <v>0.39903452246506788</v>
      </c>
      <c r="M358" s="5">
        <f t="shared" si="62"/>
        <v>-1.5478863720595593E-2</v>
      </c>
      <c r="N358" s="7">
        <f t="shared" si="63"/>
        <v>94460</v>
      </c>
      <c r="O358" s="7">
        <f t="shared" si="65"/>
        <v>90514.928571428565</v>
      </c>
      <c r="P358" s="8">
        <f t="shared" si="66"/>
        <v>0.99782435257325353</v>
      </c>
      <c r="Q358" s="7"/>
      <c r="R358" s="7"/>
      <c r="S358" s="7"/>
      <c r="T358" s="7"/>
      <c r="U358" s="7"/>
      <c r="V358" s="7"/>
      <c r="W358" s="7"/>
      <c r="X358" s="3" t="s">
        <v>69</v>
      </c>
      <c r="Y358" s="3"/>
      <c r="Z358" s="9">
        <v>0.32605000000000001</v>
      </c>
      <c r="AA358" s="5">
        <f t="shared" si="60"/>
        <v>-0.18295494411867896</v>
      </c>
      <c r="AB358" s="9">
        <f t="shared" si="64"/>
        <v>0.13199714285714287</v>
      </c>
      <c r="AC358" s="9">
        <f t="shared" si="67"/>
        <v>5.9463214285714293E-2</v>
      </c>
      <c r="AD358" s="8">
        <f t="shared" si="68"/>
        <v>2.219811768380211</v>
      </c>
      <c r="AE358" s="3" t="s">
        <v>44</v>
      </c>
      <c r="AF358" s="10">
        <f t="shared" si="69"/>
        <v>33893.25</v>
      </c>
      <c r="AG358" s="11">
        <f t="shared" si="70"/>
        <v>1.0633385703643057</v>
      </c>
      <c r="AH358" s="11">
        <f t="shared" si="71"/>
        <v>5.4832219199144721</v>
      </c>
      <c r="AI358" s="3" t="s">
        <v>45</v>
      </c>
      <c r="AJ358" s="3" t="s">
        <v>66</v>
      </c>
      <c r="AK358" s="3" t="s">
        <v>46</v>
      </c>
      <c r="AL358" s="3" t="s">
        <v>68</v>
      </c>
      <c r="AM358" s="3" t="s">
        <v>65</v>
      </c>
    </row>
    <row r="359" spans="1:39" ht="21" customHeight="1">
      <c r="A359" s="4">
        <v>46065</v>
      </c>
      <c r="B359" s="3" t="s">
        <v>65</v>
      </c>
      <c r="C359" s="3" t="s">
        <v>66</v>
      </c>
      <c r="D359" s="4">
        <v>46120</v>
      </c>
      <c r="E359" s="3">
        <v>-55</v>
      </c>
      <c r="F359" s="3" t="s">
        <v>41</v>
      </c>
      <c r="G359" s="3" t="s">
        <v>52</v>
      </c>
      <c r="H359" s="3">
        <v>0</v>
      </c>
      <c r="I359" s="7">
        <v>94185</v>
      </c>
      <c r="J359" s="7">
        <v>39564</v>
      </c>
      <c r="K359" s="7">
        <v>54621</v>
      </c>
      <c r="L359" s="5">
        <f t="shared" si="61"/>
        <v>0.42006688963210703</v>
      </c>
      <c r="M359" s="5">
        <f t="shared" si="62"/>
        <v>4.2815385637414494E-2</v>
      </c>
      <c r="N359" s="7">
        <f t="shared" si="63"/>
        <v>94705.571428571435</v>
      </c>
      <c r="O359" s="7">
        <f t="shared" si="65"/>
        <v>90845.071428571435</v>
      </c>
      <c r="P359" s="8">
        <f t="shared" si="66"/>
        <v>1.0367651047977287</v>
      </c>
      <c r="Q359" s="7"/>
      <c r="R359" s="7"/>
      <c r="S359" s="7"/>
      <c r="T359" s="7"/>
      <c r="U359" s="7"/>
      <c r="V359" s="7"/>
      <c r="W359" s="7"/>
      <c r="X359" s="3" t="s">
        <v>69</v>
      </c>
      <c r="Y359" s="3"/>
      <c r="Z359" s="9">
        <v>0.32654</v>
      </c>
      <c r="AA359" s="5">
        <f t="shared" si="60"/>
        <v>1.5028369881919801E-3</v>
      </c>
      <c r="AB359" s="9">
        <f t="shared" si="64"/>
        <v>0.17294142857142858</v>
      </c>
      <c r="AC359" s="9">
        <f t="shared" si="67"/>
        <v>6.9159285714285715E-2</v>
      </c>
      <c r="AD359" s="8">
        <f t="shared" si="68"/>
        <v>2.5006248515332103</v>
      </c>
      <c r="AE359" s="3" t="s">
        <v>44</v>
      </c>
      <c r="AF359" s="10">
        <f t="shared" si="69"/>
        <v>36181.25</v>
      </c>
      <c r="AG359" s="11">
        <f t="shared" si="70"/>
        <v>1.0934945586457074</v>
      </c>
      <c r="AH359" s="11">
        <f t="shared" si="71"/>
        <v>4.721564091176683</v>
      </c>
      <c r="AI359" s="3" t="s">
        <v>45</v>
      </c>
      <c r="AJ359" s="3" t="s">
        <v>66</v>
      </c>
      <c r="AK359" s="3" t="s">
        <v>46</v>
      </c>
      <c r="AL359" s="3" t="s">
        <v>68</v>
      </c>
      <c r="AM359" s="3" t="s">
        <v>65</v>
      </c>
    </row>
    <row r="360" spans="1:39" ht="21" customHeight="1">
      <c r="A360" s="4">
        <v>46066</v>
      </c>
      <c r="B360" s="3" t="s">
        <v>65</v>
      </c>
      <c r="C360" s="3" t="s">
        <v>66</v>
      </c>
      <c r="D360" s="4">
        <v>46120</v>
      </c>
      <c r="E360" s="3">
        <v>-54</v>
      </c>
      <c r="F360" s="3" t="s">
        <v>41</v>
      </c>
      <c r="G360" s="3" t="s">
        <v>53</v>
      </c>
      <c r="H360" s="3">
        <v>0</v>
      </c>
      <c r="I360" s="7">
        <v>98322</v>
      </c>
      <c r="J360" s="7">
        <v>43186</v>
      </c>
      <c r="K360" s="7">
        <v>55136</v>
      </c>
      <c r="L360" s="5">
        <f t="shared" si="61"/>
        <v>0.43923028416834481</v>
      </c>
      <c r="M360" s="5">
        <f t="shared" si="62"/>
        <v>4.3924191750278618E-2</v>
      </c>
      <c r="N360" s="7">
        <f t="shared" si="63"/>
        <v>95519</v>
      </c>
      <c r="O360" s="7">
        <f t="shared" si="65"/>
        <v>91217.071428571435</v>
      </c>
      <c r="P360" s="8">
        <f t="shared" si="66"/>
        <v>1.0778903385096303</v>
      </c>
      <c r="Q360" s="7"/>
      <c r="R360" s="7"/>
      <c r="S360" s="7"/>
      <c r="T360" s="7"/>
      <c r="U360" s="7"/>
      <c r="V360" s="7"/>
      <c r="W360" s="7"/>
      <c r="X360" s="3" t="s">
        <v>69</v>
      </c>
      <c r="Y360" s="3"/>
      <c r="Z360" s="9">
        <v>0.32286999999999999</v>
      </c>
      <c r="AA360" s="5">
        <f t="shared" si="60"/>
        <v>-1.1239051877258599E-2</v>
      </c>
      <c r="AB360" s="9">
        <f t="shared" si="64"/>
        <v>0.21333142857142856</v>
      </c>
      <c r="AC360" s="9">
        <f t="shared" si="67"/>
        <v>7.9009285714285712E-2</v>
      </c>
      <c r="AD360" s="8">
        <f t="shared" si="68"/>
        <v>2.7000804607053421</v>
      </c>
      <c r="AE360" s="3" t="s">
        <v>44</v>
      </c>
      <c r="AF360" s="10">
        <f t="shared" si="69"/>
        <v>39461</v>
      </c>
      <c r="AG360" s="11">
        <f t="shared" si="70"/>
        <v>1.0943969995691949</v>
      </c>
      <c r="AH360" s="11">
        <f t="shared" si="71"/>
        <v>4.0864816974496669</v>
      </c>
      <c r="AI360" s="3" t="s">
        <v>45</v>
      </c>
      <c r="AJ360" s="3" t="s">
        <v>66</v>
      </c>
      <c r="AK360" s="3" t="s">
        <v>46</v>
      </c>
      <c r="AL360" s="3" t="s">
        <v>68</v>
      </c>
      <c r="AM360" s="3" t="s">
        <v>65</v>
      </c>
    </row>
    <row r="361" spans="1:39" ht="21" customHeight="1">
      <c r="A361" s="4">
        <v>46067</v>
      </c>
      <c r="B361" s="3" t="s">
        <v>65</v>
      </c>
      <c r="C361" s="3" t="s">
        <v>66</v>
      </c>
      <c r="D361" s="4">
        <v>46120</v>
      </c>
      <c r="E361" s="3">
        <v>-53</v>
      </c>
      <c r="F361" s="3" t="s">
        <v>41</v>
      </c>
      <c r="G361" s="3" t="s">
        <v>42</v>
      </c>
      <c r="H361" s="3">
        <v>1</v>
      </c>
      <c r="I361" s="7">
        <v>115146</v>
      </c>
      <c r="J361" s="7">
        <v>65076</v>
      </c>
      <c r="K361" s="7">
        <v>50071</v>
      </c>
      <c r="L361" s="5">
        <f t="shared" si="61"/>
        <v>0.56516075243603769</v>
      </c>
      <c r="M361" s="5">
        <f t="shared" si="62"/>
        <v>0.17111124671996092</v>
      </c>
      <c r="N361" s="7">
        <f t="shared" si="63"/>
        <v>96907.428571428565</v>
      </c>
      <c r="O361" s="7">
        <f t="shared" si="65"/>
        <v>91722.571428571435</v>
      </c>
      <c r="P361" s="8">
        <f t="shared" si="66"/>
        <v>1.2553725675873519</v>
      </c>
      <c r="Q361" s="7"/>
      <c r="R361" s="7"/>
      <c r="S361" s="7"/>
      <c r="T361" s="7"/>
      <c r="U361" s="7"/>
      <c r="V361" s="7"/>
      <c r="W361" s="7"/>
      <c r="X361" s="3" t="s">
        <v>69</v>
      </c>
      <c r="Y361" s="3"/>
      <c r="Z361" s="9">
        <v>0.21881999999999999</v>
      </c>
      <c r="AA361" s="5">
        <f t="shared" si="60"/>
        <v>-0.3222659274630657</v>
      </c>
      <c r="AB361" s="9">
        <f t="shared" si="64"/>
        <v>0.23887714285714287</v>
      </c>
      <c r="AC361" s="9">
        <f t="shared" si="67"/>
        <v>8.8344285714285722E-2</v>
      </c>
      <c r="AD361" s="8">
        <f t="shared" si="68"/>
        <v>2.703934283080804</v>
      </c>
      <c r="AE361" s="3" t="s">
        <v>44</v>
      </c>
      <c r="AF361" s="10">
        <f t="shared" si="69"/>
        <v>56008</v>
      </c>
      <c r="AG361" s="11">
        <f t="shared" si="70"/>
        <v>1.1619054420797028</v>
      </c>
      <c r="AH361" s="11">
        <f t="shared" si="71"/>
        <v>2.4769004382205977</v>
      </c>
      <c r="AI361" s="3" t="s">
        <v>45</v>
      </c>
      <c r="AJ361" s="3" t="s">
        <v>66</v>
      </c>
      <c r="AK361" s="3" t="s">
        <v>46</v>
      </c>
      <c r="AL361" s="3" t="s">
        <v>68</v>
      </c>
      <c r="AM361" s="3" t="s">
        <v>65</v>
      </c>
    </row>
    <row r="362" spans="1:39" ht="21" customHeight="1">
      <c r="A362" s="4">
        <v>46068</v>
      </c>
      <c r="B362" s="3" t="s">
        <v>65</v>
      </c>
      <c r="C362" s="3" t="s">
        <v>66</v>
      </c>
      <c r="D362" s="4">
        <v>46120</v>
      </c>
      <c r="E362" s="3">
        <v>-52</v>
      </c>
      <c r="F362" s="3" t="s">
        <v>41</v>
      </c>
      <c r="G362" s="3" t="s">
        <v>48</v>
      </c>
      <c r="H362" s="3">
        <v>1</v>
      </c>
      <c r="I362" s="7">
        <v>137116</v>
      </c>
      <c r="J362" s="7">
        <v>88876</v>
      </c>
      <c r="K362" s="7">
        <v>48240</v>
      </c>
      <c r="L362" s="5">
        <f t="shared" si="61"/>
        <v>0.64818110213250091</v>
      </c>
      <c r="M362" s="5">
        <f t="shared" si="62"/>
        <v>0.19080124363851114</v>
      </c>
      <c r="N362" s="7">
        <f t="shared" si="63"/>
        <v>102338.42857142857</v>
      </c>
      <c r="O362" s="7">
        <f t="shared" si="65"/>
        <v>92281.78571428571</v>
      </c>
      <c r="P362" s="8">
        <f t="shared" si="66"/>
        <v>1.4858403415006058</v>
      </c>
      <c r="Q362" s="7"/>
      <c r="R362" s="7"/>
      <c r="S362" s="7"/>
      <c r="T362" s="7"/>
      <c r="U362" s="7"/>
      <c r="V362" s="7"/>
      <c r="W362" s="7"/>
      <c r="X362" s="3" t="s">
        <v>69</v>
      </c>
      <c r="Y362" s="3"/>
      <c r="Z362" s="9">
        <v>0.17458000000000001</v>
      </c>
      <c r="AA362" s="5">
        <f t="shared" si="60"/>
        <v>-0.20217530390275096</v>
      </c>
      <c r="AB362" s="9">
        <f t="shared" si="64"/>
        <v>0.25843571428571427</v>
      </c>
      <c r="AC362" s="9">
        <f t="shared" si="67"/>
        <v>9.3834642857142853E-2</v>
      </c>
      <c r="AD362" s="8">
        <f t="shared" si="68"/>
        <v>2.7541610051115755</v>
      </c>
      <c r="AE362" s="3" t="s">
        <v>44</v>
      </c>
      <c r="AF362" s="10">
        <f t="shared" si="69"/>
        <v>51176.75</v>
      </c>
      <c r="AG362" s="11">
        <f t="shared" si="70"/>
        <v>1.7366479895655742</v>
      </c>
      <c r="AH362" s="11">
        <f t="shared" si="71"/>
        <v>1.8605068947274273</v>
      </c>
      <c r="AI362" s="3" t="s">
        <v>45</v>
      </c>
      <c r="AJ362" s="3" t="s">
        <v>66</v>
      </c>
      <c r="AK362" s="3" t="s">
        <v>46</v>
      </c>
      <c r="AL362" s="3" t="s">
        <v>68</v>
      </c>
      <c r="AM362" s="3" t="s">
        <v>65</v>
      </c>
    </row>
    <row r="363" spans="1:39" ht="21" customHeight="1">
      <c r="A363" s="4">
        <v>46069</v>
      </c>
      <c r="B363" s="3" t="s">
        <v>65</v>
      </c>
      <c r="C363" s="3" t="s">
        <v>66</v>
      </c>
      <c r="D363" s="4">
        <v>46120</v>
      </c>
      <c r="E363" s="3">
        <v>-51</v>
      </c>
      <c r="F363" s="3" t="s">
        <v>41</v>
      </c>
      <c r="G363" s="3" t="s">
        <v>49</v>
      </c>
      <c r="H363" s="3">
        <v>0</v>
      </c>
      <c r="I363" s="7">
        <v>150574</v>
      </c>
      <c r="J363" s="7">
        <v>106680</v>
      </c>
      <c r="K363" s="7">
        <v>43894</v>
      </c>
      <c r="L363" s="5">
        <f t="shared" si="61"/>
        <v>0.70848884933653888</v>
      </c>
      <c r="M363" s="5">
        <f t="shared" si="62"/>
        <v>9.8150471133930495E-2</v>
      </c>
      <c r="N363" s="7">
        <f t="shared" si="63"/>
        <v>111057</v>
      </c>
      <c r="O363" s="7">
        <f t="shared" si="65"/>
        <v>93832.928571428565</v>
      </c>
      <c r="P363" s="8">
        <f t="shared" si="66"/>
        <v>1.6047031920716228</v>
      </c>
      <c r="Q363" s="7"/>
      <c r="R363" s="7"/>
      <c r="S363" s="7"/>
      <c r="T363" s="7"/>
      <c r="U363" s="7"/>
      <c r="V363" s="7"/>
      <c r="W363" s="7"/>
      <c r="X363" s="3" t="s">
        <v>69</v>
      </c>
      <c r="Y363" s="3"/>
      <c r="Z363" s="9">
        <v>0.12305000000000001</v>
      </c>
      <c r="AA363" s="5">
        <f t="shared" si="60"/>
        <v>-0.29516554015351126</v>
      </c>
      <c r="AB363" s="9">
        <f t="shared" si="64"/>
        <v>0.27013857142857145</v>
      </c>
      <c r="AC363" s="9">
        <f t="shared" si="67"/>
        <v>9.8234642857142868E-2</v>
      </c>
      <c r="AD363" s="8">
        <f t="shared" si="68"/>
        <v>2.749931832311121</v>
      </c>
      <c r="AE363" s="3" t="s">
        <v>44</v>
      </c>
      <c r="AF363" s="10">
        <f t="shared" si="69"/>
        <v>33637</v>
      </c>
      <c r="AG363" s="11">
        <f t="shared" si="70"/>
        <v>3.1715075660730743</v>
      </c>
      <c r="AH363" s="11">
        <f t="shared" si="71"/>
        <v>1.2526130947403629</v>
      </c>
      <c r="AI363" s="3" t="s">
        <v>45</v>
      </c>
      <c r="AJ363" s="3" t="s">
        <v>66</v>
      </c>
      <c r="AK363" s="3" t="s">
        <v>46</v>
      </c>
      <c r="AL363" s="3" t="s">
        <v>68</v>
      </c>
      <c r="AM363" s="3" t="s">
        <v>65</v>
      </c>
    </row>
    <row r="364" spans="1:39" ht="21" customHeight="1">
      <c r="A364" s="4">
        <v>46070</v>
      </c>
      <c r="B364" s="3" t="s">
        <v>65</v>
      </c>
      <c r="C364" s="3" t="s">
        <v>66</v>
      </c>
      <c r="D364" s="4">
        <v>46120</v>
      </c>
      <c r="E364" s="3">
        <v>-50</v>
      </c>
      <c r="F364" s="3" t="s">
        <v>41</v>
      </c>
      <c r="G364" s="3" t="s">
        <v>50</v>
      </c>
      <c r="H364" s="3">
        <v>0</v>
      </c>
      <c r="I364" s="7">
        <v>184394</v>
      </c>
      <c r="J364" s="7">
        <v>139618</v>
      </c>
      <c r="K364" s="7">
        <v>44776</v>
      </c>
      <c r="L364" s="5">
        <f t="shared" si="61"/>
        <v>0.75717214226059415</v>
      </c>
      <c r="M364" s="5">
        <f t="shared" si="62"/>
        <v>0.22460716989652929</v>
      </c>
      <c r="N364" s="7">
        <f t="shared" si="63"/>
        <v>124293.57142857143</v>
      </c>
      <c r="O364" s="7">
        <f t="shared" si="65"/>
        <v>96341.71428571429</v>
      </c>
      <c r="P364" s="8">
        <f t="shared" si="66"/>
        <v>1.9139580540694432</v>
      </c>
      <c r="Q364" s="7"/>
      <c r="R364" s="7"/>
      <c r="S364" s="7"/>
      <c r="T364" s="7"/>
      <c r="U364" s="7"/>
      <c r="V364" s="7"/>
      <c r="W364" s="7"/>
      <c r="X364" s="3" t="s">
        <v>69</v>
      </c>
      <c r="Y364" s="3"/>
      <c r="Z364" s="9">
        <v>0.12051000000000001</v>
      </c>
      <c r="AA364" s="5">
        <f t="shared" si="60"/>
        <v>-2.0642015440877737E-2</v>
      </c>
      <c r="AB364" s="9">
        <f t="shared" si="64"/>
        <v>0.23034571428571432</v>
      </c>
      <c r="AC364" s="9">
        <f t="shared" si="67"/>
        <v>0.10112000000000002</v>
      </c>
      <c r="AD364" s="8">
        <f t="shared" si="68"/>
        <v>2.2779441681735983</v>
      </c>
      <c r="AE364" s="3" t="s">
        <v>44</v>
      </c>
      <c r="AF364" s="10">
        <f t="shared" si="69"/>
        <v>35735.75</v>
      </c>
      <c r="AG364" s="11">
        <f t="shared" si="70"/>
        <v>3.9069559194923853</v>
      </c>
      <c r="AH364" s="11">
        <f t="shared" si="71"/>
        <v>1.1917523734177213</v>
      </c>
      <c r="AI364" s="3" t="s">
        <v>45</v>
      </c>
      <c r="AJ364" s="3" t="s">
        <v>66</v>
      </c>
      <c r="AK364" s="3" t="s">
        <v>46</v>
      </c>
      <c r="AL364" s="3" t="s">
        <v>68</v>
      </c>
      <c r="AM364" s="3" t="s">
        <v>65</v>
      </c>
    </row>
    <row r="365" spans="1:39" ht="21" customHeight="1">
      <c r="A365" s="4">
        <v>46071</v>
      </c>
      <c r="B365" s="3" t="s">
        <v>65</v>
      </c>
      <c r="C365" s="3" t="s">
        <v>66</v>
      </c>
      <c r="D365" s="4">
        <v>46120</v>
      </c>
      <c r="E365" s="3">
        <v>-49</v>
      </c>
      <c r="F365" s="3" t="s">
        <v>41</v>
      </c>
      <c r="G365" s="3" t="s">
        <v>51</v>
      </c>
      <c r="H365" s="3">
        <v>0</v>
      </c>
      <c r="I365" s="7">
        <v>116417</v>
      </c>
      <c r="J365" s="7">
        <v>70928</v>
      </c>
      <c r="K365" s="7">
        <v>45490</v>
      </c>
      <c r="L365" s="5">
        <f t="shared" si="61"/>
        <v>0.60925809804410014</v>
      </c>
      <c r="M365" s="5">
        <f t="shared" si="62"/>
        <v>-0.36865082377951564</v>
      </c>
      <c r="N365" s="7">
        <f t="shared" si="63"/>
        <v>128022</v>
      </c>
      <c r="O365" s="7">
        <f t="shared" si="65"/>
        <v>100043.71428571429</v>
      </c>
      <c r="P365" s="8">
        <f t="shared" si="66"/>
        <v>1.1636613137685525</v>
      </c>
      <c r="Q365" s="7"/>
      <c r="R365" s="7"/>
      <c r="S365" s="7"/>
      <c r="T365" s="7"/>
      <c r="U365" s="7"/>
      <c r="V365" s="7"/>
      <c r="W365" s="7"/>
      <c r="X365" s="3" t="s">
        <v>69</v>
      </c>
      <c r="Y365" s="3"/>
      <c r="Z365" s="9">
        <v>0.13033</v>
      </c>
      <c r="AA365" s="5">
        <f t="shared" si="60"/>
        <v>8.1487013525848528E-2</v>
      </c>
      <c r="AB365" s="9">
        <f t="shared" si="64"/>
        <v>0.20238571428571434</v>
      </c>
      <c r="AC365" s="9">
        <f t="shared" si="67"/>
        <v>0.10399035714285716</v>
      </c>
      <c r="AD365" s="8">
        <f t="shared" si="68"/>
        <v>1.9461969344685119</v>
      </c>
      <c r="AE365" s="3" t="s">
        <v>44</v>
      </c>
      <c r="AF365" s="10">
        <f t="shared" si="69"/>
        <v>34811.25</v>
      </c>
      <c r="AG365" s="11">
        <f t="shared" si="70"/>
        <v>2.0375022442457538</v>
      </c>
      <c r="AH365" s="11">
        <f t="shared" si="71"/>
        <v>1.2532892816298211</v>
      </c>
      <c r="AI365" s="3" t="s">
        <v>45</v>
      </c>
      <c r="AJ365" s="3" t="s">
        <v>66</v>
      </c>
      <c r="AK365" s="3" t="s">
        <v>46</v>
      </c>
      <c r="AL365" s="3" t="s">
        <v>68</v>
      </c>
      <c r="AM365" s="3" t="s">
        <v>65</v>
      </c>
    </row>
    <row r="366" spans="1:39" ht="21" customHeight="1">
      <c r="A366" s="4">
        <v>46072</v>
      </c>
      <c r="B366" s="3" t="s">
        <v>65</v>
      </c>
      <c r="C366" s="3" t="s">
        <v>66</v>
      </c>
      <c r="D366" s="4">
        <v>46120</v>
      </c>
      <c r="E366" s="3">
        <v>-48</v>
      </c>
      <c r="F366" s="3" t="s">
        <v>41</v>
      </c>
      <c r="G366" s="3" t="s">
        <v>52</v>
      </c>
      <c r="H366" s="3">
        <v>0</v>
      </c>
      <c r="I366" s="7">
        <v>95781</v>
      </c>
      <c r="J366" s="7">
        <v>42878</v>
      </c>
      <c r="K366" s="7">
        <v>52902</v>
      </c>
      <c r="L366" s="5">
        <f t="shared" si="61"/>
        <v>0.4476670738455435</v>
      </c>
      <c r="M366" s="5">
        <f t="shared" si="62"/>
        <v>-0.17725933497685042</v>
      </c>
      <c r="N366" s="7">
        <f t="shared" si="63"/>
        <v>128250</v>
      </c>
      <c r="O366" s="7">
        <f t="shared" si="65"/>
        <v>101402.82142857143</v>
      </c>
      <c r="P366" s="8">
        <f t="shared" si="66"/>
        <v>0.94455951669420291</v>
      </c>
      <c r="Q366" s="7"/>
      <c r="R366" s="7"/>
      <c r="S366" s="7"/>
      <c r="T366" s="7"/>
      <c r="U366" s="7"/>
      <c r="V366" s="7"/>
      <c r="W366" s="7"/>
      <c r="X366" s="3" t="s">
        <v>69</v>
      </c>
      <c r="Y366" s="3"/>
      <c r="Z366" s="9">
        <v>0.13725999999999999</v>
      </c>
      <c r="AA366" s="5">
        <f t="shared" si="60"/>
        <v>5.3172715414716354E-2</v>
      </c>
      <c r="AB366" s="9">
        <f t="shared" si="64"/>
        <v>0.17534571428571427</v>
      </c>
      <c r="AC366" s="9">
        <f t="shared" si="67"/>
        <v>0.10723392857142858</v>
      </c>
      <c r="AD366" s="8">
        <f t="shared" si="68"/>
        <v>1.6351701054104009</v>
      </c>
      <c r="AE366" s="3" t="s">
        <v>44</v>
      </c>
      <c r="AF366" s="10">
        <f t="shared" si="69"/>
        <v>37281.25</v>
      </c>
      <c r="AG366" s="11">
        <f t="shared" si="70"/>
        <v>1.1501223805532272</v>
      </c>
      <c r="AH366" s="11">
        <f t="shared" si="71"/>
        <v>1.28000532880385</v>
      </c>
      <c r="AI366" s="3" t="s">
        <v>45</v>
      </c>
      <c r="AJ366" s="3" t="s">
        <v>66</v>
      </c>
      <c r="AK366" s="3" t="s">
        <v>46</v>
      </c>
      <c r="AL366" s="3" t="s">
        <v>68</v>
      </c>
      <c r="AM366" s="3" t="s">
        <v>65</v>
      </c>
    </row>
    <row r="367" spans="1:39" ht="21" customHeight="1">
      <c r="A367" s="4">
        <v>46073</v>
      </c>
      <c r="B367" s="3" t="s">
        <v>65</v>
      </c>
      <c r="C367" s="3" t="s">
        <v>66</v>
      </c>
      <c r="D367" s="4">
        <v>46120</v>
      </c>
      <c r="E367" s="3">
        <v>-47</v>
      </c>
      <c r="F367" s="3" t="s">
        <v>41</v>
      </c>
      <c r="G367" s="3" t="s">
        <v>53</v>
      </c>
      <c r="H367" s="3">
        <v>0</v>
      </c>
      <c r="I367" s="7">
        <v>96772</v>
      </c>
      <c r="J367" s="7">
        <v>42864</v>
      </c>
      <c r="K367" s="7">
        <v>53907</v>
      </c>
      <c r="L367" s="5">
        <f t="shared" si="61"/>
        <v>0.44293803992890507</v>
      </c>
      <c r="M367" s="5">
        <f t="shared" si="62"/>
        <v>1.0346519664651721E-2</v>
      </c>
      <c r="N367" s="7">
        <f t="shared" si="63"/>
        <v>128028.57142857143</v>
      </c>
      <c r="O367" s="7">
        <f t="shared" si="65"/>
        <v>101957.32142857143</v>
      </c>
      <c r="P367" s="8">
        <f t="shared" si="66"/>
        <v>0.94914223563430766</v>
      </c>
      <c r="Q367" s="7"/>
      <c r="R367" s="7"/>
      <c r="S367" s="7"/>
      <c r="T367" s="7"/>
      <c r="U367" s="7"/>
      <c r="V367" s="7"/>
      <c r="W367" s="7"/>
      <c r="X367" s="3" t="s">
        <v>69</v>
      </c>
      <c r="Y367" s="3"/>
      <c r="Z367" s="9">
        <v>0.13245000000000001</v>
      </c>
      <c r="AA367" s="5">
        <f t="shared" si="60"/>
        <v>-3.5042984117732656E-2</v>
      </c>
      <c r="AB367" s="9">
        <f t="shared" si="64"/>
        <v>0.14814285714285713</v>
      </c>
      <c r="AC367" s="9">
        <f t="shared" si="67"/>
        <v>0.11089928571428573</v>
      </c>
      <c r="AD367" s="8">
        <f t="shared" si="68"/>
        <v>1.3358323833078918</v>
      </c>
      <c r="AE367" s="3" t="s">
        <v>44</v>
      </c>
      <c r="AF367" s="10">
        <f t="shared" si="69"/>
        <v>41365.75</v>
      </c>
      <c r="AG367" s="11">
        <f t="shared" si="70"/>
        <v>1.0362195777908052</v>
      </c>
      <c r="AH367" s="11">
        <f t="shared" si="71"/>
        <v>1.1943268989237339</v>
      </c>
      <c r="AI367" s="3" t="s">
        <v>45</v>
      </c>
      <c r="AJ367" s="3" t="s">
        <v>66</v>
      </c>
      <c r="AK367" s="3" t="s">
        <v>46</v>
      </c>
      <c r="AL367" s="3" t="s">
        <v>68</v>
      </c>
      <c r="AM367" s="3" t="s">
        <v>65</v>
      </c>
    </row>
    <row r="368" spans="1:39" ht="21" customHeight="1">
      <c r="A368" s="4">
        <v>46074</v>
      </c>
      <c r="B368" s="3" t="s">
        <v>65</v>
      </c>
      <c r="C368" s="3" t="s">
        <v>66</v>
      </c>
      <c r="D368" s="4">
        <v>46120</v>
      </c>
      <c r="E368" s="3">
        <v>-46</v>
      </c>
      <c r="F368" s="3" t="s">
        <v>41</v>
      </c>
      <c r="G368" s="3" t="s">
        <v>42</v>
      </c>
      <c r="H368" s="3">
        <v>1</v>
      </c>
      <c r="I368" s="7">
        <v>108381</v>
      </c>
      <c r="J368" s="7">
        <v>58709</v>
      </c>
      <c r="K368" s="7">
        <v>49672</v>
      </c>
      <c r="L368" s="5">
        <f t="shared" si="61"/>
        <v>0.54169088677904798</v>
      </c>
      <c r="M368" s="5">
        <f t="shared" si="62"/>
        <v>0.11996238581407836</v>
      </c>
      <c r="N368" s="7">
        <f t="shared" si="63"/>
        <v>127062.14285714286</v>
      </c>
      <c r="O368" s="7">
        <f t="shared" si="65"/>
        <v>102179.46428571429</v>
      </c>
      <c r="P368" s="8">
        <f t="shared" si="66"/>
        <v>1.0606925839515557</v>
      </c>
      <c r="Q368" s="7"/>
      <c r="R368" s="7"/>
      <c r="S368" s="7"/>
      <c r="T368" s="7"/>
      <c r="U368" s="7"/>
      <c r="V368" s="7"/>
      <c r="W368" s="7"/>
      <c r="X368" s="3" t="s">
        <v>69</v>
      </c>
      <c r="Y368" s="3"/>
      <c r="Z368" s="9">
        <v>0.12573999999999999</v>
      </c>
      <c r="AA368" s="5">
        <f t="shared" si="60"/>
        <v>-5.0660626651566787E-2</v>
      </c>
      <c r="AB368" s="9">
        <f t="shared" si="64"/>
        <v>0.13484571428571426</v>
      </c>
      <c r="AC368" s="9">
        <f t="shared" si="67"/>
        <v>0.11446357142857143</v>
      </c>
      <c r="AD368" s="8">
        <f t="shared" si="68"/>
        <v>1.1780666338011467</v>
      </c>
      <c r="AE368" s="3" t="s">
        <v>44</v>
      </c>
      <c r="AF368" s="10">
        <f t="shared" si="69"/>
        <v>58653.25</v>
      </c>
      <c r="AG368" s="11">
        <f t="shared" si="70"/>
        <v>1.0009505014641134</v>
      </c>
      <c r="AH368" s="11">
        <f t="shared" si="71"/>
        <v>1.0985154353537308</v>
      </c>
      <c r="AI368" s="3" t="s">
        <v>45</v>
      </c>
      <c r="AJ368" s="3" t="s">
        <v>66</v>
      </c>
      <c r="AK368" s="3" t="s">
        <v>46</v>
      </c>
      <c r="AL368" s="3" t="s">
        <v>68</v>
      </c>
      <c r="AM368" s="3" t="s">
        <v>65</v>
      </c>
    </row>
    <row r="369" spans="1:39" ht="21" customHeight="1">
      <c r="A369" s="4">
        <v>46075</v>
      </c>
      <c r="B369" s="3" t="s">
        <v>65</v>
      </c>
      <c r="C369" s="3" t="s">
        <v>66</v>
      </c>
      <c r="D369" s="4">
        <v>46120</v>
      </c>
      <c r="E369" s="3">
        <v>-45</v>
      </c>
      <c r="F369" s="3" t="s">
        <v>41</v>
      </c>
      <c r="G369" s="3" t="s">
        <v>48</v>
      </c>
      <c r="H369" s="3">
        <v>1</v>
      </c>
      <c r="I369" s="7">
        <v>100558</v>
      </c>
      <c r="J369" s="7">
        <v>51933</v>
      </c>
      <c r="K369" s="7">
        <v>48626</v>
      </c>
      <c r="L369" s="5">
        <f t="shared" si="61"/>
        <v>0.51644821893832416</v>
      </c>
      <c r="M369" s="5">
        <f t="shared" si="62"/>
        <v>-7.2180548251077226E-2</v>
      </c>
      <c r="N369" s="7">
        <f t="shared" si="63"/>
        <v>121839.57142857143</v>
      </c>
      <c r="O369" s="7">
        <f t="shared" si="65"/>
        <v>102491.96428571429</v>
      </c>
      <c r="P369" s="8">
        <f t="shared" si="66"/>
        <v>0.98113057643891943</v>
      </c>
      <c r="Q369" s="7"/>
      <c r="R369" s="7"/>
      <c r="S369" s="7"/>
      <c r="T369" s="7"/>
      <c r="U369" s="7"/>
      <c r="V369" s="7"/>
      <c r="W369" s="7"/>
      <c r="X369" s="3" t="s">
        <v>69</v>
      </c>
      <c r="Y369" s="3"/>
      <c r="Z369" s="9">
        <v>0.12842000000000001</v>
      </c>
      <c r="AA369" s="5">
        <f t="shared" si="60"/>
        <v>2.1313822172737584E-2</v>
      </c>
      <c r="AB369" s="9">
        <f t="shared" si="64"/>
        <v>0.12825142857142854</v>
      </c>
      <c r="AC369" s="9">
        <f t="shared" si="67"/>
        <v>0.11768964285714287</v>
      </c>
      <c r="AD369" s="8">
        <f t="shared" si="68"/>
        <v>1.0897426949209632</v>
      </c>
      <c r="AE369" s="3" t="s">
        <v>44</v>
      </c>
      <c r="AF369" s="10">
        <f t="shared" si="69"/>
        <v>60719.75</v>
      </c>
      <c r="AG369" s="11">
        <f t="shared" si="70"/>
        <v>0.85529008271608498</v>
      </c>
      <c r="AH369" s="11">
        <f t="shared" si="71"/>
        <v>1.0911750336083705</v>
      </c>
      <c r="AI369" s="3" t="s">
        <v>45</v>
      </c>
      <c r="AJ369" s="3" t="s">
        <v>66</v>
      </c>
      <c r="AK369" s="3" t="s">
        <v>46</v>
      </c>
      <c r="AL369" s="3" t="s">
        <v>68</v>
      </c>
      <c r="AM369" s="3" t="s">
        <v>65</v>
      </c>
    </row>
    <row r="370" spans="1:39" ht="21" customHeight="1">
      <c r="A370" s="4">
        <v>46076</v>
      </c>
      <c r="B370" s="3" t="s">
        <v>65</v>
      </c>
      <c r="C370" s="3" t="s">
        <v>66</v>
      </c>
      <c r="D370" s="4">
        <v>46120</v>
      </c>
      <c r="E370" s="3">
        <v>-44</v>
      </c>
      <c r="F370" s="3" t="s">
        <v>41</v>
      </c>
      <c r="G370" s="3" t="s">
        <v>49</v>
      </c>
      <c r="H370" s="3">
        <v>0</v>
      </c>
      <c r="I370" s="7">
        <v>93664</v>
      </c>
      <c r="J370" s="7">
        <v>39280</v>
      </c>
      <c r="K370" s="7">
        <v>54383</v>
      </c>
      <c r="L370" s="5">
        <f t="shared" si="61"/>
        <v>0.41937137000341645</v>
      </c>
      <c r="M370" s="5">
        <f t="shared" si="62"/>
        <v>-6.855744943216846E-2</v>
      </c>
      <c r="N370" s="7">
        <f t="shared" si="63"/>
        <v>113709.57142857143</v>
      </c>
      <c r="O370" s="7">
        <f t="shared" si="65"/>
        <v>102518.82142857143</v>
      </c>
      <c r="P370" s="8">
        <f t="shared" si="66"/>
        <v>0.9136273583213117</v>
      </c>
      <c r="Q370" s="7"/>
      <c r="R370" s="7"/>
      <c r="S370" s="7"/>
      <c r="T370" s="7"/>
      <c r="U370" s="7"/>
      <c r="V370" s="7"/>
      <c r="W370" s="7"/>
      <c r="X370" s="3" t="s">
        <v>69</v>
      </c>
      <c r="Y370" s="3"/>
      <c r="Z370" s="9">
        <v>0.12439</v>
      </c>
      <c r="AA370" s="5">
        <f t="shared" si="60"/>
        <v>-3.1381404765612908E-2</v>
      </c>
      <c r="AB370" s="9">
        <f t="shared" si="64"/>
        <v>0.12844285714285714</v>
      </c>
      <c r="AC370" s="9">
        <f t="shared" si="67"/>
        <v>0.12088035714285715</v>
      </c>
      <c r="AD370" s="8">
        <f t="shared" si="68"/>
        <v>1.0625618601627937</v>
      </c>
      <c r="AE370" s="3" t="s">
        <v>44</v>
      </c>
      <c r="AF370" s="10">
        <f t="shared" si="69"/>
        <v>52085.5</v>
      </c>
      <c r="AG370" s="11">
        <f t="shared" si="70"/>
        <v>0.75414462758349254</v>
      </c>
      <c r="AH370" s="11">
        <f t="shared" si="71"/>
        <v>1.0290340212429645</v>
      </c>
      <c r="AI370" s="3" t="s">
        <v>45</v>
      </c>
      <c r="AJ370" s="3" t="s">
        <v>66</v>
      </c>
      <c r="AK370" s="3" t="s">
        <v>46</v>
      </c>
      <c r="AL370" s="3" t="s">
        <v>68</v>
      </c>
      <c r="AM370" s="3" t="s">
        <v>65</v>
      </c>
    </row>
    <row r="371" spans="1:39" ht="21" customHeight="1">
      <c r="A371" s="4">
        <v>46077</v>
      </c>
      <c r="B371" s="3" t="s">
        <v>65</v>
      </c>
      <c r="C371" s="3" t="s">
        <v>66</v>
      </c>
      <c r="D371" s="4">
        <v>46120</v>
      </c>
      <c r="E371" s="3">
        <v>-43</v>
      </c>
      <c r="F371" s="3" t="s">
        <v>41</v>
      </c>
      <c r="G371" s="3" t="s">
        <v>50</v>
      </c>
      <c r="H371" s="3">
        <v>0</v>
      </c>
      <c r="I371" s="7">
        <v>89548</v>
      </c>
      <c r="J371" s="7">
        <v>36564</v>
      </c>
      <c r="K371" s="7">
        <v>52983</v>
      </c>
      <c r="L371" s="5">
        <f t="shared" si="61"/>
        <v>0.40831732702014562</v>
      </c>
      <c r="M371" s="5">
        <f t="shared" si="62"/>
        <v>-4.3944311581824436E-2</v>
      </c>
      <c r="N371" s="7">
        <f t="shared" si="63"/>
        <v>100160.14285714286</v>
      </c>
      <c r="O371" s="7">
        <f t="shared" si="65"/>
        <v>102761.71428571429</v>
      </c>
      <c r="P371" s="8">
        <f t="shared" si="66"/>
        <v>0.87141403413166652</v>
      </c>
      <c r="Q371" s="7"/>
      <c r="R371" s="7"/>
      <c r="S371" s="7"/>
      <c r="T371" s="7"/>
      <c r="U371" s="7"/>
      <c r="V371" s="7"/>
      <c r="W371" s="7"/>
      <c r="X371" s="3" t="s">
        <v>69</v>
      </c>
      <c r="Y371" s="3"/>
      <c r="Z371" s="9">
        <v>0.20426</v>
      </c>
      <c r="AA371" s="5">
        <f t="shared" si="60"/>
        <v>0.64209341586944291</v>
      </c>
      <c r="AB371" s="9">
        <f t="shared" si="64"/>
        <v>0.14040714285714287</v>
      </c>
      <c r="AC371" s="9">
        <f t="shared" si="67"/>
        <v>0.12367464285714287</v>
      </c>
      <c r="AD371" s="8">
        <f t="shared" si="68"/>
        <v>1.1352945083441865</v>
      </c>
      <c r="AE371" s="3" t="s">
        <v>44</v>
      </c>
      <c r="AF371" s="10">
        <f t="shared" si="69"/>
        <v>62399.5</v>
      </c>
      <c r="AG371" s="11">
        <f t="shared" si="70"/>
        <v>0.58596623370379575</v>
      </c>
      <c r="AH371" s="11">
        <f t="shared" si="71"/>
        <v>1.651591589683761</v>
      </c>
      <c r="AI371" s="3" t="s">
        <v>45</v>
      </c>
      <c r="AJ371" s="3" t="s">
        <v>66</v>
      </c>
      <c r="AK371" s="3" t="s">
        <v>46</v>
      </c>
      <c r="AL371" s="3" t="s">
        <v>68</v>
      </c>
      <c r="AM371" s="3" t="s">
        <v>65</v>
      </c>
    </row>
    <row r="372" spans="1:39" ht="21" customHeight="1">
      <c r="A372" s="4">
        <v>46078</v>
      </c>
      <c r="B372" s="3" t="s">
        <v>65</v>
      </c>
      <c r="C372" s="3" t="s">
        <v>66</v>
      </c>
      <c r="D372" s="4">
        <v>46120</v>
      </c>
      <c r="E372" s="3">
        <v>-42</v>
      </c>
      <c r="F372" s="3" t="s">
        <v>41</v>
      </c>
      <c r="G372" s="3" t="s">
        <v>51</v>
      </c>
      <c r="H372" s="3">
        <v>0</v>
      </c>
      <c r="I372" s="7">
        <v>98413</v>
      </c>
      <c r="J372" s="7">
        <v>43029</v>
      </c>
      <c r="K372" s="7">
        <v>55384</v>
      </c>
      <c r="L372" s="5">
        <f t="shared" si="61"/>
        <v>0.43722882139554736</v>
      </c>
      <c r="M372" s="5">
        <f t="shared" si="62"/>
        <v>9.8997185866797732E-2</v>
      </c>
      <c r="N372" s="7">
        <f t="shared" si="63"/>
        <v>97588.142857142855</v>
      </c>
      <c r="O372" s="7">
        <f t="shared" si="65"/>
        <v>102778.5</v>
      </c>
      <c r="P372" s="8">
        <f t="shared" si="66"/>
        <v>0.95752516333669002</v>
      </c>
      <c r="Q372" s="7"/>
      <c r="R372" s="7"/>
      <c r="S372" s="7"/>
      <c r="T372" s="7"/>
      <c r="U372" s="7"/>
      <c r="V372" s="7"/>
      <c r="W372" s="7"/>
      <c r="X372" s="3" t="s">
        <v>69</v>
      </c>
      <c r="Y372" s="3"/>
      <c r="Z372" s="9">
        <v>0.16822000000000001</v>
      </c>
      <c r="AA372" s="5">
        <f t="shared" si="60"/>
        <v>-0.17644178987564862</v>
      </c>
      <c r="AB372" s="9">
        <f t="shared" si="64"/>
        <v>0.14582000000000001</v>
      </c>
      <c r="AC372" s="9">
        <f t="shared" si="67"/>
        <v>0.12778678571428573</v>
      </c>
      <c r="AD372" s="8">
        <f t="shared" si="68"/>
        <v>1.1411195546152491</v>
      </c>
      <c r="AE372" s="3" t="s">
        <v>44</v>
      </c>
      <c r="AF372" s="10">
        <f t="shared" si="69"/>
        <v>44790.75</v>
      </c>
      <c r="AG372" s="11">
        <f t="shared" si="70"/>
        <v>0.96066710202441352</v>
      </c>
      <c r="AH372" s="11">
        <f t="shared" si="71"/>
        <v>1.3164115449004061</v>
      </c>
      <c r="AI372" s="3" t="s">
        <v>45</v>
      </c>
      <c r="AJ372" s="3" t="s">
        <v>66</v>
      </c>
      <c r="AK372" s="3" t="s">
        <v>46</v>
      </c>
      <c r="AL372" s="3" t="s">
        <v>68</v>
      </c>
      <c r="AM372" s="3" t="s">
        <v>65</v>
      </c>
    </row>
    <row r="373" spans="1:39" ht="21" customHeight="1">
      <c r="A373" s="4">
        <v>46079</v>
      </c>
      <c r="B373" s="3" t="s">
        <v>65</v>
      </c>
      <c r="C373" s="3" t="s">
        <v>66</v>
      </c>
      <c r="D373" s="4">
        <v>46120</v>
      </c>
      <c r="E373" s="3">
        <v>-41</v>
      </c>
      <c r="F373" s="3" t="s">
        <v>41</v>
      </c>
      <c r="G373" s="3" t="s">
        <v>52</v>
      </c>
      <c r="H373" s="3">
        <v>0</v>
      </c>
      <c r="I373" s="7">
        <v>98273</v>
      </c>
      <c r="J373" s="7">
        <v>43967</v>
      </c>
      <c r="K373" s="7">
        <v>54306</v>
      </c>
      <c r="L373" s="5">
        <f t="shared" si="61"/>
        <v>0.44739653821497255</v>
      </c>
      <c r="M373" s="5">
        <f t="shared" si="62"/>
        <v>-1.422576285653343E-3</v>
      </c>
      <c r="N373" s="7">
        <f t="shared" si="63"/>
        <v>97944.142857142855</v>
      </c>
      <c r="O373" s="7">
        <f t="shared" si="65"/>
        <v>103124</v>
      </c>
      <c r="P373" s="8">
        <f t="shared" si="66"/>
        <v>0.95295954385012216</v>
      </c>
      <c r="Q373" s="7"/>
      <c r="R373" s="7"/>
      <c r="S373" s="7"/>
      <c r="T373" s="7"/>
      <c r="U373" s="7"/>
      <c r="V373" s="7"/>
      <c r="W373" s="7"/>
      <c r="X373" s="3" t="s">
        <v>69</v>
      </c>
      <c r="Y373" s="3"/>
      <c r="Z373" s="9">
        <v>0.14602000000000001</v>
      </c>
      <c r="AA373" s="5">
        <f t="shared" si="60"/>
        <v>-0.13197003923433592</v>
      </c>
      <c r="AB373" s="9">
        <f t="shared" si="64"/>
        <v>0.14707142857142858</v>
      </c>
      <c r="AC373" s="9">
        <f t="shared" si="67"/>
        <v>0.13041464285714285</v>
      </c>
      <c r="AD373" s="8">
        <f t="shared" si="68"/>
        <v>1.1277217446550973</v>
      </c>
      <c r="AE373" s="3" t="s">
        <v>44</v>
      </c>
      <c r="AF373" s="10">
        <f t="shared" si="69"/>
        <v>39875.5</v>
      </c>
      <c r="AG373" s="11">
        <f t="shared" si="70"/>
        <v>1.102606863863776</v>
      </c>
      <c r="AH373" s="11">
        <f t="shared" si="71"/>
        <v>1.1196595474325024</v>
      </c>
      <c r="AI373" s="3" t="s">
        <v>45</v>
      </c>
      <c r="AJ373" s="3" t="s">
        <v>66</v>
      </c>
      <c r="AK373" s="3" t="s">
        <v>46</v>
      </c>
      <c r="AL373" s="3" t="s">
        <v>68</v>
      </c>
      <c r="AM373" s="3" t="s">
        <v>65</v>
      </c>
    </row>
    <row r="374" spans="1:39" ht="21" customHeight="1">
      <c r="A374" s="4">
        <v>46080</v>
      </c>
      <c r="B374" s="3" t="s">
        <v>65</v>
      </c>
      <c r="C374" s="3" t="s">
        <v>66</v>
      </c>
      <c r="D374" s="4">
        <v>46120</v>
      </c>
      <c r="E374" s="3">
        <v>-40</v>
      </c>
      <c r="F374" s="3" t="s">
        <v>41</v>
      </c>
      <c r="G374" s="3" t="s">
        <v>53</v>
      </c>
      <c r="H374" s="3">
        <v>0</v>
      </c>
      <c r="I374" s="7">
        <v>101930</v>
      </c>
      <c r="J374" s="7">
        <v>47593</v>
      </c>
      <c r="K374" s="7">
        <v>54338</v>
      </c>
      <c r="L374" s="5">
        <f t="shared" si="61"/>
        <v>0.46691847346217991</v>
      </c>
      <c r="M374" s="5">
        <f t="shared" si="62"/>
        <v>3.7212662684562359E-2</v>
      </c>
      <c r="N374" s="7">
        <f t="shared" si="63"/>
        <v>98681</v>
      </c>
      <c r="O374" s="7">
        <f t="shared" si="65"/>
        <v>103423.75</v>
      </c>
      <c r="P374" s="8">
        <f t="shared" si="66"/>
        <v>0.98555699247029815</v>
      </c>
      <c r="Q374" s="7"/>
      <c r="R374" s="7"/>
      <c r="S374" s="7"/>
      <c r="T374" s="7"/>
      <c r="U374" s="7"/>
      <c r="V374" s="7"/>
      <c r="W374" s="7"/>
      <c r="X374" s="3" t="s">
        <v>69</v>
      </c>
      <c r="Y374" s="3"/>
      <c r="Z374" s="9">
        <v>0.25868999999999998</v>
      </c>
      <c r="AA374" s="5">
        <f t="shared" si="60"/>
        <v>0.77160662922887235</v>
      </c>
      <c r="AB374" s="9">
        <f t="shared" si="64"/>
        <v>0.16510571428571433</v>
      </c>
      <c r="AC374" s="9">
        <f t="shared" si="67"/>
        <v>0.13400178571428573</v>
      </c>
      <c r="AD374" s="8">
        <f t="shared" si="68"/>
        <v>1.2321157767087327</v>
      </c>
      <c r="AE374" s="3" t="s">
        <v>44</v>
      </c>
      <c r="AF374" s="10">
        <f t="shared" si="69"/>
        <v>41983.25</v>
      </c>
      <c r="AG374" s="11">
        <f t="shared" si="70"/>
        <v>1.1336187646263689</v>
      </c>
      <c r="AH374" s="11">
        <f t="shared" si="71"/>
        <v>1.9304966618248687</v>
      </c>
      <c r="AI374" s="3" t="s">
        <v>45</v>
      </c>
      <c r="AJ374" s="3" t="s">
        <v>66</v>
      </c>
      <c r="AK374" s="3" t="s">
        <v>46</v>
      </c>
      <c r="AL374" s="3" t="s">
        <v>68</v>
      </c>
      <c r="AM374" s="3" t="s">
        <v>65</v>
      </c>
    </row>
    <row r="375" spans="1:39" ht="21" customHeight="1">
      <c r="A375" s="4">
        <v>46081</v>
      </c>
      <c r="B375" s="3" t="s">
        <v>65</v>
      </c>
      <c r="C375" s="3" t="s">
        <v>66</v>
      </c>
      <c r="D375" s="4">
        <v>46120</v>
      </c>
      <c r="E375" s="3">
        <v>-39</v>
      </c>
      <c r="F375" s="3" t="s">
        <v>41</v>
      </c>
      <c r="G375" s="3" t="s">
        <v>42</v>
      </c>
      <c r="H375" s="3">
        <v>1</v>
      </c>
      <c r="I375" s="7">
        <v>121324</v>
      </c>
      <c r="J375" s="7">
        <v>70812</v>
      </c>
      <c r="K375" s="7">
        <v>50512</v>
      </c>
      <c r="L375" s="5">
        <f t="shared" si="61"/>
        <v>0.58366028156012006</v>
      </c>
      <c r="M375" s="5">
        <f t="shared" si="62"/>
        <v>0.19026783086431864</v>
      </c>
      <c r="N375" s="7">
        <f t="shared" si="63"/>
        <v>100530</v>
      </c>
      <c r="O375" s="7">
        <f t="shared" si="65"/>
        <v>103709.85714285714</v>
      </c>
      <c r="P375" s="8">
        <f t="shared" si="66"/>
        <v>1.1698405854795453</v>
      </c>
      <c r="Q375" s="7"/>
      <c r="R375" s="7"/>
      <c r="S375" s="7"/>
      <c r="T375" s="7"/>
      <c r="U375" s="7"/>
      <c r="V375" s="7"/>
      <c r="W375" s="7"/>
      <c r="X375" s="3" t="s">
        <v>69</v>
      </c>
      <c r="Y375" s="3"/>
      <c r="Z375" s="9">
        <v>0.35524</v>
      </c>
      <c r="AA375" s="5">
        <f t="shared" si="60"/>
        <v>0.37322664192663035</v>
      </c>
      <c r="AB375" s="9">
        <f t="shared" si="64"/>
        <v>0.19789142857142858</v>
      </c>
      <c r="AC375" s="9">
        <f t="shared" si="67"/>
        <v>0.14179428571428571</v>
      </c>
      <c r="AD375" s="8">
        <f t="shared" si="68"/>
        <v>1.3956234383815589</v>
      </c>
      <c r="AE375" s="3" t="s">
        <v>44</v>
      </c>
      <c r="AF375" s="10">
        <f t="shared" si="69"/>
        <v>59846.75</v>
      </c>
      <c r="AG375" s="11">
        <f t="shared" si="70"/>
        <v>1.1832221465660206</v>
      </c>
      <c r="AH375" s="11">
        <f t="shared" si="71"/>
        <v>2.5053195776577741</v>
      </c>
      <c r="AI375" s="3" t="s">
        <v>45</v>
      </c>
      <c r="AJ375" s="3" t="s">
        <v>66</v>
      </c>
      <c r="AK375" s="3" t="s">
        <v>46</v>
      </c>
      <c r="AL375" s="3" t="s">
        <v>68</v>
      </c>
      <c r="AM375" s="3" t="s">
        <v>65</v>
      </c>
    </row>
    <row r="376" spans="1:39" ht="21" customHeight="1">
      <c r="A376" s="4">
        <v>46082</v>
      </c>
      <c r="B376" s="3" t="s">
        <v>65</v>
      </c>
      <c r="C376" s="3" t="s">
        <v>66</v>
      </c>
      <c r="D376" s="4">
        <v>46120</v>
      </c>
      <c r="E376" s="3">
        <v>-38</v>
      </c>
      <c r="F376" s="3" t="s">
        <v>41</v>
      </c>
      <c r="G376" s="3" t="s">
        <v>48</v>
      </c>
      <c r="H376" s="3">
        <v>1</v>
      </c>
      <c r="I376" s="7">
        <v>120554</v>
      </c>
      <c r="J376" s="7">
        <v>71001</v>
      </c>
      <c r="K376" s="7">
        <v>49553</v>
      </c>
      <c r="L376" s="5">
        <f t="shared" si="61"/>
        <v>0.58895598652885839</v>
      </c>
      <c r="M376" s="5">
        <f t="shared" si="62"/>
        <v>-6.3466420493883957E-3</v>
      </c>
      <c r="N376" s="7">
        <f t="shared" si="63"/>
        <v>103386.57142857143</v>
      </c>
      <c r="O376" s="7">
        <f t="shared" si="65"/>
        <v>104259.10714285714</v>
      </c>
      <c r="P376" s="8">
        <f t="shared" si="66"/>
        <v>1.1562922731998404</v>
      </c>
      <c r="Q376" s="7"/>
      <c r="R376" s="7"/>
      <c r="S376" s="7"/>
      <c r="T376" s="7"/>
      <c r="U376" s="7"/>
      <c r="V376" s="7"/>
      <c r="W376" s="7"/>
      <c r="X376" s="3" t="s">
        <v>70</v>
      </c>
      <c r="Y376" s="3"/>
      <c r="Z376" s="9">
        <v>0.24809</v>
      </c>
      <c r="AA376" s="5">
        <f t="shared" si="60"/>
        <v>-0.30162706902375858</v>
      </c>
      <c r="AB376" s="9">
        <f t="shared" si="64"/>
        <v>0.21498714285714285</v>
      </c>
      <c r="AC376" s="9">
        <f t="shared" si="67"/>
        <v>0.15296178571428573</v>
      </c>
      <c r="AD376" s="8">
        <f t="shared" si="68"/>
        <v>1.4054957704188487</v>
      </c>
      <c r="AE376" s="3" t="s">
        <v>44</v>
      </c>
      <c r="AF376" s="10">
        <f t="shared" si="69"/>
        <v>60203.5</v>
      </c>
      <c r="AG376" s="11">
        <f t="shared" si="70"/>
        <v>1.1793500377885007</v>
      </c>
      <c r="AH376" s="11">
        <f t="shared" si="71"/>
        <v>1.621908366468749</v>
      </c>
      <c r="AI376" s="3" t="s">
        <v>45</v>
      </c>
      <c r="AJ376" s="3" t="s">
        <v>66</v>
      </c>
      <c r="AK376" s="3" t="s">
        <v>46</v>
      </c>
      <c r="AL376" s="3" t="s">
        <v>68</v>
      </c>
      <c r="AM376" s="3" t="s">
        <v>65</v>
      </c>
    </row>
    <row r="377" spans="1:39" ht="21" customHeight="1">
      <c r="A377" s="4">
        <v>46083</v>
      </c>
      <c r="B377" s="3" t="s">
        <v>65</v>
      </c>
      <c r="C377" s="3" t="s">
        <v>66</v>
      </c>
      <c r="D377" s="4">
        <v>46120</v>
      </c>
      <c r="E377" s="3">
        <v>-37</v>
      </c>
      <c r="F377" s="3" t="s">
        <v>41</v>
      </c>
      <c r="G377" s="3" t="s">
        <v>49</v>
      </c>
      <c r="H377" s="3">
        <v>0</v>
      </c>
      <c r="I377" s="7">
        <v>91063</v>
      </c>
      <c r="J377" s="7">
        <v>43526</v>
      </c>
      <c r="K377" s="7">
        <v>47537</v>
      </c>
      <c r="L377" s="5">
        <f t="shared" si="61"/>
        <v>0.47797678530248289</v>
      </c>
      <c r="M377" s="5">
        <f t="shared" si="62"/>
        <v>-0.24462896295436065</v>
      </c>
      <c r="N377" s="7">
        <f t="shared" si="63"/>
        <v>103015</v>
      </c>
      <c r="O377" s="7">
        <f t="shared" si="65"/>
        <v>105049.25</v>
      </c>
      <c r="P377" s="8">
        <f t="shared" si="66"/>
        <v>0.86686006801571647</v>
      </c>
      <c r="Q377" s="7"/>
      <c r="R377" s="7"/>
      <c r="S377" s="7"/>
      <c r="T377" s="7"/>
      <c r="U377" s="7"/>
      <c r="V377" s="7"/>
      <c r="W377" s="7"/>
      <c r="X377" s="3" t="s">
        <v>70</v>
      </c>
      <c r="Y377" s="3"/>
      <c r="Z377" s="9">
        <v>0.21854000000000001</v>
      </c>
      <c r="AA377" s="5">
        <f t="shared" si="60"/>
        <v>-0.11911000040307951</v>
      </c>
      <c r="AB377" s="9">
        <f t="shared" si="64"/>
        <v>0.22843714285714284</v>
      </c>
      <c r="AC377" s="9">
        <f t="shared" si="67"/>
        <v>0.16030785714285714</v>
      </c>
      <c r="AD377" s="8">
        <f t="shared" si="68"/>
        <v>1.4249903088254297</v>
      </c>
      <c r="AE377" s="3" t="s">
        <v>44</v>
      </c>
      <c r="AF377" s="10">
        <f t="shared" si="69"/>
        <v>52651.5</v>
      </c>
      <c r="AG377" s="11">
        <f t="shared" si="70"/>
        <v>0.8266811012031946</v>
      </c>
      <c r="AH377" s="11">
        <f t="shared" si="71"/>
        <v>1.3632519571716921</v>
      </c>
      <c r="AI377" s="3" t="s">
        <v>45</v>
      </c>
      <c r="AJ377" s="3" t="s">
        <v>66</v>
      </c>
      <c r="AK377" s="3" t="s">
        <v>46</v>
      </c>
      <c r="AL377" s="3" t="s">
        <v>68</v>
      </c>
      <c r="AM377" s="3" t="s">
        <v>65</v>
      </c>
    </row>
    <row r="378" spans="1:39" ht="21" customHeight="1">
      <c r="A378" s="4">
        <v>46084</v>
      </c>
      <c r="B378" s="3" t="s">
        <v>65</v>
      </c>
      <c r="C378" s="3" t="s">
        <v>66</v>
      </c>
      <c r="D378" s="4">
        <v>46120</v>
      </c>
      <c r="E378" s="3">
        <v>-36</v>
      </c>
      <c r="F378" s="3" t="s">
        <v>41</v>
      </c>
      <c r="G378" s="3" t="s">
        <v>50</v>
      </c>
      <c r="H378" s="3">
        <v>0</v>
      </c>
      <c r="I378" s="7">
        <v>89786</v>
      </c>
      <c r="J378" s="7">
        <v>33064</v>
      </c>
      <c r="K378" s="7">
        <v>56721</v>
      </c>
      <c r="L378" s="5">
        <f t="shared" si="61"/>
        <v>0.36825340253491634</v>
      </c>
      <c r="M378" s="5">
        <f t="shared" si="62"/>
        <v>-1.4023258623151014E-2</v>
      </c>
      <c r="N378" s="7">
        <f t="shared" si="63"/>
        <v>103049</v>
      </c>
      <c r="O378" s="7">
        <f t="shared" si="65"/>
        <v>105359.75</v>
      </c>
      <c r="P378" s="8">
        <f t="shared" si="66"/>
        <v>0.85218501372677902</v>
      </c>
      <c r="Q378" s="7"/>
      <c r="R378" s="7"/>
      <c r="S378" s="7"/>
      <c r="T378" s="7"/>
      <c r="U378" s="7"/>
      <c r="V378" s="7"/>
      <c r="W378" s="7"/>
      <c r="X378" s="3" t="s">
        <v>70</v>
      </c>
      <c r="Y378" s="3"/>
      <c r="Z378" s="9">
        <v>0.20072999999999999</v>
      </c>
      <c r="AA378" s="5">
        <f t="shared" si="60"/>
        <v>-8.1495378420426534E-2</v>
      </c>
      <c r="AB378" s="9">
        <f t="shared" si="64"/>
        <v>0.22793285714285713</v>
      </c>
      <c r="AC378" s="9">
        <f t="shared" si="67"/>
        <v>0.16660857142857144</v>
      </c>
      <c r="AD378" s="8">
        <f t="shared" si="68"/>
        <v>1.3680740143707233</v>
      </c>
      <c r="AE378" s="3" t="s">
        <v>44</v>
      </c>
      <c r="AF378" s="10">
        <f t="shared" si="69"/>
        <v>61801</v>
      </c>
      <c r="AG378" s="11">
        <f t="shared" si="70"/>
        <v>0.53500752415009467</v>
      </c>
      <c r="AH378" s="11">
        <f t="shared" si="71"/>
        <v>1.2047999588427964</v>
      </c>
      <c r="AI378" s="3" t="s">
        <v>45</v>
      </c>
      <c r="AJ378" s="3" t="s">
        <v>66</v>
      </c>
      <c r="AK378" s="3" t="s">
        <v>46</v>
      </c>
      <c r="AL378" s="3" t="s">
        <v>68</v>
      </c>
      <c r="AM378" s="3" t="s">
        <v>65</v>
      </c>
    </row>
    <row r="379" spans="1:39" ht="21" customHeight="1">
      <c r="A379" s="4">
        <v>46085</v>
      </c>
      <c r="B379" s="3" t="s">
        <v>65</v>
      </c>
      <c r="C379" s="3" t="s">
        <v>66</v>
      </c>
      <c r="D379" s="4">
        <v>46120</v>
      </c>
      <c r="E379" s="3">
        <v>-35</v>
      </c>
      <c r="F379" s="3" t="s">
        <v>41</v>
      </c>
      <c r="G379" s="3" t="s">
        <v>51</v>
      </c>
      <c r="H379" s="3">
        <v>0</v>
      </c>
      <c r="I379" s="7">
        <v>90013</v>
      </c>
      <c r="J379" s="7">
        <v>33912</v>
      </c>
      <c r="K379" s="7">
        <v>56102</v>
      </c>
      <c r="L379" s="5">
        <f t="shared" si="61"/>
        <v>0.37674558119382756</v>
      </c>
      <c r="M379" s="5">
        <f t="shared" si="62"/>
        <v>2.5282338003698168E-3</v>
      </c>
      <c r="N379" s="7">
        <f t="shared" si="63"/>
        <v>101849</v>
      </c>
      <c r="O379" s="7">
        <f t="shared" si="65"/>
        <v>105402.39285714286</v>
      </c>
      <c r="P379" s="8">
        <f t="shared" si="66"/>
        <v>0.85399389482551058</v>
      </c>
      <c r="Q379" s="7"/>
      <c r="R379" s="7"/>
      <c r="S379" s="7"/>
      <c r="T379" s="7"/>
      <c r="U379" s="7"/>
      <c r="V379" s="7"/>
      <c r="W379" s="7"/>
      <c r="X379" s="3" t="s">
        <v>70</v>
      </c>
      <c r="Y379" s="3"/>
      <c r="Z379" s="9">
        <v>0.76666999999999996</v>
      </c>
      <c r="AA379" s="5">
        <f t="shared" si="60"/>
        <v>2.8194091565784887</v>
      </c>
      <c r="AB379" s="9">
        <f t="shared" si="64"/>
        <v>0.31342571428571425</v>
      </c>
      <c r="AC379" s="9">
        <f t="shared" si="67"/>
        <v>0.17233107142857146</v>
      </c>
      <c r="AD379" s="8">
        <f t="shared" si="68"/>
        <v>1.8187417491663673</v>
      </c>
      <c r="AE379" s="3" t="s">
        <v>44</v>
      </c>
      <c r="AF379" s="10">
        <f t="shared" si="69"/>
        <v>45890.5</v>
      </c>
      <c r="AG379" s="11">
        <f t="shared" si="70"/>
        <v>0.73897647661280652</v>
      </c>
      <c r="AH379" s="11">
        <f t="shared" si="71"/>
        <v>4.4488204805119702</v>
      </c>
      <c r="AI379" s="3" t="s">
        <v>45</v>
      </c>
      <c r="AJ379" s="3" t="s">
        <v>66</v>
      </c>
      <c r="AK379" s="3" t="s">
        <v>46</v>
      </c>
      <c r="AL379" s="3" t="s">
        <v>68</v>
      </c>
      <c r="AM379" s="3" t="s">
        <v>65</v>
      </c>
    </row>
    <row r="380" spans="1:39" ht="21" customHeight="1">
      <c r="A380" s="4">
        <v>46086</v>
      </c>
      <c r="B380" s="3" t="s">
        <v>65</v>
      </c>
      <c r="C380" s="3" t="s">
        <v>66</v>
      </c>
      <c r="D380" s="4">
        <v>46120</v>
      </c>
      <c r="E380" s="3">
        <v>-34</v>
      </c>
      <c r="F380" s="3" t="s">
        <v>41</v>
      </c>
      <c r="G380" s="3" t="s">
        <v>52</v>
      </c>
      <c r="H380" s="3">
        <v>0</v>
      </c>
      <c r="I380" s="7">
        <v>90184</v>
      </c>
      <c r="J380" s="7">
        <v>34629</v>
      </c>
      <c r="K380" s="7">
        <v>55556</v>
      </c>
      <c r="L380" s="5">
        <f t="shared" si="61"/>
        <v>0.38398163754102721</v>
      </c>
      <c r="M380" s="5">
        <f t="shared" si="62"/>
        <v>1.8997255951918035E-3</v>
      </c>
      <c r="N380" s="7">
        <f t="shared" si="63"/>
        <v>100693.42857142857</v>
      </c>
      <c r="O380" s="7">
        <f t="shared" si="65"/>
        <v>105479.78571428571</v>
      </c>
      <c r="P380" s="8">
        <f t="shared" si="66"/>
        <v>0.85498846427582265</v>
      </c>
      <c r="Q380" s="7"/>
      <c r="R380" s="7"/>
      <c r="S380" s="7"/>
      <c r="T380" s="7"/>
      <c r="U380" s="7"/>
      <c r="V380" s="7"/>
      <c r="W380" s="7"/>
      <c r="X380" s="3" t="s">
        <v>70</v>
      </c>
      <c r="Y380" s="3"/>
      <c r="Z380" s="9">
        <v>0.44330999999999998</v>
      </c>
      <c r="AA380" s="5">
        <f t="shared" si="60"/>
        <v>-0.42177207925182936</v>
      </c>
      <c r="AB380" s="9">
        <f t="shared" si="64"/>
        <v>0.35589571428571426</v>
      </c>
      <c r="AC380" s="9">
        <f t="shared" si="67"/>
        <v>0.19840714285714287</v>
      </c>
      <c r="AD380" s="8">
        <f t="shared" si="68"/>
        <v>1.7937646254095112</v>
      </c>
      <c r="AE380" s="3" t="s">
        <v>44</v>
      </c>
      <c r="AF380" s="10">
        <f t="shared" si="69"/>
        <v>40891.25</v>
      </c>
      <c r="AG380" s="11">
        <f t="shared" si="70"/>
        <v>0.84685598997340505</v>
      </c>
      <c r="AH380" s="11">
        <f t="shared" si="71"/>
        <v>2.2343449616589264</v>
      </c>
      <c r="AI380" s="3" t="s">
        <v>45</v>
      </c>
      <c r="AJ380" s="3" t="s">
        <v>66</v>
      </c>
      <c r="AK380" s="3" t="s">
        <v>46</v>
      </c>
      <c r="AL380" s="3" t="s">
        <v>68</v>
      </c>
      <c r="AM380" s="3" t="s">
        <v>65</v>
      </c>
    </row>
    <row r="381" spans="1:39" ht="21" customHeight="1">
      <c r="A381" s="4">
        <v>46087</v>
      </c>
      <c r="B381" s="3" t="s">
        <v>65</v>
      </c>
      <c r="C381" s="3" t="s">
        <v>66</v>
      </c>
      <c r="D381" s="4">
        <v>46120</v>
      </c>
      <c r="E381" s="3">
        <v>-33</v>
      </c>
      <c r="F381" s="3" t="s">
        <v>41</v>
      </c>
      <c r="G381" s="3" t="s">
        <v>53</v>
      </c>
      <c r="H381" s="3">
        <v>0</v>
      </c>
      <c r="I381" s="7">
        <v>90412</v>
      </c>
      <c r="J381" s="7">
        <v>34797</v>
      </c>
      <c r="K381" s="7">
        <v>55615</v>
      </c>
      <c r="L381" s="5">
        <f t="shared" si="61"/>
        <v>0.38487147723753484</v>
      </c>
      <c r="M381" s="5">
        <f t="shared" si="62"/>
        <v>2.52816464117811E-3</v>
      </c>
      <c r="N381" s="7">
        <f t="shared" si="63"/>
        <v>99048</v>
      </c>
      <c r="O381" s="7">
        <f t="shared" si="65"/>
        <v>105398.28571428571</v>
      </c>
      <c r="P381" s="8">
        <f t="shared" si="66"/>
        <v>0.85781281343692228</v>
      </c>
      <c r="Q381" s="7"/>
      <c r="R381" s="7"/>
      <c r="S381" s="7"/>
      <c r="T381" s="7"/>
      <c r="U381" s="7"/>
      <c r="V381" s="7"/>
      <c r="W381" s="7"/>
      <c r="X381" s="3" t="s">
        <v>70</v>
      </c>
      <c r="Y381" s="3"/>
      <c r="Z381" s="9">
        <v>0.49052000000000001</v>
      </c>
      <c r="AA381" s="5">
        <f t="shared" si="60"/>
        <v>0.10649432676907811</v>
      </c>
      <c r="AB381" s="9">
        <f t="shared" si="64"/>
        <v>0.3890142857142857</v>
      </c>
      <c r="AC381" s="9">
        <f t="shared" si="67"/>
        <v>0.21281357142857146</v>
      </c>
      <c r="AD381" s="8">
        <f t="shared" si="68"/>
        <v>1.8279580719543258</v>
      </c>
      <c r="AE381" s="3" t="s">
        <v>44</v>
      </c>
      <c r="AF381" s="10">
        <f t="shared" si="69"/>
        <v>43065.5</v>
      </c>
      <c r="AG381" s="11">
        <f t="shared" si="70"/>
        <v>0.80800176475368912</v>
      </c>
      <c r="AH381" s="11">
        <f t="shared" si="71"/>
        <v>2.3049281899986234</v>
      </c>
      <c r="AI381" s="3" t="s">
        <v>45</v>
      </c>
      <c r="AJ381" s="3" t="s">
        <v>66</v>
      </c>
      <c r="AK381" s="3" t="s">
        <v>46</v>
      </c>
      <c r="AL381" s="3" t="s">
        <v>68</v>
      </c>
      <c r="AM381" s="3" t="s">
        <v>65</v>
      </c>
    </row>
    <row r="382" spans="1:39" ht="21" customHeight="1">
      <c r="A382" s="4">
        <v>46088</v>
      </c>
      <c r="B382" s="3" t="s">
        <v>65</v>
      </c>
      <c r="C382" s="3" t="s">
        <v>66</v>
      </c>
      <c r="D382" s="4">
        <v>46120</v>
      </c>
      <c r="E382" s="3">
        <v>-32</v>
      </c>
      <c r="F382" s="3" t="s">
        <v>41</v>
      </c>
      <c r="G382" s="3" t="s">
        <v>42</v>
      </c>
      <c r="H382" s="3">
        <v>1</v>
      </c>
      <c r="I382" s="7">
        <v>100208</v>
      </c>
      <c r="J382" s="7">
        <v>49444</v>
      </c>
      <c r="K382" s="7">
        <v>50764</v>
      </c>
      <c r="L382" s="5">
        <f t="shared" si="61"/>
        <v>0.49341369950502956</v>
      </c>
      <c r="M382" s="5">
        <f t="shared" si="62"/>
        <v>0.10834844932088661</v>
      </c>
      <c r="N382" s="7">
        <f t="shared" si="63"/>
        <v>96031.428571428565</v>
      </c>
      <c r="O382" s="7">
        <f t="shared" si="65"/>
        <v>105319.14285714286</v>
      </c>
      <c r="P382" s="8">
        <f t="shared" si="66"/>
        <v>0.95146995390879963</v>
      </c>
      <c r="Q382" s="7"/>
      <c r="R382" s="7"/>
      <c r="S382" s="7"/>
      <c r="T382" s="7"/>
      <c r="U382" s="7"/>
      <c r="V382" s="7"/>
      <c r="W382" s="7"/>
      <c r="X382" s="3" t="s">
        <v>70</v>
      </c>
      <c r="Y382" s="3"/>
      <c r="Z382" s="9">
        <v>0.40366000000000002</v>
      </c>
      <c r="AA382" s="5">
        <f t="shared" ref="AA382:AA445" si="72">IFERROR(Z382/Z381-1,"")</f>
        <v>-0.17707738726249689</v>
      </c>
      <c r="AB382" s="9">
        <f t="shared" si="64"/>
        <v>0.39593142857142855</v>
      </c>
      <c r="AC382" s="9">
        <f t="shared" si="67"/>
        <v>0.22889857142857142</v>
      </c>
      <c r="AD382" s="8">
        <f t="shared" si="68"/>
        <v>1.7297243320497537</v>
      </c>
      <c r="AE382" s="3" t="s">
        <v>44</v>
      </c>
      <c r="AF382" s="10">
        <f t="shared" si="69"/>
        <v>62607.25</v>
      </c>
      <c r="AG382" s="11">
        <f t="shared" si="70"/>
        <v>0.78974879107451612</v>
      </c>
      <c r="AH382" s="11">
        <f t="shared" si="71"/>
        <v>1.7634885070742501</v>
      </c>
      <c r="AI382" s="3" t="s">
        <v>45</v>
      </c>
      <c r="AJ382" s="3" t="s">
        <v>66</v>
      </c>
      <c r="AK382" s="3" t="s">
        <v>46</v>
      </c>
      <c r="AL382" s="3" t="s">
        <v>68</v>
      </c>
      <c r="AM382" s="3" t="s">
        <v>65</v>
      </c>
    </row>
    <row r="383" spans="1:39" ht="21" customHeight="1">
      <c r="A383" s="4">
        <v>46089</v>
      </c>
      <c r="B383" s="3" t="s">
        <v>65</v>
      </c>
      <c r="C383" s="3" t="s">
        <v>66</v>
      </c>
      <c r="D383" s="4">
        <v>46120</v>
      </c>
      <c r="E383" s="3">
        <v>-31</v>
      </c>
      <c r="F383" s="3" t="s">
        <v>41</v>
      </c>
      <c r="G383" s="3" t="s">
        <v>48</v>
      </c>
      <c r="H383" s="3">
        <v>1</v>
      </c>
      <c r="I383" s="7">
        <v>99228</v>
      </c>
      <c r="J383" s="7">
        <v>49396</v>
      </c>
      <c r="K383" s="7">
        <v>49833</v>
      </c>
      <c r="L383" s="5">
        <f t="shared" si="61"/>
        <v>0.49780303946466725</v>
      </c>
      <c r="M383" s="5">
        <f t="shared" si="62"/>
        <v>-9.7796583107137014E-3</v>
      </c>
      <c r="N383" s="7">
        <f t="shared" si="63"/>
        <v>92984.857142857145</v>
      </c>
      <c r="O383" s="7">
        <f t="shared" si="65"/>
        <v>105132.75</v>
      </c>
      <c r="P383" s="8">
        <f t="shared" si="66"/>
        <v>0.94383529394979204</v>
      </c>
      <c r="Q383" s="7"/>
      <c r="R383" s="7"/>
      <c r="S383" s="7"/>
      <c r="T383" s="7"/>
      <c r="U383" s="7"/>
      <c r="V383" s="7"/>
      <c r="W383" s="7"/>
      <c r="X383" s="3" t="s">
        <v>70</v>
      </c>
      <c r="Y383" s="3"/>
      <c r="Z383" s="9">
        <v>0.36732999999999999</v>
      </c>
      <c r="AA383" s="5">
        <f t="shared" si="72"/>
        <v>-9.0001486399445163E-2</v>
      </c>
      <c r="AB383" s="9">
        <f t="shared" si="64"/>
        <v>0.41296571428571427</v>
      </c>
      <c r="AC383" s="9">
        <f t="shared" si="67"/>
        <v>0.24188642857142861</v>
      </c>
      <c r="AD383" s="8">
        <f t="shared" si="68"/>
        <v>1.7072711219255787</v>
      </c>
      <c r="AE383" s="3" t="s">
        <v>44</v>
      </c>
      <c r="AF383" s="10">
        <f t="shared" si="69"/>
        <v>65589.25</v>
      </c>
      <c r="AG383" s="11">
        <f t="shared" si="70"/>
        <v>0.75311121868293962</v>
      </c>
      <c r="AH383" s="11">
        <f t="shared" si="71"/>
        <v>1.5186052486261259</v>
      </c>
      <c r="AI383" s="3" t="s">
        <v>45</v>
      </c>
      <c r="AJ383" s="3" t="s">
        <v>66</v>
      </c>
      <c r="AK383" s="3" t="s">
        <v>46</v>
      </c>
      <c r="AL383" s="3" t="s">
        <v>68</v>
      </c>
      <c r="AM383" s="3" t="s">
        <v>65</v>
      </c>
    </row>
    <row r="384" spans="1:39" ht="21" customHeight="1">
      <c r="A384" s="4">
        <v>46090</v>
      </c>
      <c r="B384" s="3" t="s">
        <v>65</v>
      </c>
      <c r="C384" s="3" t="s">
        <v>66</v>
      </c>
      <c r="D384" s="4">
        <v>46120</v>
      </c>
      <c r="E384" s="3">
        <v>-30</v>
      </c>
      <c r="F384" s="3" t="s">
        <v>41</v>
      </c>
      <c r="G384" s="3" t="s">
        <v>49</v>
      </c>
      <c r="H384" s="3">
        <v>0</v>
      </c>
      <c r="I384" s="7">
        <v>87132</v>
      </c>
      <c r="J384" s="7">
        <v>32358</v>
      </c>
      <c r="K384" s="7">
        <v>54775</v>
      </c>
      <c r="L384" s="5">
        <f t="shared" si="61"/>
        <v>0.37136758022310978</v>
      </c>
      <c r="M384" s="5">
        <f t="shared" si="62"/>
        <v>-0.12190107630910629</v>
      </c>
      <c r="N384" s="7">
        <f t="shared" si="63"/>
        <v>92423.28571428571</v>
      </c>
      <c r="O384" s="7">
        <f t="shared" si="65"/>
        <v>105137.35714285714</v>
      </c>
      <c r="P384" s="8">
        <f t="shared" si="66"/>
        <v>0.82874443839793244</v>
      </c>
      <c r="Q384" s="7"/>
      <c r="R384" s="7"/>
      <c r="S384" s="7"/>
      <c r="T384" s="7"/>
      <c r="U384" s="7"/>
      <c r="V384" s="7"/>
      <c r="W384" s="7"/>
      <c r="X384" s="3" t="s">
        <v>70</v>
      </c>
      <c r="Y384" s="3"/>
      <c r="Z384" s="9">
        <v>0.33100000000000002</v>
      </c>
      <c r="AA384" s="5">
        <f t="shared" si="72"/>
        <v>-9.8902893855661089E-2</v>
      </c>
      <c r="AB384" s="9">
        <f t="shared" si="64"/>
        <v>0.42903142857142856</v>
      </c>
      <c r="AC384" s="9">
        <f t="shared" si="67"/>
        <v>0.25366000000000005</v>
      </c>
      <c r="AD384" s="8">
        <f t="shared" si="68"/>
        <v>1.6913641432288435</v>
      </c>
      <c r="AE384" s="3" t="s">
        <v>44</v>
      </c>
      <c r="AF384" s="10">
        <f t="shared" si="69"/>
        <v>56273</v>
      </c>
      <c r="AG384" s="11">
        <f t="shared" si="70"/>
        <v>0.5750182147744034</v>
      </c>
      <c r="AH384" s="11">
        <f t="shared" si="71"/>
        <v>1.3048963179058581</v>
      </c>
      <c r="AI384" s="3" t="s">
        <v>45</v>
      </c>
      <c r="AJ384" s="3" t="s">
        <v>66</v>
      </c>
      <c r="AK384" s="3" t="s">
        <v>46</v>
      </c>
      <c r="AL384" s="3" t="s">
        <v>68</v>
      </c>
      <c r="AM384" s="3" t="s">
        <v>65</v>
      </c>
    </row>
    <row r="385" spans="1:39" ht="21" customHeight="1">
      <c r="A385" s="4">
        <v>46091</v>
      </c>
      <c r="B385" s="3" t="s">
        <v>65</v>
      </c>
      <c r="C385" s="3" t="s">
        <v>66</v>
      </c>
      <c r="D385" s="4">
        <v>46120</v>
      </c>
      <c r="E385" s="3">
        <v>-29</v>
      </c>
      <c r="F385" s="3" t="s">
        <v>41</v>
      </c>
      <c r="G385" s="3" t="s">
        <v>50</v>
      </c>
      <c r="H385" s="3">
        <v>0</v>
      </c>
      <c r="I385" s="7">
        <v>92204</v>
      </c>
      <c r="J385" s="7">
        <v>35938</v>
      </c>
      <c r="K385" s="7">
        <v>56266</v>
      </c>
      <c r="L385" s="5">
        <f t="shared" si="61"/>
        <v>0.3897661706650471</v>
      </c>
      <c r="M385" s="5">
        <f t="shared" si="62"/>
        <v>5.8210531148143119E-2</v>
      </c>
      <c r="N385" s="7">
        <f t="shared" si="63"/>
        <v>92768.71428571429</v>
      </c>
      <c r="O385" s="7">
        <f t="shared" si="65"/>
        <v>105051.21428571429</v>
      </c>
      <c r="P385" s="8">
        <f t="shared" si="66"/>
        <v>0.87770522813022489</v>
      </c>
      <c r="Q385" s="7"/>
      <c r="R385" s="7"/>
      <c r="S385" s="7"/>
      <c r="T385" s="7"/>
      <c r="U385" s="7"/>
      <c r="V385" s="7"/>
      <c r="W385" s="7"/>
      <c r="X385" s="3" t="s">
        <v>70</v>
      </c>
      <c r="Y385" s="3"/>
      <c r="Z385" s="9">
        <v>0.40407999999999999</v>
      </c>
      <c r="AA385" s="5">
        <f t="shared" si="72"/>
        <v>0.22078549848942597</v>
      </c>
      <c r="AB385" s="9">
        <f t="shared" si="64"/>
        <v>0.45808142857142853</v>
      </c>
      <c r="AC385" s="9">
        <f t="shared" si="67"/>
        <v>0.26401250000000009</v>
      </c>
      <c r="AD385" s="8">
        <f t="shared" si="68"/>
        <v>1.7350747732453136</v>
      </c>
      <c r="AE385" s="3" t="s">
        <v>44</v>
      </c>
      <c r="AF385" s="10">
        <f t="shared" si="69"/>
        <v>61595.25</v>
      </c>
      <c r="AG385" s="11">
        <f t="shared" si="70"/>
        <v>0.58345408128061826</v>
      </c>
      <c r="AH385" s="11">
        <f t="shared" si="71"/>
        <v>1.5305335921594616</v>
      </c>
      <c r="AI385" s="3" t="s">
        <v>45</v>
      </c>
      <c r="AJ385" s="3" t="s">
        <v>66</v>
      </c>
      <c r="AK385" s="3" t="s">
        <v>46</v>
      </c>
      <c r="AL385" s="3" t="s">
        <v>68</v>
      </c>
      <c r="AM385" s="3" t="s">
        <v>65</v>
      </c>
    </row>
    <row r="386" spans="1:39" ht="21" customHeight="1">
      <c r="A386" s="4">
        <v>46092</v>
      </c>
      <c r="B386" s="3" t="s">
        <v>65</v>
      </c>
      <c r="C386" s="3" t="s">
        <v>66</v>
      </c>
      <c r="D386" s="4">
        <v>46120</v>
      </c>
      <c r="E386" s="3">
        <v>-28</v>
      </c>
      <c r="F386" s="3" t="s">
        <v>41</v>
      </c>
      <c r="G386" s="3" t="s">
        <v>51</v>
      </c>
      <c r="H386" s="3">
        <v>0</v>
      </c>
      <c r="I386" s="7">
        <v>91682</v>
      </c>
      <c r="J386" s="7">
        <v>35693</v>
      </c>
      <c r="K386" s="7">
        <v>55990</v>
      </c>
      <c r="L386" s="5">
        <f t="shared" ref="L386:L449" si="73">IFERROR(J386/I386,"")</f>
        <v>0.38931306036081237</v>
      </c>
      <c r="M386" s="5">
        <f t="shared" si="62"/>
        <v>-5.661359593943871E-3</v>
      </c>
      <c r="N386" s="7">
        <f t="shared" si="63"/>
        <v>93007.142857142855</v>
      </c>
      <c r="O386" s="7">
        <f t="shared" si="65"/>
        <v>105067.85714285714</v>
      </c>
      <c r="P386" s="8">
        <f t="shared" si="66"/>
        <v>0.87259798089669938</v>
      </c>
      <c r="Q386" s="7"/>
      <c r="R386" s="7"/>
      <c r="S386" s="7"/>
      <c r="T386" s="7"/>
      <c r="U386" s="7"/>
      <c r="V386" s="7"/>
      <c r="W386" s="7"/>
      <c r="X386" s="3" t="s">
        <v>70</v>
      </c>
      <c r="Y386" s="3"/>
      <c r="Z386" s="9">
        <v>0.44988</v>
      </c>
      <c r="AA386" s="5">
        <f t="shared" si="72"/>
        <v>0.11334389229855479</v>
      </c>
      <c r="AB386" s="9">
        <f t="shared" si="64"/>
        <v>0.41282571428571424</v>
      </c>
      <c r="AC386" s="9">
        <f t="shared" si="67"/>
        <v>0.26419178571428581</v>
      </c>
      <c r="AD386" s="8">
        <f t="shared" si="68"/>
        <v>1.5625985992318885</v>
      </c>
      <c r="AE386" s="3" t="s">
        <v>44</v>
      </c>
      <c r="AF386" s="10">
        <f t="shared" si="69"/>
        <v>45977.25</v>
      </c>
      <c r="AG386" s="11">
        <f t="shared" si="70"/>
        <v>0.77631872284662529</v>
      </c>
      <c r="AH386" s="11">
        <f t="shared" si="71"/>
        <v>1.7028538521123042</v>
      </c>
      <c r="AI386" s="3" t="s">
        <v>45</v>
      </c>
      <c r="AJ386" s="3" t="s">
        <v>66</v>
      </c>
      <c r="AK386" s="3" t="s">
        <v>46</v>
      </c>
      <c r="AL386" s="3" t="s">
        <v>68</v>
      </c>
      <c r="AM386" s="3" t="s">
        <v>65</v>
      </c>
    </row>
    <row r="387" spans="1:39" ht="21" customHeight="1">
      <c r="A387" s="4">
        <v>46093</v>
      </c>
      <c r="B387" s="3" t="s">
        <v>65</v>
      </c>
      <c r="C387" s="3" t="s">
        <v>66</v>
      </c>
      <c r="D387" s="4">
        <v>46120</v>
      </c>
      <c r="E387" s="3">
        <v>-27</v>
      </c>
      <c r="F387" s="3" t="s">
        <v>41</v>
      </c>
      <c r="G387" s="3" t="s">
        <v>52</v>
      </c>
      <c r="H387" s="3">
        <v>0</v>
      </c>
      <c r="I387" s="7">
        <v>92533</v>
      </c>
      <c r="J387" s="7">
        <v>36561</v>
      </c>
      <c r="K387" s="7">
        <v>55972</v>
      </c>
      <c r="L387" s="5">
        <f t="shared" si="73"/>
        <v>0.39511309478780543</v>
      </c>
      <c r="M387" s="5">
        <f t="shared" ref="M387:M450" si="74">IF(AND(C387=C386,A387=A386+1),IFERROR(I387/I386-1,""),"")</f>
        <v>9.2820837241769372E-3</v>
      </c>
      <c r="N387" s="7">
        <f t="shared" ref="N387:N450" si="75">AVERAGE(I381:I387)</f>
        <v>93342.71428571429</v>
      </c>
      <c r="O387" s="7">
        <f t="shared" si="65"/>
        <v>105116.57142857143</v>
      </c>
      <c r="P387" s="8">
        <f t="shared" si="66"/>
        <v>0.88028936581971573</v>
      </c>
      <c r="Q387" s="7"/>
      <c r="R387" s="7"/>
      <c r="S387" s="7"/>
      <c r="T387" s="7"/>
      <c r="U387" s="7"/>
      <c r="V387" s="7"/>
      <c r="W387" s="7"/>
      <c r="X387" s="3" t="s">
        <v>70</v>
      </c>
      <c r="Y387" s="3"/>
      <c r="Z387" s="9">
        <v>0.38705000000000001</v>
      </c>
      <c r="AA387" s="5">
        <f t="shared" si="72"/>
        <v>-0.13965946474615454</v>
      </c>
      <c r="AB387" s="9">
        <f t="shared" ref="AB387:AB450" si="76">AVERAGE(Z381:Z387)</f>
        <v>0.40478857142857139</v>
      </c>
      <c r="AC387" s="9">
        <f t="shared" si="67"/>
        <v>0.26861428571428581</v>
      </c>
      <c r="AD387" s="8">
        <f t="shared" si="68"/>
        <v>1.5069510184545012</v>
      </c>
      <c r="AE387" s="3" t="s">
        <v>44</v>
      </c>
      <c r="AF387" s="10">
        <f t="shared" si="69"/>
        <v>40259.5</v>
      </c>
      <c r="AG387" s="11">
        <f t="shared" si="70"/>
        <v>0.90813348402240468</v>
      </c>
      <c r="AH387" s="11">
        <f t="shared" si="71"/>
        <v>1.4409136839865975</v>
      </c>
      <c r="AI387" s="3" t="s">
        <v>45</v>
      </c>
      <c r="AJ387" s="3" t="s">
        <v>66</v>
      </c>
      <c r="AK387" s="3" t="s">
        <v>46</v>
      </c>
      <c r="AL387" s="3" t="s">
        <v>68</v>
      </c>
      <c r="AM387" s="3" t="s">
        <v>65</v>
      </c>
    </row>
    <row r="388" spans="1:39" ht="21" customHeight="1">
      <c r="A388" s="4">
        <v>46094</v>
      </c>
      <c r="B388" s="3" t="s">
        <v>65</v>
      </c>
      <c r="C388" s="3" t="s">
        <v>66</v>
      </c>
      <c r="D388" s="4">
        <v>46120</v>
      </c>
      <c r="E388" s="3">
        <v>-26</v>
      </c>
      <c r="F388" s="3" t="s">
        <v>41</v>
      </c>
      <c r="G388" s="3" t="s">
        <v>53</v>
      </c>
      <c r="H388" s="3">
        <v>0</v>
      </c>
      <c r="I388" s="7">
        <v>96243</v>
      </c>
      <c r="J388" s="7">
        <v>39606</v>
      </c>
      <c r="K388" s="7">
        <v>56637</v>
      </c>
      <c r="L388" s="5">
        <f t="shared" si="73"/>
        <v>0.41152083787911847</v>
      </c>
      <c r="M388" s="5">
        <f t="shared" si="74"/>
        <v>4.0093804372494102E-2</v>
      </c>
      <c r="N388" s="7">
        <f t="shared" si="75"/>
        <v>94175.71428571429</v>
      </c>
      <c r="O388" s="7">
        <f t="shared" si="65"/>
        <v>105057.57142857143</v>
      </c>
      <c r="P388" s="8">
        <f t="shared" si="66"/>
        <v>0.91609770425195436</v>
      </c>
      <c r="Q388" s="7"/>
      <c r="R388" s="7"/>
      <c r="S388" s="7"/>
      <c r="T388" s="7"/>
      <c r="U388" s="7"/>
      <c r="V388" s="7"/>
      <c r="W388" s="7"/>
      <c r="X388" s="3" t="s">
        <v>70</v>
      </c>
      <c r="Y388" s="3"/>
      <c r="Z388" s="9">
        <v>0.58028999999999997</v>
      </c>
      <c r="AA388" s="5">
        <f t="shared" si="72"/>
        <v>0.49926366102570707</v>
      </c>
      <c r="AB388" s="9">
        <f t="shared" si="76"/>
        <v>0.41761285714285712</v>
      </c>
      <c r="AC388" s="9">
        <f t="shared" si="67"/>
        <v>0.27077535714285716</v>
      </c>
      <c r="AD388" s="8">
        <f t="shared" si="68"/>
        <v>1.5422853155818408</v>
      </c>
      <c r="AE388" s="3" t="s">
        <v>44</v>
      </c>
      <c r="AF388" s="10">
        <f t="shared" si="69"/>
        <v>42110</v>
      </c>
      <c r="AG388" s="11">
        <f t="shared" si="70"/>
        <v>0.94053668962241743</v>
      </c>
      <c r="AH388" s="11">
        <f t="shared" si="71"/>
        <v>2.1430679886199813</v>
      </c>
      <c r="AI388" s="3" t="s">
        <v>45</v>
      </c>
      <c r="AJ388" s="3" t="s">
        <v>66</v>
      </c>
      <c r="AK388" s="3" t="s">
        <v>46</v>
      </c>
      <c r="AL388" s="3" t="s">
        <v>68</v>
      </c>
      <c r="AM388" s="3" t="s">
        <v>65</v>
      </c>
    </row>
    <row r="389" spans="1:39" ht="21" customHeight="1">
      <c r="A389" s="4">
        <v>46095</v>
      </c>
      <c r="B389" s="3" t="s">
        <v>65</v>
      </c>
      <c r="C389" s="3" t="s">
        <v>66</v>
      </c>
      <c r="D389" s="4">
        <v>46120</v>
      </c>
      <c r="E389" s="3">
        <v>-25</v>
      </c>
      <c r="F389" s="3" t="s">
        <v>41</v>
      </c>
      <c r="G389" s="3" t="s">
        <v>42</v>
      </c>
      <c r="H389" s="3">
        <v>1</v>
      </c>
      <c r="I389" s="7">
        <v>111517</v>
      </c>
      <c r="J389" s="7">
        <v>60168</v>
      </c>
      <c r="K389" s="7">
        <v>51348</v>
      </c>
      <c r="L389" s="5">
        <f t="shared" si="73"/>
        <v>0.53954105652053053</v>
      </c>
      <c r="M389" s="5">
        <f t="shared" si="74"/>
        <v>0.15870245108735181</v>
      </c>
      <c r="N389" s="7">
        <f t="shared" si="75"/>
        <v>95791.28571428571</v>
      </c>
      <c r="O389" s="7">
        <f t="shared" si="65"/>
        <v>104983.32142857143</v>
      </c>
      <c r="P389" s="8">
        <f t="shared" si="66"/>
        <v>1.0622353958945179</v>
      </c>
      <c r="Q389" s="7"/>
      <c r="R389" s="7"/>
      <c r="S389" s="7"/>
      <c r="T389" s="7"/>
      <c r="U389" s="7"/>
      <c r="V389" s="7"/>
      <c r="W389" s="7"/>
      <c r="X389" s="3" t="s">
        <v>70</v>
      </c>
      <c r="Y389" s="3"/>
      <c r="Z389" s="9">
        <v>0.53003</v>
      </c>
      <c r="AA389" s="5">
        <f t="shared" si="72"/>
        <v>-8.6611866480552746E-2</v>
      </c>
      <c r="AB389" s="9">
        <f t="shared" si="76"/>
        <v>0.43566571428571432</v>
      </c>
      <c r="AC389" s="9">
        <f t="shared" si="67"/>
        <v>0.27996892857142858</v>
      </c>
      <c r="AD389" s="8">
        <f t="shared" si="68"/>
        <v>1.5561216614598814</v>
      </c>
      <c r="AE389" s="3" t="s">
        <v>44</v>
      </c>
      <c r="AF389" s="10">
        <f t="shared" si="69"/>
        <v>61010.25</v>
      </c>
      <c r="AG389" s="11">
        <f t="shared" si="70"/>
        <v>0.98619494265307883</v>
      </c>
      <c r="AH389" s="11">
        <f t="shared" si="71"/>
        <v>1.893174370115051</v>
      </c>
      <c r="AI389" s="3" t="s">
        <v>45</v>
      </c>
      <c r="AJ389" s="3" t="s">
        <v>66</v>
      </c>
      <c r="AK389" s="3" t="s">
        <v>46</v>
      </c>
      <c r="AL389" s="3" t="s">
        <v>68</v>
      </c>
      <c r="AM389" s="3" t="s">
        <v>65</v>
      </c>
    </row>
    <row r="390" spans="1:39" ht="21" customHeight="1">
      <c r="A390" s="4">
        <v>46096</v>
      </c>
      <c r="B390" s="3" t="s">
        <v>65</v>
      </c>
      <c r="C390" s="3" t="s">
        <v>66</v>
      </c>
      <c r="D390" s="4">
        <v>46120</v>
      </c>
      <c r="E390" s="3">
        <v>-24</v>
      </c>
      <c r="F390" s="3" t="s">
        <v>41</v>
      </c>
      <c r="G390" s="3" t="s">
        <v>48</v>
      </c>
      <c r="H390" s="3">
        <v>1</v>
      </c>
      <c r="I390" s="7">
        <v>101920</v>
      </c>
      <c r="J390" s="7">
        <v>52524</v>
      </c>
      <c r="K390" s="7">
        <v>49396</v>
      </c>
      <c r="L390" s="5">
        <f t="shared" si="73"/>
        <v>0.5153453689167975</v>
      </c>
      <c r="M390" s="5">
        <f t="shared" si="74"/>
        <v>-8.6058627832527823E-2</v>
      </c>
      <c r="N390" s="7">
        <f t="shared" si="75"/>
        <v>96175.857142857145</v>
      </c>
      <c r="O390" s="7">
        <f t="shared" si="65"/>
        <v>104853.71428571429</v>
      </c>
      <c r="P390" s="8">
        <f t="shared" si="66"/>
        <v>0.97202088351662719</v>
      </c>
      <c r="Q390" s="7"/>
      <c r="R390" s="7"/>
      <c r="S390" s="7"/>
      <c r="T390" s="7"/>
      <c r="U390" s="7"/>
      <c r="V390" s="7"/>
      <c r="W390" s="7"/>
      <c r="X390" s="3" t="s">
        <v>70</v>
      </c>
      <c r="Y390" s="3"/>
      <c r="Z390" s="9">
        <v>0.47271000000000002</v>
      </c>
      <c r="AA390" s="5">
        <f t="shared" si="72"/>
        <v>-0.10814482199120801</v>
      </c>
      <c r="AB390" s="9">
        <f t="shared" si="76"/>
        <v>0.45072000000000007</v>
      </c>
      <c r="AC390" s="9">
        <f t="shared" si="67"/>
        <v>0.2910835714285715</v>
      </c>
      <c r="AD390" s="8">
        <f t="shared" si="68"/>
        <v>1.5484212928540404</v>
      </c>
      <c r="AE390" s="3" t="s">
        <v>44</v>
      </c>
      <c r="AF390" s="10">
        <f t="shared" si="69"/>
        <v>65301.5</v>
      </c>
      <c r="AG390" s="11">
        <f t="shared" si="70"/>
        <v>0.80433068153105214</v>
      </c>
      <c r="AH390" s="11">
        <f t="shared" si="71"/>
        <v>1.6239666075280292</v>
      </c>
      <c r="AI390" s="3" t="s">
        <v>45</v>
      </c>
      <c r="AJ390" s="3" t="s">
        <v>66</v>
      </c>
      <c r="AK390" s="3" t="s">
        <v>46</v>
      </c>
      <c r="AL390" s="3" t="s">
        <v>68</v>
      </c>
      <c r="AM390" s="3" t="s">
        <v>65</v>
      </c>
    </row>
    <row r="391" spans="1:39" ht="21" customHeight="1">
      <c r="A391" s="4">
        <v>46097</v>
      </c>
      <c r="B391" s="3" t="s">
        <v>65</v>
      </c>
      <c r="C391" s="3" t="s">
        <v>66</v>
      </c>
      <c r="D391" s="4">
        <v>46120</v>
      </c>
      <c r="E391" s="3">
        <v>-23</v>
      </c>
      <c r="F391" s="3" t="s">
        <v>41</v>
      </c>
      <c r="G391" s="3" t="s">
        <v>49</v>
      </c>
      <c r="H391" s="3">
        <v>0</v>
      </c>
      <c r="I391" s="7">
        <v>91189</v>
      </c>
      <c r="J391" s="7">
        <v>35766</v>
      </c>
      <c r="K391" s="7">
        <v>55422</v>
      </c>
      <c r="L391" s="5">
        <f t="shared" si="73"/>
        <v>0.39221835967057428</v>
      </c>
      <c r="M391" s="5">
        <f t="shared" si="74"/>
        <v>-0.1052884615384615</v>
      </c>
      <c r="N391" s="7">
        <f t="shared" si="75"/>
        <v>96755.428571428565</v>
      </c>
      <c r="O391" s="7">
        <f t="shared" si="65"/>
        <v>103596.71428571429</v>
      </c>
      <c r="P391" s="8">
        <f t="shared" si="66"/>
        <v>0.88023061955908688</v>
      </c>
      <c r="Q391" s="7"/>
      <c r="R391" s="7"/>
      <c r="S391" s="7"/>
      <c r="T391" s="7"/>
      <c r="U391" s="7"/>
      <c r="V391" s="7"/>
      <c r="W391" s="7"/>
      <c r="X391" s="3" t="s">
        <v>70</v>
      </c>
      <c r="Y391" s="3"/>
      <c r="Z391" s="9">
        <v>0.37898999999999999</v>
      </c>
      <c r="AA391" s="5">
        <f t="shared" si="72"/>
        <v>-0.19826109030906902</v>
      </c>
      <c r="AB391" s="9">
        <f t="shared" si="76"/>
        <v>0.45757571428571431</v>
      </c>
      <c r="AC391" s="9">
        <f t="shared" si="67"/>
        <v>0.30173107142857142</v>
      </c>
      <c r="AD391" s="8">
        <f t="shared" si="68"/>
        <v>1.5165018044687382</v>
      </c>
      <c r="AE391" s="3" t="s">
        <v>44</v>
      </c>
      <c r="AF391" s="10">
        <f t="shared" si="69"/>
        <v>55461</v>
      </c>
      <c r="AG391" s="11">
        <f t="shared" si="70"/>
        <v>0.64488559528317191</v>
      </c>
      <c r="AH391" s="11">
        <f t="shared" si="71"/>
        <v>1.2560522792884392</v>
      </c>
      <c r="AI391" s="3" t="s">
        <v>45</v>
      </c>
      <c r="AJ391" s="3" t="s">
        <v>66</v>
      </c>
      <c r="AK391" s="3" t="s">
        <v>46</v>
      </c>
      <c r="AL391" s="3" t="s">
        <v>68</v>
      </c>
      <c r="AM391" s="3" t="s">
        <v>65</v>
      </c>
    </row>
    <row r="392" spans="1:39" ht="21" customHeight="1">
      <c r="A392" s="4">
        <v>46098</v>
      </c>
      <c r="B392" s="3" t="s">
        <v>65</v>
      </c>
      <c r="C392" s="3" t="s">
        <v>66</v>
      </c>
      <c r="D392" s="4">
        <v>46120</v>
      </c>
      <c r="E392" s="3">
        <v>-22</v>
      </c>
      <c r="F392" s="3" t="s">
        <v>41</v>
      </c>
      <c r="G392" s="3" t="s">
        <v>50</v>
      </c>
      <c r="H392" s="3">
        <v>0</v>
      </c>
      <c r="I392" s="7">
        <v>94157</v>
      </c>
      <c r="J392" s="7">
        <v>38409</v>
      </c>
      <c r="K392" s="7">
        <v>55748</v>
      </c>
      <c r="L392" s="5">
        <f t="shared" si="73"/>
        <v>0.40792506133372985</v>
      </c>
      <c r="M392" s="5">
        <f t="shared" si="74"/>
        <v>3.2547785368849391E-2</v>
      </c>
      <c r="N392" s="7">
        <f t="shared" si="75"/>
        <v>97034.428571428565</v>
      </c>
      <c r="O392" s="7">
        <f t="shared" si="65"/>
        <v>101475.82142857143</v>
      </c>
      <c r="P392" s="8">
        <f t="shared" si="66"/>
        <v>0.92787620414856031</v>
      </c>
      <c r="Q392" s="7"/>
      <c r="R392" s="7"/>
      <c r="S392" s="7"/>
      <c r="T392" s="7"/>
      <c r="U392" s="7"/>
      <c r="V392" s="7"/>
      <c r="W392" s="7"/>
      <c r="X392" s="3" t="s">
        <v>70</v>
      </c>
      <c r="Y392" s="3"/>
      <c r="Z392" s="9">
        <v>0.34308</v>
      </c>
      <c r="AA392" s="5">
        <f t="shared" si="72"/>
        <v>-9.4751840417952926E-2</v>
      </c>
      <c r="AB392" s="9">
        <f t="shared" si="76"/>
        <v>0.44886142857142858</v>
      </c>
      <c r="AC392" s="9">
        <f t="shared" si="67"/>
        <v>0.3108717857142857</v>
      </c>
      <c r="AD392" s="8">
        <f t="shared" si="68"/>
        <v>1.4438795966642197</v>
      </c>
      <c r="AE392" s="3" t="s">
        <v>44</v>
      </c>
      <c r="AF392" s="10">
        <f t="shared" si="69"/>
        <v>61296</v>
      </c>
      <c r="AG392" s="11">
        <f t="shared" si="70"/>
        <v>0.62661511354737665</v>
      </c>
      <c r="AH392" s="11">
        <f t="shared" si="71"/>
        <v>1.1036061031132496</v>
      </c>
      <c r="AI392" s="3" t="s">
        <v>45</v>
      </c>
      <c r="AJ392" s="3" t="s">
        <v>66</v>
      </c>
      <c r="AK392" s="3" t="s">
        <v>46</v>
      </c>
      <c r="AL392" s="3" t="s">
        <v>68</v>
      </c>
      <c r="AM392" s="3" t="s">
        <v>65</v>
      </c>
    </row>
    <row r="393" spans="1:39" ht="21" customHeight="1">
      <c r="A393" s="4">
        <v>46099</v>
      </c>
      <c r="B393" s="3" t="s">
        <v>65</v>
      </c>
      <c r="C393" s="3" t="s">
        <v>66</v>
      </c>
      <c r="D393" s="4">
        <v>46120</v>
      </c>
      <c r="E393" s="3">
        <v>-21</v>
      </c>
      <c r="F393" s="3" t="s">
        <v>41</v>
      </c>
      <c r="G393" s="3" t="s">
        <v>51</v>
      </c>
      <c r="H393" s="3">
        <v>0</v>
      </c>
      <c r="I393" s="7">
        <v>89621</v>
      </c>
      <c r="J393" s="7">
        <v>34758</v>
      </c>
      <c r="K393" s="7">
        <v>54862</v>
      </c>
      <c r="L393" s="5">
        <f t="shared" si="73"/>
        <v>0.38783320873455995</v>
      </c>
      <c r="M393" s="5">
        <f t="shared" si="74"/>
        <v>-4.8174856887963746E-2</v>
      </c>
      <c r="N393" s="7">
        <f t="shared" si="75"/>
        <v>96740</v>
      </c>
      <c r="O393" s="7">
        <f t="shared" si="65"/>
        <v>98253.071428571435</v>
      </c>
      <c r="P393" s="8">
        <f t="shared" si="66"/>
        <v>0.91214451311227629</v>
      </c>
      <c r="Q393" s="7"/>
      <c r="R393" s="7"/>
      <c r="S393" s="7"/>
      <c r="T393" s="7"/>
      <c r="U393" s="7"/>
      <c r="V393" s="7"/>
      <c r="W393" s="7"/>
      <c r="X393" s="3" t="s">
        <v>70</v>
      </c>
      <c r="Y393" s="3"/>
      <c r="Z393" s="9">
        <v>0.45284999999999997</v>
      </c>
      <c r="AA393" s="5">
        <f t="shared" si="72"/>
        <v>0.31995452955578862</v>
      </c>
      <c r="AB393" s="9">
        <f t="shared" si="76"/>
        <v>0.44928571428571434</v>
      </c>
      <c r="AC393" s="9">
        <f t="shared" si="67"/>
        <v>0.31882071428571429</v>
      </c>
      <c r="AD393" s="8">
        <f t="shared" si="68"/>
        <v>1.4092111778003313</v>
      </c>
      <c r="AE393" s="3" t="s">
        <v>44</v>
      </c>
      <c r="AF393" s="10">
        <f t="shared" si="69"/>
        <v>45890.5</v>
      </c>
      <c r="AG393" s="11">
        <f t="shared" si="70"/>
        <v>0.75741166472363564</v>
      </c>
      <c r="AH393" s="11">
        <f t="shared" si="71"/>
        <v>1.4203907704509251</v>
      </c>
      <c r="AI393" s="3" t="s">
        <v>45</v>
      </c>
      <c r="AJ393" s="3" t="s">
        <v>66</v>
      </c>
      <c r="AK393" s="3" t="s">
        <v>46</v>
      </c>
      <c r="AL393" s="3" t="s">
        <v>68</v>
      </c>
      <c r="AM393" s="3" t="s">
        <v>65</v>
      </c>
    </row>
    <row r="394" spans="1:39" ht="21" customHeight="1">
      <c r="A394" s="4">
        <v>46100</v>
      </c>
      <c r="B394" s="3" t="s">
        <v>65</v>
      </c>
      <c r="C394" s="3" t="s">
        <v>66</v>
      </c>
      <c r="D394" s="4">
        <v>46120</v>
      </c>
      <c r="E394" s="3">
        <v>-20</v>
      </c>
      <c r="F394" s="3" t="s">
        <v>41</v>
      </c>
      <c r="G394" s="3" t="s">
        <v>52</v>
      </c>
      <c r="H394" s="3">
        <v>0</v>
      </c>
      <c r="I394" s="7">
        <v>95410</v>
      </c>
      <c r="J394" s="7">
        <v>39504</v>
      </c>
      <c r="K394" s="7">
        <v>55906</v>
      </c>
      <c r="L394" s="5">
        <f t="shared" si="73"/>
        <v>0.41404464940781888</v>
      </c>
      <c r="M394" s="5">
        <f t="shared" si="74"/>
        <v>6.4594235726001648E-2</v>
      </c>
      <c r="N394" s="7">
        <f t="shared" si="75"/>
        <v>97151</v>
      </c>
      <c r="O394" s="7">
        <f t="shared" si="65"/>
        <v>97296.071428571435</v>
      </c>
      <c r="P394" s="8">
        <f t="shared" si="66"/>
        <v>0.98061513275018442</v>
      </c>
      <c r="Q394" s="7"/>
      <c r="R394" s="7"/>
      <c r="S394" s="7"/>
      <c r="T394" s="7"/>
      <c r="U394" s="7"/>
      <c r="V394" s="7"/>
      <c r="W394" s="7"/>
      <c r="X394" s="3" t="s">
        <v>70</v>
      </c>
      <c r="Y394" s="3"/>
      <c r="Z394" s="9">
        <v>0.59972999999999999</v>
      </c>
      <c r="AA394" s="5">
        <f t="shared" si="72"/>
        <v>0.32434580987081829</v>
      </c>
      <c r="AB394" s="9">
        <f t="shared" si="76"/>
        <v>0.47966857142857144</v>
      </c>
      <c r="AC394" s="9">
        <f t="shared" si="67"/>
        <v>0.33033928571428578</v>
      </c>
      <c r="AD394" s="8">
        <f t="shared" si="68"/>
        <v>1.4520482188226389</v>
      </c>
      <c r="AE394" s="3" t="s">
        <v>44</v>
      </c>
      <c r="AF394" s="10">
        <f t="shared" si="69"/>
        <v>39508.75</v>
      </c>
      <c r="AG394" s="11">
        <f t="shared" si="70"/>
        <v>0.99987977346790269</v>
      </c>
      <c r="AH394" s="11">
        <f t="shared" si="71"/>
        <v>1.8154970538948048</v>
      </c>
      <c r="AI394" s="3" t="s">
        <v>45</v>
      </c>
      <c r="AJ394" s="3" t="s">
        <v>66</v>
      </c>
      <c r="AK394" s="3" t="s">
        <v>46</v>
      </c>
      <c r="AL394" s="3" t="s">
        <v>68</v>
      </c>
      <c r="AM394" s="3" t="s">
        <v>65</v>
      </c>
    </row>
    <row r="395" spans="1:39" ht="21" customHeight="1">
      <c r="A395" s="4">
        <v>46101</v>
      </c>
      <c r="B395" s="3" t="s">
        <v>65</v>
      </c>
      <c r="C395" s="3" t="s">
        <v>66</v>
      </c>
      <c r="D395" s="4">
        <v>46120</v>
      </c>
      <c r="E395" s="3">
        <v>-19</v>
      </c>
      <c r="F395" s="3" t="s">
        <v>41</v>
      </c>
      <c r="G395" s="3" t="s">
        <v>53</v>
      </c>
      <c r="H395" s="3">
        <v>0</v>
      </c>
      <c r="I395" s="7">
        <v>99302</v>
      </c>
      <c r="J395" s="7">
        <v>42896</v>
      </c>
      <c r="K395" s="7">
        <v>56406</v>
      </c>
      <c r="L395" s="5">
        <f t="shared" si="73"/>
        <v>0.43197518680389119</v>
      </c>
      <c r="M395" s="5">
        <f t="shared" si="74"/>
        <v>4.0792369772560511E-2</v>
      </c>
      <c r="N395" s="7">
        <f t="shared" si="75"/>
        <v>97588</v>
      </c>
      <c r="O395" s="7">
        <f t="shared" si="65"/>
        <v>97282.821428571435</v>
      </c>
      <c r="P395" s="8">
        <f t="shared" si="66"/>
        <v>1.0207557566873318</v>
      </c>
      <c r="Q395" s="7"/>
      <c r="R395" s="7"/>
      <c r="S395" s="7"/>
      <c r="T395" s="7"/>
      <c r="U395" s="7"/>
      <c r="V395" s="7"/>
      <c r="W395" s="7"/>
      <c r="X395" s="3" t="s">
        <v>70</v>
      </c>
      <c r="Y395" s="3"/>
      <c r="Z395" s="9">
        <v>0.65097000000000005</v>
      </c>
      <c r="AA395" s="5">
        <f t="shared" si="72"/>
        <v>8.5438447301285692E-2</v>
      </c>
      <c r="AB395" s="9">
        <f t="shared" si="76"/>
        <v>0.4897657142857143</v>
      </c>
      <c r="AC395" s="9">
        <f t="shared" si="67"/>
        <v>0.34685607142857144</v>
      </c>
      <c r="AD395" s="8">
        <f t="shared" si="68"/>
        <v>1.4120142463372518</v>
      </c>
      <c r="AE395" s="3" t="s">
        <v>44</v>
      </c>
      <c r="AF395" s="10">
        <f t="shared" si="69"/>
        <v>41215</v>
      </c>
      <c r="AG395" s="11">
        <f t="shared" si="70"/>
        <v>1.0407861215576852</v>
      </c>
      <c r="AH395" s="11">
        <f t="shared" si="71"/>
        <v>1.8767726836059009</v>
      </c>
      <c r="AI395" s="3" t="s">
        <v>45</v>
      </c>
      <c r="AJ395" s="3" t="s">
        <v>66</v>
      </c>
      <c r="AK395" s="3" t="s">
        <v>46</v>
      </c>
      <c r="AL395" s="3" t="s">
        <v>68</v>
      </c>
      <c r="AM395" s="3" t="s">
        <v>65</v>
      </c>
    </row>
    <row r="396" spans="1:39" ht="21" customHeight="1">
      <c r="A396" s="4">
        <v>46102</v>
      </c>
      <c r="B396" s="3" t="s">
        <v>65</v>
      </c>
      <c r="C396" s="3" t="s">
        <v>66</v>
      </c>
      <c r="D396" s="4">
        <v>46120</v>
      </c>
      <c r="E396" s="3">
        <v>-18</v>
      </c>
      <c r="F396" s="3" t="s">
        <v>41</v>
      </c>
      <c r="G396" s="3" t="s">
        <v>42</v>
      </c>
      <c r="H396" s="3">
        <v>1</v>
      </c>
      <c r="I396" s="7">
        <v>118566</v>
      </c>
      <c r="J396" s="7">
        <v>66850</v>
      </c>
      <c r="K396" s="7">
        <v>51716</v>
      </c>
      <c r="L396" s="5">
        <f t="shared" si="73"/>
        <v>0.56382099421419296</v>
      </c>
      <c r="M396" s="5">
        <f t="shared" si="74"/>
        <v>0.19399407866911034</v>
      </c>
      <c r="N396" s="7">
        <f t="shared" si="75"/>
        <v>98595</v>
      </c>
      <c r="O396" s="7">
        <f t="shared" si="65"/>
        <v>97373.178571428565</v>
      </c>
      <c r="P396" s="8">
        <f t="shared" si="66"/>
        <v>1.2176453694897649</v>
      </c>
      <c r="Q396" s="7"/>
      <c r="R396" s="7"/>
      <c r="S396" s="7"/>
      <c r="T396" s="7"/>
      <c r="U396" s="7"/>
      <c r="V396" s="7"/>
      <c r="W396" s="7"/>
      <c r="X396" s="3" t="s">
        <v>70</v>
      </c>
      <c r="Y396" s="3"/>
      <c r="Z396" s="9">
        <v>1.07647</v>
      </c>
      <c r="AA396" s="5">
        <f t="shared" si="72"/>
        <v>0.65363995268599151</v>
      </c>
      <c r="AB396" s="9">
        <f t="shared" si="76"/>
        <v>0.56782857142857146</v>
      </c>
      <c r="AC396" s="9">
        <f t="shared" si="67"/>
        <v>0.36537464285714283</v>
      </c>
      <c r="AD396" s="8">
        <f t="shared" si="68"/>
        <v>1.5540995592586477</v>
      </c>
      <c r="AE396" s="3" t="s">
        <v>44</v>
      </c>
      <c r="AF396" s="10">
        <f t="shared" si="69"/>
        <v>59783.25</v>
      </c>
      <c r="AG396" s="11">
        <f t="shared" si="70"/>
        <v>1.1182061865154538</v>
      </c>
      <c r="AH396" s="11">
        <f t="shared" si="71"/>
        <v>2.9462088326170108</v>
      </c>
      <c r="AI396" s="3" t="s">
        <v>45</v>
      </c>
      <c r="AJ396" s="3" t="s">
        <v>66</v>
      </c>
      <c r="AK396" s="3" t="s">
        <v>46</v>
      </c>
      <c r="AL396" s="3" t="s">
        <v>68</v>
      </c>
      <c r="AM396" s="3" t="s">
        <v>65</v>
      </c>
    </row>
    <row r="397" spans="1:39" ht="21" customHeight="1">
      <c r="A397" s="4">
        <v>46103</v>
      </c>
      <c r="B397" s="3" t="s">
        <v>65</v>
      </c>
      <c r="C397" s="3" t="s">
        <v>66</v>
      </c>
      <c r="D397" s="4">
        <v>46120</v>
      </c>
      <c r="E397" s="3">
        <v>-17</v>
      </c>
      <c r="F397" s="3" t="s">
        <v>41</v>
      </c>
      <c r="G397" s="3" t="s">
        <v>48</v>
      </c>
      <c r="H397" s="3">
        <v>1</v>
      </c>
      <c r="I397" s="7">
        <v>109540</v>
      </c>
      <c r="J397" s="7">
        <v>59048</v>
      </c>
      <c r="K397" s="7">
        <v>50491</v>
      </c>
      <c r="L397" s="5">
        <f t="shared" si="73"/>
        <v>0.53905422676647796</v>
      </c>
      <c r="M397" s="5">
        <f t="shared" si="74"/>
        <v>-7.6126376870266355E-2</v>
      </c>
      <c r="N397" s="7">
        <f t="shared" si="75"/>
        <v>99683.571428571435</v>
      </c>
      <c r="O397" s="7">
        <f t="shared" si="65"/>
        <v>97736.928571428565</v>
      </c>
      <c r="P397" s="8">
        <f t="shared" si="66"/>
        <v>1.1207636826846412</v>
      </c>
      <c r="Q397" s="7"/>
      <c r="R397" s="7"/>
      <c r="S397" s="7"/>
      <c r="T397" s="7"/>
      <c r="U397" s="7"/>
      <c r="V397" s="7"/>
      <c r="W397" s="7"/>
      <c r="X397" s="3" t="s">
        <v>70</v>
      </c>
      <c r="Y397" s="3"/>
      <c r="Z397" s="9">
        <v>1.22045</v>
      </c>
      <c r="AA397" s="5">
        <f t="shared" si="72"/>
        <v>0.13375198565682278</v>
      </c>
      <c r="AB397" s="9">
        <f t="shared" si="76"/>
        <v>0.67464857142857149</v>
      </c>
      <c r="AC397" s="9">
        <f t="shared" si="67"/>
        <v>0.39932928571428583</v>
      </c>
      <c r="AD397" s="8">
        <f t="shared" si="68"/>
        <v>1.6894542813753772</v>
      </c>
      <c r="AE397" s="3" t="s">
        <v>44</v>
      </c>
      <c r="AF397" s="10">
        <f t="shared" si="69"/>
        <v>56213.5</v>
      </c>
      <c r="AG397" s="11">
        <f t="shared" si="70"/>
        <v>1.0504238305745062</v>
      </c>
      <c r="AH397" s="11">
        <f t="shared" si="71"/>
        <v>3.0562496757956636</v>
      </c>
      <c r="AI397" s="3" t="s">
        <v>45</v>
      </c>
      <c r="AJ397" s="3" t="s">
        <v>66</v>
      </c>
      <c r="AK397" s="3" t="s">
        <v>46</v>
      </c>
      <c r="AL397" s="3" t="s">
        <v>68</v>
      </c>
      <c r="AM397" s="3" t="s">
        <v>65</v>
      </c>
    </row>
    <row r="398" spans="1:39" ht="21" customHeight="1">
      <c r="A398" s="4">
        <v>46104</v>
      </c>
      <c r="B398" s="3" t="s">
        <v>65</v>
      </c>
      <c r="C398" s="3" t="s">
        <v>66</v>
      </c>
      <c r="D398" s="4">
        <v>46120</v>
      </c>
      <c r="E398" s="3">
        <v>-16</v>
      </c>
      <c r="F398" s="3" t="s">
        <v>41</v>
      </c>
      <c r="G398" s="3" t="s">
        <v>49</v>
      </c>
      <c r="H398" s="3">
        <v>0</v>
      </c>
      <c r="I398" s="7">
        <v>95200</v>
      </c>
      <c r="J398" s="7">
        <v>38864</v>
      </c>
      <c r="K398" s="7">
        <v>56336</v>
      </c>
      <c r="L398" s="5">
        <f t="shared" si="73"/>
        <v>0.40823529411764709</v>
      </c>
      <c r="M398" s="5">
        <f t="shared" si="74"/>
        <v>-0.13091108270951246</v>
      </c>
      <c r="N398" s="7">
        <f t="shared" si="75"/>
        <v>100256.57142857143</v>
      </c>
      <c r="O398" s="7">
        <f t="shared" si="65"/>
        <v>98057.71428571429</v>
      </c>
      <c r="P398" s="8">
        <f t="shared" si="66"/>
        <v>0.97085681318873429</v>
      </c>
      <c r="Q398" s="7"/>
      <c r="R398" s="7"/>
      <c r="S398" s="7"/>
      <c r="T398" s="7"/>
      <c r="U398" s="7"/>
      <c r="V398" s="7"/>
      <c r="W398" s="7"/>
      <c r="X398" s="3" t="s">
        <v>70</v>
      </c>
      <c r="Y398" s="3"/>
      <c r="Z398" s="9">
        <v>0.92266999999999999</v>
      </c>
      <c r="AA398" s="5">
        <f t="shared" si="72"/>
        <v>-0.24399197017493546</v>
      </c>
      <c r="AB398" s="9">
        <f t="shared" si="76"/>
        <v>0.75231714285714291</v>
      </c>
      <c r="AC398" s="9">
        <f t="shared" si="67"/>
        <v>0.43833035714285717</v>
      </c>
      <c r="AD398" s="8">
        <f t="shared" si="68"/>
        <v>1.7163245269182978</v>
      </c>
      <c r="AE398" s="3" t="s">
        <v>44</v>
      </c>
      <c r="AF398" s="10">
        <f t="shared" si="69"/>
        <v>37732.5</v>
      </c>
      <c r="AG398" s="11">
        <f t="shared" si="70"/>
        <v>1.0299874113827603</v>
      </c>
      <c r="AH398" s="11">
        <f t="shared" si="71"/>
        <v>2.1049648626077038</v>
      </c>
      <c r="AI398" s="3" t="s">
        <v>45</v>
      </c>
      <c r="AJ398" s="3" t="s">
        <v>66</v>
      </c>
      <c r="AK398" s="3" t="s">
        <v>46</v>
      </c>
      <c r="AL398" s="3" t="s">
        <v>68</v>
      </c>
      <c r="AM398" s="3" t="s">
        <v>65</v>
      </c>
    </row>
    <row r="399" spans="1:39" ht="21" customHeight="1">
      <c r="A399" s="4">
        <v>46105</v>
      </c>
      <c r="B399" s="3" t="s">
        <v>65</v>
      </c>
      <c r="C399" s="3" t="s">
        <v>66</v>
      </c>
      <c r="D399" s="4">
        <v>46120</v>
      </c>
      <c r="E399" s="3">
        <v>-15</v>
      </c>
      <c r="F399" s="3" t="s">
        <v>41</v>
      </c>
      <c r="G399" s="3" t="s">
        <v>50</v>
      </c>
      <c r="H399" s="3">
        <v>0</v>
      </c>
      <c r="I399" s="7">
        <v>95123</v>
      </c>
      <c r="J399" s="7">
        <v>39200</v>
      </c>
      <c r="K399" s="7">
        <v>55923</v>
      </c>
      <c r="L399" s="5">
        <f t="shared" si="73"/>
        <v>0.41209802045772315</v>
      </c>
      <c r="M399" s="5">
        <f t="shared" si="74"/>
        <v>-8.0882352941180624E-4</v>
      </c>
      <c r="N399" s="7">
        <f t="shared" si="75"/>
        <v>100394.57142857143</v>
      </c>
      <c r="O399" s="7">
        <f t="shared" si="65"/>
        <v>98112.571428571435</v>
      </c>
      <c r="P399" s="8">
        <f t="shared" si="66"/>
        <v>0.96952917057374322</v>
      </c>
      <c r="Q399" s="7">
        <v>13</v>
      </c>
      <c r="R399" s="7">
        <v>15</v>
      </c>
      <c r="S399" s="7">
        <v>2734</v>
      </c>
      <c r="T399" s="7">
        <v>26792000</v>
      </c>
      <c r="U399" s="7">
        <v>2784</v>
      </c>
      <c r="V399" s="7">
        <v>2784</v>
      </c>
      <c r="W399" s="7">
        <v>5</v>
      </c>
      <c r="X399" s="3" t="s">
        <v>70</v>
      </c>
      <c r="Y399" s="3" t="s">
        <v>71</v>
      </c>
      <c r="Z399" s="9">
        <v>1.39114</v>
      </c>
      <c r="AA399" s="5">
        <f t="shared" si="72"/>
        <v>0.50773299229410296</v>
      </c>
      <c r="AB399" s="9">
        <f t="shared" si="76"/>
        <v>0.90204000000000006</v>
      </c>
      <c r="AC399" s="9">
        <f t="shared" si="67"/>
        <v>0.4668403571428571</v>
      </c>
      <c r="AD399" s="8">
        <f t="shared" si="68"/>
        <v>1.9322236953134029</v>
      </c>
      <c r="AE399" s="3" t="s">
        <v>44</v>
      </c>
      <c r="AF399" s="10">
        <f t="shared" si="69"/>
        <v>35993.75</v>
      </c>
      <c r="AG399" s="11">
        <f t="shared" si="70"/>
        <v>1.089077964924466</v>
      </c>
      <c r="AH399" s="11">
        <f t="shared" si="71"/>
        <v>2.9799051832493979</v>
      </c>
      <c r="AI399" s="3" t="s">
        <v>45</v>
      </c>
      <c r="AJ399" s="3" t="s">
        <v>66</v>
      </c>
      <c r="AK399" s="3" t="s">
        <v>46</v>
      </c>
      <c r="AL399" s="3" t="s">
        <v>68</v>
      </c>
      <c r="AM399" s="3" t="s">
        <v>65</v>
      </c>
    </row>
    <row r="400" spans="1:39" ht="21" customHeight="1">
      <c r="A400" s="4">
        <v>46106</v>
      </c>
      <c r="B400" s="3" t="s">
        <v>65</v>
      </c>
      <c r="C400" s="3" t="s">
        <v>66</v>
      </c>
      <c r="D400" s="4">
        <v>46120</v>
      </c>
      <c r="E400" s="3">
        <v>-14</v>
      </c>
      <c r="F400" s="3" t="s">
        <v>41</v>
      </c>
      <c r="G400" s="3" t="s">
        <v>51</v>
      </c>
      <c r="H400" s="3">
        <v>0</v>
      </c>
      <c r="I400" s="7">
        <v>97290</v>
      </c>
      <c r="J400" s="7">
        <v>40484</v>
      </c>
      <c r="K400" s="7">
        <v>56805</v>
      </c>
      <c r="L400" s="5">
        <f t="shared" si="73"/>
        <v>0.41611676431287903</v>
      </c>
      <c r="M400" s="5">
        <f t="shared" si="74"/>
        <v>2.2781030875813402E-2</v>
      </c>
      <c r="N400" s="7">
        <f t="shared" si="75"/>
        <v>101490.14285714286</v>
      </c>
      <c r="O400" s="7">
        <f t="shared" si="65"/>
        <v>98311.678571428565</v>
      </c>
      <c r="P400" s="8">
        <f t="shared" si="66"/>
        <v>0.98960775986866845</v>
      </c>
      <c r="Q400" s="7">
        <v>1</v>
      </c>
      <c r="R400" s="7">
        <v>1</v>
      </c>
      <c r="S400" s="7">
        <v>150</v>
      </c>
      <c r="T400" s="7">
        <v>1500000</v>
      </c>
      <c r="U400" s="7">
        <v>150</v>
      </c>
      <c r="V400" s="7">
        <v>2934</v>
      </c>
      <c r="W400" s="7">
        <v>35</v>
      </c>
      <c r="X400" s="3" t="s">
        <v>70</v>
      </c>
      <c r="Y400" s="3" t="s">
        <v>71</v>
      </c>
      <c r="Z400" s="9">
        <v>1.9013199999999999</v>
      </c>
      <c r="AA400" s="5">
        <f t="shared" si="72"/>
        <v>0.36673519559497958</v>
      </c>
      <c r="AB400" s="9">
        <f t="shared" si="76"/>
        <v>1.1089642857142858</v>
      </c>
      <c r="AC400" s="9">
        <f t="shared" si="67"/>
        <v>0.50922892857142854</v>
      </c>
      <c r="AD400" s="8">
        <f t="shared" si="68"/>
        <v>2.1777322997445019</v>
      </c>
      <c r="AE400" s="3" t="s">
        <v>44</v>
      </c>
      <c r="AF400" s="10">
        <f t="shared" si="69"/>
        <v>36848</v>
      </c>
      <c r="AG400" s="11">
        <f t="shared" si="70"/>
        <v>1.0986756404689535</v>
      </c>
      <c r="AH400" s="11">
        <f t="shared" si="71"/>
        <v>3.7337234656599159</v>
      </c>
      <c r="AI400" s="3" t="s">
        <v>45</v>
      </c>
      <c r="AJ400" s="3" t="s">
        <v>66</v>
      </c>
      <c r="AK400" s="3" t="s">
        <v>46</v>
      </c>
      <c r="AL400" s="3" t="s">
        <v>68</v>
      </c>
      <c r="AM400" s="3" t="s">
        <v>65</v>
      </c>
    </row>
    <row r="401" spans="1:39" ht="21" customHeight="1">
      <c r="A401" s="4">
        <v>46107</v>
      </c>
      <c r="B401" s="3" t="s">
        <v>65</v>
      </c>
      <c r="C401" s="3" t="s">
        <v>66</v>
      </c>
      <c r="D401" s="4">
        <v>46120</v>
      </c>
      <c r="E401" s="3">
        <v>-13</v>
      </c>
      <c r="F401" s="3" t="s">
        <v>41</v>
      </c>
      <c r="G401" s="3" t="s">
        <v>52</v>
      </c>
      <c r="H401" s="3">
        <v>0</v>
      </c>
      <c r="I401" s="7">
        <v>97590</v>
      </c>
      <c r="J401" s="7">
        <v>41755</v>
      </c>
      <c r="K401" s="7">
        <v>55836</v>
      </c>
      <c r="L401" s="5">
        <f t="shared" si="73"/>
        <v>0.42786146121528845</v>
      </c>
      <c r="M401" s="5">
        <f t="shared" si="74"/>
        <v>3.083564600678379E-3</v>
      </c>
      <c r="N401" s="7">
        <f t="shared" si="75"/>
        <v>101801.57142857143</v>
      </c>
      <c r="O401" s="7">
        <f t="shared" si="65"/>
        <v>98271.571428571435</v>
      </c>
      <c r="P401" s="8">
        <f t="shared" si="66"/>
        <v>0.99306440897745452</v>
      </c>
      <c r="Q401" s="7"/>
      <c r="R401" s="7"/>
      <c r="S401" s="7"/>
      <c r="T401" s="7"/>
      <c r="U401" s="7"/>
      <c r="V401" s="7"/>
      <c r="W401" s="7"/>
      <c r="X401" s="3" t="s">
        <v>70</v>
      </c>
      <c r="Y401" s="3"/>
      <c r="Z401" s="9">
        <v>1.2421500000000001</v>
      </c>
      <c r="AA401" s="5">
        <f t="shared" si="72"/>
        <v>-0.34669072013127711</v>
      </c>
      <c r="AB401" s="9">
        <f t="shared" si="76"/>
        <v>1.2007385714285714</v>
      </c>
      <c r="AC401" s="9">
        <f t="shared" si="67"/>
        <v>0.57112535714285717</v>
      </c>
      <c r="AD401" s="8">
        <f t="shared" si="68"/>
        <v>2.1024080902929114</v>
      </c>
      <c r="AE401" s="3" t="s">
        <v>44</v>
      </c>
      <c r="AF401" s="10">
        <f t="shared" si="69"/>
        <v>38665.25</v>
      </c>
      <c r="AG401" s="11">
        <f t="shared" si="70"/>
        <v>1.0799102553326307</v>
      </c>
      <c r="AH401" s="11">
        <f t="shared" si="71"/>
        <v>2.1749165651023574</v>
      </c>
      <c r="AI401" s="3" t="s">
        <v>45</v>
      </c>
      <c r="AJ401" s="3" t="s">
        <v>66</v>
      </c>
      <c r="AK401" s="3" t="s">
        <v>46</v>
      </c>
      <c r="AL401" s="3" t="s">
        <v>68</v>
      </c>
      <c r="AM401" s="3" t="s">
        <v>65</v>
      </c>
    </row>
    <row r="402" spans="1:39" ht="21" customHeight="1">
      <c r="A402" s="4">
        <v>46108</v>
      </c>
      <c r="B402" s="3" t="s">
        <v>65</v>
      </c>
      <c r="C402" s="3" t="s">
        <v>66</v>
      </c>
      <c r="D402" s="4">
        <v>46120</v>
      </c>
      <c r="E402" s="3">
        <v>-12</v>
      </c>
      <c r="F402" s="3" t="s">
        <v>41</v>
      </c>
      <c r="G402" s="3" t="s">
        <v>53</v>
      </c>
      <c r="H402" s="3">
        <v>0</v>
      </c>
      <c r="I402" s="7">
        <v>101815</v>
      </c>
      <c r="J402" s="7">
        <v>45986</v>
      </c>
      <c r="K402" s="7">
        <v>55828</v>
      </c>
      <c r="L402" s="5">
        <f t="shared" si="73"/>
        <v>0.45166232873348722</v>
      </c>
      <c r="M402" s="5">
        <f t="shared" si="74"/>
        <v>4.3293370222358796E-2</v>
      </c>
      <c r="N402" s="7">
        <f t="shared" si="75"/>
        <v>102160.57142857143</v>
      </c>
      <c r="O402" s="7">
        <f t="shared" si="65"/>
        <v>98247.178571428565</v>
      </c>
      <c r="P402" s="8">
        <f t="shared" si="66"/>
        <v>1.0363147469520209</v>
      </c>
      <c r="Q402" s="7"/>
      <c r="R402" s="7"/>
      <c r="S402" s="7"/>
      <c r="T402" s="7"/>
      <c r="U402" s="7"/>
      <c r="V402" s="7"/>
      <c r="W402" s="7"/>
      <c r="X402" s="3" t="s">
        <v>70</v>
      </c>
      <c r="Y402" s="3"/>
      <c r="Z402" s="9">
        <v>1.5585199999999999</v>
      </c>
      <c r="AA402" s="5">
        <f t="shared" si="72"/>
        <v>0.25469548766252048</v>
      </c>
      <c r="AB402" s="9">
        <f t="shared" si="76"/>
        <v>1.3303885714285715</v>
      </c>
      <c r="AC402" s="9">
        <f t="shared" si="67"/>
        <v>0.61027285714285717</v>
      </c>
      <c r="AD402" s="8">
        <f t="shared" si="68"/>
        <v>2.1799897469750062</v>
      </c>
      <c r="AE402" s="3" t="s">
        <v>44</v>
      </c>
      <c r="AF402" s="10">
        <f t="shared" si="69"/>
        <v>41223</v>
      </c>
      <c r="AG402" s="11">
        <f t="shared" si="70"/>
        <v>1.1155422943502413</v>
      </c>
      <c r="AH402" s="11">
        <f t="shared" si="71"/>
        <v>2.5538084837929635</v>
      </c>
      <c r="AI402" s="3" t="s">
        <v>45</v>
      </c>
      <c r="AJ402" s="3" t="s">
        <v>66</v>
      </c>
      <c r="AK402" s="3" t="s">
        <v>46</v>
      </c>
      <c r="AL402" s="3" t="s">
        <v>68</v>
      </c>
      <c r="AM402" s="3" t="s">
        <v>65</v>
      </c>
    </row>
    <row r="403" spans="1:39" ht="21" customHeight="1">
      <c r="A403" s="4">
        <v>46109</v>
      </c>
      <c r="B403" s="3" t="s">
        <v>65</v>
      </c>
      <c r="C403" s="3" t="s">
        <v>66</v>
      </c>
      <c r="D403" s="4">
        <v>46120</v>
      </c>
      <c r="E403" s="3">
        <v>-11</v>
      </c>
      <c r="F403" s="3" t="s">
        <v>41</v>
      </c>
      <c r="G403" s="3" t="s">
        <v>42</v>
      </c>
      <c r="H403" s="3">
        <v>1</v>
      </c>
      <c r="I403" s="7">
        <v>122174</v>
      </c>
      <c r="J403" s="7">
        <v>70049</v>
      </c>
      <c r="K403" s="7">
        <v>52126</v>
      </c>
      <c r="L403" s="5">
        <f t="shared" si="73"/>
        <v>0.57335439618904183</v>
      </c>
      <c r="M403" s="5">
        <f t="shared" si="74"/>
        <v>0.19996071305799745</v>
      </c>
      <c r="N403" s="7">
        <f t="shared" si="75"/>
        <v>102676</v>
      </c>
      <c r="O403" s="7">
        <f t="shared" si="65"/>
        <v>98243.071428571435</v>
      </c>
      <c r="P403" s="8">
        <f t="shared" si="66"/>
        <v>1.2435889699237241</v>
      </c>
      <c r="Q403" s="7">
        <v>80</v>
      </c>
      <c r="R403" s="7">
        <v>80</v>
      </c>
      <c r="S403" s="7">
        <v>12332</v>
      </c>
      <c r="T403" s="7">
        <v>30277900</v>
      </c>
      <c r="U403" s="7">
        <v>2524</v>
      </c>
      <c r="V403" s="7">
        <v>5458</v>
      </c>
      <c r="W403" s="7">
        <v>10</v>
      </c>
      <c r="X403" s="3" t="s">
        <v>70</v>
      </c>
      <c r="Y403" s="3" t="s">
        <v>71</v>
      </c>
      <c r="Z403" s="9">
        <v>2.8555199999999998</v>
      </c>
      <c r="AA403" s="5">
        <f t="shared" si="72"/>
        <v>0.83219977927777644</v>
      </c>
      <c r="AB403" s="9">
        <f t="shared" si="76"/>
        <v>1.5845385714285716</v>
      </c>
      <c r="AC403" s="9">
        <f t="shared" si="67"/>
        <v>0.65669535714285721</v>
      </c>
      <c r="AD403" s="8">
        <f t="shared" si="68"/>
        <v>2.4128974785546897</v>
      </c>
      <c r="AE403" s="3" t="s">
        <v>44</v>
      </c>
      <c r="AF403" s="10">
        <f t="shared" si="69"/>
        <v>61818.5</v>
      </c>
      <c r="AG403" s="11">
        <f t="shared" si="70"/>
        <v>1.1331397558983152</v>
      </c>
      <c r="AH403" s="11">
        <f t="shared" si="71"/>
        <v>4.3483176315175491</v>
      </c>
      <c r="AI403" s="3" t="s">
        <v>45</v>
      </c>
      <c r="AJ403" s="3" t="s">
        <v>66</v>
      </c>
      <c r="AK403" s="3" t="s">
        <v>46</v>
      </c>
      <c r="AL403" s="3" t="s">
        <v>68</v>
      </c>
      <c r="AM403" s="3" t="s">
        <v>65</v>
      </c>
    </row>
    <row r="404" spans="1:39" ht="21" customHeight="1">
      <c r="A404" s="4">
        <v>46110</v>
      </c>
      <c r="B404" s="3" t="s">
        <v>65</v>
      </c>
      <c r="C404" s="3" t="s">
        <v>66</v>
      </c>
      <c r="D404" s="4">
        <v>46120</v>
      </c>
      <c r="E404" s="3">
        <v>-10</v>
      </c>
      <c r="F404" s="3" t="s">
        <v>41</v>
      </c>
      <c r="G404" s="3" t="s">
        <v>48</v>
      </c>
      <c r="H404" s="3">
        <v>1</v>
      </c>
      <c r="I404" s="7">
        <v>112970</v>
      </c>
      <c r="J404" s="7">
        <v>62741</v>
      </c>
      <c r="K404" s="7">
        <v>50228</v>
      </c>
      <c r="L404" s="5">
        <f t="shared" si="73"/>
        <v>0.55537753385854649</v>
      </c>
      <c r="M404" s="5">
        <f t="shared" si="74"/>
        <v>-7.5335177697382405E-2</v>
      </c>
      <c r="N404" s="7">
        <f t="shared" si="75"/>
        <v>103166</v>
      </c>
      <c r="O404" s="7">
        <f t="shared" si="65"/>
        <v>98273.428571428565</v>
      </c>
      <c r="P404" s="8">
        <f t="shared" si="66"/>
        <v>1.1495477632378466</v>
      </c>
      <c r="Q404" s="7">
        <v>80</v>
      </c>
      <c r="R404" s="7">
        <v>80</v>
      </c>
      <c r="S404" s="7">
        <v>12332</v>
      </c>
      <c r="T404" s="7">
        <v>28838300</v>
      </c>
      <c r="U404" s="7">
        <v>2445</v>
      </c>
      <c r="V404" s="7">
        <v>7903</v>
      </c>
      <c r="W404" s="7">
        <v>10</v>
      </c>
      <c r="X404" s="3" t="s">
        <v>70</v>
      </c>
      <c r="Y404" s="3" t="s">
        <v>71</v>
      </c>
      <c r="Z404" s="9">
        <v>2.4416799999999999</v>
      </c>
      <c r="AA404" s="5">
        <f t="shared" si="72"/>
        <v>-0.14492631814870849</v>
      </c>
      <c r="AB404" s="9">
        <f t="shared" si="76"/>
        <v>1.7590000000000001</v>
      </c>
      <c r="AC404" s="9">
        <f t="shared" si="67"/>
        <v>0.74599107142857146</v>
      </c>
      <c r="AD404" s="8">
        <f t="shared" si="68"/>
        <v>2.3579370683773981</v>
      </c>
      <c r="AE404" s="3" t="s">
        <v>44</v>
      </c>
      <c r="AF404" s="10">
        <f t="shared" si="69"/>
        <v>57992.25</v>
      </c>
      <c r="AG404" s="11">
        <f t="shared" si="70"/>
        <v>1.0818859416559972</v>
      </c>
      <c r="AH404" s="11">
        <f t="shared" si="71"/>
        <v>3.2730686646479392</v>
      </c>
      <c r="AI404" s="3" t="s">
        <v>45</v>
      </c>
      <c r="AJ404" s="3" t="s">
        <v>66</v>
      </c>
      <c r="AK404" s="3" t="s">
        <v>46</v>
      </c>
      <c r="AL404" s="3" t="s">
        <v>68</v>
      </c>
      <c r="AM404" s="3" t="s">
        <v>65</v>
      </c>
    </row>
    <row r="405" spans="1:39" ht="21" customHeight="1">
      <c r="A405" s="4">
        <v>46111</v>
      </c>
      <c r="B405" s="3" t="s">
        <v>65</v>
      </c>
      <c r="C405" s="3" t="s">
        <v>66</v>
      </c>
      <c r="D405" s="4">
        <v>46120</v>
      </c>
      <c r="E405" s="3">
        <v>-9</v>
      </c>
      <c r="F405" s="3" t="s">
        <v>41</v>
      </c>
      <c r="G405" s="3" t="s">
        <v>49</v>
      </c>
      <c r="H405" s="3">
        <v>0</v>
      </c>
      <c r="I405" s="7">
        <v>96190</v>
      </c>
      <c r="J405" s="7">
        <v>40670</v>
      </c>
      <c r="K405" s="7">
        <v>55520</v>
      </c>
      <c r="L405" s="5">
        <f t="shared" si="73"/>
        <v>0.42280902380704855</v>
      </c>
      <c r="M405" s="5">
        <f t="shared" si="74"/>
        <v>-0.14853500929450292</v>
      </c>
      <c r="N405" s="7">
        <f t="shared" si="75"/>
        <v>103307.42857142857</v>
      </c>
      <c r="O405" s="7">
        <f t="shared" si="65"/>
        <v>98002.571428571435</v>
      </c>
      <c r="P405" s="8">
        <f t="shared" si="66"/>
        <v>0.9815048584731012</v>
      </c>
      <c r="Q405" s="7">
        <v>10</v>
      </c>
      <c r="R405" s="7">
        <v>10</v>
      </c>
      <c r="S405" s="7">
        <v>2515</v>
      </c>
      <c r="T405" s="7">
        <v>18862500</v>
      </c>
      <c r="U405" s="7">
        <v>2515</v>
      </c>
      <c r="V405" s="7">
        <v>10418</v>
      </c>
      <c r="W405" s="7">
        <v>4</v>
      </c>
      <c r="X405" s="3" t="s">
        <v>70</v>
      </c>
      <c r="Y405" s="3" t="s">
        <v>71</v>
      </c>
      <c r="Z405" s="9">
        <v>3.0401400000000001</v>
      </c>
      <c r="AA405" s="5">
        <f t="shared" si="72"/>
        <v>0.24510173323285622</v>
      </c>
      <c r="AB405" s="9">
        <f t="shared" si="76"/>
        <v>2.0614957142857144</v>
      </c>
      <c r="AC405" s="9">
        <f t="shared" si="67"/>
        <v>0.82433357142857133</v>
      </c>
      <c r="AD405" s="8">
        <f t="shared" si="68"/>
        <v>2.5008028130082574</v>
      </c>
      <c r="AE405" s="3" t="s">
        <v>44</v>
      </c>
      <c r="AF405" s="10">
        <f t="shared" si="69"/>
        <v>37628.5</v>
      </c>
      <c r="AG405" s="11">
        <f t="shared" si="70"/>
        <v>1.080829690261371</v>
      </c>
      <c r="AH405" s="11">
        <f t="shared" si="71"/>
        <v>3.6879973173134668</v>
      </c>
      <c r="AI405" s="3" t="s">
        <v>45</v>
      </c>
      <c r="AJ405" s="3" t="s">
        <v>66</v>
      </c>
      <c r="AK405" s="3" t="s">
        <v>46</v>
      </c>
      <c r="AL405" s="3" t="s">
        <v>68</v>
      </c>
      <c r="AM405" s="3" t="s">
        <v>65</v>
      </c>
    </row>
    <row r="406" spans="1:39" ht="21" customHeight="1">
      <c r="A406" s="4">
        <v>46112</v>
      </c>
      <c r="B406" s="3" t="s">
        <v>65</v>
      </c>
      <c r="C406" s="3" t="s">
        <v>66</v>
      </c>
      <c r="D406" s="4">
        <v>46120</v>
      </c>
      <c r="E406" s="3">
        <v>-8</v>
      </c>
      <c r="F406" s="3" t="s">
        <v>41</v>
      </c>
      <c r="G406" s="3" t="s">
        <v>50</v>
      </c>
      <c r="H406" s="3">
        <v>0</v>
      </c>
      <c r="I406" s="7">
        <v>96960</v>
      </c>
      <c r="J406" s="7">
        <v>41094</v>
      </c>
      <c r="K406" s="7">
        <v>55867</v>
      </c>
      <c r="L406" s="5">
        <f t="shared" si="73"/>
        <v>0.42382425742574259</v>
      </c>
      <c r="M406" s="5">
        <f t="shared" si="74"/>
        <v>8.0049901237135845E-3</v>
      </c>
      <c r="N406" s="7">
        <f t="shared" si="75"/>
        <v>103569.85714285714</v>
      </c>
      <c r="O406" s="7">
        <f t="shared" si="65"/>
        <v>98185.678571428565</v>
      </c>
      <c r="P406" s="8">
        <f t="shared" si="66"/>
        <v>0.98751672759956632</v>
      </c>
      <c r="Q406" s="7">
        <v>1</v>
      </c>
      <c r="R406" s="7">
        <v>1</v>
      </c>
      <c r="S406" s="7">
        <v>200</v>
      </c>
      <c r="T406" s="7">
        <v>2112000</v>
      </c>
      <c r="U406" s="7">
        <v>192</v>
      </c>
      <c r="V406" s="7">
        <v>10610</v>
      </c>
      <c r="W406" s="7">
        <v>27</v>
      </c>
      <c r="X406" s="3" t="s">
        <v>70</v>
      </c>
      <c r="Y406" s="3" t="s">
        <v>71</v>
      </c>
      <c r="Z406" s="9">
        <v>4.0430299999999999</v>
      </c>
      <c r="AA406" s="5">
        <f t="shared" si="72"/>
        <v>0.32988283434315524</v>
      </c>
      <c r="AB406" s="9">
        <f t="shared" si="76"/>
        <v>2.440337142857143</v>
      </c>
      <c r="AC406" s="9">
        <f t="shared" si="67"/>
        <v>0.92510500000000007</v>
      </c>
      <c r="AD406" s="8">
        <f t="shared" si="68"/>
        <v>2.6379028789782164</v>
      </c>
      <c r="AE406" s="3" t="s">
        <v>44</v>
      </c>
      <c r="AF406" s="10">
        <f t="shared" si="69"/>
        <v>36652.75</v>
      </c>
      <c r="AG406" s="11">
        <f t="shared" si="70"/>
        <v>1.1211709898984388</v>
      </c>
      <c r="AH406" s="11">
        <f t="shared" si="71"/>
        <v>4.3703471497829973</v>
      </c>
      <c r="AI406" s="3" t="s">
        <v>45</v>
      </c>
      <c r="AJ406" s="3" t="s">
        <v>66</v>
      </c>
      <c r="AK406" s="3" t="s">
        <v>46</v>
      </c>
      <c r="AL406" s="3" t="s">
        <v>68</v>
      </c>
      <c r="AM406" s="3" t="s">
        <v>65</v>
      </c>
    </row>
    <row r="407" spans="1:39" ht="21" customHeight="1">
      <c r="A407" s="4">
        <v>46113</v>
      </c>
      <c r="B407" s="3" t="s">
        <v>65</v>
      </c>
      <c r="C407" s="3" t="s">
        <v>66</v>
      </c>
      <c r="D407" s="4">
        <v>46120</v>
      </c>
      <c r="E407" s="3">
        <v>-7</v>
      </c>
      <c r="F407" s="3" t="s">
        <v>41</v>
      </c>
      <c r="G407" s="3" t="s">
        <v>51</v>
      </c>
      <c r="H407" s="3">
        <v>0</v>
      </c>
      <c r="I407" s="7">
        <v>85488</v>
      </c>
      <c r="J407" s="7">
        <v>29376</v>
      </c>
      <c r="K407" s="7">
        <v>56112</v>
      </c>
      <c r="L407" s="5">
        <f t="shared" si="73"/>
        <v>0.34362717574396406</v>
      </c>
      <c r="M407" s="5">
        <f t="shared" si="74"/>
        <v>-0.11831683168316831</v>
      </c>
      <c r="N407" s="7">
        <f t="shared" si="75"/>
        <v>101883.85714285714</v>
      </c>
      <c r="O407" s="7">
        <f t="shared" si="65"/>
        <v>98441.892857142855</v>
      </c>
      <c r="P407" s="8">
        <f t="shared" si="66"/>
        <v>0.86841077024045732</v>
      </c>
      <c r="Q407" s="7">
        <v>1</v>
      </c>
      <c r="R407" s="7">
        <v>1</v>
      </c>
      <c r="S407" s="7">
        <v>218</v>
      </c>
      <c r="T407" s="7">
        <v>1962000</v>
      </c>
      <c r="U407" s="7">
        <v>218</v>
      </c>
      <c r="V407" s="7">
        <v>10828</v>
      </c>
      <c r="W407" s="7">
        <v>27</v>
      </c>
      <c r="X407" s="3" t="s">
        <v>72</v>
      </c>
      <c r="Y407" s="3" t="s">
        <v>71</v>
      </c>
      <c r="Z407" s="9">
        <v>3.28851</v>
      </c>
      <c r="AA407" s="5">
        <f t="shared" si="72"/>
        <v>-0.18662240943055086</v>
      </c>
      <c r="AB407" s="9">
        <f t="shared" si="76"/>
        <v>2.6385071428571432</v>
      </c>
      <c r="AC407" s="9">
        <f t="shared" si="67"/>
        <v>1.06233</v>
      </c>
      <c r="AD407" s="8">
        <f t="shared" si="68"/>
        <v>2.4836982320532632</v>
      </c>
      <c r="AE407" s="3" t="s">
        <v>44</v>
      </c>
      <c r="AF407" s="10">
        <f t="shared" si="69"/>
        <v>36211.75</v>
      </c>
      <c r="AG407" s="11">
        <f t="shared" si="70"/>
        <v>0.81122839962166982</v>
      </c>
      <c r="AH407" s="11">
        <f t="shared" si="71"/>
        <v>3.095563525458191</v>
      </c>
      <c r="AI407" s="3" t="s">
        <v>45</v>
      </c>
      <c r="AJ407" s="3" t="s">
        <v>66</v>
      </c>
      <c r="AK407" s="3" t="s">
        <v>46</v>
      </c>
      <c r="AL407" s="3" t="s">
        <v>68</v>
      </c>
      <c r="AM407" s="3" t="s">
        <v>65</v>
      </c>
    </row>
    <row r="408" spans="1:39" ht="21" customHeight="1">
      <c r="A408" s="4">
        <v>46114</v>
      </c>
      <c r="B408" s="3" t="s">
        <v>65</v>
      </c>
      <c r="C408" s="3" t="s">
        <v>66</v>
      </c>
      <c r="D408" s="4">
        <v>46120</v>
      </c>
      <c r="E408" s="3">
        <v>-6</v>
      </c>
      <c r="F408" s="3" t="s">
        <v>41</v>
      </c>
      <c r="G408" s="3" t="s">
        <v>52</v>
      </c>
      <c r="H408" s="3">
        <v>0</v>
      </c>
      <c r="I408" s="7">
        <v>88624</v>
      </c>
      <c r="J408" s="7">
        <v>32620</v>
      </c>
      <c r="K408" s="7">
        <v>56004</v>
      </c>
      <c r="L408" s="5">
        <f t="shared" si="73"/>
        <v>0.36807185412529336</v>
      </c>
      <c r="M408" s="5">
        <f t="shared" si="74"/>
        <v>3.6683511136065938E-2</v>
      </c>
      <c r="N408" s="7">
        <f t="shared" si="75"/>
        <v>100603</v>
      </c>
      <c r="O408" s="7">
        <f t="shared" si="65"/>
        <v>98280.28571428571</v>
      </c>
      <c r="P408" s="8">
        <f t="shared" si="66"/>
        <v>0.90174748023873419</v>
      </c>
      <c r="Q408" s="7"/>
      <c r="R408" s="7"/>
      <c r="S408" s="7"/>
      <c r="T408" s="7"/>
      <c r="U408" s="7"/>
      <c r="V408" s="7"/>
      <c r="W408" s="7"/>
      <c r="X408" s="3" t="s">
        <v>72</v>
      </c>
      <c r="Y408" s="3"/>
      <c r="Z408" s="9">
        <v>2.8704999999999998</v>
      </c>
      <c r="AA408" s="5">
        <f t="shared" si="72"/>
        <v>-0.1271122788132012</v>
      </c>
      <c r="AB408" s="9">
        <f t="shared" si="76"/>
        <v>2.8711285714285713</v>
      </c>
      <c r="AC408" s="9">
        <f t="shared" si="67"/>
        <v>1.1523957142857142</v>
      </c>
      <c r="AD408" s="8">
        <f t="shared" si="68"/>
        <v>2.4914432914289115</v>
      </c>
      <c r="AE408" s="3" t="s">
        <v>44</v>
      </c>
      <c r="AF408" s="10">
        <f t="shared" si="69"/>
        <v>38112.25</v>
      </c>
      <c r="AG408" s="11">
        <f t="shared" si="70"/>
        <v>0.8558927903757978</v>
      </c>
      <c r="AH408" s="11">
        <f t="shared" si="71"/>
        <v>2.4908978438705951</v>
      </c>
      <c r="AI408" s="3" t="s">
        <v>45</v>
      </c>
      <c r="AJ408" s="3" t="s">
        <v>66</v>
      </c>
      <c r="AK408" s="3" t="s">
        <v>46</v>
      </c>
      <c r="AL408" s="3" t="s">
        <v>68</v>
      </c>
      <c r="AM408" s="3" t="s">
        <v>65</v>
      </c>
    </row>
    <row r="409" spans="1:39" ht="21" customHeight="1">
      <c r="A409" s="4">
        <v>46115</v>
      </c>
      <c r="B409" s="3" t="s">
        <v>65</v>
      </c>
      <c r="C409" s="3" t="s">
        <v>66</v>
      </c>
      <c r="D409" s="4">
        <v>46120</v>
      </c>
      <c r="E409" s="3">
        <v>-5</v>
      </c>
      <c r="F409" s="3" t="s">
        <v>41</v>
      </c>
      <c r="G409" s="3" t="s">
        <v>53</v>
      </c>
      <c r="H409" s="3">
        <v>0</v>
      </c>
      <c r="I409" s="7">
        <v>95683</v>
      </c>
      <c r="J409" s="7">
        <v>38976</v>
      </c>
      <c r="K409" s="7">
        <v>56707</v>
      </c>
      <c r="L409" s="5">
        <f t="shared" si="73"/>
        <v>0.40734508742409831</v>
      </c>
      <c r="M409" s="5">
        <f t="shared" si="74"/>
        <v>7.9651110308720074E-2</v>
      </c>
      <c r="N409" s="7">
        <f t="shared" si="75"/>
        <v>99727</v>
      </c>
      <c r="O409" s="7">
        <f t="shared" ref="O409:O472" si="77">AVERAGE(I381:I408)</f>
        <v>98224.571428571435</v>
      </c>
      <c r="P409" s="8">
        <f t="shared" ref="P409:P472" si="78">IFERROR(I409/O409,"")</f>
        <v>0.97412489164771099</v>
      </c>
      <c r="Q409" s="7">
        <v>2</v>
      </c>
      <c r="R409" s="7">
        <v>2</v>
      </c>
      <c r="S409" s="7">
        <v>308</v>
      </c>
      <c r="T409" s="7">
        <v>2160000</v>
      </c>
      <c r="U409" s="7">
        <v>270</v>
      </c>
      <c r="V409" s="7">
        <v>11098</v>
      </c>
      <c r="W409" s="7">
        <v>26</v>
      </c>
      <c r="X409" s="3" t="s">
        <v>72</v>
      </c>
      <c r="Y409" s="3" t="s">
        <v>71</v>
      </c>
      <c r="Z409" s="9">
        <v>2.8754499999999998</v>
      </c>
      <c r="AA409" s="5">
        <f t="shared" si="72"/>
        <v>1.7244382511758527E-3</v>
      </c>
      <c r="AB409" s="9">
        <f t="shared" si="76"/>
        <v>3.0592614285714288</v>
      </c>
      <c r="AC409" s="9">
        <f t="shared" ref="AC409:AC472" si="79">AVERAGE(Z381:Z408)</f>
        <v>1.2390810714285716</v>
      </c>
      <c r="AD409" s="8">
        <f t="shared" ref="AD409:AD472" si="80">IFERROR(AB409/AC409,"")</f>
        <v>2.4689760009361774</v>
      </c>
      <c r="AE409" s="3" t="s">
        <v>44</v>
      </c>
      <c r="AF409" s="10">
        <f t="shared" ref="AF409:AF472" si="81">IF(COUNT(J402,J395,J388,J381)=4,AVERAGE(J402,J395,J388,J381),"")</f>
        <v>40821.25</v>
      </c>
      <c r="AG409" s="11">
        <f t="shared" ref="AG409:AG472" si="82">IFERROR(J409/AF409,"")</f>
        <v>0.95479682763266682</v>
      </c>
      <c r="AH409" s="11">
        <f t="shared" ref="AH409:AH472" si="83">IFERROR(Z409/AC409,"")</f>
        <v>2.3206310436853115</v>
      </c>
      <c r="AI409" s="3" t="s">
        <v>45</v>
      </c>
      <c r="AJ409" s="3" t="s">
        <v>66</v>
      </c>
      <c r="AK409" s="3" t="s">
        <v>46</v>
      </c>
      <c r="AL409" s="3" t="s">
        <v>68</v>
      </c>
      <c r="AM409" s="3" t="s">
        <v>65</v>
      </c>
    </row>
    <row r="410" spans="1:39" ht="21" customHeight="1">
      <c r="A410" s="4">
        <v>46116</v>
      </c>
      <c r="B410" s="3" t="s">
        <v>65</v>
      </c>
      <c r="C410" s="3" t="s">
        <v>66</v>
      </c>
      <c r="D410" s="4">
        <v>46120</v>
      </c>
      <c r="E410" s="3">
        <v>-4</v>
      </c>
      <c r="F410" s="3" t="s">
        <v>41</v>
      </c>
      <c r="G410" s="3" t="s">
        <v>42</v>
      </c>
      <c r="H410" s="3">
        <v>1</v>
      </c>
      <c r="I410" s="7">
        <v>117036</v>
      </c>
      <c r="J410" s="7">
        <v>65104</v>
      </c>
      <c r="K410" s="7">
        <v>51933</v>
      </c>
      <c r="L410" s="5">
        <f t="shared" si="73"/>
        <v>0.55627328343415705</v>
      </c>
      <c r="M410" s="5">
        <f t="shared" si="74"/>
        <v>0.22316398942340854</v>
      </c>
      <c r="N410" s="7">
        <f t="shared" si="75"/>
        <v>98993</v>
      </c>
      <c r="O410" s="7">
        <f t="shared" si="77"/>
        <v>98412.821428571435</v>
      </c>
      <c r="P410" s="8">
        <f t="shared" si="78"/>
        <v>1.1892352876494388</v>
      </c>
      <c r="Q410" s="7">
        <v>116</v>
      </c>
      <c r="R410" s="7">
        <v>144</v>
      </c>
      <c r="S410" s="7">
        <v>22885</v>
      </c>
      <c r="T410" s="7">
        <v>97336800</v>
      </c>
      <c r="U410" s="7">
        <v>8058</v>
      </c>
      <c r="V410" s="7">
        <v>19156</v>
      </c>
      <c r="W410" s="7">
        <v>7</v>
      </c>
      <c r="X410" s="3" t="s">
        <v>72</v>
      </c>
      <c r="Y410" s="3" t="s">
        <v>71</v>
      </c>
      <c r="Z410" s="9">
        <v>4.19895</v>
      </c>
      <c r="AA410" s="5">
        <f t="shared" si="72"/>
        <v>0.46027578292093407</v>
      </c>
      <c r="AB410" s="9">
        <f t="shared" si="76"/>
        <v>3.2511800000000002</v>
      </c>
      <c r="AC410" s="9">
        <f t="shared" si="79"/>
        <v>1.3242571428571428</v>
      </c>
      <c r="AD410" s="8">
        <f t="shared" si="80"/>
        <v>2.4550971973505362</v>
      </c>
      <c r="AE410" s="3" t="s">
        <v>44</v>
      </c>
      <c r="AF410" s="10">
        <f t="shared" si="81"/>
        <v>61627.75</v>
      </c>
      <c r="AG410" s="11">
        <f t="shared" si="82"/>
        <v>1.0564072191504639</v>
      </c>
      <c r="AH410" s="11">
        <f t="shared" si="83"/>
        <v>3.1707965651901877</v>
      </c>
      <c r="AI410" s="3" t="s">
        <v>45</v>
      </c>
      <c r="AJ410" s="3" t="s">
        <v>66</v>
      </c>
      <c r="AK410" s="3" t="s">
        <v>46</v>
      </c>
      <c r="AL410" s="3" t="s">
        <v>68</v>
      </c>
      <c r="AM410" s="3" t="s">
        <v>65</v>
      </c>
    </row>
    <row r="411" spans="1:39" ht="21" customHeight="1">
      <c r="A411" s="4">
        <v>46117</v>
      </c>
      <c r="B411" s="3" t="s">
        <v>65</v>
      </c>
      <c r="C411" s="3" t="s">
        <v>66</v>
      </c>
      <c r="D411" s="4">
        <v>46120</v>
      </c>
      <c r="E411" s="3">
        <v>-3</v>
      </c>
      <c r="F411" s="3" t="s">
        <v>41</v>
      </c>
      <c r="G411" s="3" t="s">
        <v>48</v>
      </c>
      <c r="H411" s="3">
        <v>1</v>
      </c>
      <c r="I411" s="7">
        <v>131152</v>
      </c>
      <c r="J411" s="7">
        <v>77644</v>
      </c>
      <c r="K411" s="7">
        <v>53508</v>
      </c>
      <c r="L411" s="5">
        <f t="shared" si="73"/>
        <v>0.59201537147736982</v>
      </c>
      <c r="M411" s="5">
        <f t="shared" si="74"/>
        <v>0.12061246112307322</v>
      </c>
      <c r="N411" s="7">
        <f t="shared" si="75"/>
        <v>101590.42857142857</v>
      </c>
      <c r="O411" s="7">
        <f t="shared" si="77"/>
        <v>99013.821428571435</v>
      </c>
      <c r="P411" s="8">
        <f t="shared" si="78"/>
        <v>1.324582751253703</v>
      </c>
      <c r="Q411" s="7">
        <v>112</v>
      </c>
      <c r="R411" s="7">
        <v>140</v>
      </c>
      <c r="S411" s="7">
        <v>22914</v>
      </c>
      <c r="T411" s="7">
        <v>90617700</v>
      </c>
      <c r="U411" s="7">
        <v>7565</v>
      </c>
      <c r="V411" s="7">
        <v>26721</v>
      </c>
      <c r="W411" s="7">
        <v>7</v>
      </c>
      <c r="X411" s="3" t="s">
        <v>72</v>
      </c>
      <c r="Y411" s="3" t="s">
        <v>71</v>
      </c>
      <c r="Z411" s="9">
        <v>4.3880299999999997</v>
      </c>
      <c r="AA411" s="5">
        <f t="shared" si="72"/>
        <v>4.5030305195346454E-2</v>
      </c>
      <c r="AB411" s="9">
        <f t="shared" si="76"/>
        <v>3.5292299999999996</v>
      </c>
      <c r="AC411" s="9">
        <f t="shared" si="79"/>
        <v>1.459803214285714</v>
      </c>
      <c r="AD411" s="8">
        <f t="shared" si="80"/>
        <v>2.4176066783952535</v>
      </c>
      <c r="AE411" s="3" t="s">
        <v>44</v>
      </c>
      <c r="AF411" s="10">
        <f t="shared" si="81"/>
        <v>55927.25</v>
      </c>
      <c r="AG411" s="11">
        <f t="shared" si="82"/>
        <v>1.3883035550648386</v>
      </c>
      <c r="AH411" s="11">
        <f t="shared" si="83"/>
        <v>3.0059051501315373</v>
      </c>
      <c r="AI411" s="3" t="s">
        <v>45</v>
      </c>
      <c r="AJ411" s="3" t="s">
        <v>66</v>
      </c>
      <c r="AK411" s="3" t="s">
        <v>46</v>
      </c>
      <c r="AL411" s="3" t="s">
        <v>68</v>
      </c>
      <c r="AM411" s="3" t="s">
        <v>65</v>
      </c>
    </row>
    <row r="412" spans="1:39" ht="21" customHeight="1">
      <c r="A412" s="4">
        <v>46118</v>
      </c>
      <c r="B412" s="3" t="s">
        <v>65</v>
      </c>
      <c r="C412" s="3" t="s">
        <v>66</v>
      </c>
      <c r="D412" s="4">
        <v>46120</v>
      </c>
      <c r="E412" s="3">
        <v>-2</v>
      </c>
      <c r="F412" s="3" t="s">
        <v>41</v>
      </c>
      <c r="G412" s="3" t="s">
        <v>49</v>
      </c>
      <c r="H412" s="3">
        <v>0</v>
      </c>
      <c r="I412" s="7">
        <v>87720</v>
      </c>
      <c r="J412" s="7">
        <v>32466</v>
      </c>
      <c r="K412" s="7">
        <v>55254</v>
      </c>
      <c r="L412" s="5">
        <f t="shared" si="73"/>
        <v>0.37010943912448702</v>
      </c>
      <c r="M412" s="5">
        <f t="shared" si="74"/>
        <v>-0.33115774063681835</v>
      </c>
      <c r="N412" s="7">
        <f t="shared" si="75"/>
        <v>100380.42857142857</v>
      </c>
      <c r="O412" s="7">
        <f t="shared" si="77"/>
        <v>100153.96428571429</v>
      </c>
      <c r="P412" s="8">
        <f t="shared" si="78"/>
        <v>0.87585150149181024</v>
      </c>
      <c r="Q412" s="7"/>
      <c r="R412" s="7"/>
      <c r="S412" s="7"/>
      <c r="T412" s="7"/>
      <c r="U412" s="7"/>
      <c r="V412" s="7"/>
      <c r="W412" s="7"/>
      <c r="X412" s="3" t="s">
        <v>72</v>
      </c>
      <c r="Y412" s="3"/>
      <c r="Z412" s="9">
        <v>5.8333899999999996</v>
      </c>
      <c r="AA412" s="5">
        <f t="shared" si="72"/>
        <v>0.32938699142895556</v>
      </c>
      <c r="AB412" s="9">
        <f t="shared" si="76"/>
        <v>3.9282657142857147</v>
      </c>
      <c r="AC412" s="9">
        <f t="shared" si="79"/>
        <v>1.6033996428571429</v>
      </c>
      <c r="AD412" s="8">
        <f t="shared" si="80"/>
        <v>2.4499604523335354</v>
      </c>
      <c r="AE412" s="3" t="s">
        <v>44</v>
      </c>
      <c r="AF412" s="10">
        <f t="shared" si="81"/>
        <v>36914.5</v>
      </c>
      <c r="AG412" s="11">
        <f t="shared" si="82"/>
        <v>0.87949179861572013</v>
      </c>
      <c r="AH412" s="11">
        <f t="shared" si="83"/>
        <v>3.6381385177343049</v>
      </c>
      <c r="AI412" s="3" t="s">
        <v>45</v>
      </c>
      <c r="AJ412" s="3" t="s">
        <v>66</v>
      </c>
      <c r="AK412" s="3" t="s">
        <v>46</v>
      </c>
      <c r="AL412" s="3" t="s">
        <v>68</v>
      </c>
      <c r="AM412" s="3" t="s">
        <v>65</v>
      </c>
    </row>
    <row r="413" spans="1:39" ht="21" customHeight="1">
      <c r="A413" s="4">
        <v>46119</v>
      </c>
      <c r="B413" s="3" t="s">
        <v>65</v>
      </c>
      <c r="C413" s="3" t="s">
        <v>66</v>
      </c>
      <c r="D413" s="4">
        <v>46120</v>
      </c>
      <c r="E413" s="3">
        <v>-1</v>
      </c>
      <c r="F413" s="3" t="s">
        <v>41</v>
      </c>
      <c r="G413" s="3" t="s">
        <v>50</v>
      </c>
      <c r="H413" s="3">
        <v>0</v>
      </c>
      <c r="I413" s="7">
        <v>91172</v>
      </c>
      <c r="J413" s="7">
        <v>35682</v>
      </c>
      <c r="K413" s="7">
        <v>55489</v>
      </c>
      <c r="L413" s="5">
        <f t="shared" si="73"/>
        <v>0.391370157504497</v>
      </c>
      <c r="M413" s="5">
        <f t="shared" si="74"/>
        <v>3.9352485180118579E-2</v>
      </c>
      <c r="N413" s="7">
        <f t="shared" si="75"/>
        <v>99553.571428571435</v>
      </c>
      <c r="O413" s="7">
        <f t="shared" si="77"/>
        <v>100174.96428571429</v>
      </c>
      <c r="P413" s="8">
        <f t="shared" si="78"/>
        <v>0.91012760174252261</v>
      </c>
      <c r="Q413" s="7">
        <v>1</v>
      </c>
      <c r="R413" s="7">
        <v>1</v>
      </c>
      <c r="S413" s="7">
        <v>200</v>
      </c>
      <c r="T413" s="7">
        <v>2112000</v>
      </c>
      <c r="U413" s="7">
        <v>192</v>
      </c>
      <c r="V413" s="7">
        <v>26913</v>
      </c>
      <c r="W413" s="7">
        <v>27</v>
      </c>
      <c r="X413" s="3" t="s">
        <v>72</v>
      </c>
      <c r="Y413" s="3" t="s">
        <v>71</v>
      </c>
      <c r="Z413" s="9">
        <v>5.69238</v>
      </c>
      <c r="AA413" s="5">
        <f t="shared" si="72"/>
        <v>-2.4172908034607588E-2</v>
      </c>
      <c r="AB413" s="9">
        <f t="shared" si="76"/>
        <v>4.1638871428571429</v>
      </c>
      <c r="AC413" s="9">
        <f t="shared" si="79"/>
        <v>1.7999135714285714</v>
      </c>
      <c r="AD413" s="8">
        <f t="shared" si="80"/>
        <v>2.31338171396325</v>
      </c>
      <c r="AE413" s="3" t="s">
        <v>44</v>
      </c>
      <c r="AF413" s="10">
        <f t="shared" si="81"/>
        <v>38660.25</v>
      </c>
      <c r="AG413" s="11">
        <f t="shared" si="82"/>
        <v>0.92296350903059343</v>
      </c>
      <c r="AH413" s="11">
        <f t="shared" si="83"/>
        <v>3.1625851876221041</v>
      </c>
      <c r="AI413" s="3" t="s">
        <v>45</v>
      </c>
      <c r="AJ413" s="3" t="s">
        <v>66</v>
      </c>
      <c r="AK413" s="3" t="s">
        <v>46</v>
      </c>
      <c r="AL413" s="3" t="s">
        <v>68</v>
      </c>
      <c r="AM413" s="3" t="s">
        <v>65</v>
      </c>
    </row>
    <row r="414" spans="1:39" ht="21" customHeight="1">
      <c r="A414" s="4">
        <v>46120</v>
      </c>
      <c r="B414" s="3" t="s">
        <v>65</v>
      </c>
      <c r="C414" s="3" t="s">
        <v>66</v>
      </c>
      <c r="D414" s="4">
        <v>46120</v>
      </c>
      <c r="E414" s="3">
        <v>0</v>
      </c>
      <c r="F414" s="3" t="s">
        <v>3</v>
      </c>
      <c r="G414" s="3" t="s">
        <v>51</v>
      </c>
      <c r="H414" s="3">
        <v>0</v>
      </c>
      <c r="I414" s="7">
        <v>91304</v>
      </c>
      <c r="J414" s="7">
        <v>35416</v>
      </c>
      <c r="K414" s="7">
        <v>55888</v>
      </c>
      <c r="L414" s="5">
        <f t="shared" si="73"/>
        <v>0.38789100148952949</v>
      </c>
      <c r="M414" s="5">
        <f t="shared" si="74"/>
        <v>1.4478129250208305E-3</v>
      </c>
      <c r="N414" s="7">
        <f t="shared" si="75"/>
        <v>100384.42857142857</v>
      </c>
      <c r="O414" s="7">
        <f t="shared" si="77"/>
        <v>100138.10714285714</v>
      </c>
      <c r="P414" s="8">
        <f t="shared" si="78"/>
        <v>0.91178076563545984</v>
      </c>
      <c r="Q414" s="7">
        <v>1191</v>
      </c>
      <c r="R414" s="7">
        <v>3873</v>
      </c>
      <c r="S414" s="7">
        <v>511267</v>
      </c>
      <c r="T414" s="7">
        <v>902587320</v>
      </c>
      <c r="U414" s="7">
        <v>89911</v>
      </c>
      <c r="V414" s="7">
        <v>116824</v>
      </c>
      <c r="W414" s="7">
        <v>1</v>
      </c>
      <c r="X414" s="3" t="s">
        <v>72</v>
      </c>
      <c r="Y414" s="3" t="s">
        <v>71</v>
      </c>
      <c r="Z414" s="9">
        <v>12.675330000000001</v>
      </c>
      <c r="AA414" s="5">
        <f t="shared" si="72"/>
        <v>1.2267188768142674</v>
      </c>
      <c r="AB414" s="9">
        <f t="shared" si="76"/>
        <v>5.504861428571429</v>
      </c>
      <c r="AC414" s="9">
        <f t="shared" si="79"/>
        <v>1.9887814285714287</v>
      </c>
      <c r="AD414" s="8">
        <f t="shared" si="80"/>
        <v>2.7679569758078708</v>
      </c>
      <c r="AE414" s="3" t="s">
        <v>44</v>
      </c>
      <c r="AF414" s="10">
        <f t="shared" si="81"/>
        <v>35077.75</v>
      </c>
      <c r="AG414" s="11">
        <f t="shared" si="82"/>
        <v>1.0096428647789553</v>
      </c>
      <c r="AH414" s="11">
        <f t="shared" si="83"/>
        <v>6.3734153074352058</v>
      </c>
      <c r="AI414" s="3" t="s">
        <v>45</v>
      </c>
      <c r="AJ414" s="3" t="s">
        <v>66</v>
      </c>
      <c r="AK414" s="3" t="s">
        <v>46</v>
      </c>
      <c r="AL414" s="3" t="s">
        <v>68</v>
      </c>
      <c r="AM414" s="3" t="s">
        <v>65</v>
      </c>
    </row>
    <row r="415" spans="1:39" ht="21" customHeight="1">
      <c r="A415" s="4">
        <v>46121</v>
      </c>
      <c r="B415" s="3" t="s">
        <v>65</v>
      </c>
      <c r="C415" s="3" t="s">
        <v>66</v>
      </c>
      <c r="D415" s="4">
        <v>46120</v>
      </c>
      <c r="E415" s="3">
        <v>1</v>
      </c>
      <c r="F415" s="3" t="s">
        <v>57</v>
      </c>
      <c r="G415" s="3" t="s">
        <v>52</v>
      </c>
      <c r="H415" s="3">
        <v>0</v>
      </c>
      <c r="I415" s="7">
        <v>84651</v>
      </c>
      <c r="J415" s="7">
        <v>31042</v>
      </c>
      <c r="K415" s="7">
        <v>53610</v>
      </c>
      <c r="L415" s="5">
        <f t="shared" si="73"/>
        <v>0.36670565025811863</v>
      </c>
      <c r="M415" s="5">
        <f t="shared" si="74"/>
        <v>-7.2866468062735446E-2</v>
      </c>
      <c r="N415" s="7">
        <f t="shared" si="75"/>
        <v>99816.857142857145</v>
      </c>
      <c r="O415" s="7">
        <f t="shared" si="77"/>
        <v>100124.60714285714</v>
      </c>
      <c r="P415" s="8">
        <f t="shared" si="78"/>
        <v>0.84545650081024037</v>
      </c>
      <c r="Q415" s="7">
        <v>1219</v>
      </c>
      <c r="R415" s="7">
        <v>3974</v>
      </c>
      <c r="S415" s="7">
        <v>521715</v>
      </c>
      <c r="T415" s="7">
        <v>713827430</v>
      </c>
      <c r="U415" s="7">
        <v>70759</v>
      </c>
      <c r="V415" s="7">
        <v>187583</v>
      </c>
      <c r="W415" s="7">
        <v>1</v>
      </c>
      <c r="X415" s="3" t="s">
        <v>72</v>
      </c>
      <c r="Y415" s="3" t="s">
        <v>71</v>
      </c>
      <c r="Z415" s="9">
        <v>18.14676</v>
      </c>
      <c r="AA415" s="5">
        <f t="shared" si="72"/>
        <v>0.4316597674380076</v>
      </c>
      <c r="AB415" s="9">
        <f t="shared" si="76"/>
        <v>7.6871842857142862</v>
      </c>
      <c r="AC415" s="9">
        <f t="shared" si="79"/>
        <v>2.4254046428571425</v>
      </c>
      <c r="AD415" s="8">
        <f t="shared" si="80"/>
        <v>3.1694440382775606</v>
      </c>
      <c r="AE415" s="3" t="s">
        <v>44</v>
      </c>
      <c r="AF415" s="10">
        <f t="shared" si="81"/>
        <v>37610</v>
      </c>
      <c r="AG415" s="11">
        <f t="shared" si="82"/>
        <v>0.82536559425684664</v>
      </c>
      <c r="AH415" s="11">
        <f t="shared" si="83"/>
        <v>7.4819515388669329</v>
      </c>
      <c r="AI415" s="3" t="s">
        <v>45</v>
      </c>
      <c r="AJ415" s="3" t="s">
        <v>66</v>
      </c>
      <c r="AK415" s="3" t="s">
        <v>46</v>
      </c>
      <c r="AL415" s="3" t="s">
        <v>68</v>
      </c>
      <c r="AM415" s="3" t="s">
        <v>65</v>
      </c>
    </row>
    <row r="416" spans="1:39" ht="21" customHeight="1">
      <c r="A416" s="4">
        <v>46122</v>
      </c>
      <c r="B416" s="3" t="s">
        <v>65</v>
      </c>
      <c r="C416" s="3" t="s">
        <v>66</v>
      </c>
      <c r="D416" s="4">
        <v>46120</v>
      </c>
      <c r="E416" s="3">
        <v>2</v>
      </c>
      <c r="F416" s="3" t="s">
        <v>57</v>
      </c>
      <c r="G416" s="3" t="s">
        <v>53</v>
      </c>
      <c r="H416" s="3">
        <v>0</v>
      </c>
      <c r="I416" s="7">
        <v>95974</v>
      </c>
      <c r="J416" s="7">
        <v>40366</v>
      </c>
      <c r="K416" s="7">
        <v>55608</v>
      </c>
      <c r="L416" s="5">
        <f t="shared" si="73"/>
        <v>0.42059307729176654</v>
      </c>
      <c r="M416" s="5">
        <f t="shared" si="74"/>
        <v>0.13376097151835187</v>
      </c>
      <c r="N416" s="7">
        <f t="shared" si="75"/>
        <v>99858.428571428565</v>
      </c>
      <c r="O416" s="7">
        <f t="shared" si="77"/>
        <v>99843.107142857145</v>
      </c>
      <c r="P416" s="8">
        <f t="shared" si="78"/>
        <v>0.96124812965484774</v>
      </c>
      <c r="Q416" s="7">
        <v>1359</v>
      </c>
      <c r="R416" s="7">
        <v>4681</v>
      </c>
      <c r="S416" s="7">
        <v>619893</v>
      </c>
      <c r="T416" s="7">
        <v>1181170280</v>
      </c>
      <c r="U416" s="7">
        <v>111766</v>
      </c>
      <c r="V416" s="7">
        <v>299349</v>
      </c>
      <c r="W416" s="7">
        <v>1</v>
      </c>
      <c r="X416" s="3" t="s">
        <v>72</v>
      </c>
      <c r="Y416" s="3" t="s">
        <v>71</v>
      </c>
      <c r="Z416" s="9">
        <v>19.359300000000001</v>
      </c>
      <c r="AA416" s="5">
        <f t="shared" si="72"/>
        <v>6.6818539507879082E-2</v>
      </c>
      <c r="AB416" s="9">
        <f t="shared" si="76"/>
        <v>10.042019999999999</v>
      </c>
      <c r="AC416" s="9">
        <f t="shared" si="79"/>
        <v>3.0596799999999997</v>
      </c>
      <c r="AD416" s="8">
        <f t="shared" si="80"/>
        <v>3.2820491031741881</v>
      </c>
      <c r="AE416" s="3" t="s">
        <v>44</v>
      </c>
      <c r="AF416" s="10">
        <f t="shared" si="81"/>
        <v>41866</v>
      </c>
      <c r="AG416" s="11">
        <f t="shared" si="82"/>
        <v>0.96417140400324841</v>
      </c>
      <c r="AH416" s="11">
        <f t="shared" si="83"/>
        <v>6.3272302985933182</v>
      </c>
      <c r="AI416" s="3" t="s">
        <v>45</v>
      </c>
      <c r="AJ416" s="3" t="s">
        <v>66</v>
      </c>
      <c r="AK416" s="3" t="s">
        <v>46</v>
      </c>
      <c r="AL416" s="3" t="s">
        <v>68</v>
      </c>
      <c r="AM416" s="3" t="s">
        <v>65</v>
      </c>
    </row>
    <row r="417" spans="1:39" ht="21" customHeight="1">
      <c r="A417" s="4">
        <v>46123</v>
      </c>
      <c r="B417" s="3" t="s">
        <v>65</v>
      </c>
      <c r="C417" s="3" t="s">
        <v>66</v>
      </c>
      <c r="D417" s="4">
        <v>46120</v>
      </c>
      <c r="E417" s="3">
        <v>3</v>
      </c>
      <c r="F417" s="3" t="s">
        <v>57</v>
      </c>
      <c r="G417" s="3" t="s">
        <v>42</v>
      </c>
      <c r="H417" s="3">
        <v>1</v>
      </c>
      <c r="I417" s="7">
        <v>70413</v>
      </c>
      <c r="J417" s="7">
        <v>40810</v>
      </c>
      <c r="K417" s="7">
        <v>29603</v>
      </c>
      <c r="L417" s="5">
        <f t="shared" si="73"/>
        <v>0.57958047519634159</v>
      </c>
      <c r="M417" s="5">
        <f t="shared" si="74"/>
        <v>-0.2663325483985246</v>
      </c>
      <c r="N417" s="7">
        <f t="shared" si="75"/>
        <v>93198</v>
      </c>
      <c r="O417" s="7">
        <f t="shared" si="77"/>
        <v>99833.5</v>
      </c>
      <c r="P417" s="8">
        <f t="shared" si="78"/>
        <v>0.705304331712301</v>
      </c>
      <c r="Q417" s="7">
        <v>1463</v>
      </c>
      <c r="R417" s="7">
        <v>5463</v>
      </c>
      <c r="S417" s="7">
        <v>722178</v>
      </c>
      <c r="T417" s="7">
        <v>2379280370</v>
      </c>
      <c r="U417" s="7">
        <v>226983</v>
      </c>
      <c r="V417" s="7">
        <v>526332</v>
      </c>
      <c r="W417" s="7">
        <v>1</v>
      </c>
      <c r="X417" s="3" t="s">
        <v>72</v>
      </c>
      <c r="Y417" s="3" t="s">
        <v>71</v>
      </c>
      <c r="Z417" s="9">
        <v>24.88466</v>
      </c>
      <c r="AA417" s="5">
        <f t="shared" si="72"/>
        <v>0.28541114606416551</v>
      </c>
      <c r="AB417" s="9">
        <f t="shared" si="76"/>
        <v>12.997121428571429</v>
      </c>
      <c r="AC417" s="9">
        <f t="shared" si="79"/>
        <v>3.7303589285714289</v>
      </c>
      <c r="AD417" s="8">
        <f t="shared" si="80"/>
        <v>3.4841476859034533</v>
      </c>
      <c r="AE417" s="3" t="s">
        <v>44</v>
      </c>
      <c r="AF417" s="10">
        <f t="shared" si="81"/>
        <v>65542.75</v>
      </c>
      <c r="AG417" s="11">
        <f t="shared" si="82"/>
        <v>0.62264705097054973</v>
      </c>
      <c r="AH417" s="11">
        <f t="shared" si="83"/>
        <v>6.6708486975353285</v>
      </c>
      <c r="AI417" s="3" t="s">
        <v>45</v>
      </c>
      <c r="AJ417" s="3" t="s">
        <v>66</v>
      </c>
      <c r="AK417" s="3" t="s">
        <v>46</v>
      </c>
      <c r="AL417" s="3" t="s">
        <v>68</v>
      </c>
      <c r="AM417" s="3" t="s">
        <v>65</v>
      </c>
    </row>
    <row r="418" spans="1:39" ht="21" customHeight="1">
      <c r="A418" s="4">
        <v>46124</v>
      </c>
      <c r="B418" s="3" t="s">
        <v>65</v>
      </c>
      <c r="C418" s="3" t="s">
        <v>66</v>
      </c>
      <c r="D418" s="4">
        <v>46120</v>
      </c>
      <c r="E418" s="3">
        <v>4</v>
      </c>
      <c r="F418" s="3" t="s">
        <v>57</v>
      </c>
      <c r="G418" s="3" t="s">
        <v>48</v>
      </c>
      <c r="H418" s="3">
        <v>1</v>
      </c>
      <c r="I418" s="7">
        <v>118234</v>
      </c>
      <c r="J418" s="7">
        <v>66409</v>
      </c>
      <c r="K418" s="7">
        <v>51824</v>
      </c>
      <c r="L418" s="5">
        <f t="shared" si="73"/>
        <v>0.56167430688296094</v>
      </c>
      <c r="M418" s="5">
        <f t="shared" si="74"/>
        <v>0.67915015693124858</v>
      </c>
      <c r="N418" s="7">
        <f t="shared" si="75"/>
        <v>91352.571428571435</v>
      </c>
      <c r="O418" s="7">
        <f t="shared" si="77"/>
        <v>98365.5</v>
      </c>
      <c r="P418" s="8">
        <f t="shared" si="78"/>
        <v>1.2019864688330766</v>
      </c>
      <c r="Q418" s="7">
        <v>1434</v>
      </c>
      <c r="R418" s="7">
        <v>5326</v>
      </c>
      <c r="S418" s="7">
        <v>705525</v>
      </c>
      <c r="T418" s="7">
        <v>2064364090</v>
      </c>
      <c r="U418" s="7">
        <v>197669</v>
      </c>
      <c r="V418" s="7">
        <v>724001</v>
      </c>
      <c r="W418" s="7">
        <v>1</v>
      </c>
      <c r="X418" s="3" t="s">
        <v>72</v>
      </c>
      <c r="Y418" s="3" t="s">
        <v>71</v>
      </c>
      <c r="Z418" s="9">
        <v>25.795459999999999</v>
      </c>
      <c r="AA418" s="5">
        <f t="shared" si="72"/>
        <v>3.6600861735703871E-2</v>
      </c>
      <c r="AB418" s="9">
        <f t="shared" si="76"/>
        <v>16.055325714285715</v>
      </c>
      <c r="AC418" s="9">
        <f t="shared" si="79"/>
        <v>4.6001671428571429</v>
      </c>
      <c r="AD418" s="8">
        <f t="shared" si="80"/>
        <v>3.4901613823348656</v>
      </c>
      <c r="AE418" s="3" t="s">
        <v>44</v>
      </c>
      <c r="AF418" s="10">
        <f t="shared" si="81"/>
        <v>62989.25</v>
      </c>
      <c r="AG418" s="11">
        <f t="shared" si="82"/>
        <v>1.0542910099739242</v>
      </c>
      <c r="AH418" s="11">
        <f t="shared" si="83"/>
        <v>5.6075049446961085</v>
      </c>
      <c r="AI418" s="3" t="s">
        <v>45</v>
      </c>
      <c r="AJ418" s="3" t="s">
        <v>66</v>
      </c>
      <c r="AK418" s="3" t="s">
        <v>46</v>
      </c>
      <c r="AL418" s="3" t="s">
        <v>68</v>
      </c>
      <c r="AM418" s="3" t="s">
        <v>65</v>
      </c>
    </row>
    <row r="419" spans="1:39" ht="21" customHeight="1">
      <c r="A419" s="4">
        <v>46125</v>
      </c>
      <c r="B419" s="3" t="s">
        <v>65</v>
      </c>
      <c r="C419" s="3" t="s">
        <v>66</v>
      </c>
      <c r="D419" s="4">
        <v>46120</v>
      </c>
      <c r="E419" s="3">
        <v>5</v>
      </c>
      <c r="F419" s="3" t="s">
        <v>57</v>
      </c>
      <c r="G419" s="3" t="s">
        <v>49</v>
      </c>
      <c r="H419" s="3">
        <v>0</v>
      </c>
      <c r="I419" s="7">
        <v>92890</v>
      </c>
      <c r="J419" s="7">
        <v>36393</v>
      </c>
      <c r="K419" s="7">
        <v>56497</v>
      </c>
      <c r="L419" s="5">
        <f t="shared" si="73"/>
        <v>0.39178598342125093</v>
      </c>
      <c r="M419" s="5">
        <f t="shared" si="74"/>
        <v>-0.21435458497555693</v>
      </c>
      <c r="N419" s="7">
        <f t="shared" si="75"/>
        <v>92091.142857142855</v>
      </c>
      <c r="O419" s="7">
        <f t="shared" si="77"/>
        <v>98948.142857142855</v>
      </c>
      <c r="P419" s="8">
        <f t="shared" si="78"/>
        <v>0.93877456734191211</v>
      </c>
      <c r="Q419" s="7">
        <v>1279</v>
      </c>
      <c r="R419" s="7">
        <v>4566</v>
      </c>
      <c r="S419" s="7">
        <v>613343</v>
      </c>
      <c r="T419" s="7">
        <v>752287270</v>
      </c>
      <c r="U419" s="7">
        <v>73629</v>
      </c>
      <c r="V419" s="7">
        <v>797630</v>
      </c>
      <c r="W419" s="7">
        <v>1</v>
      </c>
      <c r="X419" s="3" t="s">
        <v>72</v>
      </c>
      <c r="Y419" s="3" t="s">
        <v>71</v>
      </c>
      <c r="Z419" s="9">
        <v>26.217639999999999</v>
      </c>
      <c r="AA419" s="5">
        <f t="shared" si="72"/>
        <v>1.6366445878460922E-2</v>
      </c>
      <c r="AB419" s="9">
        <f t="shared" si="76"/>
        <v>18.967361428571426</v>
      </c>
      <c r="AC419" s="9">
        <f t="shared" si="79"/>
        <v>5.5045510714285717</v>
      </c>
      <c r="AD419" s="8">
        <f t="shared" si="80"/>
        <v>3.445759914377343</v>
      </c>
      <c r="AE419" s="3" t="s">
        <v>44</v>
      </c>
      <c r="AF419" s="10">
        <f t="shared" si="81"/>
        <v>36941.5</v>
      </c>
      <c r="AG419" s="11">
        <f t="shared" si="82"/>
        <v>0.98515220010015836</v>
      </c>
      <c r="AH419" s="11">
        <f t="shared" si="83"/>
        <v>4.7629024891935199</v>
      </c>
      <c r="AI419" s="3" t="s">
        <v>45</v>
      </c>
      <c r="AJ419" s="3" t="s">
        <v>66</v>
      </c>
      <c r="AK419" s="3" t="s">
        <v>46</v>
      </c>
      <c r="AL419" s="3" t="s">
        <v>68</v>
      </c>
      <c r="AM419" s="3" t="s">
        <v>65</v>
      </c>
    </row>
    <row r="420" spans="1:39" ht="21" customHeight="1">
      <c r="A420" s="4">
        <v>46126</v>
      </c>
      <c r="B420" s="3" t="s">
        <v>65</v>
      </c>
      <c r="C420" s="3" t="s">
        <v>66</v>
      </c>
      <c r="D420" s="4">
        <v>46120</v>
      </c>
      <c r="E420" s="3">
        <v>6</v>
      </c>
      <c r="F420" s="3" t="s">
        <v>57</v>
      </c>
      <c r="G420" s="3" t="s">
        <v>50</v>
      </c>
      <c r="H420" s="3">
        <v>0</v>
      </c>
      <c r="I420" s="7">
        <v>94850</v>
      </c>
      <c r="J420" s="7">
        <v>38762</v>
      </c>
      <c r="K420" s="7">
        <v>56088</v>
      </c>
      <c r="L420" s="5">
        <f t="shared" si="73"/>
        <v>0.40866631523458091</v>
      </c>
      <c r="M420" s="5">
        <f t="shared" si="74"/>
        <v>2.110022607385087E-2</v>
      </c>
      <c r="N420" s="7">
        <f t="shared" si="75"/>
        <v>92616.571428571435</v>
      </c>
      <c r="O420" s="7">
        <f t="shared" si="77"/>
        <v>99008.892857142855</v>
      </c>
      <c r="P420" s="8">
        <f t="shared" si="78"/>
        <v>0.95799475443944615</v>
      </c>
      <c r="Q420" s="7">
        <v>1312</v>
      </c>
      <c r="R420" s="7">
        <v>4589</v>
      </c>
      <c r="S420" s="7">
        <v>616594</v>
      </c>
      <c r="T420" s="7">
        <v>655595720</v>
      </c>
      <c r="U420" s="7">
        <v>64686</v>
      </c>
      <c r="V420" s="7">
        <v>862316</v>
      </c>
      <c r="W420" s="7">
        <v>1</v>
      </c>
      <c r="X420" s="3" t="s">
        <v>72</v>
      </c>
      <c r="Y420" s="3" t="s">
        <v>71</v>
      </c>
      <c r="Z420" s="9">
        <v>21.197790000000001</v>
      </c>
      <c r="AA420" s="5">
        <f t="shared" si="72"/>
        <v>-0.191468415921494</v>
      </c>
      <c r="AB420" s="9">
        <f t="shared" si="76"/>
        <v>21.182420000000004</v>
      </c>
      <c r="AC420" s="9">
        <f t="shared" si="79"/>
        <v>6.4273599999999993</v>
      </c>
      <c r="AD420" s="8">
        <f t="shared" si="80"/>
        <v>3.2956641607129531</v>
      </c>
      <c r="AE420" s="3" t="s">
        <v>44</v>
      </c>
      <c r="AF420" s="10">
        <f t="shared" si="81"/>
        <v>38596.25</v>
      </c>
      <c r="AG420" s="11">
        <f t="shared" si="82"/>
        <v>1.0042944586585485</v>
      </c>
      <c r="AH420" s="11">
        <f t="shared" si="83"/>
        <v>3.2980555002364897</v>
      </c>
      <c r="AI420" s="3" t="s">
        <v>45</v>
      </c>
      <c r="AJ420" s="3" t="s">
        <v>66</v>
      </c>
      <c r="AK420" s="3" t="s">
        <v>46</v>
      </c>
      <c r="AL420" s="3" t="s">
        <v>68</v>
      </c>
      <c r="AM420" s="3" t="s">
        <v>65</v>
      </c>
    </row>
    <row r="421" spans="1:39" ht="21" customHeight="1">
      <c r="A421" s="4">
        <v>46127</v>
      </c>
      <c r="B421" s="3" t="s">
        <v>65</v>
      </c>
      <c r="C421" s="3" t="s">
        <v>66</v>
      </c>
      <c r="D421" s="4">
        <v>46120</v>
      </c>
      <c r="E421" s="3">
        <v>7</v>
      </c>
      <c r="F421" s="3" t="s">
        <v>57</v>
      </c>
      <c r="G421" s="3" t="s">
        <v>51</v>
      </c>
      <c r="H421" s="3">
        <v>0</v>
      </c>
      <c r="I421" s="7">
        <v>94472</v>
      </c>
      <c r="J421" s="7">
        <v>38108</v>
      </c>
      <c r="K421" s="7">
        <v>56364</v>
      </c>
      <c r="L421" s="5">
        <f t="shared" si="73"/>
        <v>0.40337877889745111</v>
      </c>
      <c r="M421" s="5">
        <f t="shared" si="74"/>
        <v>-3.9852398523985144E-3</v>
      </c>
      <c r="N421" s="7">
        <f t="shared" si="75"/>
        <v>93069.142857142855</v>
      </c>
      <c r="O421" s="7">
        <f t="shared" si="77"/>
        <v>99033.642857142855</v>
      </c>
      <c r="P421" s="8">
        <f t="shared" si="78"/>
        <v>0.95393845237296704</v>
      </c>
      <c r="Q421" s="7">
        <v>1324</v>
      </c>
      <c r="R421" s="7">
        <v>4776</v>
      </c>
      <c r="S421" s="7">
        <v>660350</v>
      </c>
      <c r="T421" s="7">
        <v>693399620</v>
      </c>
      <c r="U421" s="7">
        <v>68743</v>
      </c>
      <c r="V421" s="7">
        <v>931059</v>
      </c>
      <c r="W421" s="7">
        <v>1</v>
      </c>
      <c r="X421" s="3" t="s">
        <v>72</v>
      </c>
      <c r="Y421" s="3" t="s">
        <v>71</v>
      </c>
      <c r="Z421" s="9">
        <v>19.442419999999998</v>
      </c>
      <c r="AA421" s="5">
        <f t="shared" si="72"/>
        <v>-8.280910415661269E-2</v>
      </c>
      <c r="AB421" s="9">
        <f t="shared" si="76"/>
        <v>22.149147142857146</v>
      </c>
      <c r="AC421" s="9">
        <f t="shared" si="79"/>
        <v>7.1721710714285711</v>
      </c>
      <c r="AD421" s="8">
        <f t="shared" si="80"/>
        <v>3.0882067538923641</v>
      </c>
      <c r="AE421" s="3" t="s">
        <v>44</v>
      </c>
      <c r="AF421" s="10">
        <f t="shared" si="81"/>
        <v>35008.5</v>
      </c>
      <c r="AG421" s="11">
        <f t="shared" si="82"/>
        <v>1.0885356413442451</v>
      </c>
      <c r="AH421" s="11">
        <f t="shared" si="83"/>
        <v>2.7108137558865293</v>
      </c>
      <c r="AI421" s="3" t="s">
        <v>45</v>
      </c>
      <c r="AJ421" s="3" t="s">
        <v>66</v>
      </c>
      <c r="AK421" s="3" t="s">
        <v>46</v>
      </c>
      <c r="AL421" s="3" t="s">
        <v>68</v>
      </c>
      <c r="AM421" s="3" t="s">
        <v>65</v>
      </c>
    </row>
    <row r="422" spans="1:39" ht="21" customHeight="1">
      <c r="A422" s="4">
        <v>46128</v>
      </c>
      <c r="B422" s="3" t="s">
        <v>65</v>
      </c>
      <c r="C422" s="3" t="s">
        <v>66</v>
      </c>
      <c r="D422" s="4">
        <v>46120</v>
      </c>
      <c r="E422" s="3">
        <v>8</v>
      </c>
      <c r="F422" s="3" t="s">
        <v>57</v>
      </c>
      <c r="G422" s="3" t="s">
        <v>52</v>
      </c>
      <c r="H422" s="3">
        <v>0</v>
      </c>
      <c r="I422" s="7">
        <v>93468</v>
      </c>
      <c r="J422" s="7">
        <v>37572</v>
      </c>
      <c r="K422" s="7">
        <v>55895</v>
      </c>
      <c r="L422" s="5">
        <f t="shared" si="73"/>
        <v>0.40197714725895495</v>
      </c>
      <c r="M422" s="5">
        <f t="shared" si="74"/>
        <v>-1.0627487509526579E-2</v>
      </c>
      <c r="N422" s="7">
        <f t="shared" si="75"/>
        <v>94328.71428571429</v>
      </c>
      <c r="O422" s="7">
        <f t="shared" si="77"/>
        <v>99206.892857142855</v>
      </c>
      <c r="P422" s="8">
        <f t="shared" si="78"/>
        <v>0.94215227700552207</v>
      </c>
      <c r="Q422" s="7">
        <v>1322</v>
      </c>
      <c r="R422" s="7">
        <v>4732</v>
      </c>
      <c r="S422" s="7">
        <v>652386</v>
      </c>
      <c r="T422" s="7">
        <v>593089560</v>
      </c>
      <c r="U422" s="7">
        <v>58662</v>
      </c>
      <c r="V422" s="7">
        <v>989721</v>
      </c>
      <c r="W422" s="7">
        <v>1</v>
      </c>
      <c r="X422" s="3" t="s">
        <v>72</v>
      </c>
      <c r="Y422" s="3" t="s">
        <v>71</v>
      </c>
      <c r="Z422" s="9">
        <v>16.309259999999998</v>
      </c>
      <c r="AA422" s="5">
        <f t="shared" si="72"/>
        <v>-0.1611507209493469</v>
      </c>
      <c r="AB422" s="9">
        <f t="shared" si="76"/>
        <v>21.886647142857139</v>
      </c>
      <c r="AC422" s="9">
        <f t="shared" si="79"/>
        <v>7.850369999999999</v>
      </c>
      <c r="AD422" s="8">
        <f t="shared" si="80"/>
        <v>2.7879765084775805</v>
      </c>
      <c r="AE422" s="3" t="s">
        <v>44</v>
      </c>
      <c r="AF422" s="10">
        <f t="shared" si="81"/>
        <v>36230.25</v>
      </c>
      <c r="AG422" s="11">
        <f t="shared" si="82"/>
        <v>1.0370339702320575</v>
      </c>
      <c r="AH422" s="11">
        <f t="shared" si="83"/>
        <v>2.0775148177729204</v>
      </c>
      <c r="AI422" s="3" t="s">
        <v>45</v>
      </c>
      <c r="AJ422" s="3" t="s">
        <v>66</v>
      </c>
      <c r="AK422" s="3" t="s">
        <v>46</v>
      </c>
      <c r="AL422" s="3" t="s">
        <v>68</v>
      </c>
      <c r="AM422" s="3" t="s">
        <v>65</v>
      </c>
    </row>
    <row r="423" spans="1:39" ht="21" customHeight="1">
      <c r="A423" s="4">
        <v>46129</v>
      </c>
      <c r="B423" s="3" t="s">
        <v>65</v>
      </c>
      <c r="C423" s="3" t="s">
        <v>66</v>
      </c>
      <c r="D423" s="4">
        <v>46120</v>
      </c>
      <c r="E423" s="3">
        <v>9</v>
      </c>
      <c r="F423" s="3" t="s">
        <v>57</v>
      </c>
      <c r="G423" s="3" t="s">
        <v>53</v>
      </c>
      <c r="H423" s="3">
        <v>0</v>
      </c>
      <c r="I423" s="7">
        <v>100384</v>
      </c>
      <c r="J423" s="7">
        <v>43645</v>
      </c>
      <c r="K423" s="7">
        <v>56738</v>
      </c>
      <c r="L423" s="5">
        <f t="shared" si="73"/>
        <v>0.43478044309850178</v>
      </c>
      <c r="M423" s="5">
        <f t="shared" si="74"/>
        <v>7.3993238327555888E-2</v>
      </c>
      <c r="N423" s="7">
        <f t="shared" si="75"/>
        <v>94958.71428571429</v>
      </c>
      <c r="O423" s="7">
        <f t="shared" si="77"/>
        <v>99137.53571428571</v>
      </c>
      <c r="P423" s="8">
        <f t="shared" si="78"/>
        <v>1.0125730811920381</v>
      </c>
      <c r="Q423" s="7">
        <v>1375</v>
      </c>
      <c r="R423" s="7">
        <v>5168</v>
      </c>
      <c r="S423" s="7">
        <v>723291</v>
      </c>
      <c r="T423" s="7">
        <v>1038291850</v>
      </c>
      <c r="U423" s="7">
        <v>98966</v>
      </c>
      <c r="V423" s="7">
        <v>1088687</v>
      </c>
      <c r="W423" s="7">
        <v>1</v>
      </c>
      <c r="X423" s="3" t="s">
        <v>72</v>
      </c>
      <c r="Y423" s="3" t="s">
        <v>71</v>
      </c>
      <c r="Z423" s="9">
        <v>19.141459999999999</v>
      </c>
      <c r="AA423" s="5">
        <f t="shared" si="72"/>
        <v>0.17365594760277303</v>
      </c>
      <c r="AB423" s="9">
        <f t="shared" si="76"/>
        <v>21.855527142857142</v>
      </c>
      <c r="AC423" s="9">
        <f t="shared" si="79"/>
        <v>8.411424642857142</v>
      </c>
      <c r="AD423" s="8">
        <f t="shared" si="80"/>
        <v>2.5983145627318356</v>
      </c>
      <c r="AE423" s="3" t="s">
        <v>44</v>
      </c>
      <c r="AF423" s="10">
        <f t="shared" si="81"/>
        <v>42056</v>
      </c>
      <c r="AG423" s="11">
        <f t="shared" si="82"/>
        <v>1.0377829560585885</v>
      </c>
      <c r="AH423" s="11">
        <f t="shared" si="83"/>
        <v>2.2756501796939528</v>
      </c>
      <c r="AI423" s="3" t="s">
        <v>45</v>
      </c>
      <c r="AJ423" s="3" t="s">
        <v>66</v>
      </c>
      <c r="AK423" s="3" t="s">
        <v>46</v>
      </c>
      <c r="AL423" s="3" t="s">
        <v>68</v>
      </c>
      <c r="AM423" s="3" t="s">
        <v>65</v>
      </c>
    </row>
    <row r="424" spans="1:39" ht="21" customHeight="1">
      <c r="A424" s="4">
        <v>46130</v>
      </c>
      <c r="B424" s="3" t="s">
        <v>65</v>
      </c>
      <c r="C424" s="3" t="s">
        <v>66</v>
      </c>
      <c r="D424" s="4">
        <v>46120</v>
      </c>
      <c r="E424" s="3">
        <v>10</v>
      </c>
      <c r="F424" s="3" t="s">
        <v>57</v>
      </c>
      <c r="G424" s="3" t="s">
        <v>42</v>
      </c>
      <c r="H424" s="3">
        <v>1</v>
      </c>
      <c r="I424" s="7">
        <v>127449</v>
      </c>
      <c r="J424" s="7">
        <v>74494</v>
      </c>
      <c r="K424" s="7">
        <v>52955</v>
      </c>
      <c r="L424" s="5">
        <f t="shared" si="73"/>
        <v>0.58450046685340806</v>
      </c>
      <c r="M424" s="5">
        <f t="shared" si="74"/>
        <v>0.2696146796302199</v>
      </c>
      <c r="N424" s="7">
        <f t="shared" si="75"/>
        <v>103106.71428571429</v>
      </c>
      <c r="O424" s="7">
        <f t="shared" si="77"/>
        <v>99176.178571428565</v>
      </c>
      <c r="P424" s="8">
        <f t="shared" si="78"/>
        <v>1.2850767375374199</v>
      </c>
      <c r="Q424" s="7">
        <v>1511</v>
      </c>
      <c r="R424" s="7">
        <v>6142</v>
      </c>
      <c r="S424" s="7">
        <v>859767</v>
      </c>
      <c r="T424" s="7">
        <v>2188439110</v>
      </c>
      <c r="U424" s="7">
        <v>211494</v>
      </c>
      <c r="V424" s="7">
        <v>1300181</v>
      </c>
      <c r="W424" s="7">
        <v>1</v>
      </c>
      <c r="X424" s="3" t="s">
        <v>72</v>
      </c>
      <c r="Y424" s="3" t="s">
        <v>71</v>
      </c>
      <c r="Z424" s="9">
        <v>20.221959999999999</v>
      </c>
      <c r="AA424" s="5">
        <f t="shared" si="72"/>
        <v>5.6448149723166363E-2</v>
      </c>
      <c r="AB424" s="9">
        <f t="shared" si="76"/>
        <v>21.189427142857141</v>
      </c>
      <c r="AC424" s="9">
        <f t="shared" si="79"/>
        <v>9.0717992857142846</v>
      </c>
      <c r="AD424" s="8">
        <f t="shared" si="80"/>
        <v>2.3357469092404806</v>
      </c>
      <c r="AE424" s="3" t="s">
        <v>44</v>
      </c>
      <c r="AF424" s="10">
        <f t="shared" si="81"/>
        <v>60703.25</v>
      </c>
      <c r="AG424" s="11">
        <f t="shared" si="82"/>
        <v>1.2271830585677044</v>
      </c>
      <c r="AH424" s="11">
        <f t="shared" si="83"/>
        <v>2.2291013461733336</v>
      </c>
      <c r="AI424" s="3" t="s">
        <v>45</v>
      </c>
      <c r="AJ424" s="3" t="s">
        <v>66</v>
      </c>
      <c r="AK424" s="3" t="s">
        <v>46</v>
      </c>
      <c r="AL424" s="3" t="s">
        <v>68</v>
      </c>
      <c r="AM424" s="3" t="s">
        <v>65</v>
      </c>
    </row>
    <row r="425" spans="1:39" ht="21" customHeight="1">
      <c r="A425" s="4">
        <v>46131</v>
      </c>
      <c r="B425" s="3" t="s">
        <v>65</v>
      </c>
      <c r="C425" s="3" t="s">
        <v>66</v>
      </c>
      <c r="D425" s="4">
        <v>46120</v>
      </c>
      <c r="E425" s="3">
        <v>11</v>
      </c>
      <c r="F425" s="3" t="s">
        <v>57</v>
      </c>
      <c r="G425" s="3" t="s">
        <v>48</v>
      </c>
      <c r="H425" s="3">
        <v>1</v>
      </c>
      <c r="I425" s="7">
        <v>116308</v>
      </c>
      <c r="J425" s="7">
        <v>64463</v>
      </c>
      <c r="K425" s="7">
        <v>51846</v>
      </c>
      <c r="L425" s="5">
        <f t="shared" si="73"/>
        <v>0.55424390411665581</v>
      </c>
      <c r="M425" s="5">
        <f t="shared" si="74"/>
        <v>-8.7415358300182766E-2</v>
      </c>
      <c r="N425" s="7">
        <f t="shared" si="75"/>
        <v>102831.57142857143</v>
      </c>
      <c r="O425" s="7">
        <f t="shared" si="77"/>
        <v>99493.428571428565</v>
      </c>
      <c r="P425" s="8">
        <f t="shared" si="78"/>
        <v>1.1690018292665418</v>
      </c>
      <c r="Q425" s="7">
        <v>1465</v>
      </c>
      <c r="R425" s="7">
        <v>5882</v>
      </c>
      <c r="S425" s="7">
        <v>828878</v>
      </c>
      <c r="T425" s="7">
        <v>1664648140</v>
      </c>
      <c r="U425" s="7">
        <v>161640</v>
      </c>
      <c r="V425" s="7">
        <v>1461821</v>
      </c>
      <c r="W425" s="7">
        <v>1</v>
      </c>
      <c r="X425" s="3" t="s">
        <v>72</v>
      </c>
      <c r="Y425" s="3" t="s">
        <v>71</v>
      </c>
      <c r="Z425" s="9">
        <v>17.358450000000001</v>
      </c>
      <c r="AA425" s="5">
        <f t="shared" si="72"/>
        <v>-0.14160397904060729</v>
      </c>
      <c r="AB425" s="9">
        <f t="shared" si="76"/>
        <v>19.984139999999996</v>
      </c>
      <c r="AC425" s="9">
        <f t="shared" si="79"/>
        <v>9.7555667857142847</v>
      </c>
      <c r="AD425" s="8">
        <f t="shared" si="80"/>
        <v>2.0484857967723702</v>
      </c>
      <c r="AE425" s="3" t="s">
        <v>44</v>
      </c>
      <c r="AF425" s="10">
        <f t="shared" si="81"/>
        <v>66460.5</v>
      </c>
      <c r="AG425" s="11">
        <f t="shared" si="82"/>
        <v>0.96994455353179709</v>
      </c>
      <c r="AH425" s="11">
        <f t="shared" si="83"/>
        <v>1.7793379289268068</v>
      </c>
      <c r="AI425" s="3" t="s">
        <v>45</v>
      </c>
      <c r="AJ425" s="3" t="s">
        <v>66</v>
      </c>
      <c r="AK425" s="3" t="s">
        <v>46</v>
      </c>
      <c r="AL425" s="3" t="s">
        <v>68</v>
      </c>
      <c r="AM425" s="3" t="s">
        <v>65</v>
      </c>
    </row>
    <row r="426" spans="1:39" ht="21" customHeight="1">
      <c r="A426" s="4">
        <v>46132</v>
      </c>
      <c r="B426" s="3" t="s">
        <v>65</v>
      </c>
      <c r="C426" s="3" t="s">
        <v>66</v>
      </c>
      <c r="D426" s="4">
        <v>46120</v>
      </c>
      <c r="E426" s="3">
        <v>12</v>
      </c>
      <c r="F426" s="3" t="s">
        <v>57</v>
      </c>
      <c r="G426" s="3" t="s">
        <v>49</v>
      </c>
      <c r="H426" s="3">
        <v>0</v>
      </c>
      <c r="I426" s="7">
        <v>91056</v>
      </c>
      <c r="J426" s="7">
        <v>35357</v>
      </c>
      <c r="K426" s="7">
        <v>55699</v>
      </c>
      <c r="L426" s="5">
        <f t="shared" si="73"/>
        <v>0.38829950799507995</v>
      </c>
      <c r="M426" s="5">
        <f t="shared" si="74"/>
        <v>-0.21711318224025866</v>
      </c>
      <c r="N426" s="7">
        <f t="shared" si="75"/>
        <v>102569.57142857143</v>
      </c>
      <c r="O426" s="7">
        <f t="shared" si="77"/>
        <v>99735.142857142855</v>
      </c>
      <c r="P426" s="8">
        <f t="shared" si="78"/>
        <v>0.91297808767793553</v>
      </c>
      <c r="Q426" s="7">
        <v>1258</v>
      </c>
      <c r="R426" s="7">
        <v>4669</v>
      </c>
      <c r="S426" s="7">
        <v>655229</v>
      </c>
      <c r="T426" s="7">
        <v>473283220</v>
      </c>
      <c r="U426" s="7">
        <v>46984</v>
      </c>
      <c r="V426" s="7">
        <v>1508805</v>
      </c>
      <c r="W426" s="7">
        <v>1</v>
      </c>
      <c r="X426" s="3" t="s">
        <v>72</v>
      </c>
      <c r="Y426" s="3" t="s">
        <v>71</v>
      </c>
      <c r="Z426" s="9">
        <v>13.340009999999999</v>
      </c>
      <c r="AA426" s="5">
        <f t="shared" si="72"/>
        <v>-0.23149762795641327</v>
      </c>
      <c r="AB426" s="9">
        <f t="shared" si="76"/>
        <v>18.144478571428571</v>
      </c>
      <c r="AC426" s="9">
        <f t="shared" si="79"/>
        <v>10.331923928571427</v>
      </c>
      <c r="AD426" s="8">
        <f t="shared" si="80"/>
        <v>1.7561568103741709</v>
      </c>
      <c r="AE426" s="3" t="s">
        <v>44</v>
      </c>
      <c r="AF426" s="10">
        <f t="shared" si="81"/>
        <v>37098.25</v>
      </c>
      <c r="AG426" s="11">
        <f t="shared" si="82"/>
        <v>0.95306382376527199</v>
      </c>
      <c r="AH426" s="11">
        <f t="shared" si="83"/>
        <v>1.2911448140950932</v>
      </c>
      <c r="AI426" s="3" t="s">
        <v>45</v>
      </c>
      <c r="AJ426" s="3" t="s">
        <v>66</v>
      </c>
      <c r="AK426" s="3" t="s">
        <v>46</v>
      </c>
      <c r="AL426" s="3" t="s">
        <v>68</v>
      </c>
      <c r="AM426" s="3" t="s">
        <v>65</v>
      </c>
    </row>
    <row r="427" spans="1:39" ht="21" customHeight="1">
      <c r="A427" s="4">
        <v>46133</v>
      </c>
      <c r="B427" s="3" t="s">
        <v>65</v>
      </c>
      <c r="C427" s="3" t="s">
        <v>66</v>
      </c>
      <c r="D427" s="4">
        <v>46120</v>
      </c>
      <c r="E427" s="3">
        <v>13</v>
      </c>
      <c r="F427" s="3" t="s">
        <v>57</v>
      </c>
      <c r="G427" s="3" t="s">
        <v>50</v>
      </c>
      <c r="H427" s="3">
        <v>0</v>
      </c>
      <c r="I427" s="7">
        <v>91532</v>
      </c>
      <c r="J427" s="7">
        <v>36242</v>
      </c>
      <c r="K427" s="7">
        <v>55290</v>
      </c>
      <c r="L427" s="5">
        <f t="shared" si="73"/>
        <v>0.39594895774155486</v>
      </c>
      <c r="M427" s="5">
        <f t="shared" si="74"/>
        <v>5.2275522755227399E-3</v>
      </c>
      <c r="N427" s="7">
        <f t="shared" si="75"/>
        <v>102095.57142857143</v>
      </c>
      <c r="O427" s="7">
        <f t="shared" si="77"/>
        <v>99587.142857142855</v>
      </c>
      <c r="P427" s="8">
        <f t="shared" si="78"/>
        <v>0.91911463040266239</v>
      </c>
      <c r="Q427" s="7">
        <v>1253</v>
      </c>
      <c r="R427" s="7">
        <v>4516</v>
      </c>
      <c r="S427" s="7">
        <v>632815</v>
      </c>
      <c r="T427" s="7">
        <v>399760410</v>
      </c>
      <c r="U427" s="7">
        <v>39689</v>
      </c>
      <c r="V427" s="7">
        <v>1548494</v>
      </c>
      <c r="W427" s="7">
        <v>1</v>
      </c>
      <c r="X427" s="3" t="s">
        <v>72</v>
      </c>
      <c r="Y427" s="3" t="s">
        <v>71</v>
      </c>
      <c r="Z427" s="9">
        <v>10.154059999999999</v>
      </c>
      <c r="AA427" s="5">
        <f t="shared" si="72"/>
        <v>-0.23882665755123123</v>
      </c>
      <c r="AB427" s="9">
        <f t="shared" si="76"/>
        <v>16.566802857142857</v>
      </c>
      <c r="AC427" s="9">
        <f t="shared" si="79"/>
        <v>10.775400357142857</v>
      </c>
      <c r="AD427" s="8">
        <f t="shared" si="80"/>
        <v>1.5374651806938164</v>
      </c>
      <c r="AE427" s="3" t="s">
        <v>44</v>
      </c>
      <c r="AF427" s="10">
        <f t="shared" si="81"/>
        <v>38684.5</v>
      </c>
      <c r="AG427" s="11">
        <f t="shared" si="82"/>
        <v>0.93686101668626964</v>
      </c>
      <c r="AH427" s="11">
        <f t="shared" si="83"/>
        <v>0.94233714418499726</v>
      </c>
      <c r="AI427" s="3" t="s">
        <v>45</v>
      </c>
      <c r="AJ427" s="3" t="s">
        <v>66</v>
      </c>
      <c r="AK427" s="3" t="s">
        <v>46</v>
      </c>
      <c r="AL427" s="3" t="s">
        <v>68</v>
      </c>
      <c r="AM427" s="3" t="s">
        <v>65</v>
      </c>
    </row>
    <row r="428" spans="1:39" ht="21" customHeight="1">
      <c r="A428" s="4">
        <v>46134</v>
      </c>
      <c r="B428" s="3" t="s">
        <v>65</v>
      </c>
      <c r="C428" s="3" t="s">
        <v>66</v>
      </c>
      <c r="D428" s="4">
        <v>46120</v>
      </c>
      <c r="E428" s="3">
        <v>14</v>
      </c>
      <c r="F428" s="3" t="s">
        <v>57</v>
      </c>
      <c r="G428" s="3" t="s">
        <v>51</v>
      </c>
      <c r="H428" s="3">
        <v>0</v>
      </c>
      <c r="I428" s="7">
        <v>92348</v>
      </c>
      <c r="J428" s="7">
        <v>36722</v>
      </c>
      <c r="K428" s="7">
        <v>55626</v>
      </c>
      <c r="L428" s="5">
        <f t="shared" si="73"/>
        <v>0.39764802702819768</v>
      </c>
      <c r="M428" s="5">
        <f t="shared" si="74"/>
        <v>8.9149150024034896E-3</v>
      </c>
      <c r="N428" s="7">
        <f t="shared" si="75"/>
        <v>101792.14285714286</v>
      </c>
      <c r="O428" s="7">
        <f t="shared" si="77"/>
        <v>99458.892857142855</v>
      </c>
      <c r="P428" s="8">
        <f t="shared" si="78"/>
        <v>0.92850420256179067</v>
      </c>
      <c r="Q428" s="7">
        <v>1172</v>
      </c>
      <c r="R428" s="7">
        <v>4155</v>
      </c>
      <c r="S428" s="7">
        <v>601240</v>
      </c>
      <c r="T428" s="7">
        <v>435423360</v>
      </c>
      <c r="U428" s="7">
        <v>43400</v>
      </c>
      <c r="V428" s="7">
        <v>1591894</v>
      </c>
      <c r="W428" s="7">
        <v>1</v>
      </c>
      <c r="X428" s="3" t="s">
        <v>72</v>
      </c>
      <c r="Y428" s="3" t="s">
        <v>71</v>
      </c>
      <c r="Z428" s="9">
        <v>10.277749999999999</v>
      </c>
      <c r="AA428" s="5">
        <f t="shared" si="72"/>
        <v>1.2181334362806551E-2</v>
      </c>
      <c r="AB428" s="9">
        <f t="shared" si="76"/>
        <v>15.257564285714285</v>
      </c>
      <c r="AC428" s="9">
        <f t="shared" si="79"/>
        <v>11.088361785714286</v>
      </c>
      <c r="AD428" s="8">
        <f t="shared" si="80"/>
        <v>1.3759980581957021</v>
      </c>
      <c r="AE428" s="3" t="s">
        <v>44</v>
      </c>
      <c r="AF428" s="10">
        <f t="shared" si="81"/>
        <v>35846</v>
      </c>
      <c r="AG428" s="11">
        <f t="shared" si="82"/>
        <v>1.024437873123919</v>
      </c>
      <c r="AH428" s="11">
        <f t="shared" si="83"/>
        <v>0.92689526177269577</v>
      </c>
      <c r="AI428" s="3" t="s">
        <v>45</v>
      </c>
      <c r="AJ428" s="3" t="s">
        <v>66</v>
      </c>
      <c r="AK428" s="3" t="s">
        <v>46</v>
      </c>
      <c r="AL428" s="3" t="s">
        <v>68</v>
      </c>
      <c r="AM428" s="3" t="s">
        <v>65</v>
      </c>
    </row>
    <row r="429" spans="1:39" ht="21" customHeight="1">
      <c r="A429" s="4">
        <v>46135</v>
      </c>
      <c r="B429" s="3" t="s">
        <v>65</v>
      </c>
      <c r="C429" s="3" t="s">
        <v>66</v>
      </c>
      <c r="D429" s="4">
        <v>46120</v>
      </c>
      <c r="E429" s="3">
        <v>15</v>
      </c>
      <c r="F429" s="3" t="s">
        <v>57</v>
      </c>
      <c r="G429" s="3" t="s">
        <v>52</v>
      </c>
      <c r="H429" s="3">
        <v>0</v>
      </c>
      <c r="I429" s="7">
        <v>97055</v>
      </c>
      <c r="J429" s="7">
        <v>40838</v>
      </c>
      <c r="K429" s="7">
        <v>56217</v>
      </c>
      <c r="L429" s="5">
        <f t="shared" si="73"/>
        <v>0.42077172737107826</v>
      </c>
      <c r="M429" s="5">
        <f t="shared" si="74"/>
        <v>5.0970242993892745E-2</v>
      </c>
      <c r="N429" s="7">
        <f t="shared" si="75"/>
        <v>102304.57142857143</v>
      </c>
      <c r="O429" s="7">
        <f t="shared" si="77"/>
        <v>99282.392857142855</v>
      </c>
      <c r="P429" s="8">
        <f t="shared" si="78"/>
        <v>0.97756507681731797</v>
      </c>
      <c r="Q429" s="7">
        <v>1150</v>
      </c>
      <c r="R429" s="7">
        <v>4090</v>
      </c>
      <c r="S429" s="7">
        <v>598219</v>
      </c>
      <c r="T429" s="7">
        <v>491825750</v>
      </c>
      <c r="U429" s="7">
        <v>48405</v>
      </c>
      <c r="V429" s="7">
        <v>1640299</v>
      </c>
      <c r="W429" s="7">
        <v>1</v>
      </c>
      <c r="X429" s="3" t="s">
        <v>72</v>
      </c>
      <c r="Y429" s="3" t="s">
        <v>71</v>
      </c>
      <c r="Z429" s="9">
        <v>9.5081000000000007</v>
      </c>
      <c r="AA429" s="5">
        <f t="shared" si="72"/>
        <v>-7.4885067256938442E-2</v>
      </c>
      <c r="AB429" s="9">
        <f t="shared" si="76"/>
        <v>14.285970000000001</v>
      </c>
      <c r="AC429" s="9">
        <f t="shared" si="79"/>
        <v>11.38752</v>
      </c>
      <c r="AD429" s="8">
        <f t="shared" si="80"/>
        <v>1.2545286418816388</v>
      </c>
      <c r="AE429" s="3" t="s">
        <v>44</v>
      </c>
      <c r="AF429" s="10">
        <f t="shared" si="81"/>
        <v>35747.25</v>
      </c>
      <c r="AG429" s="11">
        <f t="shared" si="82"/>
        <v>1.1424095559798306</v>
      </c>
      <c r="AH429" s="11">
        <f t="shared" si="83"/>
        <v>0.83495791884448944</v>
      </c>
      <c r="AI429" s="3" t="s">
        <v>45</v>
      </c>
      <c r="AJ429" s="3" t="s">
        <v>66</v>
      </c>
      <c r="AK429" s="3" t="s">
        <v>46</v>
      </c>
      <c r="AL429" s="3" t="s">
        <v>68</v>
      </c>
      <c r="AM429" s="3" t="s">
        <v>65</v>
      </c>
    </row>
    <row r="430" spans="1:39" ht="21" customHeight="1">
      <c r="A430" s="4">
        <v>46136</v>
      </c>
      <c r="B430" s="3" t="s">
        <v>65</v>
      </c>
      <c r="C430" s="3" t="s">
        <v>66</v>
      </c>
      <c r="D430" s="4">
        <v>46120</v>
      </c>
      <c r="E430" s="3">
        <v>16</v>
      </c>
      <c r="F430" s="3" t="s">
        <v>57</v>
      </c>
      <c r="G430" s="3" t="s">
        <v>53</v>
      </c>
      <c r="H430" s="3">
        <v>0</v>
      </c>
      <c r="I430" s="7">
        <v>103166</v>
      </c>
      <c r="J430" s="7">
        <v>46179</v>
      </c>
      <c r="K430" s="7">
        <v>56987</v>
      </c>
      <c r="L430" s="5">
        <f t="shared" si="73"/>
        <v>0.4476184014113177</v>
      </c>
      <c r="M430" s="5">
        <f t="shared" si="74"/>
        <v>6.2964298593580992E-2</v>
      </c>
      <c r="N430" s="7">
        <f t="shared" si="75"/>
        <v>102702</v>
      </c>
      <c r="O430" s="7">
        <f t="shared" si="77"/>
        <v>99263.28571428571</v>
      </c>
      <c r="P430" s="8">
        <f t="shared" si="78"/>
        <v>1.0393167953048388</v>
      </c>
      <c r="Q430" s="7">
        <v>1263</v>
      </c>
      <c r="R430" s="7">
        <v>4783</v>
      </c>
      <c r="S430" s="7">
        <v>691953</v>
      </c>
      <c r="T430" s="7">
        <v>914624580</v>
      </c>
      <c r="U430" s="7">
        <v>86527</v>
      </c>
      <c r="V430" s="7">
        <v>1726826</v>
      </c>
      <c r="W430" s="7">
        <v>1</v>
      </c>
      <c r="X430" s="3" t="s">
        <v>72</v>
      </c>
      <c r="Y430" s="3" t="s">
        <v>71</v>
      </c>
      <c r="Z430" s="9">
        <v>10.5421</v>
      </c>
      <c r="AA430" s="5">
        <f t="shared" si="72"/>
        <v>0.10874938210578344</v>
      </c>
      <c r="AB430" s="9">
        <f t="shared" si="76"/>
        <v>13.057490000000001</v>
      </c>
      <c r="AC430" s="9">
        <f t="shared" si="79"/>
        <v>11.682732500000002</v>
      </c>
      <c r="AD430" s="8">
        <f t="shared" si="80"/>
        <v>1.1176743112110115</v>
      </c>
      <c r="AE430" s="3" t="s">
        <v>44</v>
      </c>
      <c r="AF430" s="10">
        <f t="shared" si="81"/>
        <v>42243.25</v>
      </c>
      <c r="AG430" s="11">
        <f t="shared" si="82"/>
        <v>1.0931687310990514</v>
      </c>
      <c r="AH430" s="11">
        <f t="shared" si="83"/>
        <v>0.90236594906200218</v>
      </c>
      <c r="AI430" s="3" t="s">
        <v>45</v>
      </c>
      <c r="AJ430" s="3" t="s">
        <v>66</v>
      </c>
      <c r="AK430" s="3" t="s">
        <v>46</v>
      </c>
      <c r="AL430" s="3" t="s">
        <v>68</v>
      </c>
      <c r="AM430" s="3" t="s">
        <v>65</v>
      </c>
    </row>
    <row r="431" spans="1:39" ht="21" customHeight="1">
      <c r="A431" s="4">
        <v>46137</v>
      </c>
      <c r="B431" s="3" t="s">
        <v>65</v>
      </c>
      <c r="C431" s="3" t="s">
        <v>66</v>
      </c>
      <c r="D431" s="4">
        <v>46120</v>
      </c>
      <c r="E431" s="3">
        <v>17</v>
      </c>
      <c r="F431" s="3" t="s">
        <v>57</v>
      </c>
      <c r="G431" s="3" t="s">
        <v>42</v>
      </c>
      <c r="H431" s="3">
        <v>1</v>
      </c>
      <c r="I431" s="7">
        <v>130228</v>
      </c>
      <c r="J431" s="7">
        <v>76734</v>
      </c>
      <c r="K431" s="7">
        <v>53494</v>
      </c>
      <c r="L431" s="5">
        <f t="shared" si="73"/>
        <v>0.58922812298430449</v>
      </c>
      <c r="M431" s="5">
        <f t="shared" si="74"/>
        <v>0.26231510381327183</v>
      </c>
      <c r="N431" s="7">
        <f t="shared" si="75"/>
        <v>103099</v>
      </c>
      <c r="O431" s="7">
        <f t="shared" si="77"/>
        <v>99311.53571428571</v>
      </c>
      <c r="P431" s="8">
        <f t="shared" si="78"/>
        <v>1.3113078864741292</v>
      </c>
      <c r="Q431" s="7">
        <v>1378</v>
      </c>
      <c r="R431" s="7">
        <v>5625</v>
      </c>
      <c r="S431" s="7">
        <v>822097</v>
      </c>
      <c r="T431" s="7">
        <v>1544389690</v>
      </c>
      <c r="U431" s="7">
        <v>147850</v>
      </c>
      <c r="V431" s="7">
        <v>1874676</v>
      </c>
      <c r="W431" s="7">
        <v>1</v>
      </c>
      <c r="X431" s="3" t="s">
        <v>72</v>
      </c>
      <c r="Y431" s="3" t="s">
        <v>71</v>
      </c>
      <c r="Z431" s="9">
        <v>13.21116</v>
      </c>
      <c r="AA431" s="5">
        <f t="shared" si="72"/>
        <v>0.25318105500801558</v>
      </c>
      <c r="AB431" s="9">
        <f t="shared" si="76"/>
        <v>12.055947142857141</v>
      </c>
      <c r="AC431" s="9">
        <f t="shared" si="79"/>
        <v>12.003574642857146</v>
      </c>
      <c r="AD431" s="8">
        <f t="shared" si="80"/>
        <v>1.0043630752970041</v>
      </c>
      <c r="AE431" s="3" t="s">
        <v>44</v>
      </c>
      <c r="AF431" s="10">
        <f t="shared" si="81"/>
        <v>62614.25</v>
      </c>
      <c r="AG431" s="11">
        <f t="shared" si="82"/>
        <v>1.2255037790918202</v>
      </c>
      <c r="AH431" s="11">
        <f t="shared" si="83"/>
        <v>1.1006021450336414</v>
      </c>
      <c r="AI431" s="3" t="s">
        <v>45</v>
      </c>
      <c r="AJ431" s="3" t="s">
        <v>66</v>
      </c>
      <c r="AK431" s="3" t="s">
        <v>46</v>
      </c>
      <c r="AL431" s="3" t="s">
        <v>68</v>
      </c>
      <c r="AM431" s="3" t="s">
        <v>65</v>
      </c>
    </row>
    <row r="432" spans="1:39" ht="21" customHeight="1">
      <c r="A432" s="4">
        <v>46138</v>
      </c>
      <c r="B432" s="3" t="s">
        <v>65</v>
      </c>
      <c r="C432" s="3" t="s">
        <v>66</v>
      </c>
      <c r="D432" s="4">
        <v>46120</v>
      </c>
      <c r="E432" s="3">
        <v>18</v>
      </c>
      <c r="F432" s="3" t="s">
        <v>57</v>
      </c>
      <c r="G432" s="3" t="s">
        <v>48</v>
      </c>
      <c r="H432" s="3">
        <v>1</v>
      </c>
      <c r="I432" s="7">
        <v>118258</v>
      </c>
      <c r="J432" s="7">
        <v>66538</v>
      </c>
      <c r="K432" s="7">
        <v>51720</v>
      </c>
      <c r="L432" s="5">
        <f t="shared" si="73"/>
        <v>0.56265115256473131</v>
      </c>
      <c r="M432" s="5">
        <f t="shared" si="74"/>
        <v>-9.1915717050096712E-2</v>
      </c>
      <c r="N432" s="7">
        <f t="shared" si="75"/>
        <v>103377.57142857143</v>
      </c>
      <c r="O432" s="7">
        <f t="shared" si="77"/>
        <v>99599.178571428565</v>
      </c>
      <c r="P432" s="8">
        <f t="shared" si="78"/>
        <v>1.18733910958101</v>
      </c>
      <c r="Q432" s="7">
        <v>1349</v>
      </c>
      <c r="R432" s="7">
        <v>5326</v>
      </c>
      <c r="S432" s="7">
        <v>776068</v>
      </c>
      <c r="T432" s="7">
        <v>1133087750</v>
      </c>
      <c r="U432" s="7">
        <v>109078</v>
      </c>
      <c r="V432" s="7">
        <v>1983754</v>
      </c>
      <c r="W432" s="7">
        <v>1</v>
      </c>
      <c r="X432" s="3" t="s">
        <v>72</v>
      </c>
      <c r="Y432" s="3" t="s">
        <v>71</v>
      </c>
      <c r="Z432" s="9">
        <v>11.087260000000001</v>
      </c>
      <c r="AA432" s="5">
        <f t="shared" si="72"/>
        <v>-0.16076559514834421</v>
      </c>
      <c r="AB432" s="9">
        <f t="shared" si="76"/>
        <v>11.160062857142856</v>
      </c>
      <c r="AC432" s="9">
        <f t="shared" si="79"/>
        <v>12.37341892857143</v>
      </c>
      <c r="AD432" s="8">
        <f t="shared" si="80"/>
        <v>0.90193849586496933</v>
      </c>
      <c r="AE432" s="3" t="s">
        <v>44</v>
      </c>
      <c r="AF432" s="10">
        <f t="shared" si="81"/>
        <v>67814.25</v>
      </c>
      <c r="AG432" s="11">
        <f t="shared" si="82"/>
        <v>0.98118020917432547</v>
      </c>
      <c r="AH432" s="11">
        <f t="shared" si="83"/>
        <v>0.89605468496653229</v>
      </c>
      <c r="AI432" s="3" t="s">
        <v>45</v>
      </c>
      <c r="AJ432" s="3" t="s">
        <v>66</v>
      </c>
      <c r="AK432" s="3" t="s">
        <v>46</v>
      </c>
      <c r="AL432" s="3" t="s">
        <v>68</v>
      </c>
      <c r="AM432" s="3" t="s">
        <v>65</v>
      </c>
    </row>
    <row r="433" spans="1:39" ht="21" customHeight="1">
      <c r="A433" s="4">
        <v>46139</v>
      </c>
      <c r="B433" s="3" t="s">
        <v>65</v>
      </c>
      <c r="C433" s="3" t="s">
        <v>66</v>
      </c>
      <c r="D433" s="4">
        <v>46120</v>
      </c>
      <c r="E433" s="3">
        <v>19</v>
      </c>
      <c r="F433" s="3" t="s">
        <v>57</v>
      </c>
      <c r="G433" s="3" t="s">
        <v>49</v>
      </c>
      <c r="H433" s="3">
        <v>0</v>
      </c>
      <c r="I433" s="7">
        <v>92204</v>
      </c>
      <c r="J433" s="7">
        <v>36715</v>
      </c>
      <c r="K433" s="7">
        <v>55489</v>
      </c>
      <c r="L433" s="5">
        <f t="shared" si="73"/>
        <v>0.39819313695718189</v>
      </c>
      <c r="M433" s="5">
        <f t="shared" si="74"/>
        <v>-0.22031490469989345</v>
      </c>
      <c r="N433" s="7">
        <f t="shared" si="75"/>
        <v>103541.57142857143</v>
      </c>
      <c r="O433" s="7">
        <f t="shared" si="77"/>
        <v>99788.03571428571</v>
      </c>
      <c r="P433" s="8">
        <f t="shared" si="78"/>
        <v>0.92399854691998939</v>
      </c>
      <c r="Q433" s="7">
        <v>1114</v>
      </c>
      <c r="R433" s="7">
        <v>4129</v>
      </c>
      <c r="S433" s="7">
        <v>601284</v>
      </c>
      <c r="T433" s="7">
        <v>432784450</v>
      </c>
      <c r="U433" s="7">
        <v>41902</v>
      </c>
      <c r="V433" s="7">
        <v>2025656</v>
      </c>
      <c r="W433" s="7">
        <v>1</v>
      </c>
      <c r="X433" s="3" t="s">
        <v>72</v>
      </c>
      <c r="Y433" s="3" t="s">
        <v>71</v>
      </c>
      <c r="Z433" s="9">
        <v>9.4515600000000006</v>
      </c>
      <c r="AA433" s="5">
        <f t="shared" si="72"/>
        <v>-0.14752968722660065</v>
      </c>
      <c r="AB433" s="9">
        <f t="shared" si="76"/>
        <v>10.604569999999999</v>
      </c>
      <c r="AC433" s="9">
        <f t="shared" si="79"/>
        <v>12.682189642857145</v>
      </c>
      <c r="AD433" s="8">
        <f t="shared" si="80"/>
        <v>0.83617815997355782</v>
      </c>
      <c r="AE433" s="3" t="s">
        <v>44</v>
      </c>
      <c r="AF433" s="10">
        <f t="shared" si="81"/>
        <v>36221.5</v>
      </c>
      <c r="AG433" s="11">
        <f t="shared" si="82"/>
        <v>1.0136245047830708</v>
      </c>
      <c r="AH433" s="11">
        <f t="shared" si="83"/>
        <v>0.74526247171546611</v>
      </c>
      <c r="AI433" s="3" t="s">
        <v>45</v>
      </c>
      <c r="AJ433" s="3" t="s">
        <v>66</v>
      </c>
      <c r="AK433" s="3" t="s">
        <v>46</v>
      </c>
      <c r="AL433" s="3" t="s">
        <v>68</v>
      </c>
      <c r="AM433" s="3" t="s">
        <v>65</v>
      </c>
    </row>
    <row r="434" spans="1:39" ht="21" customHeight="1">
      <c r="A434" s="4">
        <v>46140</v>
      </c>
      <c r="B434" s="3" t="s">
        <v>65</v>
      </c>
      <c r="C434" s="3" t="s">
        <v>66</v>
      </c>
      <c r="D434" s="4">
        <v>46120</v>
      </c>
      <c r="E434" s="3">
        <v>20</v>
      </c>
      <c r="F434" s="3" t="s">
        <v>57</v>
      </c>
      <c r="G434" s="3" t="s">
        <v>50</v>
      </c>
      <c r="H434" s="3">
        <v>0</v>
      </c>
      <c r="I434" s="7">
        <v>95123</v>
      </c>
      <c r="J434" s="7">
        <v>39176</v>
      </c>
      <c r="K434" s="7">
        <v>55948</v>
      </c>
      <c r="L434" s="5">
        <f t="shared" si="73"/>
        <v>0.41184571554723881</v>
      </c>
      <c r="M434" s="5">
        <f t="shared" si="74"/>
        <v>3.1658062556938926E-2</v>
      </c>
      <c r="N434" s="7">
        <f t="shared" si="75"/>
        <v>104054.57142857143</v>
      </c>
      <c r="O434" s="7">
        <f t="shared" si="77"/>
        <v>99645.678571428565</v>
      </c>
      <c r="P434" s="8">
        <f t="shared" si="78"/>
        <v>0.95461239627981864</v>
      </c>
      <c r="Q434" s="7">
        <v>1152</v>
      </c>
      <c r="R434" s="7">
        <v>4209</v>
      </c>
      <c r="S434" s="7">
        <v>610532</v>
      </c>
      <c r="T434" s="7">
        <v>516037650</v>
      </c>
      <c r="U434" s="7">
        <v>51175</v>
      </c>
      <c r="V434" s="7">
        <v>2076831</v>
      </c>
      <c r="W434" s="7">
        <v>1</v>
      </c>
      <c r="X434" s="3" t="s">
        <v>72</v>
      </c>
      <c r="Y434" s="3" t="s">
        <v>71</v>
      </c>
      <c r="Z434" s="9">
        <v>7.9877500000000001</v>
      </c>
      <c r="AA434" s="5">
        <f t="shared" si="72"/>
        <v>-0.15487496244006282</v>
      </c>
      <c r="AB434" s="9">
        <f t="shared" si="76"/>
        <v>10.295097142857145</v>
      </c>
      <c r="AC434" s="9">
        <f t="shared" si="79"/>
        <v>12.91116892857143</v>
      </c>
      <c r="AD434" s="8">
        <f t="shared" si="80"/>
        <v>0.79737916836289569</v>
      </c>
      <c r="AE434" s="3" t="s">
        <v>44</v>
      </c>
      <c r="AF434" s="10">
        <f t="shared" si="81"/>
        <v>37945</v>
      </c>
      <c r="AG434" s="11">
        <f t="shared" si="82"/>
        <v>1.0324416919225194</v>
      </c>
      <c r="AH434" s="11">
        <f t="shared" si="83"/>
        <v>0.61866977685682045</v>
      </c>
      <c r="AI434" s="3" t="s">
        <v>45</v>
      </c>
      <c r="AJ434" s="3" t="s">
        <v>66</v>
      </c>
      <c r="AK434" s="3" t="s">
        <v>46</v>
      </c>
      <c r="AL434" s="3" t="s">
        <v>68</v>
      </c>
      <c r="AM434" s="3" t="s">
        <v>65</v>
      </c>
    </row>
    <row r="435" spans="1:39" ht="21" customHeight="1">
      <c r="A435" s="4">
        <v>46141</v>
      </c>
      <c r="B435" s="3" t="s">
        <v>65</v>
      </c>
      <c r="C435" s="3" t="s">
        <v>66</v>
      </c>
      <c r="D435" s="4">
        <v>46120</v>
      </c>
      <c r="E435" s="3">
        <v>21</v>
      </c>
      <c r="F435" s="3" t="s">
        <v>57</v>
      </c>
      <c r="G435" s="3" t="s">
        <v>51</v>
      </c>
      <c r="H435" s="3">
        <v>0</v>
      </c>
      <c r="I435" s="7">
        <v>94224</v>
      </c>
      <c r="J435" s="7">
        <v>38423</v>
      </c>
      <c r="K435" s="7">
        <v>55800</v>
      </c>
      <c r="L435" s="5">
        <f t="shared" si="73"/>
        <v>0.40778357955510275</v>
      </c>
      <c r="M435" s="5">
        <f t="shared" si="74"/>
        <v>-9.4509214385585238E-3</v>
      </c>
      <c r="N435" s="7">
        <f t="shared" si="75"/>
        <v>104322.57142857143</v>
      </c>
      <c r="O435" s="7">
        <f t="shared" si="77"/>
        <v>99580.071428571435</v>
      </c>
      <c r="P435" s="8">
        <f t="shared" si="78"/>
        <v>0.94621342049936841</v>
      </c>
      <c r="Q435" s="7">
        <v>845</v>
      </c>
      <c r="R435" s="7">
        <v>2113</v>
      </c>
      <c r="S435" s="7">
        <v>235486</v>
      </c>
      <c r="T435" s="7">
        <v>474448900</v>
      </c>
      <c r="U435" s="7">
        <v>59050</v>
      </c>
      <c r="V435" s="7">
        <v>2135881</v>
      </c>
      <c r="W435" s="7">
        <v>3</v>
      </c>
      <c r="X435" s="3" t="s">
        <v>72</v>
      </c>
      <c r="Y435" s="3" t="s">
        <v>71</v>
      </c>
      <c r="Z435" s="9">
        <v>8.4674600000000009</v>
      </c>
      <c r="AA435" s="5">
        <f t="shared" si="72"/>
        <v>6.0055710306406773E-2</v>
      </c>
      <c r="AB435" s="9">
        <f t="shared" si="76"/>
        <v>10.036484285714284</v>
      </c>
      <c r="AC435" s="9">
        <f t="shared" si="79"/>
        <v>13.052051785714289</v>
      </c>
      <c r="AD435" s="8">
        <f t="shared" si="80"/>
        <v>0.7689583561643083</v>
      </c>
      <c r="AE435" s="3" t="s">
        <v>44</v>
      </c>
      <c r="AF435" s="10">
        <f t="shared" si="81"/>
        <v>34905.5</v>
      </c>
      <c r="AG435" s="11">
        <f t="shared" si="82"/>
        <v>1.100772084628497</v>
      </c>
      <c r="AH435" s="11">
        <f t="shared" si="83"/>
        <v>0.6487455105922727</v>
      </c>
      <c r="AI435" s="3" t="s">
        <v>45</v>
      </c>
      <c r="AJ435" s="3" t="s">
        <v>66</v>
      </c>
      <c r="AK435" s="3" t="s">
        <v>46</v>
      </c>
      <c r="AL435" s="3" t="s">
        <v>68</v>
      </c>
      <c r="AM435" s="3" t="s">
        <v>65</v>
      </c>
    </row>
    <row r="436" spans="1:39" ht="21" customHeight="1">
      <c r="A436" s="4">
        <v>46142</v>
      </c>
      <c r="B436" s="3" t="s">
        <v>65</v>
      </c>
      <c r="C436" s="3" t="s">
        <v>66</v>
      </c>
      <c r="D436" s="4">
        <v>46120</v>
      </c>
      <c r="E436" s="3">
        <v>22</v>
      </c>
      <c r="F436" s="3" t="s">
        <v>57</v>
      </c>
      <c r="G436" s="3" t="s">
        <v>52</v>
      </c>
      <c r="H436" s="3">
        <v>0</v>
      </c>
      <c r="I436" s="7">
        <v>103954</v>
      </c>
      <c r="J436" s="7">
        <v>47310</v>
      </c>
      <c r="K436" s="7">
        <v>56644</v>
      </c>
      <c r="L436" s="5">
        <f t="shared" si="73"/>
        <v>0.45510514265925311</v>
      </c>
      <c r="M436" s="5">
        <f t="shared" si="74"/>
        <v>0.10326456104601789</v>
      </c>
      <c r="N436" s="7">
        <f t="shared" si="75"/>
        <v>105308.14285714286</v>
      </c>
      <c r="O436" s="7">
        <f t="shared" si="77"/>
        <v>99892.071428571435</v>
      </c>
      <c r="P436" s="8">
        <f t="shared" si="78"/>
        <v>1.0406631728958897</v>
      </c>
      <c r="Q436" s="7">
        <v>957</v>
      </c>
      <c r="R436" s="7">
        <v>2477</v>
      </c>
      <c r="S436" s="7">
        <v>276017</v>
      </c>
      <c r="T436" s="7">
        <v>994936100</v>
      </c>
      <c r="U436" s="7">
        <v>102147</v>
      </c>
      <c r="V436" s="7">
        <v>2238028</v>
      </c>
      <c r="W436" s="7">
        <v>1</v>
      </c>
      <c r="X436" s="3" t="s">
        <v>72</v>
      </c>
      <c r="Y436" s="3" t="s">
        <v>71</v>
      </c>
      <c r="Z436" s="9">
        <v>8.7327999999999992</v>
      </c>
      <c r="AA436" s="5">
        <f t="shared" si="72"/>
        <v>3.1336433830215782E-2</v>
      </c>
      <c r="AB436" s="9">
        <f t="shared" si="76"/>
        <v>9.9257271428571432</v>
      </c>
      <c r="AC436" s="9">
        <f t="shared" si="79"/>
        <v>13.237014285714286</v>
      </c>
      <c r="AD436" s="8">
        <f t="shared" si="80"/>
        <v>0.74984637234767015</v>
      </c>
      <c r="AE436" s="3" t="s">
        <v>44</v>
      </c>
      <c r="AF436" s="10">
        <f t="shared" si="81"/>
        <v>35518</v>
      </c>
      <c r="AG436" s="11">
        <f t="shared" si="82"/>
        <v>1.3320006757137226</v>
      </c>
      <c r="AH436" s="11">
        <f t="shared" si="83"/>
        <v>0.65972581214365333</v>
      </c>
      <c r="AI436" s="3" t="s">
        <v>45</v>
      </c>
      <c r="AJ436" s="3" t="s">
        <v>66</v>
      </c>
      <c r="AK436" s="3" t="s">
        <v>46</v>
      </c>
      <c r="AL436" s="3" t="s">
        <v>68</v>
      </c>
      <c r="AM436" s="3" t="s">
        <v>65</v>
      </c>
    </row>
    <row r="437" spans="1:39" ht="21" customHeight="1">
      <c r="A437" s="4">
        <v>46143</v>
      </c>
      <c r="B437" s="3" t="s">
        <v>65</v>
      </c>
      <c r="C437" s="3" t="s">
        <v>66</v>
      </c>
      <c r="D437" s="4">
        <v>46120</v>
      </c>
      <c r="E437" s="3">
        <v>23</v>
      </c>
      <c r="F437" s="3" t="s">
        <v>57</v>
      </c>
      <c r="G437" s="3" t="s">
        <v>53</v>
      </c>
      <c r="H437" s="3">
        <v>0</v>
      </c>
      <c r="I437" s="7">
        <v>132822</v>
      </c>
      <c r="J437" s="7">
        <v>79768</v>
      </c>
      <c r="K437" s="7">
        <v>53053</v>
      </c>
      <c r="L437" s="5">
        <f t="shared" si="73"/>
        <v>0.60056315971751673</v>
      </c>
      <c r="M437" s="5">
        <f t="shared" si="74"/>
        <v>0.27769975181330198</v>
      </c>
      <c r="N437" s="7">
        <f t="shared" si="75"/>
        <v>109544.71428571429</v>
      </c>
      <c r="O437" s="7">
        <f t="shared" si="77"/>
        <v>100439.57142857143</v>
      </c>
      <c r="P437" s="8">
        <f t="shared" si="78"/>
        <v>1.3224070763230769</v>
      </c>
      <c r="Q437" s="7">
        <v>1164</v>
      </c>
      <c r="R437" s="7">
        <v>3003</v>
      </c>
      <c r="S437" s="7">
        <v>341589</v>
      </c>
      <c r="T437" s="7">
        <v>1513571410</v>
      </c>
      <c r="U437" s="7">
        <v>146272</v>
      </c>
      <c r="V437" s="7">
        <v>2384300</v>
      </c>
      <c r="W437" s="7">
        <v>3</v>
      </c>
      <c r="X437" s="3" t="s">
        <v>73</v>
      </c>
      <c r="Y437" s="3" t="s">
        <v>71</v>
      </c>
      <c r="Z437" s="9">
        <v>11.887589999999999</v>
      </c>
      <c r="AA437" s="5">
        <f t="shared" si="72"/>
        <v>0.36125755771344825</v>
      </c>
      <c r="AB437" s="9">
        <f t="shared" si="76"/>
        <v>10.117940000000001</v>
      </c>
      <c r="AC437" s="9">
        <f t="shared" si="79"/>
        <v>13.446382142857145</v>
      </c>
      <c r="AD437" s="8">
        <f t="shared" si="80"/>
        <v>0.75246559948281355</v>
      </c>
      <c r="AE437" s="3" t="s">
        <v>44</v>
      </c>
      <c r="AF437" s="10">
        <f t="shared" si="81"/>
        <v>42291.5</v>
      </c>
      <c r="AG437" s="11">
        <f t="shared" si="82"/>
        <v>1.8861473345707767</v>
      </c>
      <c r="AH437" s="11">
        <f t="shared" si="83"/>
        <v>0.88407349082480213</v>
      </c>
      <c r="AI437" s="3" t="s">
        <v>45</v>
      </c>
      <c r="AJ437" s="3" t="s">
        <v>66</v>
      </c>
      <c r="AK437" s="3" t="s">
        <v>46</v>
      </c>
      <c r="AL437" s="3" t="s">
        <v>68</v>
      </c>
      <c r="AM437" s="3" t="s">
        <v>65</v>
      </c>
    </row>
    <row r="438" spans="1:39" ht="21" customHeight="1">
      <c r="A438" s="4">
        <v>46144</v>
      </c>
      <c r="B438" s="3" t="s">
        <v>65</v>
      </c>
      <c r="C438" s="3" t="s">
        <v>66</v>
      </c>
      <c r="D438" s="4">
        <v>46120</v>
      </c>
      <c r="E438" s="3">
        <v>24</v>
      </c>
      <c r="F438" s="3" t="s">
        <v>57</v>
      </c>
      <c r="G438" s="3" t="s">
        <v>42</v>
      </c>
      <c r="H438" s="3">
        <v>1</v>
      </c>
      <c r="I438" s="7">
        <v>140945</v>
      </c>
      <c r="J438" s="7">
        <v>88795</v>
      </c>
      <c r="K438" s="7">
        <v>52150</v>
      </c>
      <c r="L438" s="5">
        <f t="shared" si="73"/>
        <v>0.62999751676185745</v>
      </c>
      <c r="M438" s="5">
        <f t="shared" si="74"/>
        <v>6.1157037237806966E-2</v>
      </c>
      <c r="N438" s="7">
        <f t="shared" si="75"/>
        <v>111075.71428571429</v>
      </c>
      <c r="O438" s="7">
        <f t="shared" si="77"/>
        <v>101765.96428571429</v>
      </c>
      <c r="P438" s="8">
        <f t="shared" si="78"/>
        <v>1.3849915439732692</v>
      </c>
      <c r="Q438" s="7">
        <v>1318</v>
      </c>
      <c r="R438" s="7">
        <v>3490</v>
      </c>
      <c r="S438" s="7">
        <v>406504</v>
      </c>
      <c r="T438" s="7">
        <v>1320311580</v>
      </c>
      <c r="U438" s="7">
        <v>128023</v>
      </c>
      <c r="V438" s="7">
        <v>2512323</v>
      </c>
      <c r="W438" s="7">
        <v>3</v>
      </c>
      <c r="X438" s="3" t="s">
        <v>73</v>
      </c>
      <c r="Y438" s="3" t="s">
        <v>71</v>
      </c>
      <c r="Z438" s="9">
        <v>11.21392</v>
      </c>
      <c r="AA438" s="5">
        <f t="shared" si="72"/>
        <v>-5.6670023108132073E-2</v>
      </c>
      <c r="AB438" s="9">
        <f t="shared" si="76"/>
        <v>9.8326200000000004</v>
      </c>
      <c r="AC438" s="9">
        <f t="shared" si="79"/>
        <v>13.768244285714287</v>
      </c>
      <c r="AD438" s="8">
        <f t="shared" si="80"/>
        <v>0.71415205860359199</v>
      </c>
      <c r="AE438" s="3" t="s">
        <v>44</v>
      </c>
      <c r="AF438" s="10">
        <f t="shared" si="81"/>
        <v>64285.5</v>
      </c>
      <c r="AG438" s="11">
        <f t="shared" si="82"/>
        <v>1.3812601597560881</v>
      </c>
      <c r="AH438" s="11">
        <f t="shared" si="83"/>
        <v>0.81447712339295042</v>
      </c>
      <c r="AI438" s="3" t="s">
        <v>45</v>
      </c>
      <c r="AJ438" s="3" t="s">
        <v>66</v>
      </c>
      <c r="AK438" s="3" t="s">
        <v>46</v>
      </c>
      <c r="AL438" s="3" t="s">
        <v>68</v>
      </c>
      <c r="AM438" s="3" t="s">
        <v>65</v>
      </c>
    </row>
    <row r="439" spans="1:39" ht="21" customHeight="1">
      <c r="A439" s="4">
        <v>46145</v>
      </c>
      <c r="B439" s="3" t="s">
        <v>65</v>
      </c>
      <c r="C439" s="3" t="s">
        <v>66</v>
      </c>
      <c r="D439" s="4">
        <v>46120</v>
      </c>
      <c r="E439" s="3">
        <v>25</v>
      </c>
      <c r="F439" s="3" t="s">
        <v>57</v>
      </c>
      <c r="G439" s="3" t="s">
        <v>48</v>
      </c>
      <c r="H439" s="3">
        <v>1</v>
      </c>
      <c r="I439" s="7">
        <v>123011</v>
      </c>
      <c r="J439" s="7">
        <v>72510</v>
      </c>
      <c r="K439" s="7">
        <v>50502</v>
      </c>
      <c r="L439" s="5">
        <f t="shared" si="73"/>
        <v>0.58945947923356445</v>
      </c>
      <c r="M439" s="5">
        <f t="shared" si="74"/>
        <v>-0.12724112242364038</v>
      </c>
      <c r="N439" s="7">
        <f t="shared" si="75"/>
        <v>111754.71428571429</v>
      </c>
      <c r="O439" s="7">
        <f t="shared" si="77"/>
        <v>102619.85714285714</v>
      </c>
      <c r="P439" s="8">
        <f t="shared" si="78"/>
        <v>1.1987056250600343</v>
      </c>
      <c r="Q439" s="7">
        <v>1349</v>
      </c>
      <c r="R439" s="7">
        <v>3589</v>
      </c>
      <c r="S439" s="7">
        <v>421942</v>
      </c>
      <c r="T439" s="7">
        <v>1265932690</v>
      </c>
      <c r="U439" s="7">
        <v>123702</v>
      </c>
      <c r="V439" s="7">
        <v>2636025</v>
      </c>
      <c r="W439" s="7">
        <v>3</v>
      </c>
      <c r="X439" s="3" t="s">
        <v>73</v>
      </c>
      <c r="Y439" s="3" t="s">
        <v>71</v>
      </c>
      <c r="Z439" s="9">
        <v>10.629960000000001</v>
      </c>
      <c r="AA439" s="5">
        <f t="shared" si="72"/>
        <v>-5.207456446987313E-2</v>
      </c>
      <c r="AB439" s="9">
        <f t="shared" si="76"/>
        <v>9.7672914285714274</v>
      </c>
      <c r="AC439" s="9">
        <f t="shared" si="79"/>
        <v>14.018778928571431</v>
      </c>
      <c r="AD439" s="8">
        <f t="shared" si="80"/>
        <v>0.69672911444982411</v>
      </c>
      <c r="AE439" s="3" t="s">
        <v>44</v>
      </c>
      <c r="AF439" s="10">
        <f t="shared" si="81"/>
        <v>68763.5</v>
      </c>
      <c r="AG439" s="11">
        <f t="shared" si="82"/>
        <v>1.0544838468082631</v>
      </c>
      <c r="AH439" s="11">
        <f t="shared" si="83"/>
        <v>0.75826575582380173</v>
      </c>
      <c r="AI439" s="3" t="s">
        <v>45</v>
      </c>
      <c r="AJ439" s="3" t="s">
        <v>66</v>
      </c>
      <c r="AK439" s="3" t="s">
        <v>46</v>
      </c>
      <c r="AL439" s="3" t="s">
        <v>68</v>
      </c>
      <c r="AM439" s="3" t="s">
        <v>65</v>
      </c>
    </row>
    <row r="440" spans="1:39" ht="21" customHeight="1">
      <c r="A440" s="4">
        <v>46146</v>
      </c>
      <c r="B440" s="3" t="s">
        <v>65</v>
      </c>
      <c r="C440" s="3" t="s">
        <v>66</v>
      </c>
      <c r="D440" s="4">
        <v>46120</v>
      </c>
      <c r="E440" s="3">
        <v>26</v>
      </c>
      <c r="F440" s="3" t="s">
        <v>57</v>
      </c>
      <c r="G440" s="3" t="s">
        <v>49</v>
      </c>
      <c r="H440" s="3">
        <v>0</v>
      </c>
      <c r="I440" s="7">
        <v>111052</v>
      </c>
      <c r="J440" s="7">
        <v>53750</v>
      </c>
      <c r="K440" s="7">
        <v>57302</v>
      </c>
      <c r="L440" s="5">
        <f t="shared" si="73"/>
        <v>0.48400749198573639</v>
      </c>
      <c r="M440" s="5">
        <f t="shared" si="74"/>
        <v>-9.7218947898968344E-2</v>
      </c>
      <c r="N440" s="7">
        <f t="shared" si="75"/>
        <v>114447.28571428571</v>
      </c>
      <c r="O440" s="7">
        <f t="shared" si="77"/>
        <v>102329.10714285714</v>
      </c>
      <c r="P440" s="8">
        <f t="shared" si="78"/>
        <v>1.0852435157571072</v>
      </c>
      <c r="Q440" s="7">
        <v>1216</v>
      </c>
      <c r="R440" s="7">
        <v>3695</v>
      </c>
      <c r="S440" s="7">
        <v>447783</v>
      </c>
      <c r="T440" s="7">
        <v>892403820</v>
      </c>
      <c r="U440" s="7">
        <v>91937</v>
      </c>
      <c r="V440" s="7">
        <v>2727962</v>
      </c>
      <c r="W440" s="7">
        <v>3</v>
      </c>
      <c r="X440" s="3" t="s">
        <v>73</v>
      </c>
      <c r="Y440" s="3" t="s">
        <v>71</v>
      </c>
      <c r="Z440" s="9">
        <v>8.8201599999999996</v>
      </c>
      <c r="AA440" s="5">
        <f t="shared" si="72"/>
        <v>-0.17025463877568692</v>
      </c>
      <c r="AB440" s="9">
        <f t="shared" si="76"/>
        <v>9.677091428571428</v>
      </c>
      <c r="AC440" s="9">
        <f t="shared" si="79"/>
        <v>14.241705000000001</v>
      </c>
      <c r="AD440" s="8">
        <f t="shared" si="80"/>
        <v>0.67948966985142767</v>
      </c>
      <c r="AE440" s="3" t="s">
        <v>44</v>
      </c>
      <c r="AF440" s="10">
        <f t="shared" si="81"/>
        <v>35232.75</v>
      </c>
      <c r="AG440" s="11">
        <f t="shared" si="82"/>
        <v>1.5255692502004528</v>
      </c>
      <c r="AH440" s="11">
        <f t="shared" si="83"/>
        <v>0.6193191054020567</v>
      </c>
      <c r="AI440" s="3" t="s">
        <v>45</v>
      </c>
      <c r="AJ440" s="3" t="s">
        <v>66</v>
      </c>
      <c r="AK440" s="3" t="s">
        <v>46</v>
      </c>
      <c r="AL440" s="3" t="s">
        <v>68</v>
      </c>
      <c r="AM440" s="3" t="s">
        <v>65</v>
      </c>
    </row>
    <row r="441" spans="1:39" ht="21" customHeight="1">
      <c r="A441" s="4">
        <v>46147</v>
      </c>
      <c r="B441" s="3" t="s">
        <v>65</v>
      </c>
      <c r="C441" s="3" t="s">
        <v>66</v>
      </c>
      <c r="D441" s="4">
        <v>46120</v>
      </c>
      <c r="E441" s="3">
        <v>27</v>
      </c>
      <c r="F441" s="3" t="s">
        <v>57</v>
      </c>
      <c r="G441" s="3" t="s">
        <v>50</v>
      </c>
      <c r="H441" s="3">
        <v>0</v>
      </c>
      <c r="I441" s="7">
        <v>115532</v>
      </c>
      <c r="J441" s="7">
        <v>60064</v>
      </c>
      <c r="K441" s="7">
        <v>55468</v>
      </c>
      <c r="L441" s="5">
        <f t="shared" si="73"/>
        <v>0.51989059308243601</v>
      </c>
      <c r="M441" s="5">
        <f t="shared" si="74"/>
        <v>4.0341461657601885E-2</v>
      </c>
      <c r="N441" s="7">
        <f t="shared" si="75"/>
        <v>117362.85714285714</v>
      </c>
      <c r="O441" s="7">
        <f t="shared" si="77"/>
        <v>103162.39285714286</v>
      </c>
      <c r="P441" s="8">
        <f t="shared" si="78"/>
        <v>1.1199042286658309</v>
      </c>
      <c r="Q441" s="7">
        <v>1233</v>
      </c>
      <c r="R441" s="7">
        <v>3333</v>
      </c>
      <c r="S441" s="7">
        <v>403366</v>
      </c>
      <c r="T441" s="7">
        <v>1105314490</v>
      </c>
      <c r="U441" s="7">
        <v>108212</v>
      </c>
      <c r="V441" s="7">
        <v>2836174</v>
      </c>
      <c r="W441" s="7">
        <v>3</v>
      </c>
      <c r="X441" s="3" t="s">
        <v>73</v>
      </c>
      <c r="Y441" s="3" t="s">
        <v>71</v>
      </c>
      <c r="Z441" s="9">
        <v>7.6250099999999996</v>
      </c>
      <c r="AA441" s="5">
        <f t="shared" si="72"/>
        <v>-0.13550207705982653</v>
      </c>
      <c r="AB441" s="9">
        <f t="shared" si="76"/>
        <v>9.6252714285714287</v>
      </c>
      <c r="AC441" s="9">
        <f t="shared" si="79"/>
        <v>14.348375357142858</v>
      </c>
      <c r="AD441" s="8">
        <f t="shared" si="80"/>
        <v>0.67082657018585801</v>
      </c>
      <c r="AE441" s="3" t="s">
        <v>44</v>
      </c>
      <c r="AF441" s="10">
        <f t="shared" si="81"/>
        <v>37465.5</v>
      </c>
      <c r="AG441" s="11">
        <f t="shared" si="82"/>
        <v>1.603181593732901</v>
      </c>
      <c r="AH441" s="11">
        <f t="shared" si="83"/>
        <v>0.53141974684988591</v>
      </c>
      <c r="AI441" s="3" t="s">
        <v>45</v>
      </c>
      <c r="AJ441" s="3" t="s">
        <v>66</v>
      </c>
      <c r="AK441" s="3" t="s">
        <v>46</v>
      </c>
      <c r="AL441" s="3" t="s">
        <v>68</v>
      </c>
      <c r="AM441" s="3" t="s">
        <v>65</v>
      </c>
    </row>
    <row r="442" spans="1:39" ht="21" customHeight="1">
      <c r="A442" s="4">
        <v>46148</v>
      </c>
      <c r="B442" s="3" t="s">
        <v>65</v>
      </c>
      <c r="C442" s="3" t="s">
        <v>66</v>
      </c>
      <c r="D442" s="4">
        <v>46120</v>
      </c>
      <c r="E442" s="3">
        <v>28</v>
      </c>
      <c r="F442" s="3" t="s">
        <v>57</v>
      </c>
      <c r="G442" s="3" t="s">
        <v>51</v>
      </c>
      <c r="H442" s="3">
        <v>0</v>
      </c>
      <c r="I442" s="7">
        <v>92474</v>
      </c>
      <c r="J442" s="7">
        <v>32480</v>
      </c>
      <c r="K442" s="7">
        <v>59994</v>
      </c>
      <c r="L442" s="5">
        <f t="shared" si="73"/>
        <v>0.3512338603283085</v>
      </c>
      <c r="M442" s="5">
        <f t="shared" si="74"/>
        <v>-0.19958106844856838</v>
      </c>
      <c r="N442" s="7">
        <f t="shared" si="75"/>
        <v>117112.85714285714</v>
      </c>
      <c r="O442" s="7">
        <f t="shared" si="77"/>
        <v>104032.39285714286</v>
      </c>
      <c r="P442" s="8">
        <f t="shared" si="78"/>
        <v>0.88889621261509555</v>
      </c>
      <c r="Q442" s="7">
        <v>961</v>
      </c>
      <c r="R442" s="7">
        <v>2874</v>
      </c>
      <c r="S442" s="7">
        <v>381422</v>
      </c>
      <c r="T442" s="7">
        <v>213027110</v>
      </c>
      <c r="U442" s="7">
        <v>20988</v>
      </c>
      <c r="V442" s="7">
        <v>2857162</v>
      </c>
      <c r="W442" s="7">
        <v>2</v>
      </c>
      <c r="X442" s="3" t="s">
        <v>73</v>
      </c>
      <c r="Y442" s="3" t="s">
        <v>71</v>
      </c>
      <c r="Z442" s="9">
        <v>4.9815399999999999</v>
      </c>
      <c r="AA442" s="5">
        <f t="shared" si="72"/>
        <v>-0.34668413549621568</v>
      </c>
      <c r="AB442" s="9">
        <f t="shared" si="76"/>
        <v>9.1272828571428573</v>
      </c>
      <c r="AC442" s="9">
        <f t="shared" si="79"/>
        <v>14.417397857142859</v>
      </c>
      <c r="AD442" s="8">
        <f t="shared" si="80"/>
        <v>0.63307421683038989</v>
      </c>
      <c r="AE442" s="3" t="s">
        <v>44</v>
      </c>
      <c r="AF442" s="10">
        <f t="shared" si="81"/>
        <v>37167.25</v>
      </c>
      <c r="AG442" s="11">
        <f t="shared" si="82"/>
        <v>0.87388762956635213</v>
      </c>
      <c r="AH442" s="11">
        <f t="shared" si="83"/>
        <v>0.34552282245106936</v>
      </c>
      <c r="AI442" s="3" t="s">
        <v>45</v>
      </c>
      <c r="AJ442" s="3" t="s">
        <v>66</v>
      </c>
      <c r="AK442" s="3" t="s">
        <v>46</v>
      </c>
      <c r="AL442" s="3" t="s">
        <v>68</v>
      </c>
      <c r="AM442" s="3" t="s">
        <v>65</v>
      </c>
    </row>
    <row r="443" spans="1:39" ht="21" customHeight="1">
      <c r="A443" s="4">
        <v>46149</v>
      </c>
      <c r="B443" s="3" t="s">
        <v>65</v>
      </c>
      <c r="C443" s="3" t="s">
        <v>66</v>
      </c>
      <c r="D443" s="4">
        <v>46120</v>
      </c>
      <c r="E443" s="3">
        <v>29</v>
      </c>
      <c r="F443" s="3" t="s">
        <v>57</v>
      </c>
      <c r="G443" s="3" t="s">
        <v>52</v>
      </c>
      <c r="H443" s="3">
        <v>0</v>
      </c>
      <c r="I443" s="7">
        <v>92690</v>
      </c>
      <c r="J443" s="7">
        <v>33355</v>
      </c>
      <c r="K443" s="7">
        <v>59336</v>
      </c>
      <c r="L443" s="5">
        <f t="shared" si="73"/>
        <v>0.35985543208544613</v>
      </c>
      <c r="M443" s="5">
        <f t="shared" si="74"/>
        <v>2.3357916819863878E-3</v>
      </c>
      <c r="N443" s="7">
        <f t="shared" si="75"/>
        <v>115503.71428571429</v>
      </c>
      <c r="O443" s="7">
        <f t="shared" si="77"/>
        <v>104074.17857142857</v>
      </c>
      <c r="P443" s="8">
        <f t="shared" si="78"/>
        <v>0.89061476412599949</v>
      </c>
      <c r="Q443" s="7">
        <v>929</v>
      </c>
      <c r="R443" s="7">
        <v>2748</v>
      </c>
      <c r="S443" s="7">
        <v>361125</v>
      </c>
      <c r="T443" s="7">
        <v>185687020</v>
      </c>
      <c r="U443" s="7">
        <v>18283</v>
      </c>
      <c r="V443" s="7">
        <v>2875445</v>
      </c>
      <c r="W443" s="7">
        <v>2</v>
      </c>
      <c r="X443" s="3" t="s">
        <v>73</v>
      </c>
      <c r="Y443" s="3" t="s">
        <v>71</v>
      </c>
      <c r="Z443" s="9">
        <v>4.0107999999999997</v>
      </c>
      <c r="AA443" s="5">
        <f t="shared" si="72"/>
        <v>-0.1948674506277176</v>
      </c>
      <c r="AB443" s="9">
        <f t="shared" si="76"/>
        <v>8.4527114285714298</v>
      </c>
      <c r="AC443" s="9">
        <f t="shared" si="79"/>
        <v>14.142619642857143</v>
      </c>
      <c r="AD443" s="8">
        <f t="shared" si="80"/>
        <v>0.5976765013856925</v>
      </c>
      <c r="AE443" s="3" t="s">
        <v>44</v>
      </c>
      <c r="AF443" s="10">
        <f t="shared" si="81"/>
        <v>39190.5</v>
      </c>
      <c r="AG443" s="11">
        <f t="shared" si="82"/>
        <v>0.85109911840879804</v>
      </c>
      <c r="AH443" s="11">
        <f t="shared" si="83"/>
        <v>0.28359668161094115</v>
      </c>
      <c r="AI443" s="3" t="s">
        <v>45</v>
      </c>
      <c r="AJ443" s="3" t="s">
        <v>66</v>
      </c>
      <c r="AK443" s="3" t="s">
        <v>46</v>
      </c>
      <c r="AL443" s="3" t="s">
        <v>68</v>
      </c>
      <c r="AM443" s="3" t="s">
        <v>65</v>
      </c>
    </row>
    <row r="444" spans="1:39" ht="21" customHeight="1">
      <c r="A444" s="4">
        <v>46150</v>
      </c>
      <c r="B444" s="3" t="s">
        <v>65</v>
      </c>
      <c r="C444" s="3" t="s">
        <v>66</v>
      </c>
      <c r="D444" s="4">
        <v>46120</v>
      </c>
      <c r="E444" s="3">
        <v>30</v>
      </c>
      <c r="F444" s="3" t="s">
        <v>57</v>
      </c>
      <c r="G444" s="3" t="s">
        <v>53</v>
      </c>
      <c r="H444" s="3">
        <v>0</v>
      </c>
      <c r="I444" s="7">
        <v>102896</v>
      </c>
      <c r="J444" s="7">
        <v>41790</v>
      </c>
      <c r="K444" s="7">
        <v>61106</v>
      </c>
      <c r="L444" s="5">
        <f t="shared" si="73"/>
        <v>0.40613823666614834</v>
      </c>
      <c r="M444" s="5">
        <f t="shared" si="74"/>
        <v>0.1101089653684324</v>
      </c>
      <c r="N444" s="7">
        <f t="shared" si="75"/>
        <v>111228.57142857143</v>
      </c>
      <c r="O444" s="7">
        <f t="shared" si="77"/>
        <v>104361.28571428571</v>
      </c>
      <c r="P444" s="8">
        <f t="shared" si="78"/>
        <v>0.98595948963011737</v>
      </c>
      <c r="Q444" s="7">
        <v>996</v>
      </c>
      <c r="R444" s="7">
        <v>3233</v>
      </c>
      <c r="S444" s="7">
        <v>429508</v>
      </c>
      <c r="T444" s="7">
        <v>276930830</v>
      </c>
      <c r="U444" s="7">
        <v>26377</v>
      </c>
      <c r="V444" s="7">
        <v>2901822</v>
      </c>
      <c r="W444" s="7">
        <v>2</v>
      </c>
      <c r="X444" s="3" t="s">
        <v>73</v>
      </c>
      <c r="Y444" s="3" t="s">
        <v>71</v>
      </c>
      <c r="Z444" s="9">
        <v>4.4818199999999999</v>
      </c>
      <c r="AA444" s="5">
        <f t="shared" si="72"/>
        <v>0.11743791762241962</v>
      </c>
      <c r="AB444" s="9">
        <f t="shared" si="76"/>
        <v>7.3947442857142862</v>
      </c>
      <c r="AC444" s="9">
        <f t="shared" si="79"/>
        <v>13.637763928571427</v>
      </c>
      <c r="AD444" s="8">
        <f t="shared" si="80"/>
        <v>0.54222556750833084</v>
      </c>
      <c r="AE444" s="3" t="s">
        <v>44</v>
      </c>
      <c r="AF444" s="10">
        <f t="shared" si="81"/>
        <v>52489.5</v>
      </c>
      <c r="AG444" s="11">
        <f t="shared" si="82"/>
        <v>0.79615923184636928</v>
      </c>
      <c r="AH444" s="11">
        <f t="shared" si="83"/>
        <v>0.32863305329772458</v>
      </c>
      <c r="AI444" s="3" t="s">
        <v>45</v>
      </c>
      <c r="AJ444" s="3" t="s">
        <v>66</v>
      </c>
      <c r="AK444" s="3" t="s">
        <v>46</v>
      </c>
      <c r="AL444" s="3" t="s">
        <v>68</v>
      </c>
      <c r="AM444" s="3" t="s">
        <v>65</v>
      </c>
    </row>
    <row r="445" spans="1:39" ht="21" customHeight="1">
      <c r="A445" s="4">
        <v>46151</v>
      </c>
      <c r="B445" s="3" t="s">
        <v>65</v>
      </c>
      <c r="C445" s="3" t="s">
        <v>66</v>
      </c>
      <c r="D445" s="4">
        <v>46120</v>
      </c>
      <c r="E445" s="3">
        <v>31</v>
      </c>
      <c r="F445" s="3" t="s">
        <v>57</v>
      </c>
      <c r="G445" s="3" t="s">
        <v>42</v>
      </c>
      <c r="H445" s="3">
        <v>1</v>
      </c>
      <c r="I445" s="7">
        <v>122822</v>
      </c>
      <c r="J445" s="7">
        <v>68148</v>
      </c>
      <c r="K445" s="7">
        <v>54674</v>
      </c>
      <c r="L445" s="5">
        <f t="shared" si="73"/>
        <v>0.55485173665955612</v>
      </c>
      <c r="M445" s="5">
        <f t="shared" si="74"/>
        <v>0.19365184263722601</v>
      </c>
      <c r="N445" s="7">
        <f t="shared" si="75"/>
        <v>108639.57142857143</v>
      </c>
      <c r="O445" s="7">
        <f t="shared" si="77"/>
        <v>104608.5</v>
      </c>
      <c r="P445" s="8">
        <f t="shared" si="78"/>
        <v>1.1741110903989638</v>
      </c>
      <c r="Q445" s="7">
        <v>1083</v>
      </c>
      <c r="R445" s="7">
        <v>3863</v>
      </c>
      <c r="S445" s="7">
        <v>515030</v>
      </c>
      <c r="T445" s="7">
        <v>672255250</v>
      </c>
      <c r="U445" s="7">
        <v>64731</v>
      </c>
      <c r="V445" s="7">
        <v>2966553</v>
      </c>
      <c r="W445" s="7">
        <v>3</v>
      </c>
      <c r="X445" s="3" t="s">
        <v>73</v>
      </c>
      <c r="Y445" s="3" t="s">
        <v>71</v>
      </c>
      <c r="Z445" s="9">
        <v>6.64297</v>
      </c>
      <c r="AA445" s="5">
        <f t="shared" si="72"/>
        <v>0.48220365833522982</v>
      </c>
      <c r="AB445" s="9">
        <f t="shared" si="76"/>
        <v>6.741751428571428</v>
      </c>
      <c r="AC445" s="9">
        <f t="shared" si="79"/>
        <v>13.106425357142857</v>
      </c>
      <c r="AD445" s="8">
        <f t="shared" si="80"/>
        <v>0.51438521525606129</v>
      </c>
      <c r="AE445" s="3" t="s">
        <v>44</v>
      </c>
      <c r="AF445" s="10">
        <f t="shared" si="81"/>
        <v>70208.25</v>
      </c>
      <c r="AG445" s="11">
        <f t="shared" si="82"/>
        <v>0.97065515804766533</v>
      </c>
      <c r="AH445" s="11">
        <f t="shared" si="83"/>
        <v>0.50684834491348585</v>
      </c>
      <c r="AI445" s="3" t="s">
        <v>45</v>
      </c>
      <c r="AJ445" s="3" t="s">
        <v>66</v>
      </c>
      <c r="AK445" s="3" t="s">
        <v>46</v>
      </c>
      <c r="AL445" s="3" t="s">
        <v>68</v>
      </c>
      <c r="AM445" s="3" t="s">
        <v>65</v>
      </c>
    </row>
    <row r="446" spans="1:39" ht="21" customHeight="1">
      <c r="A446" s="4">
        <v>46152</v>
      </c>
      <c r="B446" s="3" t="s">
        <v>65</v>
      </c>
      <c r="C446" s="3" t="s">
        <v>66</v>
      </c>
      <c r="D446" s="4">
        <v>46120</v>
      </c>
      <c r="E446" s="3">
        <v>32</v>
      </c>
      <c r="F446" s="3" t="s">
        <v>57</v>
      </c>
      <c r="G446" s="3" t="s">
        <v>48</v>
      </c>
      <c r="H446" s="3">
        <v>1</v>
      </c>
      <c r="I446" s="7">
        <v>117246</v>
      </c>
      <c r="J446" s="7">
        <v>62934</v>
      </c>
      <c r="K446" s="7">
        <v>54313</v>
      </c>
      <c r="L446" s="5">
        <f t="shared" si="73"/>
        <v>0.53676884499257971</v>
      </c>
      <c r="M446" s="5">
        <f t="shared" si="74"/>
        <v>-4.5399032746576307E-2</v>
      </c>
      <c r="N446" s="7">
        <f t="shared" si="75"/>
        <v>107816</v>
      </c>
      <c r="O446" s="7">
        <f t="shared" si="77"/>
        <v>106480.25</v>
      </c>
      <c r="P446" s="8">
        <f t="shared" si="78"/>
        <v>1.1011056040908995</v>
      </c>
      <c r="Q446" s="7">
        <v>1088</v>
      </c>
      <c r="R446" s="7">
        <v>3653</v>
      </c>
      <c r="S446" s="7">
        <v>479972</v>
      </c>
      <c r="T446" s="7">
        <v>581454750</v>
      </c>
      <c r="U446" s="7">
        <v>56204</v>
      </c>
      <c r="V446" s="7">
        <v>3022757</v>
      </c>
      <c r="W446" s="7">
        <v>3</v>
      </c>
      <c r="X446" s="3" t="s">
        <v>73</v>
      </c>
      <c r="Y446" s="3" t="s">
        <v>71</v>
      </c>
      <c r="Z446" s="9">
        <v>6.5110099999999997</v>
      </c>
      <c r="AA446" s="5">
        <f t="shared" ref="AA446:AA509" si="84">IFERROR(Z446/Z445-1,"")</f>
        <v>-1.9864608751808399E-2</v>
      </c>
      <c r="AB446" s="9">
        <f t="shared" si="76"/>
        <v>6.1533299999999986</v>
      </c>
      <c r="AC446" s="9">
        <f t="shared" si="79"/>
        <v>12.454936428571427</v>
      </c>
      <c r="AD446" s="8">
        <f t="shared" si="80"/>
        <v>0.49404748352503486</v>
      </c>
      <c r="AE446" s="3" t="s">
        <v>44</v>
      </c>
      <c r="AF446" s="10">
        <f t="shared" si="81"/>
        <v>67480</v>
      </c>
      <c r="AG446" s="11">
        <f t="shared" si="82"/>
        <v>0.93263189093064613</v>
      </c>
      <c r="AH446" s="11">
        <f t="shared" si="83"/>
        <v>0.52276541412638977</v>
      </c>
      <c r="AI446" s="3" t="s">
        <v>45</v>
      </c>
      <c r="AJ446" s="3" t="s">
        <v>66</v>
      </c>
      <c r="AK446" s="3" t="s">
        <v>46</v>
      </c>
      <c r="AL446" s="3" t="s">
        <v>68</v>
      </c>
      <c r="AM446" s="3" t="s">
        <v>65</v>
      </c>
    </row>
    <row r="447" spans="1:39" ht="21" customHeight="1">
      <c r="A447" s="4">
        <v>46153</v>
      </c>
      <c r="B447" s="3" t="s">
        <v>65</v>
      </c>
      <c r="C447" s="3" t="s">
        <v>66</v>
      </c>
      <c r="D447" s="4">
        <v>46120</v>
      </c>
      <c r="E447" s="3">
        <v>33</v>
      </c>
      <c r="F447" s="3" t="s">
        <v>57</v>
      </c>
      <c r="G447" s="3" t="s">
        <v>49</v>
      </c>
      <c r="H447" s="3">
        <v>0</v>
      </c>
      <c r="I447" s="7">
        <v>89369</v>
      </c>
      <c r="J447" s="7">
        <v>30968</v>
      </c>
      <c r="K447" s="7">
        <v>58401</v>
      </c>
      <c r="L447" s="5">
        <f t="shared" si="73"/>
        <v>0.34651836766664057</v>
      </c>
      <c r="M447" s="5">
        <f t="shared" si="74"/>
        <v>-0.23776504102485374</v>
      </c>
      <c r="N447" s="7">
        <f t="shared" si="75"/>
        <v>104718.42857142857</v>
      </c>
      <c r="O447" s="7">
        <f t="shared" si="77"/>
        <v>106444.96428571429</v>
      </c>
      <c r="P447" s="8">
        <f t="shared" si="78"/>
        <v>0.83957940706448231</v>
      </c>
      <c r="Q447" s="7">
        <v>878</v>
      </c>
      <c r="R447" s="7">
        <v>2641</v>
      </c>
      <c r="S447" s="7">
        <v>348687</v>
      </c>
      <c r="T447" s="7">
        <v>149637230</v>
      </c>
      <c r="U447" s="7">
        <v>14561</v>
      </c>
      <c r="V447" s="7">
        <v>3037318</v>
      </c>
      <c r="W447" s="7">
        <v>2</v>
      </c>
      <c r="X447" s="3" t="s">
        <v>73</v>
      </c>
      <c r="Y447" s="3" t="s">
        <v>71</v>
      </c>
      <c r="Z447" s="9">
        <v>4.4212499999999997</v>
      </c>
      <c r="AA447" s="5">
        <f t="shared" si="84"/>
        <v>-0.32095788518217605</v>
      </c>
      <c r="AB447" s="9">
        <f t="shared" si="76"/>
        <v>5.5249142857142859</v>
      </c>
      <c r="AC447" s="9">
        <f t="shared" si="79"/>
        <v>11.766206071428568</v>
      </c>
      <c r="AD447" s="8">
        <f t="shared" si="80"/>
        <v>0.46955783811488955</v>
      </c>
      <c r="AE447" s="3" t="s">
        <v>44</v>
      </c>
      <c r="AF447" s="10">
        <f t="shared" si="81"/>
        <v>40553.75</v>
      </c>
      <c r="AG447" s="11">
        <f t="shared" si="82"/>
        <v>0.76362851770798013</v>
      </c>
      <c r="AH447" s="11">
        <f t="shared" si="83"/>
        <v>0.37575833477334325</v>
      </c>
      <c r="AI447" s="3" t="s">
        <v>45</v>
      </c>
      <c r="AJ447" s="3" t="s">
        <v>66</v>
      </c>
      <c r="AK447" s="3" t="s">
        <v>46</v>
      </c>
      <c r="AL447" s="3" t="s">
        <v>68</v>
      </c>
      <c r="AM447" s="3" t="s">
        <v>65</v>
      </c>
    </row>
    <row r="448" spans="1:39" ht="21" customHeight="1">
      <c r="A448" s="4">
        <v>46154</v>
      </c>
      <c r="B448" s="3" t="s">
        <v>65</v>
      </c>
      <c r="C448" s="3" t="s">
        <v>66</v>
      </c>
      <c r="D448" s="4">
        <v>46120</v>
      </c>
      <c r="E448" s="3">
        <v>34</v>
      </c>
      <c r="F448" s="3" t="s">
        <v>57</v>
      </c>
      <c r="G448" s="3" t="s">
        <v>50</v>
      </c>
      <c r="H448" s="3">
        <v>0</v>
      </c>
      <c r="I448" s="7">
        <v>91217</v>
      </c>
      <c r="J448" s="7">
        <v>32280</v>
      </c>
      <c r="K448" s="7">
        <v>58936</v>
      </c>
      <c r="L448" s="5">
        <f t="shared" si="73"/>
        <v>0.35388140368571647</v>
      </c>
      <c r="M448" s="5">
        <f t="shared" si="74"/>
        <v>2.0678311271246086E-2</v>
      </c>
      <c r="N448" s="7">
        <f t="shared" si="75"/>
        <v>101244.85714285714</v>
      </c>
      <c r="O448" s="7">
        <f t="shared" si="77"/>
        <v>106319.21428571429</v>
      </c>
      <c r="P448" s="8">
        <f t="shared" si="78"/>
        <v>0.85795404539832532</v>
      </c>
      <c r="Q448" s="7">
        <v>891</v>
      </c>
      <c r="R448" s="7">
        <v>2632</v>
      </c>
      <c r="S448" s="7">
        <v>345395</v>
      </c>
      <c r="T448" s="7">
        <v>135801390</v>
      </c>
      <c r="U448" s="7">
        <v>13398</v>
      </c>
      <c r="V448" s="7">
        <v>3050716</v>
      </c>
      <c r="W448" s="7">
        <v>2</v>
      </c>
      <c r="X448" s="3" t="s">
        <v>73</v>
      </c>
      <c r="Y448" s="3" t="s">
        <v>71</v>
      </c>
      <c r="Z448" s="9">
        <v>3.4007499999999999</v>
      </c>
      <c r="AA448" s="5">
        <f t="shared" si="84"/>
        <v>-0.23081707661860329</v>
      </c>
      <c r="AB448" s="9">
        <f t="shared" si="76"/>
        <v>4.921448571428571</v>
      </c>
      <c r="AC448" s="9">
        <f t="shared" si="79"/>
        <v>10.987763571428571</v>
      </c>
      <c r="AD448" s="8">
        <f t="shared" si="80"/>
        <v>0.44790266367086656</v>
      </c>
      <c r="AE448" s="3" t="s">
        <v>44</v>
      </c>
      <c r="AF448" s="10">
        <f t="shared" si="81"/>
        <v>43561</v>
      </c>
      <c r="AG448" s="11">
        <f t="shared" si="82"/>
        <v>0.74102982025206032</v>
      </c>
      <c r="AH448" s="11">
        <f t="shared" si="83"/>
        <v>0.30950338327655263</v>
      </c>
      <c r="AI448" s="3" t="s">
        <v>45</v>
      </c>
      <c r="AJ448" s="3" t="s">
        <v>66</v>
      </c>
      <c r="AK448" s="3" t="s">
        <v>46</v>
      </c>
      <c r="AL448" s="3" t="s">
        <v>68</v>
      </c>
      <c r="AM448" s="3" t="s">
        <v>65</v>
      </c>
    </row>
    <row r="449" spans="1:39" ht="21" customHeight="1">
      <c r="A449" s="4">
        <v>46155</v>
      </c>
      <c r="B449" s="3" t="s">
        <v>65</v>
      </c>
      <c r="C449" s="3" t="s">
        <v>66</v>
      </c>
      <c r="D449" s="4">
        <v>46120</v>
      </c>
      <c r="E449" s="3">
        <v>35</v>
      </c>
      <c r="F449" s="3" t="s">
        <v>57</v>
      </c>
      <c r="G449" s="3" t="s">
        <v>51</v>
      </c>
      <c r="H449" s="3">
        <v>0</v>
      </c>
      <c r="I449" s="7">
        <v>94496</v>
      </c>
      <c r="J449" s="7">
        <v>34626</v>
      </c>
      <c r="K449" s="7">
        <v>59871</v>
      </c>
      <c r="L449" s="5">
        <f t="shared" si="73"/>
        <v>0.36642820860142228</v>
      </c>
      <c r="M449" s="5">
        <f t="shared" si="74"/>
        <v>3.594724667550997E-2</v>
      </c>
      <c r="N449" s="7">
        <f t="shared" si="75"/>
        <v>101533.71428571429</v>
      </c>
      <c r="O449" s="7">
        <f t="shared" si="77"/>
        <v>106189.46428571429</v>
      </c>
      <c r="P449" s="8">
        <f t="shared" si="78"/>
        <v>0.88988112554884213</v>
      </c>
      <c r="Q449" s="7">
        <v>728</v>
      </c>
      <c r="R449" s="7">
        <v>1841</v>
      </c>
      <c r="S449" s="7">
        <v>217072</v>
      </c>
      <c r="T449" s="7">
        <v>158754100</v>
      </c>
      <c r="U449" s="7">
        <v>16441</v>
      </c>
      <c r="V449" s="7">
        <v>3067157</v>
      </c>
      <c r="W449" s="7">
        <v>3</v>
      </c>
      <c r="X449" s="3" t="s">
        <v>73</v>
      </c>
      <c r="Y449" s="3" t="s">
        <v>71</v>
      </c>
      <c r="Z449" s="9">
        <v>3.3888099999999999</v>
      </c>
      <c r="AA449" s="5">
        <f t="shared" si="84"/>
        <v>-3.5109902227450362E-3</v>
      </c>
      <c r="AB449" s="9">
        <f t="shared" si="76"/>
        <v>4.6939157142857146</v>
      </c>
      <c r="AC449" s="9">
        <f t="shared" si="79"/>
        <v>10.352155000000002</v>
      </c>
      <c r="AD449" s="8">
        <f t="shared" si="80"/>
        <v>0.45342401792532222</v>
      </c>
      <c r="AE449" s="3" t="s">
        <v>44</v>
      </c>
      <c r="AF449" s="10">
        <f t="shared" si="81"/>
        <v>36433.25</v>
      </c>
      <c r="AG449" s="11">
        <f t="shared" si="82"/>
        <v>0.95039558644919131</v>
      </c>
      <c r="AH449" s="11">
        <f t="shared" si="83"/>
        <v>0.32735309701216792</v>
      </c>
      <c r="AI449" s="3" t="s">
        <v>45</v>
      </c>
      <c r="AJ449" s="3" t="s">
        <v>66</v>
      </c>
      <c r="AK449" s="3" t="s">
        <v>46</v>
      </c>
      <c r="AL449" s="3" t="s">
        <v>68</v>
      </c>
      <c r="AM449" s="3" t="s">
        <v>65</v>
      </c>
    </row>
    <row r="450" spans="1:39" ht="21" customHeight="1">
      <c r="A450" s="4">
        <v>46156</v>
      </c>
      <c r="B450" s="3" t="s">
        <v>65</v>
      </c>
      <c r="C450" s="3" t="s">
        <v>66</v>
      </c>
      <c r="D450" s="4">
        <v>46120</v>
      </c>
      <c r="E450" s="3">
        <v>36</v>
      </c>
      <c r="F450" s="3" t="s">
        <v>57</v>
      </c>
      <c r="G450" s="3" t="s">
        <v>52</v>
      </c>
      <c r="H450" s="3">
        <v>0</v>
      </c>
      <c r="I450" s="7">
        <v>94840</v>
      </c>
      <c r="J450" s="7">
        <v>35420</v>
      </c>
      <c r="K450" s="7">
        <v>59420</v>
      </c>
      <c r="L450" s="5">
        <f t="shared" ref="L450:L513" si="85">IFERROR(J450/I450,"")</f>
        <v>0.37347110923660903</v>
      </c>
      <c r="M450" s="5">
        <f t="shared" si="74"/>
        <v>3.6403657297663372E-3</v>
      </c>
      <c r="N450" s="7">
        <f t="shared" si="75"/>
        <v>101840.85714285714</v>
      </c>
      <c r="O450" s="7">
        <f t="shared" si="77"/>
        <v>106190.32142857143</v>
      </c>
      <c r="P450" s="8">
        <f t="shared" si="78"/>
        <v>0.89311340924600002</v>
      </c>
      <c r="Q450" s="7">
        <v>715</v>
      </c>
      <c r="R450" s="7">
        <v>1763</v>
      </c>
      <c r="S450" s="7">
        <v>208956</v>
      </c>
      <c r="T450" s="7">
        <v>124792170</v>
      </c>
      <c r="U450" s="7">
        <v>11588</v>
      </c>
      <c r="V450" s="7">
        <v>3078745</v>
      </c>
      <c r="W450" s="7">
        <v>3</v>
      </c>
      <c r="X450" s="3" t="s">
        <v>73</v>
      </c>
      <c r="Y450" s="3" t="s">
        <v>71</v>
      </c>
      <c r="Z450" s="9">
        <v>2.81975</v>
      </c>
      <c r="AA450" s="5">
        <f t="shared" si="84"/>
        <v>-0.16792325329540458</v>
      </c>
      <c r="AB450" s="9">
        <f t="shared" si="76"/>
        <v>4.5237657142857142</v>
      </c>
      <c r="AC450" s="9">
        <f t="shared" si="79"/>
        <v>9.778811785714284</v>
      </c>
      <c r="AD450" s="8">
        <f t="shared" si="80"/>
        <v>0.46260893587239443</v>
      </c>
      <c r="AE450" s="3" t="s">
        <v>44</v>
      </c>
      <c r="AF450" s="10">
        <f t="shared" si="81"/>
        <v>39768.75</v>
      </c>
      <c r="AG450" s="11">
        <f t="shared" si="82"/>
        <v>0.89064906490649065</v>
      </c>
      <c r="AH450" s="11">
        <f t="shared" si="83"/>
        <v>0.2883530291603863</v>
      </c>
      <c r="AI450" s="3" t="s">
        <v>45</v>
      </c>
      <c r="AJ450" s="3" t="s">
        <v>66</v>
      </c>
      <c r="AK450" s="3" t="s">
        <v>46</v>
      </c>
      <c r="AL450" s="3" t="s">
        <v>68</v>
      </c>
      <c r="AM450" s="3" t="s">
        <v>65</v>
      </c>
    </row>
    <row r="451" spans="1:39" ht="21" customHeight="1">
      <c r="A451" s="4">
        <v>46157</v>
      </c>
      <c r="B451" s="3" t="s">
        <v>65</v>
      </c>
      <c r="C451" s="3" t="s">
        <v>66</v>
      </c>
      <c r="D451" s="4">
        <v>46120</v>
      </c>
      <c r="E451" s="3">
        <v>37</v>
      </c>
      <c r="F451" s="3" t="s">
        <v>57</v>
      </c>
      <c r="G451" s="3" t="s">
        <v>53</v>
      </c>
      <c r="H451" s="3">
        <v>0</v>
      </c>
      <c r="I451" s="7">
        <v>102414</v>
      </c>
      <c r="J451" s="7">
        <v>42133</v>
      </c>
      <c r="K451" s="7">
        <v>60280</v>
      </c>
      <c r="L451" s="5">
        <f t="shared" si="85"/>
        <v>0.41139883219091139</v>
      </c>
      <c r="M451" s="5">
        <f t="shared" ref="M451:M514" si="86">IF(AND(C451=C450,A451=A450+1),IFERROR(I451/I450-1,""),"")</f>
        <v>7.9860818220160334E-2</v>
      </c>
      <c r="N451" s="7">
        <f t="shared" ref="N451:N514" si="87">AVERAGE(I445:I451)</f>
        <v>101772</v>
      </c>
      <c r="O451" s="7">
        <f t="shared" si="77"/>
        <v>106239.32142857143</v>
      </c>
      <c r="P451" s="8">
        <f t="shared" si="78"/>
        <v>0.96399335597090252</v>
      </c>
      <c r="Q451" s="7">
        <v>743</v>
      </c>
      <c r="R451" s="7">
        <v>2011</v>
      </c>
      <c r="S451" s="7">
        <v>232600</v>
      </c>
      <c r="T451" s="7">
        <v>221876930</v>
      </c>
      <c r="U451" s="7">
        <v>20009</v>
      </c>
      <c r="V451" s="7">
        <v>3098754</v>
      </c>
      <c r="W451" s="7">
        <v>3</v>
      </c>
      <c r="X451" s="3" t="s">
        <v>73</v>
      </c>
      <c r="Y451" s="3" t="s">
        <v>71</v>
      </c>
      <c r="Z451" s="9">
        <v>3.0522200000000002</v>
      </c>
      <c r="AA451" s="5">
        <f t="shared" si="84"/>
        <v>8.2443479031829137E-2</v>
      </c>
      <c r="AB451" s="9">
        <f t="shared" ref="AB451:AB514" si="88">AVERAGE(Z445:Z451)</f>
        <v>4.3195371428571425</v>
      </c>
      <c r="AC451" s="9">
        <f t="shared" si="79"/>
        <v>9.2970435714285689</v>
      </c>
      <c r="AD451" s="8">
        <f t="shared" si="80"/>
        <v>0.46461405818639284</v>
      </c>
      <c r="AE451" s="3" t="s">
        <v>44</v>
      </c>
      <c r="AF451" s="10">
        <f t="shared" si="81"/>
        <v>52845.5</v>
      </c>
      <c r="AG451" s="11">
        <f t="shared" si="82"/>
        <v>0.79728642930807736</v>
      </c>
      <c r="AH451" s="11">
        <f t="shared" si="83"/>
        <v>0.32830006405262019</v>
      </c>
      <c r="AI451" s="3" t="s">
        <v>45</v>
      </c>
      <c r="AJ451" s="3" t="s">
        <v>66</v>
      </c>
      <c r="AK451" s="3" t="s">
        <v>46</v>
      </c>
      <c r="AL451" s="3" t="s">
        <v>68</v>
      </c>
      <c r="AM451" s="3" t="s">
        <v>65</v>
      </c>
    </row>
    <row r="452" spans="1:39" ht="21" customHeight="1">
      <c r="A452" s="4">
        <v>46158</v>
      </c>
      <c r="B452" s="3" t="s">
        <v>65</v>
      </c>
      <c r="C452" s="3" t="s">
        <v>66</v>
      </c>
      <c r="D452" s="4">
        <v>46120</v>
      </c>
      <c r="E452" s="3">
        <v>38</v>
      </c>
      <c r="F452" s="3" t="s">
        <v>57</v>
      </c>
      <c r="G452" s="3" t="s">
        <v>42</v>
      </c>
      <c r="H452" s="3">
        <v>1</v>
      </c>
      <c r="I452" s="7">
        <v>118027</v>
      </c>
      <c r="J452" s="7">
        <v>63077</v>
      </c>
      <c r="K452" s="7">
        <v>54950</v>
      </c>
      <c r="L452" s="5">
        <f t="shared" si="85"/>
        <v>0.53442856295593377</v>
      </c>
      <c r="M452" s="5">
        <f t="shared" si="86"/>
        <v>0.15244986037065256</v>
      </c>
      <c r="N452" s="7">
        <f t="shared" si="87"/>
        <v>101087</v>
      </c>
      <c r="O452" s="7">
        <f t="shared" si="77"/>
        <v>106311.82142857143</v>
      </c>
      <c r="P452" s="8">
        <f t="shared" si="78"/>
        <v>1.1101963865730562</v>
      </c>
      <c r="Q452" s="7">
        <v>751</v>
      </c>
      <c r="R452" s="7">
        <v>2170</v>
      </c>
      <c r="S452" s="7">
        <v>254747</v>
      </c>
      <c r="T452" s="7">
        <v>432101080</v>
      </c>
      <c r="U452" s="7">
        <v>38823</v>
      </c>
      <c r="V452" s="7">
        <v>3137577</v>
      </c>
      <c r="W452" s="7">
        <v>4</v>
      </c>
      <c r="X452" s="3" t="s">
        <v>73</v>
      </c>
      <c r="Y452" s="3" t="s">
        <v>71</v>
      </c>
      <c r="Z452" s="9">
        <v>4.0673500000000002</v>
      </c>
      <c r="AA452" s="5">
        <f t="shared" si="84"/>
        <v>0.33258742816703912</v>
      </c>
      <c r="AB452" s="9">
        <f t="shared" si="88"/>
        <v>3.9515914285714286</v>
      </c>
      <c r="AC452" s="9">
        <f t="shared" si="79"/>
        <v>8.722427857142856</v>
      </c>
      <c r="AD452" s="8">
        <f t="shared" si="80"/>
        <v>0.45303801800268756</v>
      </c>
      <c r="AE452" s="3" t="s">
        <v>44</v>
      </c>
      <c r="AF452" s="10">
        <f t="shared" si="81"/>
        <v>77042.75</v>
      </c>
      <c r="AG452" s="11">
        <f t="shared" si="82"/>
        <v>0.81872726505738702</v>
      </c>
      <c r="AH452" s="11">
        <f t="shared" si="83"/>
        <v>0.46630938846564601</v>
      </c>
      <c r="AI452" s="3" t="s">
        <v>45</v>
      </c>
      <c r="AJ452" s="3" t="s">
        <v>66</v>
      </c>
      <c r="AK452" s="3" t="s">
        <v>46</v>
      </c>
      <c r="AL452" s="3" t="s">
        <v>68</v>
      </c>
      <c r="AM452" s="3" t="s">
        <v>65</v>
      </c>
    </row>
    <row r="453" spans="1:39" ht="21" customHeight="1">
      <c r="A453" s="4">
        <v>46159</v>
      </c>
      <c r="B453" s="3" t="s">
        <v>65</v>
      </c>
      <c r="C453" s="3" t="s">
        <v>66</v>
      </c>
      <c r="D453" s="4">
        <v>46120</v>
      </c>
      <c r="E453" s="3">
        <v>39</v>
      </c>
      <c r="F453" s="3" t="s">
        <v>57</v>
      </c>
      <c r="G453" s="3" t="s">
        <v>48</v>
      </c>
      <c r="H453" s="3">
        <v>1</v>
      </c>
      <c r="I453" s="7">
        <v>112462</v>
      </c>
      <c r="J453" s="7">
        <v>58408</v>
      </c>
      <c r="K453" s="7">
        <v>54054</v>
      </c>
      <c r="L453" s="5">
        <f t="shared" si="85"/>
        <v>0.51935764969500808</v>
      </c>
      <c r="M453" s="5">
        <f t="shared" si="86"/>
        <v>-4.7150228337583755E-2</v>
      </c>
      <c r="N453" s="7">
        <f t="shared" si="87"/>
        <v>100403.57142857143</v>
      </c>
      <c r="O453" s="7">
        <f t="shared" si="77"/>
        <v>105975.32142857143</v>
      </c>
      <c r="P453" s="8">
        <f t="shared" si="78"/>
        <v>1.0612093314177931</v>
      </c>
      <c r="Q453" s="7">
        <v>743</v>
      </c>
      <c r="R453" s="7">
        <v>2010</v>
      </c>
      <c r="S453" s="7">
        <v>234788</v>
      </c>
      <c r="T453" s="7">
        <v>353002090</v>
      </c>
      <c r="U453" s="7">
        <v>32131</v>
      </c>
      <c r="V453" s="7">
        <v>3169708</v>
      </c>
      <c r="W453" s="7">
        <v>4</v>
      </c>
      <c r="X453" s="3" t="s">
        <v>73</v>
      </c>
      <c r="Y453" s="3" t="s">
        <v>71</v>
      </c>
      <c r="Z453" s="9">
        <v>4.1959099999999996</v>
      </c>
      <c r="AA453" s="5">
        <f t="shared" si="84"/>
        <v>3.1607803606770846E-2</v>
      </c>
      <c r="AB453" s="9">
        <f t="shared" si="88"/>
        <v>3.6208628571428574</v>
      </c>
      <c r="AC453" s="9">
        <f t="shared" si="79"/>
        <v>8.1454774999999984</v>
      </c>
      <c r="AD453" s="8">
        <f t="shared" si="80"/>
        <v>0.44452432127433389</v>
      </c>
      <c r="AE453" s="3" t="s">
        <v>44</v>
      </c>
      <c r="AF453" s="10">
        <f t="shared" si="81"/>
        <v>66611.25</v>
      </c>
      <c r="AG453" s="11">
        <f t="shared" si="82"/>
        <v>0.87684888063202537</v>
      </c>
      <c r="AH453" s="11">
        <f t="shared" si="83"/>
        <v>0.51512142781070847</v>
      </c>
      <c r="AI453" s="3" t="s">
        <v>45</v>
      </c>
      <c r="AJ453" s="3" t="s">
        <v>66</v>
      </c>
      <c r="AK453" s="3" t="s">
        <v>46</v>
      </c>
      <c r="AL453" s="3" t="s">
        <v>68</v>
      </c>
      <c r="AM453" s="3" t="s">
        <v>65</v>
      </c>
    </row>
    <row r="454" spans="1:39" ht="21" customHeight="1">
      <c r="A454" s="4">
        <v>46160</v>
      </c>
      <c r="B454" s="3" t="s">
        <v>65</v>
      </c>
      <c r="C454" s="3" t="s">
        <v>66</v>
      </c>
      <c r="D454" s="4">
        <v>46120</v>
      </c>
      <c r="E454" s="3">
        <v>40</v>
      </c>
      <c r="F454" s="3" t="s">
        <v>57</v>
      </c>
      <c r="G454" s="3" t="s">
        <v>49</v>
      </c>
      <c r="H454" s="3">
        <v>0</v>
      </c>
      <c r="I454" s="7">
        <v>93142</v>
      </c>
      <c r="J454" s="7">
        <v>33376</v>
      </c>
      <c r="K454" s="7">
        <v>59766</v>
      </c>
      <c r="L454" s="5">
        <f t="shared" si="85"/>
        <v>0.35833458590109724</v>
      </c>
      <c r="M454" s="5">
        <f t="shared" si="86"/>
        <v>-0.17179136063737088</v>
      </c>
      <c r="N454" s="7">
        <f t="shared" si="87"/>
        <v>100942.57142857143</v>
      </c>
      <c r="O454" s="7">
        <f t="shared" si="77"/>
        <v>105837.96428571429</v>
      </c>
      <c r="P454" s="8">
        <f t="shared" si="78"/>
        <v>0.88004338167879936</v>
      </c>
      <c r="Q454" s="7">
        <v>622</v>
      </c>
      <c r="R454" s="7">
        <v>1583</v>
      </c>
      <c r="S454" s="7">
        <v>182513</v>
      </c>
      <c r="T454" s="7">
        <v>95426650</v>
      </c>
      <c r="U454" s="7">
        <v>8793</v>
      </c>
      <c r="V454" s="7">
        <v>3178501</v>
      </c>
      <c r="W454" s="7">
        <v>3</v>
      </c>
      <c r="X454" s="3" t="s">
        <v>73</v>
      </c>
      <c r="Y454" s="3" t="s">
        <v>71</v>
      </c>
      <c r="Z454" s="9">
        <v>2.8304200000000002</v>
      </c>
      <c r="AA454" s="5">
        <f t="shared" si="84"/>
        <v>-0.32543357698330033</v>
      </c>
      <c r="AB454" s="9">
        <f t="shared" si="88"/>
        <v>3.3936014285714289</v>
      </c>
      <c r="AC454" s="9">
        <f t="shared" si="79"/>
        <v>7.6753867857142835</v>
      </c>
      <c r="AD454" s="8">
        <f t="shared" si="80"/>
        <v>0.44214077066288393</v>
      </c>
      <c r="AE454" s="3" t="s">
        <v>44</v>
      </c>
      <c r="AF454" s="10">
        <f t="shared" si="81"/>
        <v>39197.5</v>
      </c>
      <c r="AG454" s="11">
        <f t="shared" si="82"/>
        <v>0.85148287518336629</v>
      </c>
      <c r="AH454" s="11">
        <f t="shared" si="83"/>
        <v>0.36876578067284943</v>
      </c>
      <c r="AI454" s="3" t="s">
        <v>45</v>
      </c>
      <c r="AJ454" s="3" t="s">
        <v>66</v>
      </c>
      <c r="AK454" s="3" t="s">
        <v>46</v>
      </c>
      <c r="AL454" s="3" t="s">
        <v>68</v>
      </c>
      <c r="AM454" s="3" t="s">
        <v>65</v>
      </c>
    </row>
    <row r="455" spans="1:39" ht="21" customHeight="1">
      <c r="A455" s="4">
        <v>46161</v>
      </c>
      <c r="B455" s="3" t="s">
        <v>65</v>
      </c>
      <c r="C455" s="3" t="s">
        <v>66</v>
      </c>
      <c r="D455" s="4">
        <v>46120</v>
      </c>
      <c r="E455" s="3">
        <v>41</v>
      </c>
      <c r="F455" s="3" t="s">
        <v>57</v>
      </c>
      <c r="G455" s="3" t="s">
        <v>50</v>
      </c>
      <c r="H455" s="3">
        <v>0</v>
      </c>
      <c r="I455" s="7">
        <v>94199</v>
      </c>
      <c r="J455" s="7">
        <v>34296</v>
      </c>
      <c r="K455" s="7">
        <v>59902</v>
      </c>
      <c r="L455" s="5">
        <f t="shared" si="85"/>
        <v>0.36408029809233644</v>
      </c>
      <c r="M455" s="5">
        <f t="shared" si="86"/>
        <v>1.1348263941079129E-2</v>
      </c>
      <c r="N455" s="7">
        <f t="shared" si="87"/>
        <v>101368.57142857143</v>
      </c>
      <c r="O455" s="7">
        <f t="shared" si="77"/>
        <v>105912.46428571429</v>
      </c>
      <c r="P455" s="8">
        <f t="shared" si="78"/>
        <v>0.88940428905406721</v>
      </c>
      <c r="Q455" s="7">
        <v>613</v>
      </c>
      <c r="R455" s="7">
        <v>1541</v>
      </c>
      <c r="S455" s="7">
        <v>176006</v>
      </c>
      <c r="T455" s="7">
        <v>85084100</v>
      </c>
      <c r="U455" s="7">
        <v>7973</v>
      </c>
      <c r="V455" s="7">
        <v>3186474</v>
      </c>
      <c r="W455" s="7">
        <v>3</v>
      </c>
      <c r="X455" s="3" t="s">
        <v>73</v>
      </c>
      <c r="Y455" s="3" t="s">
        <v>71</v>
      </c>
      <c r="Z455" s="9">
        <v>2.25501</v>
      </c>
      <c r="AA455" s="5">
        <f t="shared" si="84"/>
        <v>-0.20329491736208771</v>
      </c>
      <c r="AB455" s="9">
        <f t="shared" si="88"/>
        <v>3.2299242857142856</v>
      </c>
      <c r="AC455" s="9">
        <f t="shared" si="79"/>
        <v>7.3000442857142849</v>
      </c>
      <c r="AD455" s="8">
        <f t="shared" si="80"/>
        <v>0.44245269744938931</v>
      </c>
      <c r="AE455" s="3" t="s">
        <v>44</v>
      </c>
      <c r="AF455" s="10">
        <f t="shared" si="81"/>
        <v>41940.5</v>
      </c>
      <c r="AG455" s="11">
        <f t="shared" si="82"/>
        <v>0.81772987923367624</v>
      </c>
      <c r="AH455" s="11">
        <f t="shared" si="83"/>
        <v>0.30890360547714879</v>
      </c>
      <c r="AI455" s="3" t="s">
        <v>45</v>
      </c>
      <c r="AJ455" s="3" t="s">
        <v>66</v>
      </c>
      <c r="AK455" s="3" t="s">
        <v>46</v>
      </c>
      <c r="AL455" s="3" t="s">
        <v>68</v>
      </c>
      <c r="AM455" s="3" t="s">
        <v>65</v>
      </c>
    </row>
    <row r="456" spans="1:39" ht="21" customHeight="1">
      <c r="A456" s="4">
        <v>46162</v>
      </c>
      <c r="B456" s="3" t="s">
        <v>65</v>
      </c>
      <c r="C456" s="3" t="s">
        <v>66</v>
      </c>
      <c r="D456" s="4">
        <v>46120</v>
      </c>
      <c r="E456" s="3">
        <v>42</v>
      </c>
      <c r="F456" s="3" t="s">
        <v>57</v>
      </c>
      <c r="G456" s="3" t="s">
        <v>51</v>
      </c>
      <c r="H456" s="3">
        <v>0</v>
      </c>
      <c r="I456" s="7">
        <v>87496</v>
      </c>
      <c r="J456" s="7">
        <v>29729</v>
      </c>
      <c r="K456" s="7">
        <v>57768</v>
      </c>
      <c r="L456" s="5">
        <f t="shared" si="85"/>
        <v>0.33977553259577581</v>
      </c>
      <c r="M456" s="5">
        <f t="shared" si="86"/>
        <v>-7.1157867917918449E-2</v>
      </c>
      <c r="N456" s="7">
        <f t="shared" si="87"/>
        <v>100368.57142857143</v>
      </c>
      <c r="O456" s="7">
        <f t="shared" si="77"/>
        <v>106007.71428571429</v>
      </c>
      <c r="P456" s="8">
        <f t="shared" si="78"/>
        <v>0.82537389462222421</v>
      </c>
      <c r="Q456" s="7">
        <v>644</v>
      </c>
      <c r="R456" s="7">
        <v>1560</v>
      </c>
      <c r="S456" s="7">
        <v>170580</v>
      </c>
      <c r="T456" s="7">
        <v>101787700</v>
      </c>
      <c r="U456" s="7">
        <v>9620</v>
      </c>
      <c r="V456" s="7">
        <v>3196094</v>
      </c>
      <c r="W456" s="7">
        <v>5</v>
      </c>
      <c r="X456" s="3" t="s">
        <v>73</v>
      </c>
      <c r="Y456" s="3" t="s">
        <v>71</v>
      </c>
      <c r="Z456" s="9">
        <v>2.2496399999999999</v>
      </c>
      <c r="AA456" s="5">
        <f t="shared" si="84"/>
        <v>-2.3813641624649273E-3</v>
      </c>
      <c r="AB456" s="9">
        <f t="shared" si="88"/>
        <v>3.067185714285714</v>
      </c>
      <c r="AC456" s="9">
        <f t="shared" si="79"/>
        <v>7.0179353571428562</v>
      </c>
      <c r="AD456" s="8">
        <f t="shared" si="80"/>
        <v>0.43704958199193605</v>
      </c>
      <c r="AE456" s="3" t="s">
        <v>44</v>
      </c>
      <c r="AF456" s="10">
        <f t="shared" si="81"/>
        <v>35562.75</v>
      </c>
      <c r="AG456" s="11">
        <f t="shared" si="82"/>
        <v>0.83595897392636953</v>
      </c>
      <c r="AH456" s="11">
        <f t="shared" si="83"/>
        <v>0.32055581670616495</v>
      </c>
      <c r="AI456" s="3" t="s">
        <v>45</v>
      </c>
      <c r="AJ456" s="3" t="s">
        <v>66</v>
      </c>
      <c r="AK456" s="3" t="s">
        <v>46</v>
      </c>
      <c r="AL456" s="3" t="s">
        <v>68</v>
      </c>
      <c r="AM456" s="3" t="s">
        <v>65</v>
      </c>
    </row>
    <row r="457" spans="1:39" ht="21" customHeight="1">
      <c r="A457" s="4">
        <v>46163</v>
      </c>
      <c r="B457" s="3" t="s">
        <v>65</v>
      </c>
      <c r="C457" s="3" t="s">
        <v>66</v>
      </c>
      <c r="D457" s="4">
        <v>46120</v>
      </c>
      <c r="E457" s="3">
        <v>43</v>
      </c>
      <c r="F457" s="3" t="s">
        <v>57</v>
      </c>
      <c r="G457" s="3" t="s">
        <v>52</v>
      </c>
      <c r="H457" s="3">
        <v>0</v>
      </c>
      <c r="I457" s="7">
        <v>92155</v>
      </c>
      <c r="J457" s="7">
        <v>32851</v>
      </c>
      <c r="K457" s="7">
        <v>59304</v>
      </c>
      <c r="L457" s="5">
        <f t="shared" si="85"/>
        <v>0.35647550322825672</v>
      </c>
      <c r="M457" s="5">
        <f t="shared" si="86"/>
        <v>5.3248148486787938E-2</v>
      </c>
      <c r="N457" s="7">
        <f t="shared" si="87"/>
        <v>99985</v>
      </c>
      <c r="O457" s="7">
        <f t="shared" si="77"/>
        <v>105834.42857142857</v>
      </c>
      <c r="P457" s="8">
        <f t="shared" si="78"/>
        <v>0.87074689440784192</v>
      </c>
      <c r="Q457" s="7">
        <v>384</v>
      </c>
      <c r="R457" s="7">
        <v>545</v>
      </c>
      <c r="S457" s="7">
        <v>60915</v>
      </c>
      <c r="T457" s="7">
        <v>32064850</v>
      </c>
      <c r="U457" s="7">
        <v>2914</v>
      </c>
      <c r="V457" s="7">
        <v>3199008</v>
      </c>
      <c r="W457" s="7">
        <v>7</v>
      </c>
      <c r="X457" s="3" t="s">
        <v>73</v>
      </c>
      <c r="Y457" s="3" t="s">
        <v>71</v>
      </c>
      <c r="Z457" s="9">
        <v>1.99681</v>
      </c>
      <c r="AA457" s="5">
        <f t="shared" si="84"/>
        <v>-0.11238687078821497</v>
      </c>
      <c r="AB457" s="9">
        <f t="shared" si="88"/>
        <v>2.9496228571428569</v>
      </c>
      <c r="AC457" s="9">
        <f t="shared" si="79"/>
        <v>6.7312171428571412</v>
      </c>
      <c r="AD457" s="8">
        <f t="shared" si="80"/>
        <v>0.43820052072942878</v>
      </c>
      <c r="AE457" s="3" t="s">
        <v>44</v>
      </c>
      <c r="AF457" s="10">
        <f t="shared" si="81"/>
        <v>39230.75</v>
      </c>
      <c r="AG457" s="11">
        <f t="shared" si="82"/>
        <v>0.83737884185237343</v>
      </c>
      <c r="AH457" s="11">
        <f t="shared" si="83"/>
        <v>0.2966491731913482</v>
      </c>
      <c r="AI457" s="3" t="s">
        <v>45</v>
      </c>
      <c r="AJ457" s="3" t="s">
        <v>66</v>
      </c>
      <c r="AK457" s="3" t="s">
        <v>46</v>
      </c>
      <c r="AL457" s="3" t="s">
        <v>68</v>
      </c>
      <c r="AM457" s="3" t="s">
        <v>65</v>
      </c>
    </row>
    <row r="458" spans="1:39" ht="21" customHeight="1">
      <c r="A458" s="4">
        <v>46164</v>
      </c>
      <c r="B458" s="3" t="s">
        <v>65</v>
      </c>
      <c r="C458" s="3" t="s">
        <v>66</v>
      </c>
      <c r="D458" s="4">
        <v>46120</v>
      </c>
      <c r="E458" s="3">
        <v>44</v>
      </c>
      <c r="F458" s="3" t="s">
        <v>57</v>
      </c>
      <c r="G458" s="3" t="s">
        <v>53</v>
      </c>
      <c r="H458" s="3">
        <v>0</v>
      </c>
      <c r="I458" s="7">
        <v>102809</v>
      </c>
      <c r="J458" s="7">
        <v>42826</v>
      </c>
      <c r="K458" s="7">
        <v>59983</v>
      </c>
      <c r="L458" s="5">
        <f t="shared" si="85"/>
        <v>0.41655886157826649</v>
      </c>
      <c r="M458" s="5">
        <f t="shared" si="86"/>
        <v>0.11560957083175083</v>
      </c>
      <c r="N458" s="7">
        <f t="shared" si="87"/>
        <v>100041.42857142857</v>
      </c>
      <c r="O458" s="7">
        <f t="shared" si="77"/>
        <v>105659.42857142857</v>
      </c>
      <c r="P458" s="8">
        <f t="shared" si="78"/>
        <v>0.97302248734478436</v>
      </c>
      <c r="Q458" s="7">
        <v>446</v>
      </c>
      <c r="R458" s="7">
        <v>667</v>
      </c>
      <c r="S458" s="7">
        <v>73548</v>
      </c>
      <c r="T458" s="7">
        <v>56039500</v>
      </c>
      <c r="U458" s="7">
        <v>4841</v>
      </c>
      <c r="V458" s="7">
        <v>3203849</v>
      </c>
      <c r="W458" s="7">
        <v>4</v>
      </c>
      <c r="X458" s="3" t="s">
        <v>73</v>
      </c>
      <c r="Y458" s="3" t="s">
        <v>71</v>
      </c>
      <c r="Z458" s="9">
        <v>2.6618499999999998</v>
      </c>
      <c r="AA458" s="5">
        <f t="shared" si="84"/>
        <v>0.33305121669062143</v>
      </c>
      <c r="AB458" s="9">
        <f t="shared" si="88"/>
        <v>2.8938557142857144</v>
      </c>
      <c r="AC458" s="9">
        <f t="shared" si="79"/>
        <v>6.4629567857142849</v>
      </c>
      <c r="AD458" s="8">
        <f t="shared" si="80"/>
        <v>0.44776033791256209</v>
      </c>
      <c r="AE458" s="3" t="s">
        <v>44</v>
      </c>
      <c r="AF458" s="10">
        <f t="shared" si="81"/>
        <v>52467.5</v>
      </c>
      <c r="AG458" s="11">
        <f t="shared" si="82"/>
        <v>0.81623862391003954</v>
      </c>
      <c r="AH458" s="11">
        <f t="shared" si="83"/>
        <v>0.41186257130540488</v>
      </c>
      <c r="AI458" s="3" t="s">
        <v>45</v>
      </c>
      <c r="AJ458" s="3" t="s">
        <v>66</v>
      </c>
      <c r="AK458" s="3" t="s">
        <v>46</v>
      </c>
      <c r="AL458" s="3" t="s">
        <v>68</v>
      </c>
      <c r="AM458" s="3" t="s">
        <v>65</v>
      </c>
    </row>
    <row r="459" spans="1:39" ht="21" customHeight="1">
      <c r="A459" s="4">
        <v>46165</v>
      </c>
      <c r="B459" s="3" t="s">
        <v>65</v>
      </c>
      <c r="C459" s="3" t="s">
        <v>66</v>
      </c>
      <c r="D459" s="4">
        <v>46120</v>
      </c>
      <c r="E459" s="3">
        <v>45</v>
      </c>
      <c r="F459" s="3" t="s">
        <v>57</v>
      </c>
      <c r="G459" s="3" t="s">
        <v>42</v>
      </c>
      <c r="H459" s="3">
        <v>1</v>
      </c>
      <c r="I459" s="7">
        <v>128776</v>
      </c>
      <c r="J459" s="7">
        <v>73790</v>
      </c>
      <c r="K459" s="7">
        <v>54985</v>
      </c>
      <c r="L459" s="5">
        <f t="shared" si="85"/>
        <v>0.57301049885071753</v>
      </c>
      <c r="M459" s="5">
        <f t="shared" si="86"/>
        <v>0.2525751636529876</v>
      </c>
      <c r="N459" s="7">
        <f t="shared" si="87"/>
        <v>101577</v>
      </c>
      <c r="O459" s="7">
        <f t="shared" si="77"/>
        <v>105646.67857142857</v>
      </c>
      <c r="P459" s="8">
        <f t="shared" si="78"/>
        <v>1.2189308905999683</v>
      </c>
      <c r="Q459" s="7">
        <v>414</v>
      </c>
      <c r="R459" s="7">
        <v>560</v>
      </c>
      <c r="S459" s="7">
        <v>60847</v>
      </c>
      <c r="T459" s="7">
        <v>97702190</v>
      </c>
      <c r="U459" s="7">
        <v>8638</v>
      </c>
      <c r="V459" s="7">
        <v>3212487</v>
      </c>
      <c r="W459" s="7">
        <v>6</v>
      </c>
      <c r="X459" s="3" t="s">
        <v>73</v>
      </c>
      <c r="Y459" s="3" t="s">
        <v>71</v>
      </c>
      <c r="Z459" s="9">
        <v>3.1150600000000002</v>
      </c>
      <c r="AA459" s="5">
        <f t="shared" si="84"/>
        <v>0.17026128444502886</v>
      </c>
      <c r="AB459" s="9">
        <f t="shared" si="88"/>
        <v>2.7578142857142858</v>
      </c>
      <c r="AC459" s="9">
        <f t="shared" si="79"/>
        <v>6.1815192857142858</v>
      </c>
      <c r="AD459" s="8">
        <f t="shared" si="80"/>
        <v>0.446138587982358</v>
      </c>
      <c r="AE459" s="3" t="s">
        <v>44</v>
      </c>
      <c r="AF459" s="10">
        <f t="shared" si="81"/>
        <v>74188.5</v>
      </c>
      <c r="AG459" s="11">
        <f t="shared" si="82"/>
        <v>0.99462854755117036</v>
      </c>
      <c r="AH459" s="11">
        <f t="shared" si="83"/>
        <v>0.50393113019949909</v>
      </c>
      <c r="AI459" s="3" t="s">
        <v>45</v>
      </c>
      <c r="AJ459" s="3" t="s">
        <v>66</v>
      </c>
      <c r="AK459" s="3" t="s">
        <v>46</v>
      </c>
      <c r="AL459" s="3" t="s">
        <v>68</v>
      </c>
      <c r="AM459" s="3" t="s">
        <v>65</v>
      </c>
    </row>
    <row r="460" spans="1:39" ht="21" customHeight="1">
      <c r="A460" s="4">
        <v>46166</v>
      </c>
      <c r="B460" s="3" t="s">
        <v>65</v>
      </c>
      <c r="C460" s="3" t="s">
        <v>66</v>
      </c>
      <c r="D460" s="4">
        <v>46120</v>
      </c>
      <c r="E460" s="3">
        <v>46</v>
      </c>
      <c r="F460" s="3" t="s">
        <v>57</v>
      </c>
      <c r="G460" s="3" t="s">
        <v>48</v>
      </c>
      <c r="H460" s="3">
        <v>1</v>
      </c>
      <c r="I460" s="7">
        <v>142856</v>
      </c>
      <c r="J460" s="7">
        <v>89082</v>
      </c>
      <c r="K460" s="7">
        <v>53774</v>
      </c>
      <c r="L460" s="5">
        <f t="shared" si="85"/>
        <v>0.62357898863190908</v>
      </c>
      <c r="M460" s="5">
        <f t="shared" si="86"/>
        <v>0.10933714356712421</v>
      </c>
      <c r="N460" s="7">
        <f t="shared" si="87"/>
        <v>105919</v>
      </c>
      <c r="O460" s="7">
        <f t="shared" si="77"/>
        <v>105594.82142857143</v>
      </c>
      <c r="P460" s="8">
        <f t="shared" si="78"/>
        <v>1.3528693743436417</v>
      </c>
      <c r="Q460" s="7">
        <v>404</v>
      </c>
      <c r="R460" s="7">
        <v>565</v>
      </c>
      <c r="S460" s="7">
        <v>60445</v>
      </c>
      <c r="T460" s="7">
        <v>113065900</v>
      </c>
      <c r="U460" s="7">
        <v>9998</v>
      </c>
      <c r="V460" s="7">
        <v>3222485</v>
      </c>
      <c r="W460" s="7">
        <v>5</v>
      </c>
      <c r="X460" s="3" t="s">
        <v>73</v>
      </c>
      <c r="Y460" s="3" t="s">
        <v>71</v>
      </c>
      <c r="Z460" s="9">
        <v>5.8813800000000001</v>
      </c>
      <c r="AA460" s="5">
        <f t="shared" si="84"/>
        <v>0.88804710021636812</v>
      </c>
      <c r="AB460" s="9">
        <f t="shared" si="88"/>
        <v>2.998595714285714</v>
      </c>
      <c r="AC460" s="9">
        <f t="shared" si="79"/>
        <v>5.8209442857142859</v>
      </c>
      <c r="AD460" s="8">
        <f t="shared" si="80"/>
        <v>0.51513905083146794</v>
      </c>
      <c r="AE460" s="3" t="s">
        <v>44</v>
      </c>
      <c r="AF460" s="10">
        <f t="shared" si="81"/>
        <v>65097.5</v>
      </c>
      <c r="AG460" s="11">
        <f t="shared" si="82"/>
        <v>1.3684396482199777</v>
      </c>
      <c r="AH460" s="11">
        <f t="shared" si="83"/>
        <v>1.0103824588106838</v>
      </c>
      <c r="AI460" s="3" t="s">
        <v>45</v>
      </c>
      <c r="AJ460" s="3" t="s">
        <v>66</v>
      </c>
      <c r="AK460" s="3" t="s">
        <v>46</v>
      </c>
      <c r="AL460" s="3" t="s">
        <v>68</v>
      </c>
      <c r="AM460" s="3" t="s">
        <v>65</v>
      </c>
    </row>
    <row r="461" spans="1:39" ht="21" customHeight="1">
      <c r="A461" s="4">
        <v>46167</v>
      </c>
      <c r="B461" s="3" t="s">
        <v>65</v>
      </c>
      <c r="C461" s="3" t="s">
        <v>66</v>
      </c>
      <c r="D461" s="4">
        <v>46120</v>
      </c>
      <c r="E461" s="3">
        <v>47</v>
      </c>
      <c r="F461" s="3" t="s">
        <v>57</v>
      </c>
      <c r="G461" s="3" t="s">
        <v>49</v>
      </c>
      <c r="H461" s="3">
        <v>0</v>
      </c>
      <c r="I461" s="7">
        <v>118290</v>
      </c>
      <c r="J461" s="7">
        <v>64088</v>
      </c>
      <c r="K461" s="7">
        <v>54201</v>
      </c>
      <c r="L461" s="5">
        <f t="shared" si="85"/>
        <v>0.5417871333164257</v>
      </c>
      <c r="M461" s="5">
        <f t="shared" si="86"/>
        <v>-0.17196337570700571</v>
      </c>
      <c r="N461" s="7">
        <f t="shared" si="87"/>
        <v>109511.57142857143</v>
      </c>
      <c r="O461" s="7">
        <f t="shared" si="77"/>
        <v>106473.32142857143</v>
      </c>
      <c r="P461" s="8">
        <f t="shared" si="78"/>
        <v>1.1109825298289007</v>
      </c>
      <c r="Q461" s="7">
        <v>384</v>
      </c>
      <c r="R461" s="7">
        <v>514</v>
      </c>
      <c r="S461" s="7">
        <v>56124</v>
      </c>
      <c r="T461" s="7">
        <v>90076350</v>
      </c>
      <c r="U461" s="7">
        <v>8147</v>
      </c>
      <c r="V461" s="7">
        <v>3230632</v>
      </c>
      <c r="W461" s="7">
        <v>5</v>
      </c>
      <c r="X461" s="3" t="s">
        <v>73</v>
      </c>
      <c r="Y461" s="3" t="s">
        <v>71</v>
      </c>
      <c r="Z461" s="9">
        <v>4.7106199999999996</v>
      </c>
      <c r="AA461" s="5">
        <f t="shared" si="84"/>
        <v>-0.19906212487545449</v>
      </c>
      <c r="AB461" s="9">
        <f t="shared" si="88"/>
        <v>3.2671957142857138</v>
      </c>
      <c r="AC461" s="9">
        <f t="shared" si="79"/>
        <v>5.6350199999999999</v>
      </c>
      <c r="AD461" s="8">
        <f t="shared" si="80"/>
        <v>0.5798019730694326</v>
      </c>
      <c r="AE461" s="3" t="s">
        <v>44</v>
      </c>
      <c r="AF461" s="10">
        <f t="shared" si="81"/>
        <v>38702.25</v>
      </c>
      <c r="AG461" s="11">
        <f t="shared" si="82"/>
        <v>1.6559243971603719</v>
      </c>
      <c r="AH461" s="11">
        <f t="shared" si="83"/>
        <v>0.83595444204279656</v>
      </c>
      <c r="AI461" s="3" t="s">
        <v>45</v>
      </c>
      <c r="AJ461" s="3" t="s">
        <v>66</v>
      </c>
      <c r="AK461" s="3" t="s">
        <v>46</v>
      </c>
      <c r="AL461" s="3" t="s">
        <v>68</v>
      </c>
      <c r="AM461" s="3" t="s">
        <v>65</v>
      </c>
    </row>
    <row r="462" spans="1:39" ht="21" customHeight="1">
      <c r="A462" s="4">
        <v>46168</v>
      </c>
      <c r="B462" s="3" t="s">
        <v>65</v>
      </c>
      <c r="C462" s="3" t="s">
        <v>66</v>
      </c>
      <c r="D462" s="4">
        <v>46120</v>
      </c>
      <c r="E462" s="3">
        <v>48</v>
      </c>
      <c r="F462" s="3" t="s">
        <v>57</v>
      </c>
      <c r="G462" s="3" t="s">
        <v>50</v>
      </c>
      <c r="H462" s="3">
        <v>0</v>
      </c>
      <c r="I462" s="7">
        <v>92558</v>
      </c>
      <c r="J462" s="7">
        <v>32690</v>
      </c>
      <c r="K462" s="7">
        <v>59868</v>
      </c>
      <c r="L462" s="5">
        <f t="shared" si="85"/>
        <v>0.35318394952354198</v>
      </c>
      <c r="M462" s="5">
        <f t="shared" si="86"/>
        <v>-0.21753318116493359</v>
      </c>
      <c r="N462" s="7">
        <f t="shared" si="87"/>
        <v>109277.14285714286</v>
      </c>
      <c r="O462" s="7">
        <f t="shared" si="77"/>
        <v>107404.96428571429</v>
      </c>
      <c r="P462" s="8">
        <f t="shared" si="78"/>
        <v>0.86176649855569987</v>
      </c>
      <c r="Q462" s="7">
        <v>331</v>
      </c>
      <c r="R462" s="7">
        <v>464</v>
      </c>
      <c r="S462" s="7">
        <v>50163</v>
      </c>
      <c r="T462" s="7">
        <v>24665900</v>
      </c>
      <c r="U462" s="7">
        <v>2196</v>
      </c>
      <c r="V462" s="7">
        <v>3232828</v>
      </c>
      <c r="W462" s="7">
        <v>5</v>
      </c>
      <c r="X462" s="3" t="s">
        <v>73</v>
      </c>
      <c r="Y462" s="3" t="s">
        <v>71</v>
      </c>
      <c r="Z462" s="9">
        <v>2.5305900000000001</v>
      </c>
      <c r="AA462" s="5">
        <f t="shared" si="84"/>
        <v>-0.46279046070368646</v>
      </c>
      <c r="AB462" s="9">
        <f t="shared" si="88"/>
        <v>3.3065642857142854</v>
      </c>
      <c r="AC462" s="9">
        <f t="shared" si="79"/>
        <v>5.465700714285715</v>
      </c>
      <c r="AD462" s="8">
        <f t="shared" si="80"/>
        <v>0.60496621724491983</v>
      </c>
      <c r="AE462" s="3" t="s">
        <v>44</v>
      </c>
      <c r="AF462" s="10">
        <f t="shared" si="81"/>
        <v>41454</v>
      </c>
      <c r="AG462" s="11">
        <f t="shared" si="82"/>
        <v>0.7885849375211077</v>
      </c>
      <c r="AH462" s="11">
        <f t="shared" si="83"/>
        <v>0.46299461538129794</v>
      </c>
      <c r="AI462" s="3" t="s">
        <v>45</v>
      </c>
      <c r="AJ462" s="3" t="s">
        <v>66</v>
      </c>
      <c r="AK462" s="3" t="s">
        <v>46</v>
      </c>
      <c r="AL462" s="3" t="s">
        <v>68</v>
      </c>
      <c r="AM462" s="3" t="s">
        <v>65</v>
      </c>
    </row>
    <row r="463" spans="1:39" ht="21" customHeight="1">
      <c r="A463" s="4">
        <v>46169</v>
      </c>
      <c r="B463" s="3" t="s">
        <v>65</v>
      </c>
      <c r="C463" s="3" t="s">
        <v>66</v>
      </c>
      <c r="D463" s="4">
        <v>46120</v>
      </c>
      <c r="E463" s="3">
        <v>49</v>
      </c>
      <c r="F463" s="3" t="s">
        <v>57</v>
      </c>
      <c r="G463" s="3" t="s">
        <v>51</v>
      </c>
      <c r="H463" s="3">
        <v>0</v>
      </c>
      <c r="I463" s="7">
        <v>93258</v>
      </c>
      <c r="J463" s="7">
        <v>33302</v>
      </c>
      <c r="K463" s="7">
        <v>59955</v>
      </c>
      <c r="L463" s="5">
        <f t="shared" si="85"/>
        <v>0.35709536983422335</v>
      </c>
      <c r="M463" s="5">
        <f t="shared" si="86"/>
        <v>7.5628254715962573E-3</v>
      </c>
      <c r="N463" s="7">
        <f t="shared" si="87"/>
        <v>110100.28571428571</v>
      </c>
      <c r="O463" s="7">
        <f t="shared" si="77"/>
        <v>107313.35714285714</v>
      </c>
      <c r="P463" s="8">
        <f t="shared" si="78"/>
        <v>0.86902509140454487</v>
      </c>
      <c r="Q463" s="7">
        <v>175</v>
      </c>
      <c r="R463" s="7">
        <v>200</v>
      </c>
      <c r="S463" s="7">
        <v>23691</v>
      </c>
      <c r="T463" s="7">
        <v>11558200</v>
      </c>
      <c r="U463" s="7">
        <v>1201</v>
      </c>
      <c r="V463" s="7">
        <v>3234029</v>
      </c>
      <c r="W463" s="7">
        <v>11</v>
      </c>
      <c r="X463" s="3" t="s">
        <v>73</v>
      </c>
      <c r="Y463" s="3" t="s">
        <v>71</v>
      </c>
      <c r="Z463" s="9">
        <v>3.27982</v>
      </c>
      <c r="AA463" s="5">
        <f t="shared" si="84"/>
        <v>0.29606929609300581</v>
      </c>
      <c r="AB463" s="9">
        <f t="shared" si="88"/>
        <v>3.4537328571428572</v>
      </c>
      <c r="AC463" s="9">
        <f t="shared" si="79"/>
        <v>5.2708021428571437</v>
      </c>
      <c r="AD463" s="8">
        <f t="shared" si="80"/>
        <v>0.65525754212255294</v>
      </c>
      <c r="AE463" s="3" t="s">
        <v>44</v>
      </c>
      <c r="AF463" s="10">
        <f t="shared" si="81"/>
        <v>33814.5</v>
      </c>
      <c r="AG463" s="11">
        <f t="shared" si="82"/>
        <v>0.98484378003519202</v>
      </c>
      <c r="AH463" s="11">
        <f t="shared" si="83"/>
        <v>0.62226202219423621</v>
      </c>
      <c r="AI463" s="3" t="s">
        <v>45</v>
      </c>
      <c r="AJ463" s="3" t="s">
        <v>66</v>
      </c>
      <c r="AK463" s="3" t="s">
        <v>46</v>
      </c>
      <c r="AL463" s="3" t="s">
        <v>68</v>
      </c>
      <c r="AM463" s="3" t="s">
        <v>65</v>
      </c>
    </row>
    <row r="464" spans="1:39" ht="21" customHeight="1">
      <c r="A464" s="4">
        <v>46170</v>
      </c>
      <c r="B464" s="3" t="s">
        <v>65</v>
      </c>
      <c r="C464" s="3" t="s">
        <v>66</v>
      </c>
      <c r="D464" s="4">
        <v>46120</v>
      </c>
      <c r="E464" s="3">
        <v>50</v>
      </c>
      <c r="F464" s="3" t="s">
        <v>57</v>
      </c>
      <c r="G464" s="3" t="s">
        <v>52</v>
      </c>
      <c r="H464" s="3">
        <v>0</v>
      </c>
      <c r="I464" s="7">
        <v>95088</v>
      </c>
      <c r="J464" s="7">
        <v>35172</v>
      </c>
      <c r="K464" s="7">
        <v>59916</v>
      </c>
      <c r="L464" s="5">
        <f t="shared" si="85"/>
        <v>0.3698889449772842</v>
      </c>
      <c r="M464" s="5">
        <f t="shared" si="86"/>
        <v>1.9622981406420825E-2</v>
      </c>
      <c r="N464" s="7">
        <f t="shared" si="87"/>
        <v>110519.28571428571</v>
      </c>
      <c r="O464" s="7">
        <f t="shared" si="77"/>
        <v>107278.85714285714</v>
      </c>
      <c r="P464" s="8">
        <f t="shared" si="78"/>
        <v>0.88636291001289025</v>
      </c>
      <c r="Q464" s="7">
        <v>139</v>
      </c>
      <c r="R464" s="7">
        <v>162</v>
      </c>
      <c r="S464" s="7">
        <v>20503</v>
      </c>
      <c r="T464" s="7">
        <v>8662300</v>
      </c>
      <c r="U464" s="7">
        <v>811</v>
      </c>
      <c r="V464" s="7">
        <v>3234840</v>
      </c>
      <c r="W464" s="7">
        <v>18</v>
      </c>
      <c r="X464" s="3" t="s">
        <v>73</v>
      </c>
      <c r="Y464" s="3" t="s">
        <v>71</v>
      </c>
      <c r="Z464" s="9">
        <v>3.08304</v>
      </c>
      <c r="AA464" s="5">
        <f t="shared" si="84"/>
        <v>-5.9997194968016476E-2</v>
      </c>
      <c r="AB464" s="9">
        <f t="shared" si="88"/>
        <v>3.6089085714285716</v>
      </c>
      <c r="AC464" s="9">
        <f t="shared" si="79"/>
        <v>5.0855292857142862</v>
      </c>
      <c r="AD464" s="8">
        <f t="shared" si="80"/>
        <v>0.70964266818132848</v>
      </c>
      <c r="AE464" s="3" t="s">
        <v>44</v>
      </c>
      <c r="AF464" s="10">
        <f t="shared" si="81"/>
        <v>37234</v>
      </c>
      <c r="AG464" s="11">
        <f t="shared" si="82"/>
        <v>0.94462050813772358</v>
      </c>
      <c r="AH464" s="11">
        <f t="shared" si="83"/>
        <v>0.606237783087896</v>
      </c>
      <c r="AI464" s="3" t="s">
        <v>45</v>
      </c>
      <c r="AJ464" s="3" t="s">
        <v>66</v>
      </c>
      <c r="AK464" s="3" t="s">
        <v>46</v>
      </c>
      <c r="AL464" s="3" t="s">
        <v>68</v>
      </c>
      <c r="AM464" s="3" t="s">
        <v>65</v>
      </c>
    </row>
    <row r="465" spans="1:39" ht="21" customHeight="1">
      <c r="A465" s="4">
        <v>46171</v>
      </c>
      <c r="B465" s="3" t="s">
        <v>65</v>
      </c>
      <c r="C465" s="3" t="s">
        <v>66</v>
      </c>
      <c r="D465" s="4">
        <v>46120</v>
      </c>
      <c r="E465" s="3">
        <v>51</v>
      </c>
      <c r="F465" s="3" t="s">
        <v>57</v>
      </c>
      <c r="G465" s="3" t="s">
        <v>53</v>
      </c>
      <c r="H465" s="3">
        <v>0</v>
      </c>
      <c r="I465" s="7">
        <v>100394</v>
      </c>
      <c r="J465" s="7">
        <v>40512</v>
      </c>
      <c r="K465" s="7">
        <v>59882</v>
      </c>
      <c r="L465" s="5">
        <f t="shared" si="85"/>
        <v>0.40353009143972746</v>
      </c>
      <c r="M465" s="5">
        <f t="shared" si="86"/>
        <v>5.5800942285041177E-2</v>
      </c>
      <c r="N465" s="7">
        <f t="shared" si="87"/>
        <v>110174.28571428571</v>
      </c>
      <c r="O465" s="7">
        <f t="shared" si="77"/>
        <v>106962.21428571429</v>
      </c>
      <c r="P465" s="8">
        <f t="shared" si="78"/>
        <v>0.93859313469175698</v>
      </c>
      <c r="Q465" s="7">
        <v>137</v>
      </c>
      <c r="R465" s="7">
        <v>156</v>
      </c>
      <c r="S465" s="7">
        <v>18493</v>
      </c>
      <c r="T465" s="7">
        <v>11033750</v>
      </c>
      <c r="U465" s="7">
        <v>952</v>
      </c>
      <c r="V465" s="7">
        <v>3235792</v>
      </c>
      <c r="W465" s="7">
        <v>17</v>
      </c>
      <c r="X465" s="3" t="s">
        <v>73</v>
      </c>
      <c r="Y465" s="3" t="s">
        <v>71</v>
      </c>
      <c r="Z465" s="9">
        <v>3.4891000000000001</v>
      </c>
      <c r="AA465" s="5">
        <f t="shared" si="84"/>
        <v>0.13170766516165866</v>
      </c>
      <c r="AB465" s="9">
        <f t="shared" si="88"/>
        <v>3.727087142857143</v>
      </c>
      <c r="AC465" s="9">
        <f t="shared" si="79"/>
        <v>4.8837521428571433</v>
      </c>
      <c r="AD465" s="8">
        <f t="shared" si="80"/>
        <v>0.76316058510632845</v>
      </c>
      <c r="AE465" s="3" t="s">
        <v>44</v>
      </c>
      <c r="AF465" s="10">
        <f t="shared" si="81"/>
        <v>51629.25</v>
      </c>
      <c r="AG465" s="11">
        <f t="shared" si="82"/>
        <v>0.78467147982974772</v>
      </c>
      <c r="AH465" s="11">
        <f t="shared" si="83"/>
        <v>0.71443019586959844</v>
      </c>
      <c r="AI465" s="3" t="s">
        <v>45</v>
      </c>
      <c r="AJ465" s="3" t="s">
        <v>66</v>
      </c>
      <c r="AK465" s="3" t="s">
        <v>46</v>
      </c>
      <c r="AL465" s="3" t="s">
        <v>68</v>
      </c>
      <c r="AM465" s="3" t="s">
        <v>65</v>
      </c>
    </row>
    <row r="466" spans="1:39" ht="21" customHeight="1">
      <c r="A466" s="4">
        <v>46172</v>
      </c>
      <c r="B466" s="3" t="s">
        <v>65</v>
      </c>
      <c r="C466" s="3" t="s">
        <v>66</v>
      </c>
      <c r="D466" s="4">
        <v>46120</v>
      </c>
      <c r="E466" s="3">
        <v>52</v>
      </c>
      <c r="F466" s="3" t="s">
        <v>57</v>
      </c>
      <c r="G466" s="3" t="s">
        <v>42</v>
      </c>
      <c r="H466" s="3">
        <v>1</v>
      </c>
      <c r="I466" s="7">
        <v>116872</v>
      </c>
      <c r="J466" s="7">
        <v>61246</v>
      </c>
      <c r="K466" s="7">
        <v>55626</v>
      </c>
      <c r="L466" s="5">
        <f t="shared" si="85"/>
        <v>0.52404339790540078</v>
      </c>
      <c r="M466" s="5">
        <f t="shared" si="86"/>
        <v>0.16413331473992465</v>
      </c>
      <c r="N466" s="7">
        <f t="shared" si="87"/>
        <v>108473.71428571429</v>
      </c>
      <c r="O466" s="7">
        <f t="shared" si="77"/>
        <v>105804.07142857143</v>
      </c>
      <c r="P466" s="8">
        <f t="shared" si="78"/>
        <v>1.1046077756932118</v>
      </c>
      <c r="Q466" s="7">
        <v>106</v>
      </c>
      <c r="R466" s="7">
        <v>111</v>
      </c>
      <c r="S466" s="7">
        <v>12741</v>
      </c>
      <c r="T466" s="7">
        <v>12873400</v>
      </c>
      <c r="U466" s="7">
        <v>1191</v>
      </c>
      <c r="V466" s="7">
        <v>3236983</v>
      </c>
      <c r="W466" s="7">
        <v>18</v>
      </c>
      <c r="X466" s="3" t="s">
        <v>73</v>
      </c>
      <c r="Y466" s="3" t="s">
        <v>71</v>
      </c>
      <c r="Z466" s="9">
        <v>5.13089</v>
      </c>
      <c r="AA466" s="5">
        <f t="shared" si="84"/>
        <v>0.47054827892579754</v>
      </c>
      <c r="AB466" s="9">
        <f t="shared" si="88"/>
        <v>4.0150628571428575</v>
      </c>
      <c r="AC466" s="9">
        <f t="shared" si="79"/>
        <v>4.5838060714285733</v>
      </c>
      <c r="AD466" s="8">
        <f t="shared" si="80"/>
        <v>0.87592336904679235</v>
      </c>
      <c r="AE466" s="3" t="s">
        <v>44</v>
      </c>
      <c r="AF466" s="10">
        <f t="shared" si="81"/>
        <v>73452.5</v>
      </c>
      <c r="AG466" s="11">
        <f t="shared" si="82"/>
        <v>0.83381777339096697</v>
      </c>
      <c r="AH466" s="11">
        <f t="shared" si="83"/>
        <v>1.1193514559835915</v>
      </c>
      <c r="AI466" s="3" t="s">
        <v>45</v>
      </c>
      <c r="AJ466" s="3" t="s">
        <v>66</v>
      </c>
      <c r="AK466" s="3" t="s">
        <v>46</v>
      </c>
      <c r="AL466" s="3" t="s">
        <v>68</v>
      </c>
      <c r="AM466" s="3" t="s">
        <v>65</v>
      </c>
    </row>
    <row r="467" spans="1:39" ht="21" customHeight="1">
      <c r="A467" s="4">
        <v>46173</v>
      </c>
      <c r="B467" s="3" t="s">
        <v>65</v>
      </c>
      <c r="C467" s="3" t="s">
        <v>66</v>
      </c>
      <c r="D467" s="4">
        <v>46120</v>
      </c>
      <c r="E467" s="3">
        <v>53</v>
      </c>
      <c r="F467" s="3" t="s">
        <v>57</v>
      </c>
      <c r="G467" s="3" t="s">
        <v>48</v>
      </c>
      <c r="H467" s="3">
        <v>1</v>
      </c>
      <c r="I467" s="7">
        <v>108430</v>
      </c>
      <c r="J467" s="7">
        <v>54789</v>
      </c>
      <c r="K467" s="7">
        <v>53641</v>
      </c>
      <c r="L467" s="5">
        <f t="shared" si="85"/>
        <v>0.50529373789541643</v>
      </c>
      <c r="M467" s="5">
        <f t="shared" si="86"/>
        <v>-7.2232870148538519E-2</v>
      </c>
      <c r="N467" s="7">
        <f t="shared" si="87"/>
        <v>103555.71428571429</v>
      </c>
      <c r="O467" s="7">
        <f t="shared" si="77"/>
        <v>104944.32142857143</v>
      </c>
      <c r="P467" s="8">
        <f t="shared" si="78"/>
        <v>1.033214551525792</v>
      </c>
      <c r="Q467" s="7">
        <v>91</v>
      </c>
      <c r="R467" s="7">
        <v>97</v>
      </c>
      <c r="S467" s="7">
        <v>11241</v>
      </c>
      <c r="T467" s="7">
        <v>11199150</v>
      </c>
      <c r="U467" s="7">
        <v>1045</v>
      </c>
      <c r="V467" s="7">
        <v>3238028</v>
      </c>
      <c r="W467" s="7">
        <v>17</v>
      </c>
      <c r="X467" s="3" t="s">
        <v>73</v>
      </c>
      <c r="Y467" s="3" t="s">
        <v>71</v>
      </c>
      <c r="Z467" s="9">
        <v>4.8500699999999997</v>
      </c>
      <c r="AA467" s="5">
        <f t="shared" si="84"/>
        <v>-5.4731245456441369E-2</v>
      </c>
      <c r="AB467" s="9">
        <f t="shared" si="88"/>
        <v>3.8677328571428573</v>
      </c>
      <c r="AC467" s="9">
        <f t="shared" si="79"/>
        <v>4.366555</v>
      </c>
      <c r="AD467" s="8">
        <f t="shared" si="80"/>
        <v>0.88576300015523846</v>
      </c>
      <c r="AE467" s="3" t="s">
        <v>44</v>
      </c>
      <c r="AF467" s="10">
        <f t="shared" si="81"/>
        <v>70733.5</v>
      </c>
      <c r="AG467" s="11">
        <f t="shared" si="82"/>
        <v>0.77458347176373288</v>
      </c>
      <c r="AH467" s="11">
        <f t="shared" si="83"/>
        <v>1.1107314576365119</v>
      </c>
      <c r="AI467" s="3" t="s">
        <v>45</v>
      </c>
      <c r="AJ467" s="3" t="s">
        <v>66</v>
      </c>
      <c r="AK467" s="3" t="s">
        <v>46</v>
      </c>
      <c r="AL467" s="3" t="s">
        <v>68</v>
      </c>
      <c r="AM467" s="3" t="s">
        <v>65</v>
      </c>
    </row>
    <row r="468" spans="1:39" ht="21" customHeight="1">
      <c r="A468" s="4">
        <v>46174</v>
      </c>
      <c r="B468" s="3" t="s">
        <v>65</v>
      </c>
      <c r="C468" s="3" t="s">
        <v>66</v>
      </c>
      <c r="D468" s="4">
        <v>46120</v>
      </c>
      <c r="E468" s="3">
        <v>54</v>
      </c>
      <c r="F468" s="3" t="s">
        <v>57</v>
      </c>
      <c r="G468" s="3" t="s">
        <v>49</v>
      </c>
      <c r="H468" s="3">
        <v>0</v>
      </c>
      <c r="I468" s="7">
        <v>93520</v>
      </c>
      <c r="J468" s="7">
        <v>31910</v>
      </c>
      <c r="K468" s="7">
        <v>61610</v>
      </c>
      <c r="L468" s="5">
        <f t="shared" si="85"/>
        <v>0.3412104362703165</v>
      </c>
      <c r="M468" s="5">
        <f t="shared" si="86"/>
        <v>-0.13750806972240159</v>
      </c>
      <c r="N468" s="7">
        <f t="shared" si="87"/>
        <v>100017.14285714286</v>
      </c>
      <c r="O468" s="7">
        <f t="shared" si="77"/>
        <v>104423.57142857143</v>
      </c>
      <c r="P468" s="8">
        <f t="shared" si="78"/>
        <v>0.89558323585944599</v>
      </c>
      <c r="Q468" s="7">
        <v>98</v>
      </c>
      <c r="R468" s="7">
        <v>112</v>
      </c>
      <c r="S468" s="7">
        <v>12968</v>
      </c>
      <c r="T468" s="7">
        <v>5139700</v>
      </c>
      <c r="U468" s="7">
        <v>473</v>
      </c>
      <c r="V468" s="7">
        <v>3238501</v>
      </c>
      <c r="W468" s="7">
        <v>16</v>
      </c>
      <c r="X468" s="3" t="s">
        <v>74</v>
      </c>
      <c r="Y468" s="3" t="s">
        <v>71</v>
      </c>
      <c r="Z468" s="9">
        <v>2.4534799999999999</v>
      </c>
      <c r="AA468" s="5">
        <f t="shared" si="84"/>
        <v>-0.49413513619391058</v>
      </c>
      <c r="AB468" s="9">
        <f t="shared" si="88"/>
        <v>3.5452842857142852</v>
      </c>
      <c r="AC468" s="9">
        <f t="shared" si="79"/>
        <v>4.1601303571428563</v>
      </c>
      <c r="AD468" s="8">
        <f t="shared" si="80"/>
        <v>0.85220509487812246</v>
      </c>
      <c r="AE468" s="3" t="s">
        <v>44</v>
      </c>
      <c r="AF468" s="10">
        <f t="shared" si="81"/>
        <v>45545.5</v>
      </c>
      <c r="AG468" s="11">
        <f t="shared" si="82"/>
        <v>0.70061806325542586</v>
      </c>
      <c r="AH468" s="11">
        <f t="shared" si="83"/>
        <v>0.58976036551052458</v>
      </c>
      <c r="AI468" s="3" t="s">
        <v>45</v>
      </c>
      <c r="AJ468" s="3" t="s">
        <v>66</v>
      </c>
      <c r="AK468" s="3" t="s">
        <v>46</v>
      </c>
      <c r="AL468" s="3" t="s">
        <v>68</v>
      </c>
      <c r="AM468" s="3" t="s">
        <v>65</v>
      </c>
    </row>
    <row r="469" spans="1:39" ht="21" customHeight="1">
      <c r="A469" s="4">
        <v>46175</v>
      </c>
      <c r="B469" s="3" t="s">
        <v>65</v>
      </c>
      <c r="C469" s="3" t="s">
        <v>66</v>
      </c>
      <c r="D469" s="4">
        <v>46120</v>
      </c>
      <c r="E469" s="3">
        <v>55</v>
      </c>
      <c r="F469" s="3" t="s">
        <v>57</v>
      </c>
      <c r="G469" s="3" t="s">
        <v>50</v>
      </c>
      <c r="H469" s="3">
        <v>0</v>
      </c>
      <c r="I469" s="7">
        <v>95028</v>
      </c>
      <c r="J469" s="7">
        <v>33523</v>
      </c>
      <c r="K469" s="7">
        <v>61506</v>
      </c>
      <c r="L469" s="5">
        <f t="shared" si="85"/>
        <v>0.35276970998021634</v>
      </c>
      <c r="M469" s="5">
        <f t="shared" si="86"/>
        <v>1.6124893071000956E-2</v>
      </c>
      <c r="N469" s="7">
        <f t="shared" si="87"/>
        <v>100370</v>
      </c>
      <c r="O469" s="7">
        <f t="shared" si="77"/>
        <v>103797.42857142857</v>
      </c>
      <c r="P469" s="8">
        <f t="shared" si="78"/>
        <v>0.91551400943045658</v>
      </c>
      <c r="Q469" s="7">
        <v>94</v>
      </c>
      <c r="R469" s="7">
        <v>111</v>
      </c>
      <c r="S469" s="7">
        <v>13213</v>
      </c>
      <c r="T469" s="7">
        <v>6054350</v>
      </c>
      <c r="U469" s="7">
        <v>592</v>
      </c>
      <c r="V469" s="7">
        <v>3239093</v>
      </c>
      <c r="W469" s="7">
        <v>17</v>
      </c>
      <c r="X469" s="3" t="s">
        <v>74</v>
      </c>
      <c r="Y469" s="3" t="s">
        <v>71</v>
      </c>
      <c r="Z469" s="9">
        <v>2.2576900000000002</v>
      </c>
      <c r="AA469" s="5">
        <f t="shared" si="84"/>
        <v>-7.9800935813619689E-2</v>
      </c>
      <c r="AB469" s="9">
        <f t="shared" si="88"/>
        <v>3.5062985714285708</v>
      </c>
      <c r="AC469" s="9">
        <f t="shared" si="79"/>
        <v>3.9327489285714283</v>
      </c>
      <c r="AD469" s="8">
        <f t="shared" si="80"/>
        <v>0.89156430657327379</v>
      </c>
      <c r="AE469" s="3" t="s">
        <v>44</v>
      </c>
      <c r="AF469" s="10">
        <f t="shared" si="81"/>
        <v>39832.5</v>
      </c>
      <c r="AG469" s="11">
        <f t="shared" si="82"/>
        <v>0.84159919663591287</v>
      </c>
      <c r="AH469" s="11">
        <f t="shared" si="83"/>
        <v>0.57407427756139684</v>
      </c>
      <c r="AI469" s="3" t="s">
        <v>45</v>
      </c>
      <c r="AJ469" s="3" t="s">
        <v>66</v>
      </c>
      <c r="AK469" s="3" t="s">
        <v>46</v>
      </c>
      <c r="AL469" s="3" t="s">
        <v>68</v>
      </c>
      <c r="AM469" s="3" t="s">
        <v>65</v>
      </c>
    </row>
    <row r="470" spans="1:39" ht="21" customHeight="1">
      <c r="A470" s="4">
        <v>46176</v>
      </c>
      <c r="B470" s="3" t="s">
        <v>65</v>
      </c>
      <c r="C470" s="3" t="s">
        <v>66</v>
      </c>
      <c r="D470" s="4">
        <v>46120</v>
      </c>
      <c r="E470" s="3">
        <v>56</v>
      </c>
      <c r="F470" s="3" t="s">
        <v>57</v>
      </c>
      <c r="G470" s="3" t="s">
        <v>51</v>
      </c>
      <c r="H470" s="3">
        <v>0</v>
      </c>
      <c r="I470" s="7">
        <v>100866</v>
      </c>
      <c r="J470" s="7">
        <v>43838</v>
      </c>
      <c r="K470" s="7">
        <v>57029</v>
      </c>
      <c r="L470" s="5">
        <f t="shared" si="85"/>
        <v>0.43461622350445145</v>
      </c>
      <c r="M470" s="5">
        <f t="shared" si="86"/>
        <v>6.1434524561182036E-2</v>
      </c>
      <c r="N470" s="7">
        <f t="shared" si="87"/>
        <v>101456.85714285714</v>
      </c>
      <c r="O470" s="7">
        <f t="shared" si="77"/>
        <v>103065.14285714286</v>
      </c>
      <c r="P470" s="8">
        <f t="shared" si="78"/>
        <v>0.97866259342219075</v>
      </c>
      <c r="Q470" s="7">
        <v>22</v>
      </c>
      <c r="R470" s="7">
        <v>25</v>
      </c>
      <c r="S470" s="7">
        <v>2390</v>
      </c>
      <c r="T470" s="7">
        <v>2178350</v>
      </c>
      <c r="U470" s="7">
        <v>211</v>
      </c>
      <c r="V470" s="7">
        <v>3239304</v>
      </c>
      <c r="W470" s="7">
        <v>30</v>
      </c>
      <c r="X470" s="3" t="s">
        <v>74</v>
      </c>
      <c r="Y470" s="3" t="s">
        <v>71</v>
      </c>
      <c r="Z470" s="9">
        <v>2.5254300000000001</v>
      </c>
      <c r="AA470" s="5">
        <f t="shared" si="84"/>
        <v>0.11859024046702604</v>
      </c>
      <c r="AB470" s="9">
        <f t="shared" si="88"/>
        <v>3.3985285714285713</v>
      </c>
      <c r="AC470" s="9">
        <f t="shared" si="79"/>
        <v>3.741058928571428</v>
      </c>
      <c r="AD470" s="8">
        <f t="shared" si="80"/>
        <v>0.90844026686485357</v>
      </c>
      <c r="AE470" s="3" t="s">
        <v>44</v>
      </c>
      <c r="AF470" s="10">
        <f t="shared" si="81"/>
        <v>32534.25</v>
      </c>
      <c r="AG470" s="11">
        <f t="shared" si="82"/>
        <v>1.3474415423745745</v>
      </c>
      <c r="AH470" s="11">
        <f t="shared" si="83"/>
        <v>0.67505753002516011</v>
      </c>
      <c r="AI470" s="3" t="s">
        <v>45</v>
      </c>
      <c r="AJ470" s="3" t="s">
        <v>66</v>
      </c>
      <c r="AK470" s="3" t="s">
        <v>46</v>
      </c>
      <c r="AL470" s="3" t="s">
        <v>68</v>
      </c>
      <c r="AM470" s="3" t="s">
        <v>65</v>
      </c>
    </row>
    <row r="471" spans="1:39" ht="21" customHeight="1">
      <c r="A471" s="4">
        <v>46177</v>
      </c>
      <c r="B471" s="3" t="s">
        <v>65</v>
      </c>
      <c r="C471" s="3" t="s">
        <v>66</v>
      </c>
      <c r="D471" s="4">
        <v>46120</v>
      </c>
      <c r="E471" s="3">
        <v>57</v>
      </c>
      <c r="F471" s="3" t="s">
        <v>57</v>
      </c>
      <c r="G471" s="3" t="s">
        <v>52</v>
      </c>
      <c r="H471" s="3">
        <v>0</v>
      </c>
      <c r="I471" s="7">
        <v>92964</v>
      </c>
      <c r="J471" s="7">
        <v>32344</v>
      </c>
      <c r="K471" s="7">
        <v>60620</v>
      </c>
      <c r="L471" s="5">
        <f t="shared" si="85"/>
        <v>0.34791962480099825</v>
      </c>
      <c r="M471" s="5">
        <f t="shared" si="86"/>
        <v>-7.8341562072452575E-2</v>
      </c>
      <c r="N471" s="7">
        <f t="shared" si="87"/>
        <v>101153.42857142857</v>
      </c>
      <c r="O471" s="7">
        <f t="shared" si="77"/>
        <v>103364.85714285714</v>
      </c>
      <c r="P471" s="8">
        <f t="shared" si="78"/>
        <v>0.89937724067588598</v>
      </c>
      <c r="Q471" s="7">
        <v>20</v>
      </c>
      <c r="R471" s="7">
        <v>23</v>
      </c>
      <c r="S471" s="7">
        <v>1939</v>
      </c>
      <c r="T471" s="7">
        <v>858050</v>
      </c>
      <c r="U471" s="7">
        <v>93</v>
      </c>
      <c r="V471" s="7">
        <v>3239397</v>
      </c>
      <c r="W471" s="7">
        <v>44</v>
      </c>
      <c r="X471" s="3" t="s">
        <v>74</v>
      </c>
      <c r="Y471" s="3" t="s">
        <v>71</v>
      </c>
      <c r="Z471" s="9">
        <v>1.5072700000000001</v>
      </c>
      <c r="AA471" s="5">
        <f t="shared" si="84"/>
        <v>-0.40316302570255358</v>
      </c>
      <c r="AB471" s="9">
        <f t="shared" si="88"/>
        <v>3.173418571428571</v>
      </c>
      <c r="AC471" s="9">
        <f t="shared" si="79"/>
        <v>3.6533407142857142</v>
      </c>
      <c r="AD471" s="8">
        <f t="shared" si="80"/>
        <v>0.86863471534957137</v>
      </c>
      <c r="AE471" s="3" t="s">
        <v>44</v>
      </c>
      <c r="AF471" s="10">
        <f t="shared" si="81"/>
        <v>34199.5</v>
      </c>
      <c r="AG471" s="11">
        <f t="shared" si="82"/>
        <v>0.94574482083071387</v>
      </c>
      <c r="AH471" s="11">
        <f t="shared" si="83"/>
        <v>0.41257307157421674</v>
      </c>
      <c r="AI471" s="3" t="s">
        <v>45</v>
      </c>
      <c r="AJ471" s="3" t="s">
        <v>66</v>
      </c>
      <c r="AK471" s="3" t="s">
        <v>46</v>
      </c>
      <c r="AL471" s="3" t="s">
        <v>68</v>
      </c>
      <c r="AM471" s="3" t="s">
        <v>65</v>
      </c>
    </row>
    <row r="472" spans="1:39" ht="21" customHeight="1">
      <c r="A472" s="4">
        <v>46178</v>
      </c>
      <c r="B472" s="3" t="s">
        <v>65</v>
      </c>
      <c r="C472" s="3" t="s">
        <v>66</v>
      </c>
      <c r="D472" s="4">
        <v>46120</v>
      </c>
      <c r="E472" s="3">
        <v>58</v>
      </c>
      <c r="F472" s="3" t="s">
        <v>57</v>
      </c>
      <c r="G472" s="3" t="s">
        <v>53</v>
      </c>
      <c r="H472" s="3">
        <v>0</v>
      </c>
      <c r="I472" s="7">
        <v>100698</v>
      </c>
      <c r="J472" s="7">
        <v>39256</v>
      </c>
      <c r="K472" s="7">
        <v>61442</v>
      </c>
      <c r="L472" s="5">
        <f t="shared" si="85"/>
        <v>0.38983892430832789</v>
      </c>
      <c r="M472" s="5">
        <f t="shared" si="86"/>
        <v>8.3193494255840994E-2</v>
      </c>
      <c r="N472" s="7">
        <f t="shared" si="87"/>
        <v>101196.85714285714</v>
      </c>
      <c r="O472" s="7">
        <f t="shared" si="77"/>
        <v>103374.64285714286</v>
      </c>
      <c r="P472" s="8">
        <f t="shared" si="78"/>
        <v>0.97410735569996787</v>
      </c>
      <c r="Q472" s="7">
        <v>18</v>
      </c>
      <c r="R472" s="7">
        <v>19</v>
      </c>
      <c r="S472" s="7">
        <v>1534</v>
      </c>
      <c r="T472" s="7">
        <v>1462850</v>
      </c>
      <c r="U472" s="7">
        <v>137</v>
      </c>
      <c r="V472" s="7">
        <v>3239534</v>
      </c>
      <c r="W472" s="7">
        <v>37</v>
      </c>
      <c r="X472" s="3" t="s">
        <v>74</v>
      </c>
      <c r="Y472" s="3" t="s">
        <v>71</v>
      </c>
      <c r="Z472" s="9">
        <v>1.56891</v>
      </c>
      <c r="AA472" s="5">
        <f t="shared" si="84"/>
        <v>4.0895128278277904E-2</v>
      </c>
      <c r="AB472" s="9">
        <f t="shared" si="88"/>
        <v>2.8991057142857137</v>
      </c>
      <c r="AC472" s="9">
        <f t="shared" si="79"/>
        <v>3.563928928571428</v>
      </c>
      <c r="AD472" s="8">
        <f t="shared" si="80"/>
        <v>0.81345777999220559</v>
      </c>
      <c r="AE472" s="3" t="s">
        <v>44</v>
      </c>
      <c r="AF472" s="10">
        <f t="shared" si="81"/>
        <v>41815.25</v>
      </c>
      <c r="AG472" s="11">
        <f t="shared" si="82"/>
        <v>0.93879625256335908</v>
      </c>
      <c r="AH472" s="11">
        <f t="shared" si="83"/>
        <v>0.44021921633237643</v>
      </c>
      <c r="AI472" s="3" t="s">
        <v>45</v>
      </c>
      <c r="AJ472" s="3" t="s">
        <v>66</v>
      </c>
      <c r="AK472" s="3" t="s">
        <v>46</v>
      </c>
      <c r="AL472" s="3" t="s">
        <v>68</v>
      </c>
      <c r="AM472" s="3" t="s">
        <v>65</v>
      </c>
    </row>
    <row r="473" spans="1:39" ht="21" customHeight="1">
      <c r="A473" s="4">
        <v>46179</v>
      </c>
      <c r="B473" s="3" t="s">
        <v>65</v>
      </c>
      <c r="C473" s="3" t="s">
        <v>66</v>
      </c>
      <c r="D473" s="4">
        <v>46120</v>
      </c>
      <c r="E473" s="3">
        <v>59</v>
      </c>
      <c r="F473" s="3" t="s">
        <v>57</v>
      </c>
      <c r="G473" s="3" t="s">
        <v>42</v>
      </c>
      <c r="H473" s="3">
        <v>1</v>
      </c>
      <c r="I473" s="7">
        <v>117960</v>
      </c>
      <c r="J473" s="7">
        <v>63822</v>
      </c>
      <c r="K473" s="7">
        <v>54138</v>
      </c>
      <c r="L473" s="5">
        <f t="shared" si="85"/>
        <v>0.54104781281790437</v>
      </c>
      <c r="M473" s="5">
        <f t="shared" si="86"/>
        <v>0.17142346421974608</v>
      </c>
      <c r="N473" s="7">
        <f t="shared" si="87"/>
        <v>101352.28571428571</v>
      </c>
      <c r="O473" s="7">
        <f t="shared" ref="O473:O536" si="89">AVERAGE(I445:I472)</f>
        <v>103296.14285714286</v>
      </c>
      <c r="P473" s="8">
        <f t="shared" ref="P473:P536" si="90">IFERROR(I473/O473,"")</f>
        <v>1.1419593872264626</v>
      </c>
      <c r="Q473" s="7">
        <v>20</v>
      </c>
      <c r="R473" s="7">
        <v>21</v>
      </c>
      <c r="S473" s="7">
        <v>1851</v>
      </c>
      <c r="T473" s="7">
        <v>1409800</v>
      </c>
      <c r="U473" s="7">
        <v>138</v>
      </c>
      <c r="V473" s="7">
        <v>3239672</v>
      </c>
      <c r="W473" s="7">
        <v>36</v>
      </c>
      <c r="X473" s="3" t="s">
        <v>74</v>
      </c>
      <c r="Y473" s="3" t="s">
        <v>71</v>
      </c>
      <c r="Z473" s="9">
        <v>2.2133099999999999</v>
      </c>
      <c r="AA473" s="5">
        <f t="shared" si="84"/>
        <v>0.41073101707554915</v>
      </c>
      <c r="AB473" s="9">
        <f t="shared" si="88"/>
        <v>2.4823085714285713</v>
      </c>
      <c r="AC473" s="9">
        <f t="shared" ref="AC473:AC536" si="91">AVERAGE(Z445:Z472)</f>
        <v>3.4598964285714282</v>
      </c>
      <c r="AD473" s="8">
        <f t="shared" ref="AD473:AD536" si="92">IFERROR(AB473/AC473,"")</f>
        <v>0.71745169911155482</v>
      </c>
      <c r="AE473" s="3" t="s">
        <v>44</v>
      </c>
      <c r="AF473" s="10">
        <f t="shared" ref="AF473:AF536" si="93">IF(COUNT(J466,J459,J452,J445)=4,AVERAGE(J466,J459,J452,J445),"")</f>
        <v>66565.25</v>
      </c>
      <c r="AG473" s="11">
        <f t="shared" ref="AG473:AG536" si="94">IFERROR(J473/AF473,"")</f>
        <v>0.9587885570924769</v>
      </c>
      <c r="AH473" s="11">
        <f t="shared" ref="AH473:AH536" si="95">IFERROR(Z473/AC473,"")</f>
        <v>0.63970411996230281</v>
      </c>
      <c r="AI473" s="3" t="s">
        <v>45</v>
      </c>
      <c r="AJ473" s="3" t="s">
        <v>66</v>
      </c>
      <c r="AK473" s="3" t="s">
        <v>46</v>
      </c>
      <c r="AL473" s="3" t="s">
        <v>68</v>
      </c>
      <c r="AM473" s="3" t="s">
        <v>65</v>
      </c>
    </row>
    <row r="474" spans="1:39" ht="21" customHeight="1">
      <c r="A474" s="4">
        <v>46180</v>
      </c>
      <c r="B474" s="3" t="s">
        <v>65</v>
      </c>
      <c r="C474" s="3" t="s">
        <v>66</v>
      </c>
      <c r="D474" s="4">
        <v>46120</v>
      </c>
      <c r="E474" s="3">
        <v>60</v>
      </c>
      <c r="F474" s="3" t="s">
        <v>57</v>
      </c>
      <c r="G474" s="3" t="s">
        <v>48</v>
      </c>
      <c r="H474" s="3">
        <v>1</v>
      </c>
      <c r="I474" s="7">
        <v>108878</v>
      </c>
      <c r="J474" s="7">
        <v>55251</v>
      </c>
      <c r="K474" s="7">
        <v>53627</v>
      </c>
      <c r="L474" s="5">
        <f t="shared" si="85"/>
        <v>0.50745788864600749</v>
      </c>
      <c r="M474" s="5">
        <f t="shared" si="86"/>
        <v>-7.6992200746015649E-2</v>
      </c>
      <c r="N474" s="7">
        <f t="shared" si="87"/>
        <v>101416.28571428571</v>
      </c>
      <c r="O474" s="7">
        <f t="shared" si="89"/>
        <v>103122.5</v>
      </c>
      <c r="P474" s="8">
        <f t="shared" si="90"/>
        <v>1.0558122621154453</v>
      </c>
      <c r="Q474" s="7">
        <v>16</v>
      </c>
      <c r="R474" s="7">
        <v>17</v>
      </c>
      <c r="S474" s="7">
        <v>1633</v>
      </c>
      <c r="T474" s="7">
        <v>1234000</v>
      </c>
      <c r="U474" s="7">
        <v>116</v>
      </c>
      <c r="V474" s="7">
        <v>3239788</v>
      </c>
      <c r="W474" s="7">
        <v>37</v>
      </c>
      <c r="X474" s="3" t="s">
        <v>74</v>
      </c>
      <c r="Y474" s="3" t="s">
        <v>71</v>
      </c>
      <c r="Z474" s="9">
        <v>1.91079</v>
      </c>
      <c r="AA474" s="5">
        <f t="shared" si="84"/>
        <v>-0.13668216381799203</v>
      </c>
      <c r="AB474" s="9">
        <f t="shared" si="88"/>
        <v>2.062411428571429</v>
      </c>
      <c r="AC474" s="9">
        <f t="shared" si="91"/>
        <v>3.3016942857142859</v>
      </c>
      <c r="AD474" s="8">
        <f t="shared" si="92"/>
        <v>0.62465245116576518</v>
      </c>
      <c r="AE474" s="3" t="s">
        <v>44</v>
      </c>
      <c r="AF474" s="10">
        <f t="shared" si="93"/>
        <v>66303.25</v>
      </c>
      <c r="AG474" s="11">
        <f t="shared" si="94"/>
        <v>0.83330756787940263</v>
      </c>
      <c r="AH474" s="11">
        <f t="shared" si="95"/>
        <v>0.57873014114831078</v>
      </c>
      <c r="AI474" s="3" t="s">
        <v>45</v>
      </c>
      <c r="AJ474" s="3" t="s">
        <v>66</v>
      </c>
      <c r="AK474" s="3" t="s">
        <v>46</v>
      </c>
      <c r="AL474" s="3" t="s">
        <v>68</v>
      </c>
      <c r="AM474" s="3" t="s">
        <v>65</v>
      </c>
    </row>
    <row r="475" spans="1:39" ht="21" customHeight="1">
      <c r="A475" s="4">
        <v>46181</v>
      </c>
      <c r="B475" s="3" t="s">
        <v>65</v>
      </c>
      <c r="C475" s="3" t="s">
        <v>66</v>
      </c>
      <c r="D475" s="4">
        <v>46120</v>
      </c>
      <c r="E475" s="3">
        <v>61</v>
      </c>
      <c r="F475" s="3" t="s">
        <v>57</v>
      </c>
      <c r="G475" s="3" t="s">
        <v>49</v>
      </c>
      <c r="H475" s="3">
        <v>0</v>
      </c>
      <c r="I475" s="7">
        <v>94234</v>
      </c>
      <c r="J475" s="7">
        <v>33666</v>
      </c>
      <c r="K475" s="7">
        <v>60568</v>
      </c>
      <c r="L475" s="5">
        <f t="shared" si="85"/>
        <v>0.35725958783453954</v>
      </c>
      <c r="M475" s="5">
        <f t="shared" si="86"/>
        <v>-0.13449916420213448</v>
      </c>
      <c r="N475" s="7">
        <f t="shared" si="87"/>
        <v>101518.28571428571</v>
      </c>
      <c r="O475" s="7">
        <f t="shared" si="89"/>
        <v>102823.64285714286</v>
      </c>
      <c r="P475" s="8">
        <f t="shared" si="90"/>
        <v>0.9164623755931619</v>
      </c>
      <c r="Q475" s="7">
        <v>16</v>
      </c>
      <c r="R475" s="7">
        <v>16</v>
      </c>
      <c r="S475" s="7">
        <v>1093</v>
      </c>
      <c r="T475" s="7">
        <v>652400</v>
      </c>
      <c r="U475" s="7">
        <v>62</v>
      </c>
      <c r="V475" s="7">
        <v>3239850</v>
      </c>
      <c r="W475" s="7">
        <v>40</v>
      </c>
      <c r="X475" s="3" t="s">
        <v>74</v>
      </c>
      <c r="Y475" s="3" t="s">
        <v>71</v>
      </c>
      <c r="Z475" s="9">
        <v>1.1173200000000001</v>
      </c>
      <c r="AA475" s="5">
        <f t="shared" si="84"/>
        <v>-0.41525756362551614</v>
      </c>
      <c r="AB475" s="9">
        <f t="shared" si="88"/>
        <v>1.8715314285714286</v>
      </c>
      <c r="AC475" s="9">
        <f t="shared" si="91"/>
        <v>3.1374007142857145</v>
      </c>
      <c r="AD475" s="8">
        <f t="shared" si="92"/>
        <v>0.59652291785670619</v>
      </c>
      <c r="AE475" s="3" t="s">
        <v>44</v>
      </c>
      <c r="AF475" s="10">
        <f t="shared" si="93"/>
        <v>40085.5</v>
      </c>
      <c r="AG475" s="11">
        <f t="shared" si="94"/>
        <v>0.83985481034289211</v>
      </c>
      <c r="AH475" s="11">
        <f t="shared" si="95"/>
        <v>0.35612919794160819</v>
      </c>
      <c r="AI475" s="3" t="s">
        <v>45</v>
      </c>
      <c r="AJ475" s="3" t="s">
        <v>66</v>
      </c>
      <c r="AK475" s="3" t="s">
        <v>46</v>
      </c>
      <c r="AL475" s="3" t="s">
        <v>68</v>
      </c>
      <c r="AM475" s="3" t="s">
        <v>65</v>
      </c>
    </row>
    <row r="476" spans="1:39" ht="21" customHeight="1">
      <c r="A476" s="4">
        <v>46182</v>
      </c>
      <c r="B476" s="3" t="s">
        <v>65</v>
      </c>
      <c r="C476" s="3" t="s">
        <v>66</v>
      </c>
      <c r="D476" s="4">
        <v>46120</v>
      </c>
      <c r="E476" s="3">
        <v>62</v>
      </c>
      <c r="F476" s="3" t="s">
        <v>57</v>
      </c>
      <c r="G476" s="3" t="s">
        <v>50</v>
      </c>
      <c r="H476" s="3">
        <v>0</v>
      </c>
      <c r="I476" s="7">
        <v>94759</v>
      </c>
      <c r="J476" s="7">
        <v>33926</v>
      </c>
      <c r="K476" s="7">
        <v>60834</v>
      </c>
      <c r="L476" s="5">
        <f t="shared" si="85"/>
        <v>0.35802403993288234</v>
      </c>
      <c r="M476" s="5">
        <f t="shared" si="86"/>
        <v>5.5712375575693862E-3</v>
      </c>
      <c r="N476" s="7">
        <f t="shared" si="87"/>
        <v>101479.85714285714</v>
      </c>
      <c r="O476" s="7">
        <f t="shared" si="89"/>
        <v>102997.39285714286</v>
      </c>
      <c r="P476" s="8">
        <f t="shared" si="90"/>
        <v>0.92001357870708933</v>
      </c>
      <c r="Q476" s="7">
        <v>17</v>
      </c>
      <c r="R476" s="7">
        <v>17</v>
      </c>
      <c r="S476" s="7">
        <v>1169</v>
      </c>
      <c r="T476" s="7">
        <v>636100</v>
      </c>
      <c r="U476" s="7">
        <v>63</v>
      </c>
      <c r="V476" s="7">
        <v>3239913</v>
      </c>
      <c r="W476" s="7">
        <v>48</v>
      </c>
      <c r="X476" s="3" t="s">
        <v>74</v>
      </c>
      <c r="Y476" s="3" t="s">
        <v>71</v>
      </c>
      <c r="Z476" s="9">
        <v>0.81303999999999998</v>
      </c>
      <c r="AA476" s="5">
        <f t="shared" si="84"/>
        <v>-0.27233021873769381</v>
      </c>
      <c r="AB476" s="9">
        <f t="shared" si="88"/>
        <v>1.6651528571428571</v>
      </c>
      <c r="AC476" s="9">
        <f t="shared" si="91"/>
        <v>3.0194032142857155</v>
      </c>
      <c r="AD476" s="8">
        <f t="shared" si="92"/>
        <v>0.55148409767351114</v>
      </c>
      <c r="AE476" s="3" t="s">
        <v>44</v>
      </c>
      <c r="AF476" s="10">
        <f t="shared" si="93"/>
        <v>33197.25</v>
      </c>
      <c r="AG476" s="11">
        <f t="shared" si="94"/>
        <v>1.021952119527973</v>
      </c>
      <c r="AH476" s="11">
        <f t="shared" si="95"/>
        <v>0.26927175415103899</v>
      </c>
      <c r="AI476" s="3" t="s">
        <v>45</v>
      </c>
      <c r="AJ476" s="3" t="s">
        <v>66</v>
      </c>
      <c r="AK476" s="3" t="s">
        <v>46</v>
      </c>
      <c r="AL476" s="3" t="s">
        <v>68</v>
      </c>
      <c r="AM476" s="3" t="s">
        <v>65</v>
      </c>
    </row>
    <row r="477" spans="1:39" ht="21" customHeight="1">
      <c r="A477" s="4">
        <v>46183</v>
      </c>
      <c r="B477" s="3" t="s">
        <v>65</v>
      </c>
      <c r="C477" s="3" t="s">
        <v>66</v>
      </c>
      <c r="D477" s="4">
        <v>46120</v>
      </c>
      <c r="E477" s="3">
        <v>63</v>
      </c>
      <c r="F477" s="3" t="s">
        <v>57</v>
      </c>
      <c r="G477" s="3" t="s">
        <v>51</v>
      </c>
      <c r="H477" s="3">
        <v>0</v>
      </c>
      <c r="I477" s="7">
        <v>95484</v>
      </c>
      <c r="J477" s="7">
        <v>33820</v>
      </c>
      <c r="K477" s="7">
        <v>61663</v>
      </c>
      <c r="L477" s="5">
        <f t="shared" si="85"/>
        <v>0.35419546730342255</v>
      </c>
      <c r="M477" s="5">
        <f t="shared" si="86"/>
        <v>7.6509882966262488E-3</v>
      </c>
      <c r="N477" s="7">
        <f t="shared" si="87"/>
        <v>100711</v>
      </c>
      <c r="O477" s="7">
        <f t="shared" si="89"/>
        <v>103123.89285714286</v>
      </c>
      <c r="P477" s="8">
        <f t="shared" si="90"/>
        <v>0.92591539510900378</v>
      </c>
      <c r="Q477" s="7">
        <v>10</v>
      </c>
      <c r="R477" s="7">
        <v>11</v>
      </c>
      <c r="S477" s="7">
        <v>1029</v>
      </c>
      <c r="T477" s="7">
        <v>531000</v>
      </c>
      <c r="U477" s="7">
        <v>63</v>
      </c>
      <c r="V477" s="7">
        <v>3239976</v>
      </c>
      <c r="W477" s="7">
        <v>46</v>
      </c>
      <c r="X477" s="3" t="s">
        <v>74</v>
      </c>
      <c r="Y477" s="3" t="s">
        <v>71</v>
      </c>
      <c r="Z477" s="9">
        <v>0.70935000000000004</v>
      </c>
      <c r="AA477" s="5">
        <f t="shared" si="84"/>
        <v>-0.12753370067893333</v>
      </c>
      <c r="AB477" s="9">
        <f t="shared" si="88"/>
        <v>1.4057128571428572</v>
      </c>
      <c r="AC477" s="9">
        <f t="shared" si="91"/>
        <v>2.9269850000000006</v>
      </c>
      <c r="AD477" s="8">
        <f t="shared" si="92"/>
        <v>0.4802596723737419</v>
      </c>
      <c r="AE477" s="3" t="s">
        <v>44</v>
      </c>
      <c r="AF477" s="10">
        <f t="shared" si="93"/>
        <v>35373.75</v>
      </c>
      <c r="AG477" s="11">
        <f t="shared" si="94"/>
        <v>0.95607618643768333</v>
      </c>
      <c r="AH477" s="11">
        <f t="shared" si="95"/>
        <v>0.24234835504794178</v>
      </c>
      <c r="AI477" s="3" t="s">
        <v>45</v>
      </c>
      <c r="AJ477" s="3" t="s">
        <v>66</v>
      </c>
      <c r="AK477" s="3" t="s">
        <v>46</v>
      </c>
      <c r="AL477" s="3" t="s">
        <v>68</v>
      </c>
      <c r="AM477" s="3" t="s">
        <v>65</v>
      </c>
    </row>
    <row r="478" spans="1:39" ht="21" customHeight="1">
      <c r="A478" s="4">
        <v>46184</v>
      </c>
      <c r="B478" s="3" t="s">
        <v>65</v>
      </c>
      <c r="C478" s="3" t="s">
        <v>66</v>
      </c>
      <c r="D478" s="4">
        <v>46120</v>
      </c>
      <c r="E478" s="3">
        <v>64</v>
      </c>
      <c r="F478" s="3" t="s">
        <v>57</v>
      </c>
      <c r="G478" s="3" t="s">
        <v>52</v>
      </c>
      <c r="H478" s="3">
        <v>0</v>
      </c>
      <c r="I478" s="7">
        <v>95372</v>
      </c>
      <c r="J478" s="7">
        <v>34965</v>
      </c>
      <c r="K478" s="7">
        <v>60406</v>
      </c>
      <c r="L478" s="5">
        <f t="shared" si="85"/>
        <v>0.36661703644675586</v>
      </c>
      <c r="M478" s="5">
        <f t="shared" si="86"/>
        <v>-1.1729713878765313E-3</v>
      </c>
      <c r="N478" s="7">
        <f t="shared" si="87"/>
        <v>101055</v>
      </c>
      <c r="O478" s="7">
        <f t="shared" si="89"/>
        <v>103159.17857142857</v>
      </c>
      <c r="P478" s="8">
        <f t="shared" si="90"/>
        <v>0.92451298392186565</v>
      </c>
      <c r="Q478" s="7">
        <v>11</v>
      </c>
      <c r="R478" s="7">
        <v>12</v>
      </c>
      <c r="S478" s="7">
        <v>1210</v>
      </c>
      <c r="T478" s="7">
        <v>475000</v>
      </c>
      <c r="U478" s="7">
        <v>58</v>
      </c>
      <c r="V478" s="7">
        <v>3240034</v>
      </c>
      <c r="W478" s="7">
        <v>53</v>
      </c>
      <c r="X478" s="3" t="s">
        <v>74</v>
      </c>
      <c r="Y478" s="3" t="s">
        <v>71</v>
      </c>
      <c r="Z478" s="9">
        <v>0.66191999999999995</v>
      </c>
      <c r="AA478" s="5">
        <f t="shared" si="84"/>
        <v>-6.6864030450412448E-2</v>
      </c>
      <c r="AB478" s="9">
        <f t="shared" si="88"/>
        <v>1.2849485714285716</v>
      </c>
      <c r="AC478" s="9">
        <f t="shared" si="91"/>
        <v>2.8312900000000001</v>
      </c>
      <c r="AD478" s="8">
        <f t="shared" si="92"/>
        <v>0.4538385581938168</v>
      </c>
      <c r="AE478" s="3" t="s">
        <v>44</v>
      </c>
      <c r="AF478" s="10">
        <f t="shared" si="93"/>
        <v>33946.75</v>
      </c>
      <c r="AG478" s="11">
        <f t="shared" si="94"/>
        <v>1.0299955076701011</v>
      </c>
      <c r="AH478" s="11">
        <f t="shared" si="95"/>
        <v>0.23378742551981604</v>
      </c>
      <c r="AI478" s="3" t="s">
        <v>45</v>
      </c>
      <c r="AJ478" s="3" t="s">
        <v>66</v>
      </c>
      <c r="AK478" s="3" t="s">
        <v>46</v>
      </c>
      <c r="AL478" s="3" t="s">
        <v>68</v>
      </c>
      <c r="AM478" s="3" t="s">
        <v>65</v>
      </c>
    </row>
    <row r="479" spans="1:39" ht="21" customHeight="1">
      <c r="A479" s="4">
        <v>46185</v>
      </c>
      <c r="B479" s="3" t="s">
        <v>65</v>
      </c>
      <c r="C479" s="3" t="s">
        <v>66</v>
      </c>
      <c r="D479" s="4">
        <v>46120</v>
      </c>
      <c r="E479" s="3">
        <v>65</v>
      </c>
      <c r="F479" s="3" t="s">
        <v>57</v>
      </c>
      <c r="G479" s="3" t="s">
        <v>53</v>
      </c>
      <c r="H479" s="3">
        <v>0</v>
      </c>
      <c r="I479" s="7">
        <v>98539</v>
      </c>
      <c r="J479" s="7">
        <v>38234</v>
      </c>
      <c r="K479" s="7">
        <v>60305</v>
      </c>
      <c r="L479" s="5">
        <f t="shared" si="85"/>
        <v>0.38800880869503446</v>
      </c>
      <c r="M479" s="5">
        <f t="shared" si="86"/>
        <v>3.3206811223419841E-2</v>
      </c>
      <c r="N479" s="7">
        <f t="shared" si="87"/>
        <v>100746.57142857143</v>
      </c>
      <c r="O479" s="7">
        <f t="shared" si="89"/>
        <v>103178.17857142857</v>
      </c>
      <c r="P479" s="8">
        <f t="shared" si="90"/>
        <v>0.9550372119796926</v>
      </c>
      <c r="Q479" s="7">
        <v>12</v>
      </c>
      <c r="R479" s="7">
        <v>12</v>
      </c>
      <c r="S479" s="7">
        <v>1189</v>
      </c>
      <c r="T479" s="7">
        <v>662000</v>
      </c>
      <c r="U479" s="7">
        <v>74</v>
      </c>
      <c r="V479" s="7">
        <v>3240108</v>
      </c>
      <c r="W479" s="7">
        <v>48</v>
      </c>
      <c r="X479" s="3" t="s">
        <v>74</v>
      </c>
      <c r="Y479" s="3" t="s">
        <v>71</v>
      </c>
      <c r="Z479" s="9">
        <v>0.67188999999999999</v>
      </c>
      <c r="AA479" s="5">
        <f t="shared" si="84"/>
        <v>1.5062243171380274E-2</v>
      </c>
      <c r="AB479" s="9">
        <f t="shared" si="88"/>
        <v>1.1568028571428572</v>
      </c>
      <c r="AC479" s="9">
        <f t="shared" si="91"/>
        <v>2.7542246428571429</v>
      </c>
      <c r="AD479" s="8">
        <f t="shared" si="92"/>
        <v>0.42001035033323486</v>
      </c>
      <c r="AE479" s="3" t="s">
        <v>44</v>
      </c>
      <c r="AF479" s="10">
        <f t="shared" si="93"/>
        <v>41181.75</v>
      </c>
      <c r="AG479" s="11">
        <f t="shared" si="94"/>
        <v>0.92842096316936507</v>
      </c>
      <c r="AH479" s="11">
        <f t="shared" si="95"/>
        <v>0.24394887386636815</v>
      </c>
      <c r="AI479" s="3" t="s">
        <v>45</v>
      </c>
      <c r="AJ479" s="3" t="s">
        <v>66</v>
      </c>
      <c r="AK479" s="3" t="s">
        <v>46</v>
      </c>
      <c r="AL479" s="3" t="s">
        <v>68</v>
      </c>
      <c r="AM479" s="3" t="s">
        <v>65</v>
      </c>
    </row>
    <row r="480" spans="1:39" ht="21" customHeight="1">
      <c r="A480" s="4">
        <v>46186</v>
      </c>
      <c r="B480" s="3" t="s">
        <v>65</v>
      </c>
      <c r="C480" s="3" t="s">
        <v>66</v>
      </c>
      <c r="D480" s="4">
        <v>46120</v>
      </c>
      <c r="E480" s="3">
        <v>66</v>
      </c>
      <c r="F480" s="3" t="s">
        <v>57</v>
      </c>
      <c r="G480" s="3" t="s">
        <v>42</v>
      </c>
      <c r="H480" s="3">
        <v>1</v>
      </c>
      <c r="I480" s="7">
        <v>117478</v>
      </c>
      <c r="J480" s="7">
        <v>61772</v>
      </c>
      <c r="K480" s="7">
        <v>55706</v>
      </c>
      <c r="L480" s="5">
        <f t="shared" si="85"/>
        <v>0.52581759989104337</v>
      </c>
      <c r="M480" s="5">
        <f t="shared" si="86"/>
        <v>0.19219801296948424</v>
      </c>
      <c r="N480" s="7">
        <f t="shared" si="87"/>
        <v>100677.71428571429</v>
      </c>
      <c r="O480" s="7">
        <f t="shared" si="89"/>
        <v>103039.78571428571</v>
      </c>
      <c r="P480" s="8">
        <f t="shared" si="90"/>
        <v>1.1401227126553752</v>
      </c>
      <c r="Q480" s="7">
        <v>16</v>
      </c>
      <c r="R480" s="7">
        <v>16</v>
      </c>
      <c r="S480" s="7">
        <v>1234</v>
      </c>
      <c r="T480" s="7">
        <v>873500</v>
      </c>
      <c r="U480" s="7">
        <v>94</v>
      </c>
      <c r="V480" s="7">
        <v>3240202</v>
      </c>
      <c r="W480" s="7">
        <v>48</v>
      </c>
      <c r="X480" s="3" t="s">
        <v>74</v>
      </c>
      <c r="Y480" s="3" t="s">
        <v>71</v>
      </c>
      <c r="Z480" s="9">
        <v>1.0652299999999999</v>
      </c>
      <c r="AA480" s="5">
        <f t="shared" si="84"/>
        <v>0.58542320915626056</v>
      </c>
      <c r="AB480" s="9">
        <f t="shared" si="88"/>
        <v>0.99279142857142855</v>
      </c>
      <c r="AC480" s="9">
        <f t="shared" si="91"/>
        <v>2.6692128571428584</v>
      </c>
      <c r="AD480" s="8">
        <f t="shared" si="92"/>
        <v>0.37194164785873185</v>
      </c>
      <c r="AE480" s="3" t="s">
        <v>44</v>
      </c>
      <c r="AF480" s="10">
        <f t="shared" si="93"/>
        <v>65483.75</v>
      </c>
      <c r="AG480" s="11">
        <f t="shared" si="94"/>
        <v>0.94331799874014544</v>
      </c>
      <c r="AH480" s="11">
        <f t="shared" si="95"/>
        <v>0.39908019967363284</v>
      </c>
      <c r="AI480" s="3" t="s">
        <v>45</v>
      </c>
      <c r="AJ480" s="3" t="s">
        <v>66</v>
      </c>
      <c r="AK480" s="3" t="s">
        <v>46</v>
      </c>
      <c r="AL480" s="3" t="s">
        <v>68</v>
      </c>
      <c r="AM480" s="3" t="s">
        <v>65</v>
      </c>
    </row>
    <row r="481" spans="1:39" ht="21" customHeight="1">
      <c r="A481" s="4">
        <v>46187</v>
      </c>
      <c r="B481" s="3" t="s">
        <v>65</v>
      </c>
      <c r="C481" s="3" t="s">
        <v>66</v>
      </c>
      <c r="D481" s="4">
        <v>46120</v>
      </c>
      <c r="E481" s="3">
        <v>67</v>
      </c>
      <c r="F481" s="3" t="s">
        <v>57</v>
      </c>
      <c r="G481" s="3" t="s">
        <v>48</v>
      </c>
      <c r="H481" s="3">
        <v>1</v>
      </c>
      <c r="I481" s="7">
        <v>106718</v>
      </c>
      <c r="J481" s="7">
        <v>53378</v>
      </c>
      <c r="K481" s="7">
        <v>53340</v>
      </c>
      <c r="L481" s="5">
        <f t="shared" si="85"/>
        <v>0.50017803931857796</v>
      </c>
      <c r="M481" s="5">
        <f t="shared" si="86"/>
        <v>-9.1591617153850113E-2</v>
      </c>
      <c r="N481" s="7">
        <f t="shared" si="87"/>
        <v>100369.14285714286</v>
      </c>
      <c r="O481" s="7">
        <f t="shared" si="89"/>
        <v>103020.17857142857</v>
      </c>
      <c r="P481" s="8">
        <f t="shared" si="90"/>
        <v>1.0358941469511</v>
      </c>
      <c r="Q481" s="7">
        <v>13</v>
      </c>
      <c r="R481" s="7">
        <v>13</v>
      </c>
      <c r="S481" s="7">
        <v>1168</v>
      </c>
      <c r="T481" s="7">
        <v>637000</v>
      </c>
      <c r="U481" s="7">
        <v>71</v>
      </c>
      <c r="V481" s="7">
        <v>3240273</v>
      </c>
      <c r="W481" s="7">
        <v>56</v>
      </c>
      <c r="X481" s="3" t="s">
        <v>74</v>
      </c>
      <c r="Y481" s="3" t="s">
        <v>71</v>
      </c>
      <c r="Z481" s="9">
        <v>1.0685500000000001</v>
      </c>
      <c r="AA481" s="5">
        <f t="shared" si="84"/>
        <v>3.1166978023526859E-3</v>
      </c>
      <c r="AB481" s="9">
        <f t="shared" si="88"/>
        <v>0.87247142857142845</v>
      </c>
      <c r="AC481" s="9">
        <f t="shared" si="91"/>
        <v>2.5619942857142859</v>
      </c>
      <c r="AD481" s="8">
        <f t="shared" si="92"/>
        <v>0.34054386203604775</v>
      </c>
      <c r="AE481" s="3" t="s">
        <v>44</v>
      </c>
      <c r="AF481" s="10">
        <f t="shared" si="93"/>
        <v>64382.5</v>
      </c>
      <c r="AG481" s="11">
        <f t="shared" si="94"/>
        <v>0.82907622412922766</v>
      </c>
      <c r="AH481" s="11">
        <f t="shared" si="95"/>
        <v>0.41707743298189581</v>
      </c>
      <c r="AI481" s="3" t="s">
        <v>45</v>
      </c>
      <c r="AJ481" s="3" t="s">
        <v>66</v>
      </c>
      <c r="AK481" s="3" t="s">
        <v>46</v>
      </c>
      <c r="AL481" s="3" t="s">
        <v>68</v>
      </c>
      <c r="AM481" s="3" t="s">
        <v>65</v>
      </c>
    </row>
    <row r="482" spans="1:39" ht="21" customHeight="1">
      <c r="A482" s="4">
        <v>46188</v>
      </c>
      <c r="B482" s="3" t="s">
        <v>65</v>
      </c>
      <c r="C482" s="3" t="s">
        <v>66</v>
      </c>
      <c r="D482" s="4">
        <v>46120</v>
      </c>
      <c r="E482" s="3">
        <v>68</v>
      </c>
      <c r="F482" s="3" t="s">
        <v>57</v>
      </c>
      <c r="G482" s="3" t="s">
        <v>49</v>
      </c>
      <c r="H482" s="3">
        <v>0</v>
      </c>
      <c r="I482" s="7">
        <v>96026</v>
      </c>
      <c r="J482" s="7">
        <v>35564</v>
      </c>
      <c r="K482" s="7">
        <v>60462</v>
      </c>
      <c r="L482" s="5">
        <f t="shared" si="85"/>
        <v>0.37035802803407408</v>
      </c>
      <c r="M482" s="5">
        <f t="shared" si="86"/>
        <v>-0.10018928390711968</v>
      </c>
      <c r="N482" s="7">
        <f t="shared" si="87"/>
        <v>100625.14285714286</v>
      </c>
      <c r="O482" s="7">
        <f t="shared" si="89"/>
        <v>102815.03571428571</v>
      </c>
      <c r="P482" s="8">
        <f t="shared" si="90"/>
        <v>0.93396845444715049</v>
      </c>
      <c r="Q482" s="7">
        <v>7</v>
      </c>
      <c r="R482" s="7">
        <v>7</v>
      </c>
      <c r="S482" s="7">
        <v>822</v>
      </c>
      <c r="T482" s="7">
        <v>163000</v>
      </c>
      <c r="U482" s="7">
        <v>18</v>
      </c>
      <c r="V482" s="7">
        <v>3240291</v>
      </c>
      <c r="W482" s="7">
        <v>65</v>
      </c>
      <c r="X482" s="3" t="s">
        <v>74</v>
      </c>
      <c r="Y482" s="3" t="s">
        <v>71</v>
      </c>
      <c r="Z482" s="9">
        <v>0.61187999999999998</v>
      </c>
      <c r="AA482" s="5">
        <f t="shared" si="84"/>
        <v>-0.42737354358710411</v>
      </c>
      <c r="AB482" s="9">
        <f t="shared" si="88"/>
        <v>0.80026571428571436</v>
      </c>
      <c r="AC482" s="9">
        <f t="shared" si="91"/>
        <v>2.4503028571428573</v>
      </c>
      <c r="AD482" s="8">
        <f t="shared" si="92"/>
        <v>0.32659869450540224</v>
      </c>
      <c r="AE482" s="3" t="s">
        <v>44</v>
      </c>
      <c r="AF482" s="10">
        <f t="shared" si="93"/>
        <v>40760</v>
      </c>
      <c r="AG482" s="11">
        <f t="shared" si="94"/>
        <v>0.87252208047105007</v>
      </c>
      <c r="AH482" s="11">
        <f t="shared" si="95"/>
        <v>0.24971607008346489</v>
      </c>
      <c r="AI482" s="3" t="s">
        <v>45</v>
      </c>
      <c r="AJ482" s="3" t="s">
        <v>66</v>
      </c>
      <c r="AK482" s="3" t="s">
        <v>46</v>
      </c>
      <c r="AL482" s="3" t="s">
        <v>68</v>
      </c>
      <c r="AM482" s="3" t="s">
        <v>65</v>
      </c>
    </row>
    <row r="483" spans="1:39" ht="21" customHeight="1">
      <c r="A483" s="4">
        <v>46189</v>
      </c>
      <c r="B483" s="3" t="s">
        <v>65</v>
      </c>
      <c r="C483" s="3" t="s">
        <v>66</v>
      </c>
      <c r="D483" s="4">
        <v>46120</v>
      </c>
      <c r="E483" s="3">
        <v>69</v>
      </c>
      <c r="F483" s="3" t="s">
        <v>57</v>
      </c>
      <c r="G483" s="3" t="s">
        <v>50</v>
      </c>
      <c r="H483" s="3">
        <v>0</v>
      </c>
      <c r="I483" s="7">
        <v>97965</v>
      </c>
      <c r="J483" s="7">
        <v>37104</v>
      </c>
      <c r="K483" s="7">
        <v>60862</v>
      </c>
      <c r="L483" s="5">
        <f t="shared" si="85"/>
        <v>0.37874751186648292</v>
      </c>
      <c r="M483" s="5">
        <f t="shared" si="86"/>
        <v>2.0192447878699449E-2</v>
      </c>
      <c r="N483" s="7">
        <f t="shared" si="87"/>
        <v>101083.14285714286</v>
      </c>
      <c r="O483" s="7">
        <f t="shared" si="89"/>
        <v>102918.03571428571</v>
      </c>
      <c r="P483" s="8">
        <f t="shared" si="90"/>
        <v>0.9518739773849163</v>
      </c>
      <c r="Q483" s="7">
        <v>10</v>
      </c>
      <c r="R483" s="7">
        <v>10</v>
      </c>
      <c r="S483" s="7">
        <v>801</v>
      </c>
      <c r="T483" s="7">
        <v>276370</v>
      </c>
      <c r="U483" s="7">
        <v>30</v>
      </c>
      <c r="V483" s="7">
        <v>3240321</v>
      </c>
      <c r="W483" s="7">
        <v>69</v>
      </c>
      <c r="X483" s="3" t="s">
        <v>74</v>
      </c>
      <c r="Y483" s="3" t="s">
        <v>71</v>
      </c>
      <c r="Z483" s="9">
        <v>0.52</v>
      </c>
      <c r="AA483" s="5">
        <f t="shared" si="84"/>
        <v>-0.15016016212329208</v>
      </c>
      <c r="AB483" s="9">
        <f t="shared" si="88"/>
        <v>0.75840285714285727</v>
      </c>
      <c r="AC483" s="9">
        <f t="shared" si="91"/>
        <v>2.3710692857142854</v>
      </c>
      <c r="AD483" s="8">
        <f t="shared" si="92"/>
        <v>0.31985689398122674</v>
      </c>
      <c r="AE483" s="3" t="s">
        <v>44</v>
      </c>
      <c r="AF483" s="10">
        <f t="shared" si="93"/>
        <v>33608.75</v>
      </c>
      <c r="AG483" s="11">
        <f t="shared" si="94"/>
        <v>1.1039982147506229</v>
      </c>
      <c r="AH483" s="11">
        <f t="shared" si="95"/>
        <v>0.21931033527067509</v>
      </c>
      <c r="AI483" s="3" t="s">
        <v>45</v>
      </c>
      <c r="AJ483" s="3" t="s">
        <v>66</v>
      </c>
      <c r="AK483" s="3" t="s">
        <v>46</v>
      </c>
      <c r="AL483" s="3" t="s">
        <v>68</v>
      </c>
      <c r="AM483" s="3" t="s">
        <v>65</v>
      </c>
    </row>
    <row r="484" spans="1:39" ht="21" customHeight="1">
      <c r="A484" s="4">
        <v>46190</v>
      </c>
      <c r="B484" s="3" t="s">
        <v>65</v>
      </c>
      <c r="C484" s="3" t="s">
        <v>66</v>
      </c>
      <c r="D484" s="4">
        <v>46120</v>
      </c>
      <c r="E484" s="3">
        <v>70</v>
      </c>
      <c r="F484" s="3" t="s">
        <v>57</v>
      </c>
      <c r="G484" s="3" t="s">
        <v>51</v>
      </c>
      <c r="H484" s="3">
        <v>0</v>
      </c>
      <c r="I484" s="7">
        <v>98634</v>
      </c>
      <c r="J484" s="7">
        <v>37107</v>
      </c>
      <c r="K484" s="7">
        <v>61526</v>
      </c>
      <c r="L484" s="5">
        <f t="shared" si="85"/>
        <v>0.37620901514690674</v>
      </c>
      <c r="M484" s="5">
        <f t="shared" si="86"/>
        <v>6.8289695299341702E-3</v>
      </c>
      <c r="N484" s="7">
        <f t="shared" si="87"/>
        <v>101533.14285714286</v>
      </c>
      <c r="O484" s="7">
        <f t="shared" si="89"/>
        <v>103052.53571428571</v>
      </c>
      <c r="P484" s="8">
        <f t="shared" si="90"/>
        <v>0.95712346441880725</v>
      </c>
      <c r="Q484" s="7">
        <v>5</v>
      </c>
      <c r="R484" s="7">
        <v>5</v>
      </c>
      <c r="S484" s="7">
        <v>529</v>
      </c>
      <c r="T484" s="7">
        <v>125500</v>
      </c>
      <c r="U484" s="7">
        <v>16</v>
      </c>
      <c r="V484" s="7">
        <v>3240337</v>
      </c>
      <c r="W484" s="7">
        <v>80</v>
      </c>
      <c r="X484" s="3" t="s">
        <v>74</v>
      </c>
      <c r="Y484" s="3" t="s">
        <v>71</v>
      </c>
      <c r="Z484" s="9">
        <v>0.47171999999999997</v>
      </c>
      <c r="AA484" s="5">
        <f t="shared" si="84"/>
        <v>-9.2846153846153912E-2</v>
      </c>
      <c r="AB484" s="9">
        <f t="shared" si="88"/>
        <v>0.72445571428571431</v>
      </c>
      <c r="AC484" s="9">
        <f t="shared" si="91"/>
        <v>2.3091046428571427</v>
      </c>
      <c r="AD484" s="8">
        <f t="shared" si="92"/>
        <v>0.31373879764466533</v>
      </c>
      <c r="AE484" s="3" t="s">
        <v>44</v>
      </c>
      <c r="AF484" s="10">
        <f t="shared" si="93"/>
        <v>35172.25</v>
      </c>
      <c r="AG484" s="11">
        <f t="shared" si="94"/>
        <v>1.0550078542032426</v>
      </c>
      <c r="AH484" s="11">
        <f t="shared" si="95"/>
        <v>0.20428697393996095</v>
      </c>
      <c r="AI484" s="3" t="s">
        <v>45</v>
      </c>
      <c r="AJ484" s="3" t="s">
        <v>66</v>
      </c>
      <c r="AK484" s="3" t="s">
        <v>46</v>
      </c>
      <c r="AL484" s="3" t="s">
        <v>68</v>
      </c>
      <c r="AM484" s="3" t="s">
        <v>65</v>
      </c>
    </row>
    <row r="485" spans="1:39" ht="21" customHeight="1">
      <c r="A485" s="4">
        <v>46191</v>
      </c>
      <c r="B485" s="3" t="s">
        <v>65</v>
      </c>
      <c r="C485" s="3" t="s">
        <v>66</v>
      </c>
      <c r="D485" s="4">
        <v>46120</v>
      </c>
      <c r="E485" s="3">
        <v>71</v>
      </c>
      <c r="F485" s="3" t="s">
        <v>57</v>
      </c>
      <c r="G485" s="3" t="s">
        <v>52</v>
      </c>
      <c r="H485" s="3">
        <v>0</v>
      </c>
      <c r="I485" s="7">
        <v>98714</v>
      </c>
      <c r="J485" s="7">
        <v>37740</v>
      </c>
      <c r="K485" s="7">
        <v>60974</v>
      </c>
      <c r="L485" s="5">
        <f t="shared" si="85"/>
        <v>0.38231659136495327</v>
      </c>
      <c r="M485" s="5">
        <f t="shared" si="86"/>
        <v>8.1107934383672919E-4</v>
      </c>
      <c r="N485" s="7">
        <f t="shared" si="87"/>
        <v>102010.57142857143</v>
      </c>
      <c r="O485" s="7">
        <f t="shared" si="89"/>
        <v>103450.32142857143</v>
      </c>
      <c r="P485" s="8">
        <f t="shared" si="90"/>
        <v>0.95421646483871303</v>
      </c>
      <c r="Q485" s="7">
        <v>6</v>
      </c>
      <c r="R485" s="7">
        <v>6</v>
      </c>
      <c r="S485" s="7">
        <v>597</v>
      </c>
      <c r="T485" s="7">
        <v>270000</v>
      </c>
      <c r="U485" s="7">
        <v>27</v>
      </c>
      <c r="V485" s="7">
        <v>3240364</v>
      </c>
      <c r="W485" s="7">
        <v>75</v>
      </c>
      <c r="X485" s="3" t="s">
        <v>74</v>
      </c>
      <c r="Y485" s="3" t="s">
        <v>71</v>
      </c>
      <c r="Z485" s="9">
        <v>0.48443999999999998</v>
      </c>
      <c r="AA485" s="5">
        <f t="shared" si="84"/>
        <v>2.6965148817094997E-2</v>
      </c>
      <c r="AB485" s="9">
        <f t="shared" si="88"/>
        <v>0.69910142857142865</v>
      </c>
      <c r="AC485" s="9">
        <f t="shared" si="91"/>
        <v>2.2456074999999998</v>
      </c>
      <c r="AD485" s="8">
        <f t="shared" si="92"/>
        <v>0.31131951089913473</v>
      </c>
      <c r="AE485" s="3" t="s">
        <v>44</v>
      </c>
      <c r="AF485" s="10">
        <f t="shared" si="93"/>
        <v>33833</v>
      </c>
      <c r="AG485" s="11">
        <f t="shared" si="94"/>
        <v>1.1154789702361601</v>
      </c>
      <c r="AH485" s="11">
        <f t="shared" si="95"/>
        <v>0.21572781530165003</v>
      </c>
      <c r="AI485" s="3" t="s">
        <v>45</v>
      </c>
      <c r="AJ485" s="3" t="s">
        <v>66</v>
      </c>
      <c r="AK485" s="3" t="s">
        <v>46</v>
      </c>
      <c r="AL485" s="3" t="s">
        <v>68</v>
      </c>
      <c r="AM485" s="3" t="s">
        <v>65</v>
      </c>
    </row>
    <row r="486" spans="1:39" ht="21" customHeight="1">
      <c r="A486" s="4">
        <v>46192</v>
      </c>
      <c r="B486" s="3" t="s">
        <v>65</v>
      </c>
      <c r="C486" s="3" t="s">
        <v>66</v>
      </c>
      <c r="D486" s="4">
        <v>46120</v>
      </c>
      <c r="E486" s="3">
        <v>72</v>
      </c>
      <c r="F486" s="3" t="s">
        <v>57</v>
      </c>
      <c r="G486" s="3" t="s">
        <v>53</v>
      </c>
      <c r="H486" s="3">
        <v>0</v>
      </c>
      <c r="I486" s="7">
        <v>100656</v>
      </c>
      <c r="J486" s="7">
        <v>40313</v>
      </c>
      <c r="K486" s="7">
        <v>60344</v>
      </c>
      <c r="L486" s="5">
        <f t="shared" si="85"/>
        <v>0.40050270227308854</v>
      </c>
      <c r="M486" s="5">
        <f t="shared" si="86"/>
        <v>1.9672994711996239E-2</v>
      </c>
      <c r="N486" s="7">
        <f t="shared" si="87"/>
        <v>102313</v>
      </c>
      <c r="O486" s="7">
        <f t="shared" si="89"/>
        <v>103684.57142857143</v>
      </c>
      <c r="P486" s="8">
        <f t="shared" si="90"/>
        <v>0.97079052951809874</v>
      </c>
      <c r="Q486" s="7">
        <v>8</v>
      </c>
      <c r="R486" s="7">
        <v>8</v>
      </c>
      <c r="S486" s="7">
        <v>803</v>
      </c>
      <c r="T486" s="7">
        <v>264500</v>
      </c>
      <c r="U486" s="7">
        <v>26</v>
      </c>
      <c r="V486" s="7">
        <v>3240390</v>
      </c>
      <c r="W486" s="7">
        <v>84</v>
      </c>
      <c r="X486" s="3" t="s">
        <v>74</v>
      </c>
      <c r="Y486" s="3" t="s">
        <v>71</v>
      </c>
      <c r="Z486" s="9">
        <v>0.57201999999999997</v>
      </c>
      <c r="AA486" s="5">
        <f t="shared" si="84"/>
        <v>0.18078606225745197</v>
      </c>
      <c r="AB486" s="9">
        <f t="shared" si="88"/>
        <v>0.68483428571428573</v>
      </c>
      <c r="AC486" s="9">
        <f t="shared" si="91"/>
        <v>2.1915942857142858</v>
      </c>
      <c r="AD486" s="8">
        <f t="shared" si="92"/>
        <v>0.31248223732755542</v>
      </c>
      <c r="AE486" s="3" t="s">
        <v>44</v>
      </c>
      <c r="AF486" s="10">
        <f t="shared" si="93"/>
        <v>40207</v>
      </c>
      <c r="AG486" s="11">
        <f t="shared" si="94"/>
        <v>1.0026363568532843</v>
      </c>
      <c r="AH486" s="11">
        <f t="shared" si="95"/>
        <v>0.26100633850373761</v>
      </c>
      <c r="AI486" s="3" t="s">
        <v>45</v>
      </c>
      <c r="AJ486" s="3" t="s">
        <v>66</v>
      </c>
      <c r="AK486" s="3" t="s">
        <v>46</v>
      </c>
      <c r="AL486" s="3" t="s">
        <v>68</v>
      </c>
      <c r="AM486" s="3" t="s">
        <v>65</v>
      </c>
    </row>
    <row r="487" spans="1:39" ht="21" customHeight="1">
      <c r="A487" s="4">
        <v>46193</v>
      </c>
      <c r="B487" s="3" t="s">
        <v>65</v>
      </c>
      <c r="C487" s="3" t="s">
        <v>66</v>
      </c>
      <c r="D487" s="4">
        <v>46120</v>
      </c>
      <c r="E487" s="3">
        <v>73</v>
      </c>
      <c r="F487" s="3" t="s">
        <v>57</v>
      </c>
      <c r="G487" s="3" t="s">
        <v>42</v>
      </c>
      <c r="H487" s="3">
        <v>1</v>
      </c>
      <c r="I487" s="7">
        <v>112609</v>
      </c>
      <c r="J487" s="7">
        <v>58656</v>
      </c>
      <c r="K487" s="7">
        <v>53952</v>
      </c>
      <c r="L487" s="5">
        <f t="shared" si="85"/>
        <v>0.52088198989423584</v>
      </c>
      <c r="M487" s="5">
        <f t="shared" si="86"/>
        <v>0.11875099348275309</v>
      </c>
      <c r="N487" s="7">
        <f t="shared" si="87"/>
        <v>101617.42857142857</v>
      </c>
      <c r="O487" s="7">
        <f t="shared" si="89"/>
        <v>103607.67857142857</v>
      </c>
      <c r="P487" s="8">
        <f t="shared" si="90"/>
        <v>1.0868789027288726</v>
      </c>
      <c r="Q487" s="7">
        <v>11</v>
      </c>
      <c r="R487" s="7">
        <v>11</v>
      </c>
      <c r="S487" s="7">
        <v>1040</v>
      </c>
      <c r="T487" s="7">
        <v>411000</v>
      </c>
      <c r="U487" s="7">
        <v>38</v>
      </c>
      <c r="V487" s="7">
        <v>3240428</v>
      </c>
      <c r="W487" s="7">
        <v>75</v>
      </c>
      <c r="X487" s="3" t="s">
        <v>74</v>
      </c>
      <c r="Y487" s="3" t="s">
        <v>71</v>
      </c>
      <c r="Z487" s="9">
        <v>0.96833000000000002</v>
      </c>
      <c r="AA487" s="5">
        <f t="shared" si="84"/>
        <v>0.69282542568441685</v>
      </c>
      <c r="AB487" s="9">
        <f t="shared" si="88"/>
        <v>0.67099142857142857</v>
      </c>
      <c r="AC487" s="9">
        <f t="shared" si="91"/>
        <v>2.1169575000000003</v>
      </c>
      <c r="AD487" s="8">
        <f t="shared" si="92"/>
        <v>0.3169602736811809</v>
      </c>
      <c r="AE487" s="3" t="s">
        <v>44</v>
      </c>
      <c r="AF487" s="10">
        <f t="shared" si="93"/>
        <v>65157.5</v>
      </c>
      <c r="AG487" s="11">
        <f t="shared" si="94"/>
        <v>0.90021870084027167</v>
      </c>
      <c r="AH487" s="11">
        <f t="shared" si="95"/>
        <v>0.45741589049378645</v>
      </c>
      <c r="AI487" s="3" t="s">
        <v>45</v>
      </c>
      <c r="AJ487" s="3" t="s">
        <v>66</v>
      </c>
      <c r="AK487" s="3" t="s">
        <v>46</v>
      </c>
      <c r="AL487" s="3" t="s">
        <v>68</v>
      </c>
      <c r="AM487" s="3" t="s">
        <v>65</v>
      </c>
    </row>
    <row r="488" spans="1:39" ht="21" customHeight="1">
      <c r="A488" s="4">
        <v>46194</v>
      </c>
      <c r="B488" s="3" t="s">
        <v>65</v>
      </c>
      <c r="C488" s="3" t="s">
        <v>66</v>
      </c>
      <c r="D488" s="4">
        <v>46120</v>
      </c>
      <c r="E488" s="3">
        <v>74</v>
      </c>
      <c r="F488" s="3" t="s">
        <v>57</v>
      </c>
      <c r="G488" s="3" t="s">
        <v>48</v>
      </c>
      <c r="H488" s="3">
        <v>1</v>
      </c>
      <c r="I488" s="7">
        <v>112214</v>
      </c>
      <c r="J488" s="7">
        <v>57866</v>
      </c>
      <c r="K488" s="7">
        <v>54348</v>
      </c>
      <c r="L488" s="5">
        <f t="shared" si="85"/>
        <v>0.51567540592082983</v>
      </c>
      <c r="M488" s="5">
        <f t="shared" si="86"/>
        <v>-3.5077125274178833E-3</v>
      </c>
      <c r="N488" s="7">
        <f t="shared" si="87"/>
        <v>102402.57142857143</v>
      </c>
      <c r="O488" s="7">
        <f t="shared" si="89"/>
        <v>103030.28571428571</v>
      </c>
      <c r="P488" s="8">
        <f t="shared" si="90"/>
        <v>1.0891360654010194</v>
      </c>
      <c r="Q488" s="7">
        <v>12</v>
      </c>
      <c r="R488" s="7">
        <v>12</v>
      </c>
      <c r="S488" s="7">
        <v>1014</v>
      </c>
      <c r="T488" s="7">
        <v>531500</v>
      </c>
      <c r="U488" s="7">
        <v>53</v>
      </c>
      <c r="V488" s="7">
        <v>3240481</v>
      </c>
      <c r="W488" s="7">
        <v>69</v>
      </c>
      <c r="X488" s="3" t="s">
        <v>74</v>
      </c>
      <c r="Y488" s="3" t="s">
        <v>71</v>
      </c>
      <c r="Z488" s="9">
        <v>0.80032000000000003</v>
      </c>
      <c r="AA488" s="5">
        <f t="shared" si="84"/>
        <v>-0.17350490018898512</v>
      </c>
      <c r="AB488" s="9">
        <f t="shared" si="88"/>
        <v>0.63267285714285715</v>
      </c>
      <c r="AC488" s="9">
        <f t="shared" si="91"/>
        <v>2.0402885714285715</v>
      </c>
      <c r="AD488" s="8">
        <f t="shared" si="92"/>
        <v>0.31008988924535885</v>
      </c>
      <c r="AE488" s="3" t="s">
        <v>44</v>
      </c>
      <c r="AF488" s="10">
        <f t="shared" si="93"/>
        <v>63125</v>
      </c>
      <c r="AG488" s="11">
        <f t="shared" si="94"/>
        <v>0.91668910891089106</v>
      </c>
      <c r="AH488" s="11">
        <f t="shared" si="95"/>
        <v>0.39225823798034171</v>
      </c>
      <c r="AI488" s="3" t="s">
        <v>45</v>
      </c>
      <c r="AJ488" s="3" t="s">
        <v>66</v>
      </c>
      <c r="AK488" s="3" t="s">
        <v>46</v>
      </c>
      <c r="AL488" s="3" t="s">
        <v>68</v>
      </c>
      <c r="AM488" s="3" t="s">
        <v>65</v>
      </c>
    </row>
    <row r="489" spans="1:39" ht="21" customHeight="1">
      <c r="A489" s="4">
        <v>46195</v>
      </c>
      <c r="B489" s="3" t="s">
        <v>65</v>
      </c>
      <c r="C489" s="3" t="s">
        <v>66</v>
      </c>
      <c r="D489" s="4">
        <v>46120</v>
      </c>
      <c r="E489" s="3">
        <v>75</v>
      </c>
      <c r="F489" s="3" t="s">
        <v>57</v>
      </c>
      <c r="G489" s="3" t="s">
        <v>49</v>
      </c>
      <c r="H489" s="3">
        <v>0</v>
      </c>
      <c r="I489" s="7">
        <v>98430</v>
      </c>
      <c r="J489" s="7">
        <v>37863</v>
      </c>
      <c r="K489" s="7">
        <v>60568</v>
      </c>
      <c r="L489" s="5">
        <f t="shared" si="85"/>
        <v>0.3846693081377629</v>
      </c>
      <c r="M489" s="5">
        <f t="shared" si="86"/>
        <v>-0.12283672269057333</v>
      </c>
      <c r="N489" s="7">
        <f t="shared" si="87"/>
        <v>102746</v>
      </c>
      <c r="O489" s="7">
        <f t="shared" si="89"/>
        <v>101935.92857142857</v>
      </c>
      <c r="P489" s="8">
        <f t="shared" si="90"/>
        <v>0.96560654696963011</v>
      </c>
      <c r="Q489" s="7">
        <v>8</v>
      </c>
      <c r="R489" s="7">
        <v>8</v>
      </c>
      <c r="S489" s="7">
        <v>951</v>
      </c>
      <c r="T489" s="7">
        <v>180000</v>
      </c>
      <c r="U489" s="7">
        <v>20</v>
      </c>
      <c r="V489" s="7">
        <v>3240501</v>
      </c>
      <c r="W489" s="7">
        <v>79</v>
      </c>
      <c r="X489" s="3" t="s">
        <v>74</v>
      </c>
      <c r="Y489" s="3" t="s">
        <v>71</v>
      </c>
      <c r="Z489" s="9">
        <v>0.59697</v>
      </c>
      <c r="AA489" s="5">
        <f t="shared" si="84"/>
        <v>-0.25408586565373859</v>
      </c>
      <c r="AB489" s="9">
        <f t="shared" si="88"/>
        <v>0.63054285714285718</v>
      </c>
      <c r="AC489" s="9">
        <f t="shared" si="91"/>
        <v>1.858822142857143</v>
      </c>
      <c r="AD489" s="8">
        <f t="shared" si="92"/>
        <v>0.33921634706463499</v>
      </c>
      <c r="AE489" s="3" t="s">
        <v>44</v>
      </c>
      <c r="AF489" s="10">
        <f t="shared" si="93"/>
        <v>41307</v>
      </c>
      <c r="AG489" s="11">
        <f t="shared" si="94"/>
        <v>0.91662430096593794</v>
      </c>
      <c r="AH489" s="11">
        <f t="shared" si="95"/>
        <v>0.32115498639499435</v>
      </c>
      <c r="AI489" s="3" t="s">
        <v>45</v>
      </c>
      <c r="AJ489" s="3" t="s">
        <v>66</v>
      </c>
      <c r="AK489" s="3" t="s">
        <v>46</v>
      </c>
      <c r="AL489" s="3" t="s">
        <v>68</v>
      </c>
      <c r="AM489" s="3" t="s">
        <v>65</v>
      </c>
    </row>
    <row r="490" spans="1:39" ht="21" customHeight="1">
      <c r="A490" s="4">
        <v>46196</v>
      </c>
      <c r="B490" s="3" t="s">
        <v>65</v>
      </c>
      <c r="C490" s="3" t="s">
        <v>66</v>
      </c>
      <c r="D490" s="4">
        <v>46120</v>
      </c>
      <c r="E490" s="3">
        <v>76</v>
      </c>
      <c r="F490" s="3" t="s">
        <v>57</v>
      </c>
      <c r="G490" s="3" t="s">
        <v>50</v>
      </c>
      <c r="H490" s="3">
        <v>0</v>
      </c>
      <c r="I490" s="7">
        <v>100286</v>
      </c>
      <c r="J490" s="7">
        <v>39207</v>
      </c>
      <c r="K490" s="7">
        <v>61078</v>
      </c>
      <c r="L490" s="5">
        <f t="shared" si="85"/>
        <v>0.39095187762997824</v>
      </c>
      <c r="M490" s="5">
        <f t="shared" si="86"/>
        <v>1.8856039825256632E-2</v>
      </c>
      <c r="N490" s="7">
        <f t="shared" si="87"/>
        <v>103077.57142857143</v>
      </c>
      <c r="O490" s="7">
        <f t="shared" si="89"/>
        <v>101226.64285714286</v>
      </c>
      <c r="P490" s="8">
        <f t="shared" si="90"/>
        <v>0.99070755652273934</v>
      </c>
      <c r="Q490" s="7">
        <v>10</v>
      </c>
      <c r="R490" s="7">
        <v>10</v>
      </c>
      <c r="S490" s="7">
        <v>900</v>
      </c>
      <c r="T490" s="7">
        <v>387500</v>
      </c>
      <c r="U490" s="7">
        <v>40</v>
      </c>
      <c r="V490" s="7">
        <v>3240541</v>
      </c>
      <c r="W490" s="7">
        <v>62</v>
      </c>
      <c r="X490" s="3" t="s">
        <v>74</v>
      </c>
      <c r="Y490" s="3" t="s">
        <v>71</v>
      </c>
      <c r="Z490" s="9">
        <v>0.51271999999999995</v>
      </c>
      <c r="AA490" s="5">
        <f t="shared" si="84"/>
        <v>-0.1411293699850914</v>
      </c>
      <c r="AB490" s="9">
        <f t="shared" si="88"/>
        <v>0.62950285714285703</v>
      </c>
      <c r="AC490" s="9">
        <f t="shared" si="91"/>
        <v>1.7119060714285717</v>
      </c>
      <c r="AD490" s="8">
        <f t="shared" si="92"/>
        <v>0.3677204419384657</v>
      </c>
      <c r="AE490" s="3" t="s">
        <v>44</v>
      </c>
      <c r="AF490" s="10">
        <f t="shared" si="93"/>
        <v>34310.75</v>
      </c>
      <c r="AG490" s="11">
        <f t="shared" si="94"/>
        <v>1.1427030886821186</v>
      </c>
      <c r="AH490" s="11">
        <f t="shared" si="95"/>
        <v>0.29950241345434292</v>
      </c>
      <c r="AI490" s="3" t="s">
        <v>45</v>
      </c>
      <c r="AJ490" s="3" t="s">
        <v>66</v>
      </c>
      <c r="AK490" s="3" t="s">
        <v>46</v>
      </c>
      <c r="AL490" s="3" t="s">
        <v>68</v>
      </c>
      <c r="AM490" s="3" t="s">
        <v>65</v>
      </c>
    </row>
    <row r="491" spans="1:39" ht="21" customHeight="1">
      <c r="A491" s="4">
        <v>46197</v>
      </c>
      <c r="B491" s="3" t="s">
        <v>65</v>
      </c>
      <c r="C491" s="3" t="s">
        <v>66</v>
      </c>
      <c r="D491" s="4">
        <v>46120</v>
      </c>
      <c r="E491" s="3">
        <v>77</v>
      </c>
      <c r="F491" s="3" t="s">
        <v>57</v>
      </c>
      <c r="G491" s="3" t="s">
        <v>51</v>
      </c>
      <c r="H491" s="3">
        <v>0</v>
      </c>
      <c r="I491" s="7">
        <v>99841</v>
      </c>
      <c r="J491" s="7">
        <v>38364</v>
      </c>
      <c r="K491" s="7">
        <v>61478</v>
      </c>
      <c r="L491" s="5">
        <f t="shared" si="85"/>
        <v>0.38425095902484951</v>
      </c>
      <c r="M491" s="5">
        <f t="shared" si="86"/>
        <v>-4.4373092954150817E-3</v>
      </c>
      <c r="N491" s="7">
        <f t="shared" si="87"/>
        <v>103250</v>
      </c>
      <c r="O491" s="7">
        <f t="shared" si="89"/>
        <v>101502.64285714286</v>
      </c>
      <c r="P491" s="8">
        <f t="shared" si="90"/>
        <v>0.98362956066590812</v>
      </c>
      <c r="Q491" s="7">
        <v>4</v>
      </c>
      <c r="R491" s="7">
        <v>4</v>
      </c>
      <c r="S491" s="7">
        <v>537</v>
      </c>
      <c r="T491" s="7">
        <v>104000</v>
      </c>
      <c r="U491" s="7">
        <v>10</v>
      </c>
      <c r="V491" s="7">
        <v>3240551</v>
      </c>
      <c r="W491" s="7">
        <v>105</v>
      </c>
      <c r="X491" s="3" t="s">
        <v>74</v>
      </c>
      <c r="Y491" s="3" t="s">
        <v>71</v>
      </c>
      <c r="Z491" s="9">
        <v>0.47964000000000001</v>
      </c>
      <c r="AA491" s="5">
        <f t="shared" si="84"/>
        <v>-6.4518645654548235E-2</v>
      </c>
      <c r="AB491" s="9">
        <f t="shared" si="88"/>
        <v>0.6306342857142857</v>
      </c>
      <c r="AC491" s="9">
        <f t="shared" si="91"/>
        <v>1.6398392857142858</v>
      </c>
      <c r="AD491" s="8">
        <f t="shared" si="92"/>
        <v>0.38457078764251718</v>
      </c>
      <c r="AE491" s="3" t="s">
        <v>44</v>
      </c>
      <c r="AF491" s="10">
        <f t="shared" si="93"/>
        <v>37016.75</v>
      </c>
      <c r="AG491" s="11">
        <f t="shared" si="94"/>
        <v>1.0363956857368624</v>
      </c>
      <c r="AH491" s="11">
        <f t="shared" si="95"/>
        <v>0.29249207783863834</v>
      </c>
      <c r="AI491" s="3" t="s">
        <v>45</v>
      </c>
      <c r="AJ491" s="3" t="s">
        <v>66</v>
      </c>
      <c r="AK491" s="3" t="s">
        <v>46</v>
      </c>
      <c r="AL491" s="3" t="s">
        <v>68</v>
      </c>
      <c r="AM491" s="3" t="s">
        <v>65</v>
      </c>
    </row>
    <row r="492" spans="1:39" ht="21" customHeight="1">
      <c r="A492" s="4">
        <v>46198</v>
      </c>
      <c r="B492" s="3" t="s">
        <v>65</v>
      </c>
      <c r="C492" s="3" t="s">
        <v>66</v>
      </c>
      <c r="D492" s="4">
        <v>46120</v>
      </c>
      <c r="E492" s="3">
        <v>78</v>
      </c>
      <c r="F492" s="3" t="s">
        <v>57</v>
      </c>
      <c r="G492" s="3" t="s">
        <v>52</v>
      </c>
      <c r="H492" s="3">
        <v>0</v>
      </c>
      <c r="I492" s="7">
        <v>100384</v>
      </c>
      <c r="J492" s="7">
        <v>39246</v>
      </c>
      <c r="K492" s="7">
        <v>61138</v>
      </c>
      <c r="L492" s="5">
        <f t="shared" si="85"/>
        <v>0.39095871852087982</v>
      </c>
      <c r="M492" s="5">
        <f t="shared" si="86"/>
        <v>5.4386474494445558E-3</v>
      </c>
      <c r="N492" s="7">
        <f t="shared" si="87"/>
        <v>103488.57142857143</v>
      </c>
      <c r="O492" s="7">
        <f t="shared" si="89"/>
        <v>101737.75</v>
      </c>
      <c r="P492" s="8">
        <f t="shared" si="90"/>
        <v>0.98669372971193092</v>
      </c>
      <c r="Q492" s="7">
        <v>6</v>
      </c>
      <c r="R492" s="7">
        <v>6</v>
      </c>
      <c r="S492" s="7">
        <v>757</v>
      </c>
      <c r="T492" s="7">
        <v>147500</v>
      </c>
      <c r="U492" s="7">
        <v>16</v>
      </c>
      <c r="V492" s="7">
        <v>3240567</v>
      </c>
      <c r="W492" s="7">
        <v>91</v>
      </c>
      <c r="X492" s="3" t="s">
        <v>74</v>
      </c>
      <c r="Y492" s="3" t="s">
        <v>71</v>
      </c>
      <c r="Z492" s="9">
        <v>0.45129000000000002</v>
      </c>
      <c r="AA492" s="5">
        <f t="shared" si="84"/>
        <v>-5.910683012259188E-2</v>
      </c>
      <c r="AB492" s="9">
        <f t="shared" si="88"/>
        <v>0.62589857142857142</v>
      </c>
      <c r="AC492" s="9">
        <f t="shared" si="91"/>
        <v>1.5398328571428574</v>
      </c>
      <c r="AD492" s="8">
        <f t="shared" si="92"/>
        <v>0.40647175992199513</v>
      </c>
      <c r="AE492" s="3" t="s">
        <v>44</v>
      </c>
      <c r="AF492" s="10">
        <f t="shared" si="93"/>
        <v>35055.25</v>
      </c>
      <c r="AG492" s="11">
        <f t="shared" si="94"/>
        <v>1.1195470008058708</v>
      </c>
      <c r="AH492" s="11">
        <f t="shared" si="95"/>
        <v>0.29307726348778113</v>
      </c>
      <c r="AI492" s="3" t="s">
        <v>45</v>
      </c>
      <c r="AJ492" s="3" t="s">
        <v>66</v>
      </c>
      <c r="AK492" s="3" t="s">
        <v>46</v>
      </c>
      <c r="AL492" s="3" t="s">
        <v>68</v>
      </c>
      <c r="AM492" s="3" t="s">
        <v>65</v>
      </c>
    </row>
    <row r="493" spans="1:39" ht="21" customHeight="1">
      <c r="A493" s="4">
        <v>46199</v>
      </c>
      <c r="B493" s="3" t="s">
        <v>65</v>
      </c>
      <c r="C493" s="3" t="s">
        <v>66</v>
      </c>
      <c r="D493" s="4">
        <v>46120</v>
      </c>
      <c r="E493" s="3">
        <v>79</v>
      </c>
      <c r="F493" s="3" t="s">
        <v>57</v>
      </c>
      <c r="G493" s="3" t="s">
        <v>53</v>
      </c>
      <c r="H493" s="3">
        <v>0</v>
      </c>
      <c r="I493" s="7">
        <v>108160</v>
      </c>
      <c r="J493" s="7">
        <v>46770</v>
      </c>
      <c r="K493" s="7">
        <v>61390</v>
      </c>
      <c r="L493" s="5">
        <f t="shared" si="85"/>
        <v>0.43241494082840237</v>
      </c>
      <c r="M493" s="5">
        <f t="shared" si="86"/>
        <v>7.746254383168627E-2</v>
      </c>
      <c r="N493" s="7">
        <f t="shared" si="87"/>
        <v>104560.57142857143</v>
      </c>
      <c r="O493" s="7">
        <f t="shared" si="89"/>
        <v>101926.89285714286</v>
      </c>
      <c r="P493" s="8">
        <f t="shared" si="90"/>
        <v>1.0611527239586638</v>
      </c>
      <c r="Q493" s="7">
        <v>5</v>
      </c>
      <c r="R493" s="7">
        <v>5</v>
      </c>
      <c r="S493" s="7">
        <v>343</v>
      </c>
      <c r="T493" s="7">
        <v>127000</v>
      </c>
      <c r="U493" s="7">
        <v>11</v>
      </c>
      <c r="V493" s="7">
        <v>3240578</v>
      </c>
      <c r="W493" s="7">
        <v>124</v>
      </c>
      <c r="X493" s="3" t="s">
        <v>74</v>
      </c>
      <c r="Y493" s="3" t="s">
        <v>71</v>
      </c>
      <c r="Z493" s="9">
        <v>0.52424000000000004</v>
      </c>
      <c r="AA493" s="5">
        <f t="shared" si="84"/>
        <v>0.16164772097764191</v>
      </c>
      <c r="AB493" s="9">
        <f t="shared" si="88"/>
        <v>0.61907285714285709</v>
      </c>
      <c r="AC493" s="9">
        <f t="shared" si="91"/>
        <v>1.445841785714286</v>
      </c>
      <c r="AD493" s="8">
        <f t="shared" si="92"/>
        <v>0.42817468913932233</v>
      </c>
      <c r="AE493" s="3" t="s">
        <v>44</v>
      </c>
      <c r="AF493" s="10">
        <f t="shared" si="93"/>
        <v>39578.75</v>
      </c>
      <c r="AG493" s="11">
        <f t="shared" si="94"/>
        <v>1.1816947225468213</v>
      </c>
      <c r="AH493" s="11">
        <f t="shared" si="95"/>
        <v>0.36258462383628715</v>
      </c>
      <c r="AI493" s="3" t="s">
        <v>45</v>
      </c>
      <c r="AJ493" s="3" t="s">
        <v>66</v>
      </c>
      <c r="AK493" s="3" t="s">
        <v>46</v>
      </c>
      <c r="AL493" s="3" t="s">
        <v>68</v>
      </c>
      <c r="AM493" s="3" t="s">
        <v>65</v>
      </c>
    </row>
    <row r="494" spans="1:39" ht="21" customHeight="1">
      <c r="A494" s="4">
        <v>46200</v>
      </c>
      <c r="B494" s="3" t="s">
        <v>65</v>
      </c>
      <c r="C494" s="3" t="s">
        <v>66</v>
      </c>
      <c r="D494" s="4">
        <v>46120</v>
      </c>
      <c r="E494" s="3">
        <v>80</v>
      </c>
      <c r="F494" s="3" t="s">
        <v>57</v>
      </c>
      <c r="G494" s="3" t="s">
        <v>42</v>
      </c>
      <c r="H494" s="3">
        <v>1</v>
      </c>
      <c r="I494" s="7">
        <v>121499</v>
      </c>
      <c r="J494" s="7">
        <v>66108</v>
      </c>
      <c r="K494" s="7">
        <v>55391</v>
      </c>
      <c r="L494" s="5">
        <f t="shared" si="85"/>
        <v>0.54410324364809592</v>
      </c>
      <c r="M494" s="5">
        <f t="shared" si="86"/>
        <v>0.12332655325443787</v>
      </c>
      <c r="N494" s="7">
        <f t="shared" si="87"/>
        <v>105830.57142857143</v>
      </c>
      <c r="O494" s="7">
        <f t="shared" si="89"/>
        <v>102204.25</v>
      </c>
      <c r="P494" s="8">
        <f t="shared" si="90"/>
        <v>1.1887861806138198</v>
      </c>
      <c r="Q494" s="7">
        <v>10</v>
      </c>
      <c r="R494" s="7">
        <v>10</v>
      </c>
      <c r="S494" s="7">
        <v>974</v>
      </c>
      <c r="T494" s="7">
        <v>308500</v>
      </c>
      <c r="U494" s="7">
        <v>34</v>
      </c>
      <c r="V494" s="7">
        <v>3240612</v>
      </c>
      <c r="W494" s="7">
        <v>94</v>
      </c>
      <c r="X494" s="3" t="s">
        <v>74</v>
      </c>
      <c r="Y494" s="3" t="s">
        <v>71</v>
      </c>
      <c r="Z494" s="9">
        <v>0.78186999999999995</v>
      </c>
      <c r="AA494" s="5">
        <f t="shared" si="84"/>
        <v>0.49143522050969013</v>
      </c>
      <c r="AB494" s="9">
        <f t="shared" si="88"/>
        <v>0.59243571428571418</v>
      </c>
      <c r="AC494" s="9">
        <f t="shared" si="91"/>
        <v>1.3399539285714286</v>
      </c>
      <c r="AD494" s="8">
        <f t="shared" si="92"/>
        <v>0.44213140590388095</v>
      </c>
      <c r="AE494" s="3" t="s">
        <v>44</v>
      </c>
      <c r="AF494" s="10">
        <f t="shared" si="93"/>
        <v>61374</v>
      </c>
      <c r="AG494" s="11">
        <f t="shared" si="94"/>
        <v>1.07713363965197</v>
      </c>
      <c r="AH494" s="11">
        <f t="shared" si="95"/>
        <v>0.58350513650389357</v>
      </c>
      <c r="AI494" s="3" t="s">
        <v>45</v>
      </c>
      <c r="AJ494" s="3" t="s">
        <v>66</v>
      </c>
      <c r="AK494" s="3" t="s">
        <v>46</v>
      </c>
      <c r="AL494" s="3" t="s">
        <v>68</v>
      </c>
      <c r="AM494" s="3" t="s">
        <v>65</v>
      </c>
    </row>
    <row r="495" spans="1:39" ht="21" customHeight="1">
      <c r="A495" s="4">
        <v>46201</v>
      </c>
      <c r="B495" s="3" t="s">
        <v>65</v>
      </c>
      <c r="C495" s="3" t="s">
        <v>66</v>
      </c>
      <c r="D495" s="4">
        <v>46120</v>
      </c>
      <c r="E495" s="3">
        <v>81</v>
      </c>
      <c r="F495" s="3" t="s">
        <v>57</v>
      </c>
      <c r="G495" s="3" t="s">
        <v>48</v>
      </c>
      <c r="H495" s="3">
        <v>1</v>
      </c>
      <c r="I495" s="7">
        <v>113256</v>
      </c>
      <c r="J495" s="7">
        <v>58972</v>
      </c>
      <c r="K495" s="7">
        <v>54285</v>
      </c>
      <c r="L495" s="5">
        <f t="shared" si="85"/>
        <v>0.52069647524192975</v>
      </c>
      <c r="M495" s="5">
        <f t="shared" si="86"/>
        <v>-6.7844179787487913E-2</v>
      </c>
      <c r="N495" s="7">
        <f t="shared" si="87"/>
        <v>105979.42857142857</v>
      </c>
      <c r="O495" s="7">
        <f t="shared" si="89"/>
        <v>102369.5</v>
      </c>
      <c r="P495" s="8">
        <f t="shared" si="90"/>
        <v>1.1063451516320779</v>
      </c>
      <c r="Q495" s="7">
        <v>9</v>
      </c>
      <c r="R495" s="7">
        <v>9</v>
      </c>
      <c r="S495" s="7">
        <v>870</v>
      </c>
      <c r="T495" s="7">
        <v>268700</v>
      </c>
      <c r="U495" s="7">
        <v>30</v>
      </c>
      <c r="V495" s="7">
        <v>3240642</v>
      </c>
      <c r="W495" s="7">
        <v>93</v>
      </c>
      <c r="X495" s="3" t="s">
        <v>74</v>
      </c>
      <c r="Y495" s="3" t="s">
        <v>71</v>
      </c>
      <c r="Z495" s="9">
        <v>0.73748000000000002</v>
      </c>
      <c r="AA495" s="5">
        <f t="shared" si="84"/>
        <v>-5.6774144039290375E-2</v>
      </c>
      <c r="AB495" s="9">
        <f t="shared" si="88"/>
        <v>0.58345857142857149</v>
      </c>
      <c r="AC495" s="9">
        <f t="shared" si="91"/>
        <v>1.1846317857142856</v>
      </c>
      <c r="AD495" s="8">
        <f t="shared" si="92"/>
        <v>0.49252314387020207</v>
      </c>
      <c r="AE495" s="3" t="s">
        <v>44</v>
      </c>
      <c r="AF495" s="10">
        <f t="shared" si="93"/>
        <v>55321</v>
      </c>
      <c r="AG495" s="11">
        <f t="shared" si="94"/>
        <v>1.065996637804812</v>
      </c>
      <c r="AH495" s="11">
        <f t="shared" si="95"/>
        <v>0.6225394328376298</v>
      </c>
      <c r="AI495" s="3" t="s">
        <v>45</v>
      </c>
      <c r="AJ495" s="3" t="s">
        <v>66</v>
      </c>
      <c r="AK495" s="3" t="s">
        <v>46</v>
      </c>
      <c r="AL495" s="3" t="s">
        <v>68</v>
      </c>
      <c r="AM495" s="3" t="s">
        <v>65</v>
      </c>
    </row>
    <row r="496" spans="1:39" ht="21" customHeight="1">
      <c r="A496" s="4">
        <v>46202</v>
      </c>
      <c r="B496" s="3" t="s">
        <v>65</v>
      </c>
      <c r="C496" s="3" t="s">
        <v>66</v>
      </c>
      <c r="D496" s="4">
        <v>46120</v>
      </c>
      <c r="E496" s="3">
        <v>82</v>
      </c>
      <c r="F496" s="3" t="s">
        <v>57</v>
      </c>
      <c r="G496" s="3" t="s">
        <v>49</v>
      </c>
      <c r="H496" s="3">
        <v>0</v>
      </c>
      <c r="I496" s="7">
        <v>99838</v>
      </c>
      <c r="J496" s="7">
        <v>39186</v>
      </c>
      <c r="K496" s="7">
        <v>60652</v>
      </c>
      <c r="L496" s="5">
        <f t="shared" si="85"/>
        <v>0.39249584326609105</v>
      </c>
      <c r="M496" s="5">
        <f t="shared" si="86"/>
        <v>-0.11847495938405028</v>
      </c>
      <c r="N496" s="7">
        <f t="shared" si="87"/>
        <v>106180.57142857143</v>
      </c>
      <c r="O496" s="7">
        <f t="shared" si="89"/>
        <v>102541.85714285714</v>
      </c>
      <c r="P496" s="8">
        <f t="shared" si="90"/>
        <v>0.97363167375552562</v>
      </c>
      <c r="Q496" s="7">
        <v>4</v>
      </c>
      <c r="R496" s="7">
        <v>4</v>
      </c>
      <c r="S496" s="7">
        <v>492</v>
      </c>
      <c r="T496" s="7">
        <v>107500</v>
      </c>
      <c r="U496" s="7">
        <v>11</v>
      </c>
      <c r="V496" s="7">
        <v>3240653</v>
      </c>
      <c r="W496" s="7">
        <v>83</v>
      </c>
      <c r="X496" s="3" t="s">
        <v>74</v>
      </c>
      <c r="Y496" s="3" t="s">
        <v>71</v>
      </c>
      <c r="Z496" s="9">
        <v>0.47992000000000001</v>
      </c>
      <c r="AA496" s="5">
        <f t="shared" si="84"/>
        <v>-0.34924336931171018</v>
      </c>
      <c r="AB496" s="9">
        <f t="shared" si="88"/>
        <v>0.56673714285714283</v>
      </c>
      <c r="AC496" s="9">
        <f t="shared" si="91"/>
        <v>1.0377535714285717</v>
      </c>
      <c r="AD496" s="8">
        <f t="shared" si="92"/>
        <v>0.54611919289949773</v>
      </c>
      <c r="AE496" s="3" t="s">
        <v>44</v>
      </c>
      <c r="AF496" s="10">
        <f t="shared" si="93"/>
        <v>34750.75</v>
      </c>
      <c r="AG496" s="11">
        <f t="shared" si="94"/>
        <v>1.1276303389135487</v>
      </c>
      <c r="AH496" s="11">
        <f t="shared" si="95"/>
        <v>0.46246046577256494</v>
      </c>
      <c r="AI496" s="3" t="s">
        <v>45</v>
      </c>
      <c r="AJ496" s="3" t="s">
        <v>66</v>
      </c>
      <c r="AK496" s="3" t="s">
        <v>46</v>
      </c>
      <c r="AL496" s="3" t="s">
        <v>68</v>
      </c>
      <c r="AM496" s="3" t="s">
        <v>65</v>
      </c>
    </row>
    <row r="497" spans="1:39" ht="21" customHeight="1">
      <c r="A497" s="4">
        <v>46203</v>
      </c>
      <c r="B497" s="3" t="s">
        <v>65</v>
      </c>
      <c r="C497" s="3" t="s">
        <v>66</v>
      </c>
      <c r="D497" s="4">
        <v>46120</v>
      </c>
      <c r="E497" s="3">
        <v>83</v>
      </c>
      <c r="F497" s="3" t="s">
        <v>57</v>
      </c>
      <c r="G497" s="3" t="s">
        <v>50</v>
      </c>
      <c r="H497" s="3">
        <v>0</v>
      </c>
      <c r="I497" s="7">
        <v>101854</v>
      </c>
      <c r="J497" s="7">
        <v>40324</v>
      </c>
      <c r="K497" s="7">
        <v>61530</v>
      </c>
      <c r="L497" s="5">
        <f t="shared" si="85"/>
        <v>0.39590001374516465</v>
      </c>
      <c r="M497" s="5">
        <f t="shared" si="86"/>
        <v>2.0192712193753959E-2</v>
      </c>
      <c r="N497" s="7">
        <f t="shared" si="87"/>
        <v>106404.57142857143</v>
      </c>
      <c r="O497" s="7">
        <f t="shared" si="89"/>
        <v>102767.5</v>
      </c>
      <c r="P497" s="8">
        <f t="shared" si="90"/>
        <v>0.99111100299219113</v>
      </c>
      <c r="Q497" s="7">
        <v>5</v>
      </c>
      <c r="R497" s="7">
        <v>5</v>
      </c>
      <c r="S497" s="7">
        <v>561</v>
      </c>
      <c r="T497" s="7">
        <v>206000</v>
      </c>
      <c r="U497" s="7">
        <v>20</v>
      </c>
      <c r="V497" s="7">
        <v>3240673</v>
      </c>
      <c r="W497" s="7">
        <v>88</v>
      </c>
      <c r="X497" s="3" t="s">
        <v>74</v>
      </c>
      <c r="Y497" s="3" t="s">
        <v>71</v>
      </c>
      <c r="Z497" s="9">
        <v>0.40817999999999999</v>
      </c>
      <c r="AA497" s="5">
        <f t="shared" si="84"/>
        <v>-0.14948324720786799</v>
      </c>
      <c r="AB497" s="9">
        <f t="shared" si="88"/>
        <v>0.55180285714285715</v>
      </c>
      <c r="AC497" s="9">
        <f t="shared" si="91"/>
        <v>0.96726928571428572</v>
      </c>
      <c r="AD497" s="8">
        <f t="shared" si="92"/>
        <v>0.57047490837608383</v>
      </c>
      <c r="AE497" s="3" t="s">
        <v>44</v>
      </c>
      <c r="AF497" s="10">
        <f t="shared" si="93"/>
        <v>35940</v>
      </c>
      <c r="AG497" s="11">
        <f t="shared" si="94"/>
        <v>1.1219810795770728</v>
      </c>
      <c r="AH497" s="11">
        <f t="shared" si="95"/>
        <v>0.42199210295256823</v>
      </c>
      <c r="AI497" s="3" t="s">
        <v>45</v>
      </c>
      <c r="AJ497" s="3" t="s">
        <v>66</v>
      </c>
      <c r="AK497" s="3" t="s">
        <v>46</v>
      </c>
      <c r="AL497" s="3" t="s">
        <v>68</v>
      </c>
      <c r="AM497" s="3" t="s">
        <v>65</v>
      </c>
    </row>
    <row r="498" spans="1:39" ht="21" customHeight="1">
      <c r="A498" s="4">
        <v>46204</v>
      </c>
      <c r="B498" s="3" t="s">
        <v>65</v>
      </c>
      <c r="C498" s="3" t="s">
        <v>66</v>
      </c>
      <c r="D498" s="4">
        <v>46120</v>
      </c>
      <c r="E498" s="3">
        <v>84</v>
      </c>
      <c r="F498" s="3" t="s">
        <v>57</v>
      </c>
      <c r="G498" s="3" t="s">
        <v>51</v>
      </c>
      <c r="H498" s="3">
        <v>0</v>
      </c>
      <c r="I498" s="7">
        <v>91455</v>
      </c>
      <c r="J498" s="7">
        <v>31420</v>
      </c>
      <c r="K498" s="7">
        <v>60036</v>
      </c>
      <c r="L498" s="5">
        <f t="shared" si="85"/>
        <v>0.34355694057186592</v>
      </c>
      <c r="M498" s="5">
        <f t="shared" si="86"/>
        <v>-0.10209711940620891</v>
      </c>
      <c r="N498" s="7">
        <f t="shared" si="87"/>
        <v>105206.57142857143</v>
      </c>
      <c r="O498" s="7">
        <f t="shared" si="89"/>
        <v>103011.28571428571</v>
      </c>
      <c r="P498" s="8">
        <f t="shared" si="90"/>
        <v>0.88781534339510648</v>
      </c>
      <c r="Q498" s="7">
        <v>5</v>
      </c>
      <c r="R498" s="7">
        <v>5</v>
      </c>
      <c r="S498" s="7">
        <v>556</v>
      </c>
      <c r="T498" s="7">
        <v>105000</v>
      </c>
      <c r="U498" s="7">
        <v>12</v>
      </c>
      <c r="V498" s="7">
        <v>3240685</v>
      </c>
      <c r="W498" s="7">
        <v>80</v>
      </c>
      <c r="X498" s="3" t="s">
        <v>75</v>
      </c>
      <c r="Y498" s="3" t="s">
        <v>71</v>
      </c>
      <c r="Z498" s="9">
        <v>0.43228</v>
      </c>
      <c r="AA498" s="5">
        <f t="shared" si="84"/>
        <v>5.9042579254250604E-2</v>
      </c>
      <c r="AB498" s="9">
        <f t="shared" si="88"/>
        <v>0.54503714285714289</v>
      </c>
      <c r="AC498" s="9">
        <f t="shared" si="91"/>
        <v>0.90121535714285728</v>
      </c>
      <c r="AD498" s="8">
        <f t="shared" si="92"/>
        <v>0.60478013222620397</v>
      </c>
      <c r="AE498" s="3" t="s">
        <v>44</v>
      </c>
      <c r="AF498" s="10">
        <f t="shared" si="93"/>
        <v>38282.25</v>
      </c>
      <c r="AG498" s="11">
        <f t="shared" si="94"/>
        <v>0.8207459070456935</v>
      </c>
      <c r="AH498" s="11">
        <f t="shared" si="95"/>
        <v>0.47966337521196567</v>
      </c>
      <c r="AI498" s="3" t="s">
        <v>45</v>
      </c>
      <c r="AJ498" s="3" t="s">
        <v>66</v>
      </c>
      <c r="AK498" s="3" t="s">
        <v>46</v>
      </c>
      <c r="AL498" s="3" t="s">
        <v>68</v>
      </c>
      <c r="AM498" s="3" t="s">
        <v>65</v>
      </c>
    </row>
    <row r="499" spans="1:39" ht="21" customHeight="1">
      <c r="A499" s="4">
        <v>46205</v>
      </c>
      <c r="B499" s="3" t="s">
        <v>65</v>
      </c>
      <c r="C499" s="3" t="s">
        <v>66</v>
      </c>
      <c r="D499" s="4">
        <v>46120</v>
      </c>
      <c r="E499" s="3">
        <v>85</v>
      </c>
      <c r="F499" s="3" t="s">
        <v>57</v>
      </c>
      <c r="G499" s="3" t="s">
        <v>52</v>
      </c>
      <c r="H499" s="3">
        <v>0</v>
      </c>
      <c r="I499" s="7">
        <v>90808</v>
      </c>
      <c r="J499" s="7">
        <v>32172</v>
      </c>
      <c r="K499" s="7">
        <v>58636</v>
      </c>
      <c r="L499" s="5">
        <f t="shared" si="85"/>
        <v>0.35428596599418555</v>
      </c>
      <c r="M499" s="5">
        <f t="shared" si="86"/>
        <v>-7.0745175222787227E-3</v>
      </c>
      <c r="N499" s="7">
        <f t="shared" si="87"/>
        <v>103838.57142857143</v>
      </c>
      <c r="O499" s="7">
        <f t="shared" si="89"/>
        <v>102675.17857142857</v>
      </c>
      <c r="P499" s="8">
        <f t="shared" si="90"/>
        <v>0.88442018084075824</v>
      </c>
      <c r="Q499" s="7">
        <v>6</v>
      </c>
      <c r="R499" s="7">
        <v>6</v>
      </c>
      <c r="S499" s="7">
        <v>607</v>
      </c>
      <c r="T499" s="7">
        <v>129500</v>
      </c>
      <c r="U499" s="7">
        <v>13</v>
      </c>
      <c r="V499" s="7">
        <v>3240698</v>
      </c>
      <c r="W499" s="7">
        <v>89</v>
      </c>
      <c r="X499" s="3" t="s">
        <v>75</v>
      </c>
      <c r="Y499" s="3" t="s">
        <v>71</v>
      </c>
      <c r="Z499" s="9">
        <v>0.41885</v>
      </c>
      <c r="AA499" s="5">
        <f t="shared" si="84"/>
        <v>-3.1067826408809118E-2</v>
      </c>
      <c r="AB499" s="9">
        <f t="shared" si="88"/>
        <v>0.54040285714285707</v>
      </c>
      <c r="AC499" s="9">
        <f t="shared" si="91"/>
        <v>0.82645999999999997</v>
      </c>
      <c r="AD499" s="8">
        <f t="shared" si="92"/>
        <v>0.65387660279125071</v>
      </c>
      <c r="AE499" s="3" t="s">
        <v>44</v>
      </c>
      <c r="AF499" s="10">
        <f t="shared" si="93"/>
        <v>36073.75</v>
      </c>
      <c r="AG499" s="11">
        <f t="shared" si="94"/>
        <v>0.89183963408295508</v>
      </c>
      <c r="AH499" s="11">
        <f t="shared" si="95"/>
        <v>0.50680008711855384</v>
      </c>
      <c r="AI499" s="3" t="s">
        <v>45</v>
      </c>
      <c r="AJ499" s="3" t="s">
        <v>66</v>
      </c>
      <c r="AK499" s="3" t="s">
        <v>46</v>
      </c>
      <c r="AL499" s="3" t="s">
        <v>68</v>
      </c>
      <c r="AM499" s="3" t="s">
        <v>65</v>
      </c>
    </row>
    <row r="500" spans="1:39" ht="21" customHeight="1">
      <c r="A500" s="4">
        <v>46206</v>
      </c>
      <c r="B500" s="3" t="s">
        <v>65</v>
      </c>
      <c r="C500" s="3" t="s">
        <v>66</v>
      </c>
      <c r="D500" s="4">
        <v>46120</v>
      </c>
      <c r="E500" s="3">
        <v>86</v>
      </c>
      <c r="F500" s="3" t="s">
        <v>57</v>
      </c>
      <c r="G500" s="3" t="s">
        <v>53</v>
      </c>
      <c r="H500" s="3">
        <v>0</v>
      </c>
      <c r="I500" s="7">
        <v>97440</v>
      </c>
      <c r="J500" s="7">
        <v>38112</v>
      </c>
      <c r="K500" s="7">
        <v>59328</v>
      </c>
      <c r="L500" s="5">
        <f t="shared" si="85"/>
        <v>0.39113300492610836</v>
      </c>
      <c r="M500" s="5">
        <f t="shared" si="86"/>
        <v>7.3033212932781311E-2</v>
      </c>
      <c r="N500" s="7">
        <f t="shared" si="87"/>
        <v>102307.14285714286</v>
      </c>
      <c r="O500" s="7">
        <f t="shared" si="89"/>
        <v>102598.17857142857</v>
      </c>
      <c r="P500" s="8">
        <f t="shared" si="90"/>
        <v>0.94972446252700815</v>
      </c>
      <c r="Q500" s="7">
        <v>8</v>
      </c>
      <c r="R500" s="7">
        <v>8</v>
      </c>
      <c r="S500" s="7">
        <v>837</v>
      </c>
      <c r="T500" s="7">
        <v>223600</v>
      </c>
      <c r="U500" s="7">
        <v>25</v>
      </c>
      <c r="V500" s="7">
        <v>3240723</v>
      </c>
      <c r="W500" s="7">
        <v>75</v>
      </c>
      <c r="X500" s="3" t="s">
        <v>75</v>
      </c>
      <c r="Y500" s="3" t="s">
        <v>71</v>
      </c>
      <c r="Z500" s="9">
        <v>0.51724000000000003</v>
      </c>
      <c r="AA500" s="5">
        <f t="shared" si="84"/>
        <v>0.23490509729019937</v>
      </c>
      <c r="AB500" s="9">
        <f t="shared" si="88"/>
        <v>0.53940285714285718</v>
      </c>
      <c r="AC500" s="9">
        <f t="shared" si="91"/>
        <v>0.78758785714285717</v>
      </c>
      <c r="AD500" s="8">
        <f t="shared" si="92"/>
        <v>0.68487960073388643</v>
      </c>
      <c r="AE500" s="3" t="s">
        <v>44</v>
      </c>
      <c r="AF500" s="10">
        <f t="shared" si="93"/>
        <v>41143.25</v>
      </c>
      <c r="AG500" s="11">
        <f t="shared" si="94"/>
        <v>0.92632448822103264</v>
      </c>
      <c r="AH500" s="11">
        <f t="shared" si="95"/>
        <v>0.65673942952396247</v>
      </c>
      <c r="AI500" s="3" t="s">
        <v>45</v>
      </c>
      <c r="AJ500" s="3" t="s">
        <v>66</v>
      </c>
      <c r="AK500" s="3" t="s">
        <v>46</v>
      </c>
      <c r="AL500" s="3" t="s">
        <v>68</v>
      </c>
      <c r="AM500" s="3" t="s">
        <v>65</v>
      </c>
    </row>
    <row r="501" spans="1:39" ht="21" customHeight="1">
      <c r="A501" s="4">
        <v>46207</v>
      </c>
      <c r="B501" s="3" t="s">
        <v>65</v>
      </c>
      <c r="C501" s="3" t="s">
        <v>66</v>
      </c>
      <c r="D501" s="4">
        <v>46120</v>
      </c>
      <c r="E501" s="3">
        <v>87</v>
      </c>
      <c r="F501" s="3" t="s">
        <v>57</v>
      </c>
      <c r="G501" s="3" t="s">
        <v>42</v>
      </c>
      <c r="H501" s="3">
        <v>1</v>
      </c>
      <c r="I501" s="7">
        <v>113078</v>
      </c>
      <c r="J501" s="7">
        <v>58653</v>
      </c>
      <c r="K501" s="7">
        <v>54425</v>
      </c>
      <c r="L501" s="5">
        <f t="shared" si="85"/>
        <v>0.51869506004704713</v>
      </c>
      <c r="M501" s="5">
        <f t="shared" si="86"/>
        <v>0.16048850574712636</v>
      </c>
      <c r="N501" s="7">
        <f t="shared" si="87"/>
        <v>101104.14285714286</v>
      </c>
      <c r="O501" s="7">
        <f t="shared" si="89"/>
        <v>102481.82142857143</v>
      </c>
      <c r="P501" s="8">
        <f t="shared" si="90"/>
        <v>1.1033956893400256</v>
      </c>
      <c r="Q501" s="7">
        <v>8</v>
      </c>
      <c r="R501" s="7">
        <v>8</v>
      </c>
      <c r="S501" s="7">
        <v>844</v>
      </c>
      <c r="T501" s="7">
        <v>267000</v>
      </c>
      <c r="U501" s="7">
        <v>25</v>
      </c>
      <c r="V501" s="7">
        <v>3240748</v>
      </c>
      <c r="W501" s="7">
        <v>91</v>
      </c>
      <c r="X501" s="3" t="s">
        <v>75</v>
      </c>
      <c r="Y501" s="3" t="s">
        <v>71</v>
      </c>
      <c r="Z501" s="9">
        <v>0.71401999999999999</v>
      </c>
      <c r="AA501" s="5">
        <f t="shared" si="84"/>
        <v>0.38044234784626085</v>
      </c>
      <c r="AB501" s="9">
        <f t="shared" si="88"/>
        <v>0.52971000000000001</v>
      </c>
      <c r="AC501" s="9">
        <f t="shared" si="91"/>
        <v>0.75002821428571431</v>
      </c>
      <c r="AD501" s="8">
        <f t="shared" si="92"/>
        <v>0.70625343141853236</v>
      </c>
      <c r="AE501" s="3" t="s">
        <v>44</v>
      </c>
      <c r="AF501" s="10">
        <f t="shared" si="93"/>
        <v>62589.5</v>
      </c>
      <c r="AG501" s="11">
        <f t="shared" si="94"/>
        <v>0.93710606411618558</v>
      </c>
      <c r="AH501" s="11">
        <f t="shared" si="95"/>
        <v>0.95199085367740921</v>
      </c>
      <c r="AI501" s="3" t="s">
        <v>45</v>
      </c>
      <c r="AJ501" s="3" t="s">
        <v>66</v>
      </c>
      <c r="AK501" s="3" t="s">
        <v>46</v>
      </c>
      <c r="AL501" s="3" t="s">
        <v>68</v>
      </c>
      <c r="AM501" s="3" t="s">
        <v>65</v>
      </c>
    </row>
    <row r="502" spans="1:39" ht="21" customHeight="1">
      <c r="A502" s="4">
        <v>46208</v>
      </c>
      <c r="B502" s="3" t="s">
        <v>65</v>
      </c>
      <c r="C502" s="3" t="s">
        <v>66</v>
      </c>
      <c r="D502" s="4">
        <v>46120</v>
      </c>
      <c r="E502" s="3">
        <v>88</v>
      </c>
      <c r="F502" s="3" t="s">
        <v>57</v>
      </c>
      <c r="G502" s="3" t="s">
        <v>48</v>
      </c>
      <c r="H502" s="3">
        <v>1</v>
      </c>
      <c r="I502" s="7">
        <v>102130</v>
      </c>
      <c r="J502" s="7">
        <v>50274</v>
      </c>
      <c r="K502" s="7">
        <v>51856</v>
      </c>
      <c r="L502" s="5">
        <f t="shared" si="85"/>
        <v>0.49225496915695682</v>
      </c>
      <c r="M502" s="5">
        <f t="shared" si="86"/>
        <v>-9.6818125541661471E-2</v>
      </c>
      <c r="N502" s="7">
        <f t="shared" si="87"/>
        <v>99514.71428571429</v>
      </c>
      <c r="O502" s="7">
        <f t="shared" si="89"/>
        <v>102307.46428571429</v>
      </c>
      <c r="P502" s="8">
        <f t="shared" si="90"/>
        <v>0.99826538281489718</v>
      </c>
      <c r="Q502" s="7">
        <v>8</v>
      </c>
      <c r="R502" s="7">
        <v>8</v>
      </c>
      <c r="S502" s="7">
        <v>726</v>
      </c>
      <c r="T502" s="7">
        <v>169000</v>
      </c>
      <c r="U502" s="7">
        <v>17</v>
      </c>
      <c r="V502" s="7">
        <v>3240765</v>
      </c>
      <c r="W502" s="7">
        <v>89</v>
      </c>
      <c r="X502" s="3" t="s">
        <v>75</v>
      </c>
      <c r="Y502" s="3" t="s">
        <v>71</v>
      </c>
      <c r="Z502" s="9">
        <v>0.82257999999999998</v>
      </c>
      <c r="AA502" s="5">
        <f t="shared" si="84"/>
        <v>0.15204055908798075</v>
      </c>
      <c r="AB502" s="9">
        <f t="shared" si="88"/>
        <v>0.54186714285714288</v>
      </c>
      <c r="AC502" s="9">
        <f t="shared" si="91"/>
        <v>0.69648214285714283</v>
      </c>
      <c r="AD502" s="8">
        <f t="shared" si="92"/>
        <v>0.77800579442606987</v>
      </c>
      <c r="AE502" s="3" t="s">
        <v>44</v>
      </c>
      <c r="AF502" s="10">
        <f t="shared" si="93"/>
        <v>56366.75</v>
      </c>
      <c r="AG502" s="11">
        <f t="shared" si="94"/>
        <v>0.89190879374808729</v>
      </c>
      <c r="AH502" s="11">
        <f t="shared" si="95"/>
        <v>1.1810496628464477</v>
      </c>
      <c r="AI502" s="3" t="s">
        <v>45</v>
      </c>
      <c r="AJ502" s="3" t="s">
        <v>66</v>
      </c>
      <c r="AK502" s="3" t="s">
        <v>46</v>
      </c>
      <c r="AL502" s="3" t="s">
        <v>68</v>
      </c>
      <c r="AM502" s="3" t="s">
        <v>65</v>
      </c>
    </row>
    <row r="503" spans="1:39" ht="21" customHeight="1">
      <c r="A503" s="4">
        <v>46209</v>
      </c>
      <c r="B503" s="3" t="s">
        <v>65</v>
      </c>
      <c r="C503" s="3" t="s">
        <v>66</v>
      </c>
      <c r="D503" s="4">
        <v>46120</v>
      </c>
      <c r="E503" s="3">
        <v>89</v>
      </c>
      <c r="F503" s="3" t="s">
        <v>57</v>
      </c>
      <c r="G503" s="3" t="s">
        <v>49</v>
      </c>
      <c r="H503" s="3">
        <v>0</v>
      </c>
      <c r="I503" s="7">
        <v>86856</v>
      </c>
      <c r="J503" s="7">
        <v>29470</v>
      </c>
      <c r="K503" s="7">
        <v>57386</v>
      </c>
      <c r="L503" s="5">
        <f t="shared" si="85"/>
        <v>0.33929722759509995</v>
      </c>
      <c r="M503" s="5">
        <f t="shared" si="86"/>
        <v>-0.14955448937628513</v>
      </c>
      <c r="N503" s="7">
        <f t="shared" si="87"/>
        <v>97660.142857142855</v>
      </c>
      <c r="O503" s="7">
        <f t="shared" si="89"/>
        <v>102066.46428571429</v>
      </c>
      <c r="P503" s="8">
        <f t="shared" si="90"/>
        <v>0.85097490745701065</v>
      </c>
      <c r="Q503" s="7">
        <v>3</v>
      </c>
      <c r="R503" s="7">
        <v>3</v>
      </c>
      <c r="S503" s="7">
        <v>156</v>
      </c>
      <c r="T503" s="7">
        <v>43000</v>
      </c>
      <c r="U503" s="7">
        <v>4</v>
      </c>
      <c r="V503" s="7">
        <v>3240769</v>
      </c>
      <c r="W503" s="7">
        <v>98</v>
      </c>
      <c r="X503" s="3" t="s">
        <v>75</v>
      </c>
      <c r="Y503" s="3" t="s">
        <v>71</v>
      </c>
      <c r="Z503" s="9">
        <v>0.52219000000000004</v>
      </c>
      <c r="AA503" s="5">
        <f t="shared" si="84"/>
        <v>-0.36518028641591083</v>
      </c>
      <c r="AB503" s="9">
        <f t="shared" si="88"/>
        <v>0.54790571428571433</v>
      </c>
      <c r="AC503" s="9">
        <f t="shared" si="91"/>
        <v>0.65761749999999997</v>
      </c>
      <c r="AD503" s="8">
        <f t="shared" si="92"/>
        <v>0.83316778261788105</v>
      </c>
      <c r="AE503" s="3" t="s">
        <v>44</v>
      </c>
      <c r="AF503" s="10">
        <f t="shared" si="93"/>
        <v>36569.75</v>
      </c>
      <c r="AG503" s="11">
        <f t="shared" si="94"/>
        <v>0.80585730009092216</v>
      </c>
      <c r="AH503" s="11">
        <f t="shared" si="95"/>
        <v>0.79406341832448202</v>
      </c>
      <c r="AI503" s="3" t="s">
        <v>45</v>
      </c>
      <c r="AJ503" s="3" t="s">
        <v>66</v>
      </c>
      <c r="AK503" s="3" t="s">
        <v>46</v>
      </c>
      <c r="AL503" s="3" t="s">
        <v>68</v>
      </c>
      <c r="AM503" s="3" t="s">
        <v>65</v>
      </c>
    </row>
    <row r="504" spans="1:39" ht="21" customHeight="1">
      <c r="A504" s="4">
        <v>46210</v>
      </c>
      <c r="B504" s="3" t="s">
        <v>65</v>
      </c>
      <c r="C504" s="3" t="s">
        <v>66</v>
      </c>
      <c r="D504" s="4">
        <v>46120</v>
      </c>
      <c r="E504" s="3">
        <v>90</v>
      </c>
      <c r="F504" s="3" t="s">
        <v>57</v>
      </c>
      <c r="G504" s="3" t="s">
        <v>50</v>
      </c>
      <c r="H504" s="3">
        <v>0</v>
      </c>
      <c r="I504" s="7">
        <v>87532</v>
      </c>
      <c r="J504" s="7">
        <v>30054</v>
      </c>
      <c r="K504" s="7">
        <v>57477</v>
      </c>
      <c r="L504" s="5">
        <f t="shared" si="85"/>
        <v>0.34334871818306451</v>
      </c>
      <c r="M504" s="5">
        <f t="shared" si="86"/>
        <v>7.7829971446992108E-3</v>
      </c>
      <c r="N504" s="7">
        <f t="shared" si="87"/>
        <v>95614.142857142855</v>
      </c>
      <c r="O504" s="7">
        <f t="shared" si="89"/>
        <v>101802.96428571429</v>
      </c>
      <c r="P504" s="8">
        <f t="shared" si="90"/>
        <v>0.85981779228292188</v>
      </c>
      <c r="Q504" s="7">
        <v>7</v>
      </c>
      <c r="R504" s="7">
        <v>7</v>
      </c>
      <c r="S504" s="7">
        <v>658</v>
      </c>
      <c r="T504" s="7">
        <v>146000</v>
      </c>
      <c r="U504" s="7">
        <v>15</v>
      </c>
      <c r="V504" s="7">
        <v>3240784</v>
      </c>
      <c r="W504" s="7">
        <v>91</v>
      </c>
      <c r="X504" s="3" t="s">
        <v>75</v>
      </c>
      <c r="Y504" s="3" t="s">
        <v>71</v>
      </c>
      <c r="Z504" s="9">
        <v>0.47221999999999997</v>
      </c>
      <c r="AA504" s="5">
        <f t="shared" si="84"/>
        <v>-9.5693138512802034E-2</v>
      </c>
      <c r="AB504" s="9">
        <f t="shared" si="88"/>
        <v>0.55705428571428572</v>
      </c>
      <c r="AC504" s="9">
        <f t="shared" si="91"/>
        <v>0.63636285714285712</v>
      </c>
      <c r="AD504" s="8">
        <f t="shared" si="92"/>
        <v>0.87537209229235791</v>
      </c>
      <c r="AE504" s="3" t="s">
        <v>44</v>
      </c>
      <c r="AF504" s="10">
        <f t="shared" si="93"/>
        <v>37640.25</v>
      </c>
      <c r="AG504" s="11">
        <f t="shared" si="94"/>
        <v>0.79845378285213298</v>
      </c>
      <c r="AH504" s="11">
        <f t="shared" si="95"/>
        <v>0.7420609086460106</v>
      </c>
      <c r="AI504" s="3" t="s">
        <v>45</v>
      </c>
      <c r="AJ504" s="3" t="s">
        <v>66</v>
      </c>
      <c r="AK504" s="3" t="s">
        <v>46</v>
      </c>
      <c r="AL504" s="3" t="s">
        <v>68</v>
      </c>
      <c r="AM504" s="3" t="s">
        <v>65</v>
      </c>
    </row>
    <row r="505" spans="1:39" ht="21" customHeight="1">
      <c r="A505" s="4">
        <v>46211</v>
      </c>
      <c r="B505" s="3" t="s">
        <v>65</v>
      </c>
      <c r="C505" s="3" t="s">
        <v>66</v>
      </c>
      <c r="D505" s="4">
        <v>46120</v>
      </c>
      <c r="E505" s="3">
        <v>91</v>
      </c>
      <c r="F505" s="3" t="s">
        <v>57</v>
      </c>
      <c r="G505" s="3" t="s">
        <v>51</v>
      </c>
      <c r="H505" s="3">
        <v>0</v>
      </c>
      <c r="I505" s="7">
        <v>84952</v>
      </c>
      <c r="J505" s="7">
        <v>28648</v>
      </c>
      <c r="K505" s="7">
        <v>56304</v>
      </c>
      <c r="L505" s="5">
        <f t="shared" si="85"/>
        <v>0.33722572746962992</v>
      </c>
      <c r="M505" s="5">
        <f t="shared" si="86"/>
        <v>-2.947493488095787E-2</v>
      </c>
      <c r="N505" s="7">
        <f t="shared" si="87"/>
        <v>94685.142857142855</v>
      </c>
      <c r="O505" s="7">
        <f t="shared" si="89"/>
        <v>101544.85714285714</v>
      </c>
      <c r="P505" s="8">
        <f t="shared" si="90"/>
        <v>0.83659579017858399</v>
      </c>
      <c r="Q505" s="7"/>
      <c r="R505" s="7"/>
      <c r="S505" s="7"/>
      <c r="T505" s="7"/>
      <c r="U505" s="7"/>
      <c r="V505" s="7"/>
      <c r="W505" s="7"/>
      <c r="X505" s="3" t="s">
        <v>75</v>
      </c>
      <c r="Y505" s="3"/>
      <c r="Z505" s="9">
        <v>0.46600000000000003</v>
      </c>
      <c r="AA505" s="5">
        <f t="shared" si="84"/>
        <v>-1.3171826690949073E-2</v>
      </c>
      <c r="AB505" s="9">
        <f t="shared" si="88"/>
        <v>0.56187142857142869</v>
      </c>
      <c r="AC505" s="9">
        <f t="shared" si="91"/>
        <v>0.62419071428571427</v>
      </c>
      <c r="AD505" s="8">
        <f t="shared" si="92"/>
        <v>0.90015986414408622</v>
      </c>
      <c r="AE505" s="3" t="s">
        <v>44</v>
      </c>
      <c r="AF505" s="10">
        <f t="shared" si="93"/>
        <v>35177.75</v>
      </c>
      <c r="AG505" s="11">
        <f t="shared" si="94"/>
        <v>0.81437840680543805</v>
      </c>
      <c r="AH505" s="11">
        <f t="shared" si="95"/>
        <v>0.74656669722051527</v>
      </c>
      <c r="AI505" s="3" t="s">
        <v>45</v>
      </c>
      <c r="AJ505" s="3" t="s">
        <v>66</v>
      </c>
      <c r="AK505" s="3" t="s">
        <v>46</v>
      </c>
      <c r="AL505" s="3" t="s">
        <v>68</v>
      </c>
      <c r="AM505" s="3" t="s">
        <v>65</v>
      </c>
    </row>
    <row r="506" spans="1:39" ht="21" customHeight="1">
      <c r="A506" s="4">
        <v>46212</v>
      </c>
      <c r="B506" s="3" t="s">
        <v>65</v>
      </c>
      <c r="C506" s="3" t="s">
        <v>66</v>
      </c>
      <c r="D506" s="4">
        <v>46120</v>
      </c>
      <c r="E506" s="3">
        <v>92</v>
      </c>
      <c r="F506" s="3" t="s">
        <v>57</v>
      </c>
      <c r="G506" s="3" t="s">
        <v>52</v>
      </c>
      <c r="H506" s="3">
        <v>0</v>
      </c>
      <c r="I506" s="7">
        <v>85802</v>
      </c>
      <c r="J506" s="7">
        <v>29225</v>
      </c>
      <c r="K506" s="7">
        <v>56578</v>
      </c>
      <c r="L506" s="5">
        <f t="shared" si="85"/>
        <v>0.34060977599589753</v>
      </c>
      <c r="M506" s="5">
        <f t="shared" si="86"/>
        <v>1.0005650249552689E-2</v>
      </c>
      <c r="N506" s="7">
        <f t="shared" si="87"/>
        <v>93970</v>
      </c>
      <c r="O506" s="7">
        <f t="shared" si="89"/>
        <v>101168.71428571429</v>
      </c>
      <c r="P506" s="8">
        <f t="shared" si="90"/>
        <v>0.84810804017616959</v>
      </c>
      <c r="Q506" s="7"/>
      <c r="R506" s="7"/>
      <c r="S506" s="7"/>
      <c r="T506" s="7"/>
      <c r="U506" s="7"/>
      <c r="V506" s="7"/>
      <c r="W506" s="7"/>
      <c r="X506" s="3" t="s">
        <v>75</v>
      </c>
      <c r="Y506" s="3"/>
      <c r="Z506" s="9">
        <v>0.41921000000000003</v>
      </c>
      <c r="AA506" s="5">
        <f t="shared" si="84"/>
        <v>-0.10040772532188835</v>
      </c>
      <c r="AB506" s="9">
        <f t="shared" si="88"/>
        <v>0.56192285714285728</v>
      </c>
      <c r="AC506" s="9">
        <f t="shared" si="91"/>
        <v>0.61549964285714298</v>
      </c>
      <c r="AD506" s="8">
        <f t="shared" si="92"/>
        <v>0.9129539938226725</v>
      </c>
      <c r="AE506" s="3" t="s">
        <v>44</v>
      </c>
      <c r="AF506" s="10">
        <f t="shared" si="93"/>
        <v>36030.75</v>
      </c>
      <c r="AG506" s="11">
        <f t="shared" si="94"/>
        <v>0.8111127300985963</v>
      </c>
      <c r="AH506" s="11">
        <f t="shared" si="95"/>
        <v>0.68108894109837581</v>
      </c>
      <c r="AI506" s="3" t="s">
        <v>45</v>
      </c>
      <c r="AJ506" s="3" t="s">
        <v>66</v>
      </c>
      <c r="AK506" s="3" t="s">
        <v>46</v>
      </c>
      <c r="AL506" s="3" t="s">
        <v>68</v>
      </c>
      <c r="AM506" s="3" t="s">
        <v>65</v>
      </c>
    </row>
    <row r="507" spans="1:39" ht="21" customHeight="1">
      <c r="A507" s="4">
        <v>46213</v>
      </c>
      <c r="B507" s="3" t="s">
        <v>65</v>
      </c>
      <c r="C507" s="3" t="s">
        <v>66</v>
      </c>
      <c r="D507" s="4">
        <v>46120</v>
      </c>
      <c r="E507" s="3">
        <v>93</v>
      </c>
      <c r="F507" s="3" t="s">
        <v>57</v>
      </c>
      <c r="G507" s="3" t="s">
        <v>53</v>
      </c>
      <c r="H507" s="3">
        <v>0</v>
      </c>
      <c r="I507" s="7">
        <v>96460</v>
      </c>
      <c r="J507" s="7">
        <v>37387</v>
      </c>
      <c r="K507" s="7">
        <v>59073</v>
      </c>
      <c r="L507" s="5">
        <f t="shared" si="85"/>
        <v>0.38759071117561683</v>
      </c>
      <c r="M507" s="5">
        <f t="shared" si="86"/>
        <v>0.12421621873615996</v>
      </c>
      <c r="N507" s="7">
        <f t="shared" si="87"/>
        <v>93830</v>
      </c>
      <c r="O507" s="7">
        <f t="shared" si="89"/>
        <v>100826.92857142857</v>
      </c>
      <c r="P507" s="8">
        <f t="shared" si="90"/>
        <v>0.95668886642386497</v>
      </c>
      <c r="Q507" s="7"/>
      <c r="R507" s="7"/>
      <c r="S507" s="7"/>
      <c r="T507" s="7"/>
      <c r="U507" s="7"/>
      <c r="V507" s="7"/>
      <c r="W507" s="7"/>
      <c r="X507" s="3" t="s">
        <v>75</v>
      </c>
      <c r="Y507" s="3"/>
      <c r="Z507" s="9">
        <v>0.45766000000000001</v>
      </c>
      <c r="AA507" s="5">
        <f t="shared" si="84"/>
        <v>9.1720140263829464E-2</v>
      </c>
      <c r="AB507" s="9">
        <f t="shared" si="88"/>
        <v>0.55341142857142867</v>
      </c>
      <c r="AC507" s="9">
        <f t="shared" si="91"/>
        <v>0.60683142857142858</v>
      </c>
      <c r="AD507" s="8">
        <f t="shared" si="92"/>
        <v>0.91196896290332463</v>
      </c>
      <c r="AE507" s="3" t="s">
        <v>44</v>
      </c>
      <c r="AF507" s="10">
        <f t="shared" si="93"/>
        <v>40857.25</v>
      </c>
      <c r="AG507" s="11">
        <f t="shared" si="94"/>
        <v>0.91506403392298796</v>
      </c>
      <c r="AH507" s="11">
        <f t="shared" si="95"/>
        <v>0.75417979104575994</v>
      </c>
      <c r="AI507" s="3" t="s">
        <v>45</v>
      </c>
      <c r="AJ507" s="3" t="s">
        <v>66</v>
      </c>
      <c r="AK507" s="3" t="s">
        <v>46</v>
      </c>
      <c r="AL507" s="3" t="s">
        <v>68</v>
      </c>
      <c r="AM507" s="3" t="s">
        <v>65</v>
      </c>
    </row>
    <row r="508" spans="1:39" ht="21" customHeight="1">
      <c r="A508" s="4">
        <v>46214</v>
      </c>
      <c r="B508" s="3" t="s">
        <v>65</v>
      </c>
      <c r="C508" s="3" t="s">
        <v>66</v>
      </c>
      <c r="D508" s="4">
        <v>46120</v>
      </c>
      <c r="E508" s="3">
        <v>94</v>
      </c>
      <c r="F508" s="3" t="s">
        <v>57</v>
      </c>
      <c r="G508" s="3" t="s">
        <v>42</v>
      </c>
      <c r="H508" s="3">
        <v>1</v>
      </c>
      <c r="I508" s="7">
        <v>109672</v>
      </c>
      <c r="J508" s="7">
        <v>55968</v>
      </c>
      <c r="K508" s="7">
        <v>53704</v>
      </c>
      <c r="L508" s="5">
        <f t="shared" si="85"/>
        <v>0.51032168648333209</v>
      </c>
      <c r="M508" s="5">
        <f t="shared" si="86"/>
        <v>0.13696869168567272</v>
      </c>
      <c r="N508" s="7">
        <f t="shared" si="87"/>
        <v>93343.428571428565</v>
      </c>
      <c r="O508" s="7">
        <f t="shared" si="89"/>
        <v>100752.67857142857</v>
      </c>
      <c r="P508" s="8">
        <f t="shared" si="90"/>
        <v>1.0885268913446116</v>
      </c>
      <c r="Q508" s="7"/>
      <c r="R508" s="7"/>
      <c r="S508" s="7"/>
      <c r="T508" s="7"/>
      <c r="U508" s="7"/>
      <c r="V508" s="7"/>
      <c r="W508" s="7"/>
      <c r="X508" s="3" t="s">
        <v>75</v>
      </c>
      <c r="Y508" s="3"/>
      <c r="Z508" s="9">
        <v>0.62778999999999996</v>
      </c>
      <c r="AA508" s="5">
        <f t="shared" si="84"/>
        <v>0.37173884543110591</v>
      </c>
      <c r="AB508" s="9">
        <f t="shared" si="88"/>
        <v>0.54109285714285726</v>
      </c>
      <c r="AC508" s="9">
        <f t="shared" si="91"/>
        <v>0.59918035714285722</v>
      </c>
      <c r="AD508" s="8">
        <f t="shared" si="92"/>
        <v>0.90305506629592214</v>
      </c>
      <c r="AE508" s="3" t="s">
        <v>44</v>
      </c>
      <c r="AF508" s="10">
        <f t="shared" si="93"/>
        <v>61297.25</v>
      </c>
      <c r="AG508" s="11">
        <f t="shared" si="94"/>
        <v>0.91305890557896152</v>
      </c>
      <c r="AH508" s="11">
        <f t="shared" si="95"/>
        <v>1.047747965226306</v>
      </c>
      <c r="AI508" s="3" t="s">
        <v>45</v>
      </c>
      <c r="AJ508" s="3" t="s">
        <v>66</v>
      </c>
      <c r="AK508" s="3" t="s">
        <v>46</v>
      </c>
      <c r="AL508" s="3" t="s">
        <v>68</v>
      </c>
      <c r="AM508" s="3" t="s">
        <v>65</v>
      </c>
    </row>
    <row r="509" spans="1:39" ht="21" customHeight="1">
      <c r="A509" s="4">
        <v>46215</v>
      </c>
      <c r="B509" s="3" t="s">
        <v>65</v>
      </c>
      <c r="C509" s="3" t="s">
        <v>66</v>
      </c>
      <c r="D509" s="4">
        <v>46120</v>
      </c>
      <c r="E509" s="3">
        <v>95</v>
      </c>
      <c r="F509" s="3" t="s">
        <v>57</v>
      </c>
      <c r="G509" s="3" t="s">
        <v>48</v>
      </c>
      <c r="H509" s="3">
        <v>1</v>
      </c>
      <c r="I509" s="7">
        <v>104262</v>
      </c>
      <c r="J509" s="7">
        <v>51314</v>
      </c>
      <c r="K509" s="7">
        <v>52948</v>
      </c>
      <c r="L509" s="5">
        <f t="shared" si="85"/>
        <v>0.49216397153325275</v>
      </c>
      <c r="M509" s="5">
        <f t="shared" si="86"/>
        <v>-4.9328908016631368E-2</v>
      </c>
      <c r="N509" s="7">
        <f t="shared" si="87"/>
        <v>93648</v>
      </c>
      <c r="O509" s="7">
        <f t="shared" si="89"/>
        <v>100473.89285714286</v>
      </c>
      <c r="P509" s="8">
        <f t="shared" si="90"/>
        <v>1.0377024024364538</v>
      </c>
      <c r="Q509" s="7"/>
      <c r="R509" s="7"/>
      <c r="S509" s="7"/>
      <c r="T509" s="7"/>
      <c r="U509" s="7"/>
      <c r="V509" s="7"/>
      <c r="W509" s="7"/>
      <c r="X509" s="3" t="s">
        <v>75</v>
      </c>
      <c r="Y509" s="3"/>
      <c r="Z509" s="9">
        <v>0.59633000000000003</v>
      </c>
      <c r="AA509" s="5">
        <f t="shared" si="84"/>
        <v>-5.0112298698609337E-2</v>
      </c>
      <c r="AB509" s="9">
        <f t="shared" si="88"/>
        <v>0.50877142857142865</v>
      </c>
      <c r="AC509" s="9">
        <f t="shared" si="91"/>
        <v>0.58355750000000006</v>
      </c>
      <c r="AD509" s="8">
        <f t="shared" si="92"/>
        <v>0.87184455442938968</v>
      </c>
      <c r="AE509" s="3" t="s">
        <v>44</v>
      </c>
      <c r="AF509" s="10">
        <f t="shared" si="93"/>
        <v>55122.5</v>
      </c>
      <c r="AG509" s="11">
        <f t="shared" si="94"/>
        <v>0.93090843122137057</v>
      </c>
      <c r="AH509" s="11">
        <f t="shared" si="95"/>
        <v>1.0218873033077289</v>
      </c>
      <c r="AI509" s="3" t="s">
        <v>45</v>
      </c>
      <c r="AJ509" s="3" t="s">
        <v>66</v>
      </c>
      <c r="AK509" s="3" t="s">
        <v>46</v>
      </c>
      <c r="AL509" s="3" t="s">
        <v>68</v>
      </c>
      <c r="AM509" s="3" t="s">
        <v>65</v>
      </c>
    </row>
    <row r="510" spans="1:39" ht="21" customHeight="1">
      <c r="A510" s="4">
        <v>46216</v>
      </c>
      <c r="B510" s="3" t="s">
        <v>65</v>
      </c>
      <c r="C510" s="3" t="s">
        <v>66</v>
      </c>
      <c r="D510" s="4">
        <v>46120</v>
      </c>
      <c r="E510" s="3">
        <v>96</v>
      </c>
      <c r="F510" s="3" t="s">
        <v>57</v>
      </c>
      <c r="G510" s="3" t="s">
        <v>49</v>
      </c>
      <c r="H510" s="3">
        <v>0</v>
      </c>
      <c r="I510" s="7">
        <v>89716</v>
      </c>
      <c r="J510" s="7">
        <v>32186</v>
      </c>
      <c r="K510" s="7">
        <v>57530</v>
      </c>
      <c r="L510" s="5">
        <f t="shared" si="85"/>
        <v>0.35875429131927417</v>
      </c>
      <c r="M510" s="5">
        <f t="shared" si="86"/>
        <v>-0.13951391686328674</v>
      </c>
      <c r="N510" s="7">
        <f t="shared" si="87"/>
        <v>94056.571428571435</v>
      </c>
      <c r="O510" s="7">
        <f t="shared" si="89"/>
        <v>100386.17857142857</v>
      </c>
      <c r="P510" s="8">
        <f t="shared" si="90"/>
        <v>0.89370868855380992</v>
      </c>
      <c r="Q510" s="7"/>
      <c r="R510" s="7"/>
      <c r="S510" s="7"/>
      <c r="T510" s="7"/>
      <c r="U510" s="7"/>
      <c r="V510" s="7"/>
      <c r="W510" s="7"/>
      <c r="X510" s="3" t="s">
        <v>75</v>
      </c>
      <c r="Y510" s="3"/>
      <c r="Z510" s="9">
        <v>0.35954999999999998</v>
      </c>
      <c r="AA510" s="5">
        <f t="shared" ref="AA510:AA573" si="96">IFERROR(Z510/Z509-1,"")</f>
        <v>-0.39706202941324442</v>
      </c>
      <c r="AB510" s="9">
        <f t="shared" si="88"/>
        <v>0.48553714285714289</v>
      </c>
      <c r="AC510" s="9">
        <f t="shared" si="91"/>
        <v>0.56669249999999993</v>
      </c>
      <c r="AD510" s="8">
        <f t="shared" si="92"/>
        <v>0.8567911925023588</v>
      </c>
      <c r="AE510" s="3" t="s">
        <v>44</v>
      </c>
      <c r="AF510" s="10">
        <f t="shared" si="93"/>
        <v>35520.75</v>
      </c>
      <c r="AG510" s="11">
        <f t="shared" si="94"/>
        <v>0.90611825482288522</v>
      </c>
      <c r="AH510" s="11">
        <f t="shared" si="95"/>
        <v>0.63447107558331906</v>
      </c>
      <c r="AI510" s="3" t="s">
        <v>45</v>
      </c>
      <c r="AJ510" s="3" t="s">
        <v>66</v>
      </c>
      <c r="AK510" s="3" t="s">
        <v>46</v>
      </c>
      <c r="AL510" s="3" t="s">
        <v>68</v>
      </c>
      <c r="AM510" s="3" t="s">
        <v>65</v>
      </c>
    </row>
    <row r="511" spans="1:39" ht="21" customHeight="1">
      <c r="A511" s="4">
        <v>46217</v>
      </c>
      <c r="B511" s="3" t="s">
        <v>65</v>
      </c>
      <c r="C511" s="3" t="s">
        <v>66</v>
      </c>
      <c r="D511" s="4">
        <v>46120</v>
      </c>
      <c r="E511" s="3">
        <v>97</v>
      </c>
      <c r="F511" s="3" t="s">
        <v>57</v>
      </c>
      <c r="G511" s="3" t="s">
        <v>50</v>
      </c>
      <c r="H511" s="3">
        <v>0</v>
      </c>
      <c r="I511" s="7">
        <v>89817</v>
      </c>
      <c r="J511" s="7">
        <v>32014</v>
      </c>
      <c r="K511" s="7">
        <v>57802</v>
      </c>
      <c r="L511" s="5">
        <f t="shared" si="85"/>
        <v>0.35643586403464822</v>
      </c>
      <c r="M511" s="5">
        <f t="shared" si="86"/>
        <v>1.1257746667261426E-3</v>
      </c>
      <c r="N511" s="7">
        <f t="shared" si="87"/>
        <v>94383</v>
      </c>
      <c r="O511" s="7">
        <f t="shared" si="89"/>
        <v>100160.82142857143</v>
      </c>
      <c r="P511" s="8">
        <f t="shared" si="90"/>
        <v>0.8967278694299845</v>
      </c>
      <c r="Q511" s="7"/>
      <c r="R511" s="7"/>
      <c r="S511" s="7"/>
      <c r="T511" s="7"/>
      <c r="U511" s="7"/>
      <c r="V511" s="7"/>
      <c r="W511" s="7"/>
      <c r="X511" s="3" t="s">
        <v>75</v>
      </c>
      <c r="Y511" s="3"/>
      <c r="Z511" s="9">
        <v>0.33035999999999999</v>
      </c>
      <c r="AA511" s="5">
        <f t="shared" si="96"/>
        <v>-8.118481435127245E-2</v>
      </c>
      <c r="AB511" s="9">
        <f t="shared" si="88"/>
        <v>0.46527142857142856</v>
      </c>
      <c r="AC511" s="9">
        <f t="shared" si="91"/>
        <v>0.55768071428571431</v>
      </c>
      <c r="AD511" s="8">
        <f t="shared" si="92"/>
        <v>0.83429714647270004</v>
      </c>
      <c r="AE511" s="3" t="s">
        <v>44</v>
      </c>
      <c r="AF511" s="10">
        <f t="shared" si="93"/>
        <v>36672.25</v>
      </c>
      <c r="AG511" s="11">
        <f t="shared" si="94"/>
        <v>0.8729761604482954</v>
      </c>
      <c r="AH511" s="11">
        <f t="shared" si="95"/>
        <v>0.59238196971385315</v>
      </c>
      <c r="AI511" s="3" t="s">
        <v>45</v>
      </c>
      <c r="AJ511" s="3" t="s">
        <v>66</v>
      </c>
      <c r="AK511" s="3" t="s">
        <v>46</v>
      </c>
      <c r="AL511" s="3" t="s">
        <v>68</v>
      </c>
      <c r="AM511" s="3" t="s">
        <v>65</v>
      </c>
    </row>
    <row r="512" spans="1:39" ht="21" customHeight="1">
      <c r="A512" s="4">
        <v>46218</v>
      </c>
      <c r="B512" s="3" t="s">
        <v>65</v>
      </c>
      <c r="C512" s="3" t="s">
        <v>66</v>
      </c>
      <c r="D512" s="4">
        <v>46120</v>
      </c>
      <c r="E512" s="3">
        <v>98</v>
      </c>
      <c r="F512" s="3" t="s">
        <v>57</v>
      </c>
      <c r="G512" s="3" t="s">
        <v>51</v>
      </c>
      <c r="H512" s="3">
        <v>0</v>
      </c>
      <c r="I512" s="7">
        <v>92470</v>
      </c>
      <c r="J512" s="7">
        <v>33870</v>
      </c>
      <c r="K512" s="7">
        <v>58600</v>
      </c>
      <c r="L512" s="5">
        <f t="shared" si="85"/>
        <v>0.36628095598572508</v>
      </c>
      <c r="M512" s="5">
        <f t="shared" si="86"/>
        <v>2.9537838048476317E-2</v>
      </c>
      <c r="N512" s="7">
        <f t="shared" si="87"/>
        <v>95457</v>
      </c>
      <c r="O512" s="7">
        <f t="shared" si="89"/>
        <v>99869.821428571435</v>
      </c>
      <c r="P512" s="8">
        <f t="shared" si="90"/>
        <v>0.92590533033180689</v>
      </c>
      <c r="Q512" s="7"/>
      <c r="R512" s="7"/>
      <c r="S512" s="7"/>
      <c r="T512" s="7"/>
      <c r="U512" s="7"/>
      <c r="V512" s="7"/>
      <c r="W512" s="7"/>
      <c r="X512" s="3" t="s">
        <v>75</v>
      </c>
      <c r="Y512" s="3"/>
      <c r="Z512" s="9">
        <v>0.32421</v>
      </c>
      <c r="AA512" s="5">
        <f t="shared" si="96"/>
        <v>-1.861605521249543E-2</v>
      </c>
      <c r="AB512" s="9">
        <f t="shared" si="88"/>
        <v>0.44501571428571424</v>
      </c>
      <c r="AC512" s="9">
        <f t="shared" si="91"/>
        <v>0.55090785714285706</v>
      </c>
      <c r="AD512" s="8">
        <f t="shared" si="92"/>
        <v>0.80778610890335567</v>
      </c>
      <c r="AE512" s="3" t="s">
        <v>44</v>
      </c>
      <c r="AF512" s="10">
        <f t="shared" si="93"/>
        <v>33884.75</v>
      </c>
      <c r="AG512" s="11">
        <f t="shared" si="94"/>
        <v>0.99956470093478633</v>
      </c>
      <c r="AH512" s="11">
        <f t="shared" si="95"/>
        <v>0.58850131795438965</v>
      </c>
      <c r="AI512" s="3" t="s">
        <v>45</v>
      </c>
      <c r="AJ512" s="3" t="s">
        <v>66</v>
      </c>
      <c r="AK512" s="3" t="s">
        <v>46</v>
      </c>
      <c r="AL512" s="3" t="s">
        <v>68</v>
      </c>
      <c r="AM512" s="3" t="s">
        <v>65</v>
      </c>
    </row>
    <row r="513" spans="1:39" ht="21" customHeight="1">
      <c r="A513" s="4">
        <v>46219</v>
      </c>
      <c r="B513" s="3" t="s">
        <v>65</v>
      </c>
      <c r="C513" s="3" t="s">
        <v>66</v>
      </c>
      <c r="D513" s="4">
        <v>46120</v>
      </c>
      <c r="E513" s="3">
        <v>99</v>
      </c>
      <c r="F513" s="3" t="s">
        <v>57</v>
      </c>
      <c r="G513" s="3" t="s">
        <v>52</v>
      </c>
      <c r="H513" s="3">
        <v>0</v>
      </c>
      <c r="I513" s="7">
        <v>96012</v>
      </c>
      <c r="J513" s="7">
        <v>38115</v>
      </c>
      <c r="K513" s="7">
        <v>57897</v>
      </c>
      <c r="L513" s="5">
        <f t="shared" si="85"/>
        <v>0.39698162729658792</v>
      </c>
      <c r="M513" s="5">
        <f t="shared" si="86"/>
        <v>3.8304314912944726E-2</v>
      </c>
      <c r="N513" s="7">
        <f t="shared" si="87"/>
        <v>96915.571428571435</v>
      </c>
      <c r="O513" s="7">
        <f t="shared" si="89"/>
        <v>99649.678571428565</v>
      </c>
      <c r="P513" s="8">
        <f t="shared" si="90"/>
        <v>0.96349533060639936</v>
      </c>
      <c r="Q513" s="7"/>
      <c r="R513" s="7"/>
      <c r="S513" s="7"/>
      <c r="T513" s="7"/>
      <c r="U513" s="7"/>
      <c r="V513" s="7"/>
      <c r="W513" s="7"/>
      <c r="X513" s="3" t="s">
        <v>75</v>
      </c>
      <c r="Y513" s="3"/>
      <c r="Z513" s="9">
        <v>0.36768000000000001</v>
      </c>
      <c r="AA513" s="5">
        <f t="shared" si="96"/>
        <v>0.1340797631164985</v>
      </c>
      <c r="AB513" s="9">
        <f t="shared" si="88"/>
        <v>0.43765428571428572</v>
      </c>
      <c r="AC513" s="9">
        <f t="shared" si="91"/>
        <v>0.54563964285714284</v>
      </c>
      <c r="AD513" s="8">
        <f t="shared" si="92"/>
        <v>0.80209400369553174</v>
      </c>
      <c r="AE513" s="3" t="s">
        <v>44</v>
      </c>
      <c r="AF513" s="10">
        <f t="shared" si="93"/>
        <v>34595.75</v>
      </c>
      <c r="AG513" s="11">
        <f t="shared" si="94"/>
        <v>1.1017249228590218</v>
      </c>
      <c r="AH513" s="11">
        <f t="shared" si="95"/>
        <v>0.67385133175938339</v>
      </c>
      <c r="AI513" s="3" t="s">
        <v>45</v>
      </c>
      <c r="AJ513" s="3" t="s">
        <v>66</v>
      </c>
      <c r="AK513" s="3" t="s">
        <v>46</v>
      </c>
      <c r="AL513" s="3" t="s">
        <v>68</v>
      </c>
      <c r="AM513" s="3" t="s">
        <v>65</v>
      </c>
    </row>
    <row r="514" spans="1:39" ht="21" customHeight="1">
      <c r="A514" s="4">
        <v>46220</v>
      </c>
      <c r="B514" s="3" t="s">
        <v>65</v>
      </c>
      <c r="C514" s="3" t="s">
        <v>66</v>
      </c>
      <c r="D514" s="4">
        <v>46120</v>
      </c>
      <c r="E514" s="3">
        <v>100</v>
      </c>
      <c r="F514" s="3" t="s">
        <v>57</v>
      </c>
      <c r="G514" s="3" t="s">
        <v>53</v>
      </c>
      <c r="H514" s="3">
        <v>0</v>
      </c>
      <c r="I514" s="7">
        <v>113302</v>
      </c>
      <c r="J514" s="7">
        <v>61072</v>
      </c>
      <c r="K514" s="7">
        <v>52230</v>
      </c>
      <c r="L514" s="5">
        <f t="shared" ref="L514:L570" si="97">IFERROR(J514/I514,"")</f>
        <v>0.53901961130430176</v>
      </c>
      <c r="M514" s="5">
        <f t="shared" si="86"/>
        <v>0.18008165645960927</v>
      </c>
      <c r="N514" s="7">
        <f t="shared" si="87"/>
        <v>99321.571428571435</v>
      </c>
      <c r="O514" s="7">
        <f t="shared" si="89"/>
        <v>99553.178571428565</v>
      </c>
      <c r="P514" s="8">
        <f t="shared" si="90"/>
        <v>1.1381052983527469</v>
      </c>
      <c r="Q514" s="7"/>
      <c r="R514" s="7"/>
      <c r="S514" s="7"/>
      <c r="T514" s="7"/>
      <c r="U514" s="7"/>
      <c r="V514" s="7"/>
      <c r="W514" s="7"/>
      <c r="X514" s="3" t="s">
        <v>75</v>
      </c>
      <c r="Y514" s="3"/>
      <c r="Z514" s="9">
        <v>0.55166000000000004</v>
      </c>
      <c r="AA514" s="5">
        <f t="shared" si="96"/>
        <v>0.50038076588337699</v>
      </c>
      <c r="AB514" s="9">
        <f t="shared" si="88"/>
        <v>0.45108285714285717</v>
      </c>
      <c r="AC514" s="9">
        <f t="shared" si="91"/>
        <v>0.54146964285714283</v>
      </c>
      <c r="AD514" s="8">
        <f t="shared" si="92"/>
        <v>0.83307136991587061</v>
      </c>
      <c r="AE514" s="3" t="s">
        <v>44</v>
      </c>
      <c r="AF514" s="10">
        <f t="shared" si="93"/>
        <v>40645.5</v>
      </c>
      <c r="AG514" s="11">
        <f t="shared" si="94"/>
        <v>1.502552558093762</v>
      </c>
      <c r="AH514" s="11">
        <f t="shared" si="95"/>
        <v>1.0188198124812433</v>
      </c>
      <c r="AI514" s="3" t="s">
        <v>45</v>
      </c>
      <c r="AJ514" s="3" t="s">
        <v>66</v>
      </c>
      <c r="AK514" s="3" t="s">
        <v>46</v>
      </c>
      <c r="AL514" s="3" t="s">
        <v>68</v>
      </c>
      <c r="AM514" s="3" t="s">
        <v>65</v>
      </c>
    </row>
    <row r="515" spans="1:39" ht="21" customHeight="1">
      <c r="A515" s="4">
        <v>46221</v>
      </c>
      <c r="B515" s="3" t="s">
        <v>65</v>
      </c>
      <c r="C515" s="3" t="s">
        <v>66</v>
      </c>
      <c r="D515" s="4">
        <v>46120</v>
      </c>
      <c r="E515" s="3">
        <v>101</v>
      </c>
      <c r="F515" s="3" t="s">
        <v>57</v>
      </c>
      <c r="G515" s="3" t="s">
        <v>42</v>
      </c>
      <c r="H515" s="3">
        <v>1</v>
      </c>
      <c r="I515" s="7">
        <v>107485</v>
      </c>
      <c r="J515" s="7">
        <v>55730</v>
      </c>
      <c r="K515" s="7">
        <v>51754</v>
      </c>
      <c r="L515" s="5">
        <f t="shared" si="97"/>
        <v>0.51849095222589203</v>
      </c>
      <c r="M515" s="5">
        <f t="shared" ref="M515:M570" si="98">IF(AND(C515=C514,A515=A514+1),IFERROR(I515/I514-1,""),"")</f>
        <v>-5.1340664772025257E-2</v>
      </c>
      <c r="N515" s="7">
        <f t="shared" ref="N515:N578" si="99">AVERAGE(I509:I515)</f>
        <v>99009.142857142855</v>
      </c>
      <c r="O515" s="7">
        <f t="shared" si="89"/>
        <v>100004.82142857143</v>
      </c>
      <c r="P515" s="8">
        <f t="shared" si="90"/>
        <v>1.0747981793734944</v>
      </c>
      <c r="Q515" s="7"/>
      <c r="R515" s="7"/>
      <c r="S515" s="7"/>
      <c r="T515" s="7"/>
      <c r="U515" s="7"/>
      <c r="V515" s="7"/>
      <c r="W515" s="7"/>
      <c r="X515" s="3" t="s">
        <v>75</v>
      </c>
      <c r="Y515" s="3"/>
      <c r="Z515" s="9">
        <v>0.55498000000000003</v>
      </c>
      <c r="AA515" s="5">
        <f t="shared" si="96"/>
        <v>6.0181996157053774E-3</v>
      </c>
      <c r="AB515" s="9">
        <f t="shared" ref="AB515:AB578" si="100">AVERAGE(Z509:Z515)</f>
        <v>0.44068142857142861</v>
      </c>
      <c r="AC515" s="9">
        <f t="shared" si="91"/>
        <v>0.54074250000000001</v>
      </c>
      <c r="AD515" s="8">
        <f t="shared" si="92"/>
        <v>0.81495615486378192</v>
      </c>
      <c r="AE515" s="3" t="s">
        <v>44</v>
      </c>
      <c r="AF515" s="10">
        <f t="shared" si="93"/>
        <v>59846.25</v>
      </c>
      <c r="AG515" s="11">
        <f t="shared" si="94"/>
        <v>0.93121958351609335</v>
      </c>
      <c r="AH515" s="11">
        <f t="shared" si="95"/>
        <v>1.0263295376265043</v>
      </c>
      <c r="AI515" s="3" t="s">
        <v>45</v>
      </c>
      <c r="AJ515" s="3" t="s">
        <v>66</v>
      </c>
      <c r="AK515" s="3" t="s">
        <v>46</v>
      </c>
      <c r="AL515" s="3" t="s">
        <v>68</v>
      </c>
      <c r="AM515" s="3" t="s">
        <v>65</v>
      </c>
    </row>
    <row r="516" spans="1:39" ht="21" customHeight="1">
      <c r="A516" s="4">
        <v>46222</v>
      </c>
      <c r="B516" s="3" t="s">
        <v>65</v>
      </c>
      <c r="C516" s="3" t="s">
        <v>66</v>
      </c>
      <c r="D516" s="4">
        <v>46120</v>
      </c>
      <c r="E516" s="3">
        <v>102</v>
      </c>
      <c r="F516" s="3" t="s">
        <v>57</v>
      </c>
      <c r="G516" s="3" t="s">
        <v>48</v>
      </c>
      <c r="H516" s="3">
        <v>1</v>
      </c>
      <c r="I516" s="7">
        <v>103380</v>
      </c>
      <c r="J516" s="7">
        <v>51034</v>
      </c>
      <c r="K516" s="7">
        <v>52346</v>
      </c>
      <c r="L516" s="5">
        <f t="shared" si="97"/>
        <v>0.49365447862255757</v>
      </c>
      <c r="M516" s="5">
        <f t="shared" si="98"/>
        <v>-3.819137554077312E-2</v>
      </c>
      <c r="N516" s="7">
        <f t="shared" si="99"/>
        <v>98883.142857142855</v>
      </c>
      <c r="O516" s="7">
        <f t="shared" si="89"/>
        <v>99821.821428571435</v>
      </c>
      <c r="P516" s="8">
        <f t="shared" si="90"/>
        <v>1.0356452979970383</v>
      </c>
      <c r="Q516" s="7"/>
      <c r="R516" s="7"/>
      <c r="S516" s="7"/>
      <c r="T516" s="7"/>
      <c r="U516" s="7"/>
      <c r="V516" s="7"/>
      <c r="W516" s="7"/>
      <c r="X516" s="3" t="s">
        <v>75</v>
      </c>
      <c r="Y516" s="3"/>
      <c r="Z516" s="9">
        <v>0.46372999999999998</v>
      </c>
      <c r="AA516" s="5">
        <f t="shared" si="96"/>
        <v>-0.16442033947169277</v>
      </c>
      <c r="AB516" s="9">
        <f t="shared" si="100"/>
        <v>0.42173857142857146</v>
      </c>
      <c r="AC516" s="9">
        <f t="shared" si="91"/>
        <v>0.52598</v>
      </c>
      <c r="AD516" s="8">
        <f t="shared" si="92"/>
        <v>0.80181484358449273</v>
      </c>
      <c r="AE516" s="3" t="s">
        <v>44</v>
      </c>
      <c r="AF516" s="10">
        <f t="shared" si="93"/>
        <v>54606.5</v>
      </c>
      <c r="AG516" s="11">
        <f t="shared" si="94"/>
        <v>0.93457738547608804</v>
      </c>
      <c r="AH516" s="11">
        <f t="shared" si="95"/>
        <v>0.88164949237613588</v>
      </c>
      <c r="AI516" s="3" t="s">
        <v>45</v>
      </c>
      <c r="AJ516" s="3" t="s">
        <v>66</v>
      </c>
      <c r="AK516" s="3" t="s">
        <v>46</v>
      </c>
      <c r="AL516" s="3" t="s">
        <v>68</v>
      </c>
      <c r="AM516" s="3" t="s">
        <v>65</v>
      </c>
    </row>
    <row r="517" spans="1:39" ht="21" customHeight="1">
      <c r="A517" s="4">
        <v>46223</v>
      </c>
      <c r="B517" s="3" t="s">
        <v>65</v>
      </c>
      <c r="C517" s="3" t="s">
        <v>66</v>
      </c>
      <c r="D517" s="4">
        <v>46120</v>
      </c>
      <c r="E517" s="3">
        <v>103</v>
      </c>
      <c r="F517" s="3" t="s">
        <v>57</v>
      </c>
      <c r="G517" s="3" t="s">
        <v>49</v>
      </c>
      <c r="H517" s="3">
        <v>0</v>
      </c>
      <c r="I517" s="7">
        <v>88361</v>
      </c>
      <c r="J517" s="7">
        <v>30978</v>
      </c>
      <c r="K517" s="7">
        <v>57382</v>
      </c>
      <c r="L517" s="5">
        <f t="shared" si="97"/>
        <v>0.35058453390070282</v>
      </c>
      <c r="M517" s="5">
        <f t="shared" si="98"/>
        <v>-0.14527955117043911</v>
      </c>
      <c r="N517" s="7">
        <f t="shared" si="99"/>
        <v>98689.571428571435</v>
      </c>
      <c r="O517" s="7">
        <f t="shared" si="89"/>
        <v>99506.321428571435</v>
      </c>
      <c r="P517" s="8">
        <f t="shared" si="90"/>
        <v>0.88799383528038589</v>
      </c>
      <c r="Q517" s="7"/>
      <c r="R517" s="7"/>
      <c r="S517" s="7"/>
      <c r="T517" s="7"/>
      <c r="U517" s="7"/>
      <c r="V517" s="7"/>
      <c r="W517" s="7"/>
      <c r="X517" s="3" t="s">
        <v>75</v>
      </c>
      <c r="Y517" s="3"/>
      <c r="Z517" s="9">
        <v>0.31635999999999997</v>
      </c>
      <c r="AA517" s="5">
        <f t="shared" si="96"/>
        <v>-0.3177926810859768</v>
      </c>
      <c r="AB517" s="9">
        <f t="shared" si="100"/>
        <v>0.41556857142857145</v>
      </c>
      <c r="AC517" s="9">
        <f t="shared" si="91"/>
        <v>0.51395892857142866</v>
      </c>
      <c r="AD517" s="8">
        <f t="shared" si="92"/>
        <v>0.8085637748986334</v>
      </c>
      <c r="AE517" s="3" t="s">
        <v>44</v>
      </c>
      <c r="AF517" s="10">
        <f t="shared" si="93"/>
        <v>34676.25</v>
      </c>
      <c r="AG517" s="11">
        <f t="shared" si="94"/>
        <v>0.89334919433329729</v>
      </c>
      <c r="AH517" s="11">
        <f t="shared" si="95"/>
        <v>0.61553556600200809</v>
      </c>
      <c r="AI517" s="3" t="s">
        <v>45</v>
      </c>
      <c r="AJ517" s="3" t="s">
        <v>66</v>
      </c>
      <c r="AK517" s="3" t="s">
        <v>46</v>
      </c>
      <c r="AL517" s="3" t="s">
        <v>68</v>
      </c>
      <c r="AM517" s="3" t="s">
        <v>65</v>
      </c>
    </row>
    <row r="518" spans="1:39" ht="21" customHeight="1">
      <c r="A518" s="4">
        <v>46224</v>
      </c>
      <c r="B518" s="3" t="s">
        <v>65</v>
      </c>
      <c r="C518" s="3" t="s">
        <v>66</v>
      </c>
      <c r="D518" s="4">
        <v>46120</v>
      </c>
      <c r="E518" s="3">
        <v>104</v>
      </c>
      <c r="F518" s="3" t="s">
        <v>57</v>
      </c>
      <c r="G518" s="3" t="s">
        <v>50</v>
      </c>
      <c r="H518" s="3">
        <v>0</v>
      </c>
      <c r="I518" s="7">
        <v>88680</v>
      </c>
      <c r="J518" s="7">
        <v>31745</v>
      </c>
      <c r="K518" s="7">
        <v>56934</v>
      </c>
      <c r="L518" s="5">
        <f t="shared" si="97"/>
        <v>0.35797248534055032</v>
      </c>
      <c r="M518" s="5">
        <f t="shared" si="98"/>
        <v>3.6101900159573042E-3</v>
      </c>
      <c r="N518" s="7">
        <f t="shared" si="99"/>
        <v>98527.142857142855</v>
      </c>
      <c r="O518" s="7">
        <f t="shared" si="89"/>
        <v>99146.71428571429</v>
      </c>
      <c r="P518" s="8">
        <f t="shared" si="90"/>
        <v>0.89443206100050854</v>
      </c>
      <c r="Q518" s="7"/>
      <c r="R518" s="7"/>
      <c r="S518" s="7"/>
      <c r="T518" s="7"/>
      <c r="U518" s="7"/>
      <c r="V518" s="7"/>
      <c r="W518" s="7"/>
      <c r="X518" s="3" t="s">
        <v>75</v>
      </c>
      <c r="Y518" s="3"/>
      <c r="Z518" s="9">
        <v>0.30336000000000002</v>
      </c>
      <c r="AA518" s="5">
        <f t="shared" si="96"/>
        <v>-4.1092426349727984E-2</v>
      </c>
      <c r="AB518" s="9">
        <f t="shared" si="100"/>
        <v>0.41171142857142856</v>
      </c>
      <c r="AC518" s="9">
        <f t="shared" si="91"/>
        <v>0.50393714285714286</v>
      </c>
      <c r="AD518" s="8">
        <f t="shared" si="92"/>
        <v>0.81698964723491585</v>
      </c>
      <c r="AE518" s="3" t="s">
        <v>44</v>
      </c>
      <c r="AF518" s="10">
        <f t="shared" si="93"/>
        <v>35399.75</v>
      </c>
      <c r="AG518" s="11">
        <f t="shared" si="94"/>
        <v>0.89675774546430409</v>
      </c>
      <c r="AH518" s="11">
        <f t="shared" si="95"/>
        <v>0.6019798387554004</v>
      </c>
      <c r="AI518" s="3" t="s">
        <v>45</v>
      </c>
      <c r="AJ518" s="3" t="s">
        <v>66</v>
      </c>
      <c r="AK518" s="3" t="s">
        <v>46</v>
      </c>
      <c r="AL518" s="3" t="s">
        <v>68</v>
      </c>
      <c r="AM518" s="3" t="s">
        <v>65</v>
      </c>
    </row>
    <row r="519" spans="1:39" ht="21" customHeight="1">
      <c r="A519" s="4">
        <v>46225</v>
      </c>
      <c r="B519" s="3" t="s">
        <v>65</v>
      </c>
      <c r="C519" s="3" t="s">
        <v>66</v>
      </c>
      <c r="D519" s="4">
        <v>46120</v>
      </c>
      <c r="E519" s="3">
        <v>105</v>
      </c>
      <c r="F519" s="3" t="s">
        <v>57</v>
      </c>
      <c r="G519" s="3" t="s">
        <v>51</v>
      </c>
      <c r="H519" s="3">
        <v>0</v>
      </c>
      <c r="I519" s="7">
        <v>91770</v>
      </c>
      <c r="J519" s="7">
        <v>33971</v>
      </c>
      <c r="K519" s="7">
        <v>57799</v>
      </c>
      <c r="L519" s="5">
        <f t="shared" si="97"/>
        <v>0.37017543859649121</v>
      </c>
      <c r="M519" s="5">
        <f t="shared" si="98"/>
        <v>3.4844384303112319E-2</v>
      </c>
      <c r="N519" s="7">
        <f t="shared" si="99"/>
        <v>98427.142857142855</v>
      </c>
      <c r="O519" s="7">
        <f t="shared" si="89"/>
        <v>98732.21428571429</v>
      </c>
      <c r="P519" s="8">
        <f t="shared" si="90"/>
        <v>0.9294838636398165</v>
      </c>
      <c r="Q519" s="7"/>
      <c r="R519" s="7"/>
      <c r="S519" s="7"/>
      <c r="T519" s="7"/>
      <c r="U519" s="7"/>
      <c r="V519" s="7"/>
      <c r="W519" s="7"/>
      <c r="X519" s="3" t="s">
        <v>75</v>
      </c>
      <c r="Y519" s="3"/>
      <c r="Z519" s="9">
        <v>0.29770000000000002</v>
      </c>
      <c r="AA519" s="5">
        <f t="shared" si="96"/>
        <v>-1.8657700421940926E-2</v>
      </c>
      <c r="AB519" s="9">
        <f t="shared" si="100"/>
        <v>0.40792428571428568</v>
      </c>
      <c r="AC519" s="9">
        <f t="shared" si="91"/>
        <v>0.49646000000000001</v>
      </c>
      <c r="AD519" s="8">
        <f t="shared" si="92"/>
        <v>0.82166596647118739</v>
      </c>
      <c r="AE519" s="3" t="s">
        <v>44</v>
      </c>
      <c r="AF519" s="10">
        <f t="shared" si="93"/>
        <v>33075.5</v>
      </c>
      <c r="AG519" s="11">
        <f t="shared" si="94"/>
        <v>1.0270744206436788</v>
      </c>
      <c r="AH519" s="11">
        <f t="shared" si="95"/>
        <v>0.59964549006969348</v>
      </c>
      <c r="AI519" s="3" t="s">
        <v>45</v>
      </c>
      <c r="AJ519" s="3" t="s">
        <v>66</v>
      </c>
      <c r="AK519" s="3" t="s">
        <v>46</v>
      </c>
      <c r="AL519" s="3" t="s">
        <v>68</v>
      </c>
      <c r="AM519" s="3" t="s">
        <v>65</v>
      </c>
    </row>
    <row r="520" spans="1:39" ht="21" customHeight="1">
      <c r="A520" s="4">
        <v>46226</v>
      </c>
      <c r="B520" s="3" t="s">
        <v>65</v>
      </c>
      <c r="C520" s="3" t="s">
        <v>66</v>
      </c>
      <c r="D520" s="4">
        <v>46120</v>
      </c>
      <c r="E520" s="3">
        <v>106</v>
      </c>
      <c r="F520" s="3" t="s">
        <v>57</v>
      </c>
      <c r="G520" s="3" t="s">
        <v>52</v>
      </c>
      <c r="H520" s="3">
        <v>0</v>
      </c>
      <c r="I520" s="7">
        <v>93478</v>
      </c>
      <c r="J520" s="7">
        <v>35798</v>
      </c>
      <c r="K520" s="7">
        <v>57680</v>
      </c>
      <c r="L520" s="5">
        <f t="shared" si="97"/>
        <v>0.38295641755279319</v>
      </c>
      <c r="M520" s="5">
        <f t="shared" si="98"/>
        <v>1.8611746758199876E-2</v>
      </c>
      <c r="N520" s="7">
        <f t="shared" si="99"/>
        <v>98065.142857142855</v>
      </c>
      <c r="O520" s="7">
        <f t="shared" si="89"/>
        <v>98443.96428571429</v>
      </c>
      <c r="P520" s="8">
        <f t="shared" si="90"/>
        <v>0.94955542148524663</v>
      </c>
      <c r="Q520" s="7"/>
      <c r="R520" s="7"/>
      <c r="S520" s="7"/>
      <c r="T520" s="7"/>
      <c r="U520" s="7"/>
      <c r="V520" s="7"/>
      <c r="W520" s="7"/>
      <c r="X520" s="3" t="s">
        <v>75</v>
      </c>
      <c r="Y520" s="3"/>
      <c r="Z520" s="9">
        <v>0.29269000000000001</v>
      </c>
      <c r="AA520" s="5">
        <f t="shared" si="96"/>
        <v>-1.6829022505878477E-2</v>
      </c>
      <c r="AB520" s="9">
        <f t="shared" si="100"/>
        <v>0.39721142857142855</v>
      </c>
      <c r="AC520" s="9">
        <f t="shared" si="91"/>
        <v>0.48996214285714296</v>
      </c>
      <c r="AD520" s="8">
        <f t="shared" si="92"/>
        <v>0.81069820263081527</v>
      </c>
      <c r="AE520" s="3" t="s">
        <v>44</v>
      </c>
      <c r="AF520" s="10">
        <f t="shared" si="93"/>
        <v>34689.5</v>
      </c>
      <c r="AG520" s="11">
        <f t="shared" si="94"/>
        <v>1.031954914311247</v>
      </c>
      <c r="AH520" s="11">
        <f t="shared" si="95"/>
        <v>0.59737268331226745</v>
      </c>
      <c r="AI520" s="3" t="s">
        <v>45</v>
      </c>
      <c r="AJ520" s="3" t="s">
        <v>66</v>
      </c>
      <c r="AK520" s="3" t="s">
        <v>46</v>
      </c>
      <c r="AL520" s="3" t="s">
        <v>68</v>
      </c>
      <c r="AM520" s="3" t="s">
        <v>65</v>
      </c>
    </row>
    <row r="521" spans="1:39" ht="21" customHeight="1">
      <c r="A521" s="4">
        <v>46227</v>
      </c>
      <c r="B521" s="3" t="s">
        <v>65</v>
      </c>
      <c r="C521" s="3" t="s">
        <v>66</v>
      </c>
      <c r="D521" s="4">
        <v>46120</v>
      </c>
      <c r="E521" s="3">
        <v>107</v>
      </c>
      <c r="F521" s="3" t="s">
        <v>57</v>
      </c>
      <c r="G521" s="3" t="s">
        <v>53</v>
      </c>
      <c r="H521" s="3">
        <v>0</v>
      </c>
      <c r="I521" s="7">
        <v>99242</v>
      </c>
      <c r="J521" s="7">
        <v>41178</v>
      </c>
      <c r="K521" s="7">
        <v>58065</v>
      </c>
      <c r="L521" s="5">
        <f t="shared" si="97"/>
        <v>0.41492513250438323</v>
      </c>
      <c r="M521" s="5">
        <f t="shared" si="98"/>
        <v>6.166156742762996E-2</v>
      </c>
      <c r="N521" s="7">
        <f t="shared" si="99"/>
        <v>96056.571428571435</v>
      </c>
      <c r="O521" s="7">
        <f t="shared" si="89"/>
        <v>98197.321428571435</v>
      </c>
      <c r="P521" s="8">
        <f t="shared" si="90"/>
        <v>1.0106385648430183</v>
      </c>
      <c r="Q521" s="7"/>
      <c r="R521" s="7"/>
      <c r="S521" s="7"/>
      <c r="T521" s="7"/>
      <c r="U521" s="7"/>
      <c r="V521" s="7"/>
      <c r="W521" s="7"/>
      <c r="X521" s="3" t="s">
        <v>75</v>
      </c>
      <c r="Y521" s="3"/>
      <c r="Z521" s="9">
        <v>0.29572999999999999</v>
      </c>
      <c r="AA521" s="5">
        <f t="shared" si="96"/>
        <v>1.0386415661621573E-2</v>
      </c>
      <c r="AB521" s="9">
        <f t="shared" si="100"/>
        <v>0.36065000000000003</v>
      </c>
      <c r="AC521" s="9">
        <f t="shared" si="91"/>
        <v>0.48429785714285722</v>
      </c>
      <c r="AD521" s="8">
        <f t="shared" si="92"/>
        <v>0.74468634267282374</v>
      </c>
      <c r="AE521" s="3" t="s">
        <v>44</v>
      </c>
      <c r="AF521" s="10">
        <f t="shared" si="93"/>
        <v>45835.25</v>
      </c>
      <c r="AG521" s="11">
        <f t="shared" si="94"/>
        <v>0.89839152180908799</v>
      </c>
      <c r="AH521" s="11">
        <f t="shared" si="95"/>
        <v>0.61063660645677009</v>
      </c>
      <c r="AI521" s="3" t="s">
        <v>45</v>
      </c>
      <c r="AJ521" s="3" t="s">
        <v>66</v>
      </c>
      <c r="AK521" s="3" t="s">
        <v>46</v>
      </c>
      <c r="AL521" s="3" t="s">
        <v>68</v>
      </c>
      <c r="AM521" s="3" t="s">
        <v>65</v>
      </c>
    </row>
    <row r="522" spans="1:39" ht="21" customHeight="1">
      <c r="A522" s="4">
        <v>46228</v>
      </c>
      <c r="B522" s="3" t="s">
        <v>65</v>
      </c>
      <c r="C522" s="3" t="s">
        <v>66</v>
      </c>
      <c r="D522" s="4">
        <v>46120</v>
      </c>
      <c r="E522" s="3">
        <v>108</v>
      </c>
      <c r="F522" s="3" t="s">
        <v>57</v>
      </c>
      <c r="G522" s="3" t="s">
        <v>42</v>
      </c>
      <c r="H522" s="3">
        <v>1</v>
      </c>
      <c r="I522" s="7">
        <v>112620</v>
      </c>
      <c r="J522" s="7">
        <v>58506</v>
      </c>
      <c r="K522" s="7">
        <v>54114</v>
      </c>
      <c r="L522" s="5">
        <f t="shared" si="97"/>
        <v>0.51949920085242407</v>
      </c>
      <c r="M522" s="5">
        <f t="shared" si="98"/>
        <v>0.13480179762600519</v>
      </c>
      <c r="N522" s="7">
        <f t="shared" si="99"/>
        <v>96790.142857142855</v>
      </c>
      <c r="O522" s="7">
        <f t="shared" si="89"/>
        <v>97878.821428571435</v>
      </c>
      <c r="P522" s="8">
        <f t="shared" si="90"/>
        <v>1.1506064167536607</v>
      </c>
      <c r="Q522" s="7"/>
      <c r="R522" s="7"/>
      <c r="S522" s="7"/>
      <c r="T522" s="7"/>
      <c r="U522" s="7"/>
      <c r="V522" s="7"/>
      <c r="W522" s="7"/>
      <c r="X522" s="3" t="s">
        <v>75</v>
      </c>
      <c r="Y522" s="3"/>
      <c r="Z522" s="9">
        <v>0.44224999999999998</v>
      </c>
      <c r="AA522" s="5">
        <f t="shared" si="96"/>
        <v>0.49545193250600206</v>
      </c>
      <c r="AB522" s="9">
        <f t="shared" si="100"/>
        <v>0.34454571428571429</v>
      </c>
      <c r="AC522" s="9">
        <f t="shared" si="91"/>
        <v>0.47613678571428586</v>
      </c>
      <c r="AD522" s="8">
        <f t="shared" si="92"/>
        <v>0.72362758901066071</v>
      </c>
      <c r="AE522" s="3" t="s">
        <v>44</v>
      </c>
      <c r="AF522" s="10">
        <f t="shared" si="93"/>
        <v>59114.75</v>
      </c>
      <c r="AG522" s="11">
        <f t="shared" si="94"/>
        <v>0.98970223167652738</v>
      </c>
      <c r="AH522" s="11">
        <f t="shared" si="95"/>
        <v>0.92882972555155563</v>
      </c>
      <c r="AI522" s="3" t="s">
        <v>45</v>
      </c>
      <c r="AJ522" s="3" t="s">
        <v>66</v>
      </c>
      <c r="AK522" s="3" t="s">
        <v>46</v>
      </c>
      <c r="AL522" s="3" t="s">
        <v>68</v>
      </c>
      <c r="AM522" s="3" t="s">
        <v>65</v>
      </c>
    </row>
    <row r="523" spans="1:39" ht="21" customHeight="1">
      <c r="A523" s="4">
        <v>46229</v>
      </c>
      <c r="B523" s="3" t="s">
        <v>65</v>
      </c>
      <c r="C523" s="3" t="s">
        <v>66</v>
      </c>
      <c r="D523" s="4">
        <v>46120</v>
      </c>
      <c r="E523" s="3">
        <v>109</v>
      </c>
      <c r="F523" s="3" t="s">
        <v>57</v>
      </c>
      <c r="G523" s="3" t="s">
        <v>48</v>
      </c>
      <c r="H523" s="3">
        <v>1</v>
      </c>
      <c r="I523" s="7">
        <v>104570</v>
      </c>
      <c r="J523" s="7">
        <v>52829</v>
      </c>
      <c r="K523" s="7">
        <v>51740</v>
      </c>
      <c r="L523" s="5">
        <f t="shared" si="97"/>
        <v>0.5052022568614325</v>
      </c>
      <c r="M523" s="5">
        <f t="shared" si="98"/>
        <v>-7.147931095720117E-2</v>
      </c>
      <c r="N523" s="7">
        <f t="shared" si="99"/>
        <v>96960.142857142855</v>
      </c>
      <c r="O523" s="7">
        <f t="shared" si="89"/>
        <v>97561.71428571429</v>
      </c>
      <c r="P523" s="8">
        <f t="shared" si="90"/>
        <v>1.071834384682516</v>
      </c>
      <c r="Q523" s="7"/>
      <c r="R523" s="7"/>
      <c r="S523" s="7"/>
      <c r="T523" s="7"/>
      <c r="U523" s="7"/>
      <c r="V523" s="7"/>
      <c r="W523" s="7"/>
      <c r="X523" s="3" t="s">
        <v>75</v>
      </c>
      <c r="Y523" s="3"/>
      <c r="Z523" s="9">
        <v>0.44203999999999999</v>
      </c>
      <c r="AA523" s="5">
        <f t="shared" si="96"/>
        <v>-4.7484454494062245E-4</v>
      </c>
      <c r="AB523" s="9">
        <f t="shared" si="100"/>
        <v>0.34144714285714289</v>
      </c>
      <c r="AC523" s="9">
        <f t="shared" si="91"/>
        <v>0.46400750000000013</v>
      </c>
      <c r="AD523" s="8">
        <f t="shared" si="92"/>
        <v>0.735865568675383</v>
      </c>
      <c r="AE523" s="3" t="s">
        <v>44</v>
      </c>
      <c r="AF523" s="10">
        <f t="shared" si="93"/>
        <v>52898.5</v>
      </c>
      <c r="AG523" s="11">
        <f t="shared" si="94"/>
        <v>0.99868616312371805</v>
      </c>
      <c r="AH523" s="11">
        <f t="shared" si="95"/>
        <v>0.95265701524221025</v>
      </c>
      <c r="AI523" s="3" t="s">
        <v>45</v>
      </c>
      <c r="AJ523" s="3" t="s">
        <v>66</v>
      </c>
      <c r="AK523" s="3" t="s">
        <v>46</v>
      </c>
      <c r="AL523" s="3" t="s">
        <v>68</v>
      </c>
      <c r="AM523" s="3" t="s">
        <v>65</v>
      </c>
    </row>
    <row r="524" spans="1:39" ht="21" customHeight="1">
      <c r="A524" s="4">
        <v>46230</v>
      </c>
      <c r="B524" s="3" t="s">
        <v>65</v>
      </c>
      <c r="C524" s="3" t="s">
        <v>66</v>
      </c>
      <c r="D524" s="4">
        <v>46120</v>
      </c>
      <c r="E524" s="3">
        <v>110</v>
      </c>
      <c r="F524" s="3" t="s">
        <v>57</v>
      </c>
      <c r="G524" s="3" t="s">
        <v>49</v>
      </c>
      <c r="H524" s="3">
        <v>0</v>
      </c>
      <c r="I524" s="7">
        <v>97520</v>
      </c>
      <c r="J524" s="7">
        <v>40831</v>
      </c>
      <c r="K524" s="7">
        <v>56690</v>
      </c>
      <c r="L524" s="5">
        <f t="shared" si="97"/>
        <v>0.41869360131255129</v>
      </c>
      <c r="M524" s="5">
        <f t="shared" si="98"/>
        <v>-6.7418953810844395E-2</v>
      </c>
      <c r="N524" s="7">
        <f t="shared" si="99"/>
        <v>98268.571428571435</v>
      </c>
      <c r="O524" s="7">
        <f t="shared" si="89"/>
        <v>97251.5</v>
      </c>
      <c r="P524" s="8">
        <f t="shared" si="90"/>
        <v>1.0027608828655599</v>
      </c>
      <c r="Q524" s="7"/>
      <c r="R524" s="7"/>
      <c r="S524" s="7"/>
      <c r="T524" s="7"/>
      <c r="U524" s="7"/>
      <c r="V524" s="7"/>
      <c r="W524" s="7"/>
      <c r="X524" s="3" t="s">
        <v>75</v>
      </c>
      <c r="Y524" s="3"/>
      <c r="Z524" s="9">
        <v>0.31106</v>
      </c>
      <c r="AA524" s="5">
        <f t="shared" si="96"/>
        <v>-0.29630802642294818</v>
      </c>
      <c r="AB524" s="9">
        <f t="shared" si="100"/>
        <v>0.34068999999999999</v>
      </c>
      <c r="AC524" s="9">
        <f t="shared" si="91"/>
        <v>0.45345607142857153</v>
      </c>
      <c r="AD524" s="8">
        <f t="shared" si="92"/>
        <v>0.75131864245788482</v>
      </c>
      <c r="AE524" s="3" t="s">
        <v>44</v>
      </c>
      <c r="AF524" s="10">
        <f t="shared" si="93"/>
        <v>32955</v>
      </c>
      <c r="AG524" s="11">
        <f t="shared" si="94"/>
        <v>1.2389925656197847</v>
      </c>
      <c r="AH524" s="11">
        <f t="shared" si="95"/>
        <v>0.68597603957541942</v>
      </c>
      <c r="AI524" s="3" t="s">
        <v>45</v>
      </c>
      <c r="AJ524" s="3" t="s">
        <v>66</v>
      </c>
      <c r="AK524" s="3" t="s">
        <v>46</v>
      </c>
      <c r="AL524" s="3" t="s">
        <v>68</v>
      </c>
      <c r="AM524" s="3" t="s">
        <v>65</v>
      </c>
    </row>
    <row r="525" spans="1:39" ht="21" customHeight="1">
      <c r="A525" s="4">
        <v>46231</v>
      </c>
      <c r="B525" s="3" t="s">
        <v>65</v>
      </c>
      <c r="C525" s="3" t="s">
        <v>66</v>
      </c>
      <c r="D525" s="4">
        <v>46120</v>
      </c>
      <c r="E525" s="3">
        <v>111</v>
      </c>
      <c r="F525" s="3" t="s">
        <v>57</v>
      </c>
      <c r="G525" s="3" t="s">
        <v>50</v>
      </c>
      <c r="H525" s="3">
        <v>0</v>
      </c>
      <c r="I525" s="7">
        <v>99354</v>
      </c>
      <c r="J525" s="7">
        <v>42217</v>
      </c>
      <c r="K525" s="7">
        <v>57138</v>
      </c>
      <c r="L525" s="5">
        <f t="shared" si="97"/>
        <v>0.42491495058075168</v>
      </c>
      <c r="M525" s="5">
        <f t="shared" si="98"/>
        <v>1.8806398687448711E-2</v>
      </c>
      <c r="N525" s="7">
        <f t="shared" si="99"/>
        <v>99793.428571428565</v>
      </c>
      <c r="O525" s="7">
        <f t="shared" si="89"/>
        <v>97168.71428571429</v>
      </c>
      <c r="P525" s="8">
        <f t="shared" si="90"/>
        <v>1.0224896020324001</v>
      </c>
      <c r="Q525" s="7"/>
      <c r="R525" s="7"/>
      <c r="S525" s="7"/>
      <c r="T525" s="7"/>
      <c r="U525" s="7"/>
      <c r="V525" s="7"/>
      <c r="W525" s="7"/>
      <c r="X525" s="3" t="s">
        <v>75</v>
      </c>
      <c r="Y525" s="3"/>
      <c r="Z525" s="9">
        <v>0.27254</v>
      </c>
      <c r="AA525" s="5">
        <f t="shared" si="96"/>
        <v>-0.12383462997492445</v>
      </c>
      <c r="AB525" s="9">
        <f t="shared" si="100"/>
        <v>0.33628714285714284</v>
      </c>
      <c r="AC525" s="9">
        <f t="shared" si="91"/>
        <v>0.44742535714285708</v>
      </c>
      <c r="AD525" s="8">
        <f t="shared" si="92"/>
        <v>0.75160501631956178</v>
      </c>
      <c r="AE525" s="3" t="s">
        <v>44</v>
      </c>
      <c r="AF525" s="10">
        <f t="shared" si="93"/>
        <v>33534.25</v>
      </c>
      <c r="AG525" s="11">
        <f t="shared" si="94"/>
        <v>1.2589218485578177</v>
      </c>
      <c r="AH525" s="11">
        <f t="shared" si="95"/>
        <v>0.60912953557297278</v>
      </c>
      <c r="AI525" s="3" t="s">
        <v>45</v>
      </c>
      <c r="AJ525" s="3" t="s">
        <v>66</v>
      </c>
      <c r="AK525" s="3" t="s">
        <v>46</v>
      </c>
      <c r="AL525" s="3" t="s">
        <v>68</v>
      </c>
      <c r="AM525" s="3" t="s">
        <v>65</v>
      </c>
    </row>
    <row r="526" spans="1:39" ht="21" customHeight="1">
      <c r="A526" s="4">
        <v>46232</v>
      </c>
      <c r="B526" s="3" t="s">
        <v>65</v>
      </c>
      <c r="C526" s="3" t="s">
        <v>66</v>
      </c>
      <c r="D526" s="4">
        <v>46120</v>
      </c>
      <c r="E526" s="3">
        <v>112</v>
      </c>
      <c r="F526" s="3" t="s">
        <v>57</v>
      </c>
      <c r="G526" s="3" t="s">
        <v>51</v>
      </c>
      <c r="H526" s="3">
        <v>0</v>
      </c>
      <c r="I526" s="7">
        <v>101664</v>
      </c>
      <c r="J526" s="7">
        <v>44874</v>
      </c>
      <c r="K526" s="7">
        <v>56791</v>
      </c>
      <c r="L526" s="5">
        <f t="shared" si="97"/>
        <v>0.44139518413597734</v>
      </c>
      <c r="M526" s="5">
        <f t="shared" si="98"/>
        <v>2.3250196267890599E-2</v>
      </c>
      <c r="N526" s="7">
        <f t="shared" si="99"/>
        <v>101206.85714285714</v>
      </c>
      <c r="O526" s="7">
        <f t="shared" si="89"/>
        <v>97079.428571428565</v>
      </c>
      <c r="P526" s="8">
        <f t="shared" si="90"/>
        <v>1.0472249527632749</v>
      </c>
      <c r="Q526" s="7"/>
      <c r="R526" s="7"/>
      <c r="S526" s="7"/>
      <c r="T526" s="7"/>
      <c r="U526" s="7"/>
      <c r="V526" s="7"/>
      <c r="W526" s="7"/>
      <c r="X526" s="3" t="s">
        <v>75</v>
      </c>
      <c r="Y526" s="3"/>
      <c r="Z526" s="9">
        <v>0.26604</v>
      </c>
      <c r="AA526" s="5">
        <f t="shared" si="96"/>
        <v>-2.3849710134292268E-2</v>
      </c>
      <c r="AB526" s="9">
        <f t="shared" si="100"/>
        <v>0.33176428571428568</v>
      </c>
      <c r="AC526" s="9">
        <f t="shared" si="91"/>
        <v>0.44258107142857134</v>
      </c>
      <c r="AD526" s="8">
        <f t="shared" si="92"/>
        <v>0.74961246002548365</v>
      </c>
      <c r="AE526" s="3" t="s">
        <v>44</v>
      </c>
      <c r="AF526" s="10">
        <f t="shared" si="93"/>
        <v>31977.25</v>
      </c>
      <c r="AG526" s="11">
        <f t="shared" si="94"/>
        <v>1.4033101658210134</v>
      </c>
      <c r="AH526" s="11">
        <f t="shared" si="95"/>
        <v>0.60111020821851058</v>
      </c>
      <c r="AI526" s="3" t="s">
        <v>45</v>
      </c>
      <c r="AJ526" s="3" t="s">
        <v>66</v>
      </c>
      <c r="AK526" s="3" t="s">
        <v>46</v>
      </c>
      <c r="AL526" s="3" t="s">
        <v>68</v>
      </c>
      <c r="AM526" s="3" t="s">
        <v>65</v>
      </c>
    </row>
    <row r="527" spans="1:39" ht="21" customHeight="1">
      <c r="A527" s="4">
        <v>46233</v>
      </c>
      <c r="B527" s="3" t="s">
        <v>65</v>
      </c>
      <c r="C527" s="3" t="s">
        <v>66</v>
      </c>
      <c r="D527" s="4">
        <v>46120</v>
      </c>
      <c r="E527" s="3">
        <v>113</v>
      </c>
      <c r="F527" s="3" t="s">
        <v>57</v>
      </c>
      <c r="G527" s="3" t="s">
        <v>52</v>
      </c>
      <c r="H527" s="3">
        <v>0</v>
      </c>
      <c r="I527" s="7">
        <v>104594</v>
      </c>
      <c r="J527" s="7">
        <v>47782</v>
      </c>
      <c r="K527" s="7">
        <v>56812</v>
      </c>
      <c r="L527" s="5">
        <f t="shared" si="97"/>
        <v>0.4568330879400348</v>
      </c>
      <c r="M527" s="5">
        <f t="shared" si="98"/>
        <v>2.8820428076802074E-2</v>
      </c>
      <c r="N527" s="7">
        <f t="shared" si="99"/>
        <v>102794.85714285714</v>
      </c>
      <c r="O527" s="7">
        <f t="shared" si="89"/>
        <v>97444.03571428571</v>
      </c>
      <c r="P527" s="8">
        <f t="shared" si="90"/>
        <v>1.0733750837935181</v>
      </c>
      <c r="Q527" s="7"/>
      <c r="R527" s="7"/>
      <c r="S527" s="7"/>
      <c r="T527" s="7"/>
      <c r="U527" s="7"/>
      <c r="V527" s="7"/>
      <c r="W527" s="7"/>
      <c r="X527" s="3" t="s">
        <v>75</v>
      </c>
      <c r="Y527" s="3"/>
      <c r="Z527" s="9">
        <v>0.29720999999999997</v>
      </c>
      <c r="AA527" s="5">
        <f t="shared" si="96"/>
        <v>0.11716283265674332</v>
      </c>
      <c r="AB527" s="9">
        <f t="shared" si="100"/>
        <v>0.33240999999999993</v>
      </c>
      <c r="AC527" s="9">
        <f t="shared" si="91"/>
        <v>0.43664392857142859</v>
      </c>
      <c r="AD527" s="8">
        <f t="shared" si="92"/>
        <v>0.76128391636532855</v>
      </c>
      <c r="AE527" s="3" t="s">
        <v>44</v>
      </c>
      <c r="AF527" s="10">
        <f t="shared" si="93"/>
        <v>33827.5</v>
      </c>
      <c r="AG527" s="11">
        <f t="shared" si="94"/>
        <v>1.412519399896534</v>
      </c>
      <c r="AH527" s="11">
        <f t="shared" si="95"/>
        <v>0.68066903156625647</v>
      </c>
      <c r="AI527" s="3" t="s">
        <v>45</v>
      </c>
      <c r="AJ527" s="3" t="s">
        <v>66</v>
      </c>
      <c r="AK527" s="3" t="s">
        <v>46</v>
      </c>
      <c r="AL527" s="3" t="s">
        <v>68</v>
      </c>
      <c r="AM527" s="3" t="s">
        <v>65</v>
      </c>
    </row>
    <row r="528" spans="1:39" ht="21" customHeight="1">
      <c r="A528" s="4">
        <v>46234</v>
      </c>
      <c r="B528" s="3" t="s">
        <v>65</v>
      </c>
      <c r="C528" s="3" t="s">
        <v>66</v>
      </c>
      <c r="D528" s="4">
        <v>46120</v>
      </c>
      <c r="E528" s="3">
        <v>114</v>
      </c>
      <c r="F528" s="3" t="s">
        <v>57</v>
      </c>
      <c r="G528" s="3" t="s">
        <v>53</v>
      </c>
      <c r="H528" s="3">
        <v>0</v>
      </c>
      <c r="I528" s="7">
        <v>108496</v>
      </c>
      <c r="J528" s="7">
        <v>51744</v>
      </c>
      <c r="K528" s="7">
        <v>56752</v>
      </c>
      <c r="L528" s="5">
        <f t="shared" si="97"/>
        <v>0.47692080814039228</v>
      </c>
      <c r="M528" s="5">
        <f t="shared" si="98"/>
        <v>3.7306155228789439E-2</v>
      </c>
      <c r="N528" s="7">
        <f t="shared" si="99"/>
        <v>104116.85714285714</v>
      </c>
      <c r="O528" s="7">
        <f t="shared" si="89"/>
        <v>97936.392857142855</v>
      </c>
      <c r="P528" s="8">
        <f t="shared" si="90"/>
        <v>1.1078210748302744</v>
      </c>
      <c r="Q528" s="7"/>
      <c r="R528" s="7"/>
      <c r="S528" s="7"/>
      <c r="T528" s="7"/>
      <c r="U528" s="7"/>
      <c r="V528" s="7"/>
      <c r="W528" s="7"/>
      <c r="X528" s="3" t="s">
        <v>75</v>
      </c>
      <c r="Y528" s="3"/>
      <c r="Z528" s="9">
        <v>0.31347000000000003</v>
      </c>
      <c r="AA528" s="5">
        <f t="shared" si="96"/>
        <v>5.4708791763399711E-2</v>
      </c>
      <c r="AB528" s="9">
        <f t="shared" si="100"/>
        <v>0.33494428571428569</v>
      </c>
      <c r="AC528" s="9">
        <f t="shared" si="91"/>
        <v>0.4322996428571429</v>
      </c>
      <c r="AD528" s="8">
        <f t="shared" si="92"/>
        <v>0.77479658206650637</v>
      </c>
      <c r="AE528" s="3" t="s">
        <v>44</v>
      </c>
      <c r="AF528" s="10">
        <f t="shared" si="93"/>
        <v>44437.25</v>
      </c>
      <c r="AG528" s="11">
        <f t="shared" si="94"/>
        <v>1.1644284918621202</v>
      </c>
      <c r="AH528" s="11">
        <f t="shared" si="95"/>
        <v>0.72512204249863066</v>
      </c>
      <c r="AI528" s="3" t="s">
        <v>45</v>
      </c>
      <c r="AJ528" s="3" t="s">
        <v>66</v>
      </c>
      <c r="AK528" s="3" t="s">
        <v>46</v>
      </c>
      <c r="AL528" s="3" t="s">
        <v>68</v>
      </c>
      <c r="AM528" s="3" t="s">
        <v>65</v>
      </c>
    </row>
    <row r="529" spans="1:39" ht="21" customHeight="1">
      <c r="A529" s="4">
        <v>46235</v>
      </c>
      <c r="B529" s="3" t="s">
        <v>65</v>
      </c>
      <c r="C529" s="3" t="s">
        <v>66</v>
      </c>
      <c r="D529" s="4">
        <v>46120</v>
      </c>
      <c r="E529" s="3">
        <v>115</v>
      </c>
      <c r="F529" s="3" t="s">
        <v>57</v>
      </c>
      <c r="G529" s="3" t="s">
        <v>42</v>
      </c>
      <c r="H529" s="3">
        <v>1</v>
      </c>
      <c r="I529" s="7">
        <v>113981</v>
      </c>
      <c r="J529" s="7">
        <v>60602</v>
      </c>
      <c r="K529" s="7">
        <v>53378</v>
      </c>
      <c r="L529" s="5">
        <f t="shared" si="97"/>
        <v>0.53168510541230551</v>
      </c>
      <c r="M529" s="5">
        <f t="shared" si="98"/>
        <v>5.055485916531488E-2</v>
      </c>
      <c r="N529" s="7">
        <f t="shared" si="99"/>
        <v>104311.28571428571</v>
      </c>
      <c r="O529" s="7">
        <f t="shared" si="89"/>
        <v>98331.25</v>
      </c>
      <c r="P529" s="8">
        <f t="shared" si="90"/>
        <v>1.1591533718934723</v>
      </c>
      <c r="Q529" s="7"/>
      <c r="R529" s="7"/>
      <c r="S529" s="7"/>
      <c r="T529" s="7"/>
      <c r="U529" s="7"/>
      <c r="V529" s="7"/>
      <c r="W529" s="7"/>
      <c r="X529" s="3" t="s">
        <v>76</v>
      </c>
      <c r="Y529" s="3"/>
      <c r="Z529" s="9">
        <v>0.41871000000000003</v>
      </c>
      <c r="AA529" s="5">
        <f t="shared" si="96"/>
        <v>0.3357259067853382</v>
      </c>
      <c r="AB529" s="9">
        <f t="shared" si="100"/>
        <v>0.33158142857142858</v>
      </c>
      <c r="AC529" s="9">
        <f t="shared" si="91"/>
        <v>0.42502214285714285</v>
      </c>
      <c r="AD529" s="8">
        <f t="shared" si="92"/>
        <v>0.78015095011856528</v>
      </c>
      <c r="AE529" s="3" t="s">
        <v>44</v>
      </c>
      <c r="AF529" s="10">
        <f t="shared" si="93"/>
        <v>57214.25</v>
      </c>
      <c r="AG529" s="11">
        <f t="shared" si="94"/>
        <v>1.0592116474479696</v>
      </c>
      <c r="AH529" s="11">
        <f t="shared" si="95"/>
        <v>0.98514867292628461</v>
      </c>
      <c r="AI529" s="3" t="s">
        <v>45</v>
      </c>
      <c r="AJ529" s="3" t="s">
        <v>66</v>
      </c>
      <c r="AK529" s="3" t="s">
        <v>46</v>
      </c>
      <c r="AL529" s="3" t="s">
        <v>68</v>
      </c>
      <c r="AM529" s="3" t="s">
        <v>65</v>
      </c>
    </row>
    <row r="530" spans="1:39" ht="21" customHeight="1">
      <c r="A530" s="4">
        <v>46236</v>
      </c>
      <c r="B530" s="3" t="s">
        <v>65</v>
      </c>
      <c r="C530" s="3" t="s">
        <v>66</v>
      </c>
      <c r="D530" s="4">
        <v>46120</v>
      </c>
      <c r="E530" s="3">
        <v>116</v>
      </c>
      <c r="F530" s="3" t="s">
        <v>57</v>
      </c>
      <c r="G530" s="3" t="s">
        <v>48</v>
      </c>
      <c r="H530" s="3">
        <v>1</v>
      </c>
      <c r="I530" s="7">
        <v>107720</v>
      </c>
      <c r="J530" s="7">
        <v>55895</v>
      </c>
      <c r="K530" s="7">
        <v>51824</v>
      </c>
      <c r="L530" s="5">
        <f t="shared" si="97"/>
        <v>0.51889157073895287</v>
      </c>
      <c r="M530" s="5">
        <f t="shared" si="98"/>
        <v>-5.4930207666189945E-2</v>
      </c>
      <c r="N530" s="7">
        <f t="shared" si="99"/>
        <v>104761.28571428571</v>
      </c>
      <c r="O530" s="7">
        <f t="shared" si="89"/>
        <v>98363.5</v>
      </c>
      <c r="P530" s="8">
        <f t="shared" si="90"/>
        <v>1.0951216660651564</v>
      </c>
      <c r="Q530" s="7"/>
      <c r="R530" s="7"/>
      <c r="S530" s="7"/>
      <c r="T530" s="7"/>
      <c r="U530" s="7"/>
      <c r="V530" s="7"/>
      <c r="W530" s="7"/>
      <c r="X530" s="3" t="s">
        <v>76</v>
      </c>
      <c r="Y530" s="3"/>
      <c r="Z530" s="9">
        <v>0.40853</v>
      </c>
      <c r="AA530" s="5">
        <f t="shared" si="96"/>
        <v>-2.4312770175061504E-2</v>
      </c>
      <c r="AB530" s="9">
        <f t="shared" si="100"/>
        <v>0.32679428571428565</v>
      </c>
      <c r="AC530" s="9">
        <f t="shared" si="91"/>
        <v>0.41447535714285716</v>
      </c>
      <c r="AD530" s="8">
        <f t="shared" si="92"/>
        <v>0.7884528720042806</v>
      </c>
      <c r="AE530" s="3" t="s">
        <v>44</v>
      </c>
      <c r="AF530" s="10">
        <f t="shared" si="93"/>
        <v>51362.75</v>
      </c>
      <c r="AG530" s="11">
        <f t="shared" si="94"/>
        <v>1.0882400183012009</v>
      </c>
      <c r="AH530" s="11">
        <f t="shared" si="95"/>
        <v>0.9856557041561147</v>
      </c>
      <c r="AI530" s="3" t="s">
        <v>45</v>
      </c>
      <c r="AJ530" s="3" t="s">
        <v>66</v>
      </c>
      <c r="AK530" s="3" t="s">
        <v>46</v>
      </c>
      <c r="AL530" s="3" t="s">
        <v>68</v>
      </c>
      <c r="AM530" s="3" t="s">
        <v>65</v>
      </c>
    </row>
    <row r="531" spans="1:39" ht="21" customHeight="1">
      <c r="A531" s="4">
        <v>46237</v>
      </c>
      <c r="B531" s="3" t="s">
        <v>65</v>
      </c>
      <c r="C531" s="3" t="s">
        <v>66</v>
      </c>
      <c r="D531" s="4">
        <v>46120</v>
      </c>
      <c r="E531" s="3">
        <v>117</v>
      </c>
      <c r="F531" s="3" t="s">
        <v>57</v>
      </c>
      <c r="G531" s="3" t="s">
        <v>49</v>
      </c>
      <c r="H531" s="3">
        <v>0</v>
      </c>
      <c r="I531" s="7">
        <v>99382</v>
      </c>
      <c r="J531" s="7">
        <v>42822</v>
      </c>
      <c r="K531" s="7">
        <v>56560</v>
      </c>
      <c r="L531" s="5">
        <f t="shared" si="97"/>
        <v>0.43088285605039139</v>
      </c>
      <c r="M531" s="5">
        <f t="shared" si="98"/>
        <v>-7.7404381730412197E-2</v>
      </c>
      <c r="N531" s="7">
        <f t="shared" si="99"/>
        <v>105027.28571428571</v>
      </c>
      <c r="O531" s="7">
        <f t="shared" si="89"/>
        <v>98563.142857142855</v>
      </c>
      <c r="P531" s="8">
        <f t="shared" si="90"/>
        <v>1.0083079447257886</v>
      </c>
      <c r="Q531" s="7"/>
      <c r="R531" s="7"/>
      <c r="S531" s="7"/>
      <c r="T531" s="7"/>
      <c r="U531" s="7"/>
      <c r="V531" s="7"/>
      <c r="W531" s="7"/>
      <c r="X531" s="3" t="s">
        <v>76</v>
      </c>
      <c r="Y531" s="3"/>
      <c r="Z531" s="9">
        <v>0.28576000000000001</v>
      </c>
      <c r="AA531" s="5">
        <f t="shared" si="96"/>
        <v>-0.30051648593738522</v>
      </c>
      <c r="AB531" s="9">
        <f t="shared" si="100"/>
        <v>0.32317999999999997</v>
      </c>
      <c r="AC531" s="9">
        <f t="shared" si="91"/>
        <v>0.39968785714285715</v>
      </c>
      <c r="AD531" s="8">
        <f t="shared" si="92"/>
        <v>0.80858098194483896</v>
      </c>
      <c r="AE531" s="3" t="s">
        <v>44</v>
      </c>
      <c r="AF531" s="10">
        <f t="shared" si="93"/>
        <v>33366.25</v>
      </c>
      <c r="AG531" s="11">
        <f t="shared" si="94"/>
        <v>1.2833926497583636</v>
      </c>
      <c r="AH531" s="11">
        <f t="shared" si="95"/>
        <v>0.71495792252168211</v>
      </c>
      <c r="AI531" s="3" t="s">
        <v>45</v>
      </c>
      <c r="AJ531" s="3" t="s">
        <v>66</v>
      </c>
      <c r="AK531" s="3" t="s">
        <v>46</v>
      </c>
      <c r="AL531" s="3" t="s">
        <v>68</v>
      </c>
      <c r="AM531" s="3" t="s">
        <v>65</v>
      </c>
    </row>
    <row r="532" spans="1:39" ht="21" customHeight="1">
      <c r="A532" s="4">
        <v>46238</v>
      </c>
      <c r="B532" s="3" t="s">
        <v>65</v>
      </c>
      <c r="C532" s="3" t="s">
        <v>66</v>
      </c>
      <c r="D532" s="4">
        <v>46120</v>
      </c>
      <c r="E532" s="3">
        <v>118</v>
      </c>
      <c r="F532" s="3" t="s">
        <v>57</v>
      </c>
      <c r="G532" s="3" t="s">
        <v>50</v>
      </c>
      <c r="H532" s="3">
        <v>0</v>
      </c>
      <c r="I532" s="7">
        <v>96271</v>
      </c>
      <c r="J532" s="7">
        <v>39812</v>
      </c>
      <c r="K532" s="7">
        <v>56458</v>
      </c>
      <c r="L532" s="5">
        <f t="shared" si="97"/>
        <v>0.41354094171661249</v>
      </c>
      <c r="M532" s="5">
        <f t="shared" si="98"/>
        <v>-3.1303455354088294E-2</v>
      </c>
      <c r="N532" s="7">
        <f t="shared" si="99"/>
        <v>104586.85714285714</v>
      </c>
      <c r="O532" s="7">
        <f t="shared" si="89"/>
        <v>99010.5</v>
      </c>
      <c r="P532" s="8">
        <f t="shared" si="90"/>
        <v>0.97233121739613471</v>
      </c>
      <c r="Q532" s="7"/>
      <c r="R532" s="7"/>
      <c r="S532" s="7"/>
      <c r="T532" s="7"/>
      <c r="U532" s="7"/>
      <c r="V532" s="7"/>
      <c r="W532" s="7"/>
      <c r="X532" s="3" t="s">
        <v>76</v>
      </c>
      <c r="Y532" s="3"/>
      <c r="Z532" s="9">
        <v>0.26823000000000002</v>
      </c>
      <c r="AA532" s="5">
        <f t="shared" si="96"/>
        <v>-6.1345184770436711E-2</v>
      </c>
      <c r="AB532" s="9">
        <f t="shared" si="100"/>
        <v>0.32256428571428575</v>
      </c>
      <c r="AC532" s="9">
        <f t="shared" si="91"/>
        <v>0.39124392857142853</v>
      </c>
      <c r="AD532" s="8">
        <f t="shared" si="92"/>
        <v>0.82445825266115513</v>
      </c>
      <c r="AE532" s="3" t="s">
        <v>44</v>
      </c>
      <c r="AF532" s="10">
        <f t="shared" si="93"/>
        <v>34007.5</v>
      </c>
      <c r="AG532" s="11">
        <f t="shared" si="94"/>
        <v>1.1706829375872969</v>
      </c>
      <c r="AH532" s="11">
        <f t="shared" si="95"/>
        <v>0.68558252387303142</v>
      </c>
      <c r="AI532" s="3" t="s">
        <v>45</v>
      </c>
      <c r="AJ532" s="3" t="s">
        <v>66</v>
      </c>
      <c r="AK532" s="3" t="s">
        <v>46</v>
      </c>
      <c r="AL532" s="3" t="s">
        <v>68</v>
      </c>
      <c r="AM532" s="3" t="s">
        <v>65</v>
      </c>
    </row>
    <row r="533" spans="1:39" ht="21" customHeight="1">
      <c r="A533" s="4">
        <v>46239</v>
      </c>
      <c r="B533" s="3" t="s">
        <v>65</v>
      </c>
      <c r="C533" s="3" t="s">
        <v>66</v>
      </c>
      <c r="D533" s="4">
        <v>46120</v>
      </c>
      <c r="E533" s="3">
        <v>119</v>
      </c>
      <c r="F533" s="3" t="s">
        <v>57</v>
      </c>
      <c r="G533" s="3" t="s">
        <v>51</v>
      </c>
      <c r="H533" s="3">
        <v>0</v>
      </c>
      <c r="I533" s="7">
        <v>96103</v>
      </c>
      <c r="J533" s="7">
        <v>38322</v>
      </c>
      <c r="K533" s="7">
        <v>57782</v>
      </c>
      <c r="L533" s="5">
        <f t="shared" si="97"/>
        <v>0.39875966411038155</v>
      </c>
      <c r="M533" s="5">
        <f t="shared" si="98"/>
        <v>-1.7450738020795553E-3</v>
      </c>
      <c r="N533" s="7">
        <f t="shared" si="99"/>
        <v>103792.42857142857</v>
      </c>
      <c r="O533" s="7">
        <f t="shared" si="89"/>
        <v>99322.607142857145</v>
      </c>
      <c r="P533" s="8">
        <f t="shared" si="90"/>
        <v>0.96758434725513864</v>
      </c>
      <c r="Q533" s="7"/>
      <c r="R533" s="7"/>
      <c r="S533" s="7"/>
      <c r="T533" s="7"/>
      <c r="U533" s="7"/>
      <c r="V533" s="7"/>
      <c r="W533" s="7"/>
      <c r="X533" s="3" t="s">
        <v>76</v>
      </c>
      <c r="Y533" s="3"/>
      <c r="Z533" s="9">
        <v>0.91320000000000001</v>
      </c>
      <c r="AA533" s="5">
        <f t="shared" si="96"/>
        <v>2.4045408790962979</v>
      </c>
      <c r="AB533" s="9">
        <f t="shared" si="100"/>
        <v>0.41501571428571432</v>
      </c>
      <c r="AC533" s="9">
        <f t="shared" si="91"/>
        <v>0.38395857142857143</v>
      </c>
      <c r="AD533" s="8">
        <f t="shared" si="92"/>
        <v>1.0808867028064786</v>
      </c>
      <c r="AE533" s="3" t="s">
        <v>44</v>
      </c>
      <c r="AF533" s="10">
        <f t="shared" si="93"/>
        <v>35340.75</v>
      </c>
      <c r="AG533" s="11">
        <f t="shared" si="94"/>
        <v>1.0843572929267207</v>
      </c>
      <c r="AH533" s="11">
        <f t="shared" si="95"/>
        <v>2.3783815962287598</v>
      </c>
      <c r="AI533" s="3" t="s">
        <v>45</v>
      </c>
      <c r="AJ533" s="3" t="s">
        <v>66</v>
      </c>
      <c r="AK533" s="3" t="s">
        <v>46</v>
      </c>
      <c r="AL533" s="3" t="s">
        <v>68</v>
      </c>
      <c r="AM533" s="3" t="s">
        <v>65</v>
      </c>
    </row>
    <row r="534" spans="1:39" ht="21" customHeight="1">
      <c r="A534" s="4">
        <v>46240</v>
      </c>
      <c r="B534" s="3" t="s">
        <v>65</v>
      </c>
      <c r="C534" s="3" t="s">
        <v>66</v>
      </c>
      <c r="D534" s="4">
        <v>46120</v>
      </c>
      <c r="E534" s="3">
        <v>120</v>
      </c>
      <c r="F534" s="3" t="s">
        <v>57</v>
      </c>
      <c r="G534" s="3" t="s">
        <v>52</v>
      </c>
      <c r="H534" s="3">
        <v>0</v>
      </c>
      <c r="I534" s="7">
        <v>95260</v>
      </c>
      <c r="J534" s="7">
        <v>37569</v>
      </c>
      <c r="K534" s="7">
        <v>57690</v>
      </c>
      <c r="L534" s="5">
        <f t="shared" si="97"/>
        <v>0.39438379172790256</v>
      </c>
      <c r="M534" s="5">
        <f t="shared" si="98"/>
        <v>-8.7718385482242756E-3</v>
      </c>
      <c r="N534" s="7">
        <f t="shared" si="99"/>
        <v>102459</v>
      </c>
      <c r="O534" s="7">
        <f t="shared" si="89"/>
        <v>99720.857142857145</v>
      </c>
      <c r="P534" s="8">
        <f t="shared" si="90"/>
        <v>0.95526655836434848</v>
      </c>
      <c r="Q534" s="7"/>
      <c r="R534" s="7"/>
      <c r="S534" s="7"/>
      <c r="T534" s="7"/>
      <c r="U534" s="7"/>
      <c r="V534" s="7"/>
      <c r="W534" s="7"/>
      <c r="X534" s="3" t="s">
        <v>76</v>
      </c>
      <c r="Y534" s="3"/>
      <c r="Z534" s="9">
        <v>0.92535000000000001</v>
      </c>
      <c r="AA534" s="5">
        <f t="shared" si="96"/>
        <v>1.3304862023653108E-2</v>
      </c>
      <c r="AB534" s="9">
        <f t="shared" si="100"/>
        <v>0.50474999999999992</v>
      </c>
      <c r="AC534" s="9">
        <f t="shared" si="91"/>
        <v>0.39993000000000006</v>
      </c>
      <c r="AD534" s="8">
        <f t="shared" si="92"/>
        <v>1.2620958667766855</v>
      </c>
      <c r="AE534" s="3" t="s">
        <v>44</v>
      </c>
      <c r="AF534" s="10">
        <f t="shared" si="93"/>
        <v>37730</v>
      </c>
      <c r="AG534" s="11">
        <f t="shared" si="94"/>
        <v>0.99573283858998141</v>
      </c>
      <c r="AH534" s="11">
        <f t="shared" si="95"/>
        <v>2.3137799114845095</v>
      </c>
      <c r="AI534" s="3" t="s">
        <v>45</v>
      </c>
      <c r="AJ534" s="3" t="s">
        <v>66</v>
      </c>
      <c r="AK534" s="3" t="s">
        <v>46</v>
      </c>
      <c r="AL534" s="3" t="s">
        <v>68</v>
      </c>
      <c r="AM534" s="3" t="s">
        <v>65</v>
      </c>
    </row>
    <row r="535" spans="1:39" ht="21" customHeight="1">
      <c r="A535" s="4">
        <v>46241</v>
      </c>
      <c r="B535" s="3" t="s">
        <v>65</v>
      </c>
      <c r="C535" s="3" t="s">
        <v>66</v>
      </c>
      <c r="D535" s="4">
        <v>46120</v>
      </c>
      <c r="E535" s="3">
        <v>121</v>
      </c>
      <c r="F535" s="3" t="s">
        <v>57</v>
      </c>
      <c r="G535" s="3" t="s">
        <v>53</v>
      </c>
      <c r="H535" s="3">
        <v>0</v>
      </c>
      <c r="I535" s="7">
        <v>97727</v>
      </c>
      <c r="J535" s="7">
        <v>40184</v>
      </c>
      <c r="K535" s="7">
        <v>57544</v>
      </c>
      <c r="L535" s="5">
        <f t="shared" si="97"/>
        <v>0.41118626377561984</v>
      </c>
      <c r="M535" s="5">
        <f t="shared" si="98"/>
        <v>2.5897543564979975E-2</v>
      </c>
      <c r="N535" s="7">
        <f t="shared" si="99"/>
        <v>100920.57142857143</v>
      </c>
      <c r="O535" s="7">
        <f t="shared" si="89"/>
        <v>100058.64285714286</v>
      </c>
      <c r="P535" s="8">
        <f t="shared" si="90"/>
        <v>0.97669723683468479</v>
      </c>
      <c r="Q535" s="7"/>
      <c r="R535" s="7"/>
      <c r="S535" s="7"/>
      <c r="T535" s="7"/>
      <c r="U535" s="7"/>
      <c r="V535" s="7"/>
      <c r="W535" s="7"/>
      <c r="X535" s="3" t="s">
        <v>76</v>
      </c>
      <c r="Y535" s="3"/>
      <c r="Z535" s="9">
        <v>0.98563999999999996</v>
      </c>
      <c r="AA535" s="5">
        <f t="shared" si="96"/>
        <v>6.5153725617334013E-2</v>
      </c>
      <c r="AB535" s="9">
        <f t="shared" si="100"/>
        <v>0.60077428571428571</v>
      </c>
      <c r="AC535" s="9">
        <f t="shared" si="91"/>
        <v>0.41800642857142867</v>
      </c>
      <c r="AD535" s="8">
        <f t="shared" si="92"/>
        <v>1.4372369529518509</v>
      </c>
      <c r="AE535" s="3" t="s">
        <v>44</v>
      </c>
      <c r="AF535" s="10">
        <f t="shared" si="93"/>
        <v>47845.25</v>
      </c>
      <c r="AG535" s="11">
        <f t="shared" si="94"/>
        <v>0.8398743866946039</v>
      </c>
      <c r="AH535" s="11">
        <f t="shared" si="95"/>
        <v>2.3579541668019455</v>
      </c>
      <c r="AI535" s="3" t="s">
        <v>45</v>
      </c>
      <c r="AJ535" s="3" t="s">
        <v>66</v>
      </c>
      <c r="AK535" s="3" t="s">
        <v>46</v>
      </c>
      <c r="AL535" s="3" t="s">
        <v>68</v>
      </c>
      <c r="AM535" s="3" t="s">
        <v>65</v>
      </c>
    </row>
    <row r="536" spans="1:39" ht="21" customHeight="1">
      <c r="A536" s="4">
        <v>46242</v>
      </c>
      <c r="B536" s="3" t="s">
        <v>65</v>
      </c>
      <c r="C536" s="3" t="s">
        <v>66</v>
      </c>
      <c r="D536" s="4">
        <v>46120</v>
      </c>
      <c r="E536" s="3">
        <v>122</v>
      </c>
      <c r="F536" s="3" t="s">
        <v>57</v>
      </c>
      <c r="G536" s="3" t="s">
        <v>42</v>
      </c>
      <c r="H536" s="3">
        <v>1</v>
      </c>
      <c r="I536" s="7">
        <v>107446</v>
      </c>
      <c r="J536" s="7">
        <v>54117</v>
      </c>
      <c r="K536" s="7">
        <v>53330</v>
      </c>
      <c r="L536" s="5">
        <f t="shared" si="97"/>
        <v>0.5036669582860227</v>
      </c>
      <c r="M536" s="5">
        <f t="shared" si="98"/>
        <v>9.945051009444672E-2</v>
      </c>
      <c r="N536" s="7">
        <f t="shared" si="99"/>
        <v>99987</v>
      </c>
      <c r="O536" s="7">
        <f t="shared" si="89"/>
        <v>100103.89285714286</v>
      </c>
      <c r="P536" s="8">
        <f t="shared" si="90"/>
        <v>1.0733448713461622</v>
      </c>
      <c r="Q536" s="7"/>
      <c r="R536" s="7"/>
      <c r="S536" s="7"/>
      <c r="T536" s="7"/>
      <c r="U536" s="7"/>
      <c r="V536" s="7"/>
      <c r="W536" s="7"/>
      <c r="X536" s="3" t="s">
        <v>76</v>
      </c>
      <c r="Y536" s="3"/>
      <c r="Z536" s="9">
        <v>1.29318</v>
      </c>
      <c r="AA536" s="5">
        <f t="shared" si="96"/>
        <v>0.31202061604642672</v>
      </c>
      <c r="AB536" s="9">
        <f t="shared" si="100"/>
        <v>0.72569857142857153</v>
      </c>
      <c r="AC536" s="9">
        <f t="shared" si="91"/>
        <v>0.43686285714285722</v>
      </c>
      <c r="AD536" s="8">
        <f t="shared" si="92"/>
        <v>1.6611587814417077</v>
      </c>
      <c r="AE536" s="3" t="s">
        <v>44</v>
      </c>
      <c r="AF536" s="10">
        <f t="shared" si="93"/>
        <v>57701.5</v>
      </c>
      <c r="AG536" s="11">
        <f t="shared" si="94"/>
        <v>0.93787856468202735</v>
      </c>
      <c r="AH536" s="11">
        <f t="shared" si="95"/>
        <v>2.9601509463577971</v>
      </c>
      <c r="AI536" s="3" t="s">
        <v>45</v>
      </c>
      <c r="AJ536" s="3" t="s">
        <v>66</v>
      </c>
      <c r="AK536" s="3" t="s">
        <v>46</v>
      </c>
      <c r="AL536" s="3" t="s">
        <v>68</v>
      </c>
      <c r="AM536" s="3" t="s">
        <v>65</v>
      </c>
    </row>
    <row r="537" spans="1:39" ht="21" customHeight="1">
      <c r="A537" s="4">
        <v>46243</v>
      </c>
      <c r="B537" s="3" t="s">
        <v>65</v>
      </c>
      <c r="C537" s="3" t="s">
        <v>66</v>
      </c>
      <c r="D537" s="4">
        <v>46120</v>
      </c>
      <c r="E537" s="3">
        <v>123</v>
      </c>
      <c r="F537" s="3" t="s">
        <v>57</v>
      </c>
      <c r="G537" s="3" t="s">
        <v>48</v>
      </c>
      <c r="H537" s="3">
        <v>1</v>
      </c>
      <c r="I537" s="7">
        <v>102652</v>
      </c>
      <c r="J537" s="7">
        <v>49525</v>
      </c>
      <c r="K537" s="7">
        <v>53126</v>
      </c>
      <c r="L537" s="5">
        <f t="shared" si="97"/>
        <v>0.4824552858200522</v>
      </c>
      <c r="M537" s="5">
        <f t="shared" si="98"/>
        <v>-4.4617761480185369E-2</v>
      </c>
      <c r="N537" s="7">
        <f t="shared" si="99"/>
        <v>99263</v>
      </c>
      <c r="O537" s="7">
        <f t="shared" ref="O537:O600" si="101">AVERAGE(I509:I536)</f>
        <v>100024.39285714286</v>
      </c>
      <c r="P537" s="8">
        <f t="shared" ref="P537:P600" si="102">IFERROR(I537/O537,"")</f>
        <v>1.0262696635070803</v>
      </c>
      <c r="Q537" s="7"/>
      <c r="R537" s="7"/>
      <c r="S537" s="7"/>
      <c r="T537" s="7"/>
      <c r="U537" s="7"/>
      <c r="V537" s="7"/>
      <c r="W537" s="7"/>
      <c r="X537" s="3" t="s">
        <v>76</v>
      </c>
      <c r="Y537" s="3"/>
      <c r="Z537" s="9">
        <v>1.22525</v>
      </c>
      <c r="AA537" s="5">
        <f t="shared" si="96"/>
        <v>-5.2529423591456736E-2</v>
      </c>
      <c r="AB537" s="9">
        <f t="shared" si="100"/>
        <v>0.84237285714285715</v>
      </c>
      <c r="AC537" s="9">
        <f t="shared" ref="AC537:AC600" si="103">AVERAGE(Z509:Z536)</f>
        <v>0.46062678571428572</v>
      </c>
      <c r="AD537" s="8">
        <f t="shared" ref="AD537:AD600" si="104">IFERROR(AB537/AC537,"")</f>
        <v>1.8287535229559102</v>
      </c>
      <c r="AE537" s="3" t="s">
        <v>44</v>
      </c>
      <c r="AF537" s="10">
        <f t="shared" ref="AF537:AF600" si="105">IF(COUNT(J530,J523,J516,J509)=4,AVERAGE(J530,J523,J516,J509),"")</f>
        <v>52768</v>
      </c>
      <c r="AG537" s="11">
        <f t="shared" ref="AG537:AG600" si="106">IFERROR(J537/AF537,"")</f>
        <v>0.93854229836264402</v>
      </c>
      <c r="AH537" s="11">
        <f t="shared" ref="AH537:AH570" si="107">IFERROR(Z537/AC537,"")</f>
        <v>2.659962551027133</v>
      </c>
      <c r="AI537" s="3" t="s">
        <v>45</v>
      </c>
      <c r="AJ537" s="3" t="s">
        <v>66</v>
      </c>
      <c r="AK537" s="3" t="s">
        <v>46</v>
      </c>
      <c r="AL537" s="3" t="s">
        <v>68</v>
      </c>
      <c r="AM537" s="3" t="s">
        <v>65</v>
      </c>
    </row>
    <row r="538" spans="1:39" ht="21" customHeight="1">
      <c r="A538" s="4">
        <v>46244</v>
      </c>
      <c r="B538" s="3" t="s">
        <v>65</v>
      </c>
      <c r="C538" s="3" t="s">
        <v>66</v>
      </c>
      <c r="D538" s="4">
        <v>46120</v>
      </c>
      <c r="E538" s="3">
        <v>124</v>
      </c>
      <c r="F538" s="3" t="s">
        <v>57</v>
      </c>
      <c r="G538" s="3" t="s">
        <v>49</v>
      </c>
      <c r="H538" s="3">
        <v>0</v>
      </c>
      <c r="I538" s="7">
        <v>94766</v>
      </c>
      <c r="J538" s="7">
        <v>36760</v>
      </c>
      <c r="K538" s="7">
        <v>58006</v>
      </c>
      <c r="L538" s="5">
        <f t="shared" si="97"/>
        <v>0.38790283434987233</v>
      </c>
      <c r="M538" s="5">
        <f t="shared" si="98"/>
        <v>-7.6822662977828027E-2</v>
      </c>
      <c r="N538" s="7">
        <f t="shared" si="99"/>
        <v>98603.571428571435</v>
      </c>
      <c r="O538" s="7">
        <f t="shared" si="101"/>
        <v>99966.892857142855</v>
      </c>
      <c r="P538" s="8">
        <f t="shared" si="102"/>
        <v>0.94797384705579313</v>
      </c>
      <c r="Q538" s="7"/>
      <c r="R538" s="7"/>
      <c r="S538" s="7"/>
      <c r="T538" s="7"/>
      <c r="U538" s="7"/>
      <c r="V538" s="7"/>
      <c r="W538" s="7"/>
      <c r="X538" s="3" t="s">
        <v>76</v>
      </c>
      <c r="Y538" s="3"/>
      <c r="Z538" s="9">
        <v>0.60650999999999999</v>
      </c>
      <c r="AA538" s="5">
        <f t="shared" si="96"/>
        <v>-0.50499081820036729</v>
      </c>
      <c r="AB538" s="9">
        <f t="shared" si="100"/>
        <v>0.88819428571428571</v>
      </c>
      <c r="AC538" s="9">
        <f t="shared" si="103"/>
        <v>0.4830882142857143</v>
      </c>
      <c r="AD538" s="8">
        <f t="shared" si="104"/>
        <v>1.8385757703229297</v>
      </c>
      <c r="AE538" s="3" t="s">
        <v>44</v>
      </c>
      <c r="AF538" s="10">
        <f t="shared" si="105"/>
        <v>36704.25</v>
      </c>
      <c r="AG538" s="11">
        <f t="shared" si="106"/>
        <v>1.0015188976753373</v>
      </c>
      <c r="AH538" s="11">
        <f t="shared" si="107"/>
        <v>1.2554849861050221</v>
      </c>
      <c r="AI538" s="3" t="s">
        <v>45</v>
      </c>
      <c r="AJ538" s="3" t="s">
        <v>66</v>
      </c>
      <c r="AK538" s="3" t="s">
        <v>46</v>
      </c>
      <c r="AL538" s="3" t="s">
        <v>68</v>
      </c>
      <c r="AM538" s="3" t="s">
        <v>65</v>
      </c>
    </row>
    <row r="539" spans="1:39" ht="21" customHeight="1">
      <c r="A539" s="4">
        <v>46245</v>
      </c>
      <c r="B539" s="3" t="s">
        <v>65</v>
      </c>
      <c r="C539" s="3" t="s">
        <v>66</v>
      </c>
      <c r="D539" s="4">
        <v>46120</v>
      </c>
      <c r="E539" s="3">
        <v>125</v>
      </c>
      <c r="F539" s="3" t="s">
        <v>57</v>
      </c>
      <c r="G539" s="3" t="s">
        <v>50</v>
      </c>
      <c r="H539" s="3">
        <v>0</v>
      </c>
      <c r="I539" s="7">
        <v>95193</v>
      </c>
      <c r="J539" s="7">
        <v>36463</v>
      </c>
      <c r="K539" s="7">
        <v>58730</v>
      </c>
      <c r="L539" s="5">
        <f t="shared" si="97"/>
        <v>0.38304287079932348</v>
      </c>
      <c r="M539" s="5">
        <f t="shared" si="98"/>
        <v>4.5058354262077494E-3</v>
      </c>
      <c r="N539" s="7">
        <f t="shared" si="99"/>
        <v>98449.571428571435</v>
      </c>
      <c r="O539" s="7">
        <f t="shared" si="101"/>
        <v>100147.25</v>
      </c>
      <c r="P539" s="8">
        <f t="shared" si="102"/>
        <v>0.95053034406835935</v>
      </c>
      <c r="Q539" s="7"/>
      <c r="R539" s="7"/>
      <c r="S539" s="7"/>
      <c r="T539" s="7"/>
      <c r="U539" s="7"/>
      <c r="V539" s="7"/>
      <c r="W539" s="7"/>
      <c r="X539" s="3" t="s">
        <v>76</v>
      </c>
      <c r="Y539" s="3"/>
      <c r="Z539" s="9">
        <v>0.50021000000000004</v>
      </c>
      <c r="AA539" s="5">
        <f t="shared" si="96"/>
        <v>-0.17526504097211915</v>
      </c>
      <c r="AB539" s="9">
        <f t="shared" si="100"/>
        <v>0.92133428571428577</v>
      </c>
      <c r="AC539" s="9">
        <f t="shared" si="103"/>
        <v>0.49190821428571418</v>
      </c>
      <c r="AD539" s="8">
        <f t="shared" si="104"/>
        <v>1.8729800783101962</v>
      </c>
      <c r="AE539" s="3" t="s">
        <v>44</v>
      </c>
      <c r="AF539" s="10">
        <f t="shared" si="105"/>
        <v>36447</v>
      </c>
      <c r="AG539" s="11">
        <f t="shared" si="106"/>
        <v>1.0004389936071556</v>
      </c>
      <c r="AH539" s="11">
        <f t="shared" si="107"/>
        <v>1.0168766966543559</v>
      </c>
      <c r="AI539" s="3" t="s">
        <v>45</v>
      </c>
      <c r="AJ539" s="3" t="s">
        <v>66</v>
      </c>
      <c r="AK539" s="3" t="s">
        <v>46</v>
      </c>
      <c r="AL539" s="3" t="s">
        <v>68</v>
      </c>
      <c r="AM539" s="3" t="s">
        <v>65</v>
      </c>
    </row>
    <row r="540" spans="1:39" ht="21" customHeight="1">
      <c r="A540" s="4">
        <v>46246</v>
      </c>
      <c r="B540" s="3" t="s">
        <v>65</v>
      </c>
      <c r="C540" s="3" t="s">
        <v>66</v>
      </c>
      <c r="D540" s="4">
        <v>46120</v>
      </c>
      <c r="E540" s="3">
        <v>126</v>
      </c>
      <c r="F540" s="3" t="s">
        <v>57</v>
      </c>
      <c r="G540" s="3" t="s">
        <v>51</v>
      </c>
      <c r="H540" s="3">
        <v>0</v>
      </c>
      <c r="I540" s="7">
        <v>95872</v>
      </c>
      <c r="J540" s="7">
        <v>37016</v>
      </c>
      <c r="K540" s="7">
        <v>58856</v>
      </c>
      <c r="L540" s="5">
        <f t="shared" si="97"/>
        <v>0.38609813084112149</v>
      </c>
      <c r="M540" s="5">
        <f t="shared" si="98"/>
        <v>7.1328774174572729E-3</v>
      </c>
      <c r="N540" s="7">
        <f t="shared" si="99"/>
        <v>98416.571428571435</v>
      </c>
      <c r="O540" s="7">
        <f t="shared" si="101"/>
        <v>100339.25</v>
      </c>
      <c r="P540" s="8">
        <f t="shared" si="102"/>
        <v>0.95547853905625169</v>
      </c>
      <c r="Q540" s="7"/>
      <c r="R540" s="7"/>
      <c r="S540" s="7"/>
      <c r="T540" s="7"/>
      <c r="U540" s="7"/>
      <c r="V540" s="7"/>
      <c r="W540" s="7"/>
      <c r="X540" s="3" t="s">
        <v>76</v>
      </c>
      <c r="Y540" s="3"/>
      <c r="Z540" s="9">
        <v>0.50239999999999996</v>
      </c>
      <c r="AA540" s="5">
        <f t="shared" si="96"/>
        <v>4.3781611723074931E-3</v>
      </c>
      <c r="AB540" s="9">
        <f t="shared" si="100"/>
        <v>0.86264857142857143</v>
      </c>
      <c r="AC540" s="9">
        <f t="shared" si="103"/>
        <v>0.49797428571428565</v>
      </c>
      <c r="AD540" s="8">
        <f t="shared" si="104"/>
        <v>1.7323154953497315</v>
      </c>
      <c r="AE540" s="3" t="s">
        <v>44</v>
      </c>
      <c r="AF540" s="10">
        <f t="shared" si="105"/>
        <v>37759.25</v>
      </c>
      <c r="AG540" s="11">
        <f t="shared" si="106"/>
        <v>0.98031608148996607</v>
      </c>
      <c r="AH540" s="11">
        <f t="shared" si="107"/>
        <v>1.0088874353810582</v>
      </c>
      <c r="AI540" s="3" t="s">
        <v>45</v>
      </c>
      <c r="AJ540" s="3" t="s">
        <v>66</v>
      </c>
      <c r="AK540" s="3" t="s">
        <v>46</v>
      </c>
      <c r="AL540" s="3" t="s">
        <v>68</v>
      </c>
      <c r="AM540" s="3" t="s">
        <v>65</v>
      </c>
    </row>
    <row r="541" spans="1:39" ht="21" customHeight="1">
      <c r="A541" s="4">
        <v>46247</v>
      </c>
      <c r="B541" s="3" t="s">
        <v>65</v>
      </c>
      <c r="C541" s="3" t="s">
        <v>66</v>
      </c>
      <c r="D541" s="4">
        <v>46120</v>
      </c>
      <c r="E541" s="3">
        <v>127</v>
      </c>
      <c r="F541" s="3" t="s">
        <v>57</v>
      </c>
      <c r="G541" s="3" t="s">
        <v>52</v>
      </c>
      <c r="H541" s="3">
        <v>0</v>
      </c>
      <c r="I541" s="7">
        <v>99046</v>
      </c>
      <c r="J541" s="7">
        <v>40257</v>
      </c>
      <c r="K541" s="7">
        <v>58790</v>
      </c>
      <c r="L541" s="5">
        <f t="shared" si="97"/>
        <v>0.40644750923813178</v>
      </c>
      <c r="M541" s="5">
        <f t="shared" si="98"/>
        <v>3.3106642189586033E-2</v>
      </c>
      <c r="N541" s="7">
        <f t="shared" si="99"/>
        <v>98957.428571428565</v>
      </c>
      <c r="O541" s="7">
        <f t="shared" si="101"/>
        <v>100460.75</v>
      </c>
      <c r="P541" s="8">
        <f t="shared" si="102"/>
        <v>0.98591738564563769</v>
      </c>
      <c r="Q541" s="7"/>
      <c r="R541" s="7"/>
      <c r="S541" s="7"/>
      <c r="T541" s="7"/>
      <c r="U541" s="7"/>
      <c r="V541" s="7"/>
      <c r="W541" s="7"/>
      <c r="X541" s="3" t="s">
        <v>76</v>
      </c>
      <c r="Y541" s="3"/>
      <c r="Z541" s="9">
        <v>0.44591999999999998</v>
      </c>
      <c r="AA541" s="5">
        <f t="shared" si="96"/>
        <v>-0.11242038216560502</v>
      </c>
      <c r="AB541" s="9">
        <f t="shared" si="100"/>
        <v>0.79415857142857138</v>
      </c>
      <c r="AC541" s="9">
        <f t="shared" si="103"/>
        <v>0.50433821428571413</v>
      </c>
      <c r="AD541" s="8">
        <f t="shared" si="104"/>
        <v>1.5746547632788941</v>
      </c>
      <c r="AE541" s="3" t="s">
        <v>44</v>
      </c>
      <c r="AF541" s="10">
        <f t="shared" si="105"/>
        <v>39816</v>
      </c>
      <c r="AG541" s="11">
        <f t="shared" si="106"/>
        <v>1.0110759493670887</v>
      </c>
      <c r="AH541" s="11">
        <f t="shared" si="107"/>
        <v>0.88416857451809217</v>
      </c>
      <c r="AI541" s="3" t="s">
        <v>45</v>
      </c>
      <c r="AJ541" s="3" t="s">
        <v>66</v>
      </c>
      <c r="AK541" s="3" t="s">
        <v>46</v>
      </c>
      <c r="AL541" s="3" t="s">
        <v>68</v>
      </c>
      <c r="AM541" s="3" t="s">
        <v>65</v>
      </c>
    </row>
    <row r="542" spans="1:39" ht="21" customHeight="1">
      <c r="A542" s="4">
        <v>46248</v>
      </c>
      <c r="B542" s="3" t="s">
        <v>65</v>
      </c>
      <c r="C542" s="3" t="s">
        <v>66</v>
      </c>
      <c r="D542" s="4">
        <v>46120</v>
      </c>
      <c r="E542" s="3">
        <v>128</v>
      </c>
      <c r="F542" s="3" t="s">
        <v>57</v>
      </c>
      <c r="G542" s="3" t="s">
        <v>53</v>
      </c>
      <c r="H542" s="3">
        <v>0</v>
      </c>
      <c r="I542" s="7">
        <v>105032</v>
      </c>
      <c r="J542" s="7">
        <v>46134</v>
      </c>
      <c r="K542" s="7">
        <v>58898</v>
      </c>
      <c r="L542" s="5">
        <f t="shared" si="97"/>
        <v>0.43923756569426459</v>
      </c>
      <c r="M542" s="5">
        <f t="shared" si="98"/>
        <v>6.043656482846349E-2</v>
      </c>
      <c r="N542" s="7">
        <f t="shared" si="99"/>
        <v>100001</v>
      </c>
      <c r="O542" s="7">
        <f t="shared" si="101"/>
        <v>100569.10714285714</v>
      </c>
      <c r="P542" s="8">
        <f t="shared" si="102"/>
        <v>1.0443763794263716</v>
      </c>
      <c r="Q542" s="7"/>
      <c r="R542" s="7"/>
      <c r="S542" s="7"/>
      <c r="T542" s="7"/>
      <c r="U542" s="7"/>
      <c r="V542" s="7"/>
      <c r="W542" s="7"/>
      <c r="X542" s="3" t="s">
        <v>76</v>
      </c>
      <c r="Y542" s="3"/>
      <c r="Z542" s="9">
        <v>0.50339</v>
      </c>
      <c r="AA542" s="5">
        <f t="shared" si="96"/>
        <v>0.12887961966271977</v>
      </c>
      <c r="AB542" s="9">
        <f t="shared" si="100"/>
        <v>0.72526571428571429</v>
      </c>
      <c r="AC542" s="9">
        <f t="shared" si="103"/>
        <v>0.50713249999999988</v>
      </c>
      <c r="AD542" s="8">
        <f t="shared" si="104"/>
        <v>1.4301306153435531</v>
      </c>
      <c r="AE542" s="3" t="s">
        <v>44</v>
      </c>
      <c r="AF542" s="10">
        <f t="shared" si="105"/>
        <v>48544.5</v>
      </c>
      <c r="AG542" s="11">
        <f t="shared" si="106"/>
        <v>0.95034452924636159</v>
      </c>
      <c r="AH542" s="11">
        <f t="shared" si="107"/>
        <v>0.99262027182245294</v>
      </c>
      <c r="AI542" s="3" t="s">
        <v>45</v>
      </c>
      <c r="AJ542" s="3" t="s">
        <v>66</v>
      </c>
      <c r="AK542" s="3" t="s">
        <v>46</v>
      </c>
      <c r="AL542" s="3" t="s">
        <v>68</v>
      </c>
      <c r="AM542" s="3" t="s">
        <v>65</v>
      </c>
    </row>
    <row r="543" spans="1:39" ht="21" customHeight="1">
      <c r="A543" s="4">
        <v>46249</v>
      </c>
      <c r="B543" s="3" t="s">
        <v>65</v>
      </c>
      <c r="C543" s="3" t="s">
        <v>66</v>
      </c>
      <c r="D543" s="4">
        <v>46120</v>
      </c>
      <c r="E543" s="3">
        <v>129</v>
      </c>
      <c r="F543" s="3" t="s">
        <v>57</v>
      </c>
      <c r="G543" s="3" t="s">
        <v>42</v>
      </c>
      <c r="H543" s="3">
        <v>1</v>
      </c>
      <c r="I543" s="7">
        <v>127082</v>
      </c>
      <c r="J543" s="7">
        <v>74333</v>
      </c>
      <c r="K543" s="7">
        <v>52748</v>
      </c>
      <c r="L543" s="5">
        <f t="shared" si="97"/>
        <v>0.58492154671786722</v>
      </c>
      <c r="M543" s="5">
        <f t="shared" si="98"/>
        <v>0.20993601949881935</v>
      </c>
      <c r="N543" s="7">
        <f t="shared" si="99"/>
        <v>102806.14285714286</v>
      </c>
      <c r="O543" s="7">
        <f t="shared" si="101"/>
        <v>100273.75</v>
      </c>
      <c r="P543" s="8">
        <f t="shared" si="102"/>
        <v>1.2673506276567896</v>
      </c>
      <c r="Q543" s="7"/>
      <c r="R543" s="7"/>
      <c r="S543" s="7"/>
      <c r="T543" s="7"/>
      <c r="U543" s="7"/>
      <c r="V543" s="7"/>
      <c r="W543" s="7"/>
      <c r="X543" s="3" t="s">
        <v>76</v>
      </c>
      <c r="Y543" s="3"/>
      <c r="Z543" s="9">
        <v>0.78724000000000005</v>
      </c>
      <c r="AA543" s="5">
        <f t="shared" si="96"/>
        <v>0.56387691451955746</v>
      </c>
      <c r="AB543" s="9">
        <f t="shared" si="100"/>
        <v>0.65298857142857147</v>
      </c>
      <c r="AC543" s="9">
        <f t="shared" si="103"/>
        <v>0.50540857142857132</v>
      </c>
      <c r="AD543" s="8">
        <f t="shared" si="104"/>
        <v>1.2920013793649272</v>
      </c>
      <c r="AE543" s="3" t="s">
        <v>44</v>
      </c>
      <c r="AF543" s="10">
        <f t="shared" si="105"/>
        <v>57238.75</v>
      </c>
      <c r="AG543" s="11">
        <f t="shared" si="106"/>
        <v>1.2986482059793409</v>
      </c>
      <c r="AH543" s="11">
        <f t="shared" si="107"/>
        <v>1.5576308842068374</v>
      </c>
      <c r="AI543" s="3" t="s">
        <v>45</v>
      </c>
      <c r="AJ543" s="3" t="s">
        <v>66</v>
      </c>
      <c r="AK543" s="3" t="s">
        <v>46</v>
      </c>
      <c r="AL543" s="3" t="s">
        <v>68</v>
      </c>
      <c r="AM543" s="3" t="s">
        <v>65</v>
      </c>
    </row>
    <row r="544" spans="1:39" ht="21" customHeight="1">
      <c r="A544" s="4">
        <v>46250</v>
      </c>
      <c r="B544" s="3" t="s">
        <v>65</v>
      </c>
      <c r="C544" s="3" t="s">
        <v>66</v>
      </c>
      <c r="D544" s="4">
        <v>46120</v>
      </c>
      <c r="E544" s="3">
        <v>130</v>
      </c>
      <c r="F544" s="3" t="s">
        <v>57</v>
      </c>
      <c r="G544" s="3" t="s">
        <v>48</v>
      </c>
      <c r="H544" s="3">
        <v>1</v>
      </c>
      <c r="I544" s="7">
        <v>123280</v>
      </c>
      <c r="J544" s="7">
        <v>71810</v>
      </c>
      <c r="K544" s="7">
        <v>51471</v>
      </c>
      <c r="L544" s="5">
        <f t="shared" si="97"/>
        <v>0.58249513303049971</v>
      </c>
      <c r="M544" s="5">
        <f t="shared" si="98"/>
        <v>-2.9917690939708197E-2</v>
      </c>
      <c r="N544" s="7">
        <f t="shared" si="99"/>
        <v>105753</v>
      </c>
      <c r="O544" s="7">
        <f t="shared" si="101"/>
        <v>100973.64285714286</v>
      </c>
      <c r="P544" s="8">
        <f t="shared" si="102"/>
        <v>1.2209126709869831</v>
      </c>
      <c r="Q544" s="7"/>
      <c r="R544" s="7"/>
      <c r="S544" s="7"/>
      <c r="T544" s="7"/>
      <c r="U544" s="7"/>
      <c r="V544" s="7"/>
      <c r="W544" s="7"/>
      <c r="X544" s="3" t="s">
        <v>76</v>
      </c>
      <c r="Y544" s="3"/>
      <c r="Z544" s="9">
        <v>0.94628000000000001</v>
      </c>
      <c r="AA544" s="5">
        <f t="shared" si="96"/>
        <v>0.20202225496671922</v>
      </c>
      <c r="AB544" s="9">
        <f t="shared" si="100"/>
        <v>0.61313571428571423</v>
      </c>
      <c r="AC544" s="9">
        <f t="shared" si="103"/>
        <v>0.51370357142857137</v>
      </c>
      <c r="AD544" s="8">
        <f t="shared" si="104"/>
        <v>1.1935593762383809</v>
      </c>
      <c r="AE544" s="3" t="s">
        <v>44</v>
      </c>
      <c r="AF544" s="10">
        <f t="shared" si="105"/>
        <v>52320.75</v>
      </c>
      <c r="AG544" s="11">
        <f t="shared" si="106"/>
        <v>1.3724956159840982</v>
      </c>
      <c r="AH544" s="11">
        <f t="shared" si="107"/>
        <v>1.8420740143356717</v>
      </c>
      <c r="AI544" s="3" t="s">
        <v>45</v>
      </c>
      <c r="AJ544" s="3" t="s">
        <v>66</v>
      </c>
      <c r="AK544" s="3" t="s">
        <v>46</v>
      </c>
      <c r="AL544" s="3" t="s">
        <v>68</v>
      </c>
      <c r="AM544" s="3" t="s">
        <v>65</v>
      </c>
    </row>
    <row r="545" spans="1:39" ht="21" customHeight="1">
      <c r="A545" s="4">
        <v>46251</v>
      </c>
      <c r="B545" s="3" t="s">
        <v>65</v>
      </c>
      <c r="C545" s="3" t="s">
        <v>66</v>
      </c>
      <c r="D545" s="4">
        <v>46120</v>
      </c>
      <c r="E545" s="3">
        <v>131</v>
      </c>
      <c r="F545" s="3" t="s">
        <v>57</v>
      </c>
      <c r="G545" s="3" t="s">
        <v>49</v>
      </c>
      <c r="H545" s="3">
        <v>0</v>
      </c>
      <c r="I545" s="7">
        <v>108650</v>
      </c>
      <c r="J545" s="7">
        <v>56483</v>
      </c>
      <c r="K545" s="7">
        <v>52168</v>
      </c>
      <c r="L545" s="5">
        <f t="shared" si="97"/>
        <v>0.51986194201564662</v>
      </c>
      <c r="M545" s="5">
        <f t="shared" si="98"/>
        <v>-0.11867293964957815</v>
      </c>
      <c r="N545" s="7">
        <f t="shared" si="99"/>
        <v>107736.42857142857</v>
      </c>
      <c r="O545" s="7">
        <f t="shared" si="101"/>
        <v>101684.35714285714</v>
      </c>
      <c r="P545" s="8">
        <f t="shared" si="102"/>
        <v>1.0685026001330447</v>
      </c>
      <c r="Q545" s="7"/>
      <c r="R545" s="7"/>
      <c r="S545" s="7"/>
      <c r="T545" s="7"/>
      <c r="U545" s="7"/>
      <c r="V545" s="7"/>
      <c r="W545" s="7"/>
      <c r="X545" s="3" t="s">
        <v>76</v>
      </c>
      <c r="Y545" s="3"/>
      <c r="Z545" s="9">
        <v>0.79530000000000001</v>
      </c>
      <c r="AA545" s="5">
        <f t="shared" si="96"/>
        <v>-0.15955108424567777</v>
      </c>
      <c r="AB545" s="9">
        <f t="shared" si="100"/>
        <v>0.64010571428571428</v>
      </c>
      <c r="AC545" s="9">
        <f t="shared" si="103"/>
        <v>0.53093749999999984</v>
      </c>
      <c r="AD545" s="8">
        <f t="shared" si="104"/>
        <v>1.2056140586899859</v>
      </c>
      <c r="AE545" s="3" t="s">
        <v>44</v>
      </c>
      <c r="AF545" s="10">
        <f t="shared" si="105"/>
        <v>37847.75</v>
      </c>
      <c r="AG545" s="11">
        <f t="shared" si="106"/>
        <v>1.4923740512976333</v>
      </c>
      <c r="AH545" s="11">
        <f t="shared" si="107"/>
        <v>1.4979164214243677</v>
      </c>
      <c r="AI545" s="3" t="s">
        <v>45</v>
      </c>
      <c r="AJ545" s="3" t="s">
        <v>66</v>
      </c>
      <c r="AK545" s="3" t="s">
        <v>46</v>
      </c>
      <c r="AL545" s="3" t="s">
        <v>68</v>
      </c>
      <c r="AM545" s="3" t="s">
        <v>65</v>
      </c>
    </row>
    <row r="546" spans="1:39" ht="21" customHeight="1">
      <c r="A546" s="4">
        <v>46252</v>
      </c>
      <c r="B546" s="3" t="s">
        <v>65</v>
      </c>
      <c r="C546" s="3" t="s">
        <v>66</v>
      </c>
      <c r="D546" s="4">
        <v>46120</v>
      </c>
      <c r="E546" s="3">
        <v>132</v>
      </c>
      <c r="F546" s="3" t="s">
        <v>57</v>
      </c>
      <c r="G546" s="3" t="s">
        <v>50</v>
      </c>
      <c r="H546" s="3">
        <v>0</v>
      </c>
      <c r="I546" s="7">
        <v>95935</v>
      </c>
      <c r="J546" s="7">
        <v>36102</v>
      </c>
      <c r="K546" s="7">
        <v>59832</v>
      </c>
      <c r="L546" s="5">
        <f t="shared" si="97"/>
        <v>0.37631729817063636</v>
      </c>
      <c r="M546" s="5">
        <f t="shared" si="98"/>
        <v>-0.11702715140358955</v>
      </c>
      <c r="N546" s="7">
        <f t="shared" si="99"/>
        <v>107842.42857142857</v>
      </c>
      <c r="O546" s="7">
        <f t="shared" si="101"/>
        <v>102408.96428571429</v>
      </c>
      <c r="P546" s="8">
        <f t="shared" si="102"/>
        <v>0.93678322663578206</v>
      </c>
      <c r="Q546" s="7"/>
      <c r="R546" s="7"/>
      <c r="S546" s="7"/>
      <c r="T546" s="7"/>
      <c r="U546" s="7"/>
      <c r="V546" s="7"/>
      <c r="W546" s="7"/>
      <c r="X546" s="3" t="s">
        <v>76</v>
      </c>
      <c r="Y546" s="3"/>
      <c r="Z546" s="9">
        <v>0.38485000000000003</v>
      </c>
      <c r="AA546" s="5">
        <f t="shared" si="96"/>
        <v>-0.51609455551364269</v>
      </c>
      <c r="AB546" s="9">
        <f t="shared" si="100"/>
        <v>0.62362571428571434</v>
      </c>
      <c r="AC546" s="9">
        <f t="shared" si="103"/>
        <v>0.54804249999999999</v>
      </c>
      <c r="AD546" s="8">
        <f t="shared" si="104"/>
        <v>1.1379148775609818</v>
      </c>
      <c r="AE546" s="3" t="s">
        <v>44</v>
      </c>
      <c r="AF546" s="10">
        <f t="shared" si="105"/>
        <v>37559.25</v>
      </c>
      <c r="AG546" s="11">
        <f t="shared" si="106"/>
        <v>0.96120130194293019</v>
      </c>
      <c r="AH546" s="11">
        <f t="shared" si="107"/>
        <v>0.70222656089628088</v>
      </c>
      <c r="AI546" s="3" t="s">
        <v>45</v>
      </c>
      <c r="AJ546" s="3" t="s">
        <v>66</v>
      </c>
      <c r="AK546" s="3" t="s">
        <v>46</v>
      </c>
      <c r="AL546" s="3" t="s">
        <v>68</v>
      </c>
      <c r="AM546" s="3" t="s">
        <v>65</v>
      </c>
    </row>
    <row r="547" spans="1:39" ht="21" customHeight="1">
      <c r="A547" s="4">
        <v>46253</v>
      </c>
      <c r="B547" s="3" t="s">
        <v>65</v>
      </c>
      <c r="C547" s="3" t="s">
        <v>66</v>
      </c>
      <c r="D547" s="4">
        <v>46120</v>
      </c>
      <c r="E547" s="3">
        <v>133</v>
      </c>
      <c r="F547" s="3" t="s">
        <v>57</v>
      </c>
      <c r="G547" s="3" t="s">
        <v>51</v>
      </c>
      <c r="H547" s="3">
        <v>0</v>
      </c>
      <c r="I547" s="7">
        <v>95417</v>
      </c>
      <c r="J547" s="7">
        <v>35326</v>
      </c>
      <c r="K547" s="7">
        <v>60092</v>
      </c>
      <c r="L547" s="5">
        <f t="shared" si="97"/>
        <v>0.37022752758942329</v>
      </c>
      <c r="M547" s="5">
        <f t="shared" si="98"/>
        <v>-5.3994892375045511E-3</v>
      </c>
      <c r="N547" s="7">
        <f t="shared" si="99"/>
        <v>107777.42857142857</v>
      </c>
      <c r="O547" s="7">
        <f t="shared" si="101"/>
        <v>102668.07142857143</v>
      </c>
      <c r="P547" s="8">
        <f t="shared" si="102"/>
        <v>0.92937364725297122</v>
      </c>
      <c r="Q547" s="7"/>
      <c r="R547" s="7"/>
      <c r="S547" s="7"/>
      <c r="T547" s="7"/>
      <c r="U547" s="7"/>
      <c r="V547" s="7"/>
      <c r="W547" s="7"/>
      <c r="X547" s="3" t="s">
        <v>76</v>
      </c>
      <c r="Y547" s="3"/>
      <c r="Z547" s="9">
        <v>0.33799000000000001</v>
      </c>
      <c r="AA547" s="5">
        <f t="shared" si="96"/>
        <v>-0.12176172534753804</v>
      </c>
      <c r="AB547" s="9">
        <f t="shared" si="100"/>
        <v>0.60013857142857141</v>
      </c>
      <c r="AC547" s="9">
        <f t="shared" si="103"/>
        <v>0.55095285714285702</v>
      </c>
      <c r="AD547" s="8">
        <f t="shared" si="104"/>
        <v>1.0892739072827078</v>
      </c>
      <c r="AE547" s="3" t="s">
        <v>44</v>
      </c>
      <c r="AF547" s="10">
        <f t="shared" si="105"/>
        <v>38545.75</v>
      </c>
      <c r="AG547" s="11">
        <f t="shared" si="106"/>
        <v>0.91646939027000385</v>
      </c>
      <c r="AH547" s="11">
        <f t="shared" si="107"/>
        <v>0.61346446545854338</v>
      </c>
      <c r="AI547" s="3" t="s">
        <v>45</v>
      </c>
      <c r="AJ547" s="3" t="s">
        <v>66</v>
      </c>
      <c r="AK547" s="3" t="s">
        <v>46</v>
      </c>
      <c r="AL547" s="3" t="s">
        <v>68</v>
      </c>
      <c r="AM547" s="3" t="s">
        <v>65</v>
      </c>
    </row>
    <row r="548" spans="1:39" ht="21" customHeight="1">
      <c r="A548" s="4">
        <v>46254</v>
      </c>
      <c r="B548" s="3" t="s">
        <v>65</v>
      </c>
      <c r="C548" s="3" t="s">
        <v>66</v>
      </c>
      <c r="D548" s="4">
        <v>46120</v>
      </c>
      <c r="E548" s="3">
        <v>134</v>
      </c>
      <c r="F548" s="3" t="s">
        <v>57</v>
      </c>
      <c r="G548" s="3" t="s">
        <v>52</v>
      </c>
      <c r="H548" s="3">
        <v>0</v>
      </c>
      <c r="I548" s="7">
        <v>94843</v>
      </c>
      <c r="J548" s="7">
        <v>34622</v>
      </c>
      <c r="K548" s="7">
        <v>60221</v>
      </c>
      <c r="L548" s="5">
        <f t="shared" si="97"/>
        <v>0.36504539080374937</v>
      </c>
      <c r="M548" s="5">
        <f t="shared" si="98"/>
        <v>-6.01569950847336E-3</v>
      </c>
      <c r="N548" s="7">
        <f t="shared" si="99"/>
        <v>107177</v>
      </c>
      <c r="O548" s="7">
        <f t="shared" si="101"/>
        <v>102798.32142857143</v>
      </c>
      <c r="P548" s="8">
        <f t="shared" si="102"/>
        <v>0.92261234115482005</v>
      </c>
      <c r="Q548" s="7"/>
      <c r="R548" s="7"/>
      <c r="S548" s="7"/>
      <c r="T548" s="7"/>
      <c r="U548" s="7"/>
      <c r="V548" s="7"/>
      <c r="W548" s="7"/>
      <c r="X548" s="3" t="s">
        <v>76</v>
      </c>
      <c r="Y548" s="3"/>
      <c r="Z548" s="9">
        <v>0.32089000000000001</v>
      </c>
      <c r="AA548" s="5">
        <f t="shared" si="96"/>
        <v>-5.0593212816947286E-2</v>
      </c>
      <c r="AB548" s="9">
        <f t="shared" si="100"/>
        <v>0.58227714285714283</v>
      </c>
      <c r="AC548" s="9">
        <f t="shared" si="103"/>
        <v>0.5523917857142856</v>
      </c>
      <c r="AD548" s="8">
        <f t="shared" si="104"/>
        <v>1.0541017406770687</v>
      </c>
      <c r="AE548" s="3" t="s">
        <v>44</v>
      </c>
      <c r="AF548" s="10">
        <f t="shared" si="105"/>
        <v>40351.5</v>
      </c>
      <c r="AG548" s="11">
        <f t="shared" si="106"/>
        <v>0.85801023505941543</v>
      </c>
      <c r="AH548" s="11">
        <f t="shared" si="107"/>
        <v>0.58091015887403941</v>
      </c>
      <c r="AI548" s="3" t="s">
        <v>45</v>
      </c>
      <c r="AJ548" s="3" t="s">
        <v>66</v>
      </c>
      <c r="AK548" s="3" t="s">
        <v>46</v>
      </c>
      <c r="AL548" s="3" t="s">
        <v>68</v>
      </c>
      <c r="AM548" s="3" t="s">
        <v>65</v>
      </c>
    </row>
    <row r="549" spans="1:39" ht="21" customHeight="1">
      <c r="A549" s="4">
        <v>46255</v>
      </c>
      <c r="B549" s="3" t="s">
        <v>65</v>
      </c>
      <c r="C549" s="3" t="s">
        <v>66</v>
      </c>
      <c r="D549" s="4">
        <v>46120</v>
      </c>
      <c r="E549" s="3">
        <v>135</v>
      </c>
      <c r="F549" s="3" t="s">
        <v>57</v>
      </c>
      <c r="G549" s="3" t="s">
        <v>53</v>
      </c>
      <c r="H549" s="3">
        <v>0</v>
      </c>
      <c r="I549" s="7">
        <v>95053</v>
      </c>
      <c r="J549" s="7">
        <v>36354</v>
      </c>
      <c r="K549" s="7">
        <v>58698</v>
      </c>
      <c r="L549" s="5">
        <f t="shared" si="97"/>
        <v>0.38246031161562499</v>
      </c>
      <c r="M549" s="5">
        <f t="shared" si="98"/>
        <v>2.2141855487489703E-3</v>
      </c>
      <c r="N549" s="7">
        <f t="shared" si="99"/>
        <v>105751.42857142857</v>
      </c>
      <c r="O549" s="7">
        <f t="shared" si="101"/>
        <v>102847.07142857143</v>
      </c>
      <c r="P549" s="8">
        <f t="shared" si="102"/>
        <v>0.92421688512555733</v>
      </c>
      <c r="Q549" s="7"/>
      <c r="R549" s="7"/>
      <c r="S549" s="7"/>
      <c r="T549" s="7"/>
      <c r="U549" s="7"/>
      <c r="V549" s="7"/>
      <c r="W549" s="7"/>
      <c r="X549" s="3" t="s">
        <v>76</v>
      </c>
      <c r="Y549" s="3"/>
      <c r="Z549" s="9">
        <v>0.38124999999999998</v>
      </c>
      <c r="AA549" s="5">
        <f t="shared" si="96"/>
        <v>0.18810184175262545</v>
      </c>
      <c r="AB549" s="9">
        <f t="shared" si="100"/>
        <v>0.56482857142857146</v>
      </c>
      <c r="AC549" s="9">
        <f t="shared" si="103"/>
        <v>0.55339892857142847</v>
      </c>
      <c r="AD549" s="8">
        <f t="shared" si="104"/>
        <v>1.0206535326814745</v>
      </c>
      <c r="AE549" s="3" t="s">
        <v>44</v>
      </c>
      <c r="AF549" s="10">
        <f t="shared" si="105"/>
        <v>44810</v>
      </c>
      <c r="AG549" s="11">
        <f t="shared" si="106"/>
        <v>0.81129212229413072</v>
      </c>
      <c r="AH549" s="11">
        <f t="shared" si="107"/>
        <v>0.6889243551377624</v>
      </c>
      <c r="AI549" s="3" t="s">
        <v>45</v>
      </c>
      <c r="AJ549" s="3" t="s">
        <v>66</v>
      </c>
      <c r="AK549" s="3" t="s">
        <v>46</v>
      </c>
      <c r="AL549" s="3" t="s">
        <v>68</v>
      </c>
      <c r="AM549" s="3" t="s">
        <v>65</v>
      </c>
    </row>
    <row r="550" spans="1:39" ht="21" customHeight="1">
      <c r="A550" s="4">
        <v>46256</v>
      </c>
      <c r="B550" s="3" t="s">
        <v>65</v>
      </c>
      <c r="C550" s="3" t="s">
        <v>66</v>
      </c>
      <c r="D550" s="4">
        <v>46120</v>
      </c>
      <c r="E550" s="3">
        <v>136</v>
      </c>
      <c r="F550" s="3" t="s">
        <v>57</v>
      </c>
      <c r="G550" s="3" t="s">
        <v>42</v>
      </c>
      <c r="H550" s="3">
        <v>1</v>
      </c>
      <c r="I550" s="7">
        <v>105396</v>
      </c>
      <c r="J550" s="7">
        <v>51496</v>
      </c>
      <c r="K550" s="7">
        <v>53900</v>
      </c>
      <c r="L550" s="5">
        <f t="shared" si="97"/>
        <v>0.48859539261452045</v>
      </c>
      <c r="M550" s="5">
        <f t="shared" si="98"/>
        <v>0.10881297802278733</v>
      </c>
      <c r="N550" s="7">
        <f t="shared" si="99"/>
        <v>102653.42857142857</v>
      </c>
      <c r="O550" s="7">
        <f t="shared" si="101"/>
        <v>102697.46428571429</v>
      </c>
      <c r="P550" s="8">
        <f t="shared" si="102"/>
        <v>1.0262765564179668</v>
      </c>
      <c r="Q550" s="7"/>
      <c r="R550" s="7"/>
      <c r="S550" s="7"/>
      <c r="T550" s="7"/>
      <c r="U550" s="7"/>
      <c r="V550" s="7"/>
      <c r="W550" s="7"/>
      <c r="X550" s="3" t="s">
        <v>76</v>
      </c>
      <c r="Y550" s="3"/>
      <c r="Z550" s="9">
        <v>0.61358000000000001</v>
      </c>
      <c r="AA550" s="5">
        <f t="shared" si="96"/>
        <v>0.60939016393442635</v>
      </c>
      <c r="AB550" s="9">
        <f t="shared" si="100"/>
        <v>0.54002000000000006</v>
      </c>
      <c r="AC550" s="9">
        <f t="shared" si="103"/>
        <v>0.55645321428571415</v>
      </c>
      <c r="AD550" s="8">
        <f t="shared" si="104"/>
        <v>0.9704679317796584</v>
      </c>
      <c r="AE550" s="3" t="s">
        <v>44</v>
      </c>
      <c r="AF550" s="10">
        <f t="shared" si="105"/>
        <v>61889.5</v>
      </c>
      <c r="AG550" s="11">
        <f t="shared" si="106"/>
        <v>0.83206359721762169</v>
      </c>
      <c r="AH550" s="11">
        <f t="shared" si="107"/>
        <v>1.1026623339531179</v>
      </c>
      <c r="AI550" s="3" t="s">
        <v>45</v>
      </c>
      <c r="AJ550" s="3" t="s">
        <v>66</v>
      </c>
      <c r="AK550" s="3" t="s">
        <v>46</v>
      </c>
      <c r="AL550" s="3" t="s">
        <v>68</v>
      </c>
      <c r="AM550" s="3" t="s">
        <v>65</v>
      </c>
    </row>
    <row r="551" spans="1:39" ht="21" customHeight="1">
      <c r="A551" s="4">
        <v>46257</v>
      </c>
      <c r="B551" s="3" t="s">
        <v>65</v>
      </c>
      <c r="C551" s="3" t="s">
        <v>66</v>
      </c>
      <c r="D551" s="4">
        <v>46120</v>
      </c>
      <c r="E551" s="3">
        <v>137</v>
      </c>
      <c r="F551" s="3" t="s">
        <v>57</v>
      </c>
      <c r="G551" s="3" t="s">
        <v>48</v>
      </c>
      <c r="H551" s="3">
        <v>1</v>
      </c>
      <c r="I551" s="7">
        <v>105259</v>
      </c>
      <c r="J551" s="7">
        <v>51510</v>
      </c>
      <c r="K551" s="7">
        <v>53750</v>
      </c>
      <c r="L551" s="5">
        <f t="shared" si="97"/>
        <v>0.48936432989103068</v>
      </c>
      <c r="M551" s="5">
        <f t="shared" si="98"/>
        <v>-1.299859577213569E-3</v>
      </c>
      <c r="N551" s="7">
        <f t="shared" si="99"/>
        <v>100079</v>
      </c>
      <c r="O551" s="7">
        <f t="shared" si="101"/>
        <v>102439.46428571429</v>
      </c>
      <c r="P551" s="8">
        <f t="shared" si="102"/>
        <v>1.0275239209219382</v>
      </c>
      <c r="Q551" s="7"/>
      <c r="R551" s="7"/>
      <c r="S551" s="7"/>
      <c r="T551" s="7"/>
      <c r="U551" s="7"/>
      <c r="V551" s="7"/>
      <c r="W551" s="7"/>
      <c r="X551" s="3" t="s">
        <v>76</v>
      </c>
      <c r="Y551" s="3"/>
      <c r="Z551" s="9">
        <v>0.69733999999999996</v>
      </c>
      <c r="AA551" s="5">
        <f t="shared" si="96"/>
        <v>0.13651031650314538</v>
      </c>
      <c r="AB551" s="9">
        <f t="shared" si="100"/>
        <v>0.50445714285714294</v>
      </c>
      <c r="AC551" s="9">
        <f t="shared" si="103"/>
        <v>0.56257214285714274</v>
      </c>
      <c r="AD551" s="8">
        <f t="shared" si="104"/>
        <v>0.89669769337519922</v>
      </c>
      <c r="AE551" s="3" t="s">
        <v>44</v>
      </c>
      <c r="AF551" s="10">
        <f t="shared" si="105"/>
        <v>57514.75</v>
      </c>
      <c r="AG551" s="11">
        <f t="shared" si="106"/>
        <v>0.89559634702402424</v>
      </c>
      <c r="AH551" s="11">
        <f t="shared" si="107"/>
        <v>1.2395565775056154</v>
      </c>
      <c r="AI551" s="3" t="s">
        <v>45</v>
      </c>
      <c r="AJ551" s="3" t="s">
        <v>66</v>
      </c>
      <c r="AK551" s="3" t="s">
        <v>46</v>
      </c>
      <c r="AL551" s="3" t="s">
        <v>68</v>
      </c>
      <c r="AM551" s="3" t="s">
        <v>65</v>
      </c>
    </row>
    <row r="552" spans="1:39" ht="21" customHeight="1">
      <c r="A552" s="4">
        <v>46258</v>
      </c>
      <c r="B552" s="3" t="s">
        <v>65</v>
      </c>
      <c r="C552" s="3" t="s">
        <v>66</v>
      </c>
      <c r="D552" s="4">
        <v>46120</v>
      </c>
      <c r="E552" s="3">
        <v>138</v>
      </c>
      <c r="F552" s="3" t="s">
        <v>57</v>
      </c>
      <c r="G552" s="3" t="s">
        <v>49</v>
      </c>
      <c r="H552" s="3">
        <v>0</v>
      </c>
      <c r="I552" s="7">
        <v>94874</v>
      </c>
      <c r="J552" s="7">
        <v>35420</v>
      </c>
      <c r="K552" s="7">
        <v>59454</v>
      </c>
      <c r="L552" s="5">
        <f t="shared" si="97"/>
        <v>0.37333726837700532</v>
      </c>
      <c r="M552" s="5">
        <f t="shared" si="98"/>
        <v>-9.8661397125186401E-2</v>
      </c>
      <c r="N552" s="7">
        <f t="shared" si="99"/>
        <v>98111</v>
      </c>
      <c r="O552" s="7">
        <f t="shared" si="101"/>
        <v>102464.07142857143</v>
      </c>
      <c r="P552" s="8">
        <f t="shared" si="102"/>
        <v>0.92592455752783021</v>
      </c>
      <c r="Q552" s="7"/>
      <c r="R552" s="7"/>
      <c r="S552" s="7"/>
      <c r="T552" s="7"/>
      <c r="U552" s="7"/>
      <c r="V552" s="7"/>
      <c r="W552" s="7"/>
      <c r="X552" s="3" t="s">
        <v>76</v>
      </c>
      <c r="Y552" s="3"/>
      <c r="Z552" s="9">
        <v>0.34710999999999997</v>
      </c>
      <c r="AA552" s="5">
        <f t="shared" si="96"/>
        <v>-0.50223707230332404</v>
      </c>
      <c r="AB552" s="9">
        <f t="shared" si="100"/>
        <v>0.44043000000000004</v>
      </c>
      <c r="AC552" s="9">
        <f t="shared" si="103"/>
        <v>0.57168999999999992</v>
      </c>
      <c r="AD552" s="8">
        <f t="shared" si="104"/>
        <v>0.77040004198079393</v>
      </c>
      <c r="AE552" s="3" t="s">
        <v>44</v>
      </c>
      <c r="AF552" s="10">
        <f t="shared" si="105"/>
        <v>44224</v>
      </c>
      <c r="AG552" s="11">
        <f t="shared" si="106"/>
        <v>0.80092257597684513</v>
      </c>
      <c r="AH552" s="11">
        <f t="shared" si="107"/>
        <v>0.60716472213962114</v>
      </c>
      <c r="AI552" s="3" t="s">
        <v>45</v>
      </c>
      <c r="AJ552" s="3" t="s">
        <v>66</v>
      </c>
      <c r="AK552" s="3" t="s">
        <v>46</v>
      </c>
      <c r="AL552" s="3" t="s">
        <v>68</v>
      </c>
      <c r="AM552" s="3" t="s">
        <v>65</v>
      </c>
    </row>
    <row r="553" spans="1:39" ht="21" customHeight="1">
      <c r="A553" s="4">
        <v>46259</v>
      </c>
      <c r="B553" s="3" t="s">
        <v>65</v>
      </c>
      <c r="C553" s="3" t="s">
        <v>66</v>
      </c>
      <c r="D553" s="4">
        <v>46120</v>
      </c>
      <c r="E553" s="3">
        <v>139</v>
      </c>
      <c r="F553" s="3" t="s">
        <v>57</v>
      </c>
      <c r="G553" s="3" t="s">
        <v>50</v>
      </c>
      <c r="H553" s="3">
        <v>0</v>
      </c>
      <c r="I553" s="7">
        <v>96996</v>
      </c>
      <c r="J553" s="7">
        <v>37086</v>
      </c>
      <c r="K553" s="7">
        <v>59910</v>
      </c>
      <c r="L553" s="5">
        <f t="shared" si="97"/>
        <v>0.38234566373871087</v>
      </c>
      <c r="M553" s="5">
        <f t="shared" si="98"/>
        <v>2.2366507156860616E-2</v>
      </c>
      <c r="N553" s="7">
        <f t="shared" si="99"/>
        <v>98262.571428571435</v>
      </c>
      <c r="O553" s="7">
        <f t="shared" si="101"/>
        <v>102369.57142857143</v>
      </c>
      <c r="P553" s="8">
        <f t="shared" si="102"/>
        <v>0.94750811834431825</v>
      </c>
      <c r="Q553" s="7"/>
      <c r="R553" s="7"/>
      <c r="S553" s="7"/>
      <c r="T553" s="7"/>
      <c r="U553" s="7"/>
      <c r="V553" s="7"/>
      <c r="W553" s="7"/>
      <c r="X553" s="3" t="s">
        <v>76</v>
      </c>
      <c r="Y553" s="3"/>
      <c r="Z553" s="9">
        <v>0.28038999999999997</v>
      </c>
      <c r="AA553" s="5">
        <f t="shared" si="96"/>
        <v>-0.19221572412203625</v>
      </c>
      <c r="AB553" s="9">
        <f t="shared" si="100"/>
        <v>0.42550714285714281</v>
      </c>
      <c r="AC553" s="9">
        <f t="shared" si="103"/>
        <v>0.57297750000000003</v>
      </c>
      <c r="AD553" s="8">
        <f t="shared" si="104"/>
        <v>0.7426245234012554</v>
      </c>
      <c r="AE553" s="3" t="s">
        <v>44</v>
      </c>
      <c r="AF553" s="10">
        <f t="shared" si="105"/>
        <v>38648.5</v>
      </c>
      <c r="AG553" s="11">
        <f t="shared" si="106"/>
        <v>0.95957152282753533</v>
      </c>
      <c r="AH553" s="11">
        <f t="shared" si="107"/>
        <v>0.48935603928601029</v>
      </c>
      <c r="AI553" s="3" t="s">
        <v>45</v>
      </c>
      <c r="AJ553" s="3" t="s">
        <v>66</v>
      </c>
      <c r="AK553" s="3" t="s">
        <v>46</v>
      </c>
      <c r="AL553" s="3" t="s">
        <v>68</v>
      </c>
      <c r="AM553" s="3" t="s">
        <v>65</v>
      </c>
    </row>
    <row r="554" spans="1:39" ht="21" customHeight="1">
      <c r="A554" s="4">
        <v>46260</v>
      </c>
      <c r="B554" s="3" t="s">
        <v>65</v>
      </c>
      <c r="C554" s="3" t="s">
        <v>66</v>
      </c>
      <c r="D554" s="4">
        <v>46120</v>
      </c>
      <c r="E554" s="3">
        <v>140</v>
      </c>
      <c r="F554" s="3" t="s">
        <v>57</v>
      </c>
      <c r="G554" s="3" t="s">
        <v>51</v>
      </c>
      <c r="H554" s="3">
        <v>0</v>
      </c>
      <c r="I554" s="7">
        <v>94724</v>
      </c>
      <c r="J554" s="7">
        <v>35315</v>
      </c>
      <c r="K554" s="7">
        <v>59409</v>
      </c>
      <c r="L554" s="5">
        <f t="shared" si="97"/>
        <v>0.37281998226426249</v>
      </c>
      <c r="M554" s="5">
        <f t="shared" si="98"/>
        <v>-2.3423646335931414E-2</v>
      </c>
      <c r="N554" s="7">
        <f t="shared" si="99"/>
        <v>98163.571428571435</v>
      </c>
      <c r="O554" s="7">
        <f t="shared" si="101"/>
        <v>102285.35714285714</v>
      </c>
      <c r="P554" s="8">
        <f t="shared" si="102"/>
        <v>0.92607585920341895</v>
      </c>
      <c r="Q554" s="7"/>
      <c r="R554" s="7"/>
      <c r="S554" s="7"/>
      <c r="T554" s="7"/>
      <c r="U554" s="7"/>
      <c r="V554" s="7"/>
      <c r="W554" s="7"/>
      <c r="X554" s="3" t="s">
        <v>76</v>
      </c>
      <c r="Y554" s="3"/>
      <c r="Z554" s="9">
        <v>0.27013999999999999</v>
      </c>
      <c r="AA554" s="5">
        <f t="shared" si="96"/>
        <v>-3.6556225257676767E-2</v>
      </c>
      <c r="AB554" s="9">
        <f t="shared" si="100"/>
        <v>0.41581428571428569</v>
      </c>
      <c r="AC554" s="9">
        <f t="shared" si="103"/>
        <v>0.57325785714285715</v>
      </c>
      <c r="AD554" s="8">
        <f t="shared" si="104"/>
        <v>0.72535296382455661</v>
      </c>
      <c r="AE554" s="3" t="s">
        <v>44</v>
      </c>
      <c r="AF554" s="10">
        <f t="shared" si="105"/>
        <v>38884.5</v>
      </c>
      <c r="AG554" s="11">
        <f t="shared" si="106"/>
        <v>0.90820249713896284</v>
      </c>
      <c r="AH554" s="11">
        <f t="shared" si="107"/>
        <v>0.47123645430066996</v>
      </c>
      <c r="AI554" s="3" t="s">
        <v>45</v>
      </c>
      <c r="AJ554" s="3" t="s">
        <v>66</v>
      </c>
      <c r="AK554" s="3" t="s">
        <v>46</v>
      </c>
      <c r="AL554" s="3" t="s">
        <v>68</v>
      </c>
      <c r="AM554" s="3" t="s">
        <v>65</v>
      </c>
    </row>
    <row r="555" spans="1:39" ht="21" customHeight="1">
      <c r="A555" s="4">
        <v>46261</v>
      </c>
      <c r="B555" s="3" t="s">
        <v>65</v>
      </c>
      <c r="C555" s="3" t="s">
        <v>66</v>
      </c>
      <c r="D555" s="4">
        <v>46120</v>
      </c>
      <c r="E555" s="3">
        <v>141</v>
      </c>
      <c r="F555" s="3" t="s">
        <v>57</v>
      </c>
      <c r="G555" s="3" t="s">
        <v>52</v>
      </c>
      <c r="H555" s="3">
        <v>0</v>
      </c>
      <c r="I555" s="7">
        <v>96999</v>
      </c>
      <c r="J555" s="7">
        <v>37128</v>
      </c>
      <c r="K555" s="7">
        <v>59871</v>
      </c>
      <c r="L555" s="5">
        <f t="shared" si="97"/>
        <v>0.38276683264775924</v>
      </c>
      <c r="M555" s="5">
        <f t="shared" si="98"/>
        <v>2.4017144546260694E-2</v>
      </c>
      <c r="N555" s="7">
        <f t="shared" si="99"/>
        <v>98471.571428571435</v>
      </c>
      <c r="O555" s="7">
        <f t="shared" si="101"/>
        <v>102037.5</v>
      </c>
      <c r="P555" s="8">
        <f t="shared" si="102"/>
        <v>0.95062109518559357</v>
      </c>
      <c r="Q555" s="7"/>
      <c r="R555" s="7"/>
      <c r="S555" s="7"/>
      <c r="T555" s="7"/>
      <c r="U555" s="7"/>
      <c r="V555" s="7"/>
      <c r="W555" s="7"/>
      <c r="X555" s="3" t="s">
        <v>76</v>
      </c>
      <c r="Y555" s="3"/>
      <c r="Z555" s="9">
        <v>0.26738000000000001</v>
      </c>
      <c r="AA555" s="5">
        <f t="shared" si="96"/>
        <v>-1.0216924557636675E-2</v>
      </c>
      <c r="AB555" s="9">
        <f t="shared" si="100"/>
        <v>0.40817000000000003</v>
      </c>
      <c r="AC555" s="9">
        <f t="shared" si="103"/>
        <v>0.57340428571428581</v>
      </c>
      <c r="AD555" s="8">
        <f t="shared" si="104"/>
        <v>0.71183632590318968</v>
      </c>
      <c r="AE555" s="3" t="s">
        <v>44</v>
      </c>
      <c r="AF555" s="10">
        <f t="shared" si="105"/>
        <v>40057.5</v>
      </c>
      <c r="AG555" s="11">
        <f t="shared" si="106"/>
        <v>0.92686762778505893</v>
      </c>
      <c r="AH555" s="11">
        <f t="shared" si="107"/>
        <v>0.46630275821347683</v>
      </c>
      <c r="AI555" s="3" t="s">
        <v>45</v>
      </c>
      <c r="AJ555" s="3" t="s">
        <v>66</v>
      </c>
      <c r="AK555" s="3" t="s">
        <v>46</v>
      </c>
      <c r="AL555" s="3" t="s">
        <v>68</v>
      </c>
      <c r="AM555" s="3" t="s">
        <v>65</v>
      </c>
    </row>
    <row r="556" spans="1:39" ht="21" customHeight="1">
      <c r="A556" s="4">
        <v>46262</v>
      </c>
      <c r="B556" s="3" t="s">
        <v>65</v>
      </c>
      <c r="C556" s="3" t="s">
        <v>66</v>
      </c>
      <c r="D556" s="4">
        <v>46120</v>
      </c>
      <c r="E556" s="3">
        <v>142</v>
      </c>
      <c r="F556" s="3" t="s">
        <v>57</v>
      </c>
      <c r="G556" s="3" t="s">
        <v>53</v>
      </c>
      <c r="H556" s="3">
        <v>0</v>
      </c>
      <c r="I556" s="7">
        <v>99222</v>
      </c>
      <c r="J556" s="7">
        <v>39263</v>
      </c>
      <c r="K556" s="7">
        <v>59958</v>
      </c>
      <c r="L556" s="5">
        <f t="shared" si="97"/>
        <v>0.39570861300921167</v>
      </c>
      <c r="M556" s="5">
        <f t="shared" si="98"/>
        <v>2.2917762038783929E-2</v>
      </c>
      <c r="N556" s="7">
        <f t="shared" si="99"/>
        <v>99067.142857142855</v>
      </c>
      <c r="O556" s="7">
        <f t="shared" si="101"/>
        <v>101766.25</v>
      </c>
      <c r="P556" s="8">
        <f t="shared" si="102"/>
        <v>0.97499907877120362</v>
      </c>
      <c r="Q556" s="7"/>
      <c r="R556" s="7"/>
      <c r="S556" s="7"/>
      <c r="T556" s="7"/>
      <c r="U556" s="7"/>
      <c r="V556" s="7"/>
      <c r="W556" s="7"/>
      <c r="X556" s="3" t="s">
        <v>76</v>
      </c>
      <c r="Y556" s="3"/>
      <c r="Z556" s="9">
        <v>0.3322</v>
      </c>
      <c r="AA556" s="5">
        <f t="shared" si="96"/>
        <v>0.24242650908818897</v>
      </c>
      <c r="AB556" s="9">
        <f t="shared" si="100"/>
        <v>0.4011628571428571</v>
      </c>
      <c r="AC556" s="9">
        <f t="shared" si="103"/>
        <v>0.57233892857142865</v>
      </c>
      <c r="AD556" s="8">
        <f t="shared" si="104"/>
        <v>0.70091834945452514</v>
      </c>
      <c r="AE556" s="3" t="s">
        <v>44</v>
      </c>
      <c r="AF556" s="10">
        <f t="shared" si="105"/>
        <v>43604</v>
      </c>
      <c r="AG556" s="11">
        <f t="shared" si="106"/>
        <v>0.90044491331070542</v>
      </c>
      <c r="AH556" s="11">
        <f t="shared" si="107"/>
        <v>0.58042530992812069</v>
      </c>
      <c r="AI556" s="3" t="s">
        <v>45</v>
      </c>
      <c r="AJ556" s="3" t="s">
        <v>66</v>
      </c>
      <c r="AK556" s="3" t="s">
        <v>46</v>
      </c>
      <c r="AL556" s="3" t="s">
        <v>68</v>
      </c>
      <c r="AM556" s="3" t="s">
        <v>65</v>
      </c>
    </row>
    <row r="557" spans="1:39" ht="21" customHeight="1">
      <c r="A557" s="4">
        <v>46263</v>
      </c>
      <c r="B557" s="3" t="s">
        <v>65</v>
      </c>
      <c r="C557" s="3" t="s">
        <v>66</v>
      </c>
      <c r="D557" s="4">
        <v>46120</v>
      </c>
      <c r="E557" s="3">
        <v>143</v>
      </c>
      <c r="F557" s="3" t="s">
        <v>57</v>
      </c>
      <c r="G557" s="3" t="s">
        <v>42</v>
      </c>
      <c r="H557" s="3">
        <v>1</v>
      </c>
      <c r="I557" s="7">
        <v>110418</v>
      </c>
      <c r="J557" s="7">
        <v>56480</v>
      </c>
      <c r="K557" s="7">
        <v>53938</v>
      </c>
      <c r="L557" s="5">
        <f t="shared" si="97"/>
        <v>0.5115108043978337</v>
      </c>
      <c r="M557" s="5">
        <f t="shared" si="98"/>
        <v>0.11283787869625694</v>
      </c>
      <c r="N557" s="7">
        <f t="shared" si="99"/>
        <v>99784.571428571435</v>
      </c>
      <c r="O557" s="7">
        <f t="shared" si="101"/>
        <v>101435.03571428571</v>
      </c>
      <c r="P557" s="8">
        <f t="shared" si="102"/>
        <v>1.0885587925558267</v>
      </c>
      <c r="Q557" s="7"/>
      <c r="R557" s="7"/>
      <c r="S557" s="7"/>
      <c r="T557" s="7"/>
      <c r="U557" s="7"/>
      <c r="V557" s="7"/>
      <c r="W557" s="7"/>
      <c r="X557" s="3" t="s">
        <v>76</v>
      </c>
      <c r="Y557" s="3"/>
      <c r="Z557" s="9">
        <v>0.47051999999999999</v>
      </c>
      <c r="AA557" s="5">
        <f t="shared" si="96"/>
        <v>0.41637567730282954</v>
      </c>
      <c r="AB557" s="9">
        <f t="shared" si="100"/>
        <v>0.38072571428571422</v>
      </c>
      <c r="AC557" s="9">
        <f t="shared" si="103"/>
        <v>0.57300785714285707</v>
      </c>
      <c r="AD557" s="8">
        <f t="shared" si="104"/>
        <v>0.6644336714405561</v>
      </c>
      <c r="AE557" s="3" t="s">
        <v>44</v>
      </c>
      <c r="AF557" s="10">
        <f t="shared" si="105"/>
        <v>60137</v>
      </c>
      <c r="AG557" s="11">
        <f t="shared" si="106"/>
        <v>0.93918885212099046</v>
      </c>
      <c r="AH557" s="11">
        <f t="shared" si="107"/>
        <v>0.82114057274208418</v>
      </c>
      <c r="AI557" s="3" t="s">
        <v>45</v>
      </c>
      <c r="AJ557" s="3" t="s">
        <v>66</v>
      </c>
      <c r="AK557" s="3" t="s">
        <v>46</v>
      </c>
      <c r="AL557" s="3" t="s">
        <v>68</v>
      </c>
      <c r="AM557" s="3" t="s">
        <v>65</v>
      </c>
    </row>
    <row r="558" spans="1:39" ht="21" customHeight="1">
      <c r="A558" s="4">
        <v>46264</v>
      </c>
      <c r="B558" s="3" t="s">
        <v>65</v>
      </c>
      <c r="C558" s="3" t="s">
        <v>66</v>
      </c>
      <c r="D558" s="4">
        <v>46120</v>
      </c>
      <c r="E558" s="3">
        <v>144</v>
      </c>
      <c r="F558" s="3" t="s">
        <v>57</v>
      </c>
      <c r="G558" s="3" t="s">
        <v>48</v>
      </c>
      <c r="H558" s="3">
        <v>1</v>
      </c>
      <c r="I558" s="7">
        <v>106190</v>
      </c>
      <c r="J558" s="7">
        <v>52787</v>
      </c>
      <c r="K558" s="7">
        <v>53403</v>
      </c>
      <c r="L558" s="5">
        <f t="shared" si="97"/>
        <v>0.49709953856295319</v>
      </c>
      <c r="M558" s="5">
        <f t="shared" si="98"/>
        <v>-3.8290858374540382E-2</v>
      </c>
      <c r="N558" s="7">
        <f t="shared" si="99"/>
        <v>99917.571428571435</v>
      </c>
      <c r="O558" s="7">
        <f t="shared" si="101"/>
        <v>101307.78571428571</v>
      </c>
      <c r="P558" s="8">
        <f t="shared" si="102"/>
        <v>1.0481918961241874</v>
      </c>
      <c r="Q558" s="7"/>
      <c r="R558" s="7"/>
      <c r="S558" s="7"/>
      <c r="T558" s="7"/>
      <c r="U558" s="7"/>
      <c r="V558" s="7"/>
      <c r="W558" s="7"/>
      <c r="X558" s="3" t="s">
        <v>76</v>
      </c>
      <c r="Y558" s="3"/>
      <c r="Z558" s="9">
        <v>0.40767999999999999</v>
      </c>
      <c r="AA558" s="5">
        <f t="shared" si="96"/>
        <v>-0.1335543653829806</v>
      </c>
      <c r="AB558" s="9">
        <f t="shared" si="100"/>
        <v>0.33934571428571431</v>
      </c>
      <c r="AC558" s="9">
        <f t="shared" si="103"/>
        <v>0.57485821428571426</v>
      </c>
      <c r="AD558" s="8">
        <f t="shared" si="104"/>
        <v>0.59031202103872826</v>
      </c>
      <c r="AE558" s="3" t="s">
        <v>44</v>
      </c>
      <c r="AF558" s="10">
        <f t="shared" si="105"/>
        <v>57185</v>
      </c>
      <c r="AG558" s="11">
        <f t="shared" si="106"/>
        <v>0.92309171985660576</v>
      </c>
      <c r="AH558" s="11">
        <f t="shared" si="107"/>
        <v>0.70918356886760281</v>
      </c>
      <c r="AI558" s="3" t="s">
        <v>45</v>
      </c>
      <c r="AJ558" s="3" t="s">
        <v>66</v>
      </c>
      <c r="AK558" s="3" t="s">
        <v>46</v>
      </c>
      <c r="AL558" s="3" t="s">
        <v>68</v>
      </c>
      <c r="AM558" s="3" t="s">
        <v>65</v>
      </c>
    </row>
    <row r="559" spans="1:39" ht="21" customHeight="1">
      <c r="A559" s="4">
        <v>46265</v>
      </c>
      <c r="B559" s="3" t="s">
        <v>65</v>
      </c>
      <c r="C559" s="3" t="s">
        <v>66</v>
      </c>
      <c r="D559" s="4">
        <v>46120</v>
      </c>
      <c r="E559" s="3">
        <v>145</v>
      </c>
      <c r="F559" s="3" t="s">
        <v>57</v>
      </c>
      <c r="G559" s="3" t="s">
        <v>49</v>
      </c>
      <c r="H559" s="3">
        <v>0</v>
      </c>
      <c r="I559" s="7">
        <v>89894</v>
      </c>
      <c r="J559" s="7">
        <v>33124</v>
      </c>
      <c r="K559" s="7">
        <v>56770</v>
      </c>
      <c r="L559" s="5">
        <f t="shared" si="97"/>
        <v>0.36847843015106679</v>
      </c>
      <c r="M559" s="5">
        <f t="shared" si="98"/>
        <v>-0.15346077785102175</v>
      </c>
      <c r="N559" s="7">
        <f t="shared" si="99"/>
        <v>99206.142857142855</v>
      </c>
      <c r="O559" s="7">
        <f t="shared" si="101"/>
        <v>101253.14285714286</v>
      </c>
      <c r="P559" s="8">
        <f t="shared" si="102"/>
        <v>0.88781441704807751</v>
      </c>
      <c r="Q559" s="7"/>
      <c r="R559" s="7"/>
      <c r="S559" s="7"/>
      <c r="T559" s="7"/>
      <c r="U559" s="7"/>
      <c r="V559" s="7"/>
      <c r="W559" s="7"/>
      <c r="X559" s="3" t="s">
        <v>76</v>
      </c>
      <c r="Y559" s="3"/>
      <c r="Z559" s="9">
        <v>0.23458999999999999</v>
      </c>
      <c r="AA559" s="5">
        <f t="shared" si="96"/>
        <v>-0.42457319466248034</v>
      </c>
      <c r="AB559" s="9">
        <f t="shared" si="100"/>
        <v>0.32327142857142854</v>
      </c>
      <c r="AC559" s="9">
        <f t="shared" si="103"/>
        <v>0.57482785714285722</v>
      </c>
      <c r="AD559" s="8">
        <f t="shared" si="104"/>
        <v>0.56237954468356355</v>
      </c>
      <c r="AE559" s="3" t="s">
        <v>44</v>
      </c>
      <c r="AF559" s="10">
        <f t="shared" si="105"/>
        <v>42871.25</v>
      </c>
      <c r="AG559" s="11">
        <f t="shared" si="106"/>
        <v>0.77263900632708404</v>
      </c>
      <c r="AH559" s="11">
        <f t="shared" si="107"/>
        <v>0.40810478665041328</v>
      </c>
      <c r="AI559" s="3" t="s">
        <v>45</v>
      </c>
      <c r="AJ559" s="3" t="s">
        <v>66</v>
      </c>
      <c r="AK559" s="3" t="s">
        <v>46</v>
      </c>
      <c r="AL559" s="3" t="s">
        <v>68</v>
      </c>
      <c r="AM559" s="3" t="s">
        <v>65</v>
      </c>
    </row>
    <row r="560" spans="1:39" ht="21" customHeight="1">
      <c r="A560" s="4">
        <v>46266</v>
      </c>
      <c r="B560" s="3" t="s">
        <v>65</v>
      </c>
      <c r="C560" s="3" t="s">
        <v>66</v>
      </c>
      <c r="D560" s="4">
        <v>46120</v>
      </c>
      <c r="E560" s="3">
        <v>146</v>
      </c>
      <c r="F560" s="3" t="s">
        <v>57</v>
      </c>
      <c r="G560" s="3" t="s">
        <v>50</v>
      </c>
      <c r="H560" s="3">
        <v>0</v>
      </c>
      <c r="I560" s="7">
        <v>90657</v>
      </c>
      <c r="J560" s="7">
        <v>29718</v>
      </c>
      <c r="K560" s="7">
        <v>60938</v>
      </c>
      <c r="L560" s="5">
        <f t="shared" si="97"/>
        <v>0.32780700883550085</v>
      </c>
      <c r="M560" s="5">
        <f t="shared" si="98"/>
        <v>8.4877744899547469E-3</v>
      </c>
      <c r="N560" s="7">
        <f t="shared" si="99"/>
        <v>98300.571428571435</v>
      </c>
      <c r="O560" s="7">
        <f t="shared" si="101"/>
        <v>100914.28571428571</v>
      </c>
      <c r="P560" s="8">
        <f t="shared" si="102"/>
        <v>0.89835645526613817</v>
      </c>
      <c r="Q560" s="7"/>
      <c r="R560" s="7"/>
      <c r="S560" s="7"/>
      <c r="T560" s="7"/>
      <c r="U560" s="7"/>
      <c r="V560" s="7"/>
      <c r="W560" s="7"/>
      <c r="X560" s="3" t="s">
        <v>77</v>
      </c>
      <c r="Y560" s="3"/>
      <c r="Z560" s="9">
        <v>0.19819000000000001</v>
      </c>
      <c r="AA560" s="5">
        <f t="shared" si="96"/>
        <v>-0.15516432925529644</v>
      </c>
      <c r="AB560" s="9">
        <f t="shared" si="100"/>
        <v>0.31152857142857149</v>
      </c>
      <c r="AC560" s="9">
        <f t="shared" si="103"/>
        <v>0.57300035714285713</v>
      </c>
      <c r="AD560" s="8">
        <f t="shared" si="104"/>
        <v>0.54367954146126818</v>
      </c>
      <c r="AE560" s="3" t="s">
        <v>44</v>
      </c>
      <c r="AF560" s="10">
        <f t="shared" si="105"/>
        <v>37365.75</v>
      </c>
      <c r="AG560" s="11">
        <f t="shared" si="106"/>
        <v>0.7953272716324441</v>
      </c>
      <c r="AH560" s="11">
        <f t="shared" si="107"/>
        <v>0.34588111076968914</v>
      </c>
      <c r="AI560" s="3" t="s">
        <v>45</v>
      </c>
      <c r="AJ560" s="3" t="s">
        <v>66</v>
      </c>
      <c r="AK560" s="3" t="s">
        <v>46</v>
      </c>
      <c r="AL560" s="3" t="s">
        <v>68</v>
      </c>
      <c r="AM560" s="3" t="s">
        <v>65</v>
      </c>
    </row>
    <row r="561" spans="1:39" ht="21" customHeight="1">
      <c r="A561" s="4">
        <v>46267</v>
      </c>
      <c r="B561" s="3" t="s">
        <v>65</v>
      </c>
      <c r="C561" s="3" t="s">
        <v>66</v>
      </c>
      <c r="D561" s="4">
        <v>46120</v>
      </c>
      <c r="E561" s="3">
        <v>147</v>
      </c>
      <c r="F561" s="3" t="s">
        <v>57</v>
      </c>
      <c r="G561" s="3" t="s">
        <v>51</v>
      </c>
      <c r="H561" s="3">
        <v>0</v>
      </c>
      <c r="I561" s="7">
        <v>94619</v>
      </c>
      <c r="J561" s="7">
        <v>33145</v>
      </c>
      <c r="K561" s="7">
        <v>61474</v>
      </c>
      <c r="L561" s="5">
        <f t="shared" si="97"/>
        <v>0.3502996226973441</v>
      </c>
      <c r="M561" s="5">
        <f t="shared" si="98"/>
        <v>4.3703188942938676E-2</v>
      </c>
      <c r="N561" s="7">
        <f t="shared" si="99"/>
        <v>98285.571428571435</v>
      </c>
      <c r="O561" s="7">
        <f t="shared" si="101"/>
        <v>100713.78571428571</v>
      </c>
      <c r="P561" s="8">
        <f t="shared" si="102"/>
        <v>0.93948409672955824</v>
      </c>
      <c r="Q561" s="7"/>
      <c r="R561" s="7"/>
      <c r="S561" s="7"/>
      <c r="T561" s="7"/>
      <c r="U561" s="7"/>
      <c r="V561" s="7"/>
      <c r="W561" s="7"/>
      <c r="X561" s="3" t="s">
        <v>77</v>
      </c>
      <c r="Y561" s="3"/>
      <c r="Z561" s="9">
        <v>0.17967</v>
      </c>
      <c r="AA561" s="5">
        <f t="shared" si="96"/>
        <v>-9.3445683435087634E-2</v>
      </c>
      <c r="AB561" s="9">
        <f t="shared" si="100"/>
        <v>0.29860428571428571</v>
      </c>
      <c r="AC561" s="9">
        <f t="shared" si="103"/>
        <v>0.57049892857142859</v>
      </c>
      <c r="AD561" s="8">
        <f t="shared" si="104"/>
        <v>0.52340902105112252</v>
      </c>
      <c r="AE561" s="3" t="s">
        <v>44</v>
      </c>
      <c r="AF561" s="10">
        <f t="shared" si="105"/>
        <v>36494.75</v>
      </c>
      <c r="AG561" s="11">
        <f t="shared" si="106"/>
        <v>0.90821282513238211</v>
      </c>
      <c r="AH561" s="11">
        <f t="shared" si="107"/>
        <v>0.31493485964979273</v>
      </c>
      <c r="AI561" s="3" t="s">
        <v>45</v>
      </c>
      <c r="AJ561" s="3" t="s">
        <v>66</v>
      </c>
      <c r="AK561" s="3" t="s">
        <v>46</v>
      </c>
      <c r="AL561" s="3" t="s">
        <v>68</v>
      </c>
      <c r="AM561" s="3" t="s">
        <v>65</v>
      </c>
    </row>
    <row r="562" spans="1:39" ht="21" customHeight="1">
      <c r="A562" s="4">
        <v>46268</v>
      </c>
      <c r="B562" s="3" t="s">
        <v>65</v>
      </c>
      <c r="C562" s="3" t="s">
        <v>66</v>
      </c>
      <c r="D562" s="4">
        <v>46120</v>
      </c>
      <c r="E562" s="3">
        <v>148</v>
      </c>
      <c r="F562" s="3" t="s">
        <v>57</v>
      </c>
      <c r="G562" s="3" t="s">
        <v>52</v>
      </c>
      <c r="H562" s="3">
        <v>0</v>
      </c>
      <c r="I562" s="7">
        <v>96422</v>
      </c>
      <c r="J562" s="7">
        <v>34800</v>
      </c>
      <c r="K562" s="7">
        <v>61621</v>
      </c>
      <c r="L562" s="5">
        <f t="shared" si="97"/>
        <v>0.3609134844744975</v>
      </c>
      <c r="M562" s="5">
        <f t="shared" si="98"/>
        <v>1.9055369428973012E-2</v>
      </c>
      <c r="N562" s="7">
        <f t="shared" si="99"/>
        <v>98203.142857142855</v>
      </c>
      <c r="O562" s="7">
        <f t="shared" si="101"/>
        <v>100660.78571428571</v>
      </c>
      <c r="P562" s="8">
        <f t="shared" si="102"/>
        <v>0.95789039709746526</v>
      </c>
      <c r="Q562" s="7"/>
      <c r="R562" s="7"/>
      <c r="S562" s="7"/>
      <c r="T562" s="7"/>
      <c r="U562" s="7"/>
      <c r="V562" s="7"/>
      <c r="W562" s="7"/>
      <c r="X562" s="3" t="s">
        <v>77</v>
      </c>
      <c r="Y562" s="3"/>
      <c r="Z562" s="9">
        <v>0.18575</v>
      </c>
      <c r="AA562" s="5">
        <f t="shared" si="96"/>
        <v>3.3839817443090059E-2</v>
      </c>
      <c r="AB562" s="9">
        <f t="shared" si="100"/>
        <v>0.28694285714285711</v>
      </c>
      <c r="AC562" s="9">
        <f t="shared" si="103"/>
        <v>0.5443014285714286</v>
      </c>
      <c r="AD562" s="8">
        <f t="shared" si="104"/>
        <v>0.52717638073441442</v>
      </c>
      <c r="AE562" s="3" t="s">
        <v>44</v>
      </c>
      <c r="AF562" s="10">
        <f t="shared" si="105"/>
        <v>37394</v>
      </c>
      <c r="AG562" s="11">
        <f t="shared" si="106"/>
        <v>0.93063058244638175</v>
      </c>
      <c r="AH562" s="11">
        <f t="shared" si="107"/>
        <v>0.3412631131384658</v>
      </c>
      <c r="AI562" s="3" t="s">
        <v>45</v>
      </c>
      <c r="AJ562" s="3" t="s">
        <v>66</v>
      </c>
      <c r="AK562" s="3" t="s">
        <v>46</v>
      </c>
      <c r="AL562" s="3" t="s">
        <v>68</v>
      </c>
      <c r="AM562" s="3" t="s">
        <v>65</v>
      </c>
    </row>
    <row r="563" spans="1:39" ht="21" customHeight="1">
      <c r="A563" s="4">
        <v>46269</v>
      </c>
      <c r="B563" s="3" t="s">
        <v>65</v>
      </c>
      <c r="C563" s="3" t="s">
        <v>66</v>
      </c>
      <c r="D563" s="4">
        <v>46120</v>
      </c>
      <c r="E563" s="3">
        <v>149</v>
      </c>
      <c r="F563" s="3" t="s">
        <v>57</v>
      </c>
      <c r="G563" s="3" t="s">
        <v>53</v>
      </c>
      <c r="H563" s="3">
        <v>0</v>
      </c>
      <c r="I563" s="7">
        <v>101532</v>
      </c>
      <c r="J563" s="7">
        <v>40012</v>
      </c>
      <c r="K563" s="7">
        <v>61520</v>
      </c>
      <c r="L563" s="5">
        <f t="shared" si="97"/>
        <v>0.39408265374463225</v>
      </c>
      <c r="M563" s="5">
        <f t="shared" si="98"/>
        <v>5.2996204185766782E-2</v>
      </c>
      <c r="N563" s="7">
        <f t="shared" si="99"/>
        <v>98533.142857142855</v>
      </c>
      <c r="O563" s="7">
        <f t="shared" si="101"/>
        <v>100702.28571428571</v>
      </c>
      <c r="P563" s="8">
        <f t="shared" si="102"/>
        <v>1.0082392795737365</v>
      </c>
      <c r="Q563" s="7"/>
      <c r="R563" s="7"/>
      <c r="S563" s="7"/>
      <c r="T563" s="7"/>
      <c r="U563" s="7"/>
      <c r="V563" s="7"/>
      <c r="W563" s="7"/>
      <c r="X563" s="3" t="s">
        <v>77</v>
      </c>
      <c r="Y563" s="3"/>
      <c r="Z563" s="9">
        <v>0.22921</v>
      </c>
      <c r="AA563" s="5">
        <f t="shared" si="96"/>
        <v>0.2339703903095558</v>
      </c>
      <c r="AB563" s="9">
        <f t="shared" si="100"/>
        <v>0.27223000000000003</v>
      </c>
      <c r="AC563" s="9">
        <f t="shared" si="103"/>
        <v>0.51788714285714288</v>
      </c>
      <c r="AD563" s="8">
        <f t="shared" si="104"/>
        <v>0.5256550654996538</v>
      </c>
      <c r="AE563" s="3" t="s">
        <v>44</v>
      </c>
      <c r="AF563" s="10">
        <f t="shared" si="105"/>
        <v>40483.75</v>
      </c>
      <c r="AG563" s="11">
        <f t="shared" si="106"/>
        <v>0.9883471763361843</v>
      </c>
      <c r="AH563" s="11">
        <f t="shared" si="107"/>
        <v>0.4425867742834208</v>
      </c>
      <c r="AI563" s="3" t="s">
        <v>45</v>
      </c>
      <c r="AJ563" s="3" t="s">
        <v>66</v>
      </c>
      <c r="AK563" s="3" t="s">
        <v>46</v>
      </c>
      <c r="AL563" s="3" t="s">
        <v>68</v>
      </c>
      <c r="AM563" s="3" t="s">
        <v>65</v>
      </c>
    </row>
    <row r="564" spans="1:39" ht="21" customHeight="1">
      <c r="A564" s="4">
        <v>46270</v>
      </c>
      <c r="B564" s="3" t="s">
        <v>65</v>
      </c>
      <c r="C564" s="3" t="s">
        <v>66</v>
      </c>
      <c r="D564" s="4">
        <v>46120</v>
      </c>
      <c r="E564" s="3">
        <v>150</v>
      </c>
      <c r="F564" s="3" t="s">
        <v>57</v>
      </c>
      <c r="G564" s="3" t="s">
        <v>42</v>
      </c>
      <c r="H564" s="3">
        <v>1</v>
      </c>
      <c r="I564" s="7">
        <v>123148</v>
      </c>
      <c r="J564" s="7">
        <v>66224</v>
      </c>
      <c r="K564" s="7">
        <v>56924</v>
      </c>
      <c r="L564" s="5">
        <f t="shared" si="97"/>
        <v>0.5377594439211355</v>
      </c>
      <c r="M564" s="5">
        <f t="shared" si="98"/>
        <v>0.21289839656462983</v>
      </c>
      <c r="N564" s="7">
        <f t="shared" si="99"/>
        <v>100351.71428571429</v>
      </c>
      <c r="O564" s="7">
        <f t="shared" si="101"/>
        <v>100838.17857142857</v>
      </c>
      <c r="P564" s="8">
        <f t="shared" si="102"/>
        <v>1.2212437961953895</v>
      </c>
      <c r="Q564" s="7"/>
      <c r="R564" s="7"/>
      <c r="S564" s="7"/>
      <c r="T564" s="7"/>
      <c r="U564" s="7"/>
      <c r="V564" s="7"/>
      <c r="W564" s="7"/>
      <c r="X564" s="3" t="s">
        <v>77</v>
      </c>
      <c r="Y564" s="3"/>
      <c r="Z564" s="9">
        <v>0.33650999999999998</v>
      </c>
      <c r="AA564" s="5">
        <f t="shared" si="96"/>
        <v>0.46812966275467893</v>
      </c>
      <c r="AB564" s="9">
        <f t="shared" si="100"/>
        <v>0.25308571428571425</v>
      </c>
      <c r="AC564" s="9">
        <f t="shared" si="103"/>
        <v>0.4908717857142858</v>
      </c>
      <c r="AD564" s="8">
        <f t="shared" si="104"/>
        <v>0.51558415384872813</v>
      </c>
      <c r="AE564" s="3" t="s">
        <v>44</v>
      </c>
      <c r="AF564" s="10">
        <f t="shared" si="105"/>
        <v>59106.5</v>
      </c>
      <c r="AG564" s="11">
        <f t="shared" si="106"/>
        <v>1.1204182281136592</v>
      </c>
      <c r="AH564" s="11">
        <f t="shared" si="107"/>
        <v>0.68553542858514827</v>
      </c>
      <c r="AI564" s="3" t="s">
        <v>45</v>
      </c>
      <c r="AJ564" s="3" t="s">
        <v>66</v>
      </c>
      <c r="AK564" s="3" t="s">
        <v>46</v>
      </c>
      <c r="AL564" s="3" t="s">
        <v>68</v>
      </c>
      <c r="AM564" s="3" t="s">
        <v>65</v>
      </c>
    </row>
    <row r="565" spans="1:39" ht="21" customHeight="1">
      <c r="A565" s="4">
        <v>46271</v>
      </c>
      <c r="B565" s="3" t="s">
        <v>65</v>
      </c>
      <c r="C565" s="3" t="s">
        <v>66</v>
      </c>
      <c r="D565" s="4">
        <v>46120</v>
      </c>
      <c r="E565" s="3">
        <v>151</v>
      </c>
      <c r="F565" s="3" t="s">
        <v>57</v>
      </c>
      <c r="G565" s="3" t="s">
        <v>48</v>
      </c>
      <c r="H565" s="3">
        <v>1</v>
      </c>
      <c r="I565" s="7">
        <v>113502</v>
      </c>
      <c r="J565" s="7">
        <v>58205</v>
      </c>
      <c r="K565" s="7">
        <v>55296</v>
      </c>
      <c r="L565" s="5">
        <f t="shared" si="97"/>
        <v>0.51281034695423866</v>
      </c>
      <c r="M565" s="5">
        <f t="shared" si="98"/>
        <v>-7.8328515282424349E-2</v>
      </c>
      <c r="N565" s="7">
        <f t="shared" si="99"/>
        <v>101396.28571428571</v>
      </c>
      <c r="O565" s="7">
        <f t="shared" si="101"/>
        <v>101398.96428571429</v>
      </c>
      <c r="P565" s="8">
        <f t="shared" si="102"/>
        <v>1.1193605457367661</v>
      </c>
      <c r="Q565" s="7"/>
      <c r="R565" s="7"/>
      <c r="S565" s="7"/>
      <c r="T565" s="7"/>
      <c r="U565" s="7"/>
      <c r="V565" s="7"/>
      <c r="W565" s="7"/>
      <c r="X565" s="3" t="s">
        <v>77</v>
      </c>
      <c r="Y565" s="3"/>
      <c r="Z565" s="9">
        <v>0.33432000000000001</v>
      </c>
      <c r="AA565" s="5">
        <f t="shared" si="96"/>
        <v>-6.5079789605062555E-3</v>
      </c>
      <c r="AB565" s="9">
        <f t="shared" si="100"/>
        <v>0.24260571428571426</v>
      </c>
      <c r="AC565" s="9">
        <f t="shared" si="103"/>
        <v>0.45670500000000008</v>
      </c>
      <c r="AD565" s="8">
        <f t="shared" si="104"/>
        <v>0.53120879842724344</v>
      </c>
      <c r="AE565" s="3" t="s">
        <v>44</v>
      </c>
      <c r="AF565" s="10">
        <f t="shared" si="105"/>
        <v>56408</v>
      </c>
      <c r="AG565" s="11">
        <f t="shared" si="106"/>
        <v>1.0318571833782442</v>
      </c>
      <c r="AH565" s="11">
        <f t="shared" si="107"/>
        <v>0.73202614379084952</v>
      </c>
      <c r="AI565" s="3" t="s">
        <v>45</v>
      </c>
      <c r="AJ565" s="3" t="s">
        <v>66</v>
      </c>
      <c r="AK565" s="3" t="s">
        <v>46</v>
      </c>
      <c r="AL565" s="3" t="s">
        <v>68</v>
      </c>
      <c r="AM565" s="3" t="s">
        <v>65</v>
      </c>
    </row>
    <row r="566" spans="1:39" ht="21" customHeight="1">
      <c r="A566" s="4">
        <v>46272</v>
      </c>
      <c r="B566" s="3" t="s">
        <v>65</v>
      </c>
      <c r="C566" s="3" t="s">
        <v>66</v>
      </c>
      <c r="D566" s="4">
        <v>46120</v>
      </c>
      <c r="E566" s="3">
        <v>152</v>
      </c>
      <c r="F566" s="3" t="s">
        <v>57</v>
      </c>
      <c r="G566" s="3" t="s">
        <v>49</v>
      </c>
      <c r="H566" s="3">
        <v>0</v>
      </c>
      <c r="I566" s="7">
        <v>96600</v>
      </c>
      <c r="J566" s="7">
        <v>35259</v>
      </c>
      <c r="K566" s="7">
        <v>61341</v>
      </c>
      <c r="L566" s="5">
        <f t="shared" si="97"/>
        <v>0.36499999999999999</v>
      </c>
      <c r="M566" s="5">
        <f t="shared" si="98"/>
        <v>-0.14891367552994661</v>
      </c>
      <c r="N566" s="7">
        <f t="shared" si="99"/>
        <v>102354.28571428571</v>
      </c>
      <c r="O566" s="7">
        <f t="shared" si="101"/>
        <v>101786.46428571429</v>
      </c>
      <c r="P566" s="8">
        <f t="shared" si="102"/>
        <v>0.94904563861108393</v>
      </c>
      <c r="Q566" s="7"/>
      <c r="R566" s="7"/>
      <c r="S566" s="7"/>
      <c r="T566" s="7"/>
      <c r="U566" s="7"/>
      <c r="V566" s="7"/>
      <c r="W566" s="7"/>
      <c r="X566" s="3" t="s">
        <v>77</v>
      </c>
      <c r="Y566" s="3"/>
      <c r="Z566" s="9">
        <v>0.20221</v>
      </c>
      <c r="AA566" s="5">
        <f t="shared" si="96"/>
        <v>-0.39516032543670732</v>
      </c>
      <c r="AB566" s="9">
        <f t="shared" si="100"/>
        <v>0.23798</v>
      </c>
      <c r="AC566" s="9">
        <f t="shared" si="103"/>
        <v>0.42488607142857149</v>
      </c>
      <c r="AD566" s="8">
        <f t="shared" si="104"/>
        <v>0.56010308645763018</v>
      </c>
      <c r="AE566" s="3" t="s">
        <v>44</v>
      </c>
      <c r="AF566" s="10">
        <f t="shared" si="105"/>
        <v>40446.75</v>
      </c>
      <c r="AG566" s="11">
        <f t="shared" si="106"/>
        <v>0.87173876763893265</v>
      </c>
      <c r="AH566" s="11">
        <f t="shared" si="107"/>
        <v>0.47591581272626859</v>
      </c>
      <c r="AI566" s="3" t="s">
        <v>45</v>
      </c>
      <c r="AJ566" s="3" t="s">
        <v>66</v>
      </c>
      <c r="AK566" s="3" t="s">
        <v>46</v>
      </c>
      <c r="AL566" s="3" t="s">
        <v>68</v>
      </c>
      <c r="AM566" s="3" t="s">
        <v>65</v>
      </c>
    </row>
    <row r="567" spans="1:39" ht="21" customHeight="1">
      <c r="A567" s="4">
        <v>46273</v>
      </c>
      <c r="B567" s="3" t="s">
        <v>65</v>
      </c>
      <c r="C567" s="3" t="s">
        <v>66</v>
      </c>
      <c r="D567" s="4">
        <v>46120</v>
      </c>
      <c r="E567" s="3">
        <v>153</v>
      </c>
      <c r="F567" s="3" t="s">
        <v>57</v>
      </c>
      <c r="G567" s="3" t="s">
        <v>50</v>
      </c>
      <c r="H567" s="3">
        <v>0</v>
      </c>
      <c r="I567" s="7">
        <v>98315</v>
      </c>
      <c r="J567" s="7">
        <v>36568</v>
      </c>
      <c r="K567" s="7">
        <v>61747</v>
      </c>
      <c r="L567" s="5">
        <f t="shared" si="97"/>
        <v>0.37194731221075117</v>
      </c>
      <c r="M567" s="5">
        <f t="shared" si="98"/>
        <v>1.7753623188405898E-2</v>
      </c>
      <c r="N567" s="7">
        <f t="shared" si="99"/>
        <v>103448.28571428571</v>
      </c>
      <c r="O567" s="7">
        <f t="shared" si="101"/>
        <v>101851.96428571429</v>
      </c>
      <c r="P567" s="8">
        <f t="shared" si="102"/>
        <v>0.96527347989291179</v>
      </c>
      <c r="Q567" s="7"/>
      <c r="R567" s="7"/>
      <c r="S567" s="7"/>
      <c r="T567" s="7"/>
      <c r="U567" s="7"/>
      <c r="V567" s="7"/>
      <c r="W567" s="7"/>
      <c r="X567" s="3" t="s">
        <v>77</v>
      </c>
      <c r="Y567" s="3"/>
      <c r="Z567" s="9">
        <v>0.18340999999999999</v>
      </c>
      <c r="AA567" s="5">
        <f t="shared" si="96"/>
        <v>-9.2972652193264449E-2</v>
      </c>
      <c r="AB567" s="9">
        <f t="shared" si="100"/>
        <v>0.23586857142857146</v>
      </c>
      <c r="AC567" s="9">
        <f t="shared" si="103"/>
        <v>0.41044678571428567</v>
      </c>
      <c r="AD567" s="8">
        <f t="shared" si="104"/>
        <v>0.57466297614707329</v>
      </c>
      <c r="AE567" s="3" t="s">
        <v>44</v>
      </c>
      <c r="AF567" s="10">
        <f t="shared" si="105"/>
        <v>34842.25</v>
      </c>
      <c r="AG567" s="11">
        <f t="shared" si="106"/>
        <v>1.0495303833707639</v>
      </c>
      <c r="AH567" s="11">
        <f t="shared" si="107"/>
        <v>0.44685451655034458</v>
      </c>
      <c r="AI567" s="3" t="s">
        <v>45</v>
      </c>
      <c r="AJ567" s="3" t="s">
        <v>66</v>
      </c>
      <c r="AK567" s="3" t="s">
        <v>46</v>
      </c>
      <c r="AL567" s="3" t="s">
        <v>68</v>
      </c>
      <c r="AM567" s="3" t="s">
        <v>65</v>
      </c>
    </row>
    <row r="568" spans="1:39" ht="21" customHeight="1">
      <c r="A568" s="4">
        <v>46274</v>
      </c>
      <c r="B568" s="3" t="s">
        <v>65</v>
      </c>
      <c r="C568" s="3" t="s">
        <v>66</v>
      </c>
      <c r="D568" s="4">
        <v>46120</v>
      </c>
      <c r="E568" s="3">
        <v>154</v>
      </c>
      <c r="F568" s="3" t="s">
        <v>57</v>
      </c>
      <c r="G568" s="3" t="s">
        <v>51</v>
      </c>
      <c r="H568" s="3">
        <v>0</v>
      </c>
      <c r="I568" s="7">
        <v>99295</v>
      </c>
      <c r="J568" s="7">
        <v>37194</v>
      </c>
      <c r="K568" s="7">
        <v>62100</v>
      </c>
      <c r="L568" s="5">
        <f t="shared" si="97"/>
        <v>0.37458079460194371</v>
      </c>
      <c r="M568" s="5">
        <f t="shared" si="98"/>
        <v>9.967960128159481E-3</v>
      </c>
      <c r="N568" s="7">
        <f t="shared" si="99"/>
        <v>104116.28571428571</v>
      </c>
      <c r="O568" s="7">
        <f t="shared" si="101"/>
        <v>101963.46428571429</v>
      </c>
      <c r="P568" s="8">
        <f t="shared" si="102"/>
        <v>0.97382921123357558</v>
      </c>
      <c r="Q568" s="7">
        <v>23</v>
      </c>
      <c r="R568" s="7">
        <v>42</v>
      </c>
      <c r="S568" s="7">
        <v>6522</v>
      </c>
      <c r="T568" s="7">
        <v>1909000</v>
      </c>
      <c r="U568" s="7">
        <v>213</v>
      </c>
      <c r="V568" s="7">
        <v>3240997</v>
      </c>
      <c r="W568" s="7">
        <v>42</v>
      </c>
      <c r="X568" s="3" t="s">
        <v>77</v>
      </c>
      <c r="Y568" s="3" t="s">
        <v>71</v>
      </c>
      <c r="Z568" s="9">
        <v>0.22356000000000001</v>
      </c>
      <c r="AA568" s="5">
        <f t="shared" si="96"/>
        <v>0.21890845646366075</v>
      </c>
      <c r="AB568" s="9">
        <f t="shared" si="100"/>
        <v>0.24213857142857145</v>
      </c>
      <c r="AC568" s="9">
        <f t="shared" si="103"/>
        <v>0.3991325</v>
      </c>
      <c r="AD568" s="8">
        <f t="shared" si="104"/>
        <v>0.60666212705948885</v>
      </c>
      <c r="AE568" s="3" t="s">
        <v>44</v>
      </c>
      <c r="AF568" s="10">
        <f t="shared" si="105"/>
        <v>35200.5</v>
      </c>
      <c r="AG568" s="11">
        <f t="shared" si="106"/>
        <v>1.0566327182852517</v>
      </c>
      <c r="AH568" s="11">
        <f t="shared" si="107"/>
        <v>0.56011474886159363</v>
      </c>
      <c r="AI568" s="3" t="s">
        <v>45</v>
      </c>
      <c r="AJ568" s="3" t="s">
        <v>66</v>
      </c>
      <c r="AK568" s="3" t="s">
        <v>46</v>
      </c>
      <c r="AL568" s="3" t="s">
        <v>68</v>
      </c>
      <c r="AM568" s="3" t="s">
        <v>65</v>
      </c>
    </row>
    <row r="569" spans="1:39" ht="21" customHeight="1">
      <c r="A569" s="4">
        <v>46275</v>
      </c>
      <c r="B569" s="3" t="s">
        <v>65</v>
      </c>
      <c r="C569" s="3" t="s">
        <v>66</v>
      </c>
      <c r="D569" s="4">
        <v>46120</v>
      </c>
      <c r="E569" s="3">
        <v>155</v>
      </c>
      <c r="F569" s="3" t="s">
        <v>57</v>
      </c>
      <c r="G569" s="3" t="s">
        <v>52</v>
      </c>
      <c r="H569" s="3">
        <v>0</v>
      </c>
      <c r="I569" s="7">
        <v>99911</v>
      </c>
      <c r="J569" s="7">
        <v>38094</v>
      </c>
      <c r="K569" s="7">
        <v>61817</v>
      </c>
      <c r="L569" s="5">
        <f t="shared" si="97"/>
        <v>0.38127933861136409</v>
      </c>
      <c r="M569" s="5">
        <f t="shared" si="98"/>
        <v>6.2037363412055235E-3</v>
      </c>
      <c r="N569" s="7">
        <f t="shared" si="99"/>
        <v>104614.71428571429</v>
      </c>
      <c r="O569" s="7">
        <f t="shared" si="101"/>
        <v>102085.71428571429</v>
      </c>
      <c r="P569" s="8">
        <f t="shared" si="102"/>
        <v>0.9786971732437727</v>
      </c>
      <c r="Q569" s="7">
        <v>22</v>
      </c>
      <c r="R569" s="7">
        <v>34</v>
      </c>
      <c r="S569" s="7">
        <v>5302</v>
      </c>
      <c r="T569" s="7">
        <v>1278000</v>
      </c>
      <c r="U569" s="7">
        <v>142</v>
      </c>
      <c r="V569" s="7">
        <v>3241139</v>
      </c>
      <c r="W569" s="7">
        <v>41</v>
      </c>
      <c r="X569" s="3" t="s">
        <v>77</v>
      </c>
      <c r="Y569" s="3" t="s">
        <v>71</v>
      </c>
      <c r="Z569" s="9">
        <v>0.18334</v>
      </c>
      <c r="AA569" s="5">
        <f t="shared" si="96"/>
        <v>-0.1799069601001968</v>
      </c>
      <c r="AB569" s="9">
        <f t="shared" si="100"/>
        <v>0.24179428571428571</v>
      </c>
      <c r="AC569" s="9">
        <f t="shared" si="103"/>
        <v>0.38917392857142857</v>
      </c>
      <c r="AD569" s="8">
        <f t="shared" si="104"/>
        <v>0.62130134616637622</v>
      </c>
      <c r="AE569" s="3" t="s">
        <v>44</v>
      </c>
      <c r="AF569" s="10">
        <f t="shared" si="105"/>
        <v>36701.75</v>
      </c>
      <c r="AG569" s="11">
        <f t="shared" si="106"/>
        <v>1.0379341584529349</v>
      </c>
      <c r="AH569" s="11">
        <f t="shared" si="107"/>
        <v>0.47110041690870863</v>
      </c>
      <c r="AI569" s="3" t="s">
        <v>45</v>
      </c>
      <c r="AJ569" s="3" t="s">
        <v>66</v>
      </c>
      <c r="AK569" s="3" t="s">
        <v>46</v>
      </c>
      <c r="AL569" s="3" t="s">
        <v>68</v>
      </c>
      <c r="AM569" s="3" t="s">
        <v>65</v>
      </c>
    </row>
    <row r="570" spans="1:39" ht="21" customHeight="1">
      <c r="A570" s="4">
        <v>46276</v>
      </c>
      <c r="B570" s="3" t="s">
        <v>65</v>
      </c>
      <c r="C570" s="3" t="s">
        <v>66</v>
      </c>
      <c r="D570" s="4">
        <v>46120</v>
      </c>
      <c r="E570" s="3">
        <v>156</v>
      </c>
      <c r="F570" s="3" t="s">
        <v>57</v>
      </c>
      <c r="G570" s="3" t="s">
        <v>53</v>
      </c>
      <c r="H570" s="3">
        <v>0</v>
      </c>
      <c r="I570" s="7">
        <v>104174</v>
      </c>
      <c r="J570" s="7">
        <v>42084</v>
      </c>
      <c r="K570" s="7">
        <v>62090</v>
      </c>
      <c r="L570" s="5">
        <f t="shared" si="97"/>
        <v>0.40397795995161939</v>
      </c>
      <c r="M570" s="5">
        <f t="shared" si="98"/>
        <v>4.2667974497302641E-2</v>
      </c>
      <c r="N570" s="7">
        <f t="shared" si="99"/>
        <v>104992.14285714286</v>
      </c>
      <c r="O570" s="7">
        <f t="shared" si="101"/>
        <v>102116.60714285714</v>
      </c>
      <c r="P570" s="8">
        <f t="shared" si="102"/>
        <v>1.0201474854551782</v>
      </c>
      <c r="Q570" s="7">
        <v>22</v>
      </c>
      <c r="R570" s="7">
        <v>34</v>
      </c>
      <c r="S570" s="7">
        <v>5496</v>
      </c>
      <c r="T570" s="7">
        <v>1399000</v>
      </c>
      <c r="U570" s="7">
        <v>156</v>
      </c>
      <c r="V570" s="7">
        <v>3241295</v>
      </c>
      <c r="W570" s="7">
        <v>46</v>
      </c>
      <c r="X570" s="3" t="s">
        <v>77</v>
      </c>
      <c r="Y570" s="3" t="s">
        <v>71</v>
      </c>
      <c r="Z570" s="9">
        <v>0.21783</v>
      </c>
      <c r="AA570" s="5">
        <f t="shared" si="96"/>
        <v>0.18812043198429151</v>
      </c>
      <c r="AB570" s="9">
        <f t="shared" si="100"/>
        <v>0.24016857142857145</v>
      </c>
      <c r="AC570" s="9">
        <f t="shared" si="103"/>
        <v>0.37979607142857147</v>
      </c>
      <c r="AD570" s="8">
        <f t="shared" si="104"/>
        <v>0.63236191602824443</v>
      </c>
      <c r="AE570" s="3" t="s">
        <v>44</v>
      </c>
      <c r="AF570" s="10">
        <f t="shared" si="105"/>
        <v>40440.75</v>
      </c>
      <c r="AG570" s="11">
        <f t="shared" si="106"/>
        <v>1.040633519408023</v>
      </c>
      <c r="AH570" s="11">
        <f t="shared" si="107"/>
        <v>0.57354463720662119</v>
      </c>
      <c r="AI570" s="3" t="s">
        <v>45</v>
      </c>
      <c r="AJ570" s="3" t="s">
        <v>66</v>
      </c>
      <c r="AK570" s="3" t="s">
        <v>46</v>
      </c>
      <c r="AL570" s="3" t="s">
        <v>68</v>
      </c>
      <c r="AM570" s="3" t="s">
        <v>65</v>
      </c>
    </row>
    <row r="571" spans="1:39" ht="21" customHeight="1">
      <c r="A571" s="4">
        <v>42979</v>
      </c>
      <c r="B571" s="3" t="s">
        <v>78</v>
      </c>
      <c r="C571" s="3" t="s">
        <v>79</v>
      </c>
      <c r="D571" s="4">
        <v>43159</v>
      </c>
      <c r="E571" s="3">
        <f t="shared" ref="E571:E634" si="108">A571-D571</f>
        <v>-180</v>
      </c>
      <c r="F571" s="3" t="str">
        <f t="shared" ref="F571:F634" si="109">IF(E571&lt;0,"개봉전","개봉후")</f>
        <v>개봉전</v>
      </c>
      <c r="G571" s="3" t="str">
        <f t="shared" ref="G571:G634" si="110">CHOOSE(WEEKDAY(A571,2),"월","화","수","목","금","토","일")</f>
        <v>금</v>
      </c>
      <c r="H571" s="3">
        <f t="shared" ref="H571:H634" si="111">IF(WEEKDAY(A571,2)&gt;5,1,0)</f>
        <v>0</v>
      </c>
      <c r="I571" s="3"/>
      <c r="J571" s="3"/>
      <c r="K571" s="3"/>
      <c r="L571" s="12" t="str">
        <f t="shared" ref="L571:L634" si="112">IF(COUNT(I571:J571)=2,IFERROR(J571/I571,""),"")</f>
        <v/>
      </c>
      <c r="M571" s="12"/>
      <c r="N571" s="11"/>
      <c r="O571" s="11"/>
      <c r="P571" s="11"/>
      <c r="Q571" s="7"/>
      <c r="R571" s="7"/>
      <c r="S571" s="7"/>
      <c r="T571" s="7"/>
      <c r="U571" s="7"/>
      <c r="V571" s="7"/>
      <c r="W571" s="7"/>
      <c r="X571" s="3"/>
      <c r="Y571" s="3"/>
      <c r="Z571" s="9">
        <v>0.24182999999999999</v>
      </c>
      <c r="AA571" s="12"/>
      <c r="AB571" s="9"/>
      <c r="AC571" s="9"/>
      <c r="AD571" s="9"/>
      <c r="AE571" s="3" t="s">
        <v>80</v>
      </c>
      <c r="AF571" s="11"/>
      <c r="AG571" s="11"/>
      <c r="AH571" s="11"/>
      <c r="AI571" s="3" t="s">
        <v>45</v>
      </c>
      <c r="AJ571" s="3" t="s">
        <v>79</v>
      </c>
      <c r="AK571" s="3" t="s">
        <v>46</v>
      </c>
      <c r="AL571" s="3" t="s">
        <v>81</v>
      </c>
      <c r="AM571" s="3" t="s">
        <v>82</v>
      </c>
    </row>
    <row r="572" spans="1:39" ht="21" customHeight="1">
      <c r="A572" s="4">
        <v>42980</v>
      </c>
      <c r="B572" s="3" t="s">
        <v>78</v>
      </c>
      <c r="C572" s="3" t="s">
        <v>79</v>
      </c>
      <c r="D572" s="4">
        <v>43159</v>
      </c>
      <c r="E572" s="3">
        <f t="shared" si="108"/>
        <v>-179</v>
      </c>
      <c r="F572" s="3" t="str">
        <f t="shared" si="109"/>
        <v>개봉전</v>
      </c>
      <c r="G572" s="3" t="str">
        <f t="shared" si="110"/>
        <v>토</v>
      </c>
      <c r="H572" s="3">
        <f t="shared" si="111"/>
        <v>1</v>
      </c>
      <c r="I572" s="3"/>
      <c r="J572" s="3"/>
      <c r="K572" s="3"/>
      <c r="L572" s="12" t="str">
        <f t="shared" si="112"/>
        <v/>
      </c>
      <c r="M572" s="12" t="str">
        <f t="shared" ref="M572:M635" si="113">IF(AND(COUNT(I571:I572)=2,A572=A571+1),IFERROR(I572/I571-1,""),"")</f>
        <v/>
      </c>
      <c r="N572" s="11"/>
      <c r="O572" s="11"/>
      <c r="P572" s="11"/>
      <c r="Q572" s="7"/>
      <c r="R572" s="7"/>
      <c r="S572" s="7"/>
      <c r="T572" s="7"/>
      <c r="U572" s="7"/>
      <c r="V572" s="7"/>
      <c r="W572" s="7"/>
      <c r="X572" s="3"/>
      <c r="Y572" s="3"/>
      <c r="Z572" s="9">
        <v>0.24995000000000001</v>
      </c>
      <c r="AA572" s="12">
        <f t="shared" ref="AA572:AA635" si="114">IF(AND(COUNT(Z571:Z572)=2,A572=A571+1),IFERROR(Z572/Z571-1,""),"")</f>
        <v>3.3577306372245097E-2</v>
      </c>
      <c r="AB572" s="9"/>
      <c r="AC572" s="9"/>
      <c r="AD572" s="9"/>
      <c r="AE572" s="3" t="s">
        <v>80</v>
      </c>
      <c r="AF572" s="11"/>
      <c r="AG572" s="11"/>
      <c r="AH572" s="11"/>
      <c r="AI572" s="3" t="s">
        <v>45</v>
      </c>
      <c r="AJ572" s="3" t="s">
        <v>79</v>
      </c>
      <c r="AK572" s="3" t="s">
        <v>46</v>
      </c>
      <c r="AL572" s="3" t="s">
        <v>81</v>
      </c>
      <c r="AM572" s="3" t="s">
        <v>82</v>
      </c>
    </row>
    <row r="573" spans="1:39" ht="21" customHeight="1">
      <c r="A573" s="4">
        <v>42981</v>
      </c>
      <c r="B573" s="3" t="s">
        <v>78</v>
      </c>
      <c r="C573" s="3" t="s">
        <v>79</v>
      </c>
      <c r="D573" s="4">
        <v>43159</v>
      </c>
      <c r="E573" s="3">
        <f t="shared" si="108"/>
        <v>-178</v>
      </c>
      <c r="F573" s="3" t="str">
        <f t="shared" si="109"/>
        <v>개봉전</v>
      </c>
      <c r="G573" s="3" t="str">
        <f t="shared" si="110"/>
        <v>일</v>
      </c>
      <c r="H573" s="3">
        <f t="shared" si="111"/>
        <v>1</v>
      </c>
      <c r="I573" s="3"/>
      <c r="J573" s="3"/>
      <c r="K573" s="3"/>
      <c r="L573" s="12" t="str">
        <f t="shared" si="112"/>
        <v/>
      </c>
      <c r="M573" s="12" t="str">
        <f t="shared" si="113"/>
        <v/>
      </c>
      <c r="N573" s="11"/>
      <c r="O573" s="11"/>
      <c r="P573" s="11"/>
      <c r="Q573" s="7"/>
      <c r="R573" s="7"/>
      <c r="S573" s="7"/>
      <c r="T573" s="7"/>
      <c r="U573" s="7"/>
      <c r="V573" s="7"/>
      <c r="W573" s="7"/>
      <c r="X573" s="3"/>
      <c r="Y573" s="3"/>
      <c r="Z573" s="9">
        <v>0.24135999999999999</v>
      </c>
      <c r="AA573" s="12">
        <f t="shared" si="114"/>
        <v>-3.4366873374675033E-2</v>
      </c>
      <c r="AB573" s="9"/>
      <c r="AC573" s="9"/>
      <c r="AD573" s="9"/>
      <c r="AE573" s="3" t="s">
        <v>80</v>
      </c>
      <c r="AF573" s="11"/>
      <c r="AG573" s="11"/>
      <c r="AH573" s="11"/>
      <c r="AI573" s="3" t="s">
        <v>45</v>
      </c>
      <c r="AJ573" s="3" t="s">
        <v>79</v>
      </c>
      <c r="AK573" s="3" t="s">
        <v>46</v>
      </c>
      <c r="AL573" s="3" t="s">
        <v>81</v>
      </c>
      <c r="AM573" s="3" t="s">
        <v>82</v>
      </c>
    </row>
    <row r="574" spans="1:39" ht="21" customHeight="1">
      <c r="A574" s="4">
        <v>42982</v>
      </c>
      <c r="B574" s="3" t="s">
        <v>78</v>
      </c>
      <c r="C574" s="3" t="s">
        <v>79</v>
      </c>
      <c r="D574" s="4">
        <v>43159</v>
      </c>
      <c r="E574" s="3">
        <f t="shared" si="108"/>
        <v>-177</v>
      </c>
      <c r="F574" s="3" t="str">
        <f t="shared" si="109"/>
        <v>개봉전</v>
      </c>
      <c r="G574" s="3" t="str">
        <f t="shared" si="110"/>
        <v>월</v>
      </c>
      <c r="H574" s="3">
        <f t="shared" si="111"/>
        <v>0</v>
      </c>
      <c r="I574" s="3"/>
      <c r="J574" s="3"/>
      <c r="K574" s="3"/>
      <c r="L574" s="12" t="str">
        <f t="shared" si="112"/>
        <v/>
      </c>
      <c r="M574" s="12" t="str">
        <f t="shared" si="113"/>
        <v/>
      </c>
      <c r="N574" s="11"/>
      <c r="O574" s="11"/>
      <c r="P574" s="11"/>
      <c r="Q574" s="7"/>
      <c r="R574" s="7"/>
      <c r="S574" s="7"/>
      <c r="T574" s="7"/>
      <c r="U574" s="7"/>
      <c r="V574" s="7"/>
      <c r="W574" s="7"/>
      <c r="X574" s="3"/>
      <c r="Y574" s="3"/>
      <c r="Z574" s="9">
        <v>0.23579</v>
      </c>
      <c r="AA574" s="12">
        <f t="shared" si="114"/>
        <v>-2.3077560490553539E-2</v>
      </c>
      <c r="AB574" s="9"/>
      <c r="AC574" s="9"/>
      <c r="AD574" s="9"/>
      <c r="AE574" s="3" t="s">
        <v>80</v>
      </c>
      <c r="AF574" s="11"/>
      <c r="AG574" s="11"/>
      <c r="AH574" s="11"/>
      <c r="AI574" s="3" t="s">
        <v>45</v>
      </c>
      <c r="AJ574" s="3" t="s">
        <v>79</v>
      </c>
      <c r="AK574" s="3" t="s">
        <v>46</v>
      </c>
      <c r="AL574" s="3" t="s">
        <v>81</v>
      </c>
      <c r="AM574" s="3" t="s">
        <v>82</v>
      </c>
    </row>
    <row r="575" spans="1:39" ht="21" customHeight="1">
      <c r="A575" s="4">
        <v>42983</v>
      </c>
      <c r="B575" s="3" t="s">
        <v>78</v>
      </c>
      <c r="C575" s="3" t="s">
        <v>79</v>
      </c>
      <c r="D575" s="4">
        <v>43159</v>
      </c>
      <c r="E575" s="3">
        <f t="shared" si="108"/>
        <v>-176</v>
      </c>
      <c r="F575" s="3" t="str">
        <f t="shared" si="109"/>
        <v>개봉전</v>
      </c>
      <c r="G575" s="3" t="str">
        <f t="shared" si="110"/>
        <v>화</v>
      </c>
      <c r="H575" s="3">
        <f t="shared" si="111"/>
        <v>0</v>
      </c>
      <c r="I575" s="3"/>
      <c r="J575" s="3"/>
      <c r="K575" s="3"/>
      <c r="L575" s="12" t="str">
        <f t="shared" si="112"/>
        <v/>
      </c>
      <c r="M575" s="12" t="str">
        <f t="shared" si="113"/>
        <v/>
      </c>
      <c r="N575" s="11"/>
      <c r="O575" s="11"/>
      <c r="P575" s="11"/>
      <c r="Q575" s="7"/>
      <c r="R575" s="7"/>
      <c r="S575" s="7"/>
      <c r="T575" s="7"/>
      <c r="U575" s="7"/>
      <c r="V575" s="7"/>
      <c r="W575" s="7"/>
      <c r="X575" s="3"/>
      <c r="Y575" s="3"/>
      <c r="Z575" s="9">
        <v>0.24043</v>
      </c>
      <c r="AA575" s="12">
        <f t="shared" si="114"/>
        <v>1.9678527503286913E-2</v>
      </c>
      <c r="AB575" s="9"/>
      <c r="AC575" s="9"/>
      <c r="AD575" s="9"/>
      <c r="AE575" s="3" t="s">
        <v>80</v>
      </c>
      <c r="AF575" s="11"/>
      <c r="AG575" s="11"/>
      <c r="AH575" s="11"/>
      <c r="AI575" s="3" t="s">
        <v>45</v>
      </c>
      <c r="AJ575" s="3" t="s">
        <v>79</v>
      </c>
      <c r="AK575" s="3" t="s">
        <v>46</v>
      </c>
      <c r="AL575" s="3" t="s">
        <v>81</v>
      </c>
      <c r="AM575" s="3" t="s">
        <v>82</v>
      </c>
    </row>
    <row r="576" spans="1:39" ht="21" customHeight="1">
      <c r="A576" s="4">
        <v>42984</v>
      </c>
      <c r="B576" s="3" t="s">
        <v>78</v>
      </c>
      <c r="C576" s="3" t="s">
        <v>79</v>
      </c>
      <c r="D576" s="4">
        <v>43159</v>
      </c>
      <c r="E576" s="3">
        <f t="shared" si="108"/>
        <v>-175</v>
      </c>
      <c r="F576" s="3" t="str">
        <f t="shared" si="109"/>
        <v>개봉전</v>
      </c>
      <c r="G576" s="3" t="str">
        <f t="shared" si="110"/>
        <v>수</v>
      </c>
      <c r="H576" s="3">
        <f t="shared" si="111"/>
        <v>0</v>
      </c>
      <c r="I576" s="3"/>
      <c r="J576" s="3"/>
      <c r="K576" s="3"/>
      <c r="L576" s="12" t="str">
        <f t="shared" si="112"/>
        <v/>
      </c>
      <c r="M576" s="12" t="str">
        <f t="shared" si="113"/>
        <v/>
      </c>
      <c r="N576" s="11"/>
      <c r="O576" s="11"/>
      <c r="P576" s="11"/>
      <c r="Q576" s="7"/>
      <c r="R576" s="7"/>
      <c r="S576" s="7"/>
      <c r="T576" s="7"/>
      <c r="U576" s="7"/>
      <c r="V576" s="7"/>
      <c r="W576" s="7"/>
      <c r="X576" s="3"/>
      <c r="Y576" s="3"/>
      <c r="Z576" s="9">
        <v>0.29892000000000002</v>
      </c>
      <c r="AA576" s="12">
        <f t="shared" si="114"/>
        <v>0.24327247015763431</v>
      </c>
      <c r="AB576" s="9"/>
      <c r="AC576" s="9"/>
      <c r="AD576" s="9"/>
      <c r="AE576" s="3" t="s">
        <v>80</v>
      </c>
      <c r="AF576" s="11"/>
      <c r="AG576" s="11"/>
      <c r="AH576" s="11"/>
      <c r="AI576" s="3" t="s">
        <v>45</v>
      </c>
      <c r="AJ576" s="3" t="s">
        <v>79</v>
      </c>
      <c r="AK576" s="3" t="s">
        <v>46</v>
      </c>
      <c r="AL576" s="3" t="s">
        <v>81</v>
      </c>
      <c r="AM576" s="3" t="s">
        <v>82</v>
      </c>
    </row>
    <row r="577" spans="1:39" ht="21" customHeight="1">
      <c r="A577" s="4">
        <v>42985</v>
      </c>
      <c r="B577" s="3" t="s">
        <v>78</v>
      </c>
      <c r="C577" s="3" t="s">
        <v>79</v>
      </c>
      <c r="D577" s="4">
        <v>43159</v>
      </c>
      <c r="E577" s="3">
        <f t="shared" si="108"/>
        <v>-174</v>
      </c>
      <c r="F577" s="3" t="str">
        <f t="shared" si="109"/>
        <v>개봉전</v>
      </c>
      <c r="G577" s="3" t="str">
        <f t="shared" si="110"/>
        <v>목</v>
      </c>
      <c r="H577" s="3">
        <f t="shared" si="111"/>
        <v>0</v>
      </c>
      <c r="I577" s="3"/>
      <c r="J577" s="3"/>
      <c r="K577" s="3"/>
      <c r="L577" s="12" t="str">
        <f t="shared" si="112"/>
        <v/>
      </c>
      <c r="M577" s="12" t="str">
        <f t="shared" si="113"/>
        <v/>
      </c>
      <c r="N577" s="11" t="str">
        <f t="shared" ref="N577:N640" si="115">IF(COUNT(I571:I577)=7,AVERAGE(I571:I577),"")</f>
        <v/>
      </c>
      <c r="O577" s="11"/>
      <c r="P577" s="11"/>
      <c r="Q577" s="7"/>
      <c r="R577" s="7"/>
      <c r="S577" s="7"/>
      <c r="T577" s="7"/>
      <c r="U577" s="7"/>
      <c r="V577" s="7"/>
      <c r="W577" s="7"/>
      <c r="X577" s="3"/>
      <c r="Y577" s="3"/>
      <c r="Z577" s="9">
        <v>0.37295</v>
      </c>
      <c r="AA577" s="12">
        <f t="shared" si="114"/>
        <v>0.24765823631740935</v>
      </c>
      <c r="AB577" s="9">
        <f t="shared" ref="AB577:AB640" si="116">IF(COUNT(Z571:Z577)=7,AVERAGE(Z571:Z577),"")</f>
        <v>0.26874714285714285</v>
      </c>
      <c r="AC577" s="9"/>
      <c r="AD577" s="9"/>
      <c r="AE577" s="3" t="s">
        <v>80</v>
      </c>
      <c r="AF577" s="11"/>
      <c r="AG577" s="11"/>
      <c r="AH577" s="11"/>
      <c r="AI577" s="3" t="s">
        <v>45</v>
      </c>
      <c r="AJ577" s="3" t="s">
        <v>79</v>
      </c>
      <c r="AK577" s="3" t="s">
        <v>46</v>
      </c>
      <c r="AL577" s="3" t="s">
        <v>81</v>
      </c>
      <c r="AM577" s="3" t="s">
        <v>82</v>
      </c>
    </row>
    <row r="578" spans="1:39" ht="21" customHeight="1">
      <c r="A578" s="4">
        <v>42986</v>
      </c>
      <c r="B578" s="3" t="s">
        <v>78</v>
      </c>
      <c r="C578" s="3" t="s">
        <v>79</v>
      </c>
      <c r="D578" s="4">
        <v>43159</v>
      </c>
      <c r="E578" s="3">
        <f t="shared" si="108"/>
        <v>-173</v>
      </c>
      <c r="F578" s="3" t="str">
        <f t="shared" si="109"/>
        <v>개봉전</v>
      </c>
      <c r="G578" s="3" t="str">
        <f t="shared" si="110"/>
        <v>금</v>
      </c>
      <c r="H578" s="3">
        <f t="shared" si="111"/>
        <v>0</v>
      </c>
      <c r="I578" s="3"/>
      <c r="J578" s="3"/>
      <c r="K578" s="3"/>
      <c r="L578" s="12" t="str">
        <f t="shared" si="112"/>
        <v/>
      </c>
      <c r="M578" s="12" t="str">
        <f t="shared" si="113"/>
        <v/>
      </c>
      <c r="N578" s="11" t="str">
        <f t="shared" si="115"/>
        <v/>
      </c>
      <c r="O578" s="11"/>
      <c r="P578" s="11"/>
      <c r="Q578" s="7"/>
      <c r="R578" s="7"/>
      <c r="S578" s="7"/>
      <c r="T578" s="7"/>
      <c r="U578" s="7"/>
      <c r="V578" s="7"/>
      <c r="W578" s="7"/>
      <c r="X578" s="3"/>
      <c r="Y578" s="3"/>
      <c r="Z578" s="9">
        <v>0.55166000000000004</v>
      </c>
      <c r="AA578" s="12">
        <f t="shared" si="114"/>
        <v>0.47917951468025222</v>
      </c>
      <c r="AB578" s="9">
        <f t="shared" si="116"/>
        <v>0.31300857142857147</v>
      </c>
      <c r="AC578" s="9"/>
      <c r="AD578" s="9"/>
      <c r="AE578" s="3" t="s">
        <v>80</v>
      </c>
      <c r="AF578" s="11"/>
      <c r="AG578" s="11"/>
      <c r="AH578" s="11"/>
      <c r="AI578" s="3" t="s">
        <v>45</v>
      </c>
      <c r="AJ578" s="3" t="s">
        <v>79</v>
      </c>
      <c r="AK578" s="3" t="s">
        <v>46</v>
      </c>
      <c r="AL578" s="3" t="s">
        <v>81</v>
      </c>
      <c r="AM578" s="3" t="s">
        <v>82</v>
      </c>
    </row>
    <row r="579" spans="1:39" ht="21" customHeight="1">
      <c r="A579" s="4">
        <v>42987</v>
      </c>
      <c r="B579" s="3" t="s">
        <v>78</v>
      </c>
      <c r="C579" s="3" t="s">
        <v>79</v>
      </c>
      <c r="D579" s="4">
        <v>43159</v>
      </c>
      <c r="E579" s="3">
        <f t="shared" si="108"/>
        <v>-172</v>
      </c>
      <c r="F579" s="3" t="str">
        <f t="shared" si="109"/>
        <v>개봉전</v>
      </c>
      <c r="G579" s="3" t="str">
        <f t="shared" si="110"/>
        <v>토</v>
      </c>
      <c r="H579" s="3">
        <f t="shared" si="111"/>
        <v>1</v>
      </c>
      <c r="I579" s="3"/>
      <c r="J579" s="3"/>
      <c r="K579" s="3"/>
      <c r="L579" s="12" t="str">
        <f t="shared" si="112"/>
        <v/>
      </c>
      <c r="M579" s="12" t="str">
        <f t="shared" si="113"/>
        <v/>
      </c>
      <c r="N579" s="11" t="str">
        <f t="shared" si="115"/>
        <v/>
      </c>
      <c r="O579" s="11"/>
      <c r="P579" s="11"/>
      <c r="Q579" s="7"/>
      <c r="R579" s="7"/>
      <c r="S579" s="7"/>
      <c r="T579" s="7"/>
      <c r="U579" s="7"/>
      <c r="V579" s="7"/>
      <c r="W579" s="7"/>
      <c r="X579" s="3"/>
      <c r="Y579" s="3"/>
      <c r="Z579" s="9">
        <v>0.31702000000000002</v>
      </c>
      <c r="AA579" s="12">
        <f t="shared" si="114"/>
        <v>-0.42533444512924623</v>
      </c>
      <c r="AB579" s="9">
        <f t="shared" si="116"/>
        <v>0.32258999999999999</v>
      </c>
      <c r="AC579" s="9"/>
      <c r="AD579" s="9"/>
      <c r="AE579" s="3" t="s">
        <v>80</v>
      </c>
      <c r="AF579" s="11"/>
      <c r="AG579" s="11"/>
      <c r="AH579" s="11"/>
      <c r="AI579" s="3" t="s">
        <v>45</v>
      </c>
      <c r="AJ579" s="3" t="s">
        <v>79</v>
      </c>
      <c r="AK579" s="3" t="s">
        <v>46</v>
      </c>
      <c r="AL579" s="3" t="s">
        <v>81</v>
      </c>
      <c r="AM579" s="3" t="s">
        <v>82</v>
      </c>
    </row>
    <row r="580" spans="1:39" ht="21" customHeight="1">
      <c r="A580" s="4">
        <v>42988</v>
      </c>
      <c r="B580" s="3" t="s">
        <v>78</v>
      </c>
      <c r="C580" s="3" t="s">
        <v>79</v>
      </c>
      <c r="D580" s="4">
        <v>43159</v>
      </c>
      <c r="E580" s="3">
        <f t="shared" si="108"/>
        <v>-171</v>
      </c>
      <c r="F580" s="3" t="str">
        <f t="shared" si="109"/>
        <v>개봉전</v>
      </c>
      <c r="G580" s="3" t="str">
        <f t="shared" si="110"/>
        <v>일</v>
      </c>
      <c r="H580" s="3">
        <f t="shared" si="111"/>
        <v>1</v>
      </c>
      <c r="I580" s="3"/>
      <c r="J580" s="3"/>
      <c r="K580" s="3"/>
      <c r="L580" s="12" t="str">
        <f t="shared" si="112"/>
        <v/>
      </c>
      <c r="M580" s="12" t="str">
        <f t="shared" si="113"/>
        <v/>
      </c>
      <c r="N580" s="11" t="str">
        <f t="shared" si="115"/>
        <v/>
      </c>
      <c r="O580" s="11"/>
      <c r="P580" s="11"/>
      <c r="Q580" s="7"/>
      <c r="R580" s="7"/>
      <c r="S580" s="7"/>
      <c r="T580" s="7"/>
      <c r="U580" s="7"/>
      <c r="V580" s="7"/>
      <c r="W580" s="7"/>
      <c r="X580" s="3"/>
      <c r="Y580" s="3"/>
      <c r="Z580" s="9">
        <v>0.39012999999999998</v>
      </c>
      <c r="AA580" s="12">
        <f t="shared" si="114"/>
        <v>0.23061636489811344</v>
      </c>
      <c r="AB580" s="9">
        <f t="shared" si="116"/>
        <v>0.34384285714285712</v>
      </c>
      <c r="AC580" s="9"/>
      <c r="AD580" s="9"/>
      <c r="AE580" s="3" t="s">
        <v>80</v>
      </c>
      <c r="AF580" s="11"/>
      <c r="AG580" s="11"/>
      <c r="AH580" s="11"/>
      <c r="AI580" s="3" t="s">
        <v>45</v>
      </c>
      <c r="AJ580" s="3" t="s">
        <v>79</v>
      </c>
      <c r="AK580" s="3" t="s">
        <v>46</v>
      </c>
      <c r="AL580" s="3" t="s">
        <v>81</v>
      </c>
      <c r="AM580" s="3" t="s">
        <v>82</v>
      </c>
    </row>
    <row r="581" spans="1:39" ht="21" customHeight="1">
      <c r="A581" s="4">
        <v>42989</v>
      </c>
      <c r="B581" s="3" t="s">
        <v>78</v>
      </c>
      <c r="C581" s="3" t="s">
        <v>79</v>
      </c>
      <c r="D581" s="4">
        <v>43159</v>
      </c>
      <c r="E581" s="3">
        <f t="shared" si="108"/>
        <v>-170</v>
      </c>
      <c r="F581" s="3" t="str">
        <f t="shared" si="109"/>
        <v>개봉전</v>
      </c>
      <c r="G581" s="3" t="str">
        <f t="shared" si="110"/>
        <v>월</v>
      </c>
      <c r="H581" s="3">
        <f t="shared" si="111"/>
        <v>0</v>
      </c>
      <c r="I581" s="3"/>
      <c r="J581" s="3"/>
      <c r="K581" s="3"/>
      <c r="L581" s="12" t="str">
        <f t="shared" si="112"/>
        <v/>
      </c>
      <c r="M581" s="12" t="str">
        <f t="shared" si="113"/>
        <v/>
      </c>
      <c r="N581" s="11" t="str">
        <f t="shared" si="115"/>
        <v/>
      </c>
      <c r="O581" s="11"/>
      <c r="P581" s="11"/>
      <c r="Q581" s="7"/>
      <c r="R581" s="7"/>
      <c r="S581" s="7"/>
      <c r="T581" s="7"/>
      <c r="U581" s="7"/>
      <c r="V581" s="7"/>
      <c r="W581" s="7"/>
      <c r="X581" s="3"/>
      <c r="Y581" s="3"/>
      <c r="Z581" s="9">
        <v>0.36274000000000001</v>
      </c>
      <c r="AA581" s="12">
        <f t="shared" si="114"/>
        <v>-7.0207366775177471E-2</v>
      </c>
      <c r="AB581" s="9">
        <f t="shared" si="116"/>
        <v>0.36197857142857143</v>
      </c>
      <c r="AC581" s="9"/>
      <c r="AD581" s="9"/>
      <c r="AE581" s="3" t="s">
        <v>80</v>
      </c>
      <c r="AF581" s="11"/>
      <c r="AG581" s="11"/>
      <c r="AH581" s="11"/>
      <c r="AI581" s="3" t="s">
        <v>45</v>
      </c>
      <c r="AJ581" s="3" t="s">
        <v>79</v>
      </c>
      <c r="AK581" s="3" t="s">
        <v>46</v>
      </c>
      <c r="AL581" s="3" t="s">
        <v>81</v>
      </c>
      <c r="AM581" s="3" t="s">
        <v>82</v>
      </c>
    </row>
    <row r="582" spans="1:39" ht="21" customHeight="1">
      <c r="A582" s="4">
        <v>42990</v>
      </c>
      <c r="B582" s="3" t="s">
        <v>78</v>
      </c>
      <c r="C582" s="3" t="s">
        <v>79</v>
      </c>
      <c r="D582" s="4">
        <v>43159</v>
      </c>
      <c r="E582" s="3">
        <f t="shared" si="108"/>
        <v>-169</v>
      </c>
      <c r="F582" s="3" t="str">
        <f t="shared" si="109"/>
        <v>개봉전</v>
      </c>
      <c r="G582" s="3" t="str">
        <f t="shared" si="110"/>
        <v>화</v>
      </c>
      <c r="H582" s="3">
        <f t="shared" si="111"/>
        <v>0</v>
      </c>
      <c r="I582" s="3"/>
      <c r="J582" s="3"/>
      <c r="K582" s="3"/>
      <c r="L582" s="12" t="str">
        <f t="shared" si="112"/>
        <v/>
      </c>
      <c r="M582" s="12" t="str">
        <f t="shared" si="113"/>
        <v/>
      </c>
      <c r="N582" s="11" t="str">
        <f t="shared" si="115"/>
        <v/>
      </c>
      <c r="O582" s="11"/>
      <c r="P582" s="11"/>
      <c r="Q582" s="7"/>
      <c r="R582" s="7"/>
      <c r="S582" s="7"/>
      <c r="T582" s="7"/>
      <c r="U582" s="7"/>
      <c r="V582" s="7"/>
      <c r="W582" s="7"/>
      <c r="X582" s="3"/>
      <c r="Y582" s="3"/>
      <c r="Z582" s="9">
        <v>0.28871000000000002</v>
      </c>
      <c r="AA582" s="12">
        <f t="shared" si="114"/>
        <v>-0.20408557093234814</v>
      </c>
      <c r="AB582" s="9">
        <f t="shared" si="116"/>
        <v>0.36887571428571431</v>
      </c>
      <c r="AC582" s="9"/>
      <c r="AD582" s="9"/>
      <c r="AE582" s="3" t="s">
        <v>80</v>
      </c>
      <c r="AF582" s="11"/>
      <c r="AG582" s="11"/>
      <c r="AH582" s="11"/>
      <c r="AI582" s="3" t="s">
        <v>45</v>
      </c>
      <c r="AJ582" s="3" t="s">
        <v>79</v>
      </c>
      <c r="AK582" s="3" t="s">
        <v>46</v>
      </c>
      <c r="AL582" s="3" t="s">
        <v>81</v>
      </c>
      <c r="AM582" s="3" t="s">
        <v>82</v>
      </c>
    </row>
    <row r="583" spans="1:39" ht="21" customHeight="1">
      <c r="A583" s="4">
        <v>42991</v>
      </c>
      <c r="B583" s="3" t="s">
        <v>78</v>
      </c>
      <c r="C583" s="3" t="s">
        <v>79</v>
      </c>
      <c r="D583" s="4">
        <v>43159</v>
      </c>
      <c r="E583" s="3">
        <f t="shared" si="108"/>
        <v>-168</v>
      </c>
      <c r="F583" s="3" t="str">
        <f t="shared" si="109"/>
        <v>개봉전</v>
      </c>
      <c r="G583" s="3" t="str">
        <f t="shared" si="110"/>
        <v>수</v>
      </c>
      <c r="H583" s="3">
        <f t="shared" si="111"/>
        <v>0</v>
      </c>
      <c r="I583" s="3"/>
      <c r="J583" s="3"/>
      <c r="K583" s="3"/>
      <c r="L583" s="12" t="str">
        <f t="shared" si="112"/>
        <v/>
      </c>
      <c r="M583" s="12" t="str">
        <f t="shared" si="113"/>
        <v/>
      </c>
      <c r="N583" s="11" t="str">
        <f t="shared" si="115"/>
        <v/>
      </c>
      <c r="O583" s="11"/>
      <c r="P583" s="11"/>
      <c r="Q583" s="7"/>
      <c r="R583" s="7"/>
      <c r="S583" s="7"/>
      <c r="T583" s="7"/>
      <c r="U583" s="7"/>
      <c r="V583" s="7"/>
      <c r="W583" s="7"/>
      <c r="X583" s="3"/>
      <c r="Y583" s="3"/>
      <c r="Z583" s="9">
        <v>0.29962</v>
      </c>
      <c r="AA583" s="12">
        <f t="shared" si="114"/>
        <v>3.7788784593536739E-2</v>
      </c>
      <c r="AB583" s="9">
        <f t="shared" si="116"/>
        <v>0.3689757142857143</v>
      </c>
      <c r="AC583" s="9"/>
      <c r="AD583" s="9"/>
      <c r="AE583" s="3" t="s">
        <v>80</v>
      </c>
      <c r="AF583" s="11"/>
      <c r="AG583" s="11"/>
      <c r="AH583" s="11"/>
      <c r="AI583" s="3" t="s">
        <v>45</v>
      </c>
      <c r="AJ583" s="3" t="s">
        <v>79</v>
      </c>
      <c r="AK583" s="3" t="s">
        <v>46</v>
      </c>
      <c r="AL583" s="3" t="s">
        <v>81</v>
      </c>
      <c r="AM583" s="3" t="s">
        <v>82</v>
      </c>
    </row>
    <row r="584" spans="1:39" ht="21" customHeight="1">
      <c r="A584" s="4">
        <v>42992</v>
      </c>
      <c r="B584" s="3" t="s">
        <v>78</v>
      </c>
      <c r="C584" s="3" t="s">
        <v>79</v>
      </c>
      <c r="D584" s="4">
        <v>43159</v>
      </c>
      <c r="E584" s="3">
        <f t="shared" si="108"/>
        <v>-167</v>
      </c>
      <c r="F584" s="3" t="str">
        <f t="shared" si="109"/>
        <v>개봉전</v>
      </c>
      <c r="G584" s="3" t="str">
        <f t="shared" si="110"/>
        <v>목</v>
      </c>
      <c r="H584" s="3">
        <f t="shared" si="111"/>
        <v>0</v>
      </c>
      <c r="I584" s="3"/>
      <c r="J584" s="3"/>
      <c r="K584" s="3"/>
      <c r="L584" s="12" t="str">
        <f t="shared" si="112"/>
        <v/>
      </c>
      <c r="M584" s="12" t="str">
        <f t="shared" si="113"/>
        <v/>
      </c>
      <c r="N584" s="11" t="str">
        <f t="shared" si="115"/>
        <v/>
      </c>
      <c r="O584" s="11"/>
      <c r="P584" s="11"/>
      <c r="Q584" s="7"/>
      <c r="R584" s="7"/>
      <c r="S584" s="7"/>
      <c r="T584" s="7"/>
      <c r="U584" s="7"/>
      <c r="V584" s="7"/>
      <c r="W584" s="7"/>
      <c r="X584" s="3"/>
      <c r="Y584" s="3"/>
      <c r="Z584" s="9">
        <v>0.30053999999999997</v>
      </c>
      <c r="AA584" s="12">
        <f t="shared" si="114"/>
        <v>3.0705560376476093E-3</v>
      </c>
      <c r="AB584" s="9">
        <f t="shared" si="116"/>
        <v>0.35863142857142855</v>
      </c>
      <c r="AC584" s="9"/>
      <c r="AD584" s="9"/>
      <c r="AE584" s="3" t="s">
        <v>80</v>
      </c>
      <c r="AF584" s="11"/>
      <c r="AG584" s="11"/>
      <c r="AH584" s="11"/>
      <c r="AI584" s="3" t="s">
        <v>45</v>
      </c>
      <c r="AJ584" s="3" t="s">
        <v>79</v>
      </c>
      <c r="AK584" s="3" t="s">
        <v>46</v>
      </c>
      <c r="AL584" s="3" t="s">
        <v>81</v>
      </c>
      <c r="AM584" s="3" t="s">
        <v>82</v>
      </c>
    </row>
    <row r="585" spans="1:39" ht="21" customHeight="1">
      <c r="A585" s="4">
        <v>42993</v>
      </c>
      <c r="B585" s="3" t="s">
        <v>78</v>
      </c>
      <c r="C585" s="3" t="s">
        <v>79</v>
      </c>
      <c r="D585" s="4">
        <v>43159</v>
      </c>
      <c r="E585" s="3">
        <f t="shared" si="108"/>
        <v>-166</v>
      </c>
      <c r="F585" s="3" t="str">
        <f t="shared" si="109"/>
        <v>개봉전</v>
      </c>
      <c r="G585" s="3" t="str">
        <f t="shared" si="110"/>
        <v>금</v>
      </c>
      <c r="H585" s="3">
        <f t="shared" si="111"/>
        <v>0</v>
      </c>
      <c r="I585" s="3"/>
      <c r="J585" s="3"/>
      <c r="K585" s="3"/>
      <c r="L585" s="12" t="str">
        <f t="shared" si="112"/>
        <v/>
      </c>
      <c r="M585" s="12" t="str">
        <f t="shared" si="113"/>
        <v/>
      </c>
      <c r="N585" s="11" t="str">
        <f t="shared" si="115"/>
        <v/>
      </c>
      <c r="O585" s="11"/>
      <c r="P585" s="11"/>
      <c r="Q585" s="7"/>
      <c r="R585" s="7"/>
      <c r="S585" s="7"/>
      <c r="T585" s="7"/>
      <c r="U585" s="7"/>
      <c r="V585" s="7"/>
      <c r="W585" s="7"/>
      <c r="X585" s="3"/>
      <c r="Y585" s="3"/>
      <c r="Z585" s="9">
        <v>0.27872999999999998</v>
      </c>
      <c r="AA585" s="12">
        <f t="shared" si="114"/>
        <v>-7.2569375124775348E-2</v>
      </c>
      <c r="AB585" s="9">
        <f t="shared" si="116"/>
        <v>0.31964142857142858</v>
      </c>
      <c r="AC585" s="9"/>
      <c r="AD585" s="9"/>
      <c r="AE585" s="3" t="s">
        <v>80</v>
      </c>
      <c r="AF585" s="11"/>
      <c r="AG585" s="11"/>
      <c r="AH585" s="11"/>
      <c r="AI585" s="3" t="s">
        <v>45</v>
      </c>
      <c r="AJ585" s="3" t="s">
        <v>79</v>
      </c>
      <c r="AK585" s="3" t="s">
        <v>46</v>
      </c>
      <c r="AL585" s="3" t="s">
        <v>81</v>
      </c>
      <c r="AM585" s="3" t="s">
        <v>82</v>
      </c>
    </row>
    <row r="586" spans="1:39" ht="21" customHeight="1">
      <c r="A586" s="4">
        <v>42994</v>
      </c>
      <c r="B586" s="3" t="s">
        <v>78</v>
      </c>
      <c r="C586" s="3" t="s">
        <v>79</v>
      </c>
      <c r="D586" s="4">
        <v>43159</v>
      </c>
      <c r="E586" s="3">
        <f t="shared" si="108"/>
        <v>-165</v>
      </c>
      <c r="F586" s="3" t="str">
        <f t="shared" si="109"/>
        <v>개봉전</v>
      </c>
      <c r="G586" s="3" t="str">
        <f t="shared" si="110"/>
        <v>토</v>
      </c>
      <c r="H586" s="3">
        <f t="shared" si="111"/>
        <v>1</v>
      </c>
      <c r="I586" s="3"/>
      <c r="J586" s="3"/>
      <c r="K586" s="3"/>
      <c r="L586" s="12" t="str">
        <f t="shared" si="112"/>
        <v/>
      </c>
      <c r="M586" s="12" t="str">
        <f t="shared" si="113"/>
        <v/>
      </c>
      <c r="N586" s="11" t="str">
        <f t="shared" si="115"/>
        <v/>
      </c>
      <c r="O586" s="11"/>
      <c r="P586" s="11"/>
      <c r="Q586" s="7"/>
      <c r="R586" s="7"/>
      <c r="S586" s="7"/>
      <c r="T586" s="7"/>
      <c r="U586" s="7"/>
      <c r="V586" s="7"/>
      <c r="W586" s="7"/>
      <c r="X586" s="3"/>
      <c r="Y586" s="3"/>
      <c r="Z586" s="9">
        <v>0.28871000000000002</v>
      </c>
      <c r="AA586" s="12">
        <f t="shared" si="114"/>
        <v>3.5805259570193648E-2</v>
      </c>
      <c r="AB586" s="9">
        <f t="shared" si="116"/>
        <v>0.31559714285714285</v>
      </c>
      <c r="AC586" s="9"/>
      <c r="AD586" s="9"/>
      <c r="AE586" s="3" t="s">
        <v>80</v>
      </c>
      <c r="AF586" s="11"/>
      <c r="AG586" s="11"/>
      <c r="AH586" s="11"/>
      <c r="AI586" s="3" t="s">
        <v>45</v>
      </c>
      <c r="AJ586" s="3" t="s">
        <v>79</v>
      </c>
      <c r="AK586" s="3" t="s">
        <v>46</v>
      </c>
      <c r="AL586" s="3" t="s">
        <v>81</v>
      </c>
      <c r="AM586" s="3" t="s">
        <v>82</v>
      </c>
    </row>
    <row r="587" spans="1:39" ht="21" customHeight="1">
      <c r="A587" s="4">
        <v>42995</v>
      </c>
      <c r="B587" s="3" t="s">
        <v>78</v>
      </c>
      <c r="C587" s="3" t="s">
        <v>79</v>
      </c>
      <c r="D587" s="4">
        <v>43159</v>
      </c>
      <c r="E587" s="3">
        <f t="shared" si="108"/>
        <v>-164</v>
      </c>
      <c r="F587" s="3" t="str">
        <f t="shared" si="109"/>
        <v>개봉전</v>
      </c>
      <c r="G587" s="3" t="str">
        <f t="shared" si="110"/>
        <v>일</v>
      </c>
      <c r="H587" s="3">
        <f t="shared" si="111"/>
        <v>1</v>
      </c>
      <c r="I587" s="3"/>
      <c r="J587" s="3"/>
      <c r="K587" s="3"/>
      <c r="L587" s="12" t="str">
        <f t="shared" si="112"/>
        <v/>
      </c>
      <c r="M587" s="12" t="str">
        <f t="shared" si="113"/>
        <v/>
      </c>
      <c r="N587" s="11" t="str">
        <f t="shared" si="115"/>
        <v/>
      </c>
      <c r="O587" s="11"/>
      <c r="P587" s="11"/>
      <c r="Q587" s="7"/>
      <c r="R587" s="7"/>
      <c r="S587" s="7"/>
      <c r="T587" s="7"/>
      <c r="U587" s="7"/>
      <c r="V587" s="7"/>
      <c r="W587" s="7"/>
      <c r="X587" s="3"/>
      <c r="Y587" s="3"/>
      <c r="Z587" s="9">
        <v>0.29287999999999997</v>
      </c>
      <c r="AA587" s="12">
        <f t="shared" si="114"/>
        <v>1.44435592809391E-2</v>
      </c>
      <c r="AB587" s="9">
        <f t="shared" si="116"/>
        <v>0.3017042857142857</v>
      </c>
      <c r="AC587" s="9"/>
      <c r="AD587" s="9"/>
      <c r="AE587" s="3" t="s">
        <v>80</v>
      </c>
      <c r="AF587" s="11"/>
      <c r="AG587" s="11"/>
      <c r="AH587" s="11"/>
      <c r="AI587" s="3" t="s">
        <v>45</v>
      </c>
      <c r="AJ587" s="3" t="s">
        <v>79</v>
      </c>
      <c r="AK587" s="3" t="s">
        <v>46</v>
      </c>
      <c r="AL587" s="3" t="s">
        <v>81</v>
      </c>
      <c r="AM587" s="3" t="s">
        <v>82</v>
      </c>
    </row>
    <row r="588" spans="1:39" ht="21" customHeight="1">
      <c r="A588" s="4">
        <v>42996</v>
      </c>
      <c r="B588" s="3" t="s">
        <v>78</v>
      </c>
      <c r="C588" s="3" t="s">
        <v>79</v>
      </c>
      <c r="D588" s="4">
        <v>43159</v>
      </c>
      <c r="E588" s="3">
        <f t="shared" si="108"/>
        <v>-163</v>
      </c>
      <c r="F588" s="3" t="str">
        <f t="shared" si="109"/>
        <v>개봉전</v>
      </c>
      <c r="G588" s="3" t="str">
        <f t="shared" si="110"/>
        <v>월</v>
      </c>
      <c r="H588" s="3">
        <f t="shared" si="111"/>
        <v>0</v>
      </c>
      <c r="I588" s="3"/>
      <c r="J588" s="3"/>
      <c r="K588" s="3"/>
      <c r="L588" s="12" t="str">
        <f t="shared" si="112"/>
        <v/>
      </c>
      <c r="M588" s="12" t="str">
        <f t="shared" si="113"/>
        <v/>
      </c>
      <c r="N588" s="11" t="str">
        <f t="shared" si="115"/>
        <v/>
      </c>
      <c r="O588" s="11"/>
      <c r="P588" s="11"/>
      <c r="Q588" s="7"/>
      <c r="R588" s="7"/>
      <c r="S588" s="7"/>
      <c r="T588" s="7"/>
      <c r="U588" s="7"/>
      <c r="V588" s="7"/>
      <c r="W588" s="7"/>
      <c r="X588" s="3"/>
      <c r="Y588" s="3"/>
      <c r="Z588" s="9">
        <v>0.26386999999999999</v>
      </c>
      <c r="AA588" s="12">
        <f t="shared" si="114"/>
        <v>-9.9050805790767527E-2</v>
      </c>
      <c r="AB588" s="9">
        <f t="shared" si="116"/>
        <v>0.28758</v>
      </c>
      <c r="AC588" s="9"/>
      <c r="AD588" s="9"/>
      <c r="AE588" s="3" t="s">
        <v>80</v>
      </c>
      <c r="AF588" s="11"/>
      <c r="AG588" s="11"/>
      <c r="AH588" s="11"/>
      <c r="AI588" s="3" t="s">
        <v>45</v>
      </c>
      <c r="AJ588" s="3" t="s">
        <v>79</v>
      </c>
      <c r="AK588" s="3" t="s">
        <v>46</v>
      </c>
      <c r="AL588" s="3" t="s">
        <v>81</v>
      </c>
      <c r="AM588" s="3" t="s">
        <v>82</v>
      </c>
    </row>
    <row r="589" spans="1:39" ht="21" customHeight="1">
      <c r="A589" s="4">
        <v>42997</v>
      </c>
      <c r="B589" s="3" t="s">
        <v>78</v>
      </c>
      <c r="C589" s="3" t="s">
        <v>79</v>
      </c>
      <c r="D589" s="4">
        <v>43159</v>
      </c>
      <c r="E589" s="3">
        <f t="shared" si="108"/>
        <v>-162</v>
      </c>
      <c r="F589" s="3" t="str">
        <f t="shared" si="109"/>
        <v>개봉전</v>
      </c>
      <c r="G589" s="3" t="str">
        <f t="shared" si="110"/>
        <v>화</v>
      </c>
      <c r="H589" s="3">
        <f t="shared" si="111"/>
        <v>0</v>
      </c>
      <c r="I589" s="3"/>
      <c r="J589" s="3"/>
      <c r="K589" s="3"/>
      <c r="L589" s="12" t="str">
        <f t="shared" si="112"/>
        <v/>
      </c>
      <c r="M589" s="12" t="str">
        <f t="shared" si="113"/>
        <v/>
      </c>
      <c r="N589" s="11" t="str">
        <f t="shared" si="115"/>
        <v/>
      </c>
      <c r="O589" s="11"/>
      <c r="P589" s="11"/>
      <c r="Q589" s="7"/>
      <c r="R589" s="7"/>
      <c r="S589" s="7"/>
      <c r="T589" s="7"/>
      <c r="U589" s="7"/>
      <c r="V589" s="7"/>
      <c r="W589" s="7"/>
      <c r="X589" s="3"/>
      <c r="Y589" s="3"/>
      <c r="Z589" s="9">
        <v>0.27710000000000001</v>
      </c>
      <c r="AA589" s="12">
        <f t="shared" si="114"/>
        <v>5.0138325690681107E-2</v>
      </c>
      <c r="AB589" s="9">
        <f t="shared" si="116"/>
        <v>0.2859214285714286</v>
      </c>
      <c r="AC589" s="9"/>
      <c r="AD589" s="9"/>
      <c r="AE589" s="3" t="s">
        <v>80</v>
      </c>
      <c r="AF589" s="11"/>
      <c r="AG589" s="11"/>
      <c r="AH589" s="11"/>
      <c r="AI589" s="3" t="s">
        <v>45</v>
      </c>
      <c r="AJ589" s="3" t="s">
        <v>79</v>
      </c>
      <c r="AK589" s="3" t="s">
        <v>46</v>
      </c>
      <c r="AL589" s="3" t="s">
        <v>81</v>
      </c>
      <c r="AM589" s="3" t="s">
        <v>82</v>
      </c>
    </row>
    <row r="590" spans="1:39" ht="21" customHeight="1">
      <c r="A590" s="4">
        <v>42998</v>
      </c>
      <c r="B590" s="3" t="s">
        <v>78</v>
      </c>
      <c r="C590" s="3" t="s">
        <v>79</v>
      </c>
      <c r="D590" s="4">
        <v>43159</v>
      </c>
      <c r="E590" s="3">
        <f t="shared" si="108"/>
        <v>-161</v>
      </c>
      <c r="F590" s="3" t="str">
        <f t="shared" si="109"/>
        <v>개봉전</v>
      </c>
      <c r="G590" s="3" t="str">
        <f t="shared" si="110"/>
        <v>수</v>
      </c>
      <c r="H590" s="3">
        <f t="shared" si="111"/>
        <v>0</v>
      </c>
      <c r="I590" s="3"/>
      <c r="J590" s="3"/>
      <c r="K590" s="3"/>
      <c r="L590" s="12" t="str">
        <f t="shared" si="112"/>
        <v/>
      </c>
      <c r="M590" s="12" t="str">
        <f t="shared" si="113"/>
        <v/>
      </c>
      <c r="N590" s="11" t="str">
        <f t="shared" si="115"/>
        <v/>
      </c>
      <c r="O590" s="11"/>
      <c r="P590" s="11"/>
      <c r="Q590" s="7"/>
      <c r="R590" s="7"/>
      <c r="S590" s="7"/>
      <c r="T590" s="7"/>
      <c r="U590" s="7"/>
      <c r="V590" s="7"/>
      <c r="W590" s="7"/>
      <c r="X590" s="3"/>
      <c r="Y590" s="3"/>
      <c r="Z590" s="9">
        <v>0.23741999999999999</v>
      </c>
      <c r="AA590" s="12">
        <f t="shared" si="114"/>
        <v>-0.14319740166005057</v>
      </c>
      <c r="AB590" s="9">
        <f t="shared" si="116"/>
        <v>0.27703571428571433</v>
      </c>
      <c r="AC590" s="9"/>
      <c r="AD590" s="9"/>
      <c r="AE590" s="3" t="s">
        <v>80</v>
      </c>
      <c r="AF590" s="11"/>
      <c r="AG590" s="11"/>
      <c r="AH590" s="11"/>
      <c r="AI590" s="3" t="s">
        <v>45</v>
      </c>
      <c r="AJ590" s="3" t="s">
        <v>79</v>
      </c>
      <c r="AK590" s="3" t="s">
        <v>46</v>
      </c>
      <c r="AL590" s="3" t="s">
        <v>81</v>
      </c>
      <c r="AM590" s="3" t="s">
        <v>82</v>
      </c>
    </row>
    <row r="591" spans="1:39" ht="21" customHeight="1">
      <c r="A591" s="4">
        <v>42999</v>
      </c>
      <c r="B591" s="3" t="s">
        <v>78</v>
      </c>
      <c r="C591" s="3" t="s">
        <v>79</v>
      </c>
      <c r="D591" s="4">
        <v>43159</v>
      </c>
      <c r="E591" s="3">
        <f t="shared" si="108"/>
        <v>-160</v>
      </c>
      <c r="F591" s="3" t="str">
        <f t="shared" si="109"/>
        <v>개봉전</v>
      </c>
      <c r="G591" s="3" t="str">
        <f t="shared" si="110"/>
        <v>목</v>
      </c>
      <c r="H591" s="3">
        <f t="shared" si="111"/>
        <v>0</v>
      </c>
      <c r="I591" s="3"/>
      <c r="J591" s="3"/>
      <c r="K591" s="3"/>
      <c r="L591" s="12" t="str">
        <f t="shared" si="112"/>
        <v/>
      </c>
      <c r="M591" s="12" t="str">
        <f t="shared" si="113"/>
        <v/>
      </c>
      <c r="N591" s="11" t="str">
        <f t="shared" si="115"/>
        <v/>
      </c>
      <c r="O591" s="11"/>
      <c r="P591" s="11"/>
      <c r="Q591" s="7"/>
      <c r="R591" s="7"/>
      <c r="S591" s="7"/>
      <c r="T591" s="7"/>
      <c r="U591" s="7"/>
      <c r="V591" s="7"/>
      <c r="W591" s="7"/>
      <c r="X591" s="3"/>
      <c r="Y591" s="3"/>
      <c r="Z591" s="9">
        <v>0.52449999999999997</v>
      </c>
      <c r="AA591" s="12">
        <f t="shared" si="114"/>
        <v>1.2091651924858899</v>
      </c>
      <c r="AB591" s="9">
        <f t="shared" si="116"/>
        <v>0.30902999999999997</v>
      </c>
      <c r="AC591" s="9"/>
      <c r="AD591" s="9"/>
      <c r="AE591" s="3" t="s">
        <v>80</v>
      </c>
      <c r="AF591" s="11"/>
      <c r="AG591" s="11"/>
      <c r="AH591" s="11"/>
      <c r="AI591" s="3" t="s">
        <v>45</v>
      </c>
      <c r="AJ591" s="3" t="s">
        <v>79</v>
      </c>
      <c r="AK591" s="3" t="s">
        <v>46</v>
      </c>
      <c r="AL591" s="3" t="s">
        <v>81</v>
      </c>
      <c r="AM591" s="3" t="s">
        <v>82</v>
      </c>
    </row>
    <row r="592" spans="1:39" ht="21" customHeight="1">
      <c r="A592" s="4">
        <v>43000</v>
      </c>
      <c r="B592" s="3" t="s">
        <v>78</v>
      </c>
      <c r="C592" s="3" t="s">
        <v>79</v>
      </c>
      <c r="D592" s="4">
        <v>43159</v>
      </c>
      <c r="E592" s="3">
        <f t="shared" si="108"/>
        <v>-159</v>
      </c>
      <c r="F592" s="3" t="str">
        <f t="shared" si="109"/>
        <v>개봉전</v>
      </c>
      <c r="G592" s="3" t="str">
        <f t="shared" si="110"/>
        <v>금</v>
      </c>
      <c r="H592" s="3">
        <f t="shared" si="111"/>
        <v>0</v>
      </c>
      <c r="I592" s="3"/>
      <c r="J592" s="3"/>
      <c r="K592" s="3"/>
      <c r="L592" s="12" t="str">
        <f t="shared" si="112"/>
        <v/>
      </c>
      <c r="M592" s="12" t="str">
        <f t="shared" si="113"/>
        <v/>
      </c>
      <c r="N592" s="11" t="str">
        <f t="shared" si="115"/>
        <v/>
      </c>
      <c r="O592" s="11"/>
      <c r="P592" s="11"/>
      <c r="Q592" s="7"/>
      <c r="R592" s="7"/>
      <c r="S592" s="7"/>
      <c r="T592" s="7"/>
      <c r="U592" s="7"/>
      <c r="V592" s="7"/>
      <c r="W592" s="7"/>
      <c r="X592" s="3"/>
      <c r="Y592" s="3"/>
      <c r="Z592" s="9">
        <v>0.34394000000000002</v>
      </c>
      <c r="AA592" s="12">
        <f t="shared" si="114"/>
        <v>-0.34425166825548137</v>
      </c>
      <c r="AB592" s="9">
        <f t="shared" si="116"/>
        <v>0.31834571428571429</v>
      </c>
      <c r="AC592" s="9"/>
      <c r="AD592" s="9"/>
      <c r="AE592" s="3" t="s">
        <v>80</v>
      </c>
      <c r="AF592" s="11"/>
      <c r="AG592" s="11"/>
      <c r="AH592" s="11"/>
      <c r="AI592" s="3" t="s">
        <v>45</v>
      </c>
      <c r="AJ592" s="3" t="s">
        <v>79</v>
      </c>
      <c r="AK592" s="3" t="s">
        <v>46</v>
      </c>
      <c r="AL592" s="3" t="s">
        <v>81</v>
      </c>
      <c r="AM592" s="3" t="s">
        <v>82</v>
      </c>
    </row>
    <row r="593" spans="1:39" ht="21" customHeight="1">
      <c r="A593" s="4">
        <v>43001</v>
      </c>
      <c r="B593" s="3" t="s">
        <v>78</v>
      </c>
      <c r="C593" s="3" t="s">
        <v>79</v>
      </c>
      <c r="D593" s="4">
        <v>43159</v>
      </c>
      <c r="E593" s="3">
        <f t="shared" si="108"/>
        <v>-158</v>
      </c>
      <c r="F593" s="3" t="str">
        <f t="shared" si="109"/>
        <v>개봉전</v>
      </c>
      <c r="G593" s="3" t="str">
        <f t="shared" si="110"/>
        <v>토</v>
      </c>
      <c r="H593" s="3">
        <f t="shared" si="111"/>
        <v>1</v>
      </c>
      <c r="I593" s="3"/>
      <c r="J593" s="3"/>
      <c r="K593" s="3"/>
      <c r="L593" s="12" t="str">
        <f t="shared" si="112"/>
        <v/>
      </c>
      <c r="M593" s="12" t="str">
        <f t="shared" si="113"/>
        <v/>
      </c>
      <c r="N593" s="11" t="str">
        <f t="shared" si="115"/>
        <v/>
      </c>
      <c r="O593" s="11"/>
      <c r="P593" s="11"/>
      <c r="Q593" s="7"/>
      <c r="R593" s="7"/>
      <c r="S593" s="7"/>
      <c r="T593" s="7"/>
      <c r="U593" s="7"/>
      <c r="V593" s="7"/>
      <c r="W593" s="7"/>
      <c r="X593" s="3"/>
      <c r="Y593" s="3"/>
      <c r="Z593" s="9">
        <v>0.27432000000000001</v>
      </c>
      <c r="AA593" s="12">
        <f t="shared" si="114"/>
        <v>-0.20241902657440258</v>
      </c>
      <c r="AB593" s="9">
        <f t="shared" si="116"/>
        <v>0.31628999999999996</v>
      </c>
      <c r="AC593" s="9"/>
      <c r="AD593" s="9"/>
      <c r="AE593" s="3" t="s">
        <v>80</v>
      </c>
      <c r="AF593" s="11"/>
      <c r="AG593" s="11"/>
      <c r="AH593" s="11"/>
      <c r="AI593" s="3" t="s">
        <v>45</v>
      </c>
      <c r="AJ593" s="3" t="s">
        <v>79</v>
      </c>
      <c r="AK593" s="3" t="s">
        <v>46</v>
      </c>
      <c r="AL593" s="3" t="s">
        <v>81</v>
      </c>
      <c r="AM593" s="3" t="s">
        <v>82</v>
      </c>
    </row>
    <row r="594" spans="1:39" ht="21" customHeight="1">
      <c r="A594" s="4">
        <v>43002</v>
      </c>
      <c r="B594" s="3" t="s">
        <v>78</v>
      </c>
      <c r="C594" s="3" t="s">
        <v>79</v>
      </c>
      <c r="D594" s="4">
        <v>43159</v>
      </c>
      <c r="E594" s="3">
        <f t="shared" si="108"/>
        <v>-157</v>
      </c>
      <c r="F594" s="3" t="str">
        <f t="shared" si="109"/>
        <v>개봉전</v>
      </c>
      <c r="G594" s="3" t="str">
        <f t="shared" si="110"/>
        <v>일</v>
      </c>
      <c r="H594" s="3">
        <f t="shared" si="111"/>
        <v>1</v>
      </c>
      <c r="I594" s="3"/>
      <c r="J594" s="3"/>
      <c r="K594" s="3"/>
      <c r="L594" s="12" t="str">
        <f t="shared" si="112"/>
        <v/>
      </c>
      <c r="M594" s="12" t="str">
        <f t="shared" si="113"/>
        <v/>
      </c>
      <c r="N594" s="11" t="str">
        <f t="shared" si="115"/>
        <v/>
      </c>
      <c r="O594" s="11"/>
      <c r="P594" s="11"/>
      <c r="Q594" s="7"/>
      <c r="R594" s="7"/>
      <c r="S594" s="7"/>
      <c r="T594" s="7"/>
      <c r="U594" s="7"/>
      <c r="V594" s="7"/>
      <c r="W594" s="7"/>
      <c r="X594" s="3"/>
      <c r="Y594" s="3"/>
      <c r="Z594" s="9">
        <v>0.28754999999999997</v>
      </c>
      <c r="AA594" s="12">
        <f t="shared" si="114"/>
        <v>4.8228346456692828E-2</v>
      </c>
      <c r="AB594" s="9">
        <f t="shared" si="116"/>
        <v>0.31552857142857144</v>
      </c>
      <c r="AC594" s="9"/>
      <c r="AD594" s="9"/>
      <c r="AE594" s="3" t="s">
        <v>80</v>
      </c>
      <c r="AF594" s="11"/>
      <c r="AG594" s="11"/>
      <c r="AH594" s="11"/>
      <c r="AI594" s="3" t="s">
        <v>45</v>
      </c>
      <c r="AJ594" s="3" t="s">
        <v>79</v>
      </c>
      <c r="AK594" s="3" t="s">
        <v>46</v>
      </c>
      <c r="AL594" s="3" t="s">
        <v>81</v>
      </c>
      <c r="AM594" s="3" t="s">
        <v>82</v>
      </c>
    </row>
    <row r="595" spans="1:39" ht="21" customHeight="1">
      <c r="A595" s="4">
        <v>43003</v>
      </c>
      <c r="B595" s="3" t="s">
        <v>78</v>
      </c>
      <c r="C595" s="3" t="s">
        <v>79</v>
      </c>
      <c r="D595" s="4">
        <v>43159</v>
      </c>
      <c r="E595" s="3">
        <f t="shared" si="108"/>
        <v>-156</v>
      </c>
      <c r="F595" s="3" t="str">
        <f t="shared" si="109"/>
        <v>개봉전</v>
      </c>
      <c r="G595" s="3" t="str">
        <f t="shared" si="110"/>
        <v>월</v>
      </c>
      <c r="H595" s="3">
        <f t="shared" si="111"/>
        <v>0</v>
      </c>
      <c r="I595" s="3"/>
      <c r="J595" s="3"/>
      <c r="K595" s="3"/>
      <c r="L595" s="12" t="str">
        <f t="shared" si="112"/>
        <v/>
      </c>
      <c r="M595" s="12" t="str">
        <f t="shared" si="113"/>
        <v/>
      </c>
      <c r="N595" s="11" t="str">
        <f t="shared" si="115"/>
        <v/>
      </c>
      <c r="O595" s="11"/>
      <c r="P595" s="11"/>
      <c r="Q595" s="7"/>
      <c r="R595" s="7"/>
      <c r="S595" s="7"/>
      <c r="T595" s="7"/>
      <c r="U595" s="7"/>
      <c r="V595" s="7"/>
      <c r="W595" s="7"/>
      <c r="X595" s="3"/>
      <c r="Y595" s="3"/>
      <c r="Z595" s="9">
        <v>0.24948000000000001</v>
      </c>
      <c r="AA595" s="12">
        <f t="shared" si="114"/>
        <v>-0.13239436619718303</v>
      </c>
      <c r="AB595" s="9">
        <f t="shared" si="116"/>
        <v>0.31347285714285711</v>
      </c>
      <c r="AC595" s="9"/>
      <c r="AD595" s="9"/>
      <c r="AE595" s="3" t="s">
        <v>80</v>
      </c>
      <c r="AF595" s="11"/>
      <c r="AG595" s="11"/>
      <c r="AH595" s="11"/>
      <c r="AI595" s="3" t="s">
        <v>45</v>
      </c>
      <c r="AJ595" s="3" t="s">
        <v>79</v>
      </c>
      <c r="AK595" s="3" t="s">
        <v>46</v>
      </c>
      <c r="AL595" s="3" t="s">
        <v>81</v>
      </c>
      <c r="AM595" s="3" t="s">
        <v>82</v>
      </c>
    </row>
    <row r="596" spans="1:39" ht="21" customHeight="1">
      <c r="A596" s="4">
        <v>43004</v>
      </c>
      <c r="B596" s="3" t="s">
        <v>78</v>
      </c>
      <c r="C596" s="3" t="s">
        <v>79</v>
      </c>
      <c r="D596" s="4">
        <v>43159</v>
      </c>
      <c r="E596" s="3">
        <f t="shared" si="108"/>
        <v>-155</v>
      </c>
      <c r="F596" s="3" t="str">
        <f t="shared" si="109"/>
        <v>개봉전</v>
      </c>
      <c r="G596" s="3" t="str">
        <f t="shared" si="110"/>
        <v>화</v>
      </c>
      <c r="H596" s="3">
        <f t="shared" si="111"/>
        <v>0</v>
      </c>
      <c r="I596" s="3"/>
      <c r="J596" s="3"/>
      <c r="K596" s="3"/>
      <c r="L596" s="12" t="str">
        <f t="shared" si="112"/>
        <v/>
      </c>
      <c r="M596" s="12" t="str">
        <f t="shared" si="113"/>
        <v/>
      </c>
      <c r="N596" s="11" t="str">
        <f t="shared" si="115"/>
        <v/>
      </c>
      <c r="O596" s="11"/>
      <c r="P596" s="11"/>
      <c r="Q596" s="7"/>
      <c r="R596" s="7"/>
      <c r="S596" s="7"/>
      <c r="T596" s="7"/>
      <c r="U596" s="7"/>
      <c r="V596" s="7"/>
      <c r="W596" s="7"/>
      <c r="X596" s="3"/>
      <c r="Y596" s="3"/>
      <c r="Z596" s="9">
        <v>0.28244000000000002</v>
      </c>
      <c r="AA596" s="12">
        <f t="shared" si="114"/>
        <v>0.13211479878146548</v>
      </c>
      <c r="AB596" s="9">
        <f t="shared" si="116"/>
        <v>0.31423571428571423</v>
      </c>
      <c r="AC596" s="9"/>
      <c r="AD596" s="9"/>
      <c r="AE596" s="3" t="s">
        <v>80</v>
      </c>
      <c r="AF596" s="11"/>
      <c r="AG596" s="11"/>
      <c r="AH596" s="11"/>
      <c r="AI596" s="3" t="s">
        <v>45</v>
      </c>
      <c r="AJ596" s="3" t="s">
        <v>79</v>
      </c>
      <c r="AK596" s="3" t="s">
        <v>46</v>
      </c>
      <c r="AL596" s="3" t="s">
        <v>81</v>
      </c>
      <c r="AM596" s="3" t="s">
        <v>82</v>
      </c>
    </row>
    <row r="597" spans="1:39" ht="21" customHeight="1">
      <c r="A597" s="4">
        <v>43005</v>
      </c>
      <c r="B597" s="3" t="s">
        <v>78</v>
      </c>
      <c r="C597" s="3" t="s">
        <v>79</v>
      </c>
      <c r="D597" s="4">
        <v>43159</v>
      </c>
      <c r="E597" s="3">
        <f t="shared" si="108"/>
        <v>-154</v>
      </c>
      <c r="F597" s="3" t="str">
        <f t="shared" si="109"/>
        <v>개봉전</v>
      </c>
      <c r="G597" s="3" t="str">
        <f t="shared" si="110"/>
        <v>수</v>
      </c>
      <c r="H597" s="3">
        <f t="shared" si="111"/>
        <v>0</v>
      </c>
      <c r="I597" s="3"/>
      <c r="J597" s="3"/>
      <c r="K597" s="3"/>
      <c r="L597" s="12" t="str">
        <f t="shared" si="112"/>
        <v/>
      </c>
      <c r="M597" s="12" t="str">
        <f t="shared" si="113"/>
        <v/>
      </c>
      <c r="N597" s="11" t="str">
        <f t="shared" si="115"/>
        <v/>
      </c>
      <c r="O597" s="11"/>
      <c r="P597" s="11"/>
      <c r="Q597" s="7"/>
      <c r="R597" s="7"/>
      <c r="S597" s="7"/>
      <c r="T597" s="7"/>
      <c r="U597" s="7"/>
      <c r="V597" s="7"/>
      <c r="W597" s="7"/>
      <c r="X597" s="3"/>
      <c r="Y597" s="3"/>
      <c r="Z597" s="9">
        <v>0.29520999999999997</v>
      </c>
      <c r="AA597" s="12">
        <f t="shared" si="114"/>
        <v>4.5213142614360491E-2</v>
      </c>
      <c r="AB597" s="9">
        <f t="shared" si="116"/>
        <v>0.32249142857142854</v>
      </c>
      <c r="AC597" s="9"/>
      <c r="AD597" s="9"/>
      <c r="AE597" s="3" t="s">
        <v>80</v>
      </c>
      <c r="AF597" s="11"/>
      <c r="AG597" s="11"/>
      <c r="AH597" s="11"/>
      <c r="AI597" s="3" t="s">
        <v>45</v>
      </c>
      <c r="AJ597" s="3" t="s">
        <v>79</v>
      </c>
      <c r="AK597" s="3" t="s">
        <v>46</v>
      </c>
      <c r="AL597" s="3" t="s">
        <v>81</v>
      </c>
      <c r="AM597" s="3" t="s">
        <v>82</v>
      </c>
    </row>
    <row r="598" spans="1:39" ht="21" customHeight="1">
      <c r="A598" s="4">
        <v>43006</v>
      </c>
      <c r="B598" s="3" t="s">
        <v>78</v>
      </c>
      <c r="C598" s="3" t="s">
        <v>79</v>
      </c>
      <c r="D598" s="4">
        <v>43159</v>
      </c>
      <c r="E598" s="3">
        <f t="shared" si="108"/>
        <v>-153</v>
      </c>
      <c r="F598" s="3" t="str">
        <f t="shared" si="109"/>
        <v>개봉전</v>
      </c>
      <c r="G598" s="3" t="str">
        <f t="shared" si="110"/>
        <v>목</v>
      </c>
      <c r="H598" s="3">
        <f t="shared" si="111"/>
        <v>0</v>
      </c>
      <c r="I598" s="3"/>
      <c r="J598" s="3"/>
      <c r="K598" s="3"/>
      <c r="L598" s="12" t="str">
        <f t="shared" si="112"/>
        <v/>
      </c>
      <c r="M598" s="12" t="str">
        <f t="shared" si="113"/>
        <v/>
      </c>
      <c r="N598" s="11" t="str">
        <f t="shared" si="115"/>
        <v/>
      </c>
      <c r="O598" s="11"/>
      <c r="P598" s="11"/>
      <c r="Q598" s="7"/>
      <c r="R598" s="7"/>
      <c r="S598" s="7"/>
      <c r="T598" s="7"/>
      <c r="U598" s="7"/>
      <c r="V598" s="7"/>
      <c r="W598" s="7"/>
      <c r="X598" s="3"/>
      <c r="Y598" s="3"/>
      <c r="Z598" s="9">
        <v>0.26990999999999998</v>
      </c>
      <c r="AA598" s="12">
        <f t="shared" si="114"/>
        <v>-8.5701703871820079E-2</v>
      </c>
      <c r="AB598" s="9">
        <f t="shared" si="116"/>
        <v>0.28612142857142858</v>
      </c>
      <c r="AC598" s="9"/>
      <c r="AD598" s="9"/>
      <c r="AE598" s="3" t="s">
        <v>80</v>
      </c>
      <c r="AF598" s="11"/>
      <c r="AG598" s="11"/>
      <c r="AH598" s="11"/>
      <c r="AI598" s="3" t="s">
        <v>45</v>
      </c>
      <c r="AJ598" s="3" t="s">
        <v>79</v>
      </c>
      <c r="AK598" s="3" t="s">
        <v>46</v>
      </c>
      <c r="AL598" s="3" t="s">
        <v>81</v>
      </c>
      <c r="AM598" s="3" t="s">
        <v>82</v>
      </c>
    </row>
    <row r="599" spans="1:39" ht="21" customHeight="1">
      <c r="A599" s="4">
        <v>43007</v>
      </c>
      <c r="B599" s="3" t="s">
        <v>78</v>
      </c>
      <c r="C599" s="3" t="s">
        <v>79</v>
      </c>
      <c r="D599" s="4">
        <v>43159</v>
      </c>
      <c r="E599" s="3">
        <f t="shared" si="108"/>
        <v>-152</v>
      </c>
      <c r="F599" s="3" t="str">
        <f t="shared" si="109"/>
        <v>개봉전</v>
      </c>
      <c r="G599" s="3" t="str">
        <f t="shared" si="110"/>
        <v>금</v>
      </c>
      <c r="H599" s="3">
        <f t="shared" si="111"/>
        <v>0</v>
      </c>
      <c r="I599" s="3"/>
      <c r="J599" s="3"/>
      <c r="K599" s="3"/>
      <c r="L599" s="12" t="str">
        <f t="shared" si="112"/>
        <v/>
      </c>
      <c r="M599" s="12" t="str">
        <f t="shared" si="113"/>
        <v/>
      </c>
      <c r="N599" s="11" t="str">
        <f t="shared" si="115"/>
        <v/>
      </c>
      <c r="O599" s="11" t="str">
        <f t="shared" ref="O599:O662" si="117">IF(COUNT(I571:I598)=28,AVERAGE(I571:I598),"")</f>
        <v/>
      </c>
      <c r="P599" s="11" t="str">
        <f t="shared" ref="P599:P662" si="118">IF(COUNT(I599,O599)=2,IFERROR(I599/O599,""),"")</f>
        <v/>
      </c>
      <c r="Q599" s="7"/>
      <c r="R599" s="7"/>
      <c r="S599" s="7"/>
      <c r="T599" s="7"/>
      <c r="U599" s="7"/>
      <c r="V599" s="7"/>
      <c r="W599" s="7"/>
      <c r="X599" s="3"/>
      <c r="Y599" s="3"/>
      <c r="Z599" s="9">
        <v>0.29798999999999998</v>
      </c>
      <c r="AA599" s="12">
        <f t="shared" si="114"/>
        <v>0.10403467822607526</v>
      </c>
      <c r="AB599" s="9">
        <f t="shared" si="116"/>
        <v>0.27955714285714289</v>
      </c>
      <c r="AC599" s="9">
        <f t="shared" ref="AC599:AC662" si="119">IF(COUNT(Z571:Z598)=28,AVERAGE(Z571:Z598),"")</f>
        <v>0.30563250000000003</v>
      </c>
      <c r="AD599" s="9">
        <f t="shared" ref="AD599:AD662" si="120">IF(COUNT(AB599:AC599)=2,IFERROR(AB599/AC599,""),"")</f>
        <v>0.91468395166463934</v>
      </c>
      <c r="AE599" s="3" t="s">
        <v>80</v>
      </c>
      <c r="AF599" s="11" t="str">
        <f t="shared" ref="AF599:AF662" si="121">IF(COUNT(J592,J585,J578,J571)=4,AVERAGE(J592,J585,J578,J571),"")</f>
        <v/>
      </c>
      <c r="AG599" s="11" t="str">
        <f t="shared" ref="AG599:AG662" si="122">IF(COUNT(J599,AF599)=2,IFERROR(J599/AF599,""),"")</f>
        <v/>
      </c>
      <c r="AH599" s="11">
        <f t="shared" ref="AH599:AH662" si="123">IF(COUNT(Z599,AC599)=2,IFERROR(Z599/AC599,""),"")</f>
        <v>0.97499447866310007</v>
      </c>
      <c r="AI599" s="3" t="s">
        <v>45</v>
      </c>
      <c r="AJ599" s="3" t="s">
        <v>79</v>
      </c>
      <c r="AK599" s="3" t="s">
        <v>46</v>
      </c>
      <c r="AL599" s="3" t="s">
        <v>81</v>
      </c>
      <c r="AM599" s="3" t="s">
        <v>82</v>
      </c>
    </row>
    <row r="600" spans="1:39" ht="21" customHeight="1">
      <c r="A600" s="4">
        <v>43008</v>
      </c>
      <c r="B600" s="3" t="s">
        <v>78</v>
      </c>
      <c r="C600" s="3" t="s">
        <v>79</v>
      </c>
      <c r="D600" s="4">
        <v>43159</v>
      </c>
      <c r="E600" s="3">
        <f t="shared" si="108"/>
        <v>-151</v>
      </c>
      <c r="F600" s="3" t="str">
        <f t="shared" si="109"/>
        <v>개봉전</v>
      </c>
      <c r="G600" s="3" t="str">
        <f t="shared" si="110"/>
        <v>토</v>
      </c>
      <c r="H600" s="3">
        <f t="shared" si="111"/>
        <v>1</v>
      </c>
      <c r="I600" s="3"/>
      <c r="J600" s="3"/>
      <c r="K600" s="3"/>
      <c r="L600" s="12" t="str">
        <f t="shared" si="112"/>
        <v/>
      </c>
      <c r="M600" s="12" t="str">
        <f t="shared" si="113"/>
        <v/>
      </c>
      <c r="N600" s="11" t="str">
        <f t="shared" si="115"/>
        <v/>
      </c>
      <c r="O600" s="11" t="str">
        <f t="shared" si="117"/>
        <v/>
      </c>
      <c r="P600" s="11" t="str">
        <f t="shared" si="118"/>
        <v/>
      </c>
      <c r="Q600" s="7"/>
      <c r="R600" s="7"/>
      <c r="S600" s="7"/>
      <c r="T600" s="7"/>
      <c r="U600" s="7"/>
      <c r="V600" s="7"/>
      <c r="W600" s="7"/>
      <c r="X600" s="3"/>
      <c r="Y600" s="3"/>
      <c r="Z600" s="9">
        <v>0.29659999999999997</v>
      </c>
      <c r="AA600" s="12">
        <f t="shared" si="114"/>
        <v>-4.6645860599349165E-3</v>
      </c>
      <c r="AB600" s="9">
        <f t="shared" si="116"/>
        <v>0.28273999999999994</v>
      </c>
      <c r="AC600" s="9">
        <f t="shared" si="119"/>
        <v>0.30763821428571431</v>
      </c>
      <c r="AD600" s="9">
        <f t="shared" si="120"/>
        <v>0.91906657518629808</v>
      </c>
      <c r="AE600" s="3" t="s">
        <v>80</v>
      </c>
      <c r="AF600" s="11" t="str">
        <f t="shared" si="121"/>
        <v/>
      </c>
      <c r="AG600" s="11" t="str">
        <f t="shared" si="122"/>
        <v/>
      </c>
      <c r="AH600" s="11">
        <f t="shared" si="123"/>
        <v>0.96411949565061916</v>
      </c>
      <c r="AI600" s="3" t="s">
        <v>45</v>
      </c>
      <c r="AJ600" s="3" t="s">
        <v>79</v>
      </c>
      <c r="AK600" s="3" t="s">
        <v>46</v>
      </c>
      <c r="AL600" s="3" t="s">
        <v>81</v>
      </c>
      <c r="AM600" s="3" t="s">
        <v>82</v>
      </c>
    </row>
    <row r="601" spans="1:39" ht="21" customHeight="1">
      <c r="A601" s="4">
        <v>43009</v>
      </c>
      <c r="B601" s="3" t="s">
        <v>78</v>
      </c>
      <c r="C601" s="3" t="s">
        <v>79</v>
      </c>
      <c r="D601" s="4">
        <v>43159</v>
      </c>
      <c r="E601" s="3">
        <f t="shared" si="108"/>
        <v>-150</v>
      </c>
      <c r="F601" s="3" t="str">
        <f t="shared" si="109"/>
        <v>개봉전</v>
      </c>
      <c r="G601" s="3" t="str">
        <f t="shared" si="110"/>
        <v>일</v>
      </c>
      <c r="H601" s="3">
        <f t="shared" si="111"/>
        <v>1</v>
      </c>
      <c r="I601" s="3"/>
      <c r="J601" s="3"/>
      <c r="K601" s="3"/>
      <c r="L601" s="12" t="str">
        <f t="shared" si="112"/>
        <v/>
      </c>
      <c r="M601" s="12" t="str">
        <f t="shared" si="113"/>
        <v/>
      </c>
      <c r="N601" s="11" t="str">
        <f t="shared" si="115"/>
        <v/>
      </c>
      <c r="O601" s="11" t="str">
        <f t="shared" si="117"/>
        <v/>
      </c>
      <c r="P601" s="11" t="str">
        <f t="shared" si="118"/>
        <v/>
      </c>
      <c r="Q601" s="7"/>
      <c r="R601" s="7"/>
      <c r="S601" s="7"/>
      <c r="T601" s="7"/>
      <c r="U601" s="7"/>
      <c r="V601" s="7"/>
      <c r="W601" s="7"/>
      <c r="X601" s="3"/>
      <c r="Y601" s="3"/>
      <c r="Z601" s="9">
        <v>0.36762</v>
      </c>
      <c r="AA601" s="12">
        <f t="shared" si="114"/>
        <v>0.23944706675657468</v>
      </c>
      <c r="AB601" s="9">
        <f t="shared" si="116"/>
        <v>0.29417857142857146</v>
      </c>
      <c r="AC601" s="9">
        <f t="shared" si="119"/>
        <v>0.3093042857142857</v>
      </c>
      <c r="AD601" s="9">
        <f t="shared" si="120"/>
        <v>0.95109762462300196</v>
      </c>
      <c r="AE601" s="3" t="s">
        <v>80</v>
      </c>
      <c r="AF601" s="11" t="str">
        <f t="shared" si="121"/>
        <v/>
      </c>
      <c r="AG601" s="11" t="str">
        <f t="shared" si="122"/>
        <v/>
      </c>
      <c r="AH601" s="11">
        <f t="shared" si="123"/>
        <v>1.1885383325712544</v>
      </c>
      <c r="AI601" s="3" t="s">
        <v>45</v>
      </c>
      <c r="AJ601" s="3" t="s">
        <v>79</v>
      </c>
      <c r="AK601" s="3" t="s">
        <v>46</v>
      </c>
      <c r="AL601" s="3" t="s">
        <v>81</v>
      </c>
      <c r="AM601" s="3" t="s">
        <v>82</v>
      </c>
    </row>
    <row r="602" spans="1:39" ht="21" customHeight="1">
      <c r="A602" s="4">
        <v>43010</v>
      </c>
      <c r="B602" s="3" t="s">
        <v>78</v>
      </c>
      <c r="C602" s="3" t="s">
        <v>79</v>
      </c>
      <c r="D602" s="4">
        <v>43159</v>
      </c>
      <c r="E602" s="3">
        <f t="shared" si="108"/>
        <v>-149</v>
      </c>
      <c r="F602" s="3" t="str">
        <f t="shared" si="109"/>
        <v>개봉전</v>
      </c>
      <c r="G602" s="3" t="str">
        <f t="shared" si="110"/>
        <v>월</v>
      </c>
      <c r="H602" s="3">
        <f t="shared" si="111"/>
        <v>0</v>
      </c>
      <c r="I602" s="3"/>
      <c r="J602" s="3"/>
      <c r="K602" s="3"/>
      <c r="L602" s="12" t="str">
        <f t="shared" si="112"/>
        <v/>
      </c>
      <c r="M602" s="12" t="str">
        <f t="shared" si="113"/>
        <v/>
      </c>
      <c r="N602" s="11" t="str">
        <f t="shared" si="115"/>
        <v/>
      </c>
      <c r="O602" s="11" t="str">
        <f t="shared" si="117"/>
        <v/>
      </c>
      <c r="P602" s="11" t="str">
        <f t="shared" si="118"/>
        <v/>
      </c>
      <c r="Q602" s="7"/>
      <c r="R602" s="7"/>
      <c r="S602" s="7"/>
      <c r="T602" s="7"/>
      <c r="U602" s="7"/>
      <c r="V602" s="7"/>
      <c r="W602" s="7"/>
      <c r="X602" s="3"/>
      <c r="Y602" s="3"/>
      <c r="Z602" s="9">
        <v>0.39222000000000001</v>
      </c>
      <c r="AA602" s="12">
        <f t="shared" si="114"/>
        <v>6.6916925085686252E-2</v>
      </c>
      <c r="AB602" s="9">
        <f t="shared" si="116"/>
        <v>0.31457000000000007</v>
      </c>
      <c r="AC602" s="9">
        <f t="shared" si="119"/>
        <v>0.31381357142857141</v>
      </c>
      <c r="AD602" s="9">
        <f t="shared" si="120"/>
        <v>1.0024104393190683</v>
      </c>
      <c r="AE602" s="3" t="s">
        <v>80</v>
      </c>
      <c r="AF602" s="11" t="str">
        <f t="shared" si="121"/>
        <v/>
      </c>
      <c r="AG602" s="11" t="str">
        <f t="shared" si="122"/>
        <v/>
      </c>
      <c r="AH602" s="11">
        <f t="shared" si="123"/>
        <v>1.2498503433567247</v>
      </c>
      <c r="AI602" s="3" t="s">
        <v>45</v>
      </c>
      <c r="AJ602" s="3" t="s">
        <v>79</v>
      </c>
      <c r="AK602" s="3" t="s">
        <v>46</v>
      </c>
      <c r="AL602" s="3" t="s">
        <v>81</v>
      </c>
      <c r="AM602" s="3" t="s">
        <v>82</v>
      </c>
    </row>
    <row r="603" spans="1:39" ht="21" customHeight="1">
      <c r="A603" s="4">
        <v>43011</v>
      </c>
      <c r="B603" s="3" t="s">
        <v>78</v>
      </c>
      <c r="C603" s="3" t="s">
        <v>79</v>
      </c>
      <c r="D603" s="4">
        <v>43159</v>
      </c>
      <c r="E603" s="3">
        <f t="shared" si="108"/>
        <v>-148</v>
      </c>
      <c r="F603" s="3" t="str">
        <f t="shared" si="109"/>
        <v>개봉전</v>
      </c>
      <c r="G603" s="3" t="str">
        <f t="shared" si="110"/>
        <v>화</v>
      </c>
      <c r="H603" s="3">
        <f t="shared" si="111"/>
        <v>0</v>
      </c>
      <c r="I603" s="3"/>
      <c r="J603" s="3"/>
      <c r="K603" s="3"/>
      <c r="L603" s="12" t="str">
        <f t="shared" si="112"/>
        <v/>
      </c>
      <c r="M603" s="12" t="str">
        <f t="shared" si="113"/>
        <v/>
      </c>
      <c r="N603" s="11" t="str">
        <f t="shared" si="115"/>
        <v/>
      </c>
      <c r="O603" s="11" t="str">
        <f t="shared" si="117"/>
        <v/>
      </c>
      <c r="P603" s="11" t="str">
        <f t="shared" si="118"/>
        <v/>
      </c>
      <c r="Q603" s="7"/>
      <c r="R603" s="7"/>
      <c r="S603" s="7"/>
      <c r="T603" s="7"/>
      <c r="U603" s="7"/>
      <c r="V603" s="7"/>
      <c r="W603" s="7"/>
      <c r="X603" s="3"/>
      <c r="Y603" s="3"/>
      <c r="Z603" s="9">
        <v>0.33837</v>
      </c>
      <c r="AA603" s="12">
        <f t="shared" si="114"/>
        <v>-0.13729539544133396</v>
      </c>
      <c r="AB603" s="9">
        <f t="shared" si="116"/>
        <v>0.32256000000000001</v>
      </c>
      <c r="AC603" s="9">
        <f t="shared" si="119"/>
        <v>0.31940035714285714</v>
      </c>
      <c r="AD603" s="9">
        <f t="shared" si="120"/>
        <v>1.009892421177631</v>
      </c>
      <c r="AE603" s="3" t="s">
        <v>80</v>
      </c>
      <c r="AF603" s="11" t="str">
        <f t="shared" si="121"/>
        <v/>
      </c>
      <c r="AG603" s="11" t="str">
        <f t="shared" si="122"/>
        <v/>
      </c>
      <c r="AH603" s="11">
        <f t="shared" si="123"/>
        <v>1.0593914265683126</v>
      </c>
      <c r="AI603" s="3" t="s">
        <v>45</v>
      </c>
      <c r="AJ603" s="3" t="s">
        <v>79</v>
      </c>
      <c r="AK603" s="3" t="s">
        <v>46</v>
      </c>
      <c r="AL603" s="3" t="s">
        <v>81</v>
      </c>
      <c r="AM603" s="3" t="s">
        <v>82</v>
      </c>
    </row>
    <row r="604" spans="1:39" ht="21" customHeight="1">
      <c r="A604" s="4">
        <v>43012</v>
      </c>
      <c r="B604" s="3" t="s">
        <v>78</v>
      </c>
      <c r="C604" s="3" t="s">
        <v>79</v>
      </c>
      <c r="D604" s="4">
        <v>43159</v>
      </c>
      <c r="E604" s="3">
        <f t="shared" si="108"/>
        <v>-147</v>
      </c>
      <c r="F604" s="3" t="str">
        <f t="shared" si="109"/>
        <v>개봉전</v>
      </c>
      <c r="G604" s="3" t="str">
        <f t="shared" si="110"/>
        <v>수</v>
      </c>
      <c r="H604" s="3">
        <f t="shared" si="111"/>
        <v>0</v>
      </c>
      <c r="I604" s="3"/>
      <c r="J604" s="3"/>
      <c r="K604" s="3"/>
      <c r="L604" s="12" t="str">
        <f t="shared" si="112"/>
        <v/>
      </c>
      <c r="M604" s="12" t="str">
        <f t="shared" si="113"/>
        <v/>
      </c>
      <c r="N604" s="11" t="str">
        <f t="shared" si="115"/>
        <v/>
      </c>
      <c r="O604" s="11" t="str">
        <f t="shared" si="117"/>
        <v/>
      </c>
      <c r="P604" s="11" t="str">
        <f t="shared" si="118"/>
        <v/>
      </c>
      <c r="Q604" s="7"/>
      <c r="R604" s="7"/>
      <c r="S604" s="7"/>
      <c r="T604" s="7"/>
      <c r="U604" s="7"/>
      <c r="V604" s="7"/>
      <c r="W604" s="7"/>
      <c r="X604" s="3"/>
      <c r="Y604" s="3"/>
      <c r="Z604" s="9">
        <v>1.0601499999999999</v>
      </c>
      <c r="AA604" s="12">
        <f t="shared" si="114"/>
        <v>2.13310872713302</v>
      </c>
      <c r="AB604" s="9">
        <f t="shared" si="116"/>
        <v>0.43183714285714281</v>
      </c>
      <c r="AC604" s="9">
        <f t="shared" si="119"/>
        <v>0.3228982142857143</v>
      </c>
      <c r="AD604" s="9">
        <f t="shared" si="120"/>
        <v>1.3373785414466077</v>
      </c>
      <c r="AE604" s="3" t="s">
        <v>80</v>
      </c>
      <c r="AF604" s="11" t="str">
        <f t="shared" si="121"/>
        <v/>
      </c>
      <c r="AG604" s="11" t="str">
        <f t="shared" si="122"/>
        <v/>
      </c>
      <c r="AH604" s="11">
        <f t="shared" si="123"/>
        <v>3.2832327745917276</v>
      </c>
      <c r="AI604" s="3" t="s">
        <v>45</v>
      </c>
      <c r="AJ604" s="3" t="s">
        <v>79</v>
      </c>
      <c r="AK604" s="3" t="s">
        <v>46</v>
      </c>
      <c r="AL604" s="3" t="s">
        <v>81</v>
      </c>
      <c r="AM604" s="3" t="s">
        <v>82</v>
      </c>
    </row>
    <row r="605" spans="1:39" ht="21" customHeight="1">
      <c r="A605" s="4">
        <v>43013</v>
      </c>
      <c r="B605" s="3" t="s">
        <v>78</v>
      </c>
      <c r="C605" s="3" t="s">
        <v>79</v>
      </c>
      <c r="D605" s="4">
        <v>43159</v>
      </c>
      <c r="E605" s="3">
        <f t="shared" si="108"/>
        <v>-146</v>
      </c>
      <c r="F605" s="3" t="str">
        <f t="shared" si="109"/>
        <v>개봉전</v>
      </c>
      <c r="G605" s="3" t="str">
        <f t="shared" si="110"/>
        <v>목</v>
      </c>
      <c r="H605" s="3">
        <f t="shared" si="111"/>
        <v>0</v>
      </c>
      <c r="I605" s="3"/>
      <c r="J605" s="3"/>
      <c r="K605" s="3"/>
      <c r="L605" s="12" t="str">
        <f t="shared" si="112"/>
        <v/>
      </c>
      <c r="M605" s="12" t="str">
        <f t="shared" si="113"/>
        <v/>
      </c>
      <c r="N605" s="11" t="str">
        <f t="shared" si="115"/>
        <v/>
      </c>
      <c r="O605" s="11" t="str">
        <f t="shared" si="117"/>
        <v/>
      </c>
      <c r="P605" s="11" t="str">
        <f t="shared" si="118"/>
        <v/>
      </c>
      <c r="Q605" s="7"/>
      <c r="R605" s="7"/>
      <c r="S605" s="7"/>
      <c r="T605" s="7"/>
      <c r="U605" s="7"/>
      <c r="V605" s="7"/>
      <c r="W605" s="7"/>
      <c r="X605" s="3"/>
      <c r="Y605" s="3"/>
      <c r="Z605" s="9">
        <v>0.53564000000000001</v>
      </c>
      <c r="AA605" s="12">
        <f t="shared" si="114"/>
        <v>-0.49475074281941234</v>
      </c>
      <c r="AB605" s="9">
        <f t="shared" si="116"/>
        <v>0.46979857142857145</v>
      </c>
      <c r="AC605" s="9">
        <f t="shared" si="119"/>
        <v>0.35008499999999998</v>
      </c>
      <c r="AD605" s="9">
        <f t="shared" si="120"/>
        <v>1.3419557291188469</v>
      </c>
      <c r="AE605" s="3" t="s">
        <v>80</v>
      </c>
      <c r="AF605" s="11" t="str">
        <f t="shared" si="121"/>
        <v/>
      </c>
      <c r="AG605" s="11" t="str">
        <f t="shared" si="122"/>
        <v/>
      </c>
      <c r="AH605" s="11">
        <f t="shared" si="123"/>
        <v>1.5300284216690234</v>
      </c>
      <c r="AI605" s="3" t="s">
        <v>45</v>
      </c>
      <c r="AJ605" s="3" t="s">
        <v>79</v>
      </c>
      <c r="AK605" s="3" t="s">
        <v>46</v>
      </c>
      <c r="AL605" s="3" t="s">
        <v>81</v>
      </c>
      <c r="AM605" s="3" t="s">
        <v>82</v>
      </c>
    </row>
    <row r="606" spans="1:39" ht="21" customHeight="1">
      <c r="A606" s="4">
        <v>43014</v>
      </c>
      <c r="B606" s="3" t="s">
        <v>78</v>
      </c>
      <c r="C606" s="3" t="s">
        <v>79</v>
      </c>
      <c r="D606" s="4">
        <v>43159</v>
      </c>
      <c r="E606" s="3">
        <f t="shared" si="108"/>
        <v>-145</v>
      </c>
      <c r="F606" s="3" t="str">
        <f t="shared" si="109"/>
        <v>개봉전</v>
      </c>
      <c r="G606" s="3" t="str">
        <f t="shared" si="110"/>
        <v>금</v>
      </c>
      <c r="H606" s="3">
        <f t="shared" si="111"/>
        <v>0</v>
      </c>
      <c r="I606" s="3"/>
      <c r="J606" s="3"/>
      <c r="K606" s="3"/>
      <c r="L606" s="12" t="str">
        <f t="shared" si="112"/>
        <v/>
      </c>
      <c r="M606" s="12" t="str">
        <f t="shared" si="113"/>
        <v/>
      </c>
      <c r="N606" s="11" t="str">
        <f t="shared" si="115"/>
        <v/>
      </c>
      <c r="O606" s="11" t="str">
        <f t="shared" si="117"/>
        <v/>
      </c>
      <c r="P606" s="11" t="str">
        <f t="shared" si="118"/>
        <v/>
      </c>
      <c r="Q606" s="7"/>
      <c r="R606" s="7"/>
      <c r="S606" s="7"/>
      <c r="T606" s="7"/>
      <c r="U606" s="7"/>
      <c r="V606" s="7"/>
      <c r="W606" s="7"/>
      <c r="X606" s="3"/>
      <c r="Y606" s="3"/>
      <c r="Z606" s="9">
        <v>0.68998000000000004</v>
      </c>
      <c r="AA606" s="12">
        <f t="shared" si="114"/>
        <v>0.28814128892539781</v>
      </c>
      <c r="AB606" s="9">
        <f t="shared" si="116"/>
        <v>0.52579714285714285</v>
      </c>
      <c r="AC606" s="9">
        <f t="shared" si="119"/>
        <v>0.35589535714285708</v>
      </c>
      <c r="AD606" s="9">
        <f t="shared" si="120"/>
        <v>1.4773925321146768</v>
      </c>
      <c r="AE606" s="3" t="s">
        <v>80</v>
      </c>
      <c r="AF606" s="11" t="str">
        <f t="shared" si="121"/>
        <v/>
      </c>
      <c r="AG606" s="11" t="str">
        <f t="shared" si="122"/>
        <v/>
      </c>
      <c r="AH606" s="11">
        <f t="shared" si="123"/>
        <v>1.9387159347601175</v>
      </c>
      <c r="AI606" s="3" t="s">
        <v>45</v>
      </c>
      <c r="AJ606" s="3" t="s">
        <v>79</v>
      </c>
      <c r="AK606" s="3" t="s">
        <v>46</v>
      </c>
      <c r="AL606" s="3" t="s">
        <v>81</v>
      </c>
      <c r="AM606" s="3" t="s">
        <v>82</v>
      </c>
    </row>
    <row r="607" spans="1:39" ht="21" customHeight="1">
      <c r="A607" s="4">
        <v>43015</v>
      </c>
      <c r="B607" s="3" t="s">
        <v>78</v>
      </c>
      <c r="C607" s="3" t="s">
        <v>79</v>
      </c>
      <c r="D607" s="4">
        <v>43159</v>
      </c>
      <c r="E607" s="3">
        <f t="shared" si="108"/>
        <v>-144</v>
      </c>
      <c r="F607" s="3" t="str">
        <f t="shared" si="109"/>
        <v>개봉전</v>
      </c>
      <c r="G607" s="3" t="str">
        <f t="shared" si="110"/>
        <v>토</v>
      </c>
      <c r="H607" s="3">
        <f t="shared" si="111"/>
        <v>1</v>
      </c>
      <c r="I607" s="3"/>
      <c r="J607" s="3"/>
      <c r="K607" s="3"/>
      <c r="L607" s="12" t="str">
        <f t="shared" si="112"/>
        <v/>
      </c>
      <c r="M607" s="12" t="str">
        <f t="shared" si="113"/>
        <v/>
      </c>
      <c r="N607" s="11" t="str">
        <f t="shared" si="115"/>
        <v/>
      </c>
      <c r="O607" s="11" t="str">
        <f t="shared" si="117"/>
        <v/>
      </c>
      <c r="P607" s="11" t="str">
        <f t="shared" si="118"/>
        <v/>
      </c>
      <c r="Q607" s="7"/>
      <c r="R607" s="7"/>
      <c r="S607" s="7"/>
      <c r="T607" s="7"/>
      <c r="U607" s="7"/>
      <c r="V607" s="7"/>
      <c r="W607" s="7"/>
      <c r="X607" s="3"/>
      <c r="Y607" s="3"/>
      <c r="Z607" s="9">
        <v>0.37086000000000002</v>
      </c>
      <c r="AA607" s="12">
        <f t="shared" si="114"/>
        <v>-0.4625061595988289</v>
      </c>
      <c r="AB607" s="9">
        <f t="shared" si="116"/>
        <v>0.53640571428571426</v>
      </c>
      <c r="AC607" s="9">
        <f t="shared" si="119"/>
        <v>0.36083535714285719</v>
      </c>
      <c r="AD607" s="9">
        <f t="shared" si="120"/>
        <v>1.4865663900928299</v>
      </c>
      <c r="AE607" s="3" t="s">
        <v>80</v>
      </c>
      <c r="AF607" s="11" t="str">
        <f t="shared" si="121"/>
        <v/>
      </c>
      <c r="AG607" s="11" t="str">
        <f t="shared" si="122"/>
        <v/>
      </c>
      <c r="AH607" s="11">
        <f t="shared" si="123"/>
        <v>1.0277817643385041</v>
      </c>
      <c r="AI607" s="3" t="s">
        <v>45</v>
      </c>
      <c r="AJ607" s="3" t="s">
        <v>79</v>
      </c>
      <c r="AK607" s="3" t="s">
        <v>46</v>
      </c>
      <c r="AL607" s="3" t="s">
        <v>81</v>
      </c>
      <c r="AM607" s="3" t="s">
        <v>82</v>
      </c>
    </row>
    <row r="608" spans="1:39" ht="21" customHeight="1">
      <c r="A608" s="4">
        <v>43016</v>
      </c>
      <c r="B608" s="3" t="s">
        <v>78</v>
      </c>
      <c r="C608" s="3" t="s">
        <v>79</v>
      </c>
      <c r="D608" s="4">
        <v>43159</v>
      </c>
      <c r="E608" s="3">
        <f t="shared" si="108"/>
        <v>-143</v>
      </c>
      <c r="F608" s="3" t="str">
        <f t="shared" si="109"/>
        <v>개봉전</v>
      </c>
      <c r="G608" s="3" t="str">
        <f t="shared" si="110"/>
        <v>일</v>
      </c>
      <c r="H608" s="3">
        <f t="shared" si="111"/>
        <v>1</v>
      </c>
      <c r="I608" s="3"/>
      <c r="J608" s="3"/>
      <c r="K608" s="3"/>
      <c r="L608" s="12" t="str">
        <f t="shared" si="112"/>
        <v/>
      </c>
      <c r="M608" s="12" t="str">
        <f t="shared" si="113"/>
        <v/>
      </c>
      <c r="N608" s="11" t="str">
        <f t="shared" si="115"/>
        <v/>
      </c>
      <c r="O608" s="11" t="str">
        <f t="shared" si="117"/>
        <v/>
      </c>
      <c r="P608" s="11" t="str">
        <f t="shared" si="118"/>
        <v/>
      </c>
      <c r="Q608" s="7"/>
      <c r="R608" s="7"/>
      <c r="S608" s="7"/>
      <c r="T608" s="7"/>
      <c r="U608" s="7"/>
      <c r="V608" s="7"/>
      <c r="W608" s="7"/>
      <c r="X608" s="3"/>
      <c r="Y608" s="3"/>
      <c r="Z608" s="9">
        <v>0.34766000000000002</v>
      </c>
      <c r="AA608" s="12">
        <f t="shared" si="114"/>
        <v>-6.2557299250390996E-2</v>
      </c>
      <c r="AB608" s="9">
        <f t="shared" si="116"/>
        <v>0.53355428571428565</v>
      </c>
      <c r="AC608" s="9">
        <f t="shared" si="119"/>
        <v>0.36275821428571436</v>
      </c>
      <c r="AD608" s="9">
        <f t="shared" si="120"/>
        <v>1.4708261996627028</v>
      </c>
      <c r="AE608" s="3" t="s">
        <v>80</v>
      </c>
      <c r="AF608" s="11" t="str">
        <f t="shared" si="121"/>
        <v/>
      </c>
      <c r="AG608" s="11" t="str">
        <f t="shared" si="122"/>
        <v/>
      </c>
      <c r="AH608" s="11">
        <f t="shared" si="123"/>
        <v>0.95837940068306016</v>
      </c>
      <c r="AI608" s="3" t="s">
        <v>45</v>
      </c>
      <c r="AJ608" s="3" t="s">
        <v>79</v>
      </c>
      <c r="AK608" s="3" t="s">
        <v>46</v>
      </c>
      <c r="AL608" s="3" t="s">
        <v>81</v>
      </c>
      <c r="AM608" s="3" t="s">
        <v>82</v>
      </c>
    </row>
    <row r="609" spans="1:39" ht="21" customHeight="1">
      <c r="A609" s="4">
        <v>43017</v>
      </c>
      <c r="B609" s="3" t="s">
        <v>78</v>
      </c>
      <c r="C609" s="3" t="s">
        <v>79</v>
      </c>
      <c r="D609" s="4">
        <v>43159</v>
      </c>
      <c r="E609" s="3">
        <f t="shared" si="108"/>
        <v>-142</v>
      </c>
      <c r="F609" s="3" t="str">
        <f t="shared" si="109"/>
        <v>개봉전</v>
      </c>
      <c r="G609" s="3" t="str">
        <f t="shared" si="110"/>
        <v>월</v>
      </c>
      <c r="H609" s="3">
        <f t="shared" si="111"/>
        <v>0</v>
      </c>
      <c r="I609" s="3"/>
      <c r="J609" s="3"/>
      <c r="K609" s="3"/>
      <c r="L609" s="12" t="str">
        <f t="shared" si="112"/>
        <v/>
      </c>
      <c r="M609" s="12" t="str">
        <f t="shared" si="113"/>
        <v/>
      </c>
      <c r="N609" s="11" t="str">
        <f t="shared" si="115"/>
        <v/>
      </c>
      <c r="O609" s="11" t="str">
        <f t="shared" si="117"/>
        <v/>
      </c>
      <c r="P609" s="11" t="str">
        <f t="shared" si="118"/>
        <v/>
      </c>
      <c r="Q609" s="7"/>
      <c r="R609" s="7"/>
      <c r="S609" s="7"/>
      <c r="T609" s="7"/>
      <c r="U609" s="7"/>
      <c r="V609" s="7"/>
      <c r="W609" s="7"/>
      <c r="X609" s="3"/>
      <c r="Y609" s="3"/>
      <c r="Z609" s="9">
        <v>0.50570999999999999</v>
      </c>
      <c r="AA609" s="12">
        <f t="shared" si="114"/>
        <v>0.45461082666973462</v>
      </c>
      <c r="AB609" s="9">
        <f t="shared" si="116"/>
        <v>0.54976714285714279</v>
      </c>
      <c r="AC609" s="9">
        <f t="shared" si="119"/>
        <v>0.3612414285714286</v>
      </c>
      <c r="AD609" s="9">
        <f t="shared" si="120"/>
        <v>1.5218828721591018</v>
      </c>
      <c r="AE609" s="3" t="s">
        <v>80</v>
      </c>
      <c r="AF609" s="11" t="str">
        <f t="shared" si="121"/>
        <v/>
      </c>
      <c r="AG609" s="11" t="str">
        <f t="shared" si="122"/>
        <v/>
      </c>
      <c r="AH609" s="11">
        <f t="shared" si="123"/>
        <v>1.3999224895103788</v>
      </c>
      <c r="AI609" s="3" t="s">
        <v>45</v>
      </c>
      <c r="AJ609" s="3" t="s">
        <v>79</v>
      </c>
      <c r="AK609" s="3" t="s">
        <v>46</v>
      </c>
      <c r="AL609" s="3" t="s">
        <v>81</v>
      </c>
      <c r="AM609" s="3" t="s">
        <v>82</v>
      </c>
    </row>
    <row r="610" spans="1:39" ht="21" customHeight="1">
      <c r="A610" s="4">
        <v>43018</v>
      </c>
      <c r="B610" s="3" t="s">
        <v>78</v>
      </c>
      <c r="C610" s="3" t="s">
        <v>79</v>
      </c>
      <c r="D610" s="4">
        <v>43159</v>
      </c>
      <c r="E610" s="3">
        <f t="shared" si="108"/>
        <v>-141</v>
      </c>
      <c r="F610" s="3" t="str">
        <f t="shared" si="109"/>
        <v>개봉전</v>
      </c>
      <c r="G610" s="3" t="str">
        <f t="shared" si="110"/>
        <v>화</v>
      </c>
      <c r="H610" s="3">
        <f t="shared" si="111"/>
        <v>0</v>
      </c>
      <c r="I610" s="3"/>
      <c r="J610" s="3"/>
      <c r="K610" s="3"/>
      <c r="L610" s="12" t="str">
        <f t="shared" si="112"/>
        <v/>
      </c>
      <c r="M610" s="12" t="str">
        <f t="shared" si="113"/>
        <v/>
      </c>
      <c r="N610" s="11" t="str">
        <f t="shared" si="115"/>
        <v/>
      </c>
      <c r="O610" s="11" t="str">
        <f t="shared" si="117"/>
        <v/>
      </c>
      <c r="P610" s="11" t="str">
        <f t="shared" si="118"/>
        <v/>
      </c>
      <c r="Q610" s="7"/>
      <c r="R610" s="7"/>
      <c r="S610" s="7"/>
      <c r="T610" s="7"/>
      <c r="U610" s="7"/>
      <c r="V610" s="7"/>
      <c r="W610" s="7"/>
      <c r="X610" s="3"/>
      <c r="Y610" s="3"/>
      <c r="Z610" s="9">
        <v>0.34394000000000002</v>
      </c>
      <c r="AA610" s="12">
        <f t="shared" si="114"/>
        <v>-0.31988689169682227</v>
      </c>
      <c r="AB610" s="9">
        <f t="shared" si="116"/>
        <v>0.55056285714285713</v>
      </c>
      <c r="AC610" s="9">
        <f t="shared" si="119"/>
        <v>0.3663475000000001</v>
      </c>
      <c r="AD610" s="9">
        <f t="shared" si="120"/>
        <v>1.502843221648454</v>
      </c>
      <c r="AE610" s="3" t="s">
        <v>80</v>
      </c>
      <c r="AF610" s="11" t="str">
        <f t="shared" si="121"/>
        <v/>
      </c>
      <c r="AG610" s="11" t="str">
        <f t="shared" si="122"/>
        <v/>
      </c>
      <c r="AH610" s="11">
        <f t="shared" si="123"/>
        <v>0.93883539535550242</v>
      </c>
      <c r="AI610" s="3" t="s">
        <v>45</v>
      </c>
      <c r="AJ610" s="3" t="s">
        <v>79</v>
      </c>
      <c r="AK610" s="3" t="s">
        <v>46</v>
      </c>
      <c r="AL610" s="3" t="s">
        <v>81</v>
      </c>
      <c r="AM610" s="3" t="s">
        <v>82</v>
      </c>
    </row>
    <row r="611" spans="1:39" ht="21" customHeight="1">
      <c r="A611" s="4">
        <v>43019</v>
      </c>
      <c r="B611" s="3" t="s">
        <v>78</v>
      </c>
      <c r="C611" s="3" t="s">
        <v>79</v>
      </c>
      <c r="D611" s="4">
        <v>43159</v>
      </c>
      <c r="E611" s="3">
        <f t="shared" si="108"/>
        <v>-140</v>
      </c>
      <c r="F611" s="3" t="str">
        <f t="shared" si="109"/>
        <v>개봉전</v>
      </c>
      <c r="G611" s="3" t="str">
        <f t="shared" si="110"/>
        <v>수</v>
      </c>
      <c r="H611" s="3">
        <f t="shared" si="111"/>
        <v>0</v>
      </c>
      <c r="I611" s="3"/>
      <c r="J611" s="3"/>
      <c r="K611" s="3"/>
      <c r="L611" s="12" t="str">
        <f t="shared" si="112"/>
        <v/>
      </c>
      <c r="M611" s="12" t="str">
        <f t="shared" si="113"/>
        <v/>
      </c>
      <c r="N611" s="11" t="str">
        <f t="shared" si="115"/>
        <v/>
      </c>
      <c r="O611" s="11" t="str">
        <f t="shared" si="117"/>
        <v/>
      </c>
      <c r="P611" s="11" t="str">
        <f t="shared" si="118"/>
        <v/>
      </c>
      <c r="Q611" s="7"/>
      <c r="R611" s="7"/>
      <c r="S611" s="7"/>
      <c r="T611" s="7"/>
      <c r="U611" s="7"/>
      <c r="V611" s="7"/>
      <c r="W611" s="7"/>
      <c r="X611" s="3"/>
      <c r="Y611" s="3"/>
      <c r="Z611" s="9">
        <v>0.34510000000000002</v>
      </c>
      <c r="AA611" s="12">
        <f t="shared" si="114"/>
        <v>3.3726812816188279E-3</v>
      </c>
      <c r="AB611" s="9">
        <f t="shared" si="116"/>
        <v>0.44841285714285711</v>
      </c>
      <c r="AC611" s="9">
        <f t="shared" si="119"/>
        <v>0.36832000000000009</v>
      </c>
      <c r="AD611" s="9">
        <f t="shared" si="120"/>
        <v>1.2174545426337342</v>
      </c>
      <c r="AE611" s="3" t="s">
        <v>80</v>
      </c>
      <c r="AF611" s="11" t="str">
        <f t="shared" si="121"/>
        <v/>
      </c>
      <c r="AG611" s="11" t="str">
        <f t="shared" si="122"/>
        <v/>
      </c>
      <c r="AH611" s="11">
        <f t="shared" si="123"/>
        <v>0.93695699391833165</v>
      </c>
      <c r="AI611" s="3" t="s">
        <v>45</v>
      </c>
      <c r="AJ611" s="3" t="s">
        <v>79</v>
      </c>
      <c r="AK611" s="3" t="s">
        <v>46</v>
      </c>
      <c r="AL611" s="3" t="s">
        <v>81</v>
      </c>
      <c r="AM611" s="3" t="s">
        <v>82</v>
      </c>
    </row>
    <row r="612" spans="1:39" ht="21" customHeight="1">
      <c r="A612" s="4">
        <v>43020</v>
      </c>
      <c r="B612" s="3" t="s">
        <v>78</v>
      </c>
      <c r="C612" s="3" t="s">
        <v>79</v>
      </c>
      <c r="D612" s="4">
        <v>43159</v>
      </c>
      <c r="E612" s="3">
        <f t="shared" si="108"/>
        <v>-139</v>
      </c>
      <c r="F612" s="3" t="str">
        <f t="shared" si="109"/>
        <v>개봉전</v>
      </c>
      <c r="G612" s="3" t="str">
        <f t="shared" si="110"/>
        <v>목</v>
      </c>
      <c r="H612" s="3">
        <f t="shared" si="111"/>
        <v>0</v>
      </c>
      <c r="I612" s="3"/>
      <c r="J612" s="3"/>
      <c r="K612" s="3"/>
      <c r="L612" s="12" t="str">
        <f t="shared" si="112"/>
        <v/>
      </c>
      <c r="M612" s="12" t="str">
        <f t="shared" si="113"/>
        <v/>
      </c>
      <c r="N612" s="11" t="str">
        <f t="shared" si="115"/>
        <v/>
      </c>
      <c r="O612" s="11" t="str">
        <f t="shared" si="117"/>
        <v/>
      </c>
      <c r="P612" s="11" t="str">
        <f t="shared" si="118"/>
        <v/>
      </c>
      <c r="Q612" s="7"/>
      <c r="R612" s="7"/>
      <c r="S612" s="7"/>
      <c r="T612" s="7"/>
      <c r="U612" s="7"/>
      <c r="V612" s="7"/>
      <c r="W612" s="7"/>
      <c r="X612" s="3"/>
      <c r="Y612" s="3"/>
      <c r="Z612" s="9">
        <v>0.26411000000000001</v>
      </c>
      <c r="AA612" s="12">
        <f t="shared" si="114"/>
        <v>-0.23468559837728198</v>
      </c>
      <c r="AB612" s="9">
        <f t="shared" si="116"/>
        <v>0.40962285714285718</v>
      </c>
      <c r="AC612" s="9">
        <f t="shared" si="119"/>
        <v>0.36994428571428573</v>
      </c>
      <c r="AD612" s="9">
        <f t="shared" si="120"/>
        <v>1.1072555326863891</v>
      </c>
      <c r="AE612" s="3" t="s">
        <v>80</v>
      </c>
      <c r="AF612" s="11" t="str">
        <f t="shared" si="121"/>
        <v/>
      </c>
      <c r="AG612" s="11" t="str">
        <f t="shared" si="122"/>
        <v/>
      </c>
      <c r="AH612" s="11">
        <f t="shared" si="123"/>
        <v>0.71391831202381828</v>
      </c>
      <c r="AI612" s="3" t="s">
        <v>45</v>
      </c>
      <c r="AJ612" s="3" t="s">
        <v>79</v>
      </c>
      <c r="AK612" s="3" t="s">
        <v>46</v>
      </c>
      <c r="AL612" s="3" t="s">
        <v>81</v>
      </c>
      <c r="AM612" s="3" t="s">
        <v>82</v>
      </c>
    </row>
    <row r="613" spans="1:39" ht="21" customHeight="1">
      <c r="A613" s="4">
        <v>43021</v>
      </c>
      <c r="B613" s="3" t="s">
        <v>78</v>
      </c>
      <c r="C613" s="3" t="s">
        <v>79</v>
      </c>
      <c r="D613" s="4">
        <v>43159</v>
      </c>
      <c r="E613" s="3">
        <f t="shared" si="108"/>
        <v>-138</v>
      </c>
      <c r="F613" s="3" t="str">
        <f t="shared" si="109"/>
        <v>개봉전</v>
      </c>
      <c r="G613" s="3" t="str">
        <f t="shared" si="110"/>
        <v>금</v>
      </c>
      <c r="H613" s="3">
        <f t="shared" si="111"/>
        <v>0</v>
      </c>
      <c r="I613" s="3"/>
      <c r="J613" s="3"/>
      <c r="K613" s="3"/>
      <c r="L613" s="12" t="str">
        <f t="shared" si="112"/>
        <v/>
      </c>
      <c r="M613" s="12" t="str">
        <f t="shared" si="113"/>
        <v/>
      </c>
      <c r="N613" s="11" t="str">
        <f t="shared" si="115"/>
        <v/>
      </c>
      <c r="O613" s="11" t="str">
        <f t="shared" si="117"/>
        <v/>
      </c>
      <c r="P613" s="11" t="str">
        <f t="shared" si="118"/>
        <v/>
      </c>
      <c r="Q613" s="7"/>
      <c r="R613" s="7"/>
      <c r="S613" s="7"/>
      <c r="T613" s="7"/>
      <c r="U613" s="7"/>
      <c r="V613" s="7"/>
      <c r="W613" s="7"/>
      <c r="X613" s="3"/>
      <c r="Y613" s="3"/>
      <c r="Z613" s="9">
        <v>0.24390999999999999</v>
      </c>
      <c r="AA613" s="12">
        <f t="shared" si="114"/>
        <v>-7.6483283480368147E-2</v>
      </c>
      <c r="AB613" s="9">
        <f t="shared" si="116"/>
        <v>0.34589857142857144</v>
      </c>
      <c r="AC613" s="9">
        <f t="shared" si="119"/>
        <v>0.36864321428571428</v>
      </c>
      <c r="AD613" s="9">
        <f t="shared" si="120"/>
        <v>0.93830174549336809</v>
      </c>
      <c r="AE613" s="3" t="s">
        <v>80</v>
      </c>
      <c r="AF613" s="11" t="str">
        <f t="shared" si="121"/>
        <v/>
      </c>
      <c r="AG613" s="11" t="str">
        <f t="shared" si="122"/>
        <v/>
      </c>
      <c r="AH613" s="11">
        <f t="shared" si="123"/>
        <v>0.66164245142176759</v>
      </c>
      <c r="AI613" s="3" t="s">
        <v>45</v>
      </c>
      <c r="AJ613" s="3" t="s">
        <v>79</v>
      </c>
      <c r="AK613" s="3" t="s">
        <v>46</v>
      </c>
      <c r="AL613" s="3" t="s">
        <v>81</v>
      </c>
      <c r="AM613" s="3" t="s">
        <v>82</v>
      </c>
    </row>
    <row r="614" spans="1:39" ht="21" customHeight="1">
      <c r="A614" s="4">
        <v>43022</v>
      </c>
      <c r="B614" s="3" t="s">
        <v>78</v>
      </c>
      <c r="C614" s="3" t="s">
        <v>79</v>
      </c>
      <c r="D614" s="4">
        <v>43159</v>
      </c>
      <c r="E614" s="3">
        <f t="shared" si="108"/>
        <v>-137</v>
      </c>
      <c r="F614" s="3" t="str">
        <f t="shared" si="109"/>
        <v>개봉전</v>
      </c>
      <c r="G614" s="3" t="str">
        <f t="shared" si="110"/>
        <v>토</v>
      </c>
      <c r="H614" s="3">
        <f t="shared" si="111"/>
        <v>1</v>
      </c>
      <c r="I614" s="3"/>
      <c r="J614" s="3"/>
      <c r="K614" s="3"/>
      <c r="L614" s="12" t="str">
        <f t="shared" si="112"/>
        <v/>
      </c>
      <c r="M614" s="12" t="str">
        <f t="shared" si="113"/>
        <v/>
      </c>
      <c r="N614" s="11" t="str">
        <f t="shared" si="115"/>
        <v/>
      </c>
      <c r="O614" s="11" t="str">
        <f t="shared" si="117"/>
        <v/>
      </c>
      <c r="P614" s="11" t="str">
        <f t="shared" si="118"/>
        <v/>
      </c>
      <c r="Q614" s="7"/>
      <c r="R614" s="7"/>
      <c r="S614" s="7"/>
      <c r="T614" s="7"/>
      <c r="U614" s="7"/>
      <c r="V614" s="7"/>
      <c r="W614" s="7"/>
      <c r="X614" s="3"/>
      <c r="Y614" s="3"/>
      <c r="Z614" s="9">
        <v>0.24321999999999999</v>
      </c>
      <c r="AA614" s="12">
        <f t="shared" si="114"/>
        <v>-2.8289123037186226E-3</v>
      </c>
      <c r="AB614" s="9">
        <f t="shared" si="116"/>
        <v>0.32766428571428569</v>
      </c>
      <c r="AC614" s="9">
        <f t="shared" si="119"/>
        <v>0.36739964285714288</v>
      </c>
      <c r="AD614" s="9">
        <f t="shared" si="120"/>
        <v>0.89184704472261123</v>
      </c>
      <c r="AE614" s="3" t="s">
        <v>80</v>
      </c>
      <c r="AF614" s="11" t="str">
        <f t="shared" si="121"/>
        <v/>
      </c>
      <c r="AG614" s="11" t="str">
        <f t="shared" si="122"/>
        <v/>
      </c>
      <c r="AH614" s="11">
        <f t="shared" si="123"/>
        <v>0.66200390971684198</v>
      </c>
      <c r="AI614" s="3" t="s">
        <v>45</v>
      </c>
      <c r="AJ614" s="3" t="s">
        <v>79</v>
      </c>
      <c r="AK614" s="3" t="s">
        <v>46</v>
      </c>
      <c r="AL614" s="3" t="s">
        <v>81</v>
      </c>
      <c r="AM614" s="3" t="s">
        <v>82</v>
      </c>
    </row>
    <row r="615" spans="1:39" ht="21" customHeight="1">
      <c r="A615" s="4">
        <v>43023</v>
      </c>
      <c r="B615" s="3" t="s">
        <v>78</v>
      </c>
      <c r="C615" s="3" t="s">
        <v>79</v>
      </c>
      <c r="D615" s="4">
        <v>43159</v>
      </c>
      <c r="E615" s="3">
        <f t="shared" si="108"/>
        <v>-136</v>
      </c>
      <c r="F615" s="3" t="str">
        <f t="shared" si="109"/>
        <v>개봉전</v>
      </c>
      <c r="G615" s="3" t="str">
        <f t="shared" si="110"/>
        <v>일</v>
      </c>
      <c r="H615" s="3">
        <f t="shared" si="111"/>
        <v>1</v>
      </c>
      <c r="I615" s="3"/>
      <c r="J615" s="3"/>
      <c r="K615" s="3"/>
      <c r="L615" s="12" t="str">
        <f t="shared" si="112"/>
        <v/>
      </c>
      <c r="M615" s="12" t="str">
        <f t="shared" si="113"/>
        <v/>
      </c>
      <c r="N615" s="11" t="str">
        <f t="shared" si="115"/>
        <v/>
      </c>
      <c r="O615" s="11" t="str">
        <f t="shared" si="117"/>
        <v/>
      </c>
      <c r="P615" s="11" t="str">
        <f t="shared" si="118"/>
        <v/>
      </c>
      <c r="Q615" s="7"/>
      <c r="R615" s="7"/>
      <c r="S615" s="7"/>
      <c r="T615" s="7"/>
      <c r="U615" s="7"/>
      <c r="V615" s="7"/>
      <c r="W615" s="7"/>
      <c r="X615" s="3"/>
      <c r="Y615" s="3"/>
      <c r="Z615" s="9">
        <v>0.32584000000000002</v>
      </c>
      <c r="AA615" s="12">
        <f t="shared" si="114"/>
        <v>0.33969245950168592</v>
      </c>
      <c r="AB615" s="9">
        <f t="shared" si="116"/>
        <v>0.32454714285714287</v>
      </c>
      <c r="AC615" s="9">
        <f t="shared" si="119"/>
        <v>0.36577500000000007</v>
      </c>
      <c r="AD615" s="9">
        <f t="shared" si="120"/>
        <v>0.8872862903619515</v>
      </c>
      <c r="AE615" s="3" t="s">
        <v>80</v>
      </c>
      <c r="AF615" s="11" t="str">
        <f t="shared" si="121"/>
        <v/>
      </c>
      <c r="AG615" s="11" t="str">
        <f t="shared" si="122"/>
        <v/>
      </c>
      <c r="AH615" s="11">
        <f t="shared" si="123"/>
        <v>0.89082085981819414</v>
      </c>
      <c r="AI615" s="3" t="s">
        <v>45</v>
      </c>
      <c r="AJ615" s="3" t="s">
        <v>79</v>
      </c>
      <c r="AK615" s="3" t="s">
        <v>46</v>
      </c>
      <c r="AL615" s="3" t="s">
        <v>81</v>
      </c>
      <c r="AM615" s="3" t="s">
        <v>82</v>
      </c>
    </row>
    <row r="616" spans="1:39" ht="21" customHeight="1">
      <c r="A616" s="4">
        <v>43024</v>
      </c>
      <c r="B616" s="3" t="s">
        <v>78</v>
      </c>
      <c r="C616" s="3" t="s">
        <v>79</v>
      </c>
      <c r="D616" s="4">
        <v>43159</v>
      </c>
      <c r="E616" s="3">
        <f t="shared" si="108"/>
        <v>-135</v>
      </c>
      <c r="F616" s="3" t="str">
        <f t="shared" si="109"/>
        <v>개봉전</v>
      </c>
      <c r="G616" s="3" t="str">
        <f t="shared" si="110"/>
        <v>월</v>
      </c>
      <c r="H616" s="3">
        <f t="shared" si="111"/>
        <v>0</v>
      </c>
      <c r="I616" s="3"/>
      <c r="J616" s="3"/>
      <c r="K616" s="3"/>
      <c r="L616" s="12" t="str">
        <f t="shared" si="112"/>
        <v/>
      </c>
      <c r="M616" s="12" t="str">
        <f t="shared" si="113"/>
        <v/>
      </c>
      <c r="N616" s="11" t="str">
        <f t="shared" si="115"/>
        <v/>
      </c>
      <c r="O616" s="11" t="str">
        <f t="shared" si="117"/>
        <v/>
      </c>
      <c r="P616" s="11" t="str">
        <f t="shared" si="118"/>
        <v/>
      </c>
      <c r="Q616" s="7"/>
      <c r="R616" s="7"/>
      <c r="S616" s="7"/>
      <c r="T616" s="7"/>
      <c r="U616" s="7"/>
      <c r="V616" s="7"/>
      <c r="W616" s="7"/>
      <c r="X616" s="3"/>
      <c r="Y616" s="3"/>
      <c r="Z616" s="9">
        <v>0.29821999999999999</v>
      </c>
      <c r="AA616" s="12">
        <f t="shared" si="114"/>
        <v>-8.4765529094034009E-2</v>
      </c>
      <c r="AB616" s="9">
        <f t="shared" si="116"/>
        <v>0.29490571428571438</v>
      </c>
      <c r="AC616" s="9">
        <f t="shared" si="119"/>
        <v>0.36695214285714289</v>
      </c>
      <c r="AD616" s="9">
        <f t="shared" si="120"/>
        <v>0.80366260294744563</v>
      </c>
      <c r="AE616" s="3" t="s">
        <v>80</v>
      </c>
      <c r="AF616" s="11" t="str">
        <f t="shared" si="121"/>
        <v/>
      </c>
      <c r="AG616" s="11" t="str">
        <f t="shared" si="122"/>
        <v/>
      </c>
      <c r="AH616" s="11">
        <f t="shared" si="123"/>
        <v>0.81269453198451325</v>
      </c>
      <c r="AI616" s="3" t="s">
        <v>45</v>
      </c>
      <c r="AJ616" s="3" t="s">
        <v>79</v>
      </c>
      <c r="AK616" s="3" t="s">
        <v>46</v>
      </c>
      <c r="AL616" s="3" t="s">
        <v>81</v>
      </c>
      <c r="AM616" s="3" t="s">
        <v>82</v>
      </c>
    </row>
    <row r="617" spans="1:39" ht="21" customHeight="1">
      <c r="A617" s="4">
        <v>43025</v>
      </c>
      <c r="B617" s="3" t="s">
        <v>78</v>
      </c>
      <c r="C617" s="3" t="s">
        <v>79</v>
      </c>
      <c r="D617" s="4">
        <v>43159</v>
      </c>
      <c r="E617" s="3">
        <f t="shared" si="108"/>
        <v>-134</v>
      </c>
      <c r="F617" s="3" t="str">
        <f t="shared" si="109"/>
        <v>개봉전</v>
      </c>
      <c r="G617" s="3" t="str">
        <f t="shared" si="110"/>
        <v>화</v>
      </c>
      <c r="H617" s="3">
        <f t="shared" si="111"/>
        <v>0</v>
      </c>
      <c r="I617" s="3"/>
      <c r="J617" s="3"/>
      <c r="K617" s="3"/>
      <c r="L617" s="12" t="str">
        <f t="shared" si="112"/>
        <v/>
      </c>
      <c r="M617" s="12" t="str">
        <f t="shared" si="113"/>
        <v/>
      </c>
      <c r="N617" s="11" t="str">
        <f t="shared" si="115"/>
        <v/>
      </c>
      <c r="O617" s="11" t="str">
        <f t="shared" si="117"/>
        <v/>
      </c>
      <c r="P617" s="11" t="str">
        <f t="shared" si="118"/>
        <v/>
      </c>
      <c r="Q617" s="7"/>
      <c r="R617" s="7"/>
      <c r="S617" s="7"/>
      <c r="T617" s="7"/>
      <c r="U617" s="7"/>
      <c r="V617" s="7"/>
      <c r="W617" s="7"/>
      <c r="X617" s="3"/>
      <c r="Y617" s="3"/>
      <c r="Z617" s="9">
        <v>0.28150999999999998</v>
      </c>
      <c r="AA617" s="12">
        <f t="shared" si="114"/>
        <v>-5.6032459258265721E-2</v>
      </c>
      <c r="AB617" s="9">
        <f t="shared" si="116"/>
        <v>0.28598714285714288</v>
      </c>
      <c r="AC617" s="9">
        <f t="shared" si="119"/>
        <v>0.36817892857142859</v>
      </c>
      <c r="AD617" s="9">
        <f t="shared" si="120"/>
        <v>0.77676129909661551</v>
      </c>
      <c r="AE617" s="3" t="s">
        <v>80</v>
      </c>
      <c r="AF617" s="11" t="str">
        <f t="shared" si="121"/>
        <v/>
      </c>
      <c r="AG617" s="11" t="str">
        <f t="shared" si="122"/>
        <v/>
      </c>
      <c r="AH617" s="11">
        <f t="shared" si="123"/>
        <v>0.76460106256565852</v>
      </c>
      <c r="AI617" s="3" t="s">
        <v>45</v>
      </c>
      <c r="AJ617" s="3" t="s">
        <v>79</v>
      </c>
      <c r="AK617" s="3" t="s">
        <v>46</v>
      </c>
      <c r="AL617" s="3" t="s">
        <v>81</v>
      </c>
      <c r="AM617" s="3" t="s">
        <v>82</v>
      </c>
    </row>
    <row r="618" spans="1:39" ht="21" customHeight="1">
      <c r="A618" s="4">
        <v>43026</v>
      </c>
      <c r="B618" s="3" t="s">
        <v>78</v>
      </c>
      <c r="C618" s="3" t="s">
        <v>79</v>
      </c>
      <c r="D618" s="4">
        <v>43159</v>
      </c>
      <c r="E618" s="3">
        <f t="shared" si="108"/>
        <v>-133</v>
      </c>
      <c r="F618" s="3" t="str">
        <f t="shared" si="109"/>
        <v>개봉전</v>
      </c>
      <c r="G618" s="3" t="str">
        <f t="shared" si="110"/>
        <v>수</v>
      </c>
      <c r="H618" s="3">
        <f t="shared" si="111"/>
        <v>0</v>
      </c>
      <c r="I618" s="3"/>
      <c r="J618" s="3"/>
      <c r="K618" s="3"/>
      <c r="L618" s="12" t="str">
        <f t="shared" si="112"/>
        <v/>
      </c>
      <c r="M618" s="12" t="str">
        <f t="shared" si="113"/>
        <v/>
      </c>
      <c r="N618" s="11" t="str">
        <f t="shared" si="115"/>
        <v/>
      </c>
      <c r="O618" s="11" t="str">
        <f t="shared" si="117"/>
        <v/>
      </c>
      <c r="P618" s="11" t="str">
        <f t="shared" si="118"/>
        <v/>
      </c>
      <c r="Q618" s="7"/>
      <c r="R618" s="7"/>
      <c r="S618" s="7"/>
      <c r="T618" s="7"/>
      <c r="U618" s="7"/>
      <c r="V618" s="7"/>
      <c r="W618" s="7"/>
      <c r="X618" s="3"/>
      <c r="Y618" s="3"/>
      <c r="Z618" s="9">
        <v>0.29637000000000002</v>
      </c>
      <c r="AA618" s="12">
        <f t="shared" si="114"/>
        <v>5.2786757131185524E-2</v>
      </c>
      <c r="AB618" s="9">
        <f t="shared" si="116"/>
        <v>0.27902571428571427</v>
      </c>
      <c r="AC618" s="9">
        <f t="shared" si="119"/>
        <v>0.36833642857142862</v>
      </c>
      <c r="AD618" s="9">
        <f t="shared" si="120"/>
        <v>0.75752951009461444</v>
      </c>
      <c r="AE618" s="3" t="s">
        <v>80</v>
      </c>
      <c r="AF618" s="11" t="str">
        <f t="shared" si="121"/>
        <v/>
      </c>
      <c r="AG618" s="11" t="str">
        <f t="shared" si="122"/>
        <v/>
      </c>
      <c r="AH618" s="11">
        <f t="shared" si="123"/>
        <v>0.80461767289609065</v>
      </c>
      <c r="AI618" s="3" t="s">
        <v>45</v>
      </c>
      <c r="AJ618" s="3" t="s">
        <v>79</v>
      </c>
      <c r="AK618" s="3" t="s">
        <v>46</v>
      </c>
      <c r="AL618" s="3" t="s">
        <v>81</v>
      </c>
      <c r="AM618" s="3" t="s">
        <v>82</v>
      </c>
    </row>
    <row r="619" spans="1:39" ht="21" customHeight="1">
      <c r="A619" s="4">
        <v>43027</v>
      </c>
      <c r="B619" s="3" t="s">
        <v>78</v>
      </c>
      <c r="C619" s="3" t="s">
        <v>79</v>
      </c>
      <c r="D619" s="4">
        <v>43159</v>
      </c>
      <c r="E619" s="3">
        <f t="shared" si="108"/>
        <v>-132</v>
      </c>
      <c r="F619" s="3" t="str">
        <f t="shared" si="109"/>
        <v>개봉전</v>
      </c>
      <c r="G619" s="3" t="str">
        <f t="shared" si="110"/>
        <v>목</v>
      </c>
      <c r="H619" s="3">
        <f t="shared" si="111"/>
        <v>0</v>
      </c>
      <c r="I619" s="3"/>
      <c r="J619" s="3"/>
      <c r="K619" s="3"/>
      <c r="L619" s="12" t="str">
        <f t="shared" si="112"/>
        <v/>
      </c>
      <c r="M619" s="12" t="str">
        <f t="shared" si="113"/>
        <v/>
      </c>
      <c r="N619" s="11" t="str">
        <f t="shared" si="115"/>
        <v/>
      </c>
      <c r="O619" s="11" t="str">
        <f t="shared" si="117"/>
        <v/>
      </c>
      <c r="P619" s="11" t="str">
        <f t="shared" si="118"/>
        <v/>
      </c>
      <c r="Q619" s="7"/>
      <c r="R619" s="7"/>
      <c r="S619" s="7"/>
      <c r="T619" s="7"/>
      <c r="U619" s="7"/>
      <c r="V619" s="7"/>
      <c r="W619" s="7"/>
      <c r="X619" s="3"/>
      <c r="Y619" s="3"/>
      <c r="Z619" s="9">
        <v>0.27826000000000001</v>
      </c>
      <c r="AA619" s="12">
        <f t="shared" si="114"/>
        <v>-6.1106049870094825E-2</v>
      </c>
      <c r="AB619" s="9">
        <f t="shared" si="116"/>
        <v>0.28104714285714283</v>
      </c>
      <c r="AC619" s="9">
        <f t="shared" si="119"/>
        <v>0.37044178571428571</v>
      </c>
      <c r="AD619" s="9">
        <f t="shared" si="120"/>
        <v>0.75868099576085302</v>
      </c>
      <c r="AE619" s="3" t="s">
        <v>80</v>
      </c>
      <c r="AF619" s="11" t="str">
        <f t="shared" si="121"/>
        <v/>
      </c>
      <c r="AG619" s="11" t="str">
        <f t="shared" si="122"/>
        <v/>
      </c>
      <c r="AH619" s="11">
        <f t="shared" si="123"/>
        <v>0.7511571608031723</v>
      </c>
      <c r="AI619" s="3" t="s">
        <v>45</v>
      </c>
      <c r="AJ619" s="3" t="s">
        <v>79</v>
      </c>
      <c r="AK619" s="3" t="s">
        <v>46</v>
      </c>
      <c r="AL619" s="3" t="s">
        <v>81</v>
      </c>
      <c r="AM619" s="3" t="s">
        <v>82</v>
      </c>
    </row>
    <row r="620" spans="1:39" ht="21" customHeight="1">
      <c r="A620" s="4">
        <v>43028</v>
      </c>
      <c r="B620" s="3" t="s">
        <v>78</v>
      </c>
      <c r="C620" s="3" t="s">
        <v>79</v>
      </c>
      <c r="D620" s="4">
        <v>43159</v>
      </c>
      <c r="E620" s="3">
        <f t="shared" si="108"/>
        <v>-131</v>
      </c>
      <c r="F620" s="3" t="str">
        <f t="shared" si="109"/>
        <v>개봉전</v>
      </c>
      <c r="G620" s="3" t="str">
        <f t="shared" si="110"/>
        <v>금</v>
      </c>
      <c r="H620" s="3">
        <f t="shared" si="111"/>
        <v>0</v>
      </c>
      <c r="I620" s="3"/>
      <c r="J620" s="3"/>
      <c r="K620" s="3"/>
      <c r="L620" s="12" t="str">
        <f t="shared" si="112"/>
        <v/>
      </c>
      <c r="M620" s="12" t="str">
        <f t="shared" si="113"/>
        <v/>
      </c>
      <c r="N620" s="11" t="str">
        <f t="shared" si="115"/>
        <v/>
      </c>
      <c r="O620" s="11" t="str">
        <f t="shared" si="117"/>
        <v/>
      </c>
      <c r="P620" s="11" t="str">
        <f t="shared" si="118"/>
        <v/>
      </c>
      <c r="Q620" s="7"/>
      <c r="R620" s="7"/>
      <c r="S620" s="7"/>
      <c r="T620" s="7"/>
      <c r="U620" s="7"/>
      <c r="V620" s="7"/>
      <c r="W620" s="7"/>
      <c r="X620" s="3"/>
      <c r="Y620" s="3"/>
      <c r="Z620" s="9">
        <v>0.28545999999999999</v>
      </c>
      <c r="AA620" s="12">
        <f t="shared" si="114"/>
        <v>2.5875080859627531E-2</v>
      </c>
      <c r="AB620" s="9">
        <f t="shared" si="116"/>
        <v>0.28698285714285715</v>
      </c>
      <c r="AC620" s="9">
        <f t="shared" si="119"/>
        <v>0.36164750000000001</v>
      </c>
      <c r="AD620" s="9">
        <f t="shared" si="120"/>
        <v>0.79354304161609612</v>
      </c>
      <c r="AE620" s="3" t="s">
        <v>80</v>
      </c>
      <c r="AF620" s="11" t="str">
        <f t="shared" si="121"/>
        <v/>
      </c>
      <c r="AG620" s="11" t="str">
        <f t="shared" si="122"/>
        <v/>
      </c>
      <c r="AH620" s="11">
        <f t="shared" si="123"/>
        <v>0.78933215354730779</v>
      </c>
      <c r="AI620" s="3" t="s">
        <v>45</v>
      </c>
      <c r="AJ620" s="3" t="s">
        <v>79</v>
      </c>
      <c r="AK620" s="3" t="s">
        <v>46</v>
      </c>
      <c r="AL620" s="3" t="s">
        <v>81</v>
      </c>
      <c r="AM620" s="3" t="s">
        <v>82</v>
      </c>
    </row>
    <row r="621" spans="1:39" ht="21" customHeight="1">
      <c r="A621" s="4">
        <v>43029</v>
      </c>
      <c r="B621" s="3" t="s">
        <v>78</v>
      </c>
      <c r="C621" s="3" t="s">
        <v>79</v>
      </c>
      <c r="D621" s="4">
        <v>43159</v>
      </c>
      <c r="E621" s="3">
        <f t="shared" si="108"/>
        <v>-130</v>
      </c>
      <c r="F621" s="3" t="str">
        <f t="shared" si="109"/>
        <v>개봉전</v>
      </c>
      <c r="G621" s="3" t="str">
        <f t="shared" si="110"/>
        <v>토</v>
      </c>
      <c r="H621" s="3">
        <f t="shared" si="111"/>
        <v>1</v>
      </c>
      <c r="I621" s="3"/>
      <c r="J621" s="3"/>
      <c r="K621" s="3"/>
      <c r="L621" s="12" t="str">
        <f t="shared" si="112"/>
        <v/>
      </c>
      <c r="M621" s="12" t="str">
        <f t="shared" si="113"/>
        <v/>
      </c>
      <c r="N621" s="11" t="str">
        <f t="shared" si="115"/>
        <v/>
      </c>
      <c r="O621" s="11" t="str">
        <f t="shared" si="117"/>
        <v/>
      </c>
      <c r="P621" s="11" t="str">
        <f t="shared" si="118"/>
        <v/>
      </c>
      <c r="Q621" s="7"/>
      <c r="R621" s="7"/>
      <c r="S621" s="7"/>
      <c r="T621" s="7"/>
      <c r="U621" s="7"/>
      <c r="V621" s="7"/>
      <c r="W621" s="7"/>
      <c r="X621" s="3"/>
      <c r="Y621" s="3"/>
      <c r="Z621" s="9">
        <v>0.31122</v>
      </c>
      <c r="AA621" s="12">
        <f t="shared" si="114"/>
        <v>9.0240313879352607E-2</v>
      </c>
      <c r="AB621" s="9">
        <f t="shared" si="116"/>
        <v>0.29669714285714288</v>
      </c>
      <c r="AC621" s="9">
        <f t="shared" si="119"/>
        <v>0.35955892857142857</v>
      </c>
      <c r="AD621" s="9">
        <f t="shared" si="120"/>
        <v>0.82516972679821021</v>
      </c>
      <c r="AE621" s="3" t="s">
        <v>80</v>
      </c>
      <c r="AF621" s="11" t="str">
        <f t="shared" si="121"/>
        <v/>
      </c>
      <c r="AG621" s="11" t="str">
        <f t="shared" si="122"/>
        <v/>
      </c>
      <c r="AH621" s="11">
        <f t="shared" si="123"/>
        <v>0.86556048333027069</v>
      </c>
      <c r="AI621" s="3" t="s">
        <v>45</v>
      </c>
      <c r="AJ621" s="3" t="s">
        <v>79</v>
      </c>
      <c r="AK621" s="3" t="s">
        <v>46</v>
      </c>
      <c r="AL621" s="3" t="s">
        <v>81</v>
      </c>
      <c r="AM621" s="3" t="s">
        <v>82</v>
      </c>
    </row>
    <row r="622" spans="1:39" ht="21" customHeight="1">
      <c r="A622" s="4">
        <v>43030</v>
      </c>
      <c r="B622" s="3" t="s">
        <v>78</v>
      </c>
      <c r="C622" s="3" t="s">
        <v>79</v>
      </c>
      <c r="D622" s="4">
        <v>43159</v>
      </c>
      <c r="E622" s="3">
        <f t="shared" si="108"/>
        <v>-129</v>
      </c>
      <c r="F622" s="3" t="str">
        <f t="shared" si="109"/>
        <v>개봉전</v>
      </c>
      <c r="G622" s="3" t="str">
        <f t="shared" si="110"/>
        <v>일</v>
      </c>
      <c r="H622" s="3">
        <f t="shared" si="111"/>
        <v>1</v>
      </c>
      <c r="I622" s="3"/>
      <c r="J622" s="3"/>
      <c r="K622" s="3"/>
      <c r="L622" s="12" t="str">
        <f t="shared" si="112"/>
        <v/>
      </c>
      <c r="M622" s="12" t="str">
        <f t="shared" si="113"/>
        <v/>
      </c>
      <c r="N622" s="11" t="str">
        <f t="shared" si="115"/>
        <v/>
      </c>
      <c r="O622" s="11" t="str">
        <f t="shared" si="117"/>
        <v/>
      </c>
      <c r="P622" s="11" t="str">
        <f t="shared" si="118"/>
        <v/>
      </c>
      <c r="Q622" s="7"/>
      <c r="R622" s="7"/>
      <c r="S622" s="7"/>
      <c r="T622" s="7"/>
      <c r="U622" s="7"/>
      <c r="V622" s="7"/>
      <c r="W622" s="7"/>
      <c r="X622" s="3"/>
      <c r="Y622" s="3"/>
      <c r="Z622" s="9">
        <v>0.35532000000000002</v>
      </c>
      <c r="AA622" s="12">
        <f t="shared" si="114"/>
        <v>0.14170040485829971</v>
      </c>
      <c r="AB622" s="9">
        <f t="shared" si="116"/>
        <v>0.30090857142857141</v>
      </c>
      <c r="AC622" s="9">
        <f t="shared" si="119"/>
        <v>0.36087678571428577</v>
      </c>
      <c r="AD622" s="9">
        <f t="shared" si="120"/>
        <v>0.83382634555719926</v>
      </c>
      <c r="AE622" s="3" t="s">
        <v>80</v>
      </c>
      <c r="AF622" s="11" t="str">
        <f t="shared" si="121"/>
        <v/>
      </c>
      <c r="AG622" s="11" t="str">
        <f t="shared" si="122"/>
        <v/>
      </c>
      <c r="AH622" s="11">
        <f t="shared" si="123"/>
        <v>0.98460198623392425</v>
      </c>
      <c r="AI622" s="3" t="s">
        <v>45</v>
      </c>
      <c r="AJ622" s="3" t="s">
        <v>79</v>
      </c>
      <c r="AK622" s="3" t="s">
        <v>46</v>
      </c>
      <c r="AL622" s="3" t="s">
        <v>81</v>
      </c>
      <c r="AM622" s="3" t="s">
        <v>82</v>
      </c>
    </row>
    <row r="623" spans="1:39" ht="21" customHeight="1">
      <c r="A623" s="4">
        <v>43031</v>
      </c>
      <c r="B623" s="3" t="s">
        <v>78</v>
      </c>
      <c r="C623" s="3" t="s">
        <v>79</v>
      </c>
      <c r="D623" s="4">
        <v>43159</v>
      </c>
      <c r="E623" s="3">
        <f t="shared" si="108"/>
        <v>-128</v>
      </c>
      <c r="F623" s="3" t="str">
        <f t="shared" si="109"/>
        <v>개봉전</v>
      </c>
      <c r="G623" s="3" t="str">
        <f t="shared" si="110"/>
        <v>월</v>
      </c>
      <c r="H623" s="3">
        <f t="shared" si="111"/>
        <v>0</v>
      </c>
      <c r="I623" s="3"/>
      <c r="J623" s="3"/>
      <c r="K623" s="3"/>
      <c r="L623" s="12" t="str">
        <f t="shared" si="112"/>
        <v/>
      </c>
      <c r="M623" s="12" t="str">
        <f t="shared" si="113"/>
        <v/>
      </c>
      <c r="N623" s="11" t="str">
        <f t="shared" si="115"/>
        <v/>
      </c>
      <c r="O623" s="11" t="str">
        <f t="shared" si="117"/>
        <v/>
      </c>
      <c r="P623" s="11" t="str">
        <f t="shared" si="118"/>
        <v/>
      </c>
      <c r="Q623" s="7"/>
      <c r="R623" s="7"/>
      <c r="S623" s="7"/>
      <c r="T623" s="7"/>
      <c r="U623" s="7"/>
      <c r="V623" s="7"/>
      <c r="W623" s="7"/>
      <c r="X623" s="3"/>
      <c r="Y623" s="3"/>
      <c r="Z623" s="9">
        <v>0.23857999999999999</v>
      </c>
      <c r="AA623" s="12">
        <f t="shared" si="114"/>
        <v>-0.3285489136552967</v>
      </c>
      <c r="AB623" s="9">
        <f t="shared" si="116"/>
        <v>0.29238857142857144</v>
      </c>
      <c r="AC623" s="9">
        <f t="shared" si="119"/>
        <v>0.36329714285714293</v>
      </c>
      <c r="AD623" s="9">
        <f t="shared" si="120"/>
        <v>0.80481935291064366</v>
      </c>
      <c r="AE623" s="3" t="s">
        <v>80</v>
      </c>
      <c r="AF623" s="11" t="str">
        <f t="shared" si="121"/>
        <v/>
      </c>
      <c r="AG623" s="11" t="str">
        <f t="shared" si="122"/>
        <v/>
      </c>
      <c r="AH623" s="11">
        <f t="shared" si="123"/>
        <v>0.65670761438885117</v>
      </c>
      <c r="AI623" s="3" t="s">
        <v>45</v>
      </c>
      <c r="AJ623" s="3" t="s">
        <v>79</v>
      </c>
      <c r="AK623" s="3" t="s">
        <v>46</v>
      </c>
      <c r="AL623" s="3" t="s">
        <v>81</v>
      </c>
      <c r="AM623" s="3" t="s">
        <v>82</v>
      </c>
    </row>
    <row r="624" spans="1:39" ht="21" customHeight="1">
      <c r="A624" s="4">
        <v>43032</v>
      </c>
      <c r="B624" s="3" t="s">
        <v>78</v>
      </c>
      <c r="C624" s="3" t="s">
        <v>79</v>
      </c>
      <c r="D624" s="4">
        <v>43159</v>
      </c>
      <c r="E624" s="3">
        <f t="shared" si="108"/>
        <v>-127</v>
      </c>
      <c r="F624" s="3" t="str">
        <f t="shared" si="109"/>
        <v>개봉전</v>
      </c>
      <c r="G624" s="3" t="str">
        <f t="shared" si="110"/>
        <v>화</v>
      </c>
      <c r="H624" s="3">
        <f t="shared" si="111"/>
        <v>0</v>
      </c>
      <c r="I624" s="3"/>
      <c r="J624" s="3"/>
      <c r="K624" s="3"/>
      <c r="L624" s="12" t="str">
        <f t="shared" si="112"/>
        <v/>
      </c>
      <c r="M624" s="12" t="str">
        <f t="shared" si="113"/>
        <v/>
      </c>
      <c r="N624" s="11" t="str">
        <f t="shared" si="115"/>
        <v/>
      </c>
      <c r="O624" s="11" t="str">
        <f t="shared" si="117"/>
        <v/>
      </c>
      <c r="P624" s="11" t="str">
        <f t="shared" si="118"/>
        <v/>
      </c>
      <c r="Q624" s="7"/>
      <c r="R624" s="7"/>
      <c r="S624" s="7"/>
      <c r="T624" s="7"/>
      <c r="U624" s="7"/>
      <c r="V624" s="7"/>
      <c r="W624" s="7"/>
      <c r="X624" s="3"/>
      <c r="Y624" s="3"/>
      <c r="Z624" s="9">
        <v>0.32306000000000001</v>
      </c>
      <c r="AA624" s="12">
        <f t="shared" si="114"/>
        <v>0.35409506245284605</v>
      </c>
      <c r="AB624" s="9">
        <f t="shared" si="116"/>
        <v>0.29832428571428571</v>
      </c>
      <c r="AC624" s="9">
        <f t="shared" si="119"/>
        <v>0.36290785714285728</v>
      </c>
      <c r="AD624" s="9">
        <f t="shared" si="120"/>
        <v>0.82203865207815408</v>
      </c>
      <c r="AE624" s="3" t="s">
        <v>80</v>
      </c>
      <c r="AF624" s="11" t="str">
        <f t="shared" si="121"/>
        <v/>
      </c>
      <c r="AG624" s="11" t="str">
        <f t="shared" si="122"/>
        <v/>
      </c>
      <c r="AH624" s="11">
        <f t="shared" si="123"/>
        <v>0.89019841715035863</v>
      </c>
      <c r="AI624" s="3" t="s">
        <v>45</v>
      </c>
      <c r="AJ624" s="3" t="s">
        <v>79</v>
      </c>
      <c r="AK624" s="3" t="s">
        <v>46</v>
      </c>
      <c r="AL624" s="3" t="s">
        <v>81</v>
      </c>
      <c r="AM624" s="3" t="s">
        <v>82</v>
      </c>
    </row>
    <row r="625" spans="1:39" ht="21" customHeight="1">
      <c r="A625" s="4">
        <v>43033</v>
      </c>
      <c r="B625" s="3" t="s">
        <v>78</v>
      </c>
      <c r="C625" s="3" t="s">
        <v>79</v>
      </c>
      <c r="D625" s="4">
        <v>43159</v>
      </c>
      <c r="E625" s="3">
        <f t="shared" si="108"/>
        <v>-126</v>
      </c>
      <c r="F625" s="3" t="str">
        <f t="shared" si="109"/>
        <v>개봉전</v>
      </c>
      <c r="G625" s="3" t="str">
        <f t="shared" si="110"/>
        <v>수</v>
      </c>
      <c r="H625" s="3">
        <f t="shared" si="111"/>
        <v>0</v>
      </c>
      <c r="I625" s="3"/>
      <c r="J625" s="3"/>
      <c r="K625" s="3"/>
      <c r="L625" s="12" t="str">
        <f t="shared" si="112"/>
        <v/>
      </c>
      <c r="M625" s="12" t="str">
        <f t="shared" si="113"/>
        <v/>
      </c>
      <c r="N625" s="11" t="str">
        <f t="shared" si="115"/>
        <v/>
      </c>
      <c r="O625" s="11" t="str">
        <f t="shared" si="117"/>
        <v/>
      </c>
      <c r="P625" s="11" t="str">
        <f t="shared" si="118"/>
        <v/>
      </c>
      <c r="Q625" s="7"/>
      <c r="R625" s="7"/>
      <c r="S625" s="7"/>
      <c r="T625" s="7"/>
      <c r="U625" s="7"/>
      <c r="V625" s="7"/>
      <c r="W625" s="7"/>
      <c r="X625" s="3"/>
      <c r="Y625" s="3"/>
      <c r="Z625" s="9">
        <v>0.41426000000000002</v>
      </c>
      <c r="AA625" s="12">
        <f t="shared" si="114"/>
        <v>0.28230050145483809</v>
      </c>
      <c r="AB625" s="9">
        <f t="shared" si="116"/>
        <v>0.31516571428571433</v>
      </c>
      <c r="AC625" s="9">
        <f t="shared" si="119"/>
        <v>0.36435857142857148</v>
      </c>
      <c r="AD625" s="9">
        <f t="shared" si="120"/>
        <v>0.86498778675637422</v>
      </c>
      <c r="AE625" s="3" t="s">
        <v>80</v>
      </c>
      <c r="AF625" s="11" t="str">
        <f t="shared" si="121"/>
        <v/>
      </c>
      <c r="AG625" s="11" t="str">
        <f t="shared" si="122"/>
        <v/>
      </c>
      <c r="AH625" s="11">
        <f t="shared" si="123"/>
        <v>1.1369569223410219</v>
      </c>
      <c r="AI625" s="3" t="s">
        <v>45</v>
      </c>
      <c r="AJ625" s="3" t="s">
        <v>79</v>
      </c>
      <c r="AK625" s="3" t="s">
        <v>46</v>
      </c>
      <c r="AL625" s="3" t="s">
        <v>81</v>
      </c>
      <c r="AM625" s="3" t="s">
        <v>82</v>
      </c>
    </row>
    <row r="626" spans="1:39" ht="21" customHeight="1">
      <c r="A626" s="4">
        <v>43034</v>
      </c>
      <c r="B626" s="3" t="s">
        <v>78</v>
      </c>
      <c r="C626" s="3" t="s">
        <v>79</v>
      </c>
      <c r="D626" s="4">
        <v>43159</v>
      </c>
      <c r="E626" s="3">
        <f t="shared" si="108"/>
        <v>-125</v>
      </c>
      <c r="F626" s="3" t="str">
        <f t="shared" si="109"/>
        <v>개봉전</v>
      </c>
      <c r="G626" s="3" t="str">
        <f t="shared" si="110"/>
        <v>목</v>
      </c>
      <c r="H626" s="3">
        <f t="shared" si="111"/>
        <v>0</v>
      </c>
      <c r="I626" s="3"/>
      <c r="J626" s="3"/>
      <c r="K626" s="3"/>
      <c r="L626" s="12" t="str">
        <f t="shared" si="112"/>
        <v/>
      </c>
      <c r="M626" s="12" t="str">
        <f t="shared" si="113"/>
        <v/>
      </c>
      <c r="N626" s="11" t="str">
        <f t="shared" si="115"/>
        <v/>
      </c>
      <c r="O626" s="11" t="str">
        <f t="shared" si="117"/>
        <v/>
      </c>
      <c r="P626" s="11" t="str">
        <f t="shared" si="118"/>
        <v/>
      </c>
      <c r="Q626" s="7"/>
      <c r="R626" s="7"/>
      <c r="S626" s="7"/>
      <c r="T626" s="7"/>
      <c r="U626" s="7"/>
      <c r="V626" s="7"/>
      <c r="W626" s="7"/>
      <c r="X626" s="3"/>
      <c r="Y626" s="3"/>
      <c r="Z626" s="9">
        <v>0.41843999999999998</v>
      </c>
      <c r="AA626" s="12">
        <f t="shared" si="114"/>
        <v>1.0090281465745976E-2</v>
      </c>
      <c r="AB626" s="9">
        <f t="shared" si="116"/>
        <v>0.33519142857142858</v>
      </c>
      <c r="AC626" s="9">
        <f t="shared" si="119"/>
        <v>0.36861035714285723</v>
      </c>
      <c r="AD626" s="9">
        <f t="shared" si="120"/>
        <v>0.90933806409981877</v>
      </c>
      <c r="AE626" s="3" t="s">
        <v>80</v>
      </c>
      <c r="AF626" s="11" t="str">
        <f t="shared" si="121"/>
        <v/>
      </c>
      <c r="AG626" s="11" t="str">
        <f t="shared" si="122"/>
        <v/>
      </c>
      <c r="AH626" s="11">
        <f t="shared" si="123"/>
        <v>1.1351824274374118</v>
      </c>
      <c r="AI626" s="3" t="s">
        <v>45</v>
      </c>
      <c r="AJ626" s="3" t="s">
        <v>79</v>
      </c>
      <c r="AK626" s="3" t="s">
        <v>46</v>
      </c>
      <c r="AL626" s="3" t="s">
        <v>81</v>
      </c>
      <c r="AM626" s="3" t="s">
        <v>82</v>
      </c>
    </row>
    <row r="627" spans="1:39" ht="21" customHeight="1">
      <c r="A627" s="4">
        <v>43035</v>
      </c>
      <c r="B627" s="3" t="s">
        <v>78</v>
      </c>
      <c r="C627" s="3" t="s">
        <v>79</v>
      </c>
      <c r="D627" s="4">
        <v>43159</v>
      </c>
      <c r="E627" s="3">
        <f t="shared" si="108"/>
        <v>-124</v>
      </c>
      <c r="F627" s="3" t="str">
        <f t="shared" si="109"/>
        <v>개봉전</v>
      </c>
      <c r="G627" s="3" t="str">
        <f t="shared" si="110"/>
        <v>금</v>
      </c>
      <c r="H627" s="3">
        <f t="shared" si="111"/>
        <v>0</v>
      </c>
      <c r="I627" s="3"/>
      <c r="J627" s="3"/>
      <c r="K627" s="3"/>
      <c r="L627" s="12" t="str">
        <f t="shared" si="112"/>
        <v/>
      </c>
      <c r="M627" s="12" t="str">
        <f t="shared" si="113"/>
        <v/>
      </c>
      <c r="N627" s="11" t="str">
        <f t="shared" si="115"/>
        <v/>
      </c>
      <c r="O627" s="11" t="str">
        <f t="shared" si="117"/>
        <v/>
      </c>
      <c r="P627" s="11" t="str">
        <f t="shared" si="118"/>
        <v/>
      </c>
      <c r="Q627" s="7"/>
      <c r="R627" s="7"/>
      <c r="S627" s="7"/>
      <c r="T627" s="7"/>
      <c r="U627" s="7"/>
      <c r="V627" s="7"/>
      <c r="W627" s="7"/>
      <c r="X627" s="3"/>
      <c r="Y627" s="3"/>
      <c r="Z627" s="9">
        <v>0.33279999999999998</v>
      </c>
      <c r="AA627" s="12">
        <f t="shared" si="114"/>
        <v>-0.20466494598986718</v>
      </c>
      <c r="AB627" s="9">
        <f t="shared" si="116"/>
        <v>0.34195428571428571</v>
      </c>
      <c r="AC627" s="9">
        <f t="shared" si="119"/>
        <v>0.37391500000000011</v>
      </c>
      <c r="AD627" s="9">
        <f t="shared" si="120"/>
        <v>0.91452411835386549</v>
      </c>
      <c r="AE627" s="3" t="s">
        <v>80</v>
      </c>
      <c r="AF627" s="11" t="str">
        <f t="shared" si="121"/>
        <v/>
      </c>
      <c r="AG627" s="11" t="str">
        <f t="shared" si="122"/>
        <v/>
      </c>
      <c r="AH627" s="11">
        <f t="shared" si="123"/>
        <v>0.89004185443215678</v>
      </c>
      <c r="AI627" s="3" t="s">
        <v>45</v>
      </c>
      <c r="AJ627" s="3" t="s">
        <v>79</v>
      </c>
      <c r="AK627" s="3" t="s">
        <v>46</v>
      </c>
      <c r="AL627" s="3" t="s">
        <v>81</v>
      </c>
      <c r="AM627" s="3" t="s">
        <v>82</v>
      </c>
    </row>
    <row r="628" spans="1:39" ht="21" customHeight="1">
      <c r="A628" s="4">
        <v>43036</v>
      </c>
      <c r="B628" s="3" t="s">
        <v>78</v>
      </c>
      <c r="C628" s="3" t="s">
        <v>79</v>
      </c>
      <c r="D628" s="4">
        <v>43159</v>
      </c>
      <c r="E628" s="3">
        <f t="shared" si="108"/>
        <v>-123</v>
      </c>
      <c r="F628" s="3" t="str">
        <f t="shared" si="109"/>
        <v>개봉전</v>
      </c>
      <c r="G628" s="3" t="str">
        <f t="shared" si="110"/>
        <v>토</v>
      </c>
      <c r="H628" s="3">
        <f t="shared" si="111"/>
        <v>1</v>
      </c>
      <c r="I628" s="3"/>
      <c r="J628" s="3"/>
      <c r="K628" s="3"/>
      <c r="L628" s="12" t="str">
        <f t="shared" si="112"/>
        <v/>
      </c>
      <c r="M628" s="12" t="str">
        <f t="shared" si="113"/>
        <v/>
      </c>
      <c r="N628" s="11" t="str">
        <f t="shared" si="115"/>
        <v/>
      </c>
      <c r="O628" s="11" t="str">
        <f t="shared" si="117"/>
        <v/>
      </c>
      <c r="P628" s="11" t="str">
        <f t="shared" si="118"/>
        <v/>
      </c>
      <c r="Q628" s="7"/>
      <c r="R628" s="7"/>
      <c r="S628" s="7"/>
      <c r="T628" s="7"/>
      <c r="U628" s="7"/>
      <c r="V628" s="7"/>
      <c r="W628" s="7"/>
      <c r="X628" s="3"/>
      <c r="Y628" s="3"/>
      <c r="Z628" s="9">
        <v>0.31492999999999999</v>
      </c>
      <c r="AA628" s="12">
        <f t="shared" si="114"/>
        <v>-5.3695913461538458E-2</v>
      </c>
      <c r="AB628" s="9">
        <f t="shared" si="116"/>
        <v>0.34248428571428574</v>
      </c>
      <c r="AC628" s="9">
        <f t="shared" si="119"/>
        <v>0.37515821428571439</v>
      </c>
      <c r="AD628" s="9">
        <f t="shared" si="120"/>
        <v>0.91290626906933536</v>
      </c>
      <c r="AE628" s="3" t="s">
        <v>80</v>
      </c>
      <c r="AF628" s="11" t="str">
        <f t="shared" si="121"/>
        <v/>
      </c>
      <c r="AG628" s="11" t="str">
        <f t="shared" si="122"/>
        <v/>
      </c>
      <c r="AH628" s="11">
        <f t="shared" si="123"/>
        <v>0.83945916151566502</v>
      </c>
      <c r="AI628" s="3" t="s">
        <v>45</v>
      </c>
      <c r="AJ628" s="3" t="s">
        <v>79</v>
      </c>
      <c r="AK628" s="3" t="s">
        <v>46</v>
      </c>
      <c r="AL628" s="3" t="s">
        <v>81</v>
      </c>
      <c r="AM628" s="3" t="s">
        <v>82</v>
      </c>
    </row>
    <row r="629" spans="1:39" ht="21" customHeight="1">
      <c r="A629" s="4">
        <v>43037</v>
      </c>
      <c r="B629" s="3" t="s">
        <v>78</v>
      </c>
      <c r="C629" s="3" t="s">
        <v>79</v>
      </c>
      <c r="D629" s="4">
        <v>43159</v>
      </c>
      <c r="E629" s="3">
        <f t="shared" si="108"/>
        <v>-122</v>
      </c>
      <c r="F629" s="3" t="str">
        <f t="shared" si="109"/>
        <v>개봉전</v>
      </c>
      <c r="G629" s="3" t="str">
        <f t="shared" si="110"/>
        <v>일</v>
      </c>
      <c r="H629" s="3">
        <f t="shared" si="111"/>
        <v>1</v>
      </c>
      <c r="I629" s="3"/>
      <c r="J629" s="3"/>
      <c r="K629" s="3"/>
      <c r="L629" s="12" t="str">
        <f t="shared" si="112"/>
        <v/>
      </c>
      <c r="M629" s="12" t="str">
        <f t="shared" si="113"/>
        <v/>
      </c>
      <c r="N629" s="11" t="str">
        <f t="shared" si="115"/>
        <v/>
      </c>
      <c r="O629" s="11" t="str">
        <f t="shared" si="117"/>
        <v/>
      </c>
      <c r="P629" s="11" t="str">
        <f t="shared" si="118"/>
        <v/>
      </c>
      <c r="Q629" s="7"/>
      <c r="R629" s="7"/>
      <c r="S629" s="7"/>
      <c r="T629" s="7"/>
      <c r="U629" s="7"/>
      <c r="V629" s="7"/>
      <c r="W629" s="7"/>
      <c r="X629" s="3"/>
      <c r="Y629" s="3"/>
      <c r="Z629" s="9">
        <v>0.31284000000000001</v>
      </c>
      <c r="AA629" s="12">
        <f t="shared" si="114"/>
        <v>-6.6363953894515992E-3</v>
      </c>
      <c r="AB629" s="9">
        <f t="shared" si="116"/>
        <v>0.33641571428571426</v>
      </c>
      <c r="AC629" s="9">
        <f t="shared" si="119"/>
        <v>0.37581285714285728</v>
      </c>
      <c r="AD629" s="9">
        <f t="shared" si="120"/>
        <v>0.89516818781384311</v>
      </c>
      <c r="AE629" s="3" t="s">
        <v>80</v>
      </c>
      <c r="AF629" s="11" t="str">
        <f t="shared" si="121"/>
        <v/>
      </c>
      <c r="AG629" s="11" t="str">
        <f t="shared" si="122"/>
        <v/>
      </c>
      <c r="AH629" s="11">
        <f t="shared" si="123"/>
        <v>0.83243559674458001</v>
      </c>
      <c r="AI629" s="3" t="s">
        <v>45</v>
      </c>
      <c r="AJ629" s="3" t="s">
        <v>79</v>
      </c>
      <c r="AK629" s="3" t="s">
        <v>46</v>
      </c>
      <c r="AL629" s="3" t="s">
        <v>81</v>
      </c>
      <c r="AM629" s="3" t="s">
        <v>82</v>
      </c>
    </row>
    <row r="630" spans="1:39" ht="21" customHeight="1">
      <c r="A630" s="4">
        <v>43038</v>
      </c>
      <c r="B630" s="3" t="s">
        <v>78</v>
      </c>
      <c r="C630" s="3" t="s">
        <v>79</v>
      </c>
      <c r="D630" s="4">
        <v>43159</v>
      </c>
      <c r="E630" s="3">
        <f t="shared" si="108"/>
        <v>-121</v>
      </c>
      <c r="F630" s="3" t="str">
        <f t="shared" si="109"/>
        <v>개봉전</v>
      </c>
      <c r="G630" s="3" t="str">
        <f t="shared" si="110"/>
        <v>월</v>
      </c>
      <c r="H630" s="3">
        <f t="shared" si="111"/>
        <v>0</v>
      </c>
      <c r="I630" s="3"/>
      <c r="J630" s="3"/>
      <c r="K630" s="3"/>
      <c r="L630" s="12" t="str">
        <f t="shared" si="112"/>
        <v/>
      </c>
      <c r="M630" s="12" t="str">
        <f t="shared" si="113"/>
        <v/>
      </c>
      <c r="N630" s="11" t="str">
        <f t="shared" si="115"/>
        <v/>
      </c>
      <c r="O630" s="11" t="str">
        <f t="shared" si="117"/>
        <v/>
      </c>
      <c r="P630" s="11" t="str">
        <f t="shared" si="118"/>
        <v/>
      </c>
      <c r="Q630" s="7"/>
      <c r="R630" s="7"/>
      <c r="S630" s="7"/>
      <c r="T630" s="7"/>
      <c r="U630" s="7"/>
      <c r="V630" s="7"/>
      <c r="W630" s="7"/>
      <c r="X630" s="3"/>
      <c r="Y630" s="3"/>
      <c r="Z630" s="9">
        <v>0.30008000000000001</v>
      </c>
      <c r="AA630" s="12">
        <f t="shared" si="114"/>
        <v>-4.0787623066104062E-2</v>
      </c>
      <c r="AB630" s="9">
        <f t="shared" si="116"/>
        <v>0.34520142857142849</v>
      </c>
      <c r="AC630" s="9">
        <f t="shared" si="119"/>
        <v>0.37385642857142859</v>
      </c>
      <c r="AD630" s="9">
        <f t="shared" si="120"/>
        <v>0.92335292960055304</v>
      </c>
      <c r="AE630" s="3" t="s">
        <v>80</v>
      </c>
      <c r="AF630" s="11" t="str">
        <f t="shared" si="121"/>
        <v/>
      </c>
      <c r="AG630" s="11" t="str">
        <f t="shared" si="122"/>
        <v/>
      </c>
      <c r="AH630" s="11">
        <f t="shared" si="123"/>
        <v>0.80266106736925369</v>
      </c>
      <c r="AI630" s="3" t="s">
        <v>45</v>
      </c>
      <c r="AJ630" s="3" t="s">
        <v>79</v>
      </c>
      <c r="AK630" s="3" t="s">
        <v>46</v>
      </c>
      <c r="AL630" s="3" t="s">
        <v>81</v>
      </c>
      <c r="AM630" s="3" t="s">
        <v>82</v>
      </c>
    </row>
    <row r="631" spans="1:39" ht="21" customHeight="1">
      <c r="A631" s="4">
        <v>43039</v>
      </c>
      <c r="B631" s="3" t="s">
        <v>78</v>
      </c>
      <c r="C631" s="3" t="s">
        <v>79</v>
      </c>
      <c r="D631" s="4">
        <v>43159</v>
      </c>
      <c r="E631" s="3">
        <f t="shared" si="108"/>
        <v>-120</v>
      </c>
      <c r="F631" s="3" t="str">
        <f t="shared" si="109"/>
        <v>개봉전</v>
      </c>
      <c r="G631" s="3" t="str">
        <f t="shared" si="110"/>
        <v>화</v>
      </c>
      <c r="H631" s="3">
        <f t="shared" si="111"/>
        <v>0</v>
      </c>
      <c r="I631" s="3"/>
      <c r="J631" s="3"/>
      <c r="K631" s="3"/>
      <c r="L631" s="12" t="str">
        <f t="shared" si="112"/>
        <v/>
      </c>
      <c r="M631" s="12" t="str">
        <f t="shared" si="113"/>
        <v/>
      </c>
      <c r="N631" s="11" t="str">
        <f t="shared" si="115"/>
        <v/>
      </c>
      <c r="O631" s="11" t="str">
        <f t="shared" si="117"/>
        <v/>
      </c>
      <c r="P631" s="11" t="str">
        <f t="shared" si="118"/>
        <v/>
      </c>
      <c r="Q631" s="7"/>
      <c r="R631" s="7"/>
      <c r="S631" s="7"/>
      <c r="T631" s="7"/>
      <c r="U631" s="7"/>
      <c r="V631" s="7"/>
      <c r="W631" s="7"/>
      <c r="X631" s="3"/>
      <c r="Y631" s="3"/>
      <c r="Z631" s="9">
        <v>0.22303000000000001</v>
      </c>
      <c r="AA631" s="12">
        <f t="shared" si="114"/>
        <v>-0.25676486270327914</v>
      </c>
      <c r="AB631" s="9">
        <f t="shared" si="116"/>
        <v>0.33091142857142858</v>
      </c>
      <c r="AC631" s="9">
        <f t="shared" si="119"/>
        <v>0.37056571428571428</v>
      </c>
      <c r="AD631" s="9">
        <f t="shared" si="120"/>
        <v>0.89298986877207054</v>
      </c>
      <c r="AE631" s="3" t="s">
        <v>80</v>
      </c>
      <c r="AF631" s="11" t="str">
        <f t="shared" si="121"/>
        <v/>
      </c>
      <c r="AG631" s="11" t="str">
        <f t="shared" si="122"/>
        <v/>
      </c>
      <c r="AH631" s="11">
        <f t="shared" si="123"/>
        <v>0.60186355996237417</v>
      </c>
      <c r="AI631" s="3" t="s">
        <v>45</v>
      </c>
      <c r="AJ631" s="3" t="s">
        <v>79</v>
      </c>
      <c r="AK631" s="3" t="s">
        <v>46</v>
      </c>
      <c r="AL631" s="3" t="s">
        <v>81</v>
      </c>
      <c r="AM631" s="3" t="s">
        <v>82</v>
      </c>
    </row>
    <row r="632" spans="1:39" ht="21" customHeight="1">
      <c r="A632" s="4">
        <v>43040</v>
      </c>
      <c r="B632" s="3" t="s">
        <v>78</v>
      </c>
      <c r="C632" s="3" t="s">
        <v>79</v>
      </c>
      <c r="D632" s="4">
        <v>43159</v>
      </c>
      <c r="E632" s="3">
        <f t="shared" si="108"/>
        <v>-119</v>
      </c>
      <c r="F632" s="3" t="str">
        <f t="shared" si="109"/>
        <v>개봉전</v>
      </c>
      <c r="G632" s="3" t="str">
        <f t="shared" si="110"/>
        <v>수</v>
      </c>
      <c r="H632" s="3">
        <f t="shared" si="111"/>
        <v>0</v>
      </c>
      <c r="I632" s="3"/>
      <c r="J632" s="3"/>
      <c r="K632" s="3"/>
      <c r="L632" s="12" t="str">
        <f t="shared" si="112"/>
        <v/>
      </c>
      <c r="M632" s="12" t="str">
        <f t="shared" si="113"/>
        <v/>
      </c>
      <c r="N632" s="11" t="str">
        <f t="shared" si="115"/>
        <v/>
      </c>
      <c r="O632" s="11" t="str">
        <f t="shared" si="117"/>
        <v/>
      </c>
      <c r="P632" s="11" t="str">
        <f t="shared" si="118"/>
        <v/>
      </c>
      <c r="Q632" s="7"/>
      <c r="R632" s="7"/>
      <c r="S632" s="7"/>
      <c r="T632" s="7"/>
      <c r="U632" s="7"/>
      <c r="V632" s="7"/>
      <c r="W632" s="7"/>
      <c r="X632" s="3"/>
      <c r="Y632" s="3"/>
      <c r="Z632" s="9">
        <v>0.23788000000000001</v>
      </c>
      <c r="AA632" s="12">
        <f t="shared" si="114"/>
        <v>6.6582970900775695E-2</v>
      </c>
      <c r="AB632" s="9">
        <f t="shared" si="116"/>
        <v>0.30571428571428572</v>
      </c>
      <c r="AC632" s="9">
        <f t="shared" si="119"/>
        <v>0.36644642857142851</v>
      </c>
      <c r="AD632" s="9">
        <f t="shared" si="120"/>
        <v>0.83426733589981006</v>
      </c>
      <c r="AE632" s="3" t="s">
        <v>80</v>
      </c>
      <c r="AF632" s="11" t="str">
        <f t="shared" si="121"/>
        <v/>
      </c>
      <c r="AG632" s="11" t="str">
        <f t="shared" si="122"/>
        <v/>
      </c>
      <c r="AH632" s="11">
        <f t="shared" si="123"/>
        <v>0.64915355002192887</v>
      </c>
      <c r="AI632" s="3" t="s">
        <v>45</v>
      </c>
      <c r="AJ632" s="3" t="s">
        <v>79</v>
      </c>
      <c r="AK632" s="3" t="s">
        <v>46</v>
      </c>
      <c r="AL632" s="3" t="s">
        <v>81</v>
      </c>
      <c r="AM632" s="3" t="s">
        <v>82</v>
      </c>
    </row>
    <row r="633" spans="1:39" ht="21" customHeight="1">
      <c r="A633" s="4">
        <v>43041</v>
      </c>
      <c r="B633" s="3" t="s">
        <v>78</v>
      </c>
      <c r="C633" s="3" t="s">
        <v>79</v>
      </c>
      <c r="D633" s="4">
        <v>43159</v>
      </c>
      <c r="E633" s="3">
        <f t="shared" si="108"/>
        <v>-118</v>
      </c>
      <c r="F633" s="3" t="str">
        <f t="shared" si="109"/>
        <v>개봉전</v>
      </c>
      <c r="G633" s="3" t="str">
        <f t="shared" si="110"/>
        <v>목</v>
      </c>
      <c r="H633" s="3">
        <f t="shared" si="111"/>
        <v>0</v>
      </c>
      <c r="I633" s="3"/>
      <c r="J633" s="3"/>
      <c r="K633" s="3"/>
      <c r="L633" s="12" t="str">
        <f t="shared" si="112"/>
        <v/>
      </c>
      <c r="M633" s="12" t="str">
        <f t="shared" si="113"/>
        <v/>
      </c>
      <c r="N633" s="11" t="str">
        <f t="shared" si="115"/>
        <v/>
      </c>
      <c r="O633" s="11" t="str">
        <f t="shared" si="117"/>
        <v/>
      </c>
      <c r="P633" s="11" t="str">
        <f t="shared" si="118"/>
        <v/>
      </c>
      <c r="Q633" s="7"/>
      <c r="R633" s="7"/>
      <c r="S633" s="7"/>
      <c r="T633" s="7"/>
      <c r="U633" s="7"/>
      <c r="V633" s="7"/>
      <c r="W633" s="7"/>
      <c r="X633" s="3"/>
      <c r="Y633" s="3"/>
      <c r="Z633" s="9">
        <v>0.23091999999999999</v>
      </c>
      <c r="AA633" s="12">
        <f t="shared" si="114"/>
        <v>-2.9258449638473238E-2</v>
      </c>
      <c r="AB633" s="9">
        <f t="shared" si="116"/>
        <v>0.27892571428571433</v>
      </c>
      <c r="AC633" s="9">
        <f t="shared" si="119"/>
        <v>0.33707964285714281</v>
      </c>
      <c r="AD633" s="9">
        <f t="shared" si="120"/>
        <v>0.82747718587065611</v>
      </c>
      <c r="AE633" s="3" t="s">
        <v>80</v>
      </c>
      <c r="AF633" s="11" t="str">
        <f t="shared" si="121"/>
        <v/>
      </c>
      <c r="AG633" s="11" t="str">
        <f t="shared" si="122"/>
        <v/>
      </c>
      <c r="AH633" s="11">
        <f t="shared" si="123"/>
        <v>0.68506065226212975</v>
      </c>
      <c r="AI633" s="3" t="s">
        <v>45</v>
      </c>
      <c r="AJ633" s="3" t="s">
        <v>79</v>
      </c>
      <c r="AK633" s="3" t="s">
        <v>46</v>
      </c>
      <c r="AL633" s="3" t="s">
        <v>81</v>
      </c>
      <c r="AM633" s="3" t="s">
        <v>82</v>
      </c>
    </row>
    <row r="634" spans="1:39" ht="21" customHeight="1">
      <c r="A634" s="4">
        <v>43042</v>
      </c>
      <c r="B634" s="3" t="s">
        <v>78</v>
      </c>
      <c r="C634" s="3" t="s">
        <v>79</v>
      </c>
      <c r="D634" s="4">
        <v>43159</v>
      </c>
      <c r="E634" s="3">
        <f t="shared" si="108"/>
        <v>-117</v>
      </c>
      <c r="F634" s="3" t="str">
        <f t="shared" si="109"/>
        <v>개봉전</v>
      </c>
      <c r="G634" s="3" t="str">
        <f t="shared" si="110"/>
        <v>금</v>
      </c>
      <c r="H634" s="3">
        <f t="shared" si="111"/>
        <v>0</v>
      </c>
      <c r="I634" s="3"/>
      <c r="J634" s="3"/>
      <c r="K634" s="3"/>
      <c r="L634" s="12" t="str">
        <f t="shared" si="112"/>
        <v/>
      </c>
      <c r="M634" s="12" t="str">
        <f t="shared" si="113"/>
        <v/>
      </c>
      <c r="N634" s="11" t="str">
        <f t="shared" si="115"/>
        <v/>
      </c>
      <c r="O634" s="11" t="str">
        <f t="shared" si="117"/>
        <v/>
      </c>
      <c r="P634" s="11" t="str">
        <f t="shared" si="118"/>
        <v/>
      </c>
      <c r="Q634" s="7"/>
      <c r="R634" s="7"/>
      <c r="S634" s="7"/>
      <c r="T634" s="7"/>
      <c r="U634" s="7"/>
      <c r="V634" s="7"/>
      <c r="W634" s="7"/>
      <c r="X634" s="3"/>
      <c r="Y634" s="3"/>
      <c r="Z634" s="9">
        <v>0.25691000000000003</v>
      </c>
      <c r="AA634" s="12">
        <f t="shared" si="114"/>
        <v>0.11254980079681287</v>
      </c>
      <c r="AB634" s="9">
        <f t="shared" si="116"/>
        <v>0.26808428571428572</v>
      </c>
      <c r="AC634" s="9">
        <f t="shared" si="119"/>
        <v>0.32619678571428568</v>
      </c>
      <c r="AD634" s="9">
        <f t="shared" si="120"/>
        <v>0.82184833651027933</v>
      </c>
      <c r="AE634" s="3" t="s">
        <v>80</v>
      </c>
      <c r="AF634" s="11" t="str">
        <f t="shared" si="121"/>
        <v/>
      </c>
      <c r="AG634" s="11" t="str">
        <f t="shared" si="122"/>
        <v/>
      </c>
      <c r="AH634" s="11">
        <f t="shared" si="123"/>
        <v>0.78759206482502364</v>
      </c>
      <c r="AI634" s="3" t="s">
        <v>45</v>
      </c>
      <c r="AJ634" s="3" t="s">
        <v>79</v>
      </c>
      <c r="AK634" s="3" t="s">
        <v>46</v>
      </c>
      <c r="AL634" s="3" t="s">
        <v>81</v>
      </c>
      <c r="AM634" s="3" t="s">
        <v>82</v>
      </c>
    </row>
    <row r="635" spans="1:39" ht="21" customHeight="1">
      <c r="A635" s="4">
        <v>43043</v>
      </c>
      <c r="B635" s="3" t="s">
        <v>78</v>
      </c>
      <c r="C635" s="3" t="s">
        <v>79</v>
      </c>
      <c r="D635" s="4">
        <v>43159</v>
      </c>
      <c r="E635" s="3">
        <f t="shared" ref="E635:E698" si="124">A635-D635</f>
        <v>-116</v>
      </c>
      <c r="F635" s="3" t="str">
        <f t="shared" ref="F635:F698" si="125">IF(E635&lt;0,"개봉전","개봉후")</f>
        <v>개봉전</v>
      </c>
      <c r="G635" s="3" t="str">
        <f t="shared" ref="G635:G698" si="126">CHOOSE(WEEKDAY(A635,2),"월","화","수","목","금","토","일")</f>
        <v>토</v>
      </c>
      <c r="H635" s="3">
        <f t="shared" ref="H635:H698" si="127">IF(WEEKDAY(A635,2)&gt;5,1,0)</f>
        <v>1</v>
      </c>
      <c r="I635" s="3"/>
      <c r="J635" s="3"/>
      <c r="K635" s="3"/>
      <c r="L635" s="12" t="str">
        <f t="shared" ref="L635:L698" si="128">IF(COUNT(I635:J635)=2,IFERROR(J635/I635,""),"")</f>
        <v/>
      </c>
      <c r="M635" s="12" t="str">
        <f t="shared" si="113"/>
        <v/>
      </c>
      <c r="N635" s="11" t="str">
        <f t="shared" si="115"/>
        <v/>
      </c>
      <c r="O635" s="11" t="str">
        <f t="shared" si="117"/>
        <v/>
      </c>
      <c r="P635" s="11" t="str">
        <f t="shared" si="118"/>
        <v/>
      </c>
      <c r="Q635" s="7"/>
      <c r="R635" s="7"/>
      <c r="S635" s="7"/>
      <c r="T635" s="7"/>
      <c r="U635" s="7"/>
      <c r="V635" s="7"/>
      <c r="W635" s="7"/>
      <c r="X635" s="3"/>
      <c r="Y635" s="3"/>
      <c r="Z635" s="9">
        <v>0.30425999999999997</v>
      </c>
      <c r="AA635" s="12">
        <f t="shared" si="114"/>
        <v>0.18430578801915054</v>
      </c>
      <c r="AB635" s="9">
        <f t="shared" si="116"/>
        <v>0.26656000000000002</v>
      </c>
      <c r="AC635" s="9">
        <f t="shared" si="119"/>
        <v>0.3107299999999999</v>
      </c>
      <c r="AD635" s="9">
        <f t="shared" si="120"/>
        <v>0.85785086731245808</v>
      </c>
      <c r="AE635" s="3" t="s">
        <v>80</v>
      </c>
      <c r="AF635" s="11" t="str">
        <f t="shared" si="121"/>
        <v/>
      </c>
      <c r="AG635" s="11" t="str">
        <f t="shared" si="122"/>
        <v/>
      </c>
      <c r="AH635" s="11">
        <f t="shared" si="123"/>
        <v>0.97917806455765477</v>
      </c>
      <c r="AI635" s="3" t="s">
        <v>45</v>
      </c>
      <c r="AJ635" s="3" t="s">
        <v>79</v>
      </c>
      <c r="AK635" s="3" t="s">
        <v>46</v>
      </c>
      <c r="AL635" s="3" t="s">
        <v>81</v>
      </c>
      <c r="AM635" s="3" t="s">
        <v>82</v>
      </c>
    </row>
    <row r="636" spans="1:39" ht="21" customHeight="1">
      <c r="A636" s="4">
        <v>43044</v>
      </c>
      <c r="B636" s="3" t="s">
        <v>78</v>
      </c>
      <c r="C636" s="3" t="s">
        <v>79</v>
      </c>
      <c r="D636" s="4">
        <v>43159</v>
      </c>
      <c r="E636" s="3">
        <f t="shared" si="124"/>
        <v>-115</v>
      </c>
      <c r="F636" s="3" t="str">
        <f t="shared" si="125"/>
        <v>개봉전</v>
      </c>
      <c r="G636" s="3" t="str">
        <f t="shared" si="126"/>
        <v>일</v>
      </c>
      <c r="H636" s="3">
        <f t="shared" si="127"/>
        <v>1</v>
      </c>
      <c r="I636" s="3"/>
      <c r="J636" s="3"/>
      <c r="K636" s="3"/>
      <c r="L636" s="12" t="str">
        <f t="shared" si="128"/>
        <v/>
      </c>
      <c r="M636" s="12" t="str">
        <f t="shared" ref="M636:M699" si="129">IF(AND(COUNT(I635:I636)=2,A636=A635+1),IFERROR(I636/I635-1,""),"")</f>
        <v/>
      </c>
      <c r="N636" s="11" t="str">
        <f t="shared" si="115"/>
        <v/>
      </c>
      <c r="O636" s="11" t="str">
        <f t="shared" si="117"/>
        <v/>
      </c>
      <c r="P636" s="11" t="str">
        <f t="shared" si="118"/>
        <v/>
      </c>
      <c r="Q636" s="7"/>
      <c r="R636" s="7"/>
      <c r="S636" s="7"/>
      <c r="T636" s="7"/>
      <c r="U636" s="7"/>
      <c r="V636" s="7"/>
      <c r="W636" s="7"/>
      <c r="X636" s="3"/>
      <c r="Y636" s="3"/>
      <c r="Z636" s="9">
        <v>0.31168000000000001</v>
      </c>
      <c r="AA636" s="12">
        <f t="shared" ref="AA636:AA699" si="130">IF(AND(COUNT(Z635:Z636)=2,A636=A635+1),IFERROR(Z636/Z635-1,""),"")</f>
        <v>2.4387037402221923E-2</v>
      </c>
      <c r="AB636" s="9">
        <f t="shared" si="116"/>
        <v>0.26639428571428569</v>
      </c>
      <c r="AC636" s="9">
        <f t="shared" si="119"/>
        <v>0.3083514285714285</v>
      </c>
      <c r="AD636" s="9">
        <f t="shared" si="120"/>
        <v>0.86393076545314729</v>
      </c>
      <c r="AE636" s="3" t="s">
        <v>80</v>
      </c>
      <c r="AF636" s="11" t="str">
        <f t="shared" si="121"/>
        <v/>
      </c>
      <c r="AG636" s="11" t="str">
        <f t="shared" si="122"/>
        <v/>
      </c>
      <c r="AH636" s="11">
        <f t="shared" si="123"/>
        <v>1.0107947332820626</v>
      </c>
      <c r="AI636" s="3" t="s">
        <v>45</v>
      </c>
      <c r="AJ636" s="3" t="s">
        <v>79</v>
      </c>
      <c r="AK636" s="3" t="s">
        <v>46</v>
      </c>
      <c r="AL636" s="3" t="s">
        <v>81</v>
      </c>
      <c r="AM636" s="3" t="s">
        <v>82</v>
      </c>
    </row>
    <row r="637" spans="1:39" ht="21" customHeight="1">
      <c r="A637" s="4">
        <v>43045</v>
      </c>
      <c r="B637" s="3" t="s">
        <v>78</v>
      </c>
      <c r="C637" s="3" t="s">
        <v>79</v>
      </c>
      <c r="D637" s="4">
        <v>43159</v>
      </c>
      <c r="E637" s="3">
        <f t="shared" si="124"/>
        <v>-114</v>
      </c>
      <c r="F637" s="3" t="str">
        <f t="shared" si="125"/>
        <v>개봉전</v>
      </c>
      <c r="G637" s="3" t="str">
        <f t="shared" si="126"/>
        <v>월</v>
      </c>
      <c r="H637" s="3">
        <f t="shared" si="127"/>
        <v>0</v>
      </c>
      <c r="I637" s="3"/>
      <c r="J637" s="3"/>
      <c r="K637" s="3"/>
      <c r="L637" s="12" t="str">
        <f t="shared" si="128"/>
        <v/>
      </c>
      <c r="M637" s="12" t="str">
        <f t="shared" si="129"/>
        <v/>
      </c>
      <c r="N637" s="11" t="str">
        <f t="shared" si="115"/>
        <v/>
      </c>
      <c r="O637" s="11" t="str">
        <f t="shared" si="117"/>
        <v/>
      </c>
      <c r="P637" s="11" t="str">
        <f t="shared" si="118"/>
        <v/>
      </c>
      <c r="Q637" s="7"/>
      <c r="R637" s="7"/>
      <c r="S637" s="7"/>
      <c r="T637" s="7"/>
      <c r="U637" s="7"/>
      <c r="V637" s="7"/>
      <c r="W637" s="7"/>
      <c r="X637" s="3"/>
      <c r="Y637" s="3"/>
      <c r="Z637" s="9">
        <v>0.26039000000000001</v>
      </c>
      <c r="AA637" s="12">
        <f t="shared" si="130"/>
        <v>-0.16455980492813138</v>
      </c>
      <c r="AB637" s="9">
        <f t="shared" si="116"/>
        <v>0.26072428571428574</v>
      </c>
      <c r="AC637" s="9">
        <f t="shared" si="119"/>
        <v>0.30706642857142857</v>
      </c>
      <c r="AD637" s="9">
        <f t="shared" si="120"/>
        <v>0.84908105040091375</v>
      </c>
      <c r="AE637" s="3" t="s">
        <v>80</v>
      </c>
      <c r="AF637" s="11" t="str">
        <f t="shared" si="121"/>
        <v/>
      </c>
      <c r="AG637" s="11" t="str">
        <f t="shared" si="122"/>
        <v/>
      </c>
      <c r="AH637" s="11">
        <f t="shared" si="123"/>
        <v>0.84799240741300741</v>
      </c>
      <c r="AI637" s="3" t="s">
        <v>45</v>
      </c>
      <c r="AJ637" s="3" t="s">
        <v>79</v>
      </c>
      <c r="AK637" s="3" t="s">
        <v>46</v>
      </c>
      <c r="AL637" s="3" t="s">
        <v>81</v>
      </c>
      <c r="AM637" s="3" t="s">
        <v>82</v>
      </c>
    </row>
    <row r="638" spans="1:39" ht="21" customHeight="1">
      <c r="A638" s="4">
        <v>43046</v>
      </c>
      <c r="B638" s="3" t="s">
        <v>78</v>
      </c>
      <c r="C638" s="3" t="s">
        <v>79</v>
      </c>
      <c r="D638" s="4">
        <v>43159</v>
      </c>
      <c r="E638" s="3">
        <f t="shared" si="124"/>
        <v>-113</v>
      </c>
      <c r="F638" s="3" t="str">
        <f t="shared" si="125"/>
        <v>개봉전</v>
      </c>
      <c r="G638" s="3" t="str">
        <f t="shared" si="126"/>
        <v>화</v>
      </c>
      <c r="H638" s="3">
        <f t="shared" si="127"/>
        <v>0</v>
      </c>
      <c r="I638" s="3"/>
      <c r="J638" s="3"/>
      <c r="K638" s="3"/>
      <c r="L638" s="12" t="str">
        <f t="shared" si="128"/>
        <v/>
      </c>
      <c r="M638" s="12" t="str">
        <f t="shared" si="129"/>
        <v/>
      </c>
      <c r="N638" s="11" t="str">
        <f t="shared" si="115"/>
        <v/>
      </c>
      <c r="O638" s="11" t="str">
        <f t="shared" si="117"/>
        <v/>
      </c>
      <c r="P638" s="11" t="str">
        <f t="shared" si="118"/>
        <v/>
      </c>
      <c r="Q638" s="7"/>
      <c r="R638" s="7"/>
      <c r="S638" s="7"/>
      <c r="T638" s="7"/>
      <c r="U638" s="7"/>
      <c r="V638" s="7"/>
      <c r="W638" s="7"/>
      <c r="X638" s="3"/>
      <c r="Y638" s="3"/>
      <c r="Z638" s="9">
        <v>0.24554000000000001</v>
      </c>
      <c r="AA638" s="12">
        <f t="shared" si="130"/>
        <v>-5.7029839855601172E-2</v>
      </c>
      <c r="AB638" s="9">
        <f t="shared" si="116"/>
        <v>0.26394000000000001</v>
      </c>
      <c r="AC638" s="9">
        <f t="shared" si="119"/>
        <v>0.29830499999999999</v>
      </c>
      <c r="AD638" s="9">
        <f t="shared" si="120"/>
        <v>0.88479911499974861</v>
      </c>
      <c r="AE638" s="3" t="s">
        <v>80</v>
      </c>
      <c r="AF638" s="11" t="str">
        <f t="shared" si="121"/>
        <v/>
      </c>
      <c r="AG638" s="11" t="str">
        <f t="shared" si="122"/>
        <v/>
      </c>
      <c r="AH638" s="11">
        <f t="shared" si="123"/>
        <v>0.8231172792946817</v>
      </c>
      <c r="AI638" s="3" t="s">
        <v>45</v>
      </c>
      <c r="AJ638" s="3" t="s">
        <v>79</v>
      </c>
      <c r="AK638" s="3" t="s">
        <v>46</v>
      </c>
      <c r="AL638" s="3" t="s">
        <v>81</v>
      </c>
      <c r="AM638" s="3" t="s">
        <v>82</v>
      </c>
    </row>
    <row r="639" spans="1:39" ht="21" customHeight="1">
      <c r="A639" s="4">
        <v>43047</v>
      </c>
      <c r="B639" s="3" t="s">
        <v>78</v>
      </c>
      <c r="C639" s="3" t="s">
        <v>79</v>
      </c>
      <c r="D639" s="4">
        <v>43159</v>
      </c>
      <c r="E639" s="3">
        <f t="shared" si="124"/>
        <v>-112</v>
      </c>
      <c r="F639" s="3" t="str">
        <f t="shared" si="125"/>
        <v>개봉전</v>
      </c>
      <c r="G639" s="3" t="str">
        <f t="shared" si="126"/>
        <v>수</v>
      </c>
      <c r="H639" s="3">
        <f t="shared" si="127"/>
        <v>0</v>
      </c>
      <c r="I639" s="3"/>
      <c r="J639" s="3"/>
      <c r="K639" s="3"/>
      <c r="L639" s="12" t="str">
        <f t="shared" si="128"/>
        <v/>
      </c>
      <c r="M639" s="12" t="str">
        <f t="shared" si="129"/>
        <v/>
      </c>
      <c r="N639" s="11" t="str">
        <f t="shared" si="115"/>
        <v/>
      </c>
      <c r="O639" s="11" t="str">
        <f t="shared" si="117"/>
        <v/>
      </c>
      <c r="P639" s="11" t="str">
        <f t="shared" si="118"/>
        <v/>
      </c>
      <c r="Q639" s="7"/>
      <c r="R639" s="7"/>
      <c r="S639" s="7"/>
      <c r="T639" s="7"/>
      <c r="U639" s="7"/>
      <c r="V639" s="7"/>
      <c r="W639" s="7"/>
      <c r="X639" s="3"/>
      <c r="Y639" s="3"/>
      <c r="Z639" s="9">
        <v>0.22650999999999999</v>
      </c>
      <c r="AA639" s="12">
        <f t="shared" si="130"/>
        <v>-7.7502647226521226E-2</v>
      </c>
      <c r="AB639" s="9">
        <f t="shared" si="116"/>
        <v>0.26231571428571432</v>
      </c>
      <c r="AC639" s="9">
        <f t="shared" si="119"/>
        <v>0.29479071428571429</v>
      </c>
      <c r="AD639" s="9">
        <f t="shared" si="120"/>
        <v>0.88983709992803617</v>
      </c>
      <c r="AE639" s="3" t="s">
        <v>80</v>
      </c>
      <c r="AF639" s="11" t="str">
        <f t="shared" si="121"/>
        <v/>
      </c>
      <c r="AG639" s="11" t="str">
        <f t="shared" si="122"/>
        <v/>
      </c>
      <c r="AH639" s="11">
        <f t="shared" si="123"/>
        <v>0.76837562726098652</v>
      </c>
      <c r="AI639" s="3" t="s">
        <v>45</v>
      </c>
      <c r="AJ639" s="3" t="s">
        <v>79</v>
      </c>
      <c r="AK639" s="3" t="s">
        <v>46</v>
      </c>
      <c r="AL639" s="3" t="s">
        <v>81</v>
      </c>
      <c r="AM639" s="3" t="s">
        <v>82</v>
      </c>
    </row>
    <row r="640" spans="1:39" ht="21" customHeight="1">
      <c r="A640" s="4">
        <v>43048</v>
      </c>
      <c r="B640" s="3" t="s">
        <v>78</v>
      </c>
      <c r="C640" s="3" t="s">
        <v>79</v>
      </c>
      <c r="D640" s="4">
        <v>43159</v>
      </c>
      <c r="E640" s="3">
        <f t="shared" si="124"/>
        <v>-111</v>
      </c>
      <c r="F640" s="3" t="str">
        <f t="shared" si="125"/>
        <v>개봉전</v>
      </c>
      <c r="G640" s="3" t="str">
        <f t="shared" si="126"/>
        <v>목</v>
      </c>
      <c r="H640" s="3">
        <f t="shared" si="127"/>
        <v>0</v>
      </c>
      <c r="I640" s="3"/>
      <c r="J640" s="3"/>
      <c r="K640" s="3"/>
      <c r="L640" s="12" t="str">
        <f t="shared" si="128"/>
        <v/>
      </c>
      <c r="M640" s="12" t="str">
        <f t="shared" si="129"/>
        <v/>
      </c>
      <c r="N640" s="11" t="str">
        <f t="shared" si="115"/>
        <v/>
      </c>
      <c r="O640" s="11" t="str">
        <f t="shared" si="117"/>
        <v/>
      </c>
      <c r="P640" s="11" t="str">
        <f t="shared" si="118"/>
        <v/>
      </c>
      <c r="Q640" s="7"/>
      <c r="R640" s="7"/>
      <c r="S640" s="7"/>
      <c r="T640" s="7"/>
      <c r="U640" s="7"/>
      <c r="V640" s="7"/>
      <c r="W640" s="7"/>
      <c r="X640" s="3"/>
      <c r="Y640" s="3"/>
      <c r="Z640" s="9">
        <v>0.23022000000000001</v>
      </c>
      <c r="AA640" s="12">
        <f t="shared" si="130"/>
        <v>1.6378967815990464E-2</v>
      </c>
      <c r="AB640" s="9">
        <f t="shared" si="116"/>
        <v>0.26221571428571427</v>
      </c>
      <c r="AC640" s="9">
        <f t="shared" si="119"/>
        <v>0.29055535714285713</v>
      </c>
      <c r="AD640" s="9">
        <f t="shared" si="120"/>
        <v>0.90246387767268343</v>
      </c>
      <c r="AE640" s="3" t="s">
        <v>80</v>
      </c>
      <c r="AF640" s="11" t="str">
        <f t="shared" si="121"/>
        <v/>
      </c>
      <c r="AG640" s="11" t="str">
        <f t="shared" si="122"/>
        <v/>
      </c>
      <c r="AH640" s="11">
        <f t="shared" si="123"/>
        <v>0.79234470933126844</v>
      </c>
      <c r="AI640" s="3" t="s">
        <v>45</v>
      </c>
      <c r="AJ640" s="3" t="s">
        <v>79</v>
      </c>
      <c r="AK640" s="3" t="s">
        <v>46</v>
      </c>
      <c r="AL640" s="3" t="s">
        <v>81</v>
      </c>
      <c r="AM640" s="3" t="s">
        <v>82</v>
      </c>
    </row>
    <row r="641" spans="1:39" ht="21" customHeight="1">
      <c r="A641" s="4">
        <v>43049</v>
      </c>
      <c r="B641" s="3" t="s">
        <v>78</v>
      </c>
      <c r="C641" s="3" t="s">
        <v>79</v>
      </c>
      <c r="D641" s="4">
        <v>43159</v>
      </c>
      <c r="E641" s="3">
        <f t="shared" si="124"/>
        <v>-110</v>
      </c>
      <c r="F641" s="3" t="str">
        <f t="shared" si="125"/>
        <v>개봉전</v>
      </c>
      <c r="G641" s="3" t="str">
        <f t="shared" si="126"/>
        <v>금</v>
      </c>
      <c r="H641" s="3">
        <f t="shared" si="127"/>
        <v>0</v>
      </c>
      <c r="I641" s="3"/>
      <c r="J641" s="3"/>
      <c r="K641" s="3"/>
      <c r="L641" s="12" t="str">
        <f t="shared" si="128"/>
        <v/>
      </c>
      <c r="M641" s="12" t="str">
        <f t="shared" si="129"/>
        <v/>
      </c>
      <c r="N641" s="11" t="str">
        <f t="shared" ref="N641:N704" si="131">IF(COUNT(I635:I641)=7,AVERAGE(I635:I641),"")</f>
        <v/>
      </c>
      <c r="O641" s="11" t="str">
        <f t="shared" si="117"/>
        <v/>
      </c>
      <c r="P641" s="11" t="str">
        <f t="shared" si="118"/>
        <v/>
      </c>
      <c r="Q641" s="7"/>
      <c r="R641" s="7"/>
      <c r="S641" s="7"/>
      <c r="T641" s="7"/>
      <c r="U641" s="7"/>
      <c r="V641" s="7"/>
      <c r="W641" s="7"/>
      <c r="X641" s="3"/>
      <c r="Y641" s="3"/>
      <c r="Z641" s="9">
        <v>0.29032999999999998</v>
      </c>
      <c r="AA641" s="12">
        <f t="shared" si="130"/>
        <v>0.26109808009729818</v>
      </c>
      <c r="AB641" s="9">
        <f t="shared" ref="AB641:AB704" si="132">IF(COUNT(Z635:Z641)=7,AVERAGE(Z635:Z641),"")</f>
        <v>0.26699000000000001</v>
      </c>
      <c r="AC641" s="9">
        <f t="shared" si="119"/>
        <v>0.28934499999999996</v>
      </c>
      <c r="AD641" s="9">
        <f t="shared" si="120"/>
        <v>0.92273929046639835</v>
      </c>
      <c r="AE641" s="3" t="s">
        <v>80</v>
      </c>
      <c r="AF641" s="11" t="str">
        <f t="shared" si="121"/>
        <v/>
      </c>
      <c r="AG641" s="11" t="str">
        <f t="shared" si="122"/>
        <v/>
      </c>
      <c r="AH641" s="11">
        <f t="shared" si="123"/>
        <v>1.0034042406124177</v>
      </c>
      <c r="AI641" s="3" t="s">
        <v>45</v>
      </c>
      <c r="AJ641" s="3" t="s">
        <v>79</v>
      </c>
      <c r="AK641" s="3" t="s">
        <v>46</v>
      </c>
      <c r="AL641" s="3" t="s">
        <v>81</v>
      </c>
      <c r="AM641" s="3" t="s">
        <v>82</v>
      </c>
    </row>
    <row r="642" spans="1:39" ht="21" customHeight="1">
      <c r="A642" s="4">
        <v>43050</v>
      </c>
      <c r="B642" s="3" t="s">
        <v>78</v>
      </c>
      <c r="C642" s="3" t="s">
        <v>79</v>
      </c>
      <c r="D642" s="4">
        <v>43159</v>
      </c>
      <c r="E642" s="3">
        <f t="shared" si="124"/>
        <v>-109</v>
      </c>
      <c r="F642" s="3" t="str">
        <f t="shared" si="125"/>
        <v>개봉전</v>
      </c>
      <c r="G642" s="3" t="str">
        <f t="shared" si="126"/>
        <v>토</v>
      </c>
      <c r="H642" s="3">
        <f t="shared" si="127"/>
        <v>1</v>
      </c>
      <c r="I642" s="3"/>
      <c r="J642" s="3"/>
      <c r="K642" s="3"/>
      <c r="L642" s="12" t="str">
        <f t="shared" si="128"/>
        <v/>
      </c>
      <c r="M642" s="12" t="str">
        <f t="shared" si="129"/>
        <v/>
      </c>
      <c r="N642" s="11" t="str">
        <f t="shared" si="131"/>
        <v/>
      </c>
      <c r="O642" s="11" t="str">
        <f t="shared" si="117"/>
        <v/>
      </c>
      <c r="P642" s="11" t="str">
        <f t="shared" si="118"/>
        <v/>
      </c>
      <c r="Q642" s="7"/>
      <c r="R642" s="7"/>
      <c r="S642" s="7"/>
      <c r="T642" s="7"/>
      <c r="U642" s="7"/>
      <c r="V642" s="7"/>
      <c r="W642" s="7"/>
      <c r="X642" s="3"/>
      <c r="Y642" s="3"/>
      <c r="Z642" s="9">
        <v>0.30124000000000001</v>
      </c>
      <c r="AA642" s="12">
        <f t="shared" si="130"/>
        <v>3.7577928564047847E-2</v>
      </c>
      <c r="AB642" s="9">
        <f t="shared" si="132"/>
        <v>0.26655857142857142</v>
      </c>
      <c r="AC642" s="9">
        <f t="shared" si="119"/>
        <v>0.29100285714285717</v>
      </c>
      <c r="AD642" s="9">
        <f t="shared" si="120"/>
        <v>0.91599984290777692</v>
      </c>
      <c r="AE642" s="3" t="s">
        <v>80</v>
      </c>
      <c r="AF642" s="11" t="str">
        <f t="shared" si="121"/>
        <v/>
      </c>
      <c r="AG642" s="11" t="str">
        <f t="shared" si="122"/>
        <v/>
      </c>
      <c r="AH642" s="11">
        <f t="shared" si="123"/>
        <v>1.0351788396775681</v>
      </c>
      <c r="AI642" s="3" t="s">
        <v>45</v>
      </c>
      <c r="AJ642" s="3" t="s">
        <v>79</v>
      </c>
      <c r="AK642" s="3" t="s">
        <v>46</v>
      </c>
      <c r="AL642" s="3" t="s">
        <v>81</v>
      </c>
      <c r="AM642" s="3" t="s">
        <v>82</v>
      </c>
    </row>
    <row r="643" spans="1:39" ht="21" customHeight="1">
      <c r="A643" s="4">
        <v>43051</v>
      </c>
      <c r="B643" s="3" t="s">
        <v>78</v>
      </c>
      <c r="C643" s="3" t="s">
        <v>79</v>
      </c>
      <c r="D643" s="4">
        <v>43159</v>
      </c>
      <c r="E643" s="3">
        <f t="shared" si="124"/>
        <v>-108</v>
      </c>
      <c r="F643" s="3" t="str">
        <f t="shared" si="125"/>
        <v>개봉전</v>
      </c>
      <c r="G643" s="3" t="str">
        <f t="shared" si="126"/>
        <v>일</v>
      </c>
      <c r="H643" s="3">
        <f t="shared" si="127"/>
        <v>1</v>
      </c>
      <c r="I643" s="3"/>
      <c r="J643" s="3"/>
      <c r="K643" s="3"/>
      <c r="L643" s="12" t="str">
        <f t="shared" si="128"/>
        <v/>
      </c>
      <c r="M643" s="12" t="str">
        <f t="shared" si="129"/>
        <v/>
      </c>
      <c r="N643" s="11" t="str">
        <f t="shared" si="131"/>
        <v/>
      </c>
      <c r="O643" s="11" t="str">
        <f t="shared" si="117"/>
        <v/>
      </c>
      <c r="P643" s="11" t="str">
        <f t="shared" si="118"/>
        <v/>
      </c>
      <c r="Q643" s="7"/>
      <c r="R643" s="7"/>
      <c r="S643" s="7"/>
      <c r="T643" s="7"/>
      <c r="U643" s="7"/>
      <c r="V643" s="7"/>
      <c r="W643" s="7"/>
      <c r="X643" s="3"/>
      <c r="Y643" s="3"/>
      <c r="Z643" s="9">
        <v>0.27710000000000001</v>
      </c>
      <c r="AA643" s="12">
        <f t="shared" si="130"/>
        <v>-8.0135440180586937E-2</v>
      </c>
      <c r="AB643" s="9">
        <f t="shared" si="132"/>
        <v>0.26161857142857142</v>
      </c>
      <c r="AC643" s="9">
        <f t="shared" si="119"/>
        <v>0.29307500000000003</v>
      </c>
      <c r="AD643" s="9">
        <f t="shared" si="120"/>
        <v>0.89266764967524148</v>
      </c>
      <c r="AE643" s="3" t="s">
        <v>80</v>
      </c>
      <c r="AF643" s="11" t="str">
        <f t="shared" si="121"/>
        <v/>
      </c>
      <c r="AG643" s="11" t="str">
        <f t="shared" si="122"/>
        <v/>
      </c>
      <c r="AH643" s="11">
        <f t="shared" si="123"/>
        <v>0.94549176831868975</v>
      </c>
      <c r="AI643" s="3" t="s">
        <v>45</v>
      </c>
      <c r="AJ643" s="3" t="s">
        <v>79</v>
      </c>
      <c r="AK643" s="3" t="s">
        <v>46</v>
      </c>
      <c r="AL643" s="3" t="s">
        <v>81</v>
      </c>
      <c r="AM643" s="3" t="s">
        <v>82</v>
      </c>
    </row>
    <row r="644" spans="1:39" ht="21" customHeight="1">
      <c r="A644" s="4">
        <v>43052</v>
      </c>
      <c r="B644" s="3" t="s">
        <v>78</v>
      </c>
      <c r="C644" s="3" t="s">
        <v>79</v>
      </c>
      <c r="D644" s="4">
        <v>43159</v>
      </c>
      <c r="E644" s="3">
        <f t="shared" si="124"/>
        <v>-107</v>
      </c>
      <c r="F644" s="3" t="str">
        <f t="shared" si="125"/>
        <v>개봉전</v>
      </c>
      <c r="G644" s="3" t="str">
        <f t="shared" si="126"/>
        <v>월</v>
      </c>
      <c r="H644" s="3">
        <f t="shared" si="127"/>
        <v>0</v>
      </c>
      <c r="I644" s="3"/>
      <c r="J644" s="3"/>
      <c r="K644" s="3"/>
      <c r="L644" s="12" t="str">
        <f t="shared" si="128"/>
        <v/>
      </c>
      <c r="M644" s="12" t="str">
        <f t="shared" si="129"/>
        <v/>
      </c>
      <c r="N644" s="11" t="str">
        <f t="shared" si="131"/>
        <v/>
      </c>
      <c r="O644" s="11" t="str">
        <f t="shared" si="117"/>
        <v/>
      </c>
      <c r="P644" s="11" t="str">
        <f t="shared" si="118"/>
        <v/>
      </c>
      <c r="Q644" s="7"/>
      <c r="R644" s="7"/>
      <c r="S644" s="7"/>
      <c r="T644" s="7"/>
      <c r="U644" s="7"/>
      <c r="V644" s="7"/>
      <c r="W644" s="7"/>
      <c r="X644" s="3"/>
      <c r="Y644" s="3"/>
      <c r="Z644" s="9">
        <v>0.26479999999999998</v>
      </c>
      <c r="AA644" s="12">
        <f t="shared" si="130"/>
        <v>-4.4388307470227484E-2</v>
      </c>
      <c r="AB644" s="9">
        <f t="shared" si="132"/>
        <v>0.26224857142857139</v>
      </c>
      <c r="AC644" s="9">
        <f t="shared" si="119"/>
        <v>0.29133428571428582</v>
      </c>
      <c r="AD644" s="9">
        <f t="shared" si="120"/>
        <v>0.90016377847735007</v>
      </c>
      <c r="AE644" s="3" t="s">
        <v>80</v>
      </c>
      <c r="AF644" s="11" t="str">
        <f t="shared" si="121"/>
        <v/>
      </c>
      <c r="AG644" s="11" t="str">
        <f t="shared" si="122"/>
        <v/>
      </c>
      <c r="AH644" s="11">
        <f t="shared" si="123"/>
        <v>0.90892151382309927</v>
      </c>
      <c r="AI644" s="3" t="s">
        <v>45</v>
      </c>
      <c r="AJ644" s="3" t="s">
        <v>79</v>
      </c>
      <c r="AK644" s="3" t="s">
        <v>46</v>
      </c>
      <c r="AL644" s="3" t="s">
        <v>81</v>
      </c>
      <c r="AM644" s="3" t="s">
        <v>82</v>
      </c>
    </row>
    <row r="645" spans="1:39" ht="21" customHeight="1">
      <c r="A645" s="4">
        <v>43053</v>
      </c>
      <c r="B645" s="3" t="s">
        <v>78</v>
      </c>
      <c r="C645" s="3" t="s">
        <v>79</v>
      </c>
      <c r="D645" s="4">
        <v>43159</v>
      </c>
      <c r="E645" s="3">
        <f t="shared" si="124"/>
        <v>-106</v>
      </c>
      <c r="F645" s="3" t="str">
        <f t="shared" si="125"/>
        <v>개봉전</v>
      </c>
      <c r="G645" s="3" t="str">
        <f t="shared" si="126"/>
        <v>화</v>
      </c>
      <c r="H645" s="3">
        <f t="shared" si="127"/>
        <v>0</v>
      </c>
      <c r="I645" s="3"/>
      <c r="J645" s="3"/>
      <c r="K645" s="3"/>
      <c r="L645" s="12" t="str">
        <f t="shared" si="128"/>
        <v/>
      </c>
      <c r="M645" s="12" t="str">
        <f t="shared" si="129"/>
        <v/>
      </c>
      <c r="N645" s="11" t="str">
        <f t="shared" si="131"/>
        <v/>
      </c>
      <c r="O645" s="11" t="str">
        <f t="shared" si="117"/>
        <v/>
      </c>
      <c r="P645" s="11" t="str">
        <f t="shared" si="118"/>
        <v/>
      </c>
      <c r="Q645" s="7"/>
      <c r="R645" s="7"/>
      <c r="S645" s="7"/>
      <c r="T645" s="7"/>
      <c r="U645" s="7"/>
      <c r="V645" s="7"/>
      <c r="W645" s="7"/>
      <c r="X645" s="3"/>
      <c r="Y645" s="3"/>
      <c r="Z645" s="9">
        <v>0.24274999999999999</v>
      </c>
      <c r="AA645" s="12">
        <f t="shared" si="130"/>
        <v>-8.3270392749244637E-2</v>
      </c>
      <c r="AB645" s="9">
        <f t="shared" si="132"/>
        <v>0.26185000000000003</v>
      </c>
      <c r="AC645" s="9">
        <f t="shared" si="119"/>
        <v>0.29014071428571431</v>
      </c>
      <c r="AD645" s="9">
        <f t="shared" si="120"/>
        <v>0.90249312525695657</v>
      </c>
      <c r="AE645" s="3" t="s">
        <v>80</v>
      </c>
      <c r="AF645" s="11" t="str">
        <f t="shared" si="121"/>
        <v/>
      </c>
      <c r="AG645" s="11" t="str">
        <f t="shared" si="122"/>
        <v/>
      </c>
      <c r="AH645" s="11">
        <f t="shared" si="123"/>
        <v>0.83666299849580372</v>
      </c>
      <c r="AI645" s="3" t="s">
        <v>45</v>
      </c>
      <c r="AJ645" s="3" t="s">
        <v>79</v>
      </c>
      <c r="AK645" s="3" t="s">
        <v>46</v>
      </c>
      <c r="AL645" s="3" t="s">
        <v>81</v>
      </c>
      <c r="AM645" s="3" t="s">
        <v>82</v>
      </c>
    </row>
    <row r="646" spans="1:39" ht="21" customHeight="1">
      <c r="A646" s="4">
        <v>43054</v>
      </c>
      <c r="B646" s="3" t="s">
        <v>78</v>
      </c>
      <c r="C646" s="3" t="s">
        <v>79</v>
      </c>
      <c r="D646" s="4">
        <v>43159</v>
      </c>
      <c r="E646" s="3">
        <f t="shared" si="124"/>
        <v>-105</v>
      </c>
      <c r="F646" s="3" t="str">
        <f t="shared" si="125"/>
        <v>개봉전</v>
      </c>
      <c r="G646" s="3" t="str">
        <f t="shared" si="126"/>
        <v>수</v>
      </c>
      <c r="H646" s="3">
        <f t="shared" si="127"/>
        <v>0</v>
      </c>
      <c r="I646" s="3"/>
      <c r="J646" s="3"/>
      <c r="K646" s="3"/>
      <c r="L646" s="12" t="str">
        <f t="shared" si="128"/>
        <v/>
      </c>
      <c r="M646" s="12" t="str">
        <f t="shared" si="129"/>
        <v/>
      </c>
      <c r="N646" s="11" t="str">
        <f t="shared" si="131"/>
        <v/>
      </c>
      <c r="O646" s="11" t="str">
        <f t="shared" si="117"/>
        <v/>
      </c>
      <c r="P646" s="11" t="str">
        <f t="shared" si="118"/>
        <v/>
      </c>
      <c r="Q646" s="7"/>
      <c r="R646" s="7"/>
      <c r="S646" s="7"/>
      <c r="T646" s="7"/>
      <c r="U646" s="7"/>
      <c r="V646" s="7"/>
      <c r="W646" s="7"/>
      <c r="X646" s="3"/>
      <c r="Y646" s="3"/>
      <c r="Z646" s="9">
        <v>0.32422000000000001</v>
      </c>
      <c r="AA646" s="12">
        <f t="shared" si="130"/>
        <v>0.33561277033985593</v>
      </c>
      <c r="AB646" s="9">
        <f t="shared" si="132"/>
        <v>0.2758085714285714</v>
      </c>
      <c r="AC646" s="9">
        <f t="shared" si="119"/>
        <v>0.28875642857142864</v>
      </c>
      <c r="AD646" s="9">
        <f t="shared" si="120"/>
        <v>0.95515993459638471</v>
      </c>
      <c r="AE646" s="3" t="s">
        <v>80</v>
      </c>
      <c r="AF646" s="11" t="str">
        <f t="shared" si="121"/>
        <v/>
      </c>
      <c r="AG646" s="11" t="str">
        <f t="shared" si="122"/>
        <v/>
      </c>
      <c r="AH646" s="11">
        <f t="shared" si="123"/>
        <v>1.1228148291070821</v>
      </c>
      <c r="AI646" s="3" t="s">
        <v>45</v>
      </c>
      <c r="AJ646" s="3" t="s">
        <v>79</v>
      </c>
      <c r="AK646" s="3" t="s">
        <v>46</v>
      </c>
      <c r="AL646" s="3" t="s">
        <v>81</v>
      </c>
      <c r="AM646" s="3" t="s">
        <v>82</v>
      </c>
    </row>
    <row r="647" spans="1:39" ht="21" customHeight="1">
      <c r="A647" s="4">
        <v>43055</v>
      </c>
      <c r="B647" s="3" t="s">
        <v>78</v>
      </c>
      <c r="C647" s="3" t="s">
        <v>79</v>
      </c>
      <c r="D647" s="4">
        <v>43159</v>
      </c>
      <c r="E647" s="3">
        <f t="shared" si="124"/>
        <v>-104</v>
      </c>
      <c r="F647" s="3" t="str">
        <f t="shared" si="125"/>
        <v>개봉전</v>
      </c>
      <c r="G647" s="3" t="str">
        <f t="shared" si="126"/>
        <v>목</v>
      </c>
      <c r="H647" s="3">
        <f t="shared" si="127"/>
        <v>0</v>
      </c>
      <c r="I647" s="3"/>
      <c r="J647" s="3"/>
      <c r="K647" s="3"/>
      <c r="L647" s="12" t="str">
        <f t="shared" si="128"/>
        <v/>
      </c>
      <c r="M647" s="12" t="str">
        <f t="shared" si="129"/>
        <v/>
      </c>
      <c r="N647" s="11" t="str">
        <f t="shared" si="131"/>
        <v/>
      </c>
      <c r="O647" s="11" t="str">
        <f t="shared" si="117"/>
        <v/>
      </c>
      <c r="P647" s="11" t="str">
        <f t="shared" si="118"/>
        <v/>
      </c>
      <c r="Q647" s="7"/>
      <c r="R647" s="7"/>
      <c r="S647" s="7"/>
      <c r="T647" s="7"/>
      <c r="U647" s="7"/>
      <c r="V647" s="7"/>
      <c r="W647" s="7"/>
      <c r="X647" s="3"/>
      <c r="Y647" s="3"/>
      <c r="Z647" s="9">
        <v>0.25389</v>
      </c>
      <c r="AA647" s="12">
        <f t="shared" si="130"/>
        <v>-0.21692060946271052</v>
      </c>
      <c r="AB647" s="9">
        <f t="shared" si="132"/>
        <v>0.27918999999999999</v>
      </c>
      <c r="AC647" s="9">
        <f t="shared" si="119"/>
        <v>0.28975107142857143</v>
      </c>
      <c r="AD647" s="9">
        <f t="shared" si="120"/>
        <v>0.96355122562100715</v>
      </c>
      <c r="AE647" s="3" t="s">
        <v>80</v>
      </c>
      <c r="AF647" s="11" t="str">
        <f t="shared" si="121"/>
        <v/>
      </c>
      <c r="AG647" s="11" t="str">
        <f t="shared" si="122"/>
        <v/>
      </c>
      <c r="AH647" s="11">
        <f t="shared" si="123"/>
        <v>0.87623489621017059</v>
      </c>
      <c r="AI647" s="3" t="s">
        <v>45</v>
      </c>
      <c r="AJ647" s="3" t="s">
        <v>79</v>
      </c>
      <c r="AK647" s="3" t="s">
        <v>46</v>
      </c>
      <c r="AL647" s="3" t="s">
        <v>81</v>
      </c>
      <c r="AM647" s="3" t="s">
        <v>82</v>
      </c>
    </row>
    <row r="648" spans="1:39" ht="21" customHeight="1">
      <c r="A648" s="4">
        <v>43056</v>
      </c>
      <c r="B648" s="3" t="s">
        <v>78</v>
      </c>
      <c r="C648" s="3" t="s">
        <v>79</v>
      </c>
      <c r="D648" s="4">
        <v>43159</v>
      </c>
      <c r="E648" s="3">
        <f t="shared" si="124"/>
        <v>-103</v>
      </c>
      <c r="F648" s="3" t="str">
        <f t="shared" si="125"/>
        <v>개봉전</v>
      </c>
      <c r="G648" s="3" t="str">
        <f t="shared" si="126"/>
        <v>금</v>
      </c>
      <c r="H648" s="3">
        <f t="shared" si="127"/>
        <v>0</v>
      </c>
      <c r="I648" s="3"/>
      <c r="J648" s="3"/>
      <c r="K648" s="3"/>
      <c r="L648" s="12" t="str">
        <f t="shared" si="128"/>
        <v/>
      </c>
      <c r="M648" s="12" t="str">
        <f t="shared" si="129"/>
        <v/>
      </c>
      <c r="N648" s="11" t="str">
        <f t="shared" si="131"/>
        <v/>
      </c>
      <c r="O648" s="11" t="str">
        <f t="shared" si="117"/>
        <v/>
      </c>
      <c r="P648" s="11" t="str">
        <f t="shared" si="118"/>
        <v/>
      </c>
      <c r="Q648" s="7"/>
      <c r="R648" s="7"/>
      <c r="S648" s="7"/>
      <c r="T648" s="7"/>
      <c r="U648" s="7"/>
      <c r="V648" s="7"/>
      <c r="W648" s="7"/>
      <c r="X648" s="3"/>
      <c r="Y648" s="3"/>
      <c r="Z648" s="9">
        <v>0.24693000000000001</v>
      </c>
      <c r="AA648" s="12">
        <f t="shared" si="130"/>
        <v>-2.7413446768285499E-2</v>
      </c>
      <c r="AB648" s="9">
        <f t="shared" si="132"/>
        <v>0.27299000000000001</v>
      </c>
      <c r="AC648" s="9">
        <f t="shared" si="119"/>
        <v>0.28888071428571432</v>
      </c>
      <c r="AD648" s="9">
        <f t="shared" si="120"/>
        <v>0.94499212477715711</v>
      </c>
      <c r="AE648" s="3" t="s">
        <v>80</v>
      </c>
      <c r="AF648" s="11" t="str">
        <f t="shared" si="121"/>
        <v/>
      </c>
      <c r="AG648" s="11" t="str">
        <f t="shared" si="122"/>
        <v/>
      </c>
      <c r="AH648" s="11">
        <f t="shared" si="123"/>
        <v>0.85478187981692877</v>
      </c>
      <c r="AI648" s="3" t="s">
        <v>45</v>
      </c>
      <c r="AJ648" s="3" t="s">
        <v>79</v>
      </c>
      <c r="AK648" s="3" t="s">
        <v>46</v>
      </c>
      <c r="AL648" s="3" t="s">
        <v>81</v>
      </c>
      <c r="AM648" s="3" t="s">
        <v>82</v>
      </c>
    </row>
    <row r="649" spans="1:39" ht="21" customHeight="1">
      <c r="A649" s="4">
        <v>43057</v>
      </c>
      <c r="B649" s="3" t="s">
        <v>78</v>
      </c>
      <c r="C649" s="3" t="s">
        <v>79</v>
      </c>
      <c r="D649" s="4">
        <v>43159</v>
      </c>
      <c r="E649" s="3">
        <f t="shared" si="124"/>
        <v>-102</v>
      </c>
      <c r="F649" s="3" t="str">
        <f t="shared" si="125"/>
        <v>개봉전</v>
      </c>
      <c r="G649" s="3" t="str">
        <f t="shared" si="126"/>
        <v>토</v>
      </c>
      <c r="H649" s="3">
        <f t="shared" si="127"/>
        <v>1</v>
      </c>
      <c r="I649" s="3"/>
      <c r="J649" s="3"/>
      <c r="K649" s="3"/>
      <c r="L649" s="12" t="str">
        <f t="shared" si="128"/>
        <v/>
      </c>
      <c r="M649" s="12" t="str">
        <f t="shared" si="129"/>
        <v/>
      </c>
      <c r="N649" s="11" t="str">
        <f t="shared" si="131"/>
        <v/>
      </c>
      <c r="O649" s="11" t="str">
        <f t="shared" si="117"/>
        <v/>
      </c>
      <c r="P649" s="11" t="str">
        <f t="shared" si="118"/>
        <v/>
      </c>
      <c r="Q649" s="7"/>
      <c r="R649" s="7"/>
      <c r="S649" s="7"/>
      <c r="T649" s="7"/>
      <c r="U649" s="7"/>
      <c r="V649" s="7"/>
      <c r="W649" s="7"/>
      <c r="X649" s="3"/>
      <c r="Y649" s="3"/>
      <c r="Z649" s="9">
        <v>0.24113000000000001</v>
      </c>
      <c r="AA649" s="12">
        <f t="shared" si="130"/>
        <v>-2.3488438018871793E-2</v>
      </c>
      <c r="AB649" s="9">
        <f t="shared" si="132"/>
        <v>0.26440285714285716</v>
      </c>
      <c r="AC649" s="9">
        <f t="shared" si="119"/>
        <v>0.28750464285714289</v>
      </c>
      <c r="AD649" s="9">
        <f t="shared" si="120"/>
        <v>0.91964726035480171</v>
      </c>
      <c r="AE649" s="3" t="s">
        <v>80</v>
      </c>
      <c r="AF649" s="11" t="str">
        <f t="shared" si="121"/>
        <v/>
      </c>
      <c r="AG649" s="11" t="str">
        <f t="shared" si="122"/>
        <v/>
      </c>
      <c r="AH649" s="11">
        <f t="shared" si="123"/>
        <v>0.83869949926274479</v>
      </c>
      <c r="AI649" s="3" t="s">
        <v>45</v>
      </c>
      <c r="AJ649" s="3" t="s">
        <v>79</v>
      </c>
      <c r="AK649" s="3" t="s">
        <v>46</v>
      </c>
      <c r="AL649" s="3" t="s">
        <v>81</v>
      </c>
      <c r="AM649" s="3" t="s">
        <v>82</v>
      </c>
    </row>
    <row r="650" spans="1:39" ht="21" customHeight="1">
      <c r="A650" s="4">
        <v>43058</v>
      </c>
      <c r="B650" s="3" t="s">
        <v>78</v>
      </c>
      <c r="C650" s="3" t="s">
        <v>79</v>
      </c>
      <c r="D650" s="4">
        <v>43159</v>
      </c>
      <c r="E650" s="3">
        <f t="shared" si="124"/>
        <v>-101</v>
      </c>
      <c r="F650" s="3" t="str">
        <f t="shared" si="125"/>
        <v>개봉전</v>
      </c>
      <c r="G650" s="3" t="str">
        <f t="shared" si="126"/>
        <v>일</v>
      </c>
      <c r="H650" s="3">
        <f t="shared" si="127"/>
        <v>1</v>
      </c>
      <c r="I650" s="3"/>
      <c r="J650" s="3"/>
      <c r="K650" s="3"/>
      <c r="L650" s="12" t="str">
        <f t="shared" si="128"/>
        <v/>
      </c>
      <c r="M650" s="12" t="str">
        <f t="shared" si="129"/>
        <v/>
      </c>
      <c r="N650" s="11" t="str">
        <f t="shared" si="131"/>
        <v/>
      </c>
      <c r="O650" s="11" t="str">
        <f t="shared" si="117"/>
        <v/>
      </c>
      <c r="P650" s="11" t="str">
        <f t="shared" si="118"/>
        <v/>
      </c>
      <c r="Q650" s="7"/>
      <c r="R650" s="7"/>
      <c r="S650" s="7"/>
      <c r="T650" s="7"/>
      <c r="U650" s="7"/>
      <c r="V650" s="7"/>
      <c r="W650" s="7"/>
      <c r="X650" s="3"/>
      <c r="Y650" s="3"/>
      <c r="Z650" s="9">
        <v>0.30958999999999998</v>
      </c>
      <c r="AA650" s="12">
        <f t="shared" si="130"/>
        <v>0.28391324181976518</v>
      </c>
      <c r="AB650" s="9">
        <f t="shared" si="132"/>
        <v>0.26904428571428574</v>
      </c>
      <c r="AC650" s="9">
        <f t="shared" si="119"/>
        <v>0.28500142857142857</v>
      </c>
      <c r="AD650" s="9">
        <f t="shared" si="120"/>
        <v>0.94401030571275335</v>
      </c>
      <c r="AE650" s="3" t="s">
        <v>80</v>
      </c>
      <c r="AF650" s="11" t="str">
        <f t="shared" si="121"/>
        <v/>
      </c>
      <c r="AG650" s="11" t="str">
        <f t="shared" si="122"/>
        <v/>
      </c>
      <c r="AH650" s="11">
        <f t="shared" si="123"/>
        <v>1.0862752567656302</v>
      </c>
      <c r="AI650" s="3" t="s">
        <v>45</v>
      </c>
      <c r="AJ650" s="3" t="s">
        <v>79</v>
      </c>
      <c r="AK650" s="3" t="s">
        <v>46</v>
      </c>
      <c r="AL650" s="3" t="s">
        <v>81</v>
      </c>
      <c r="AM650" s="3" t="s">
        <v>82</v>
      </c>
    </row>
    <row r="651" spans="1:39" ht="21" customHeight="1">
      <c r="A651" s="4">
        <v>43059</v>
      </c>
      <c r="B651" s="3" t="s">
        <v>78</v>
      </c>
      <c r="C651" s="3" t="s">
        <v>79</v>
      </c>
      <c r="D651" s="4">
        <v>43159</v>
      </c>
      <c r="E651" s="3">
        <f t="shared" si="124"/>
        <v>-100</v>
      </c>
      <c r="F651" s="3" t="str">
        <f t="shared" si="125"/>
        <v>개봉전</v>
      </c>
      <c r="G651" s="3" t="str">
        <f t="shared" si="126"/>
        <v>월</v>
      </c>
      <c r="H651" s="3">
        <f t="shared" si="127"/>
        <v>0</v>
      </c>
      <c r="I651" s="3"/>
      <c r="J651" s="3"/>
      <c r="K651" s="3"/>
      <c r="L651" s="12" t="str">
        <f t="shared" si="128"/>
        <v/>
      </c>
      <c r="M651" s="12" t="str">
        <f t="shared" si="129"/>
        <v/>
      </c>
      <c r="N651" s="11" t="str">
        <f t="shared" si="131"/>
        <v/>
      </c>
      <c r="O651" s="11" t="str">
        <f t="shared" si="117"/>
        <v/>
      </c>
      <c r="P651" s="11" t="str">
        <f t="shared" si="118"/>
        <v/>
      </c>
      <c r="Q651" s="7"/>
      <c r="R651" s="7"/>
      <c r="S651" s="7"/>
      <c r="T651" s="7"/>
      <c r="U651" s="7"/>
      <c r="V651" s="7"/>
      <c r="W651" s="7"/>
      <c r="X651" s="3"/>
      <c r="Y651" s="3"/>
      <c r="Z651" s="9">
        <v>0.23091999999999999</v>
      </c>
      <c r="AA651" s="12">
        <f t="shared" si="130"/>
        <v>-0.25411027487967952</v>
      </c>
      <c r="AB651" s="9">
        <f t="shared" si="132"/>
        <v>0.26420428571428572</v>
      </c>
      <c r="AC651" s="9">
        <f t="shared" si="119"/>
        <v>0.28336821428571429</v>
      </c>
      <c r="AD651" s="9">
        <f t="shared" si="120"/>
        <v>0.93237093080557731</v>
      </c>
      <c r="AE651" s="3" t="s">
        <v>80</v>
      </c>
      <c r="AF651" s="11" t="str">
        <f t="shared" si="121"/>
        <v/>
      </c>
      <c r="AG651" s="11" t="str">
        <f t="shared" si="122"/>
        <v/>
      </c>
      <c r="AH651" s="11">
        <f t="shared" si="123"/>
        <v>0.81491144157462958</v>
      </c>
      <c r="AI651" s="3" t="s">
        <v>45</v>
      </c>
      <c r="AJ651" s="3" t="s">
        <v>79</v>
      </c>
      <c r="AK651" s="3" t="s">
        <v>46</v>
      </c>
      <c r="AL651" s="3" t="s">
        <v>81</v>
      </c>
      <c r="AM651" s="3" t="s">
        <v>82</v>
      </c>
    </row>
    <row r="652" spans="1:39" ht="21" customHeight="1">
      <c r="A652" s="4">
        <v>43060</v>
      </c>
      <c r="B652" s="3" t="s">
        <v>78</v>
      </c>
      <c r="C652" s="3" t="s">
        <v>79</v>
      </c>
      <c r="D652" s="4">
        <v>43159</v>
      </c>
      <c r="E652" s="3">
        <f t="shared" si="124"/>
        <v>-99</v>
      </c>
      <c r="F652" s="3" t="str">
        <f t="shared" si="125"/>
        <v>개봉전</v>
      </c>
      <c r="G652" s="3" t="str">
        <f t="shared" si="126"/>
        <v>화</v>
      </c>
      <c r="H652" s="3">
        <f t="shared" si="127"/>
        <v>0</v>
      </c>
      <c r="I652" s="3"/>
      <c r="J652" s="3"/>
      <c r="K652" s="3"/>
      <c r="L652" s="12" t="str">
        <f t="shared" si="128"/>
        <v/>
      </c>
      <c r="M652" s="12" t="str">
        <f t="shared" si="129"/>
        <v/>
      </c>
      <c r="N652" s="11" t="str">
        <f t="shared" si="131"/>
        <v/>
      </c>
      <c r="O652" s="11" t="str">
        <f t="shared" si="117"/>
        <v/>
      </c>
      <c r="P652" s="11" t="str">
        <f t="shared" si="118"/>
        <v/>
      </c>
      <c r="Q652" s="7"/>
      <c r="R652" s="7"/>
      <c r="S652" s="7"/>
      <c r="T652" s="7"/>
      <c r="U652" s="7"/>
      <c r="V652" s="7"/>
      <c r="W652" s="7"/>
      <c r="X652" s="3"/>
      <c r="Y652" s="3"/>
      <c r="Z652" s="9">
        <v>0.22650999999999999</v>
      </c>
      <c r="AA652" s="12">
        <f t="shared" si="130"/>
        <v>-1.9097522951671553E-2</v>
      </c>
      <c r="AB652" s="9">
        <f t="shared" si="132"/>
        <v>0.26188428571428574</v>
      </c>
      <c r="AC652" s="9">
        <f t="shared" si="119"/>
        <v>0.28309464285714286</v>
      </c>
      <c r="AD652" s="9">
        <f t="shared" si="120"/>
        <v>0.92507679789066</v>
      </c>
      <c r="AE652" s="3" t="s">
        <v>80</v>
      </c>
      <c r="AF652" s="11" t="str">
        <f t="shared" si="121"/>
        <v/>
      </c>
      <c r="AG652" s="11" t="str">
        <f t="shared" si="122"/>
        <v/>
      </c>
      <c r="AH652" s="11">
        <f t="shared" si="123"/>
        <v>0.80012111043126666</v>
      </c>
      <c r="AI652" s="3" t="s">
        <v>45</v>
      </c>
      <c r="AJ652" s="3" t="s">
        <v>79</v>
      </c>
      <c r="AK652" s="3" t="s">
        <v>46</v>
      </c>
      <c r="AL652" s="3" t="s">
        <v>81</v>
      </c>
      <c r="AM652" s="3" t="s">
        <v>82</v>
      </c>
    </row>
    <row r="653" spans="1:39" ht="21" customHeight="1">
      <c r="A653" s="4">
        <v>43061</v>
      </c>
      <c r="B653" s="3" t="s">
        <v>78</v>
      </c>
      <c r="C653" s="3" t="s">
        <v>79</v>
      </c>
      <c r="D653" s="4">
        <v>43159</v>
      </c>
      <c r="E653" s="3">
        <f t="shared" si="124"/>
        <v>-98</v>
      </c>
      <c r="F653" s="3" t="str">
        <f t="shared" si="125"/>
        <v>개봉전</v>
      </c>
      <c r="G653" s="3" t="str">
        <f t="shared" si="126"/>
        <v>수</v>
      </c>
      <c r="H653" s="3">
        <f t="shared" si="127"/>
        <v>0</v>
      </c>
      <c r="I653" s="3"/>
      <c r="J653" s="3"/>
      <c r="K653" s="3"/>
      <c r="L653" s="12" t="str">
        <f t="shared" si="128"/>
        <v/>
      </c>
      <c r="M653" s="12" t="str">
        <f t="shared" si="129"/>
        <v/>
      </c>
      <c r="N653" s="11" t="str">
        <f t="shared" si="131"/>
        <v/>
      </c>
      <c r="O653" s="11" t="str">
        <f t="shared" si="117"/>
        <v/>
      </c>
      <c r="P653" s="11" t="str">
        <f t="shared" si="118"/>
        <v/>
      </c>
      <c r="Q653" s="7"/>
      <c r="R653" s="7"/>
      <c r="S653" s="7"/>
      <c r="T653" s="7"/>
      <c r="U653" s="7"/>
      <c r="V653" s="7"/>
      <c r="W653" s="7"/>
      <c r="X653" s="3"/>
      <c r="Y653" s="3"/>
      <c r="Z653" s="9">
        <v>0.22999</v>
      </c>
      <c r="AA653" s="12">
        <f t="shared" si="130"/>
        <v>1.5363560107721552E-2</v>
      </c>
      <c r="AB653" s="9">
        <f t="shared" si="132"/>
        <v>0.24842285714285714</v>
      </c>
      <c r="AC653" s="9">
        <f t="shared" si="119"/>
        <v>0.27964642857142863</v>
      </c>
      <c r="AD653" s="9">
        <f t="shared" si="120"/>
        <v>0.88834625355997987</v>
      </c>
      <c r="AE653" s="3" t="s">
        <v>80</v>
      </c>
      <c r="AF653" s="11" t="str">
        <f t="shared" si="121"/>
        <v/>
      </c>
      <c r="AG653" s="11" t="str">
        <f t="shared" si="122"/>
        <v/>
      </c>
      <c r="AH653" s="11">
        <f t="shared" si="123"/>
        <v>0.82243138657232973</v>
      </c>
      <c r="AI653" s="3" t="s">
        <v>45</v>
      </c>
      <c r="AJ653" s="3" t="s">
        <v>79</v>
      </c>
      <c r="AK653" s="3" t="s">
        <v>46</v>
      </c>
      <c r="AL653" s="3" t="s">
        <v>81</v>
      </c>
      <c r="AM653" s="3" t="s">
        <v>82</v>
      </c>
    </row>
    <row r="654" spans="1:39" ht="21" customHeight="1">
      <c r="A654" s="4">
        <v>43062</v>
      </c>
      <c r="B654" s="3" t="s">
        <v>78</v>
      </c>
      <c r="C654" s="3" t="s">
        <v>79</v>
      </c>
      <c r="D654" s="4">
        <v>43159</v>
      </c>
      <c r="E654" s="3">
        <f t="shared" si="124"/>
        <v>-97</v>
      </c>
      <c r="F654" s="3" t="str">
        <f t="shared" si="125"/>
        <v>개봉전</v>
      </c>
      <c r="G654" s="3" t="str">
        <f t="shared" si="126"/>
        <v>목</v>
      </c>
      <c r="H654" s="3">
        <f t="shared" si="127"/>
        <v>0</v>
      </c>
      <c r="I654" s="3"/>
      <c r="J654" s="3"/>
      <c r="K654" s="3"/>
      <c r="L654" s="12" t="str">
        <f t="shared" si="128"/>
        <v/>
      </c>
      <c r="M654" s="12" t="str">
        <f t="shared" si="129"/>
        <v/>
      </c>
      <c r="N654" s="11" t="str">
        <f t="shared" si="131"/>
        <v/>
      </c>
      <c r="O654" s="11" t="str">
        <f t="shared" si="117"/>
        <v/>
      </c>
      <c r="P654" s="11" t="str">
        <f t="shared" si="118"/>
        <v/>
      </c>
      <c r="Q654" s="7"/>
      <c r="R654" s="7"/>
      <c r="S654" s="7"/>
      <c r="T654" s="7"/>
      <c r="U654" s="7"/>
      <c r="V654" s="7"/>
      <c r="W654" s="7"/>
      <c r="X654" s="3"/>
      <c r="Y654" s="3"/>
      <c r="Z654" s="9">
        <v>0.31145</v>
      </c>
      <c r="AA654" s="12">
        <f t="shared" si="130"/>
        <v>0.35418931257880781</v>
      </c>
      <c r="AB654" s="9">
        <f t="shared" si="132"/>
        <v>0.25664571428571425</v>
      </c>
      <c r="AC654" s="9">
        <f t="shared" si="119"/>
        <v>0.27306535714285718</v>
      </c>
      <c r="AD654" s="9">
        <f t="shared" si="120"/>
        <v>0.93986918359419425</v>
      </c>
      <c r="AE654" s="3" t="s">
        <v>80</v>
      </c>
      <c r="AF654" s="11" t="str">
        <f t="shared" si="121"/>
        <v/>
      </c>
      <c r="AG654" s="11" t="str">
        <f t="shared" si="122"/>
        <v/>
      </c>
      <c r="AH654" s="11">
        <f t="shared" si="123"/>
        <v>1.1405694345806798</v>
      </c>
      <c r="AI654" s="3" t="s">
        <v>45</v>
      </c>
      <c r="AJ654" s="3" t="s">
        <v>79</v>
      </c>
      <c r="AK654" s="3" t="s">
        <v>46</v>
      </c>
      <c r="AL654" s="3" t="s">
        <v>81</v>
      </c>
      <c r="AM654" s="3" t="s">
        <v>82</v>
      </c>
    </row>
    <row r="655" spans="1:39" ht="21" customHeight="1">
      <c r="A655" s="4">
        <v>43063</v>
      </c>
      <c r="B655" s="3" t="s">
        <v>78</v>
      </c>
      <c r="C655" s="3" t="s">
        <v>79</v>
      </c>
      <c r="D655" s="4">
        <v>43159</v>
      </c>
      <c r="E655" s="3">
        <f t="shared" si="124"/>
        <v>-96</v>
      </c>
      <c r="F655" s="3" t="str">
        <f t="shared" si="125"/>
        <v>개봉전</v>
      </c>
      <c r="G655" s="3" t="str">
        <f t="shared" si="126"/>
        <v>금</v>
      </c>
      <c r="H655" s="3">
        <f t="shared" si="127"/>
        <v>0</v>
      </c>
      <c r="I655" s="3"/>
      <c r="J655" s="3"/>
      <c r="K655" s="3"/>
      <c r="L655" s="12" t="str">
        <f t="shared" si="128"/>
        <v/>
      </c>
      <c r="M655" s="12" t="str">
        <f t="shared" si="129"/>
        <v/>
      </c>
      <c r="N655" s="11" t="str">
        <f t="shared" si="131"/>
        <v/>
      </c>
      <c r="O655" s="11" t="str">
        <f t="shared" si="117"/>
        <v/>
      </c>
      <c r="P655" s="11" t="str">
        <f t="shared" si="118"/>
        <v/>
      </c>
      <c r="Q655" s="7"/>
      <c r="R655" s="7"/>
      <c r="S655" s="7"/>
      <c r="T655" s="7"/>
      <c r="U655" s="7"/>
      <c r="V655" s="7"/>
      <c r="W655" s="7"/>
      <c r="X655" s="3"/>
      <c r="Y655" s="3"/>
      <c r="Z655" s="9">
        <v>0.23022000000000001</v>
      </c>
      <c r="AA655" s="12">
        <f t="shared" si="130"/>
        <v>-0.26081232942687427</v>
      </c>
      <c r="AB655" s="9">
        <f t="shared" si="132"/>
        <v>0.25425857142857144</v>
      </c>
      <c r="AC655" s="9">
        <f t="shared" si="119"/>
        <v>0.26924428571428577</v>
      </c>
      <c r="AD655" s="9">
        <f t="shared" si="120"/>
        <v>0.94434156979057771</v>
      </c>
      <c r="AE655" s="3" t="s">
        <v>80</v>
      </c>
      <c r="AF655" s="11" t="str">
        <f t="shared" si="121"/>
        <v/>
      </c>
      <c r="AG655" s="11" t="str">
        <f t="shared" si="122"/>
        <v/>
      </c>
      <c r="AH655" s="11">
        <f t="shared" si="123"/>
        <v>0.85505992964434829</v>
      </c>
      <c r="AI655" s="3" t="s">
        <v>45</v>
      </c>
      <c r="AJ655" s="3" t="s">
        <v>79</v>
      </c>
      <c r="AK655" s="3" t="s">
        <v>46</v>
      </c>
      <c r="AL655" s="3" t="s">
        <v>81</v>
      </c>
      <c r="AM655" s="3" t="s">
        <v>82</v>
      </c>
    </row>
    <row r="656" spans="1:39" ht="21" customHeight="1">
      <c r="A656" s="4">
        <v>43064</v>
      </c>
      <c r="B656" s="3" t="s">
        <v>78</v>
      </c>
      <c r="C656" s="3" t="s">
        <v>79</v>
      </c>
      <c r="D656" s="4">
        <v>43159</v>
      </c>
      <c r="E656" s="3">
        <f t="shared" si="124"/>
        <v>-95</v>
      </c>
      <c r="F656" s="3" t="str">
        <f t="shared" si="125"/>
        <v>개봉전</v>
      </c>
      <c r="G656" s="3" t="str">
        <f t="shared" si="126"/>
        <v>토</v>
      </c>
      <c r="H656" s="3">
        <f t="shared" si="127"/>
        <v>1</v>
      </c>
      <c r="I656" s="3"/>
      <c r="J656" s="3"/>
      <c r="K656" s="3"/>
      <c r="L656" s="12" t="str">
        <f t="shared" si="128"/>
        <v/>
      </c>
      <c r="M656" s="12" t="str">
        <f t="shared" si="129"/>
        <v/>
      </c>
      <c r="N656" s="11" t="str">
        <f t="shared" si="131"/>
        <v/>
      </c>
      <c r="O656" s="11" t="str">
        <f t="shared" si="117"/>
        <v/>
      </c>
      <c r="P656" s="11" t="str">
        <f t="shared" si="118"/>
        <v/>
      </c>
      <c r="Q656" s="7"/>
      <c r="R656" s="7"/>
      <c r="S656" s="7"/>
      <c r="T656" s="7"/>
      <c r="U656" s="7"/>
      <c r="V656" s="7"/>
      <c r="W656" s="7"/>
      <c r="X656" s="3"/>
      <c r="Y656" s="3"/>
      <c r="Z656" s="9">
        <v>0.23185</v>
      </c>
      <c r="AA656" s="12">
        <f t="shared" si="130"/>
        <v>7.0801841716618963E-3</v>
      </c>
      <c r="AB656" s="9">
        <f t="shared" si="132"/>
        <v>0.25293285714285713</v>
      </c>
      <c r="AC656" s="9">
        <f t="shared" si="119"/>
        <v>0.26558071428571434</v>
      </c>
      <c r="AD656" s="9">
        <f t="shared" si="120"/>
        <v>0.95237659791346696</v>
      </c>
      <c r="AE656" s="3" t="s">
        <v>80</v>
      </c>
      <c r="AF656" s="11" t="str">
        <f t="shared" si="121"/>
        <v/>
      </c>
      <c r="AG656" s="11" t="str">
        <f t="shared" si="122"/>
        <v/>
      </c>
      <c r="AH656" s="11">
        <f t="shared" si="123"/>
        <v>0.8729926064984278</v>
      </c>
      <c r="AI656" s="3" t="s">
        <v>45</v>
      </c>
      <c r="AJ656" s="3" t="s">
        <v>79</v>
      </c>
      <c r="AK656" s="3" t="s">
        <v>46</v>
      </c>
      <c r="AL656" s="3" t="s">
        <v>81</v>
      </c>
      <c r="AM656" s="3" t="s">
        <v>82</v>
      </c>
    </row>
    <row r="657" spans="1:39" ht="21" customHeight="1">
      <c r="A657" s="4">
        <v>43065</v>
      </c>
      <c r="B657" s="3" t="s">
        <v>78</v>
      </c>
      <c r="C657" s="3" t="s">
        <v>79</v>
      </c>
      <c r="D657" s="4">
        <v>43159</v>
      </c>
      <c r="E657" s="3">
        <f t="shared" si="124"/>
        <v>-94</v>
      </c>
      <c r="F657" s="3" t="str">
        <f t="shared" si="125"/>
        <v>개봉전</v>
      </c>
      <c r="G657" s="3" t="str">
        <f t="shared" si="126"/>
        <v>일</v>
      </c>
      <c r="H657" s="3">
        <f t="shared" si="127"/>
        <v>1</v>
      </c>
      <c r="I657" s="3"/>
      <c r="J657" s="3"/>
      <c r="K657" s="3"/>
      <c r="L657" s="12" t="str">
        <f t="shared" si="128"/>
        <v/>
      </c>
      <c r="M657" s="12" t="str">
        <f t="shared" si="129"/>
        <v/>
      </c>
      <c r="N657" s="11" t="str">
        <f t="shared" si="131"/>
        <v/>
      </c>
      <c r="O657" s="11" t="str">
        <f t="shared" si="117"/>
        <v/>
      </c>
      <c r="P657" s="11" t="str">
        <f t="shared" si="118"/>
        <v/>
      </c>
      <c r="Q657" s="7"/>
      <c r="R657" s="7"/>
      <c r="S657" s="7"/>
      <c r="T657" s="7"/>
      <c r="U657" s="7"/>
      <c r="V657" s="7"/>
      <c r="W657" s="7"/>
      <c r="X657" s="3"/>
      <c r="Y657" s="3"/>
      <c r="Z657" s="9">
        <v>0.27037</v>
      </c>
      <c r="AA657" s="12">
        <f t="shared" si="130"/>
        <v>0.16614190209186974</v>
      </c>
      <c r="AB657" s="9">
        <f t="shared" si="132"/>
        <v>0.24732999999999999</v>
      </c>
      <c r="AC657" s="9">
        <f t="shared" si="119"/>
        <v>0.26261357142857145</v>
      </c>
      <c r="AD657" s="9">
        <f t="shared" si="120"/>
        <v>0.94180205026940711</v>
      </c>
      <c r="AE657" s="3" t="s">
        <v>80</v>
      </c>
      <c r="AF657" s="11" t="str">
        <f t="shared" si="121"/>
        <v/>
      </c>
      <c r="AG657" s="11" t="str">
        <f t="shared" si="122"/>
        <v/>
      </c>
      <c r="AH657" s="11">
        <f t="shared" si="123"/>
        <v>1.029535520686288</v>
      </c>
      <c r="AI657" s="3" t="s">
        <v>45</v>
      </c>
      <c r="AJ657" s="3" t="s">
        <v>79</v>
      </c>
      <c r="AK657" s="3" t="s">
        <v>46</v>
      </c>
      <c r="AL657" s="3" t="s">
        <v>81</v>
      </c>
      <c r="AM657" s="3" t="s">
        <v>82</v>
      </c>
    </row>
    <row r="658" spans="1:39" ht="21" customHeight="1">
      <c r="A658" s="4">
        <v>43066</v>
      </c>
      <c r="B658" s="3" t="s">
        <v>78</v>
      </c>
      <c r="C658" s="3" t="s">
        <v>79</v>
      </c>
      <c r="D658" s="4">
        <v>43159</v>
      </c>
      <c r="E658" s="3">
        <f t="shared" si="124"/>
        <v>-93</v>
      </c>
      <c r="F658" s="3" t="str">
        <f t="shared" si="125"/>
        <v>개봉전</v>
      </c>
      <c r="G658" s="3" t="str">
        <f t="shared" si="126"/>
        <v>월</v>
      </c>
      <c r="H658" s="3">
        <f t="shared" si="127"/>
        <v>0</v>
      </c>
      <c r="I658" s="3"/>
      <c r="J658" s="3"/>
      <c r="K658" s="3"/>
      <c r="L658" s="12" t="str">
        <f t="shared" si="128"/>
        <v/>
      </c>
      <c r="M658" s="12" t="str">
        <f t="shared" si="129"/>
        <v/>
      </c>
      <c r="N658" s="11" t="str">
        <f t="shared" si="131"/>
        <v/>
      </c>
      <c r="O658" s="11" t="str">
        <f t="shared" si="117"/>
        <v/>
      </c>
      <c r="P658" s="11" t="str">
        <f t="shared" si="118"/>
        <v/>
      </c>
      <c r="Q658" s="7"/>
      <c r="R658" s="7"/>
      <c r="S658" s="7"/>
      <c r="T658" s="7"/>
      <c r="U658" s="7"/>
      <c r="V658" s="7"/>
      <c r="W658" s="7"/>
      <c r="X658" s="3"/>
      <c r="Y658" s="3"/>
      <c r="Z658" s="9">
        <v>0.37458000000000002</v>
      </c>
      <c r="AA658" s="12">
        <f t="shared" si="130"/>
        <v>0.38543477456818453</v>
      </c>
      <c r="AB658" s="9">
        <f t="shared" si="132"/>
        <v>0.26785285714285717</v>
      </c>
      <c r="AC658" s="9">
        <f t="shared" si="119"/>
        <v>0.26109678571428574</v>
      </c>
      <c r="AD658" s="9">
        <f t="shared" si="120"/>
        <v>1.0258757357356536</v>
      </c>
      <c r="AE658" s="3" t="s">
        <v>80</v>
      </c>
      <c r="AF658" s="11" t="str">
        <f t="shared" si="121"/>
        <v/>
      </c>
      <c r="AG658" s="11" t="str">
        <f t="shared" si="122"/>
        <v/>
      </c>
      <c r="AH658" s="11">
        <f t="shared" si="123"/>
        <v>1.4346404111228594</v>
      </c>
      <c r="AI658" s="3" t="s">
        <v>45</v>
      </c>
      <c r="AJ658" s="3" t="s">
        <v>79</v>
      </c>
      <c r="AK658" s="3" t="s">
        <v>46</v>
      </c>
      <c r="AL658" s="3" t="s">
        <v>81</v>
      </c>
      <c r="AM658" s="3" t="s">
        <v>82</v>
      </c>
    </row>
    <row r="659" spans="1:39" ht="21" customHeight="1">
      <c r="A659" s="4">
        <v>43067</v>
      </c>
      <c r="B659" s="3" t="s">
        <v>78</v>
      </c>
      <c r="C659" s="3" t="s">
        <v>79</v>
      </c>
      <c r="D659" s="4">
        <v>43159</v>
      </c>
      <c r="E659" s="3">
        <f t="shared" si="124"/>
        <v>-92</v>
      </c>
      <c r="F659" s="3" t="str">
        <f t="shared" si="125"/>
        <v>개봉전</v>
      </c>
      <c r="G659" s="3" t="str">
        <f t="shared" si="126"/>
        <v>화</v>
      </c>
      <c r="H659" s="3">
        <f t="shared" si="127"/>
        <v>0</v>
      </c>
      <c r="I659" s="3"/>
      <c r="J659" s="3"/>
      <c r="K659" s="3"/>
      <c r="L659" s="12" t="str">
        <f t="shared" si="128"/>
        <v/>
      </c>
      <c r="M659" s="12" t="str">
        <f t="shared" si="129"/>
        <v/>
      </c>
      <c r="N659" s="11" t="str">
        <f t="shared" si="131"/>
        <v/>
      </c>
      <c r="O659" s="11" t="str">
        <f t="shared" si="117"/>
        <v/>
      </c>
      <c r="P659" s="11" t="str">
        <f t="shared" si="118"/>
        <v/>
      </c>
      <c r="Q659" s="7"/>
      <c r="R659" s="7"/>
      <c r="S659" s="7"/>
      <c r="T659" s="7"/>
      <c r="U659" s="7"/>
      <c r="V659" s="7"/>
      <c r="W659" s="7"/>
      <c r="X659" s="3"/>
      <c r="Y659" s="3"/>
      <c r="Z659" s="9">
        <v>0.38664999999999999</v>
      </c>
      <c r="AA659" s="12">
        <f t="shared" si="130"/>
        <v>3.2222756153558629E-2</v>
      </c>
      <c r="AB659" s="9">
        <f t="shared" si="132"/>
        <v>0.29072999999999999</v>
      </c>
      <c r="AC659" s="9">
        <f t="shared" si="119"/>
        <v>0.26375750000000003</v>
      </c>
      <c r="AD659" s="9">
        <f t="shared" si="120"/>
        <v>1.1022624949053579</v>
      </c>
      <c r="AE659" s="3" t="s">
        <v>80</v>
      </c>
      <c r="AF659" s="11" t="str">
        <f t="shared" si="121"/>
        <v/>
      </c>
      <c r="AG659" s="11" t="str">
        <f t="shared" si="122"/>
        <v/>
      </c>
      <c r="AH659" s="11">
        <f t="shared" si="123"/>
        <v>1.4659298787712196</v>
      </c>
      <c r="AI659" s="3" t="s">
        <v>45</v>
      </c>
      <c r="AJ659" s="3" t="s">
        <v>79</v>
      </c>
      <c r="AK659" s="3" t="s">
        <v>46</v>
      </c>
      <c r="AL659" s="3" t="s">
        <v>81</v>
      </c>
      <c r="AM659" s="3" t="s">
        <v>82</v>
      </c>
    </row>
    <row r="660" spans="1:39" ht="21" customHeight="1">
      <c r="A660" s="4">
        <v>43068</v>
      </c>
      <c r="B660" s="3" t="s">
        <v>78</v>
      </c>
      <c r="C660" s="3" t="s">
        <v>79</v>
      </c>
      <c r="D660" s="4">
        <v>43159</v>
      </c>
      <c r="E660" s="3">
        <f t="shared" si="124"/>
        <v>-91</v>
      </c>
      <c r="F660" s="3" t="str">
        <f t="shared" si="125"/>
        <v>개봉전</v>
      </c>
      <c r="G660" s="3" t="str">
        <f t="shared" si="126"/>
        <v>수</v>
      </c>
      <c r="H660" s="3">
        <f t="shared" si="127"/>
        <v>0</v>
      </c>
      <c r="I660" s="3"/>
      <c r="J660" s="3"/>
      <c r="K660" s="3"/>
      <c r="L660" s="12" t="str">
        <f t="shared" si="128"/>
        <v/>
      </c>
      <c r="M660" s="12" t="str">
        <f t="shared" si="129"/>
        <v/>
      </c>
      <c r="N660" s="11" t="str">
        <f t="shared" si="131"/>
        <v/>
      </c>
      <c r="O660" s="11" t="str">
        <f t="shared" si="117"/>
        <v/>
      </c>
      <c r="P660" s="11" t="str">
        <f t="shared" si="118"/>
        <v/>
      </c>
      <c r="Q660" s="7"/>
      <c r="R660" s="7"/>
      <c r="S660" s="7"/>
      <c r="T660" s="7"/>
      <c r="U660" s="7"/>
      <c r="V660" s="7"/>
      <c r="W660" s="7"/>
      <c r="X660" s="3"/>
      <c r="Y660" s="3"/>
      <c r="Z660" s="9">
        <v>0.23649000000000001</v>
      </c>
      <c r="AA660" s="12">
        <f t="shared" si="130"/>
        <v>-0.38836156730893567</v>
      </c>
      <c r="AB660" s="9">
        <f t="shared" si="132"/>
        <v>0.29165857142857143</v>
      </c>
      <c r="AC660" s="9">
        <f t="shared" si="119"/>
        <v>0.26960107142857143</v>
      </c>
      <c r="AD660" s="9">
        <f t="shared" si="120"/>
        <v>1.0818153276732951</v>
      </c>
      <c r="AE660" s="3" t="s">
        <v>80</v>
      </c>
      <c r="AF660" s="11" t="str">
        <f t="shared" si="121"/>
        <v/>
      </c>
      <c r="AG660" s="11" t="str">
        <f t="shared" si="122"/>
        <v/>
      </c>
      <c r="AH660" s="11">
        <f t="shared" si="123"/>
        <v>0.8771849412425502</v>
      </c>
      <c r="AI660" s="3" t="s">
        <v>45</v>
      </c>
      <c r="AJ660" s="3" t="s">
        <v>79</v>
      </c>
      <c r="AK660" s="3" t="s">
        <v>46</v>
      </c>
      <c r="AL660" s="3" t="s">
        <v>81</v>
      </c>
      <c r="AM660" s="3" t="s">
        <v>82</v>
      </c>
    </row>
    <row r="661" spans="1:39" ht="21" customHeight="1">
      <c r="A661" s="4">
        <v>43069</v>
      </c>
      <c r="B661" s="3" t="s">
        <v>78</v>
      </c>
      <c r="C661" s="3" t="s">
        <v>79</v>
      </c>
      <c r="D661" s="4">
        <v>43159</v>
      </c>
      <c r="E661" s="3">
        <f t="shared" si="124"/>
        <v>-90</v>
      </c>
      <c r="F661" s="3" t="str">
        <f t="shared" si="125"/>
        <v>개봉전</v>
      </c>
      <c r="G661" s="3" t="str">
        <f t="shared" si="126"/>
        <v>목</v>
      </c>
      <c r="H661" s="3">
        <f t="shared" si="127"/>
        <v>0</v>
      </c>
      <c r="I661" s="3"/>
      <c r="J661" s="3"/>
      <c r="K661" s="3"/>
      <c r="L661" s="12" t="str">
        <f t="shared" si="128"/>
        <v/>
      </c>
      <c r="M661" s="12" t="str">
        <f t="shared" si="129"/>
        <v/>
      </c>
      <c r="N661" s="11" t="str">
        <f t="shared" si="131"/>
        <v/>
      </c>
      <c r="O661" s="11" t="str">
        <f t="shared" si="117"/>
        <v/>
      </c>
      <c r="P661" s="11" t="str">
        <f t="shared" si="118"/>
        <v/>
      </c>
      <c r="Q661" s="7"/>
      <c r="R661" s="7"/>
      <c r="S661" s="7"/>
      <c r="T661" s="7"/>
      <c r="U661" s="7"/>
      <c r="V661" s="7"/>
      <c r="W661" s="7"/>
      <c r="X661" s="3"/>
      <c r="Y661" s="3"/>
      <c r="Z661" s="9">
        <v>0.24182999999999999</v>
      </c>
      <c r="AA661" s="12">
        <f t="shared" si="130"/>
        <v>2.258023595078007E-2</v>
      </c>
      <c r="AB661" s="9">
        <f t="shared" si="132"/>
        <v>0.28171285714285715</v>
      </c>
      <c r="AC661" s="9">
        <f t="shared" si="119"/>
        <v>0.26955142857142855</v>
      </c>
      <c r="AD661" s="9">
        <f t="shared" si="120"/>
        <v>1.0451172848012042</v>
      </c>
      <c r="AE661" s="3" t="s">
        <v>80</v>
      </c>
      <c r="AF661" s="11" t="str">
        <f t="shared" si="121"/>
        <v/>
      </c>
      <c r="AG661" s="11" t="str">
        <f t="shared" si="122"/>
        <v/>
      </c>
      <c r="AH661" s="11">
        <f t="shared" si="123"/>
        <v>0.8971571817728925</v>
      </c>
      <c r="AI661" s="3" t="s">
        <v>45</v>
      </c>
      <c r="AJ661" s="3" t="s">
        <v>79</v>
      </c>
      <c r="AK661" s="3" t="s">
        <v>46</v>
      </c>
      <c r="AL661" s="3" t="s">
        <v>81</v>
      </c>
      <c r="AM661" s="3" t="s">
        <v>82</v>
      </c>
    </row>
    <row r="662" spans="1:39" ht="21" customHeight="1">
      <c r="A662" s="4">
        <v>43070</v>
      </c>
      <c r="B662" s="3" t="s">
        <v>78</v>
      </c>
      <c r="C662" s="3" t="s">
        <v>79</v>
      </c>
      <c r="D662" s="4">
        <v>43159</v>
      </c>
      <c r="E662" s="3">
        <f t="shared" si="124"/>
        <v>-89</v>
      </c>
      <c r="F662" s="3" t="str">
        <f t="shared" si="125"/>
        <v>개봉전</v>
      </c>
      <c r="G662" s="3" t="str">
        <f t="shared" si="126"/>
        <v>금</v>
      </c>
      <c r="H662" s="3">
        <f t="shared" si="127"/>
        <v>0</v>
      </c>
      <c r="I662" s="3"/>
      <c r="J662" s="3"/>
      <c r="K662" s="3"/>
      <c r="L662" s="12" t="str">
        <f t="shared" si="128"/>
        <v/>
      </c>
      <c r="M662" s="12" t="str">
        <f t="shared" si="129"/>
        <v/>
      </c>
      <c r="N662" s="11" t="str">
        <f t="shared" si="131"/>
        <v/>
      </c>
      <c r="O662" s="11" t="str">
        <f t="shared" si="117"/>
        <v/>
      </c>
      <c r="P662" s="11" t="str">
        <f t="shared" si="118"/>
        <v/>
      </c>
      <c r="Q662" s="7"/>
      <c r="R662" s="7"/>
      <c r="S662" s="7"/>
      <c r="T662" s="7"/>
      <c r="U662" s="7"/>
      <c r="V662" s="7"/>
      <c r="W662" s="7"/>
      <c r="X662" s="3"/>
      <c r="Y662" s="3"/>
      <c r="Z662" s="9">
        <v>0.21931</v>
      </c>
      <c r="AA662" s="12">
        <f t="shared" si="130"/>
        <v>-9.312326841169416E-2</v>
      </c>
      <c r="AB662" s="9">
        <f t="shared" si="132"/>
        <v>0.28015428571428569</v>
      </c>
      <c r="AC662" s="9">
        <f t="shared" si="119"/>
        <v>0.26994107142857143</v>
      </c>
      <c r="AD662" s="9">
        <f t="shared" si="120"/>
        <v>1.0378349772106346</v>
      </c>
      <c r="AE662" s="3" t="s">
        <v>80</v>
      </c>
      <c r="AF662" s="11" t="str">
        <f t="shared" si="121"/>
        <v/>
      </c>
      <c r="AG662" s="11" t="str">
        <f t="shared" si="122"/>
        <v/>
      </c>
      <c r="AH662" s="11">
        <f t="shared" si="123"/>
        <v>0.81243657676609315</v>
      </c>
      <c r="AI662" s="3" t="s">
        <v>45</v>
      </c>
      <c r="AJ662" s="3" t="s">
        <v>79</v>
      </c>
      <c r="AK662" s="3" t="s">
        <v>46</v>
      </c>
      <c r="AL662" s="3" t="s">
        <v>81</v>
      </c>
      <c r="AM662" s="3" t="s">
        <v>82</v>
      </c>
    </row>
    <row r="663" spans="1:39" ht="21" customHeight="1">
      <c r="A663" s="4">
        <v>43071</v>
      </c>
      <c r="B663" s="3" t="s">
        <v>78</v>
      </c>
      <c r="C663" s="3" t="s">
        <v>79</v>
      </c>
      <c r="D663" s="4">
        <v>43159</v>
      </c>
      <c r="E663" s="3">
        <f t="shared" si="124"/>
        <v>-88</v>
      </c>
      <c r="F663" s="3" t="str">
        <f t="shared" si="125"/>
        <v>개봉전</v>
      </c>
      <c r="G663" s="3" t="str">
        <f t="shared" si="126"/>
        <v>토</v>
      </c>
      <c r="H663" s="3">
        <f t="shared" si="127"/>
        <v>1</v>
      </c>
      <c r="I663" s="3"/>
      <c r="J663" s="3"/>
      <c r="K663" s="3"/>
      <c r="L663" s="12" t="str">
        <f t="shared" si="128"/>
        <v/>
      </c>
      <c r="M663" s="12" t="str">
        <f t="shared" si="129"/>
        <v/>
      </c>
      <c r="N663" s="11" t="str">
        <f t="shared" si="131"/>
        <v/>
      </c>
      <c r="O663" s="11" t="str">
        <f t="shared" ref="O663:O726" si="133">IF(COUNT(I635:I662)=28,AVERAGE(I635:I662),"")</f>
        <v/>
      </c>
      <c r="P663" s="11" t="str">
        <f t="shared" ref="P663:P726" si="134">IF(COUNT(I663,O663)=2,IFERROR(I663/O663,""),"")</f>
        <v/>
      </c>
      <c r="Q663" s="7"/>
      <c r="R663" s="7"/>
      <c r="S663" s="7"/>
      <c r="T663" s="7"/>
      <c r="U663" s="7"/>
      <c r="V663" s="7"/>
      <c r="W663" s="7"/>
      <c r="X663" s="3"/>
      <c r="Y663" s="3"/>
      <c r="Z663" s="9">
        <v>0.48296</v>
      </c>
      <c r="AA663" s="12">
        <f t="shared" si="130"/>
        <v>1.202179563175414</v>
      </c>
      <c r="AB663" s="9">
        <f t="shared" si="132"/>
        <v>0.3160271428571429</v>
      </c>
      <c r="AC663" s="9">
        <f t="shared" ref="AC663:AC726" si="135">IF(COUNT(Z635:Z662)=28,AVERAGE(Z635:Z662),"")</f>
        <v>0.26859821428571429</v>
      </c>
      <c r="AD663" s="9">
        <f t="shared" ref="AD663:AD726" si="136">IF(COUNT(AB663:AC663)=2,IFERROR(AB663/AC663,""),"")</f>
        <v>1.17657946348436</v>
      </c>
      <c r="AE663" s="3" t="s">
        <v>80</v>
      </c>
      <c r="AF663" s="11" t="str">
        <f t="shared" ref="AF663:AF726" si="137">IF(COUNT(J656,J649,J642,J635)=4,AVERAGE(J656,J649,J642,J635),"")</f>
        <v/>
      </c>
      <c r="AG663" s="11" t="str">
        <f t="shared" ref="AG663:AG726" si="138">IF(COUNT(J663,AF663)=2,IFERROR(J663/AF663,""),"")</f>
        <v/>
      </c>
      <c r="AH663" s="11">
        <f t="shared" ref="AH663:AH726" si="139">IF(COUNT(Z663,AC663)=2,IFERROR(Z663/AC663,""),"")</f>
        <v>1.7980759897616594</v>
      </c>
      <c r="AI663" s="3" t="s">
        <v>45</v>
      </c>
      <c r="AJ663" s="3" t="s">
        <v>79</v>
      </c>
      <c r="AK663" s="3" t="s">
        <v>46</v>
      </c>
      <c r="AL663" s="3" t="s">
        <v>81</v>
      </c>
      <c r="AM663" s="3" t="s">
        <v>82</v>
      </c>
    </row>
    <row r="664" spans="1:39" ht="21" customHeight="1">
      <c r="A664" s="4">
        <v>43072</v>
      </c>
      <c r="B664" s="3" t="s">
        <v>78</v>
      </c>
      <c r="C664" s="3" t="s">
        <v>79</v>
      </c>
      <c r="D664" s="4">
        <v>43159</v>
      </c>
      <c r="E664" s="3">
        <f t="shared" si="124"/>
        <v>-87</v>
      </c>
      <c r="F664" s="3" t="str">
        <f t="shared" si="125"/>
        <v>개봉전</v>
      </c>
      <c r="G664" s="3" t="str">
        <f t="shared" si="126"/>
        <v>일</v>
      </c>
      <c r="H664" s="3">
        <f t="shared" si="127"/>
        <v>1</v>
      </c>
      <c r="I664" s="3"/>
      <c r="J664" s="3"/>
      <c r="K664" s="3"/>
      <c r="L664" s="12" t="str">
        <f t="shared" si="128"/>
        <v/>
      </c>
      <c r="M664" s="12" t="str">
        <f t="shared" si="129"/>
        <v/>
      </c>
      <c r="N664" s="11" t="str">
        <f t="shared" si="131"/>
        <v/>
      </c>
      <c r="O664" s="11" t="str">
        <f t="shared" si="133"/>
        <v/>
      </c>
      <c r="P664" s="11" t="str">
        <f t="shared" si="134"/>
        <v/>
      </c>
      <c r="Q664" s="7"/>
      <c r="R664" s="7"/>
      <c r="S664" s="7"/>
      <c r="T664" s="7"/>
      <c r="U664" s="7"/>
      <c r="V664" s="7"/>
      <c r="W664" s="7"/>
      <c r="X664" s="3"/>
      <c r="Y664" s="3"/>
      <c r="Z664" s="9">
        <v>0.28337000000000001</v>
      </c>
      <c r="AA664" s="12">
        <f t="shared" si="130"/>
        <v>-0.41326403842968362</v>
      </c>
      <c r="AB664" s="9">
        <f t="shared" si="132"/>
        <v>0.31788428571428573</v>
      </c>
      <c r="AC664" s="9">
        <f t="shared" si="135"/>
        <v>0.27498035714285718</v>
      </c>
      <c r="AD664" s="9">
        <f t="shared" si="136"/>
        <v>1.1560254303878847</v>
      </c>
      <c r="AE664" s="3" t="s">
        <v>80</v>
      </c>
      <c r="AF664" s="11" t="str">
        <f t="shared" si="137"/>
        <v/>
      </c>
      <c r="AG664" s="11" t="str">
        <f t="shared" si="138"/>
        <v/>
      </c>
      <c r="AH664" s="11">
        <f t="shared" si="139"/>
        <v>1.0305099714914701</v>
      </c>
      <c r="AI664" s="3" t="s">
        <v>45</v>
      </c>
      <c r="AJ664" s="3" t="s">
        <v>79</v>
      </c>
      <c r="AK664" s="3" t="s">
        <v>46</v>
      </c>
      <c r="AL664" s="3" t="s">
        <v>81</v>
      </c>
      <c r="AM664" s="3" t="s">
        <v>82</v>
      </c>
    </row>
    <row r="665" spans="1:39" ht="21" customHeight="1">
      <c r="A665" s="4">
        <v>43073</v>
      </c>
      <c r="B665" s="3" t="s">
        <v>78</v>
      </c>
      <c r="C665" s="3" t="s">
        <v>79</v>
      </c>
      <c r="D665" s="4">
        <v>43159</v>
      </c>
      <c r="E665" s="3">
        <f t="shared" si="124"/>
        <v>-86</v>
      </c>
      <c r="F665" s="3" t="str">
        <f t="shared" si="125"/>
        <v>개봉전</v>
      </c>
      <c r="G665" s="3" t="str">
        <f t="shared" si="126"/>
        <v>월</v>
      </c>
      <c r="H665" s="3">
        <f t="shared" si="127"/>
        <v>0</v>
      </c>
      <c r="I665" s="3"/>
      <c r="J665" s="3"/>
      <c r="K665" s="3"/>
      <c r="L665" s="12" t="str">
        <f t="shared" si="128"/>
        <v/>
      </c>
      <c r="M665" s="12" t="str">
        <f t="shared" si="129"/>
        <v/>
      </c>
      <c r="N665" s="11" t="str">
        <f t="shared" si="131"/>
        <v/>
      </c>
      <c r="O665" s="11" t="str">
        <f t="shared" si="133"/>
        <v/>
      </c>
      <c r="P665" s="11" t="str">
        <f t="shared" si="134"/>
        <v/>
      </c>
      <c r="Q665" s="7"/>
      <c r="R665" s="7"/>
      <c r="S665" s="7"/>
      <c r="T665" s="7"/>
      <c r="U665" s="7"/>
      <c r="V665" s="7"/>
      <c r="W665" s="7"/>
      <c r="X665" s="3"/>
      <c r="Y665" s="3"/>
      <c r="Z665" s="9">
        <v>0.22697000000000001</v>
      </c>
      <c r="AA665" s="12">
        <f t="shared" si="130"/>
        <v>-0.19903306630906592</v>
      </c>
      <c r="AB665" s="9">
        <f t="shared" si="132"/>
        <v>0.29679714285714287</v>
      </c>
      <c r="AC665" s="9">
        <f t="shared" si="135"/>
        <v>0.27396928571428569</v>
      </c>
      <c r="AD665" s="9">
        <f t="shared" si="136"/>
        <v>1.0833226873711079</v>
      </c>
      <c r="AE665" s="3" t="s">
        <v>80</v>
      </c>
      <c r="AF665" s="11" t="str">
        <f t="shared" si="137"/>
        <v/>
      </c>
      <c r="AG665" s="11" t="str">
        <f t="shared" si="138"/>
        <v/>
      </c>
      <c r="AH665" s="11">
        <f t="shared" si="139"/>
        <v>0.8284505301689189</v>
      </c>
      <c r="AI665" s="3" t="s">
        <v>45</v>
      </c>
      <c r="AJ665" s="3" t="s">
        <v>79</v>
      </c>
      <c r="AK665" s="3" t="s">
        <v>46</v>
      </c>
      <c r="AL665" s="3" t="s">
        <v>81</v>
      </c>
      <c r="AM665" s="3" t="s">
        <v>82</v>
      </c>
    </row>
    <row r="666" spans="1:39" ht="21" customHeight="1">
      <c r="A666" s="4">
        <v>43074</v>
      </c>
      <c r="B666" s="3" t="s">
        <v>78</v>
      </c>
      <c r="C666" s="3" t="s">
        <v>79</v>
      </c>
      <c r="D666" s="4">
        <v>43159</v>
      </c>
      <c r="E666" s="3">
        <f t="shared" si="124"/>
        <v>-85</v>
      </c>
      <c r="F666" s="3" t="str">
        <f t="shared" si="125"/>
        <v>개봉전</v>
      </c>
      <c r="G666" s="3" t="str">
        <f t="shared" si="126"/>
        <v>화</v>
      </c>
      <c r="H666" s="3">
        <f t="shared" si="127"/>
        <v>0</v>
      </c>
      <c r="I666" s="3"/>
      <c r="J666" s="3"/>
      <c r="K666" s="3"/>
      <c r="L666" s="12" t="str">
        <f t="shared" si="128"/>
        <v/>
      </c>
      <c r="M666" s="12" t="str">
        <f t="shared" si="129"/>
        <v/>
      </c>
      <c r="N666" s="11" t="str">
        <f t="shared" si="131"/>
        <v/>
      </c>
      <c r="O666" s="11" t="str">
        <f t="shared" si="133"/>
        <v/>
      </c>
      <c r="P666" s="11" t="str">
        <f t="shared" si="134"/>
        <v/>
      </c>
      <c r="Q666" s="7"/>
      <c r="R666" s="7"/>
      <c r="S666" s="7"/>
      <c r="T666" s="7"/>
      <c r="U666" s="7"/>
      <c r="V666" s="7"/>
      <c r="W666" s="7"/>
      <c r="X666" s="3"/>
      <c r="Y666" s="3"/>
      <c r="Z666" s="9">
        <v>0.21908</v>
      </c>
      <c r="AA666" s="12">
        <f t="shared" si="130"/>
        <v>-3.4762303388113036E-2</v>
      </c>
      <c r="AB666" s="9">
        <f t="shared" si="132"/>
        <v>0.27285857142857145</v>
      </c>
      <c r="AC666" s="9">
        <f t="shared" si="135"/>
        <v>0.27277571428571423</v>
      </c>
      <c r="AD666" s="9">
        <f t="shared" si="136"/>
        <v>1.0003037555710346</v>
      </c>
      <c r="AE666" s="3" t="s">
        <v>80</v>
      </c>
      <c r="AF666" s="11" t="str">
        <f t="shared" si="137"/>
        <v/>
      </c>
      <c r="AG666" s="11" t="str">
        <f t="shared" si="138"/>
        <v/>
      </c>
      <c r="AH666" s="11">
        <f t="shared" si="139"/>
        <v>0.80315067847472821</v>
      </c>
      <c r="AI666" s="3" t="s">
        <v>45</v>
      </c>
      <c r="AJ666" s="3" t="s">
        <v>79</v>
      </c>
      <c r="AK666" s="3" t="s">
        <v>46</v>
      </c>
      <c r="AL666" s="3" t="s">
        <v>81</v>
      </c>
      <c r="AM666" s="3" t="s">
        <v>82</v>
      </c>
    </row>
    <row r="667" spans="1:39" ht="21" customHeight="1">
      <c r="A667" s="4">
        <v>43075</v>
      </c>
      <c r="B667" s="3" t="s">
        <v>78</v>
      </c>
      <c r="C667" s="3" t="s">
        <v>79</v>
      </c>
      <c r="D667" s="4">
        <v>43159</v>
      </c>
      <c r="E667" s="3">
        <f t="shared" si="124"/>
        <v>-84</v>
      </c>
      <c r="F667" s="3" t="str">
        <f t="shared" si="125"/>
        <v>개봉전</v>
      </c>
      <c r="G667" s="3" t="str">
        <f t="shared" si="126"/>
        <v>수</v>
      </c>
      <c r="H667" s="3">
        <f t="shared" si="127"/>
        <v>0</v>
      </c>
      <c r="I667" s="3"/>
      <c r="J667" s="3"/>
      <c r="K667" s="3"/>
      <c r="L667" s="12" t="str">
        <f t="shared" si="128"/>
        <v/>
      </c>
      <c r="M667" s="12" t="str">
        <f t="shared" si="129"/>
        <v/>
      </c>
      <c r="N667" s="11" t="str">
        <f t="shared" si="131"/>
        <v/>
      </c>
      <c r="O667" s="11" t="str">
        <f t="shared" si="133"/>
        <v/>
      </c>
      <c r="P667" s="11" t="str">
        <f t="shared" si="134"/>
        <v/>
      </c>
      <c r="Q667" s="7"/>
      <c r="R667" s="7"/>
      <c r="S667" s="7"/>
      <c r="T667" s="7"/>
      <c r="U667" s="7"/>
      <c r="V667" s="7"/>
      <c r="W667" s="7"/>
      <c r="X667" s="3"/>
      <c r="Y667" s="3"/>
      <c r="Z667" s="9">
        <v>0.27548</v>
      </c>
      <c r="AA667" s="12">
        <f t="shared" si="130"/>
        <v>0.25744020449151006</v>
      </c>
      <c r="AB667" s="9">
        <f t="shared" si="132"/>
        <v>0.27842857142857141</v>
      </c>
      <c r="AC667" s="9">
        <f t="shared" si="135"/>
        <v>0.27183071428571426</v>
      </c>
      <c r="AD667" s="9">
        <f t="shared" si="136"/>
        <v>1.0242719339504891</v>
      </c>
      <c r="AE667" s="3" t="s">
        <v>80</v>
      </c>
      <c r="AF667" s="11" t="str">
        <f t="shared" si="137"/>
        <v/>
      </c>
      <c r="AG667" s="11" t="str">
        <f t="shared" si="138"/>
        <v/>
      </c>
      <c r="AH667" s="11">
        <f t="shared" si="139"/>
        <v>1.0134248468716087</v>
      </c>
      <c r="AI667" s="3" t="s">
        <v>45</v>
      </c>
      <c r="AJ667" s="3" t="s">
        <v>79</v>
      </c>
      <c r="AK667" s="3" t="s">
        <v>46</v>
      </c>
      <c r="AL667" s="3" t="s">
        <v>81</v>
      </c>
      <c r="AM667" s="3" t="s">
        <v>82</v>
      </c>
    </row>
    <row r="668" spans="1:39" ht="21" customHeight="1">
      <c r="A668" s="4">
        <v>43076</v>
      </c>
      <c r="B668" s="3" t="s">
        <v>78</v>
      </c>
      <c r="C668" s="3" t="s">
        <v>79</v>
      </c>
      <c r="D668" s="4">
        <v>43159</v>
      </c>
      <c r="E668" s="3">
        <f t="shared" si="124"/>
        <v>-83</v>
      </c>
      <c r="F668" s="3" t="str">
        <f t="shared" si="125"/>
        <v>개봉전</v>
      </c>
      <c r="G668" s="3" t="str">
        <f t="shared" si="126"/>
        <v>목</v>
      </c>
      <c r="H668" s="3">
        <f t="shared" si="127"/>
        <v>0</v>
      </c>
      <c r="I668" s="3"/>
      <c r="J668" s="3"/>
      <c r="K668" s="3"/>
      <c r="L668" s="12" t="str">
        <f t="shared" si="128"/>
        <v/>
      </c>
      <c r="M668" s="12" t="str">
        <f t="shared" si="129"/>
        <v/>
      </c>
      <c r="N668" s="11" t="str">
        <f t="shared" si="131"/>
        <v/>
      </c>
      <c r="O668" s="11" t="str">
        <f t="shared" si="133"/>
        <v/>
      </c>
      <c r="P668" s="11" t="str">
        <f t="shared" si="134"/>
        <v/>
      </c>
      <c r="Q668" s="7"/>
      <c r="R668" s="7"/>
      <c r="S668" s="7"/>
      <c r="T668" s="7"/>
      <c r="U668" s="7"/>
      <c r="V668" s="7"/>
      <c r="W668" s="7"/>
      <c r="X668" s="3"/>
      <c r="Y668" s="3"/>
      <c r="Z668" s="9">
        <v>0.27989000000000003</v>
      </c>
      <c r="AA668" s="12">
        <f t="shared" si="130"/>
        <v>1.6008421664004846E-2</v>
      </c>
      <c r="AB668" s="9">
        <f t="shared" si="132"/>
        <v>0.28386571428571428</v>
      </c>
      <c r="AC668" s="9">
        <f t="shared" si="135"/>
        <v>0.27357964285714281</v>
      </c>
      <c r="AD668" s="9">
        <f t="shared" si="136"/>
        <v>1.0375980877858759</v>
      </c>
      <c r="AE668" s="3" t="s">
        <v>80</v>
      </c>
      <c r="AF668" s="11" t="str">
        <f t="shared" si="137"/>
        <v/>
      </c>
      <c r="AG668" s="11" t="str">
        <f t="shared" si="138"/>
        <v/>
      </c>
      <c r="AH668" s="11">
        <f t="shared" si="139"/>
        <v>1.0230658870556109</v>
      </c>
      <c r="AI668" s="3" t="s">
        <v>45</v>
      </c>
      <c r="AJ668" s="3" t="s">
        <v>79</v>
      </c>
      <c r="AK668" s="3" t="s">
        <v>46</v>
      </c>
      <c r="AL668" s="3" t="s">
        <v>81</v>
      </c>
      <c r="AM668" s="3" t="s">
        <v>82</v>
      </c>
    </row>
    <row r="669" spans="1:39" ht="21" customHeight="1">
      <c r="A669" s="4">
        <v>43077</v>
      </c>
      <c r="B669" s="3" t="s">
        <v>78</v>
      </c>
      <c r="C669" s="3" t="s">
        <v>79</v>
      </c>
      <c r="D669" s="4">
        <v>43159</v>
      </c>
      <c r="E669" s="3">
        <f t="shared" si="124"/>
        <v>-82</v>
      </c>
      <c r="F669" s="3" t="str">
        <f t="shared" si="125"/>
        <v>개봉전</v>
      </c>
      <c r="G669" s="3" t="str">
        <f t="shared" si="126"/>
        <v>금</v>
      </c>
      <c r="H669" s="3">
        <f t="shared" si="127"/>
        <v>0</v>
      </c>
      <c r="I669" s="3"/>
      <c r="J669" s="3"/>
      <c r="K669" s="3"/>
      <c r="L669" s="12" t="str">
        <f t="shared" si="128"/>
        <v/>
      </c>
      <c r="M669" s="12" t="str">
        <f t="shared" si="129"/>
        <v/>
      </c>
      <c r="N669" s="11" t="str">
        <f t="shared" si="131"/>
        <v/>
      </c>
      <c r="O669" s="11" t="str">
        <f t="shared" si="133"/>
        <v/>
      </c>
      <c r="P669" s="11" t="str">
        <f t="shared" si="134"/>
        <v/>
      </c>
      <c r="Q669" s="7"/>
      <c r="R669" s="7"/>
      <c r="S669" s="7"/>
      <c r="T669" s="7"/>
      <c r="U669" s="7"/>
      <c r="V669" s="7"/>
      <c r="W669" s="7"/>
      <c r="X669" s="3"/>
      <c r="Y669" s="3"/>
      <c r="Z669" s="9">
        <v>0.27571000000000001</v>
      </c>
      <c r="AA669" s="12">
        <f t="shared" si="130"/>
        <v>-1.4934438529422334E-2</v>
      </c>
      <c r="AB669" s="9">
        <f t="shared" si="132"/>
        <v>0.29192285714285715</v>
      </c>
      <c r="AC669" s="9">
        <f t="shared" si="135"/>
        <v>0.27535357142857142</v>
      </c>
      <c r="AD669" s="9">
        <f t="shared" si="136"/>
        <v>1.0601745807338616</v>
      </c>
      <c r="AE669" s="3" t="s">
        <v>80</v>
      </c>
      <c r="AF669" s="11" t="str">
        <f t="shared" si="137"/>
        <v/>
      </c>
      <c r="AG669" s="11" t="str">
        <f t="shared" si="138"/>
        <v/>
      </c>
      <c r="AH669" s="11">
        <f t="shared" si="139"/>
        <v>1.0012944396165968</v>
      </c>
      <c r="AI669" s="3" t="s">
        <v>45</v>
      </c>
      <c r="AJ669" s="3" t="s">
        <v>79</v>
      </c>
      <c r="AK669" s="3" t="s">
        <v>46</v>
      </c>
      <c r="AL669" s="3" t="s">
        <v>81</v>
      </c>
      <c r="AM669" s="3" t="s">
        <v>82</v>
      </c>
    </row>
    <row r="670" spans="1:39" ht="21" customHeight="1">
      <c r="A670" s="4">
        <v>43078</v>
      </c>
      <c r="B670" s="3" t="s">
        <v>78</v>
      </c>
      <c r="C670" s="3" t="s">
        <v>79</v>
      </c>
      <c r="D670" s="4">
        <v>43159</v>
      </c>
      <c r="E670" s="3">
        <f t="shared" si="124"/>
        <v>-81</v>
      </c>
      <c r="F670" s="3" t="str">
        <f t="shared" si="125"/>
        <v>개봉전</v>
      </c>
      <c r="G670" s="3" t="str">
        <f t="shared" si="126"/>
        <v>토</v>
      </c>
      <c r="H670" s="3">
        <f t="shared" si="127"/>
        <v>1</v>
      </c>
      <c r="I670" s="3"/>
      <c r="J670" s="3"/>
      <c r="K670" s="3"/>
      <c r="L670" s="12" t="str">
        <f t="shared" si="128"/>
        <v/>
      </c>
      <c r="M670" s="12" t="str">
        <f t="shared" si="129"/>
        <v/>
      </c>
      <c r="N670" s="11" t="str">
        <f t="shared" si="131"/>
        <v/>
      </c>
      <c r="O670" s="11" t="str">
        <f t="shared" si="133"/>
        <v/>
      </c>
      <c r="P670" s="11" t="str">
        <f t="shared" si="134"/>
        <v/>
      </c>
      <c r="Q670" s="7"/>
      <c r="R670" s="7"/>
      <c r="S670" s="7"/>
      <c r="T670" s="7"/>
      <c r="U670" s="7"/>
      <c r="V670" s="7"/>
      <c r="W670" s="7"/>
      <c r="X670" s="3"/>
      <c r="Y670" s="3"/>
      <c r="Z670" s="9">
        <v>0.24693000000000001</v>
      </c>
      <c r="AA670" s="12">
        <f t="shared" si="130"/>
        <v>-0.10438504225454281</v>
      </c>
      <c r="AB670" s="9">
        <f t="shared" si="132"/>
        <v>0.25820428571428572</v>
      </c>
      <c r="AC670" s="9">
        <f t="shared" si="135"/>
        <v>0.27483142857142856</v>
      </c>
      <c r="AD670" s="9">
        <f t="shared" si="136"/>
        <v>0.93950057697705613</v>
      </c>
      <c r="AE670" s="3" t="s">
        <v>80</v>
      </c>
      <c r="AF670" s="11" t="str">
        <f t="shared" si="137"/>
        <v/>
      </c>
      <c r="AG670" s="11" t="str">
        <f t="shared" si="138"/>
        <v/>
      </c>
      <c r="AH670" s="11">
        <f t="shared" si="139"/>
        <v>0.89847802808994615</v>
      </c>
      <c r="AI670" s="3" t="s">
        <v>45</v>
      </c>
      <c r="AJ670" s="3" t="s">
        <v>79</v>
      </c>
      <c r="AK670" s="3" t="s">
        <v>46</v>
      </c>
      <c r="AL670" s="3" t="s">
        <v>81</v>
      </c>
      <c r="AM670" s="3" t="s">
        <v>82</v>
      </c>
    </row>
    <row r="671" spans="1:39" ht="21" customHeight="1">
      <c r="A671" s="4">
        <v>43079</v>
      </c>
      <c r="B671" s="3" t="s">
        <v>78</v>
      </c>
      <c r="C671" s="3" t="s">
        <v>79</v>
      </c>
      <c r="D671" s="4">
        <v>43159</v>
      </c>
      <c r="E671" s="3">
        <f t="shared" si="124"/>
        <v>-80</v>
      </c>
      <c r="F671" s="3" t="str">
        <f t="shared" si="125"/>
        <v>개봉전</v>
      </c>
      <c r="G671" s="3" t="str">
        <f t="shared" si="126"/>
        <v>일</v>
      </c>
      <c r="H671" s="3">
        <f t="shared" si="127"/>
        <v>1</v>
      </c>
      <c r="I671" s="3"/>
      <c r="J671" s="3"/>
      <c r="K671" s="3"/>
      <c r="L671" s="12" t="str">
        <f t="shared" si="128"/>
        <v/>
      </c>
      <c r="M671" s="12" t="str">
        <f t="shared" si="129"/>
        <v/>
      </c>
      <c r="N671" s="11" t="str">
        <f t="shared" si="131"/>
        <v/>
      </c>
      <c r="O671" s="11" t="str">
        <f t="shared" si="133"/>
        <v/>
      </c>
      <c r="P671" s="11" t="str">
        <f t="shared" si="134"/>
        <v/>
      </c>
      <c r="Q671" s="7"/>
      <c r="R671" s="7"/>
      <c r="S671" s="7"/>
      <c r="T671" s="7"/>
      <c r="U671" s="7"/>
      <c r="V671" s="7"/>
      <c r="W671" s="7"/>
      <c r="X671" s="3"/>
      <c r="Y671" s="3"/>
      <c r="Z671" s="9">
        <v>0.27617000000000003</v>
      </c>
      <c r="AA671" s="12">
        <f t="shared" si="130"/>
        <v>0.11841412546065699</v>
      </c>
      <c r="AB671" s="9">
        <f t="shared" si="132"/>
        <v>0.25717571428571434</v>
      </c>
      <c r="AC671" s="9">
        <f t="shared" si="135"/>
        <v>0.27289178571428574</v>
      </c>
      <c r="AD671" s="9">
        <f t="shared" si="136"/>
        <v>0.94240914438873613</v>
      </c>
      <c r="AE671" s="3" t="s">
        <v>80</v>
      </c>
      <c r="AF671" s="11" t="str">
        <f t="shared" si="137"/>
        <v/>
      </c>
      <c r="AG671" s="11" t="str">
        <f t="shared" si="138"/>
        <v/>
      </c>
      <c r="AH671" s="11">
        <f t="shared" si="139"/>
        <v>1.0120128727111872</v>
      </c>
      <c r="AI671" s="3" t="s">
        <v>45</v>
      </c>
      <c r="AJ671" s="3" t="s">
        <v>79</v>
      </c>
      <c r="AK671" s="3" t="s">
        <v>46</v>
      </c>
      <c r="AL671" s="3" t="s">
        <v>81</v>
      </c>
      <c r="AM671" s="3" t="s">
        <v>82</v>
      </c>
    </row>
    <row r="672" spans="1:39" ht="21" customHeight="1">
      <c r="A672" s="4">
        <v>43080</v>
      </c>
      <c r="B672" s="3" t="s">
        <v>78</v>
      </c>
      <c r="C672" s="3" t="s">
        <v>79</v>
      </c>
      <c r="D672" s="4">
        <v>43159</v>
      </c>
      <c r="E672" s="3">
        <f t="shared" si="124"/>
        <v>-79</v>
      </c>
      <c r="F672" s="3" t="str">
        <f t="shared" si="125"/>
        <v>개봉전</v>
      </c>
      <c r="G672" s="3" t="str">
        <f t="shared" si="126"/>
        <v>월</v>
      </c>
      <c r="H672" s="3">
        <f t="shared" si="127"/>
        <v>0</v>
      </c>
      <c r="I672" s="3"/>
      <c r="J672" s="3"/>
      <c r="K672" s="3"/>
      <c r="L672" s="12" t="str">
        <f t="shared" si="128"/>
        <v/>
      </c>
      <c r="M672" s="12" t="str">
        <f t="shared" si="129"/>
        <v/>
      </c>
      <c r="N672" s="11" t="str">
        <f t="shared" si="131"/>
        <v/>
      </c>
      <c r="O672" s="11" t="str">
        <f t="shared" si="133"/>
        <v/>
      </c>
      <c r="P672" s="11" t="str">
        <f t="shared" si="134"/>
        <v/>
      </c>
      <c r="Q672" s="7"/>
      <c r="R672" s="7"/>
      <c r="S672" s="7"/>
      <c r="T672" s="7"/>
      <c r="U672" s="7"/>
      <c r="V672" s="7"/>
      <c r="W672" s="7"/>
      <c r="X672" s="3"/>
      <c r="Y672" s="3"/>
      <c r="Z672" s="9">
        <v>0.25064999999999998</v>
      </c>
      <c r="AA672" s="12">
        <f t="shared" si="130"/>
        <v>-9.2406850852735811E-2</v>
      </c>
      <c r="AB672" s="9">
        <f t="shared" si="132"/>
        <v>0.26055857142857147</v>
      </c>
      <c r="AC672" s="9">
        <f t="shared" si="135"/>
        <v>0.27285857142857145</v>
      </c>
      <c r="AD672" s="9">
        <f t="shared" si="136"/>
        <v>0.95492170198061799</v>
      </c>
      <c r="AE672" s="3" t="s">
        <v>80</v>
      </c>
      <c r="AF672" s="11" t="str">
        <f t="shared" si="137"/>
        <v/>
      </c>
      <c r="AG672" s="11" t="str">
        <f t="shared" si="138"/>
        <v/>
      </c>
      <c r="AH672" s="11">
        <f t="shared" si="139"/>
        <v>0.91860775598033506</v>
      </c>
      <c r="AI672" s="3" t="s">
        <v>45</v>
      </c>
      <c r="AJ672" s="3" t="s">
        <v>79</v>
      </c>
      <c r="AK672" s="3" t="s">
        <v>46</v>
      </c>
      <c r="AL672" s="3" t="s">
        <v>81</v>
      </c>
      <c r="AM672" s="3" t="s">
        <v>82</v>
      </c>
    </row>
    <row r="673" spans="1:39" ht="21" customHeight="1">
      <c r="A673" s="4">
        <v>43081</v>
      </c>
      <c r="B673" s="3" t="s">
        <v>78</v>
      </c>
      <c r="C673" s="3" t="s">
        <v>79</v>
      </c>
      <c r="D673" s="4">
        <v>43159</v>
      </c>
      <c r="E673" s="3">
        <f t="shared" si="124"/>
        <v>-78</v>
      </c>
      <c r="F673" s="3" t="str">
        <f t="shared" si="125"/>
        <v>개봉전</v>
      </c>
      <c r="G673" s="3" t="str">
        <f t="shared" si="126"/>
        <v>화</v>
      </c>
      <c r="H673" s="3">
        <f t="shared" si="127"/>
        <v>0</v>
      </c>
      <c r="I673" s="3"/>
      <c r="J673" s="3"/>
      <c r="K673" s="3"/>
      <c r="L673" s="12" t="str">
        <f t="shared" si="128"/>
        <v/>
      </c>
      <c r="M673" s="12" t="str">
        <f t="shared" si="129"/>
        <v/>
      </c>
      <c r="N673" s="11" t="str">
        <f t="shared" si="131"/>
        <v/>
      </c>
      <c r="O673" s="11" t="str">
        <f t="shared" si="133"/>
        <v/>
      </c>
      <c r="P673" s="11" t="str">
        <f t="shared" si="134"/>
        <v/>
      </c>
      <c r="Q673" s="7"/>
      <c r="R673" s="7"/>
      <c r="S673" s="7"/>
      <c r="T673" s="7"/>
      <c r="U673" s="7"/>
      <c r="V673" s="7"/>
      <c r="W673" s="7"/>
      <c r="X673" s="3"/>
      <c r="Y673" s="3"/>
      <c r="Z673" s="9">
        <v>0.32839000000000002</v>
      </c>
      <c r="AA673" s="12">
        <f t="shared" si="130"/>
        <v>0.31015360063834052</v>
      </c>
      <c r="AB673" s="9">
        <f t="shared" si="132"/>
        <v>0.27617428571428576</v>
      </c>
      <c r="AC673" s="9">
        <f t="shared" si="135"/>
        <v>0.2723532142857143</v>
      </c>
      <c r="AD673" s="9">
        <f t="shared" si="136"/>
        <v>1.0140298378287651</v>
      </c>
      <c r="AE673" s="3" t="s">
        <v>80</v>
      </c>
      <c r="AF673" s="11" t="str">
        <f t="shared" si="137"/>
        <v/>
      </c>
      <c r="AG673" s="11" t="str">
        <f t="shared" si="138"/>
        <v/>
      </c>
      <c r="AH673" s="11">
        <f t="shared" si="139"/>
        <v>1.2057504107717263</v>
      </c>
      <c r="AI673" s="3" t="s">
        <v>45</v>
      </c>
      <c r="AJ673" s="3" t="s">
        <v>79</v>
      </c>
      <c r="AK673" s="3" t="s">
        <v>46</v>
      </c>
      <c r="AL673" s="3" t="s">
        <v>81</v>
      </c>
      <c r="AM673" s="3" t="s">
        <v>82</v>
      </c>
    </row>
    <row r="674" spans="1:39" ht="21" customHeight="1">
      <c r="A674" s="4">
        <v>43082</v>
      </c>
      <c r="B674" s="3" t="s">
        <v>78</v>
      </c>
      <c r="C674" s="3" t="s">
        <v>79</v>
      </c>
      <c r="D674" s="4">
        <v>43159</v>
      </c>
      <c r="E674" s="3">
        <f t="shared" si="124"/>
        <v>-77</v>
      </c>
      <c r="F674" s="3" t="str">
        <f t="shared" si="125"/>
        <v>개봉전</v>
      </c>
      <c r="G674" s="3" t="str">
        <f t="shared" si="126"/>
        <v>수</v>
      </c>
      <c r="H674" s="3">
        <f t="shared" si="127"/>
        <v>0</v>
      </c>
      <c r="I674" s="3"/>
      <c r="J674" s="3"/>
      <c r="K674" s="3"/>
      <c r="L674" s="12" t="str">
        <f t="shared" si="128"/>
        <v/>
      </c>
      <c r="M674" s="12" t="str">
        <f t="shared" si="129"/>
        <v/>
      </c>
      <c r="N674" s="11" t="str">
        <f t="shared" si="131"/>
        <v/>
      </c>
      <c r="O674" s="11" t="str">
        <f t="shared" si="133"/>
        <v/>
      </c>
      <c r="P674" s="11" t="str">
        <f t="shared" si="134"/>
        <v/>
      </c>
      <c r="Q674" s="7"/>
      <c r="R674" s="7"/>
      <c r="S674" s="7"/>
      <c r="T674" s="7"/>
      <c r="U674" s="7"/>
      <c r="V674" s="7"/>
      <c r="W674" s="7"/>
      <c r="X674" s="3"/>
      <c r="Y674" s="3"/>
      <c r="Z674" s="9">
        <v>0.2467</v>
      </c>
      <c r="AA674" s="12">
        <f t="shared" si="130"/>
        <v>-0.2487590974146594</v>
      </c>
      <c r="AB674" s="9">
        <f t="shared" si="132"/>
        <v>0.27206285714285711</v>
      </c>
      <c r="AC674" s="9">
        <f t="shared" si="135"/>
        <v>0.27541178571428576</v>
      </c>
      <c r="AD674" s="9">
        <f t="shared" si="136"/>
        <v>0.98784028590954032</v>
      </c>
      <c r="AE674" s="3" t="s">
        <v>80</v>
      </c>
      <c r="AF674" s="11" t="str">
        <f t="shared" si="137"/>
        <v/>
      </c>
      <c r="AG674" s="11" t="str">
        <f t="shared" si="138"/>
        <v/>
      </c>
      <c r="AH674" s="11">
        <f t="shared" si="139"/>
        <v>0.89574961129633146</v>
      </c>
      <c r="AI674" s="3" t="s">
        <v>45</v>
      </c>
      <c r="AJ674" s="3" t="s">
        <v>79</v>
      </c>
      <c r="AK674" s="3" t="s">
        <v>46</v>
      </c>
      <c r="AL674" s="3" t="s">
        <v>81</v>
      </c>
      <c r="AM674" s="3" t="s">
        <v>82</v>
      </c>
    </row>
    <row r="675" spans="1:39" ht="21" customHeight="1">
      <c r="A675" s="4">
        <v>43083</v>
      </c>
      <c r="B675" s="3" t="s">
        <v>78</v>
      </c>
      <c r="C675" s="3" t="s">
        <v>79</v>
      </c>
      <c r="D675" s="4">
        <v>43159</v>
      </c>
      <c r="E675" s="3">
        <f t="shared" si="124"/>
        <v>-76</v>
      </c>
      <c r="F675" s="3" t="str">
        <f t="shared" si="125"/>
        <v>개봉전</v>
      </c>
      <c r="G675" s="3" t="str">
        <f t="shared" si="126"/>
        <v>목</v>
      </c>
      <c r="H675" s="3">
        <f t="shared" si="127"/>
        <v>0</v>
      </c>
      <c r="I675" s="3"/>
      <c r="J675" s="3"/>
      <c r="K675" s="3"/>
      <c r="L675" s="12" t="str">
        <f t="shared" si="128"/>
        <v/>
      </c>
      <c r="M675" s="12" t="str">
        <f t="shared" si="129"/>
        <v/>
      </c>
      <c r="N675" s="11" t="str">
        <f t="shared" si="131"/>
        <v/>
      </c>
      <c r="O675" s="11" t="str">
        <f t="shared" si="133"/>
        <v/>
      </c>
      <c r="P675" s="11" t="str">
        <f t="shared" si="134"/>
        <v/>
      </c>
      <c r="Q675" s="7"/>
      <c r="R675" s="7"/>
      <c r="S675" s="7"/>
      <c r="T675" s="7"/>
      <c r="U675" s="7"/>
      <c r="V675" s="7"/>
      <c r="W675" s="7"/>
      <c r="X675" s="3"/>
      <c r="Y675" s="3"/>
      <c r="Z675" s="9">
        <v>0.22674</v>
      </c>
      <c r="AA675" s="12">
        <f t="shared" si="130"/>
        <v>-8.0907985407377425E-2</v>
      </c>
      <c r="AB675" s="9">
        <f t="shared" si="132"/>
        <v>0.26446999999999998</v>
      </c>
      <c r="AC675" s="9">
        <f t="shared" si="135"/>
        <v>0.27264321428571431</v>
      </c>
      <c r="AD675" s="9">
        <f t="shared" si="136"/>
        <v>0.97002230806614076</v>
      </c>
      <c r="AE675" s="3" t="s">
        <v>80</v>
      </c>
      <c r="AF675" s="11" t="str">
        <f t="shared" si="137"/>
        <v/>
      </c>
      <c r="AG675" s="11" t="str">
        <f t="shared" si="138"/>
        <v/>
      </c>
      <c r="AH675" s="11">
        <f t="shared" si="139"/>
        <v>0.83163632219501926</v>
      </c>
      <c r="AI675" s="3" t="s">
        <v>45</v>
      </c>
      <c r="AJ675" s="3" t="s">
        <v>79</v>
      </c>
      <c r="AK675" s="3" t="s">
        <v>46</v>
      </c>
      <c r="AL675" s="3" t="s">
        <v>81</v>
      </c>
      <c r="AM675" s="3" t="s">
        <v>82</v>
      </c>
    </row>
    <row r="676" spans="1:39" ht="21" customHeight="1">
      <c r="A676" s="4">
        <v>43084</v>
      </c>
      <c r="B676" s="3" t="s">
        <v>78</v>
      </c>
      <c r="C676" s="3" t="s">
        <v>79</v>
      </c>
      <c r="D676" s="4">
        <v>43159</v>
      </c>
      <c r="E676" s="3">
        <f t="shared" si="124"/>
        <v>-75</v>
      </c>
      <c r="F676" s="3" t="str">
        <f t="shared" si="125"/>
        <v>개봉전</v>
      </c>
      <c r="G676" s="3" t="str">
        <f t="shared" si="126"/>
        <v>금</v>
      </c>
      <c r="H676" s="3">
        <f t="shared" si="127"/>
        <v>0</v>
      </c>
      <c r="I676" s="3"/>
      <c r="J676" s="3"/>
      <c r="K676" s="3"/>
      <c r="L676" s="12" t="str">
        <f t="shared" si="128"/>
        <v/>
      </c>
      <c r="M676" s="12" t="str">
        <f t="shared" si="129"/>
        <v/>
      </c>
      <c r="N676" s="11" t="str">
        <f t="shared" si="131"/>
        <v/>
      </c>
      <c r="O676" s="11" t="str">
        <f t="shared" si="133"/>
        <v/>
      </c>
      <c r="P676" s="11" t="str">
        <f t="shared" si="134"/>
        <v/>
      </c>
      <c r="Q676" s="7"/>
      <c r="R676" s="7"/>
      <c r="S676" s="7"/>
      <c r="T676" s="7"/>
      <c r="U676" s="7"/>
      <c r="V676" s="7"/>
      <c r="W676" s="7"/>
      <c r="X676" s="3"/>
      <c r="Y676" s="3"/>
      <c r="Z676" s="9">
        <v>0.27895999999999999</v>
      </c>
      <c r="AA676" s="12">
        <f t="shared" si="130"/>
        <v>0.23030784158066497</v>
      </c>
      <c r="AB676" s="9">
        <f t="shared" si="132"/>
        <v>0.26493428571428568</v>
      </c>
      <c r="AC676" s="9">
        <f t="shared" si="135"/>
        <v>0.27167357142857135</v>
      </c>
      <c r="AD676" s="9">
        <f t="shared" si="136"/>
        <v>0.97519344381255879</v>
      </c>
      <c r="AE676" s="3" t="s">
        <v>80</v>
      </c>
      <c r="AF676" s="11" t="str">
        <f t="shared" si="137"/>
        <v/>
      </c>
      <c r="AG676" s="11" t="str">
        <f t="shared" si="138"/>
        <v/>
      </c>
      <c r="AH676" s="11">
        <f t="shared" si="139"/>
        <v>1.0268205277867613</v>
      </c>
      <c r="AI676" s="3" t="s">
        <v>45</v>
      </c>
      <c r="AJ676" s="3" t="s">
        <v>79</v>
      </c>
      <c r="AK676" s="3" t="s">
        <v>46</v>
      </c>
      <c r="AL676" s="3" t="s">
        <v>81</v>
      </c>
      <c r="AM676" s="3" t="s">
        <v>82</v>
      </c>
    </row>
    <row r="677" spans="1:39" ht="21" customHeight="1">
      <c r="A677" s="4">
        <v>43085</v>
      </c>
      <c r="B677" s="3" t="s">
        <v>78</v>
      </c>
      <c r="C677" s="3" t="s">
        <v>79</v>
      </c>
      <c r="D677" s="4">
        <v>43159</v>
      </c>
      <c r="E677" s="3">
        <f t="shared" si="124"/>
        <v>-74</v>
      </c>
      <c r="F677" s="3" t="str">
        <f t="shared" si="125"/>
        <v>개봉전</v>
      </c>
      <c r="G677" s="3" t="str">
        <f t="shared" si="126"/>
        <v>토</v>
      </c>
      <c r="H677" s="3">
        <f t="shared" si="127"/>
        <v>1</v>
      </c>
      <c r="I677" s="3"/>
      <c r="J677" s="3"/>
      <c r="K677" s="3"/>
      <c r="L677" s="12" t="str">
        <f t="shared" si="128"/>
        <v/>
      </c>
      <c r="M677" s="12" t="str">
        <f t="shared" si="129"/>
        <v/>
      </c>
      <c r="N677" s="11" t="str">
        <f t="shared" si="131"/>
        <v/>
      </c>
      <c r="O677" s="11" t="str">
        <f t="shared" si="133"/>
        <v/>
      </c>
      <c r="P677" s="11" t="str">
        <f t="shared" si="134"/>
        <v/>
      </c>
      <c r="Q677" s="7"/>
      <c r="R677" s="7"/>
      <c r="S677" s="7"/>
      <c r="T677" s="7"/>
      <c r="U677" s="7"/>
      <c r="V677" s="7"/>
      <c r="W677" s="7"/>
      <c r="X677" s="3"/>
      <c r="Y677" s="3"/>
      <c r="Z677" s="9">
        <v>0.28034999999999999</v>
      </c>
      <c r="AA677" s="12">
        <f t="shared" si="130"/>
        <v>4.9827932320045676E-3</v>
      </c>
      <c r="AB677" s="9">
        <f t="shared" si="132"/>
        <v>0.26970857142857135</v>
      </c>
      <c r="AC677" s="9">
        <f t="shared" si="135"/>
        <v>0.27281749999999999</v>
      </c>
      <c r="AD677" s="9">
        <f t="shared" si="136"/>
        <v>0.98860436529391027</v>
      </c>
      <c r="AE677" s="3" t="s">
        <v>80</v>
      </c>
      <c r="AF677" s="11" t="str">
        <f t="shared" si="137"/>
        <v/>
      </c>
      <c r="AG677" s="11" t="str">
        <f t="shared" si="138"/>
        <v/>
      </c>
      <c r="AH677" s="11">
        <f t="shared" si="139"/>
        <v>1.0276100323476316</v>
      </c>
      <c r="AI677" s="3" t="s">
        <v>45</v>
      </c>
      <c r="AJ677" s="3" t="s">
        <v>79</v>
      </c>
      <c r="AK677" s="3" t="s">
        <v>46</v>
      </c>
      <c r="AL677" s="3" t="s">
        <v>81</v>
      </c>
      <c r="AM677" s="3" t="s">
        <v>82</v>
      </c>
    </row>
    <row r="678" spans="1:39" ht="21" customHeight="1">
      <c r="A678" s="4">
        <v>43086</v>
      </c>
      <c r="B678" s="3" t="s">
        <v>78</v>
      </c>
      <c r="C678" s="3" t="s">
        <v>79</v>
      </c>
      <c r="D678" s="4">
        <v>43159</v>
      </c>
      <c r="E678" s="3">
        <f t="shared" si="124"/>
        <v>-73</v>
      </c>
      <c r="F678" s="3" t="str">
        <f t="shared" si="125"/>
        <v>개봉전</v>
      </c>
      <c r="G678" s="3" t="str">
        <f t="shared" si="126"/>
        <v>일</v>
      </c>
      <c r="H678" s="3">
        <f t="shared" si="127"/>
        <v>1</v>
      </c>
      <c r="I678" s="3"/>
      <c r="J678" s="3"/>
      <c r="K678" s="3"/>
      <c r="L678" s="12" t="str">
        <f t="shared" si="128"/>
        <v/>
      </c>
      <c r="M678" s="12" t="str">
        <f t="shared" si="129"/>
        <v/>
      </c>
      <c r="N678" s="11" t="str">
        <f t="shared" si="131"/>
        <v/>
      </c>
      <c r="O678" s="11" t="str">
        <f t="shared" si="133"/>
        <v/>
      </c>
      <c r="P678" s="11" t="str">
        <f t="shared" si="134"/>
        <v/>
      </c>
      <c r="Q678" s="7"/>
      <c r="R678" s="7"/>
      <c r="S678" s="7"/>
      <c r="T678" s="7"/>
      <c r="U678" s="7"/>
      <c r="V678" s="7"/>
      <c r="W678" s="7"/>
      <c r="X678" s="3"/>
      <c r="Y678" s="3"/>
      <c r="Z678" s="9">
        <v>0.27664</v>
      </c>
      <c r="AA678" s="12">
        <f t="shared" si="130"/>
        <v>-1.323345817727839E-2</v>
      </c>
      <c r="AB678" s="9">
        <f t="shared" si="132"/>
        <v>0.26977571428571429</v>
      </c>
      <c r="AC678" s="9">
        <f t="shared" si="135"/>
        <v>0.27421821428571425</v>
      </c>
      <c r="AD678" s="9">
        <f t="shared" si="136"/>
        <v>0.98379939854990373</v>
      </c>
      <c r="AE678" s="3" t="s">
        <v>80</v>
      </c>
      <c r="AF678" s="11" t="str">
        <f t="shared" si="137"/>
        <v/>
      </c>
      <c r="AG678" s="11" t="str">
        <f t="shared" si="138"/>
        <v/>
      </c>
      <c r="AH678" s="11">
        <f t="shared" si="139"/>
        <v>1.0088316004850153</v>
      </c>
      <c r="AI678" s="3" t="s">
        <v>45</v>
      </c>
      <c r="AJ678" s="3" t="s">
        <v>79</v>
      </c>
      <c r="AK678" s="3" t="s">
        <v>46</v>
      </c>
      <c r="AL678" s="3" t="s">
        <v>81</v>
      </c>
      <c r="AM678" s="3" t="s">
        <v>82</v>
      </c>
    </row>
    <row r="679" spans="1:39" ht="21" customHeight="1">
      <c r="A679" s="4">
        <v>43087</v>
      </c>
      <c r="B679" s="3" t="s">
        <v>78</v>
      </c>
      <c r="C679" s="3" t="s">
        <v>79</v>
      </c>
      <c r="D679" s="4">
        <v>43159</v>
      </c>
      <c r="E679" s="3">
        <f t="shared" si="124"/>
        <v>-72</v>
      </c>
      <c r="F679" s="3" t="str">
        <f t="shared" si="125"/>
        <v>개봉전</v>
      </c>
      <c r="G679" s="3" t="str">
        <f t="shared" si="126"/>
        <v>월</v>
      </c>
      <c r="H679" s="3">
        <f t="shared" si="127"/>
        <v>0</v>
      </c>
      <c r="I679" s="3"/>
      <c r="J679" s="3"/>
      <c r="K679" s="3"/>
      <c r="L679" s="12" t="str">
        <f t="shared" si="128"/>
        <v/>
      </c>
      <c r="M679" s="12" t="str">
        <f t="shared" si="129"/>
        <v/>
      </c>
      <c r="N679" s="11" t="str">
        <f t="shared" si="131"/>
        <v/>
      </c>
      <c r="O679" s="11" t="str">
        <f t="shared" si="133"/>
        <v/>
      </c>
      <c r="P679" s="11" t="str">
        <f t="shared" si="134"/>
        <v/>
      </c>
      <c r="Q679" s="7"/>
      <c r="R679" s="7"/>
      <c r="S679" s="7"/>
      <c r="T679" s="7"/>
      <c r="U679" s="7"/>
      <c r="V679" s="7"/>
      <c r="W679" s="7"/>
      <c r="X679" s="3"/>
      <c r="Y679" s="3"/>
      <c r="Z679" s="9">
        <v>0.36901</v>
      </c>
      <c r="AA679" s="12">
        <f t="shared" si="130"/>
        <v>0.33389965297860047</v>
      </c>
      <c r="AB679" s="9">
        <f t="shared" si="132"/>
        <v>0.28668428571428567</v>
      </c>
      <c r="AC679" s="9">
        <f t="shared" si="135"/>
        <v>0.27304142857142855</v>
      </c>
      <c r="AD679" s="9">
        <f t="shared" si="136"/>
        <v>1.0499662531588612</v>
      </c>
      <c r="AE679" s="3" t="s">
        <v>80</v>
      </c>
      <c r="AF679" s="11" t="str">
        <f t="shared" si="137"/>
        <v/>
      </c>
      <c r="AG679" s="11" t="str">
        <f t="shared" si="138"/>
        <v/>
      </c>
      <c r="AH679" s="11">
        <f t="shared" si="139"/>
        <v>1.3514798905451293</v>
      </c>
      <c r="AI679" s="3" t="s">
        <v>45</v>
      </c>
      <c r="AJ679" s="3" t="s">
        <v>79</v>
      </c>
      <c r="AK679" s="3" t="s">
        <v>46</v>
      </c>
      <c r="AL679" s="3" t="s">
        <v>81</v>
      </c>
      <c r="AM679" s="3" t="s">
        <v>82</v>
      </c>
    </row>
    <row r="680" spans="1:39" ht="21" customHeight="1">
      <c r="A680" s="4">
        <v>43088</v>
      </c>
      <c r="B680" s="3" t="s">
        <v>78</v>
      </c>
      <c r="C680" s="3" t="s">
        <v>79</v>
      </c>
      <c r="D680" s="4">
        <v>43159</v>
      </c>
      <c r="E680" s="3">
        <f t="shared" si="124"/>
        <v>-71</v>
      </c>
      <c r="F680" s="3" t="str">
        <f t="shared" si="125"/>
        <v>개봉전</v>
      </c>
      <c r="G680" s="3" t="str">
        <f t="shared" si="126"/>
        <v>화</v>
      </c>
      <c r="H680" s="3">
        <f t="shared" si="127"/>
        <v>0</v>
      </c>
      <c r="I680" s="3"/>
      <c r="J680" s="3"/>
      <c r="K680" s="3"/>
      <c r="L680" s="12" t="str">
        <f t="shared" si="128"/>
        <v/>
      </c>
      <c r="M680" s="12" t="str">
        <f t="shared" si="129"/>
        <v/>
      </c>
      <c r="N680" s="11" t="str">
        <f t="shared" si="131"/>
        <v/>
      </c>
      <c r="O680" s="11" t="str">
        <f t="shared" si="133"/>
        <v/>
      </c>
      <c r="P680" s="11" t="str">
        <f t="shared" si="134"/>
        <v/>
      </c>
      <c r="Q680" s="7"/>
      <c r="R680" s="7"/>
      <c r="S680" s="7"/>
      <c r="T680" s="7"/>
      <c r="U680" s="7"/>
      <c r="V680" s="7"/>
      <c r="W680" s="7"/>
      <c r="X680" s="3"/>
      <c r="Y680" s="3"/>
      <c r="Z680" s="9">
        <v>0.27664</v>
      </c>
      <c r="AA680" s="12">
        <f t="shared" si="130"/>
        <v>-0.25031841955502565</v>
      </c>
      <c r="AB680" s="9">
        <f t="shared" si="132"/>
        <v>0.27929142857142858</v>
      </c>
      <c r="AC680" s="9">
        <f t="shared" si="135"/>
        <v>0.27797321428571425</v>
      </c>
      <c r="AD680" s="9">
        <f t="shared" si="136"/>
        <v>1.004742234927569</v>
      </c>
      <c r="AE680" s="3" t="s">
        <v>80</v>
      </c>
      <c r="AF680" s="11" t="str">
        <f t="shared" si="137"/>
        <v/>
      </c>
      <c r="AG680" s="11" t="str">
        <f t="shared" si="138"/>
        <v/>
      </c>
      <c r="AH680" s="11">
        <f t="shared" si="139"/>
        <v>0.99520380303857658</v>
      </c>
      <c r="AI680" s="3" t="s">
        <v>45</v>
      </c>
      <c r="AJ680" s="3" t="s">
        <v>79</v>
      </c>
      <c r="AK680" s="3" t="s">
        <v>46</v>
      </c>
      <c r="AL680" s="3" t="s">
        <v>81</v>
      </c>
      <c r="AM680" s="3" t="s">
        <v>82</v>
      </c>
    </row>
    <row r="681" spans="1:39" ht="21" customHeight="1">
      <c r="A681" s="4">
        <v>43089</v>
      </c>
      <c r="B681" s="3" t="s">
        <v>78</v>
      </c>
      <c r="C681" s="3" t="s">
        <v>79</v>
      </c>
      <c r="D681" s="4">
        <v>43159</v>
      </c>
      <c r="E681" s="3">
        <f t="shared" si="124"/>
        <v>-70</v>
      </c>
      <c r="F681" s="3" t="str">
        <f t="shared" si="125"/>
        <v>개봉전</v>
      </c>
      <c r="G681" s="3" t="str">
        <f t="shared" si="126"/>
        <v>수</v>
      </c>
      <c r="H681" s="3">
        <f t="shared" si="127"/>
        <v>0</v>
      </c>
      <c r="I681" s="3"/>
      <c r="J681" s="3"/>
      <c r="K681" s="3"/>
      <c r="L681" s="12" t="str">
        <f t="shared" si="128"/>
        <v/>
      </c>
      <c r="M681" s="12" t="str">
        <f t="shared" si="129"/>
        <v/>
      </c>
      <c r="N681" s="11" t="str">
        <f t="shared" si="131"/>
        <v/>
      </c>
      <c r="O681" s="11" t="str">
        <f t="shared" si="133"/>
        <v/>
      </c>
      <c r="P681" s="11" t="str">
        <f t="shared" si="134"/>
        <v/>
      </c>
      <c r="Q681" s="7"/>
      <c r="R681" s="7"/>
      <c r="S681" s="7"/>
      <c r="T681" s="7"/>
      <c r="U681" s="7"/>
      <c r="V681" s="7"/>
      <c r="W681" s="7"/>
      <c r="X681" s="3"/>
      <c r="Y681" s="3"/>
      <c r="Z681" s="9">
        <v>0.27060000000000001</v>
      </c>
      <c r="AA681" s="12">
        <f t="shared" si="130"/>
        <v>-2.1833429728166487E-2</v>
      </c>
      <c r="AB681" s="9">
        <f t="shared" si="132"/>
        <v>0.28270571428571428</v>
      </c>
      <c r="AC681" s="9">
        <f t="shared" si="135"/>
        <v>0.27976357142857144</v>
      </c>
      <c r="AD681" s="9">
        <f t="shared" si="136"/>
        <v>1.0105165330929942</v>
      </c>
      <c r="AE681" s="3" t="s">
        <v>80</v>
      </c>
      <c r="AF681" s="11" t="str">
        <f t="shared" si="137"/>
        <v/>
      </c>
      <c r="AG681" s="11" t="str">
        <f t="shared" si="138"/>
        <v/>
      </c>
      <c r="AH681" s="11">
        <f t="shared" si="139"/>
        <v>0.96724530151735266</v>
      </c>
      <c r="AI681" s="3" t="s">
        <v>45</v>
      </c>
      <c r="AJ681" s="3" t="s">
        <v>79</v>
      </c>
      <c r="AK681" s="3" t="s">
        <v>46</v>
      </c>
      <c r="AL681" s="3" t="s">
        <v>81</v>
      </c>
      <c r="AM681" s="3" t="s">
        <v>82</v>
      </c>
    </row>
    <row r="682" spans="1:39" ht="21" customHeight="1">
      <c r="A682" s="4">
        <v>43090</v>
      </c>
      <c r="B682" s="3" t="s">
        <v>78</v>
      </c>
      <c r="C682" s="3" t="s">
        <v>79</v>
      </c>
      <c r="D682" s="4">
        <v>43159</v>
      </c>
      <c r="E682" s="3">
        <f t="shared" si="124"/>
        <v>-69</v>
      </c>
      <c r="F682" s="3" t="str">
        <f t="shared" si="125"/>
        <v>개봉전</v>
      </c>
      <c r="G682" s="3" t="str">
        <f t="shared" si="126"/>
        <v>목</v>
      </c>
      <c r="H682" s="3">
        <f t="shared" si="127"/>
        <v>0</v>
      </c>
      <c r="I682" s="3"/>
      <c r="J682" s="3"/>
      <c r="K682" s="3"/>
      <c r="L682" s="12" t="str">
        <f t="shared" si="128"/>
        <v/>
      </c>
      <c r="M682" s="12" t="str">
        <f t="shared" si="129"/>
        <v/>
      </c>
      <c r="N682" s="11" t="str">
        <f t="shared" si="131"/>
        <v/>
      </c>
      <c r="O682" s="11" t="str">
        <f t="shared" si="133"/>
        <v/>
      </c>
      <c r="P682" s="11" t="str">
        <f t="shared" si="134"/>
        <v/>
      </c>
      <c r="Q682" s="7"/>
      <c r="R682" s="7"/>
      <c r="S682" s="7"/>
      <c r="T682" s="7"/>
      <c r="U682" s="7"/>
      <c r="V682" s="7"/>
      <c r="W682" s="7"/>
      <c r="X682" s="3"/>
      <c r="Y682" s="3"/>
      <c r="Z682" s="9">
        <v>0.26689000000000002</v>
      </c>
      <c r="AA682" s="12">
        <f t="shared" si="130"/>
        <v>-1.3710273466370992E-2</v>
      </c>
      <c r="AB682" s="9">
        <f t="shared" si="132"/>
        <v>0.28844142857142857</v>
      </c>
      <c r="AC682" s="9">
        <f t="shared" si="135"/>
        <v>0.28121392857142852</v>
      </c>
      <c r="AD682" s="9">
        <f t="shared" si="136"/>
        <v>1.0257010740425123</v>
      </c>
      <c r="AE682" s="3" t="s">
        <v>80</v>
      </c>
      <c r="AF682" s="11" t="str">
        <f t="shared" si="137"/>
        <v/>
      </c>
      <c r="AG682" s="11" t="str">
        <f t="shared" si="138"/>
        <v/>
      </c>
      <c r="AH682" s="11">
        <f t="shared" si="139"/>
        <v>0.94906394343909528</v>
      </c>
      <c r="AI682" s="3" t="s">
        <v>45</v>
      </c>
      <c r="AJ682" s="3" t="s">
        <v>79</v>
      </c>
      <c r="AK682" s="3" t="s">
        <v>46</v>
      </c>
      <c r="AL682" s="3" t="s">
        <v>81</v>
      </c>
      <c r="AM682" s="3" t="s">
        <v>82</v>
      </c>
    </row>
    <row r="683" spans="1:39" ht="21" customHeight="1">
      <c r="A683" s="4">
        <v>43091</v>
      </c>
      <c r="B683" s="3" t="s">
        <v>78</v>
      </c>
      <c r="C683" s="3" t="s">
        <v>79</v>
      </c>
      <c r="D683" s="4">
        <v>43159</v>
      </c>
      <c r="E683" s="3">
        <f t="shared" si="124"/>
        <v>-68</v>
      </c>
      <c r="F683" s="3" t="str">
        <f t="shared" si="125"/>
        <v>개봉전</v>
      </c>
      <c r="G683" s="3" t="str">
        <f t="shared" si="126"/>
        <v>금</v>
      </c>
      <c r="H683" s="3">
        <f t="shared" si="127"/>
        <v>0</v>
      </c>
      <c r="I683" s="3"/>
      <c r="J683" s="3"/>
      <c r="K683" s="3"/>
      <c r="L683" s="12" t="str">
        <f t="shared" si="128"/>
        <v/>
      </c>
      <c r="M683" s="12" t="str">
        <f t="shared" si="129"/>
        <v/>
      </c>
      <c r="N683" s="11" t="str">
        <f t="shared" si="131"/>
        <v/>
      </c>
      <c r="O683" s="11" t="str">
        <f t="shared" si="133"/>
        <v/>
      </c>
      <c r="P683" s="11" t="str">
        <f t="shared" si="134"/>
        <v/>
      </c>
      <c r="Q683" s="7"/>
      <c r="R683" s="7"/>
      <c r="S683" s="7"/>
      <c r="T683" s="7"/>
      <c r="U683" s="7"/>
      <c r="V683" s="7"/>
      <c r="W683" s="7"/>
      <c r="X683" s="3"/>
      <c r="Y683" s="3"/>
      <c r="Z683" s="9">
        <v>0.39430999999999999</v>
      </c>
      <c r="AA683" s="12">
        <f t="shared" si="130"/>
        <v>0.47742515643148842</v>
      </c>
      <c r="AB683" s="9">
        <f t="shared" si="132"/>
        <v>0.30492000000000002</v>
      </c>
      <c r="AC683" s="9">
        <f t="shared" si="135"/>
        <v>0.27962249999999994</v>
      </c>
      <c r="AD683" s="9">
        <f t="shared" si="136"/>
        <v>1.090470187484913</v>
      </c>
      <c r="AE683" s="3" t="s">
        <v>80</v>
      </c>
      <c r="AF683" s="11" t="str">
        <f t="shared" si="137"/>
        <v/>
      </c>
      <c r="AG683" s="11" t="str">
        <f t="shared" si="138"/>
        <v/>
      </c>
      <c r="AH683" s="11">
        <f t="shared" si="139"/>
        <v>1.4101511859739473</v>
      </c>
      <c r="AI683" s="3" t="s">
        <v>45</v>
      </c>
      <c r="AJ683" s="3" t="s">
        <v>79</v>
      </c>
      <c r="AK683" s="3" t="s">
        <v>46</v>
      </c>
      <c r="AL683" s="3" t="s">
        <v>81</v>
      </c>
      <c r="AM683" s="3" t="s">
        <v>82</v>
      </c>
    </row>
    <row r="684" spans="1:39" ht="21" customHeight="1">
      <c r="A684" s="4">
        <v>43092</v>
      </c>
      <c r="B684" s="3" t="s">
        <v>78</v>
      </c>
      <c r="C684" s="3" t="s">
        <v>79</v>
      </c>
      <c r="D684" s="4">
        <v>43159</v>
      </c>
      <c r="E684" s="3">
        <f t="shared" si="124"/>
        <v>-67</v>
      </c>
      <c r="F684" s="3" t="str">
        <f t="shared" si="125"/>
        <v>개봉전</v>
      </c>
      <c r="G684" s="3" t="str">
        <f t="shared" si="126"/>
        <v>토</v>
      </c>
      <c r="H684" s="3">
        <f t="shared" si="127"/>
        <v>1</v>
      </c>
      <c r="I684" s="3"/>
      <c r="J684" s="3"/>
      <c r="K684" s="3"/>
      <c r="L684" s="12" t="str">
        <f t="shared" si="128"/>
        <v/>
      </c>
      <c r="M684" s="12" t="str">
        <f t="shared" si="129"/>
        <v/>
      </c>
      <c r="N684" s="11" t="str">
        <f t="shared" si="131"/>
        <v/>
      </c>
      <c r="O684" s="11" t="str">
        <f t="shared" si="133"/>
        <v/>
      </c>
      <c r="P684" s="11" t="str">
        <f t="shared" si="134"/>
        <v/>
      </c>
      <c r="Q684" s="7"/>
      <c r="R684" s="7"/>
      <c r="S684" s="7"/>
      <c r="T684" s="7"/>
      <c r="U684" s="7"/>
      <c r="V684" s="7"/>
      <c r="W684" s="7"/>
      <c r="X684" s="3"/>
      <c r="Y684" s="3"/>
      <c r="Z684" s="9">
        <v>0.43701000000000001</v>
      </c>
      <c r="AA684" s="12">
        <f t="shared" si="130"/>
        <v>0.10829043138647254</v>
      </c>
      <c r="AB684" s="9">
        <f t="shared" si="132"/>
        <v>0.32730000000000004</v>
      </c>
      <c r="AC684" s="9">
        <f t="shared" si="135"/>
        <v>0.28548285714285709</v>
      </c>
      <c r="AD684" s="9">
        <f t="shared" si="136"/>
        <v>1.1464786477046411</v>
      </c>
      <c r="AE684" s="3" t="s">
        <v>80</v>
      </c>
      <c r="AF684" s="11" t="str">
        <f t="shared" si="137"/>
        <v/>
      </c>
      <c r="AG684" s="11" t="str">
        <f t="shared" si="138"/>
        <v/>
      </c>
      <c r="AH684" s="11">
        <f t="shared" si="139"/>
        <v>1.5307749276914304</v>
      </c>
      <c r="AI684" s="3" t="s">
        <v>45</v>
      </c>
      <c r="AJ684" s="3" t="s">
        <v>79</v>
      </c>
      <c r="AK684" s="3" t="s">
        <v>46</v>
      </c>
      <c r="AL684" s="3" t="s">
        <v>81</v>
      </c>
      <c r="AM684" s="3" t="s">
        <v>82</v>
      </c>
    </row>
    <row r="685" spans="1:39" ht="21" customHeight="1">
      <c r="A685" s="4">
        <v>43093</v>
      </c>
      <c r="B685" s="3" t="s">
        <v>78</v>
      </c>
      <c r="C685" s="3" t="s">
        <v>79</v>
      </c>
      <c r="D685" s="4">
        <v>43159</v>
      </c>
      <c r="E685" s="3">
        <f t="shared" si="124"/>
        <v>-66</v>
      </c>
      <c r="F685" s="3" t="str">
        <f t="shared" si="125"/>
        <v>개봉전</v>
      </c>
      <c r="G685" s="3" t="str">
        <f t="shared" si="126"/>
        <v>일</v>
      </c>
      <c r="H685" s="3">
        <f t="shared" si="127"/>
        <v>1</v>
      </c>
      <c r="I685" s="3"/>
      <c r="J685" s="3"/>
      <c r="K685" s="3"/>
      <c r="L685" s="12" t="str">
        <f t="shared" si="128"/>
        <v/>
      </c>
      <c r="M685" s="12" t="str">
        <f t="shared" si="129"/>
        <v/>
      </c>
      <c r="N685" s="11" t="str">
        <f t="shared" si="131"/>
        <v/>
      </c>
      <c r="O685" s="11" t="str">
        <f t="shared" si="133"/>
        <v/>
      </c>
      <c r="P685" s="11" t="str">
        <f t="shared" si="134"/>
        <v/>
      </c>
      <c r="Q685" s="7"/>
      <c r="R685" s="7"/>
      <c r="S685" s="7"/>
      <c r="T685" s="7"/>
      <c r="U685" s="7"/>
      <c r="V685" s="7"/>
      <c r="W685" s="7"/>
      <c r="X685" s="3"/>
      <c r="Y685" s="3"/>
      <c r="Z685" s="9">
        <v>0.57696000000000003</v>
      </c>
      <c r="AA685" s="12">
        <f t="shared" si="130"/>
        <v>0.32024438800027455</v>
      </c>
      <c r="AB685" s="9">
        <f t="shared" si="132"/>
        <v>0.37020285714285717</v>
      </c>
      <c r="AC685" s="9">
        <f t="shared" si="135"/>
        <v>0.29280999999999996</v>
      </c>
      <c r="AD685" s="9">
        <f t="shared" si="136"/>
        <v>1.2643108402816066</v>
      </c>
      <c r="AE685" s="3" t="s">
        <v>80</v>
      </c>
      <c r="AF685" s="11" t="str">
        <f t="shared" si="137"/>
        <v/>
      </c>
      <c r="AG685" s="11" t="str">
        <f t="shared" si="138"/>
        <v/>
      </c>
      <c r="AH685" s="11">
        <f t="shared" si="139"/>
        <v>1.9704245073597217</v>
      </c>
      <c r="AI685" s="3" t="s">
        <v>45</v>
      </c>
      <c r="AJ685" s="3" t="s">
        <v>79</v>
      </c>
      <c r="AK685" s="3" t="s">
        <v>46</v>
      </c>
      <c r="AL685" s="3" t="s">
        <v>81</v>
      </c>
      <c r="AM685" s="3" t="s">
        <v>82</v>
      </c>
    </row>
    <row r="686" spans="1:39" ht="21" customHeight="1">
      <c r="A686" s="4">
        <v>43094</v>
      </c>
      <c r="B686" s="3" t="s">
        <v>78</v>
      </c>
      <c r="C686" s="3" t="s">
        <v>79</v>
      </c>
      <c r="D686" s="4">
        <v>43159</v>
      </c>
      <c r="E686" s="3">
        <f t="shared" si="124"/>
        <v>-65</v>
      </c>
      <c r="F686" s="3" t="str">
        <f t="shared" si="125"/>
        <v>개봉전</v>
      </c>
      <c r="G686" s="3" t="str">
        <f t="shared" si="126"/>
        <v>월</v>
      </c>
      <c r="H686" s="3">
        <f t="shared" si="127"/>
        <v>0</v>
      </c>
      <c r="I686" s="3"/>
      <c r="J686" s="3"/>
      <c r="K686" s="3"/>
      <c r="L686" s="12" t="str">
        <f t="shared" si="128"/>
        <v/>
      </c>
      <c r="M686" s="12" t="str">
        <f t="shared" si="129"/>
        <v/>
      </c>
      <c r="N686" s="11" t="str">
        <f t="shared" si="131"/>
        <v/>
      </c>
      <c r="O686" s="11" t="str">
        <f t="shared" si="133"/>
        <v/>
      </c>
      <c r="P686" s="11" t="str">
        <f t="shared" si="134"/>
        <v/>
      </c>
      <c r="Q686" s="7"/>
      <c r="R686" s="7"/>
      <c r="S686" s="7"/>
      <c r="T686" s="7"/>
      <c r="U686" s="7"/>
      <c r="V686" s="7"/>
      <c r="W686" s="7"/>
      <c r="X686" s="3"/>
      <c r="Y686" s="3"/>
      <c r="Z686" s="9">
        <v>0.50524000000000002</v>
      </c>
      <c r="AA686" s="12">
        <f t="shared" si="130"/>
        <v>-0.12430671103716029</v>
      </c>
      <c r="AB686" s="9">
        <f t="shared" si="132"/>
        <v>0.38966428571428574</v>
      </c>
      <c r="AC686" s="9">
        <f t="shared" si="135"/>
        <v>0.30375964285714285</v>
      </c>
      <c r="AD686" s="9">
        <f t="shared" si="136"/>
        <v>1.2828046611101118</v>
      </c>
      <c r="AE686" s="3" t="s">
        <v>80</v>
      </c>
      <c r="AF686" s="11" t="str">
        <f t="shared" si="137"/>
        <v/>
      </c>
      <c r="AG686" s="11" t="str">
        <f t="shared" si="138"/>
        <v/>
      </c>
      <c r="AH686" s="11">
        <f t="shared" si="139"/>
        <v>1.6632887609681999</v>
      </c>
      <c r="AI686" s="3" t="s">
        <v>45</v>
      </c>
      <c r="AJ686" s="3" t="s">
        <v>79</v>
      </c>
      <c r="AK686" s="3" t="s">
        <v>46</v>
      </c>
      <c r="AL686" s="3" t="s">
        <v>81</v>
      </c>
      <c r="AM686" s="3" t="s">
        <v>82</v>
      </c>
    </row>
    <row r="687" spans="1:39" ht="21" customHeight="1">
      <c r="A687" s="4">
        <v>43095</v>
      </c>
      <c r="B687" s="3" t="s">
        <v>78</v>
      </c>
      <c r="C687" s="3" t="s">
        <v>79</v>
      </c>
      <c r="D687" s="4">
        <v>43159</v>
      </c>
      <c r="E687" s="3">
        <f t="shared" si="124"/>
        <v>-64</v>
      </c>
      <c r="F687" s="3" t="str">
        <f t="shared" si="125"/>
        <v>개봉전</v>
      </c>
      <c r="G687" s="3" t="str">
        <f t="shared" si="126"/>
        <v>화</v>
      </c>
      <c r="H687" s="3">
        <f t="shared" si="127"/>
        <v>0</v>
      </c>
      <c r="I687" s="3"/>
      <c r="J687" s="3"/>
      <c r="K687" s="3"/>
      <c r="L687" s="12" t="str">
        <f t="shared" si="128"/>
        <v/>
      </c>
      <c r="M687" s="12" t="str">
        <f t="shared" si="129"/>
        <v/>
      </c>
      <c r="N687" s="11" t="str">
        <f t="shared" si="131"/>
        <v/>
      </c>
      <c r="O687" s="11" t="str">
        <f t="shared" si="133"/>
        <v/>
      </c>
      <c r="P687" s="11" t="str">
        <f t="shared" si="134"/>
        <v/>
      </c>
      <c r="Q687" s="7"/>
      <c r="R687" s="7"/>
      <c r="S687" s="7"/>
      <c r="T687" s="7"/>
      <c r="U687" s="7"/>
      <c r="V687" s="7"/>
      <c r="W687" s="7"/>
      <c r="X687" s="3"/>
      <c r="Y687" s="3"/>
      <c r="Z687" s="9">
        <v>0.44745000000000001</v>
      </c>
      <c r="AA687" s="12">
        <f t="shared" si="130"/>
        <v>-0.11438128414218984</v>
      </c>
      <c r="AB687" s="9">
        <f t="shared" si="132"/>
        <v>0.41406571428571431</v>
      </c>
      <c r="AC687" s="9">
        <f t="shared" si="135"/>
        <v>0.30842607142857142</v>
      </c>
      <c r="AD687" s="9">
        <f t="shared" si="136"/>
        <v>1.3425120398150518</v>
      </c>
      <c r="AE687" s="3" t="s">
        <v>80</v>
      </c>
      <c r="AF687" s="11" t="str">
        <f t="shared" si="137"/>
        <v/>
      </c>
      <c r="AG687" s="11" t="str">
        <f t="shared" si="138"/>
        <v/>
      </c>
      <c r="AH687" s="11">
        <f t="shared" si="139"/>
        <v>1.4507528430638044</v>
      </c>
      <c r="AI687" s="3" t="s">
        <v>45</v>
      </c>
      <c r="AJ687" s="3" t="s">
        <v>79</v>
      </c>
      <c r="AK687" s="3" t="s">
        <v>46</v>
      </c>
      <c r="AL687" s="3" t="s">
        <v>81</v>
      </c>
      <c r="AM687" s="3" t="s">
        <v>82</v>
      </c>
    </row>
    <row r="688" spans="1:39" ht="21" customHeight="1">
      <c r="A688" s="4">
        <v>43096</v>
      </c>
      <c r="B688" s="3" t="s">
        <v>78</v>
      </c>
      <c r="C688" s="3" t="s">
        <v>79</v>
      </c>
      <c r="D688" s="4">
        <v>43159</v>
      </c>
      <c r="E688" s="3">
        <f t="shared" si="124"/>
        <v>-63</v>
      </c>
      <c r="F688" s="3" t="str">
        <f t="shared" si="125"/>
        <v>개봉전</v>
      </c>
      <c r="G688" s="3" t="str">
        <f t="shared" si="126"/>
        <v>수</v>
      </c>
      <c r="H688" s="3">
        <f t="shared" si="127"/>
        <v>0</v>
      </c>
      <c r="I688" s="3"/>
      <c r="J688" s="3"/>
      <c r="K688" s="3"/>
      <c r="L688" s="12" t="str">
        <f t="shared" si="128"/>
        <v/>
      </c>
      <c r="M688" s="12" t="str">
        <f t="shared" si="129"/>
        <v/>
      </c>
      <c r="N688" s="11" t="str">
        <f t="shared" si="131"/>
        <v/>
      </c>
      <c r="O688" s="11" t="str">
        <f t="shared" si="133"/>
        <v/>
      </c>
      <c r="P688" s="11" t="str">
        <f t="shared" si="134"/>
        <v/>
      </c>
      <c r="Q688" s="7"/>
      <c r="R688" s="7"/>
      <c r="S688" s="7"/>
      <c r="T688" s="7"/>
      <c r="U688" s="7"/>
      <c r="V688" s="7"/>
      <c r="W688" s="7"/>
      <c r="X688" s="3"/>
      <c r="Y688" s="3"/>
      <c r="Z688" s="9">
        <v>0.88748000000000005</v>
      </c>
      <c r="AA688" s="12">
        <f t="shared" si="130"/>
        <v>0.98341714158006477</v>
      </c>
      <c r="AB688" s="9">
        <f t="shared" si="132"/>
        <v>0.50219142857142862</v>
      </c>
      <c r="AC688" s="9">
        <f t="shared" si="135"/>
        <v>0.31059750000000003</v>
      </c>
      <c r="AD688" s="9">
        <f t="shared" si="136"/>
        <v>1.6168559906999527</v>
      </c>
      <c r="AE688" s="3" t="s">
        <v>80</v>
      </c>
      <c r="AF688" s="11" t="str">
        <f t="shared" si="137"/>
        <v/>
      </c>
      <c r="AG688" s="11" t="str">
        <f t="shared" si="138"/>
        <v/>
      </c>
      <c r="AH688" s="11">
        <f t="shared" si="139"/>
        <v>2.8573314337687843</v>
      </c>
      <c r="AI688" s="3" t="s">
        <v>45</v>
      </c>
      <c r="AJ688" s="3" t="s">
        <v>79</v>
      </c>
      <c r="AK688" s="3" t="s">
        <v>46</v>
      </c>
      <c r="AL688" s="3" t="s">
        <v>81</v>
      </c>
      <c r="AM688" s="3" t="s">
        <v>82</v>
      </c>
    </row>
    <row r="689" spans="1:39" ht="21" customHeight="1">
      <c r="A689" s="4">
        <v>43097</v>
      </c>
      <c r="B689" s="3" t="s">
        <v>78</v>
      </c>
      <c r="C689" s="3" t="s">
        <v>79</v>
      </c>
      <c r="D689" s="4">
        <v>43159</v>
      </c>
      <c r="E689" s="3">
        <f t="shared" si="124"/>
        <v>-62</v>
      </c>
      <c r="F689" s="3" t="str">
        <f t="shared" si="125"/>
        <v>개봉전</v>
      </c>
      <c r="G689" s="3" t="str">
        <f t="shared" si="126"/>
        <v>목</v>
      </c>
      <c r="H689" s="3">
        <f t="shared" si="127"/>
        <v>0</v>
      </c>
      <c r="I689" s="3"/>
      <c r="J689" s="3"/>
      <c r="K689" s="3"/>
      <c r="L689" s="12" t="str">
        <f t="shared" si="128"/>
        <v/>
      </c>
      <c r="M689" s="12" t="str">
        <f t="shared" si="129"/>
        <v/>
      </c>
      <c r="N689" s="11" t="str">
        <f t="shared" si="131"/>
        <v/>
      </c>
      <c r="O689" s="11" t="str">
        <f t="shared" si="133"/>
        <v/>
      </c>
      <c r="P689" s="11" t="str">
        <f t="shared" si="134"/>
        <v/>
      </c>
      <c r="Q689" s="7"/>
      <c r="R689" s="7"/>
      <c r="S689" s="7"/>
      <c r="T689" s="7"/>
      <c r="U689" s="7"/>
      <c r="V689" s="7"/>
      <c r="W689" s="7"/>
      <c r="X689" s="3"/>
      <c r="Y689" s="3"/>
      <c r="Z689" s="9">
        <v>1.0680400000000001</v>
      </c>
      <c r="AA689" s="12">
        <f t="shared" si="130"/>
        <v>0.20345247216838702</v>
      </c>
      <c r="AB689" s="9">
        <f t="shared" si="132"/>
        <v>0.61664142857142856</v>
      </c>
      <c r="AC689" s="9">
        <f t="shared" si="135"/>
        <v>0.3338471428571429</v>
      </c>
      <c r="AD689" s="9">
        <f t="shared" si="136"/>
        <v>1.8470771482243795</v>
      </c>
      <c r="AE689" s="3" t="s">
        <v>80</v>
      </c>
      <c r="AF689" s="11" t="str">
        <f t="shared" si="137"/>
        <v/>
      </c>
      <c r="AG689" s="11" t="str">
        <f t="shared" si="138"/>
        <v/>
      </c>
      <c r="AH689" s="11">
        <f t="shared" si="139"/>
        <v>3.199188679164545</v>
      </c>
      <c r="AI689" s="3" t="s">
        <v>45</v>
      </c>
      <c r="AJ689" s="3" t="s">
        <v>79</v>
      </c>
      <c r="AK689" s="3" t="s">
        <v>46</v>
      </c>
      <c r="AL689" s="3" t="s">
        <v>81</v>
      </c>
      <c r="AM689" s="3" t="s">
        <v>82</v>
      </c>
    </row>
    <row r="690" spans="1:39" ht="21" customHeight="1">
      <c r="A690" s="4">
        <v>43098</v>
      </c>
      <c r="B690" s="3" t="s">
        <v>78</v>
      </c>
      <c r="C690" s="3" t="s">
        <v>79</v>
      </c>
      <c r="D690" s="4">
        <v>43159</v>
      </c>
      <c r="E690" s="3">
        <f t="shared" si="124"/>
        <v>-61</v>
      </c>
      <c r="F690" s="3" t="str">
        <f t="shared" si="125"/>
        <v>개봉전</v>
      </c>
      <c r="G690" s="3" t="str">
        <f t="shared" si="126"/>
        <v>금</v>
      </c>
      <c r="H690" s="3">
        <f t="shared" si="127"/>
        <v>0</v>
      </c>
      <c r="I690" s="3"/>
      <c r="J690" s="3"/>
      <c r="K690" s="3"/>
      <c r="L690" s="12" t="str">
        <f t="shared" si="128"/>
        <v/>
      </c>
      <c r="M690" s="12" t="str">
        <f t="shared" si="129"/>
        <v/>
      </c>
      <c r="N690" s="11" t="str">
        <f t="shared" si="131"/>
        <v/>
      </c>
      <c r="O690" s="11" t="str">
        <f t="shared" si="133"/>
        <v/>
      </c>
      <c r="P690" s="11" t="str">
        <f t="shared" si="134"/>
        <v/>
      </c>
      <c r="Q690" s="7"/>
      <c r="R690" s="7"/>
      <c r="S690" s="7"/>
      <c r="T690" s="7"/>
      <c r="U690" s="7"/>
      <c r="V690" s="7"/>
      <c r="W690" s="7"/>
      <c r="X690" s="3"/>
      <c r="Y690" s="3"/>
      <c r="Z690" s="9">
        <v>0.46486</v>
      </c>
      <c r="AA690" s="12">
        <f t="shared" si="130"/>
        <v>-0.56475412905883682</v>
      </c>
      <c r="AB690" s="9">
        <f t="shared" si="132"/>
        <v>0.62671999999999994</v>
      </c>
      <c r="AC690" s="9">
        <f t="shared" si="135"/>
        <v>0.36335464285714286</v>
      </c>
      <c r="AD690" s="9">
        <f t="shared" si="136"/>
        <v>1.7248162706053607</v>
      </c>
      <c r="AE690" s="3" t="s">
        <v>80</v>
      </c>
      <c r="AF690" s="11" t="str">
        <f t="shared" si="137"/>
        <v/>
      </c>
      <c r="AG690" s="11" t="str">
        <f t="shared" si="138"/>
        <v/>
      </c>
      <c r="AH690" s="11">
        <f t="shared" si="139"/>
        <v>1.2793561583380266</v>
      </c>
      <c r="AI690" s="3" t="s">
        <v>45</v>
      </c>
      <c r="AJ690" s="3" t="s">
        <v>79</v>
      </c>
      <c r="AK690" s="3" t="s">
        <v>46</v>
      </c>
      <c r="AL690" s="3" t="s">
        <v>81</v>
      </c>
      <c r="AM690" s="3" t="s">
        <v>82</v>
      </c>
    </row>
    <row r="691" spans="1:39" ht="21" customHeight="1">
      <c r="A691" s="4">
        <v>43099</v>
      </c>
      <c r="B691" s="3" t="s">
        <v>78</v>
      </c>
      <c r="C691" s="3" t="s">
        <v>79</v>
      </c>
      <c r="D691" s="4">
        <v>43159</v>
      </c>
      <c r="E691" s="3">
        <f t="shared" si="124"/>
        <v>-60</v>
      </c>
      <c r="F691" s="3" t="str">
        <f t="shared" si="125"/>
        <v>개봉전</v>
      </c>
      <c r="G691" s="3" t="str">
        <f t="shared" si="126"/>
        <v>토</v>
      </c>
      <c r="H691" s="3">
        <f t="shared" si="127"/>
        <v>1</v>
      </c>
      <c r="I691" s="3"/>
      <c r="J691" s="3"/>
      <c r="K691" s="3"/>
      <c r="L691" s="12" t="str">
        <f t="shared" si="128"/>
        <v/>
      </c>
      <c r="M691" s="12" t="str">
        <f t="shared" si="129"/>
        <v/>
      </c>
      <c r="N691" s="11" t="str">
        <f t="shared" si="131"/>
        <v/>
      </c>
      <c r="O691" s="11" t="str">
        <f t="shared" si="133"/>
        <v/>
      </c>
      <c r="P691" s="11" t="str">
        <f t="shared" si="134"/>
        <v/>
      </c>
      <c r="Q691" s="7"/>
      <c r="R691" s="7"/>
      <c r="S691" s="7"/>
      <c r="T691" s="7"/>
      <c r="U691" s="7"/>
      <c r="V691" s="7"/>
      <c r="W691" s="7"/>
      <c r="X691" s="3"/>
      <c r="Y691" s="3"/>
      <c r="Z691" s="9">
        <v>0.57371000000000005</v>
      </c>
      <c r="AA691" s="12">
        <f t="shared" si="130"/>
        <v>0.23415652024265388</v>
      </c>
      <c r="AB691" s="9">
        <f t="shared" si="132"/>
        <v>0.64624857142857139</v>
      </c>
      <c r="AC691" s="9">
        <f t="shared" si="135"/>
        <v>0.37212428571428563</v>
      </c>
      <c r="AD691" s="9">
        <f t="shared" si="136"/>
        <v>1.7366471263441172</v>
      </c>
      <c r="AE691" s="3" t="s">
        <v>80</v>
      </c>
      <c r="AF691" s="11" t="str">
        <f t="shared" si="137"/>
        <v/>
      </c>
      <c r="AG691" s="11" t="str">
        <f t="shared" si="138"/>
        <v/>
      </c>
      <c r="AH691" s="11">
        <f t="shared" si="139"/>
        <v>1.5417160933175174</v>
      </c>
      <c r="AI691" s="3" t="s">
        <v>45</v>
      </c>
      <c r="AJ691" s="3" t="s">
        <v>79</v>
      </c>
      <c r="AK691" s="3" t="s">
        <v>46</v>
      </c>
      <c r="AL691" s="3" t="s">
        <v>81</v>
      </c>
      <c r="AM691" s="3" t="s">
        <v>82</v>
      </c>
    </row>
    <row r="692" spans="1:39" ht="21" customHeight="1">
      <c r="A692" s="4">
        <v>43100</v>
      </c>
      <c r="B692" s="3" t="s">
        <v>78</v>
      </c>
      <c r="C692" s="3" t="s">
        <v>79</v>
      </c>
      <c r="D692" s="4">
        <v>43159</v>
      </c>
      <c r="E692" s="3">
        <f t="shared" si="124"/>
        <v>-59</v>
      </c>
      <c r="F692" s="3" t="str">
        <f t="shared" si="125"/>
        <v>개봉전</v>
      </c>
      <c r="G692" s="3" t="str">
        <f t="shared" si="126"/>
        <v>일</v>
      </c>
      <c r="H692" s="3">
        <f t="shared" si="127"/>
        <v>1</v>
      </c>
      <c r="I692" s="3"/>
      <c r="J692" s="3"/>
      <c r="K692" s="3"/>
      <c r="L692" s="12" t="str">
        <f t="shared" si="128"/>
        <v/>
      </c>
      <c r="M692" s="12" t="str">
        <f t="shared" si="129"/>
        <v/>
      </c>
      <c r="N692" s="11" t="str">
        <f t="shared" si="131"/>
        <v/>
      </c>
      <c r="O692" s="11" t="str">
        <f t="shared" si="133"/>
        <v/>
      </c>
      <c r="P692" s="11" t="str">
        <f t="shared" si="134"/>
        <v/>
      </c>
      <c r="Q692" s="7"/>
      <c r="R692" s="7"/>
      <c r="S692" s="7"/>
      <c r="T692" s="7"/>
      <c r="U692" s="7"/>
      <c r="V692" s="7"/>
      <c r="W692" s="7"/>
      <c r="X692" s="3"/>
      <c r="Y692" s="3"/>
      <c r="Z692" s="9">
        <v>0.63729999999999998</v>
      </c>
      <c r="AA692" s="12">
        <f t="shared" si="130"/>
        <v>0.11083997141412905</v>
      </c>
      <c r="AB692" s="9">
        <f t="shared" si="132"/>
        <v>0.65486857142857147</v>
      </c>
      <c r="AC692" s="9">
        <f t="shared" si="135"/>
        <v>0.37536535714285713</v>
      </c>
      <c r="AD692" s="9">
        <f t="shared" si="136"/>
        <v>1.7446164356060716</v>
      </c>
      <c r="AE692" s="3" t="s">
        <v>80</v>
      </c>
      <c r="AF692" s="11" t="str">
        <f t="shared" si="137"/>
        <v/>
      </c>
      <c r="AG692" s="11" t="str">
        <f t="shared" si="138"/>
        <v/>
      </c>
      <c r="AH692" s="11">
        <f t="shared" si="139"/>
        <v>1.6978125121905039</v>
      </c>
      <c r="AI692" s="3" t="s">
        <v>45</v>
      </c>
      <c r="AJ692" s="3" t="s">
        <v>79</v>
      </c>
      <c r="AK692" s="3" t="s">
        <v>46</v>
      </c>
      <c r="AL692" s="3" t="s">
        <v>81</v>
      </c>
      <c r="AM692" s="3" t="s">
        <v>82</v>
      </c>
    </row>
    <row r="693" spans="1:39" ht="21" customHeight="1">
      <c r="A693" s="4">
        <v>43101</v>
      </c>
      <c r="B693" s="3" t="s">
        <v>78</v>
      </c>
      <c r="C693" s="3" t="s">
        <v>79</v>
      </c>
      <c r="D693" s="4">
        <v>43159</v>
      </c>
      <c r="E693" s="3">
        <f t="shared" si="124"/>
        <v>-58</v>
      </c>
      <c r="F693" s="3" t="str">
        <f t="shared" si="125"/>
        <v>개봉전</v>
      </c>
      <c r="G693" s="3" t="str">
        <f t="shared" si="126"/>
        <v>월</v>
      </c>
      <c r="H693" s="3">
        <f t="shared" si="127"/>
        <v>0</v>
      </c>
      <c r="I693" s="3"/>
      <c r="J693" s="3"/>
      <c r="K693" s="3"/>
      <c r="L693" s="12" t="str">
        <f t="shared" si="128"/>
        <v/>
      </c>
      <c r="M693" s="12" t="str">
        <f t="shared" si="129"/>
        <v/>
      </c>
      <c r="N693" s="11" t="str">
        <f t="shared" si="131"/>
        <v/>
      </c>
      <c r="O693" s="11" t="str">
        <f t="shared" si="133"/>
        <v/>
      </c>
      <c r="P693" s="11" t="str">
        <f t="shared" si="134"/>
        <v/>
      </c>
      <c r="Q693" s="7"/>
      <c r="R693" s="7"/>
      <c r="S693" s="7"/>
      <c r="T693" s="7"/>
      <c r="U693" s="7"/>
      <c r="V693" s="7"/>
      <c r="W693" s="7"/>
      <c r="X693" s="3"/>
      <c r="Y693" s="3"/>
      <c r="Z693" s="9">
        <v>0.70784999999999998</v>
      </c>
      <c r="AA693" s="12">
        <f t="shared" si="130"/>
        <v>0.1107013965165542</v>
      </c>
      <c r="AB693" s="9">
        <f t="shared" si="132"/>
        <v>0.683812857142857</v>
      </c>
      <c r="AC693" s="9">
        <f t="shared" si="135"/>
        <v>0.38800571428571423</v>
      </c>
      <c r="AD693" s="9">
        <f t="shared" si="136"/>
        <v>1.762378315488726</v>
      </c>
      <c r="AE693" s="3" t="s">
        <v>80</v>
      </c>
      <c r="AF693" s="11" t="str">
        <f t="shared" si="137"/>
        <v/>
      </c>
      <c r="AG693" s="11" t="str">
        <f t="shared" si="138"/>
        <v/>
      </c>
      <c r="AH693" s="11">
        <f t="shared" si="139"/>
        <v>1.8243288022267716</v>
      </c>
      <c r="AI693" s="3" t="s">
        <v>45</v>
      </c>
      <c r="AJ693" s="3" t="s">
        <v>79</v>
      </c>
      <c r="AK693" s="3" t="s">
        <v>46</v>
      </c>
      <c r="AL693" s="3" t="s">
        <v>81</v>
      </c>
      <c r="AM693" s="3" t="s">
        <v>82</v>
      </c>
    </row>
    <row r="694" spans="1:39" ht="21" customHeight="1">
      <c r="A694" s="4">
        <v>43102</v>
      </c>
      <c r="B694" s="3" t="s">
        <v>78</v>
      </c>
      <c r="C694" s="3" t="s">
        <v>79</v>
      </c>
      <c r="D694" s="4">
        <v>43159</v>
      </c>
      <c r="E694" s="3">
        <f t="shared" si="124"/>
        <v>-57</v>
      </c>
      <c r="F694" s="3" t="str">
        <f t="shared" si="125"/>
        <v>개봉전</v>
      </c>
      <c r="G694" s="3" t="str">
        <f t="shared" si="126"/>
        <v>화</v>
      </c>
      <c r="H694" s="3">
        <f t="shared" si="127"/>
        <v>0</v>
      </c>
      <c r="I694" s="3"/>
      <c r="J694" s="3"/>
      <c r="K694" s="3"/>
      <c r="L694" s="12" t="str">
        <f t="shared" si="128"/>
        <v/>
      </c>
      <c r="M694" s="12" t="str">
        <f t="shared" si="129"/>
        <v/>
      </c>
      <c r="N694" s="11" t="str">
        <f t="shared" si="131"/>
        <v/>
      </c>
      <c r="O694" s="11" t="str">
        <f t="shared" si="133"/>
        <v/>
      </c>
      <c r="P694" s="11" t="str">
        <f t="shared" si="134"/>
        <v/>
      </c>
      <c r="Q694" s="7"/>
      <c r="R694" s="7"/>
      <c r="S694" s="7"/>
      <c r="T694" s="7"/>
      <c r="U694" s="7"/>
      <c r="V694" s="7"/>
      <c r="W694" s="7"/>
      <c r="X694" s="3"/>
      <c r="Y694" s="3"/>
      <c r="Z694" s="9">
        <v>0.77307000000000003</v>
      </c>
      <c r="AA694" s="12">
        <f t="shared" si="130"/>
        <v>9.2138164865437577E-2</v>
      </c>
      <c r="AB694" s="9">
        <f t="shared" si="132"/>
        <v>0.73033000000000003</v>
      </c>
      <c r="AC694" s="9">
        <f t="shared" si="135"/>
        <v>0.40518000000000004</v>
      </c>
      <c r="AD694" s="9">
        <f t="shared" si="136"/>
        <v>1.8024828471296708</v>
      </c>
      <c r="AE694" s="3" t="s">
        <v>80</v>
      </c>
      <c r="AF694" s="11" t="str">
        <f t="shared" si="137"/>
        <v/>
      </c>
      <c r="AG694" s="11" t="str">
        <f t="shared" si="138"/>
        <v/>
      </c>
      <c r="AH694" s="11">
        <f t="shared" si="139"/>
        <v>1.9079668295572336</v>
      </c>
      <c r="AI694" s="3" t="s">
        <v>45</v>
      </c>
      <c r="AJ694" s="3" t="s">
        <v>79</v>
      </c>
      <c r="AK694" s="3" t="s">
        <v>46</v>
      </c>
      <c r="AL694" s="3" t="s">
        <v>81</v>
      </c>
      <c r="AM694" s="3" t="s">
        <v>82</v>
      </c>
    </row>
    <row r="695" spans="1:39" ht="21" customHeight="1">
      <c r="A695" s="4">
        <v>43103</v>
      </c>
      <c r="B695" s="3" t="s">
        <v>78</v>
      </c>
      <c r="C695" s="3" t="s">
        <v>79</v>
      </c>
      <c r="D695" s="4">
        <v>43159</v>
      </c>
      <c r="E695" s="3">
        <f t="shared" si="124"/>
        <v>-56</v>
      </c>
      <c r="F695" s="3" t="str">
        <f t="shared" si="125"/>
        <v>개봉전</v>
      </c>
      <c r="G695" s="3" t="str">
        <f t="shared" si="126"/>
        <v>수</v>
      </c>
      <c r="H695" s="3">
        <f t="shared" si="127"/>
        <v>0</v>
      </c>
      <c r="I695" s="3"/>
      <c r="J695" s="3"/>
      <c r="K695" s="3"/>
      <c r="L695" s="12" t="str">
        <f t="shared" si="128"/>
        <v/>
      </c>
      <c r="M695" s="12" t="str">
        <f t="shared" si="129"/>
        <v/>
      </c>
      <c r="N695" s="11" t="str">
        <f t="shared" si="131"/>
        <v/>
      </c>
      <c r="O695" s="11" t="str">
        <f t="shared" si="133"/>
        <v/>
      </c>
      <c r="P695" s="11" t="str">
        <f t="shared" si="134"/>
        <v/>
      </c>
      <c r="Q695" s="7"/>
      <c r="R695" s="7"/>
      <c r="S695" s="7"/>
      <c r="T695" s="7"/>
      <c r="U695" s="7"/>
      <c r="V695" s="7"/>
      <c r="W695" s="7"/>
      <c r="X695" s="3"/>
      <c r="Y695" s="3"/>
      <c r="Z695" s="9">
        <v>0.82272999999999996</v>
      </c>
      <c r="AA695" s="12">
        <f t="shared" si="130"/>
        <v>6.4237391180617331E-2</v>
      </c>
      <c r="AB695" s="9">
        <f t="shared" si="132"/>
        <v>0.72108000000000005</v>
      </c>
      <c r="AC695" s="9">
        <f t="shared" si="135"/>
        <v>0.42496535714285716</v>
      </c>
      <c r="AD695" s="9">
        <f t="shared" si="136"/>
        <v>1.6967971338840226</v>
      </c>
      <c r="AE695" s="3" t="s">
        <v>80</v>
      </c>
      <c r="AF695" s="11" t="str">
        <f t="shared" si="137"/>
        <v/>
      </c>
      <c r="AG695" s="11" t="str">
        <f t="shared" si="138"/>
        <v/>
      </c>
      <c r="AH695" s="11">
        <f t="shared" si="139"/>
        <v>1.9359931019587309</v>
      </c>
      <c r="AI695" s="3" t="s">
        <v>45</v>
      </c>
      <c r="AJ695" s="3" t="s">
        <v>79</v>
      </c>
      <c r="AK695" s="3" t="s">
        <v>46</v>
      </c>
      <c r="AL695" s="3" t="s">
        <v>81</v>
      </c>
      <c r="AM695" s="3" t="s">
        <v>82</v>
      </c>
    </row>
    <row r="696" spans="1:39" ht="21" customHeight="1">
      <c r="A696" s="4">
        <v>43104</v>
      </c>
      <c r="B696" s="3" t="s">
        <v>78</v>
      </c>
      <c r="C696" s="3" t="s">
        <v>79</v>
      </c>
      <c r="D696" s="4">
        <v>43159</v>
      </c>
      <c r="E696" s="3">
        <f t="shared" si="124"/>
        <v>-55</v>
      </c>
      <c r="F696" s="3" t="str">
        <f t="shared" si="125"/>
        <v>개봉전</v>
      </c>
      <c r="G696" s="3" t="str">
        <f t="shared" si="126"/>
        <v>목</v>
      </c>
      <c r="H696" s="3">
        <f t="shared" si="127"/>
        <v>0</v>
      </c>
      <c r="I696" s="3"/>
      <c r="J696" s="3"/>
      <c r="K696" s="3"/>
      <c r="L696" s="12" t="str">
        <f t="shared" si="128"/>
        <v/>
      </c>
      <c r="M696" s="12" t="str">
        <f t="shared" si="129"/>
        <v/>
      </c>
      <c r="N696" s="11" t="str">
        <f t="shared" si="131"/>
        <v/>
      </c>
      <c r="O696" s="11" t="str">
        <f t="shared" si="133"/>
        <v/>
      </c>
      <c r="P696" s="11" t="str">
        <f t="shared" si="134"/>
        <v/>
      </c>
      <c r="Q696" s="7"/>
      <c r="R696" s="7"/>
      <c r="S696" s="7"/>
      <c r="T696" s="7"/>
      <c r="U696" s="7"/>
      <c r="V696" s="7"/>
      <c r="W696" s="7"/>
      <c r="X696" s="3"/>
      <c r="Y696" s="3"/>
      <c r="Z696" s="9">
        <v>0.60272000000000003</v>
      </c>
      <c r="AA696" s="12">
        <f t="shared" si="130"/>
        <v>-0.26741458315607791</v>
      </c>
      <c r="AB696" s="9">
        <f t="shared" si="132"/>
        <v>0.65460571428571424</v>
      </c>
      <c r="AC696" s="9">
        <f t="shared" si="135"/>
        <v>0.44451000000000002</v>
      </c>
      <c r="AD696" s="9">
        <f t="shared" si="136"/>
        <v>1.472645641910675</v>
      </c>
      <c r="AE696" s="3" t="s">
        <v>80</v>
      </c>
      <c r="AF696" s="11" t="str">
        <f t="shared" si="137"/>
        <v/>
      </c>
      <c r="AG696" s="11" t="str">
        <f t="shared" si="138"/>
        <v/>
      </c>
      <c r="AH696" s="11">
        <f t="shared" si="139"/>
        <v>1.3559200017997346</v>
      </c>
      <c r="AI696" s="3" t="s">
        <v>45</v>
      </c>
      <c r="AJ696" s="3" t="s">
        <v>79</v>
      </c>
      <c r="AK696" s="3" t="s">
        <v>46</v>
      </c>
      <c r="AL696" s="3" t="s">
        <v>81</v>
      </c>
      <c r="AM696" s="3" t="s">
        <v>82</v>
      </c>
    </row>
    <row r="697" spans="1:39" ht="21" customHeight="1">
      <c r="A697" s="4">
        <v>43105</v>
      </c>
      <c r="B697" s="3" t="s">
        <v>78</v>
      </c>
      <c r="C697" s="3" t="s">
        <v>79</v>
      </c>
      <c r="D697" s="4">
        <v>43159</v>
      </c>
      <c r="E697" s="3">
        <f t="shared" si="124"/>
        <v>-54</v>
      </c>
      <c r="F697" s="3" t="str">
        <f t="shared" si="125"/>
        <v>개봉전</v>
      </c>
      <c r="G697" s="3" t="str">
        <f t="shared" si="126"/>
        <v>금</v>
      </c>
      <c r="H697" s="3">
        <f t="shared" si="127"/>
        <v>0</v>
      </c>
      <c r="I697" s="3"/>
      <c r="J697" s="3"/>
      <c r="K697" s="3"/>
      <c r="L697" s="12" t="str">
        <f t="shared" si="128"/>
        <v/>
      </c>
      <c r="M697" s="12" t="str">
        <f t="shared" si="129"/>
        <v/>
      </c>
      <c r="N697" s="11" t="str">
        <f t="shared" si="131"/>
        <v/>
      </c>
      <c r="O697" s="11" t="str">
        <f t="shared" si="133"/>
        <v/>
      </c>
      <c r="P697" s="11" t="str">
        <f t="shared" si="134"/>
        <v/>
      </c>
      <c r="Q697" s="7"/>
      <c r="R697" s="7"/>
      <c r="S697" s="7"/>
      <c r="T697" s="7"/>
      <c r="U697" s="7"/>
      <c r="V697" s="7"/>
      <c r="W697" s="7"/>
      <c r="X697" s="3"/>
      <c r="Y697" s="3"/>
      <c r="Z697" s="9">
        <v>0.40753</v>
      </c>
      <c r="AA697" s="12">
        <f t="shared" si="130"/>
        <v>-0.32384855322537831</v>
      </c>
      <c r="AB697" s="9">
        <f t="shared" si="132"/>
        <v>0.64641571428571432</v>
      </c>
      <c r="AC697" s="9">
        <f t="shared" si="135"/>
        <v>0.45603964285714282</v>
      </c>
      <c r="AD697" s="9">
        <f t="shared" si="136"/>
        <v>1.4174550927981671</v>
      </c>
      <c r="AE697" s="3" t="s">
        <v>80</v>
      </c>
      <c r="AF697" s="11" t="str">
        <f t="shared" si="137"/>
        <v/>
      </c>
      <c r="AG697" s="11" t="str">
        <f t="shared" si="138"/>
        <v/>
      </c>
      <c r="AH697" s="11">
        <f t="shared" si="139"/>
        <v>0.89362845178716455</v>
      </c>
      <c r="AI697" s="3" t="s">
        <v>45</v>
      </c>
      <c r="AJ697" s="3" t="s">
        <v>79</v>
      </c>
      <c r="AK697" s="3" t="s">
        <v>46</v>
      </c>
      <c r="AL697" s="3" t="s">
        <v>81</v>
      </c>
      <c r="AM697" s="3" t="s">
        <v>82</v>
      </c>
    </row>
    <row r="698" spans="1:39" ht="21" customHeight="1">
      <c r="A698" s="4">
        <v>43106</v>
      </c>
      <c r="B698" s="3" t="s">
        <v>78</v>
      </c>
      <c r="C698" s="3" t="s">
        <v>79</v>
      </c>
      <c r="D698" s="4">
        <v>43159</v>
      </c>
      <c r="E698" s="3">
        <f t="shared" si="124"/>
        <v>-53</v>
      </c>
      <c r="F698" s="3" t="str">
        <f t="shared" si="125"/>
        <v>개봉전</v>
      </c>
      <c r="G698" s="3" t="str">
        <f t="shared" si="126"/>
        <v>토</v>
      </c>
      <c r="H698" s="3">
        <f t="shared" si="127"/>
        <v>1</v>
      </c>
      <c r="I698" s="3"/>
      <c r="J698" s="3"/>
      <c r="K698" s="3"/>
      <c r="L698" s="12" t="str">
        <f t="shared" si="128"/>
        <v/>
      </c>
      <c r="M698" s="12" t="str">
        <f t="shared" si="129"/>
        <v/>
      </c>
      <c r="N698" s="11" t="str">
        <f t="shared" si="131"/>
        <v/>
      </c>
      <c r="O698" s="11" t="str">
        <f t="shared" si="133"/>
        <v/>
      </c>
      <c r="P698" s="11" t="str">
        <f t="shared" si="134"/>
        <v/>
      </c>
      <c r="Q698" s="7"/>
      <c r="R698" s="7"/>
      <c r="S698" s="7"/>
      <c r="T698" s="7"/>
      <c r="U698" s="7"/>
      <c r="V698" s="7"/>
      <c r="W698" s="7"/>
      <c r="X698" s="3"/>
      <c r="Y698" s="3"/>
      <c r="Z698" s="9">
        <v>0.44303999999999999</v>
      </c>
      <c r="AA698" s="12">
        <f t="shared" si="130"/>
        <v>8.7134689470713678E-2</v>
      </c>
      <c r="AB698" s="9">
        <f t="shared" si="132"/>
        <v>0.62774857142857143</v>
      </c>
      <c r="AC698" s="9">
        <f t="shared" si="135"/>
        <v>0.46074749999999998</v>
      </c>
      <c r="AD698" s="9">
        <f t="shared" si="136"/>
        <v>1.3624568151288319</v>
      </c>
      <c r="AE698" s="3" t="s">
        <v>80</v>
      </c>
      <c r="AF698" s="11" t="str">
        <f t="shared" si="137"/>
        <v/>
      </c>
      <c r="AG698" s="11" t="str">
        <f t="shared" si="138"/>
        <v/>
      </c>
      <c r="AH698" s="11">
        <f t="shared" si="139"/>
        <v>0.96156788696628848</v>
      </c>
      <c r="AI698" s="3" t="s">
        <v>45</v>
      </c>
      <c r="AJ698" s="3" t="s">
        <v>79</v>
      </c>
      <c r="AK698" s="3" t="s">
        <v>46</v>
      </c>
      <c r="AL698" s="3" t="s">
        <v>81</v>
      </c>
      <c r="AM698" s="3" t="s">
        <v>82</v>
      </c>
    </row>
    <row r="699" spans="1:39" ht="21" customHeight="1">
      <c r="A699" s="4">
        <v>43107</v>
      </c>
      <c r="B699" s="3" t="s">
        <v>78</v>
      </c>
      <c r="C699" s="3" t="s">
        <v>79</v>
      </c>
      <c r="D699" s="4">
        <v>43159</v>
      </c>
      <c r="E699" s="3">
        <f t="shared" ref="E699:E762" si="140">A699-D699</f>
        <v>-52</v>
      </c>
      <c r="F699" s="3" t="str">
        <f t="shared" ref="F699:F762" si="141">IF(E699&lt;0,"개봉전","개봉후")</f>
        <v>개봉전</v>
      </c>
      <c r="G699" s="3" t="str">
        <f t="shared" ref="G699:G762" si="142">CHOOSE(WEEKDAY(A699,2),"월","화","수","목","금","토","일")</f>
        <v>일</v>
      </c>
      <c r="H699" s="3">
        <f t="shared" ref="H699:H762" si="143">IF(WEEKDAY(A699,2)&gt;5,1,0)</f>
        <v>1</v>
      </c>
      <c r="I699" s="3"/>
      <c r="J699" s="3"/>
      <c r="K699" s="3"/>
      <c r="L699" s="12" t="str">
        <f t="shared" ref="L699:L762" si="144">IF(COUNT(I699:J699)=2,IFERROR(J699/I699,""),"")</f>
        <v/>
      </c>
      <c r="M699" s="12" t="str">
        <f t="shared" si="129"/>
        <v/>
      </c>
      <c r="N699" s="11" t="str">
        <f t="shared" si="131"/>
        <v/>
      </c>
      <c r="O699" s="11" t="str">
        <f t="shared" si="133"/>
        <v/>
      </c>
      <c r="P699" s="11" t="str">
        <f t="shared" si="134"/>
        <v/>
      </c>
      <c r="Q699" s="7"/>
      <c r="R699" s="7"/>
      <c r="S699" s="7"/>
      <c r="T699" s="7"/>
      <c r="U699" s="7"/>
      <c r="V699" s="7"/>
      <c r="W699" s="7"/>
      <c r="X699" s="3"/>
      <c r="Y699" s="3"/>
      <c r="Z699" s="9">
        <v>0.54446000000000006</v>
      </c>
      <c r="AA699" s="12">
        <f t="shared" si="130"/>
        <v>0.22891838208739634</v>
      </c>
      <c r="AB699" s="9">
        <f t="shared" si="132"/>
        <v>0.6144857142857143</v>
      </c>
      <c r="AC699" s="9">
        <f t="shared" si="135"/>
        <v>0.46775142857142854</v>
      </c>
      <c r="AD699" s="9">
        <f t="shared" si="136"/>
        <v>1.313701416503271</v>
      </c>
      <c r="AE699" s="3" t="s">
        <v>80</v>
      </c>
      <c r="AF699" s="11" t="str">
        <f t="shared" si="137"/>
        <v/>
      </c>
      <c r="AG699" s="11" t="str">
        <f t="shared" si="138"/>
        <v/>
      </c>
      <c r="AH699" s="11">
        <f t="shared" si="139"/>
        <v>1.1639943071106145</v>
      </c>
      <c r="AI699" s="3" t="s">
        <v>45</v>
      </c>
      <c r="AJ699" s="3" t="s">
        <v>79</v>
      </c>
      <c r="AK699" s="3" t="s">
        <v>46</v>
      </c>
      <c r="AL699" s="3" t="s">
        <v>81</v>
      </c>
      <c r="AM699" s="3" t="s">
        <v>82</v>
      </c>
    </row>
    <row r="700" spans="1:39" ht="21" customHeight="1">
      <c r="A700" s="4">
        <v>43108</v>
      </c>
      <c r="B700" s="3" t="s">
        <v>78</v>
      </c>
      <c r="C700" s="3" t="s">
        <v>79</v>
      </c>
      <c r="D700" s="4">
        <v>43159</v>
      </c>
      <c r="E700" s="3">
        <f t="shared" si="140"/>
        <v>-51</v>
      </c>
      <c r="F700" s="3" t="str">
        <f t="shared" si="141"/>
        <v>개봉전</v>
      </c>
      <c r="G700" s="3" t="str">
        <f t="shared" si="142"/>
        <v>월</v>
      </c>
      <c r="H700" s="3">
        <f t="shared" si="143"/>
        <v>0</v>
      </c>
      <c r="I700" s="3"/>
      <c r="J700" s="3"/>
      <c r="K700" s="3"/>
      <c r="L700" s="12" t="str">
        <f t="shared" si="144"/>
        <v/>
      </c>
      <c r="M700" s="12" t="str">
        <f t="shared" ref="M700:M763" si="145">IF(AND(COUNT(I699:I700)=2,A700=A699+1),IFERROR(I700/I699-1,""),"")</f>
        <v/>
      </c>
      <c r="N700" s="11" t="str">
        <f t="shared" si="131"/>
        <v/>
      </c>
      <c r="O700" s="11" t="str">
        <f t="shared" si="133"/>
        <v/>
      </c>
      <c r="P700" s="11" t="str">
        <f t="shared" si="134"/>
        <v/>
      </c>
      <c r="Q700" s="7"/>
      <c r="R700" s="7"/>
      <c r="S700" s="7"/>
      <c r="T700" s="7"/>
      <c r="U700" s="7"/>
      <c r="V700" s="7"/>
      <c r="W700" s="7"/>
      <c r="X700" s="3"/>
      <c r="Y700" s="3"/>
      <c r="Z700" s="9">
        <v>1.1991700000000001</v>
      </c>
      <c r="AA700" s="12">
        <f t="shared" ref="AA700:AA763" si="146">IF(AND(COUNT(Z699:Z700)=2,A700=A699+1),IFERROR(Z700/Z699-1,""),"")</f>
        <v>1.2024942144510158</v>
      </c>
      <c r="AB700" s="9">
        <f t="shared" si="132"/>
        <v>0.68467428571428568</v>
      </c>
      <c r="AC700" s="9">
        <f t="shared" si="135"/>
        <v>0.47733321428571429</v>
      </c>
      <c r="AD700" s="9">
        <f t="shared" si="136"/>
        <v>1.4343738613262822</v>
      </c>
      <c r="AE700" s="3" t="s">
        <v>80</v>
      </c>
      <c r="AF700" s="11" t="str">
        <f t="shared" si="137"/>
        <v/>
      </c>
      <c r="AG700" s="11" t="str">
        <f t="shared" si="138"/>
        <v/>
      </c>
      <c r="AH700" s="11">
        <f t="shared" si="139"/>
        <v>2.512228280184627</v>
      </c>
      <c r="AI700" s="3" t="s">
        <v>45</v>
      </c>
      <c r="AJ700" s="3" t="s">
        <v>79</v>
      </c>
      <c r="AK700" s="3" t="s">
        <v>46</v>
      </c>
      <c r="AL700" s="3" t="s">
        <v>81</v>
      </c>
      <c r="AM700" s="3" t="s">
        <v>82</v>
      </c>
    </row>
    <row r="701" spans="1:39" ht="21" customHeight="1">
      <c r="A701" s="4">
        <v>43109</v>
      </c>
      <c r="B701" s="3" t="s">
        <v>78</v>
      </c>
      <c r="C701" s="3" t="s">
        <v>79</v>
      </c>
      <c r="D701" s="4">
        <v>43159</v>
      </c>
      <c r="E701" s="3">
        <f t="shared" si="140"/>
        <v>-50</v>
      </c>
      <c r="F701" s="3" t="str">
        <f t="shared" si="141"/>
        <v>개봉전</v>
      </c>
      <c r="G701" s="3" t="str">
        <f t="shared" si="142"/>
        <v>화</v>
      </c>
      <c r="H701" s="3">
        <f t="shared" si="143"/>
        <v>0</v>
      </c>
      <c r="I701" s="3"/>
      <c r="J701" s="3"/>
      <c r="K701" s="3"/>
      <c r="L701" s="12" t="str">
        <f t="shared" si="144"/>
        <v/>
      </c>
      <c r="M701" s="12" t="str">
        <f t="shared" si="145"/>
        <v/>
      </c>
      <c r="N701" s="11" t="str">
        <f t="shared" si="131"/>
        <v/>
      </c>
      <c r="O701" s="11" t="str">
        <f t="shared" si="133"/>
        <v/>
      </c>
      <c r="P701" s="11" t="str">
        <f t="shared" si="134"/>
        <v/>
      </c>
      <c r="Q701" s="7"/>
      <c r="R701" s="7"/>
      <c r="S701" s="7"/>
      <c r="T701" s="7"/>
      <c r="U701" s="7"/>
      <c r="V701" s="7"/>
      <c r="W701" s="7"/>
      <c r="X701" s="3"/>
      <c r="Y701" s="3"/>
      <c r="Z701" s="9">
        <v>4.8988199999999997</v>
      </c>
      <c r="AA701" s="12">
        <f t="shared" si="146"/>
        <v>3.0851755797760116</v>
      </c>
      <c r="AB701" s="9">
        <f t="shared" si="132"/>
        <v>1.2740671428571428</v>
      </c>
      <c r="AC701" s="9">
        <f t="shared" si="135"/>
        <v>0.51120892857142863</v>
      </c>
      <c r="AD701" s="9">
        <f t="shared" si="136"/>
        <v>2.4922630878484822</v>
      </c>
      <c r="AE701" s="3" t="s">
        <v>80</v>
      </c>
      <c r="AF701" s="11" t="str">
        <f t="shared" si="137"/>
        <v/>
      </c>
      <c r="AG701" s="11" t="str">
        <f t="shared" si="138"/>
        <v/>
      </c>
      <c r="AH701" s="11">
        <f t="shared" si="139"/>
        <v>9.5828138481261131</v>
      </c>
      <c r="AI701" s="3" t="s">
        <v>45</v>
      </c>
      <c r="AJ701" s="3" t="s">
        <v>79</v>
      </c>
      <c r="AK701" s="3" t="s">
        <v>46</v>
      </c>
      <c r="AL701" s="3" t="s">
        <v>81</v>
      </c>
      <c r="AM701" s="3" t="s">
        <v>82</v>
      </c>
    </row>
    <row r="702" spans="1:39" ht="21" customHeight="1">
      <c r="A702" s="4">
        <v>43110</v>
      </c>
      <c r="B702" s="3" t="s">
        <v>78</v>
      </c>
      <c r="C702" s="3" t="s">
        <v>79</v>
      </c>
      <c r="D702" s="4">
        <v>43159</v>
      </c>
      <c r="E702" s="3">
        <f t="shared" si="140"/>
        <v>-49</v>
      </c>
      <c r="F702" s="3" t="str">
        <f t="shared" si="141"/>
        <v>개봉전</v>
      </c>
      <c r="G702" s="3" t="str">
        <f t="shared" si="142"/>
        <v>수</v>
      </c>
      <c r="H702" s="3">
        <f t="shared" si="143"/>
        <v>0</v>
      </c>
      <c r="I702" s="3"/>
      <c r="J702" s="3"/>
      <c r="K702" s="3"/>
      <c r="L702" s="12" t="str">
        <f t="shared" si="144"/>
        <v/>
      </c>
      <c r="M702" s="12" t="str">
        <f t="shared" si="145"/>
        <v/>
      </c>
      <c r="N702" s="11" t="str">
        <f t="shared" si="131"/>
        <v/>
      </c>
      <c r="O702" s="11" t="str">
        <f t="shared" si="133"/>
        <v/>
      </c>
      <c r="P702" s="11" t="str">
        <f t="shared" si="134"/>
        <v/>
      </c>
      <c r="Q702" s="7"/>
      <c r="R702" s="7"/>
      <c r="S702" s="7"/>
      <c r="T702" s="7"/>
      <c r="U702" s="7"/>
      <c r="V702" s="7"/>
      <c r="W702" s="7"/>
      <c r="X702" s="3"/>
      <c r="Y702" s="3"/>
      <c r="Z702" s="9">
        <v>3.4891399999999999</v>
      </c>
      <c r="AA702" s="12">
        <f t="shared" si="146"/>
        <v>-0.28775909300607083</v>
      </c>
      <c r="AB702" s="9">
        <f t="shared" si="132"/>
        <v>1.6549828571428569</v>
      </c>
      <c r="AC702" s="9">
        <f t="shared" si="135"/>
        <v>0.67443857142857144</v>
      </c>
      <c r="AD702" s="9">
        <f t="shared" si="136"/>
        <v>2.4538674495400401</v>
      </c>
      <c r="AE702" s="3" t="s">
        <v>80</v>
      </c>
      <c r="AF702" s="11" t="str">
        <f t="shared" si="137"/>
        <v/>
      </c>
      <c r="AG702" s="11" t="str">
        <f t="shared" si="138"/>
        <v/>
      </c>
      <c r="AH702" s="11">
        <f t="shared" si="139"/>
        <v>5.1733992505936151</v>
      </c>
      <c r="AI702" s="3" t="s">
        <v>45</v>
      </c>
      <c r="AJ702" s="3" t="s">
        <v>79</v>
      </c>
      <c r="AK702" s="3" t="s">
        <v>46</v>
      </c>
      <c r="AL702" s="3" t="s">
        <v>81</v>
      </c>
      <c r="AM702" s="3" t="s">
        <v>82</v>
      </c>
    </row>
    <row r="703" spans="1:39" ht="21" customHeight="1">
      <c r="A703" s="4">
        <v>43111</v>
      </c>
      <c r="B703" s="3" t="s">
        <v>78</v>
      </c>
      <c r="C703" s="3" t="s">
        <v>79</v>
      </c>
      <c r="D703" s="4">
        <v>43159</v>
      </c>
      <c r="E703" s="3">
        <f t="shared" si="140"/>
        <v>-48</v>
      </c>
      <c r="F703" s="3" t="str">
        <f t="shared" si="141"/>
        <v>개봉전</v>
      </c>
      <c r="G703" s="3" t="str">
        <f t="shared" si="142"/>
        <v>목</v>
      </c>
      <c r="H703" s="3">
        <f t="shared" si="143"/>
        <v>0</v>
      </c>
      <c r="I703" s="3"/>
      <c r="J703" s="3"/>
      <c r="K703" s="3"/>
      <c r="L703" s="12" t="str">
        <f t="shared" si="144"/>
        <v/>
      </c>
      <c r="M703" s="12" t="str">
        <f t="shared" si="145"/>
        <v/>
      </c>
      <c r="N703" s="11" t="str">
        <f t="shared" si="131"/>
        <v/>
      </c>
      <c r="O703" s="11" t="str">
        <f t="shared" si="133"/>
        <v/>
      </c>
      <c r="P703" s="11" t="str">
        <f t="shared" si="134"/>
        <v/>
      </c>
      <c r="Q703" s="7"/>
      <c r="R703" s="7"/>
      <c r="S703" s="7"/>
      <c r="T703" s="7"/>
      <c r="U703" s="7"/>
      <c r="V703" s="7"/>
      <c r="W703" s="7"/>
      <c r="X703" s="3"/>
      <c r="Y703" s="3"/>
      <c r="Z703" s="9">
        <v>0.99424000000000001</v>
      </c>
      <c r="AA703" s="12">
        <f t="shared" si="146"/>
        <v>-0.71504726092962734</v>
      </c>
      <c r="AB703" s="9">
        <f t="shared" si="132"/>
        <v>1.7109142857142856</v>
      </c>
      <c r="AC703" s="9">
        <f t="shared" si="135"/>
        <v>0.79023999999999994</v>
      </c>
      <c r="AD703" s="9">
        <f t="shared" si="136"/>
        <v>2.1650565470164578</v>
      </c>
      <c r="AE703" s="3" t="s">
        <v>80</v>
      </c>
      <c r="AF703" s="11" t="str">
        <f t="shared" si="137"/>
        <v/>
      </c>
      <c r="AG703" s="11" t="str">
        <f t="shared" si="138"/>
        <v/>
      </c>
      <c r="AH703" s="11">
        <f t="shared" si="139"/>
        <v>1.2581494229601136</v>
      </c>
      <c r="AI703" s="3" t="s">
        <v>45</v>
      </c>
      <c r="AJ703" s="3" t="s">
        <v>79</v>
      </c>
      <c r="AK703" s="3" t="s">
        <v>46</v>
      </c>
      <c r="AL703" s="3" t="s">
        <v>81</v>
      </c>
      <c r="AM703" s="3" t="s">
        <v>82</v>
      </c>
    </row>
    <row r="704" spans="1:39" ht="21" customHeight="1">
      <c r="A704" s="4">
        <v>43112</v>
      </c>
      <c r="B704" s="3" t="s">
        <v>78</v>
      </c>
      <c r="C704" s="3" t="s">
        <v>79</v>
      </c>
      <c r="D704" s="4">
        <v>43159</v>
      </c>
      <c r="E704" s="3">
        <f t="shared" si="140"/>
        <v>-47</v>
      </c>
      <c r="F704" s="3" t="str">
        <f t="shared" si="141"/>
        <v>개봉전</v>
      </c>
      <c r="G704" s="3" t="str">
        <f t="shared" si="142"/>
        <v>금</v>
      </c>
      <c r="H704" s="3">
        <f t="shared" si="143"/>
        <v>0</v>
      </c>
      <c r="I704" s="3"/>
      <c r="J704" s="3"/>
      <c r="K704" s="3"/>
      <c r="L704" s="12" t="str">
        <f t="shared" si="144"/>
        <v/>
      </c>
      <c r="M704" s="12" t="str">
        <f t="shared" si="145"/>
        <v/>
      </c>
      <c r="N704" s="11" t="str">
        <f t="shared" si="131"/>
        <v/>
      </c>
      <c r="O704" s="11" t="str">
        <f t="shared" si="133"/>
        <v/>
      </c>
      <c r="P704" s="11" t="str">
        <f t="shared" si="134"/>
        <v/>
      </c>
      <c r="Q704" s="7"/>
      <c r="R704" s="7"/>
      <c r="S704" s="7"/>
      <c r="T704" s="7"/>
      <c r="U704" s="7"/>
      <c r="V704" s="7"/>
      <c r="W704" s="7"/>
      <c r="X704" s="3"/>
      <c r="Y704" s="3"/>
      <c r="Z704" s="9">
        <v>0.75983999999999996</v>
      </c>
      <c r="AA704" s="12">
        <f t="shared" si="146"/>
        <v>-0.23575796588348896</v>
      </c>
      <c r="AB704" s="9">
        <f t="shared" si="132"/>
        <v>1.7612442857142856</v>
      </c>
      <c r="AC704" s="9">
        <f t="shared" si="135"/>
        <v>0.81765071428571434</v>
      </c>
      <c r="AD704" s="9">
        <f t="shared" si="136"/>
        <v>2.1540301438529021</v>
      </c>
      <c r="AE704" s="3" t="s">
        <v>80</v>
      </c>
      <c r="AF704" s="11" t="str">
        <f t="shared" si="137"/>
        <v/>
      </c>
      <c r="AG704" s="11" t="str">
        <f t="shared" si="138"/>
        <v/>
      </c>
      <c r="AH704" s="11">
        <f t="shared" si="139"/>
        <v>0.92929656480980782</v>
      </c>
      <c r="AI704" s="3" t="s">
        <v>45</v>
      </c>
      <c r="AJ704" s="3" t="s">
        <v>79</v>
      </c>
      <c r="AK704" s="3" t="s">
        <v>46</v>
      </c>
      <c r="AL704" s="3" t="s">
        <v>81</v>
      </c>
      <c r="AM704" s="3" t="s">
        <v>82</v>
      </c>
    </row>
    <row r="705" spans="1:39" ht="21" customHeight="1">
      <c r="A705" s="4">
        <v>43113</v>
      </c>
      <c r="B705" s="3" t="s">
        <v>78</v>
      </c>
      <c r="C705" s="3" t="s">
        <v>79</v>
      </c>
      <c r="D705" s="4">
        <v>43159</v>
      </c>
      <c r="E705" s="3">
        <f t="shared" si="140"/>
        <v>-46</v>
      </c>
      <c r="F705" s="3" t="str">
        <f t="shared" si="141"/>
        <v>개봉전</v>
      </c>
      <c r="G705" s="3" t="str">
        <f t="shared" si="142"/>
        <v>토</v>
      </c>
      <c r="H705" s="3">
        <f t="shared" si="143"/>
        <v>1</v>
      </c>
      <c r="I705" s="3"/>
      <c r="J705" s="3"/>
      <c r="K705" s="3"/>
      <c r="L705" s="12" t="str">
        <f t="shared" si="144"/>
        <v/>
      </c>
      <c r="M705" s="12" t="str">
        <f t="shared" si="145"/>
        <v/>
      </c>
      <c r="N705" s="11" t="str">
        <f t="shared" ref="N705:N768" si="147">IF(COUNT(I699:I705)=7,AVERAGE(I699:I705),"")</f>
        <v/>
      </c>
      <c r="O705" s="11" t="str">
        <f t="shared" si="133"/>
        <v/>
      </c>
      <c r="P705" s="11" t="str">
        <f t="shared" si="134"/>
        <v/>
      </c>
      <c r="Q705" s="7"/>
      <c r="R705" s="7"/>
      <c r="S705" s="7"/>
      <c r="T705" s="7"/>
      <c r="U705" s="7"/>
      <c r="V705" s="7"/>
      <c r="W705" s="7"/>
      <c r="X705" s="3"/>
      <c r="Y705" s="3"/>
      <c r="Z705" s="9">
        <v>0.84501000000000004</v>
      </c>
      <c r="AA705" s="12">
        <f t="shared" si="146"/>
        <v>0.11208938723941886</v>
      </c>
      <c r="AB705" s="9">
        <f t="shared" ref="AB705:AB768" si="148">IF(COUNT(Z699:Z705)=7,AVERAGE(Z699:Z705),"")</f>
        <v>1.8186685714285713</v>
      </c>
      <c r="AC705" s="9">
        <f t="shared" si="135"/>
        <v>0.83482500000000015</v>
      </c>
      <c r="AD705" s="9">
        <f t="shared" si="136"/>
        <v>2.1785027657635685</v>
      </c>
      <c r="AE705" s="3" t="s">
        <v>80</v>
      </c>
      <c r="AF705" s="11" t="str">
        <f t="shared" si="137"/>
        <v/>
      </c>
      <c r="AG705" s="11" t="str">
        <f t="shared" si="138"/>
        <v/>
      </c>
      <c r="AH705" s="11">
        <f t="shared" si="139"/>
        <v>1.0122001617105381</v>
      </c>
      <c r="AI705" s="3" t="s">
        <v>45</v>
      </c>
      <c r="AJ705" s="3" t="s">
        <v>79</v>
      </c>
      <c r="AK705" s="3" t="s">
        <v>46</v>
      </c>
      <c r="AL705" s="3" t="s">
        <v>81</v>
      </c>
      <c r="AM705" s="3" t="s">
        <v>82</v>
      </c>
    </row>
    <row r="706" spans="1:39" ht="21" customHeight="1">
      <c r="A706" s="4">
        <v>43114</v>
      </c>
      <c r="B706" s="3" t="s">
        <v>78</v>
      </c>
      <c r="C706" s="3" t="s">
        <v>79</v>
      </c>
      <c r="D706" s="4">
        <v>43159</v>
      </c>
      <c r="E706" s="3">
        <f t="shared" si="140"/>
        <v>-45</v>
      </c>
      <c r="F706" s="3" t="str">
        <f t="shared" si="141"/>
        <v>개봉전</v>
      </c>
      <c r="G706" s="3" t="str">
        <f t="shared" si="142"/>
        <v>일</v>
      </c>
      <c r="H706" s="3">
        <f t="shared" si="143"/>
        <v>1</v>
      </c>
      <c r="I706" s="3"/>
      <c r="J706" s="3"/>
      <c r="K706" s="3"/>
      <c r="L706" s="12" t="str">
        <f t="shared" si="144"/>
        <v/>
      </c>
      <c r="M706" s="12" t="str">
        <f t="shared" si="145"/>
        <v/>
      </c>
      <c r="N706" s="11" t="str">
        <f t="shared" si="147"/>
        <v/>
      </c>
      <c r="O706" s="11" t="str">
        <f t="shared" si="133"/>
        <v/>
      </c>
      <c r="P706" s="11" t="str">
        <f t="shared" si="134"/>
        <v/>
      </c>
      <c r="Q706" s="7"/>
      <c r="R706" s="7"/>
      <c r="S706" s="7"/>
      <c r="T706" s="7"/>
      <c r="U706" s="7"/>
      <c r="V706" s="7"/>
      <c r="W706" s="7"/>
      <c r="X706" s="3"/>
      <c r="Y706" s="3"/>
      <c r="Z706" s="9">
        <v>1.0165200000000001</v>
      </c>
      <c r="AA706" s="12">
        <f t="shared" si="146"/>
        <v>0.20296801221287319</v>
      </c>
      <c r="AB706" s="9">
        <f t="shared" si="148"/>
        <v>1.8861057142857141</v>
      </c>
      <c r="AC706" s="9">
        <f t="shared" si="135"/>
        <v>0.85499142857142851</v>
      </c>
      <c r="AD706" s="9">
        <f t="shared" si="136"/>
        <v>2.205993710880978</v>
      </c>
      <c r="AE706" s="3" t="s">
        <v>80</v>
      </c>
      <c r="AF706" s="11" t="str">
        <f t="shared" si="137"/>
        <v/>
      </c>
      <c r="AG706" s="11" t="str">
        <f t="shared" si="138"/>
        <v/>
      </c>
      <c r="AH706" s="11">
        <f t="shared" si="139"/>
        <v>1.1889241997413509</v>
      </c>
      <c r="AI706" s="3" t="s">
        <v>45</v>
      </c>
      <c r="AJ706" s="3" t="s">
        <v>79</v>
      </c>
      <c r="AK706" s="3" t="s">
        <v>46</v>
      </c>
      <c r="AL706" s="3" t="s">
        <v>81</v>
      </c>
      <c r="AM706" s="3" t="s">
        <v>82</v>
      </c>
    </row>
    <row r="707" spans="1:39" ht="21" customHeight="1">
      <c r="A707" s="4">
        <v>43115</v>
      </c>
      <c r="B707" s="3" t="s">
        <v>78</v>
      </c>
      <c r="C707" s="3" t="s">
        <v>79</v>
      </c>
      <c r="D707" s="4">
        <v>43159</v>
      </c>
      <c r="E707" s="3">
        <f t="shared" si="140"/>
        <v>-44</v>
      </c>
      <c r="F707" s="3" t="str">
        <f t="shared" si="141"/>
        <v>개봉전</v>
      </c>
      <c r="G707" s="3" t="str">
        <f t="shared" si="142"/>
        <v>월</v>
      </c>
      <c r="H707" s="3">
        <f t="shared" si="143"/>
        <v>0</v>
      </c>
      <c r="I707" s="3"/>
      <c r="J707" s="3"/>
      <c r="K707" s="3"/>
      <c r="L707" s="12" t="str">
        <f t="shared" si="144"/>
        <v/>
      </c>
      <c r="M707" s="12" t="str">
        <f t="shared" si="145"/>
        <v/>
      </c>
      <c r="N707" s="11" t="str">
        <f t="shared" si="147"/>
        <v/>
      </c>
      <c r="O707" s="11" t="str">
        <f t="shared" si="133"/>
        <v/>
      </c>
      <c r="P707" s="11" t="str">
        <f t="shared" si="134"/>
        <v/>
      </c>
      <c r="Q707" s="7"/>
      <c r="R707" s="7"/>
      <c r="S707" s="7"/>
      <c r="T707" s="7"/>
      <c r="U707" s="7"/>
      <c r="V707" s="7"/>
      <c r="W707" s="7"/>
      <c r="X707" s="3"/>
      <c r="Y707" s="3"/>
      <c r="Z707" s="9">
        <v>1.6844600000000001</v>
      </c>
      <c r="AA707" s="12">
        <f t="shared" si="146"/>
        <v>0.65708495651831722</v>
      </c>
      <c r="AB707" s="9">
        <f t="shared" si="148"/>
        <v>1.955432857142857</v>
      </c>
      <c r="AC707" s="9">
        <f t="shared" si="135"/>
        <v>0.8814157142857143</v>
      </c>
      <c r="AD707" s="9">
        <f t="shared" si="136"/>
        <v>2.2185137222423017</v>
      </c>
      <c r="AE707" s="3" t="s">
        <v>80</v>
      </c>
      <c r="AF707" s="11" t="str">
        <f t="shared" si="137"/>
        <v/>
      </c>
      <c r="AG707" s="11" t="str">
        <f t="shared" si="138"/>
        <v/>
      </c>
      <c r="AH707" s="11">
        <f t="shared" si="139"/>
        <v>1.9110846025306691</v>
      </c>
      <c r="AI707" s="3" t="s">
        <v>45</v>
      </c>
      <c r="AJ707" s="3" t="s">
        <v>79</v>
      </c>
      <c r="AK707" s="3" t="s">
        <v>46</v>
      </c>
      <c r="AL707" s="3" t="s">
        <v>81</v>
      </c>
      <c r="AM707" s="3" t="s">
        <v>82</v>
      </c>
    </row>
    <row r="708" spans="1:39" ht="21" customHeight="1">
      <c r="A708" s="4">
        <v>43116</v>
      </c>
      <c r="B708" s="3" t="s">
        <v>78</v>
      </c>
      <c r="C708" s="3" t="s">
        <v>79</v>
      </c>
      <c r="D708" s="4">
        <v>43159</v>
      </c>
      <c r="E708" s="3">
        <f t="shared" si="140"/>
        <v>-43</v>
      </c>
      <c r="F708" s="3" t="str">
        <f t="shared" si="141"/>
        <v>개봉전</v>
      </c>
      <c r="G708" s="3" t="str">
        <f t="shared" si="142"/>
        <v>화</v>
      </c>
      <c r="H708" s="3">
        <f t="shared" si="143"/>
        <v>0</v>
      </c>
      <c r="I708" s="3"/>
      <c r="J708" s="3"/>
      <c r="K708" s="3"/>
      <c r="L708" s="12" t="str">
        <f t="shared" si="144"/>
        <v/>
      </c>
      <c r="M708" s="12" t="str">
        <f t="shared" si="145"/>
        <v/>
      </c>
      <c r="N708" s="11" t="str">
        <f t="shared" si="147"/>
        <v/>
      </c>
      <c r="O708" s="11" t="str">
        <f t="shared" si="133"/>
        <v/>
      </c>
      <c r="P708" s="11" t="str">
        <f t="shared" si="134"/>
        <v/>
      </c>
      <c r="Q708" s="7"/>
      <c r="R708" s="7"/>
      <c r="S708" s="7"/>
      <c r="T708" s="7"/>
      <c r="U708" s="7"/>
      <c r="V708" s="7"/>
      <c r="W708" s="7"/>
      <c r="X708" s="3"/>
      <c r="Y708" s="3"/>
      <c r="Z708" s="9">
        <v>1.05969</v>
      </c>
      <c r="AA708" s="12">
        <f t="shared" si="146"/>
        <v>-0.37090224760457358</v>
      </c>
      <c r="AB708" s="9">
        <f t="shared" si="148"/>
        <v>1.4069857142857143</v>
      </c>
      <c r="AC708" s="9">
        <f t="shared" si="135"/>
        <v>0.9283960714285715</v>
      </c>
      <c r="AD708" s="9">
        <f t="shared" si="136"/>
        <v>1.5155015812601533</v>
      </c>
      <c r="AE708" s="3" t="s">
        <v>80</v>
      </c>
      <c r="AF708" s="11" t="str">
        <f t="shared" si="137"/>
        <v/>
      </c>
      <c r="AG708" s="11" t="str">
        <f t="shared" si="138"/>
        <v/>
      </c>
      <c r="AH708" s="11">
        <f t="shared" si="139"/>
        <v>1.1414201681933009</v>
      </c>
      <c r="AI708" s="3" t="s">
        <v>45</v>
      </c>
      <c r="AJ708" s="3" t="s">
        <v>79</v>
      </c>
      <c r="AK708" s="3" t="s">
        <v>46</v>
      </c>
      <c r="AL708" s="3" t="s">
        <v>81</v>
      </c>
      <c r="AM708" s="3" t="s">
        <v>82</v>
      </c>
    </row>
    <row r="709" spans="1:39" ht="21" customHeight="1">
      <c r="A709" s="4">
        <v>43117</v>
      </c>
      <c r="B709" s="3" t="s">
        <v>78</v>
      </c>
      <c r="C709" s="3" t="s">
        <v>79</v>
      </c>
      <c r="D709" s="4">
        <v>43159</v>
      </c>
      <c r="E709" s="3">
        <f t="shared" si="140"/>
        <v>-42</v>
      </c>
      <c r="F709" s="3" t="str">
        <f t="shared" si="141"/>
        <v>개봉전</v>
      </c>
      <c r="G709" s="3" t="str">
        <f t="shared" si="142"/>
        <v>수</v>
      </c>
      <c r="H709" s="3">
        <f t="shared" si="143"/>
        <v>0</v>
      </c>
      <c r="I709" s="3"/>
      <c r="J709" s="3"/>
      <c r="K709" s="3"/>
      <c r="L709" s="12" t="str">
        <f t="shared" si="144"/>
        <v/>
      </c>
      <c r="M709" s="12" t="str">
        <f t="shared" si="145"/>
        <v/>
      </c>
      <c r="N709" s="11" t="str">
        <f t="shared" si="147"/>
        <v/>
      </c>
      <c r="O709" s="11" t="str">
        <f t="shared" si="133"/>
        <v/>
      </c>
      <c r="P709" s="11" t="str">
        <f t="shared" si="134"/>
        <v/>
      </c>
      <c r="Q709" s="7"/>
      <c r="R709" s="7"/>
      <c r="S709" s="7"/>
      <c r="T709" s="7"/>
      <c r="U709" s="7"/>
      <c r="V709" s="7"/>
      <c r="W709" s="7"/>
      <c r="X709" s="3"/>
      <c r="Y709" s="3"/>
      <c r="Z709" s="9">
        <v>1.2265600000000001</v>
      </c>
      <c r="AA709" s="12">
        <f t="shared" si="146"/>
        <v>0.15747058101897737</v>
      </c>
      <c r="AB709" s="9">
        <f t="shared" si="148"/>
        <v>1.0837600000000001</v>
      </c>
      <c r="AC709" s="9">
        <f t="shared" si="135"/>
        <v>0.95636214285714283</v>
      </c>
      <c r="AD709" s="9">
        <f t="shared" si="136"/>
        <v>1.1332108951555262</v>
      </c>
      <c r="AE709" s="3" t="s">
        <v>80</v>
      </c>
      <c r="AF709" s="11" t="str">
        <f t="shared" si="137"/>
        <v/>
      </c>
      <c r="AG709" s="11" t="str">
        <f t="shared" si="138"/>
        <v/>
      </c>
      <c r="AH709" s="11">
        <f t="shared" si="139"/>
        <v>1.2825267176883832</v>
      </c>
      <c r="AI709" s="3" t="s">
        <v>45</v>
      </c>
      <c r="AJ709" s="3" t="s">
        <v>79</v>
      </c>
      <c r="AK709" s="3" t="s">
        <v>46</v>
      </c>
      <c r="AL709" s="3" t="s">
        <v>81</v>
      </c>
      <c r="AM709" s="3" t="s">
        <v>82</v>
      </c>
    </row>
    <row r="710" spans="1:39" ht="21" customHeight="1">
      <c r="A710" s="4">
        <v>43118</v>
      </c>
      <c r="B710" s="3" t="s">
        <v>78</v>
      </c>
      <c r="C710" s="3" t="s">
        <v>79</v>
      </c>
      <c r="D710" s="4">
        <v>43159</v>
      </c>
      <c r="E710" s="3">
        <f t="shared" si="140"/>
        <v>-41</v>
      </c>
      <c r="F710" s="3" t="str">
        <f t="shared" si="141"/>
        <v>개봉전</v>
      </c>
      <c r="G710" s="3" t="str">
        <f t="shared" si="142"/>
        <v>목</v>
      </c>
      <c r="H710" s="3">
        <f t="shared" si="143"/>
        <v>0</v>
      </c>
      <c r="I710" s="3"/>
      <c r="J710" s="3"/>
      <c r="K710" s="3"/>
      <c r="L710" s="12" t="str">
        <f t="shared" si="144"/>
        <v/>
      </c>
      <c r="M710" s="12" t="str">
        <f t="shared" si="145"/>
        <v/>
      </c>
      <c r="N710" s="11" t="str">
        <f t="shared" si="147"/>
        <v/>
      </c>
      <c r="O710" s="11" t="str">
        <f t="shared" si="133"/>
        <v/>
      </c>
      <c r="P710" s="11" t="str">
        <f t="shared" si="134"/>
        <v/>
      </c>
      <c r="Q710" s="7"/>
      <c r="R710" s="7"/>
      <c r="S710" s="7"/>
      <c r="T710" s="7"/>
      <c r="U710" s="7"/>
      <c r="V710" s="7"/>
      <c r="W710" s="7"/>
      <c r="X710" s="3"/>
      <c r="Y710" s="3"/>
      <c r="Z710" s="9">
        <v>0.79278999999999999</v>
      </c>
      <c r="AA710" s="12">
        <f t="shared" si="146"/>
        <v>-0.35364759979128624</v>
      </c>
      <c r="AB710" s="9">
        <f t="shared" si="148"/>
        <v>1.0549814285714285</v>
      </c>
      <c r="AC710" s="9">
        <f t="shared" si="135"/>
        <v>0.99050357142857137</v>
      </c>
      <c r="AD710" s="9">
        <f t="shared" si="136"/>
        <v>1.0650960370085922</v>
      </c>
      <c r="AE710" s="3" t="s">
        <v>80</v>
      </c>
      <c r="AF710" s="11" t="str">
        <f t="shared" si="137"/>
        <v/>
      </c>
      <c r="AG710" s="11" t="str">
        <f t="shared" si="138"/>
        <v/>
      </c>
      <c r="AH710" s="11">
        <f t="shared" si="139"/>
        <v>0.80039085457974124</v>
      </c>
      <c r="AI710" s="3" t="s">
        <v>45</v>
      </c>
      <c r="AJ710" s="3" t="s">
        <v>79</v>
      </c>
      <c r="AK710" s="3" t="s">
        <v>46</v>
      </c>
      <c r="AL710" s="3" t="s">
        <v>81</v>
      </c>
      <c r="AM710" s="3" t="s">
        <v>82</v>
      </c>
    </row>
    <row r="711" spans="1:39" ht="21" customHeight="1">
      <c r="A711" s="4">
        <v>43119</v>
      </c>
      <c r="B711" s="3" t="s">
        <v>78</v>
      </c>
      <c r="C711" s="3" t="s">
        <v>79</v>
      </c>
      <c r="D711" s="4">
        <v>43159</v>
      </c>
      <c r="E711" s="3">
        <f t="shared" si="140"/>
        <v>-40</v>
      </c>
      <c r="F711" s="3" t="str">
        <f t="shared" si="141"/>
        <v>개봉전</v>
      </c>
      <c r="G711" s="3" t="str">
        <f t="shared" si="142"/>
        <v>금</v>
      </c>
      <c r="H711" s="3">
        <f t="shared" si="143"/>
        <v>0</v>
      </c>
      <c r="I711" s="3"/>
      <c r="J711" s="3"/>
      <c r="K711" s="3"/>
      <c r="L711" s="12" t="str">
        <f t="shared" si="144"/>
        <v/>
      </c>
      <c r="M711" s="12" t="str">
        <f t="shared" si="145"/>
        <v/>
      </c>
      <c r="N711" s="11" t="str">
        <f t="shared" si="147"/>
        <v/>
      </c>
      <c r="O711" s="11" t="str">
        <f t="shared" si="133"/>
        <v/>
      </c>
      <c r="P711" s="11" t="str">
        <f t="shared" si="134"/>
        <v/>
      </c>
      <c r="Q711" s="7"/>
      <c r="R711" s="7"/>
      <c r="S711" s="7"/>
      <c r="T711" s="7"/>
      <c r="U711" s="7"/>
      <c r="V711" s="7"/>
      <c r="W711" s="7"/>
      <c r="X711" s="3"/>
      <c r="Y711" s="3"/>
      <c r="Z711" s="9">
        <v>0.75727999999999995</v>
      </c>
      <c r="AA711" s="12">
        <f t="shared" si="146"/>
        <v>-4.4791180514385909E-2</v>
      </c>
      <c r="AB711" s="9">
        <f t="shared" si="148"/>
        <v>1.0546157142857144</v>
      </c>
      <c r="AC711" s="9">
        <f t="shared" si="135"/>
        <v>1.0092857142857141</v>
      </c>
      <c r="AD711" s="9">
        <f t="shared" si="136"/>
        <v>1.0449129511677286</v>
      </c>
      <c r="AE711" s="3" t="s">
        <v>80</v>
      </c>
      <c r="AF711" s="11" t="str">
        <f t="shared" si="137"/>
        <v/>
      </c>
      <c r="AG711" s="11" t="str">
        <f t="shared" si="138"/>
        <v/>
      </c>
      <c r="AH711" s="11">
        <f t="shared" si="139"/>
        <v>0.75031280962491165</v>
      </c>
      <c r="AI711" s="3" t="s">
        <v>45</v>
      </c>
      <c r="AJ711" s="3" t="s">
        <v>79</v>
      </c>
      <c r="AK711" s="3" t="s">
        <v>46</v>
      </c>
      <c r="AL711" s="3" t="s">
        <v>81</v>
      </c>
      <c r="AM711" s="3" t="s">
        <v>82</v>
      </c>
    </row>
    <row r="712" spans="1:39" ht="21" customHeight="1">
      <c r="A712" s="4">
        <v>43120</v>
      </c>
      <c r="B712" s="3" t="s">
        <v>78</v>
      </c>
      <c r="C712" s="3" t="s">
        <v>79</v>
      </c>
      <c r="D712" s="4">
        <v>43159</v>
      </c>
      <c r="E712" s="3">
        <f t="shared" si="140"/>
        <v>-39</v>
      </c>
      <c r="F712" s="3" t="str">
        <f t="shared" si="141"/>
        <v>개봉전</v>
      </c>
      <c r="G712" s="3" t="str">
        <f t="shared" si="142"/>
        <v>토</v>
      </c>
      <c r="H712" s="3">
        <f t="shared" si="143"/>
        <v>1</v>
      </c>
      <c r="I712" s="3"/>
      <c r="J712" s="3"/>
      <c r="K712" s="3"/>
      <c r="L712" s="12" t="str">
        <f t="shared" si="144"/>
        <v/>
      </c>
      <c r="M712" s="12" t="str">
        <f t="shared" si="145"/>
        <v/>
      </c>
      <c r="N712" s="11" t="str">
        <f t="shared" si="147"/>
        <v/>
      </c>
      <c r="O712" s="11" t="str">
        <f t="shared" si="133"/>
        <v/>
      </c>
      <c r="P712" s="11" t="str">
        <f t="shared" si="134"/>
        <v/>
      </c>
      <c r="Q712" s="7"/>
      <c r="R712" s="7"/>
      <c r="S712" s="7"/>
      <c r="T712" s="7"/>
      <c r="U712" s="7"/>
      <c r="V712" s="7"/>
      <c r="W712" s="7"/>
      <c r="X712" s="3"/>
      <c r="Y712" s="3"/>
      <c r="Z712" s="9">
        <v>0.84153</v>
      </c>
      <c r="AA712" s="12">
        <f t="shared" si="146"/>
        <v>0.11125343334037607</v>
      </c>
      <c r="AB712" s="9">
        <f t="shared" si="148"/>
        <v>1.0541185714285715</v>
      </c>
      <c r="AC712" s="9">
        <f t="shared" si="135"/>
        <v>1.0222489285714287</v>
      </c>
      <c r="AD712" s="9">
        <f t="shared" si="136"/>
        <v>1.0311760100366942</v>
      </c>
      <c r="AE712" s="3" t="s">
        <v>80</v>
      </c>
      <c r="AF712" s="11" t="str">
        <f t="shared" si="137"/>
        <v/>
      </c>
      <c r="AG712" s="11" t="str">
        <f t="shared" si="138"/>
        <v/>
      </c>
      <c r="AH712" s="11">
        <f t="shared" si="139"/>
        <v>0.82321436245085666</v>
      </c>
      <c r="AI712" s="3" t="s">
        <v>45</v>
      </c>
      <c r="AJ712" s="3" t="s">
        <v>79</v>
      </c>
      <c r="AK712" s="3" t="s">
        <v>46</v>
      </c>
      <c r="AL712" s="3" t="s">
        <v>81</v>
      </c>
      <c r="AM712" s="3" t="s">
        <v>82</v>
      </c>
    </row>
    <row r="713" spans="1:39" ht="21" customHeight="1">
      <c r="A713" s="4">
        <v>43121</v>
      </c>
      <c r="B713" s="3" t="s">
        <v>78</v>
      </c>
      <c r="C713" s="3" t="s">
        <v>79</v>
      </c>
      <c r="D713" s="4">
        <v>43159</v>
      </c>
      <c r="E713" s="3">
        <f t="shared" si="140"/>
        <v>-38</v>
      </c>
      <c r="F713" s="3" t="str">
        <f t="shared" si="141"/>
        <v>개봉전</v>
      </c>
      <c r="G713" s="3" t="str">
        <f t="shared" si="142"/>
        <v>일</v>
      </c>
      <c r="H713" s="3">
        <f t="shared" si="143"/>
        <v>1</v>
      </c>
      <c r="I713" s="3"/>
      <c r="J713" s="3"/>
      <c r="K713" s="3"/>
      <c r="L713" s="12" t="str">
        <f t="shared" si="144"/>
        <v/>
      </c>
      <c r="M713" s="12" t="str">
        <f t="shared" si="145"/>
        <v/>
      </c>
      <c r="N713" s="11" t="str">
        <f t="shared" si="147"/>
        <v/>
      </c>
      <c r="O713" s="11" t="str">
        <f t="shared" si="133"/>
        <v/>
      </c>
      <c r="P713" s="11" t="str">
        <f t="shared" si="134"/>
        <v/>
      </c>
      <c r="Q713" s="7"/>
      <c r="R713" s="7"/>
      <c r="S713" s="7"/>
      <c r="T713" s="7"/>
      <c r="U713" s="7"/>
      <c r="V713" s="7"/>
      <c r="W713" s="7"/>
      <c r="X713" s="3"/>
      <c r="Y713" s="3"/>
      <c r="Z713" s="9">
        <v>0.75124999999999997</v>
      </c>
      <c r="AA713" s="12">
        <f t="shared" si="146"/>
        <v>-0.10728078618706405</v>
      </c>
      <c r="AB713" s="9">
        <f t="shared" si="148"/>
        <v>1.0162228571428571</v>
      </c>
      <c r="AC713" s="9">
        <f t="shared" si="135"/>
        <v>1.0366960714285713</v>
      </c>
      <c r="AD713" s="9">
        <f t="shared" si="136"/>
        <v>0.98025147885676644</v>
      </c>
      <c r="AE713" s="3" t="s">
        <v>80</v>
      </c>
      <c r="AF713" s="11" t="str">
        <f t="shared" si="137"/>
        <v/>
      </c>
      <c r="AG713" s="11" t="str">
        <f t="shared" si="138"/>
        <v/>
      </c>
      <c r="AH713" s="11">
        <f t="shared" si="139"/>
        <v>0.7246579018716397</v>
      </c>
      <c r="AI713" s="3" t="s">
        <v>45</v>
      </c>
      <c r="AJ713" s="3" t="s">
        <v>79</v>
      </c>
      <c r="AK713" s="3" t="s">
        <v>46</v>
      </c>
      <c r="AL713" s="3" t="s">
        <v>81</v>
      </c>
      <c r="AM713" s="3" t="s">
        <v>82</v>
      </c>
    </row>
    <row r="714" spans="1:39" ht="21" customHeight="1">
      <c r="A714" s="4">
        <v>43122</v>
      </c>
      <c r="B714" s="3" t="s">
        <v>78</v>
      </c>
      <c r="C714" s="3" t="s">
        <v>79</v>
      </c>
      <c r="D714" s="4">
        <v>43159</v>
      </c>
      <c r="E714" s="3">
        <f t="shared" si="140"/>
        <v>-37</v>
      </c>
      <c r="F714" s="3" t="str">
        <f t="shared" si="141"/>
        <v>개봉전</v>
      </c>
      <c r="G714" s="3" t="str">
        <f t="shared" si="142"/>
        <v>월</v>
      </c>
      <c r="H714" s="3">
        <f t="shared" si="143"/>
        <v>0</v>
      </c>
      <c r="I714" s="3"/>
      <c r="J714" s="3"/>
      <c r="K714" s="3"/>
      <c r="L714" s="12" t="str">
        <f t="shared" si="144"/>
        <v/>
      </c>
      <c r="M714" s="12" t="str">
        <f t="shared" si="145"/>
        <v/>
      </c>
      <c r="N714" s="11" t="str">
        <f t="shared" si="147"/>
        <v/>
      </c>
      <c r="O714" s="11" t="str">
        <f t="shared" si="133"/>
        <v/>
      </c>
      <c r="P714" s="11" t="str">
        <f t="shared" si="134"/>
        <v/>
      </c>
      <c r="Q714" s="7"/>
      <c r="R714" s="7"/>
      <c r="S714" s="7"/>
      <c r="T714" s="7"/>
      <c r="U714" s="7"/>
      <c r="V714" s="7"/>
      <c r="W714" s="7"/>
      <c r="X714" s="3"/>
      <c r="Y714" s="3"/>
      <c r="Z714" s="9">
        <v>0.95316000000000001</v>
      </c>
      <c r="AA714" s="12">
        <f t="shared" si="146"/>
        <v>0.26876539101497499</v>
      </c>
      <c r="AB714" s="9">
        <f t="shared" si="148"/>
        <v>0.91175142857142843</v>
      </c>
      <c r="AC714" s="9">
        <f t="shared" si="135"/>
        <v>1.0429207142857142</v>
      </c>
      <c r="AD714" s="9">
        <f t="shared" si="136"/>
        <v>0.8742288997451525</v>
      </c>
      <c r="AE714" s="3" t="s">
        <v>80</v>
      </c>
      <c r="AF714" s="11" t="str">
        <f t="shared" si="137"/>
        <v/>
      </c>
      <c r="AG714" s="11" t="str">
        <f t="shared" si="138"/>
        <v/>
      </c>
      <c r="AH714" s="11">
        <f t="shared" si="139"/>
        <v>0.91393332872174238</v>
      </c>
      <c r="AI714" s="3" t="s">
        <v>45</v>
      </c>
      <c r="AJ714" s="3" t="s">
        <v>79</v>
      </c>
      <c r="AK714" s="3" t="s">
        <v>46</v>
      </c>
      <c r="AL714" s="3" t="s">
        <v>81</v>
      </c>
      <c r="AM714" s="3" t="s">
        <v>82</v>
      </c>
    </row>
    <row r="715" spans="1:39" ht="21" customHeight="1">
      <c r="A715" s="4">
        <v>43123</v>
      </c>
      <c r="B715" s="3" t="s">
        <v>78</v>
      </c>
      <c r="C715" s="3" t="s">
        <v>79</v>
      </c>
      <c r="D715" s="4">
        <v>43159</v>
      </c>
      <c r="E715" s="3">
        <f t="shared" si="140"/>
        <v>-36</v>
      </c>
      <c r="F715" s="3" t="str">
        <f t="shared" si="141"/>
        <v>개봉전</v>
      </c>
      <c r="G715" s="3" t="str">
        <f t="shared" si="142"/>
        <v>화</v>
      </c>
      <c r="H715" s="3">
        <f t="shared" si="143"/>
        <v>0</v>
      </c>
      <c r="I715" s="3"/>
      <c r="J715" s="3"/>
      <c r="K715" s="3"/>
      <c r="L715" s="12" t="str">
        <f t="shared" si="144"/>
        <v/>
      </c>
      <c r="M715" s="12" t="str">
        <f t="shared" si="145"/>
        <v/>
      </c>
      <c r="N715" s="11" t="str">
        <f t="shared" si="147"/>
        <v/>
      </c>
      <c r="O715" s="11" t="str">
        <f t="shared" si="133"/>
        <v/>
      </c>
      <c r="P715" s="11" t="str">
        <f t="shared" si="134"/>
        <v/>
      </c>
      <c r="Q715" s="7"/>
      <c r="R715" s="7"/>
      <c r="S715" s="7"/>
      <c r="T715" s="7"/>
      <c r="U715" s="7"/>
      <c r="V715" s="7"/>
      <c r="W715" s="7"/>
      <c r="X715" s="3"/>
      <c r="Y715" s="3"/>
      <c r="Z715" s="9">
        <v>1.2739</v>
      </c>
      <c r="AA715" s="12">
        <f t="shared" si="146"/>
        <v>0.33650174157539126</v>
      </c>
      <c r="AB715" s="9">
        <f t="shared" si="148"/>
        <v>0.94235285714285733</v>
      </c>
      <c r="AC715" s="9">
        <f t="shared" si="135"/>
        <v>1.058917857142857</v>
      </c>
      <c r="AD715" s="9">
        <f t="shared" si="136"/>
        <v>0.88992064000647586</v>
      </c>
      <c r="AE715" s="3" t="s">
        <v>80</v>
      </c>
      <c r="AF715" s="11" t="str">
        <f t="shared" si="137"/>
        <v/>
      </c>
      <c r="AG715" s="11" t="str">
        <f t="shared" si="138"/>
        <v/>
      </c>
      <c r="AH715" s="11">
        <f t="shared" si="139"/>
        <v>1.203020603918421</v>
      </c>
      <c r="AI715" s="3" t="s">
        <v>45</v>
      </c>
      <c r="AJ715" s="3" t="s">
        <v>79</v>
      </c>
      <c r="AK715" s="3" t="s">
        <v>46</v>
      </c>
      <c r="AL715" s="3" t="s">
        <v>81</v>
      </c>
      <c r="AM715" s="3" t="s">
        <v>82</v>
      </c>
    </row>
    <row r="716" spans="1:39" ht="21" customHeight="1">
      <c r="A716" s="4">
        <v>43124</v>
      </c>
      <c r="B716" s="3" t="s">
        <v>78</v>
      </c>
      <c r="C716" s="3" t="s">
        <v>79</v>
      </c>
      <c r="D716" s="4">
        <v>43159</v>
      </c>
      <c r="E716" s="3">
        <f t="shared" si="140"/>
        <v>-35</v>
      </c>
      <c r="F716" s="3" t="str">
        <f t="shared" si="141"/>
        <v>개봉전</v>
      </c>
      <c r="G716" s="3" t="str">
        <f t="shared" si="142"/>
        <v>수</v>
      </c>
      <c r="H716" s="3">
        <f t="shared" si="143"/>
        <v>0</v>
      </c>
      <c r="I716" s="3"/>
      <c r="J716" s="3"/>
      <c r="K716" s="3"/>
      <c r="L716" s="12" t="str">
        <f t="shared" si="144"/>
        <v/>
      </c>
      <c r="M716" s="12" t="str">
        <f t="shared" si="145"/>
        <v/>
      </c>
      <c r="N716" s="11" t="str">
        <f t="shared" si="147"/>
        <v/>
      </c>
      <c r="O716" s="11" t="str">
        <f t="shared" si="133"/>
        <v/>
      </c>
      <c r="P716" s="11" t="str">
        <f t="shared" si="134"/>
        <v/>
      </c>
      <c r="Q716" s="7"/>
      <c r="R716" s="7"/>
      <c r="S716" s="7"/>
      <c r="T716" s="7"/>
      <c r="U716" s="7"/>
      <c r="V716" s="7"/>
      <c r="W716" s="7"/>
      <c r="X716" s="3"/>
      <c r="Y716" s="3"/>
      <c r="Z716" s="9">
        <v>0.98936999999999997</v>
      </c>
      <c r="AA716" s="12">
        <f t="shared" si="146"/>
        <v>-0.22335348143496359</v>
      </c>
      <c r="AB716" s="9">
        <f t="shared" si="148"/>
        <v>0.9084685714285714</v>
      </c>
      <c r="AC716" s="9">
        <f t="shared" si="135"/>
        <v>1.0884339285714286</v>
      </c>
      <c r="AD716" s="9">
        <f t="shared" si="136"/>
        <v>0.83465660852830814</v>
      </c>
      <c r="AE716" s="3" t="s">
        <v>80</v>
      </c>
      <c r="AF716" s="11" t="str">
        <f t="shared" si="137"/>
        <v/>
      </c>
      <c r="AG716" s="11" t="str">
        <f t="shared" si="138"/>
        <v/>
      </c>
      <c r="AH716" s="11">
        <f t="shared" si="139"/>
        <v>0.90898489474556332</v>
      </c>
      <c r="AI716" s="3" t="s">
        <v>45</v>
      </c>
      <c r="AJ716" s="3" t="s">
        <v>79</v>
      </c>
      <c r="AK716" s="3" t="s">
        <v>46</v>
      </c>
      <c r="AL716" s="3" t="s">
        <v>81</v>
      </c>
      <c r="AM716" s="3" t="s">
        <v>82</v>
      </c>
    </row>
    <row r="717" spans="1:39" ht="21" customHeight="1">
      <c r="A717" s="4">
        <v>43125</v>
      </c>
      <c r="B717" s="3" t="s">
        <v>78</v>
      </c>
      <c r="C717" s="3" t="s">
        <v>79</v>
      </c>
      <c r="D717" s="4">
        <v>43159</v>
      </c>
      <c r="E717" s="3">
        <f t="shared" si="140"/>
        <v>-34</v>
      </c>
      <c r="F717" s="3" t="str">
        <f t="shared" si="141"/>
        <v>개봉전</v>
      </c>
      <c r="G717" s="3" t="str">
        <f t="shared" si="142"/>
        <v>목</v>
      </c>
      <c r="H717" s="3">
        <f t="shared" si="143"/>
        <v>0</v>
      </c>
      <c r="I717" s="3"/>
      <c r="J717" s="3"/>
      <c r="K717" s="3"/>
      <c r="L717" s="12" t="str">
        <f t="shared" si="144"/>
        <v/>
      </c>
      <c r="M717" s="12" t="str">
        <f t="shared" si="145"/>
        <v/>
      </c>
      <c r="N717" s="11" t="str">
        <f t="shared" si="147"/>
        <v/>
      </c>
      <c r="O717" s="11" t="str">
        <f t="shared" si="133"/>
        <v/>
      </c>
      <c r="P717" s="11" t="str">
        <f t="shared" si="134"/>
        <v/>
      </c>
      <c r="Q717" s="7"/>
      <c r="R717" s="7"/>
      <c r="S717" s="7"/>
      <c r="T717" s="7"/>
      <c r="U717" s="7"/>
      <c r="V717" s="7"/>
      <c r="W717" s="7"/>
      <c r="X717" s="3"/>
      <c r="Y717" s="3"/>
      <c r="Z717" s="9">
        <v>0.9889</v>
      </c>
      <c r="AA717" s="12">
        <f t="shared" si="146"/>
        <v>-4.7504977915235891E-4</v>
      </c>
      <c r="AB717" s="9">
        <f t="shared" si="148"/>
        <v>0.93648428571428577</v>
      </c>
      <c r="AC717" s="9">
        <f t="shared" si="135"/>
        <v>1.0920728571428573</v>
      </c>
      <c r="AD717" s="9">
        <f t="shared" si="136"/>
        <v>0.85752912874729703</v>
      </c>
      <c r="AE717" s="3" t="s">
        <v>80</v>
      </c>
      <c r="AF717" s="11" t="str">
        <f t="shared" si="137"/>
        <v/>
      </c>
      <c r="AG717" s="11" t="str">
        <f t="shared" si="138"/>
        <v/>
      </c>
      <c r="AH717" s="11">
        <f t="shared" si="139"/>
        <v>0.90552566482351371</v>
      </c>
      <c r="AI717" s="3" t="s">
        <v>45</v>
      </c>
      <c r="AJ717" s="3" t="s">
        <v>79</v>
      </c>
      <c r="AK717" s="3" t="s">
        <v>46</v>
      </c>
      <c r="AL717" s="3" t="s">
        <v>81</v>
      </c>
      <c r="AM717" s="3" t="s">
        <v>82</v>
      </c>
    </row>
    <row r="718" spans="1:39" ht="21" customHeight="1">
      <c r="A718" s="4">
        <v>43126</v>
      </c>
      <c r="B718" s="3" t="s">
        <v>78</v>
      </c>
      <c r="C718" s="3" t="s">
        <v>79</v>
      </c>
      <c r="D718" s="4">
        <v>43159</v>
      </c>
      <c r="E718" s="3">
        <f t="shared" si="140"/>
        <v>-33</v>
      </c>
      <c r="F718" s="3" t="str">
        <f t="shared" si="141"/>
        <v>개봉전</v>
      </c>
      <c r="G718" s="3" t="str">
        <f t="shared" si="142"/>
        <v>금</v>
      </c>
      <c r="H718" s="3">
        <f t="shared" si="143"/>
        <v>0</v>
      </c>
      <c r="I718" s="3"/>
      <c r="J718" s="3"/>
      <c r="K718" s="3"/>
      <c r="L718" s="12" t="str">
        <f t="shared" si="144"/>
        <v/>
      </c>
      <c r="M718" s="12" t="str">
        <f t="shared" si="145"/>
        <v/>
      </c>
      <c r="N718" s="11" t="str">
        <f t="shared" si="147"/>
        <v/>
      </c>
      <c r="O718" s="11" t="str">
        <f t="shared" si="133"/>
        <v/>
      </c>
      <c r="P718" s="11" t="str">
        <f t="shared" si="134"/>
        <v/>
      </c>
      <c r="Q718" s="7"/>
      <c r="R718" s="7"/>
      <c r="S718" s="7"/>
      <c r="T718" s="7"/>
      <c r="U718" s="7"/>
      <c r="V718" s="7"/>
      <c r="W718" s="7"/>
      <c r="X718" s="3"/>
      <c r="Y718" s="3"/>
      <c r="Z718" s="9">
        <v>0.98519000000000001</v>
      </c>
      <c r="AA718" s="12">
        <f t="shared" si="146"/>
        <v>-3.7516432399635757E-3</v>
      </c>
      <c r="AB718" s="9">
        <f t="shared" si="148"/>
        <v>0.96904285714285721</v>
      </c>
      <c r="AC718" s="9">
        <f t="shared" si="135"/>
        <v>1.0892464285714287</v>
      </c>
      <c r="AD718" s="9">
        <f t="shared" si="136"/>
        <v>0.88964520031869998</v>
      </c>
      <c r="AE718" s="3" t="s">
        <v>80</v>
      </c>
      <c r="AF718" s="11" t="str">
        <f t="shared" si="137"/>
        <v/>
      </c>
      <c r="AG718" s="11" t="str">
        <f t="shared" si="138"/>
        <v/>
      </c>
      <c r="AH718" s="11">
        <f t="shared" si="139"/>
        <v>0.9044693415172349</v>
      </c>
      <c r="AI718" s="3" t="s">
        <v>45</v>
      </c>
      <c r="AJ718" s="3" t="s">
        <v>79</v>
      </c>
      <c r="AK718" s="3" t="s">
        <v>46</v>
      </c>
      <c r="AL718" s="3" t="s">
        <v>81</v>
      </c>
      <c r="AM718" s="3" t="s">
        <v>82</v>
      </c>
    </row>
    <row r="719" spans="1:39" ht="21" customHeight="1">
      <c r="A719" s="4">
        <v>43127</v>
      </c>
      <c r="B719" s="3" t="s">
        <v>78</v>
      </c>
      <c r="C719" s="3" t="s">
        <v>79</v>
      </c>
      <c r="D719" s="4">
        <v>43159</v>
      </c>
      <c r="E719" s="3">
        <f t="shared" si="140"/>
        <v>-32</v>
      </c>
      <c r="F719" s="3" t="str">
        <f t="shared" si="141"/>
        <v>개봉전</v>
      </c>
      <c r="G719" s="3" t="str">
        <f t="shared" si="142"/>
        <v>토</v>
      </c>
      <c r="H719" s="3">
        <f t="shared" si="143"/>
        <v>1</v>
      </c>
      <c r="I719" s="3"/>
      <c r="J719" s="3"/>
      <c r="K719" s="3"/>
      <c r="L719" s="12" t="str">
        <f t="shared" si="144"/>
        <v/>
      </c>
      <c r="M719" s="12" t="str">
        <f t="shared" si="145"/>
        <v/>
      </c>
      <c r="N719" s="11" t="str">
        <f t="shared" si="147"/>
        <v/>
      </c>
      <c r="O719" s="11" t="str">
        <f t="shared" si="133"/>
        <v/>
      </c>
      <c r="P719" s="11" t="str">
        <f t="shared" si="134"/>
        <v/>
      </c>
      <c r="Q719" s="7"/>
      <c r="R719" s="7"/>
      <c r="S719" s="7"/>
      <c r="T719" s="7"/>
      <c r="U719" s="7"/>
      <c r="V719" s="7"/>
      <c r="W719" s="7"/>
      <c r="X719" s="3"/>
      <c r="Y719" s="3"/>
      <c r="Z719" s="9">
        <v>0.84548000000000001</v>
      </c>
      <c r="AA719" s="12">
        <f t="shared" si="146"/>
        <v>-0.14181020919822573</v>
      </c>
      <c r="AB719" s="9">
        <f t="shared" si="148"/>
        <v>0.96960714285714289</v>
      </c>
      <c r="AC719" s="9">
        <f t="shared" si="135"/>
        <v>1.1078296428571428</v>
      </c>
      <c r="AD719" s="9">
        <f t="shared" si="136"/>
        <v>0.87523126782966576</v>
      </c>
      <c r="AE719" s="3" t="s">
        <v>80</v>
      </c>
      <c r="AF719" s="11" t="str">
        <f t="shared" si="137"/>
        <v/>
      </c>
      <c r="AG719" s="11" t="str">
        <f t="shared" si="138"/>
        <v/>
      </c>
      <c r="AH719" s="11">
        <f t="shared" si="139"/>
        <v>0.76318593337100893</v>
      </c>
      <c r="AI719" s="3" t="s">
        <v>45</v>
      </c>
      <c r="AJ719" s="3" t="s">
        <v>79</v>
      </c>
      <c r="AK719" s="3" t="s">
        <v>46</v>
      </c>
      <c r="AL719" s="3" t="s">
        <v>81</v>
      </c>
      <c r="AM719" s="3" t="s">
        <v>82</v>
      </c>
    </row>
    <row r="720" spans="1:39" ht="21" customHeight="1">
      <c r="A720" s="4">
        <v>43128</v>
      </c>
      <c r="B720" s="3" t="s">
        <v>78</v>
      </c>
      <c r="C720" s="3" t="s">
        <v>79</v>
      </c>
      <c r="D720" s="4">
        <v>43159</v>
      </c>
      <c r="E720" s="3">
        <f t="shared" si="140"/>
        <v>-31</v>
      </c>
      <c r="F720" s="3" t="str">
        <f t="shared" si="141"/>
        <v>개봉전</v>
      </c>
      <c r="G720" s="3" t="str">
        <f t="shared" si="142"/>
        <v>일</v>
      </c>
      <c r="H720" s="3">
        <f t="shared" si="143"/>
        <v>1</v>
      </c>
      <c r="I720" s="3"/>
      <c r="J720" s="3"/>
      <c r="K720" s="3"/>
      <c r="L720" s="12" t="str">
        <f t="shared" si="144"/>
        <v/>
      </c>
      <c r="M720" s="12" t="str">
        <f t="shared" si="145"/>
        <v/>
      </c>
      <c r="N720" s="11" t="str">
        <f t="shared" si="147"/>
        <v/>
      </c>
      <c r="O720" s="11" t="str">
        <f t="shared" si="133"/>
        <v/>
      </c>
      <c r="P720" s="11" t="str">
        <f t="shared" si="134"/>
        <v/>
      </c>
      <c r="Q720" s="7"/>
      <c r="R720" s="7"/>
      <c r="S720" s="7"/>
      <c r="T720" s="7"/>
      <c r="U720" s="7"/>
      <c r="V720" s="7"/>
      <c r="W720" s="7"/>
      <c r="X720" s="3"/>
      <c r="Y720" s="3"/>
      <c r="Z720" s="9">
        <v>0.93203999999999998</v>
      </c>
      <c r="AA720" s="12">
        <f t="shared" si="146"/>
        <v>0.10237971329895434</v>
      </c>
      <c r="AB720" s="9">
        <f t="shared" si="148"/>
        <v>0.99543428571428572</v>
      </c>
      <c r="AC720" s="9">
        <f t="shared" si="135"/>
        <v>1.1175357142857141</v>
      </c>
      <c r="AD720" s="9">
        <f t="shared" si="136"/>
        <v>0.89074046850532118</v>
      </c>
      <c r="AE720" s="3" t="s">
        <v>80</v>
      </c>
      <c r="AF720" s="11" t="str">
        <f t="shared" si="137"/>
        <v/>
      </c>
      <c r="AG720" s="11" t="str">
        <f t="shared" si="138"/>
        <v/>
      </c>
      <c r="AH720" s="11">
        <f t="shared" si="139"/>
        <v>0.8340136141382507</v>
      </c>
      <c r="AI720" s="3" t="s">
        <v>45</v>
      </c>
      <c r="AJ720" s="3" t="s">
        <v>79</v>
      </c>
      <c r="AK720" s="3" t="s">
        <v>46</v>
      </c>
      <c r="AL720" s="3" t="s">
        <v>81</v>
      </c>
      <c r="AM720" s="3" t="s">
        <v>82</v>
      </c>
    </row>
    <row r="721" spans="1:39" ht="21" customHeight="1">
      <c r="A721" s="4">
        <v>43129</v>
      </c>
      <c r="B721" s="3" t="s">
        <v>78</v>
      </c>
      <c r="C721" s="3" t="s">
        <v>79</v>
      </c>
      <c r="D721" s="4">
        <v>43159</v>
      </c>
      <c r="E721" s="3">
        <f t="shared" si="140"/>
        <v>-30</v>
      </c>
      <c r="F721" s="3" t="str">
        <f t="shared" si="141"/>
        <v>개봉전</v>
      </c>
      <c r="G721" s="3" t="str">
        <f t="shared" si="142"/>
        <v>월</v>
      </c>
      <c r="H721" s="3">
        <f t="shared" si="143"/>
        <v>0</v>
      </c>
      <c r="I721" s="3"/>
      <c r="J721" s="3"/>
      <c r="K721" s="3"/>
      <c r="L721" s="12" t="str">
        <f t="shared" si="144"/>
        <v/>
      </c>
      <c r="M721" s="12" t="str">
        <f t="shared" si="145"/>
        <v/>
      </c>
      <c r="N721" s="11" t="str">
        <f t="shared" si="147"/>
        <v/>
      </c>
      <c r="O721" s="11" t="str">
        <f t="shared" si="133"/>
        <v/>
      </c>
      <c r="P721" s="11" t="str">
        <f t="shared" si="134"/>
        <v/>
      </c>
      <c r="Q721" s="7"/>
      <c r="R721" s="7"/>
      <c r="S721" s="7"/>
      <c r="T721" s="7"/>
      <c r="U721" s="7"/>
      <c r="V721" s="7"/>
      <c r="W721" s="7"/>
      <c r="X721" s="3"/>
      <c r="Y721" s="3"/>
      <c r="Z721" s="9">
        <v>1.0606199999999999</v>
      </c>
      <c r="AA721" s="12">
        <f t="shared" si="146"/>
        <v>0.13795545255568431</v>
      </c>
      <c r="AB721" s="9">
        <f t="shared" si="148"/>
        <v>1.0107857142857142</v>
      </c>
      <c r="AC721" s="9">
        <f t="shared" si="135"/>
        <v>1.1280621428571429</v>
      </c>
      <c r="AD721" s="9">
        <f t="shared" si="136"/>
        <v>0.89603726238486092</v>
      </c>
      <c r="AE721" s="3" t="s">
        <v>80</v>
      </c>
      <c r="AF721" s="11" t="str">
        <f t="shared" si="137"/>
        <v/>
      </c>
      <c r="AG721" s="11" t="str">
        <f t="shared" si="138"/>
        <v/>
      </c>
      <c r="AH721" s="11">
        <f t="shared" si="139"/>
        <v>0.94021415993419799</v>
      </c>
      <c r="AI721" s="3" t="s">
        <v>45</v>
      </c>
      <c r="AJ721" s="3" t="s">
        <v>79</v>
      </c>
      <c r="AK721" s="3" t="s">
        <v>46</v>
      </c>
      <c r="AL721" s="3" t="s">
        <v>81</v>
      </c>
      <c r="AM721" s="3" t="s">
        <v>82</v>
      </c>
    </row>
    <row r="722" spans="1:39" ht="21" customHeight="1">
      <c r="A722" s="4">
        <v>43130</v>
      </c>
      <c r="B722" s="3" t="s">
        <v>78</v>
      </c>
      <c r="C722" s="3" t="s">
        <v>79</v>
      </c>
      <c r="D722" s="4">
        <v>43159</v>
      </c>
      <c r="E722" s="3">
        <f t="shared" si="140"/>
        <v>-29</v>
      </c>
      <c r="F722" s="3" t="str">
        <f t="shared" si="141"/>
        <v>개봉전</v>
      </c>
      <c r="G722" s="3" t="str">
        <f t="shared" si="142"/>
        <v>화</v>
      </c>
      <c r="H722" s="3">
        <f t="shared" si="143"/>
        <v>0</v>
      </c>
      <c r="I722" s="3"/>
      <c r="J722" s="3"/>
      <c r="K722" s="3"/>
      <c r="L722" s="12" t="str">
        <f t="shared" si="144"/>
        <v/>
      </c>
      <c r="M722" s="12" t="str">
        <f t="shared" si="145"/>
        <v/>
      </c>
      <c r="N722" s="11" t="str">
        <f t="shared" si="147"/>
        <v/>
      </c>
      <c r="O722" s="11" t="str">
        <f t="shared" si="133"/>
        <v/>
      </c>
      <c r="P722" s="11" t="str">
        <f t="shared" si="134"/>
        <v/>
      </c>
      <c r="Q722" s="7"/>
      <c r="R722" s="7"/>
      <c r="S722" s="7"/>
      <c r="T722" s="7"/>
      <c r="U722" s="7"/>
      <c r="V722" s="7"/>
      <c r="W722" s="7"/>
      <c r="X722" s="3"/>
      <c r="Y722" s="3"/>
      <c r="Z722" s="9">
        <v>3.1103800000000001</v>
      </c>
      <c r="AA722" s="12">
        <f t="shared" si="146"/>
        <v>1.9326054571854203</v>
      </c>
      <c r="AB722" s="9">
        <f t="shared" si="148"/>
        <v>1.2731399999999999</v>
      </c>
      <c r="AC722" s="9">
        <f t="shared" si="135"/>
        <v>1.1406610714285714</v>
      </c>
      <c r="AD722" s="9">
        <f t="shared" si="136"/>
        <v>1.1161422370674148</v>
      </c>
      <c r="AE722" s="3" t="s">
        <v>80</v>
      </c>
      <c r="AF722" s="11" t="str">
        <f t="shared" si="137"/>
        <v/>
      </c>
      <c r="AG722" s="11" t="str">
        <f t="shared" si="138"/>
        <v/>
      </c>
      <c r="AH722" s="11">
        <f t="shared" si="139"/>
        <v>2.7268222593978244</v>
      </c>
      <c r="AI722" s="3" t="s">
        <v>45</v>
      </c>
      <c r="AJ722" s="3" t="s">
        <v>79</v>
      </c>
      <c r="AK722" s="3" t="s">
        <v>46</v>
      </c>
      <c r="AL722" s="3" t="s">
        <v>81</v>
      </c>
      <c r="AM722" s="3" t="s">
        <v>82</v>
      </c>
    </row>
    <row r="723" spans="1:39" ht="21" customHeight="1">
      <c r="A723" s="4">
        <v>43131</v>
      </c>
      <c r="B723" s="3" t="s">
        <v>78</v>
      </c>
      <c r="C723" s="3" t="s">
        <v>79</v>
      </c>
      <c r="D723" s="4">
        <v>43159</v>
      </c>
      <c r="E723" s="3">
        <f t="shared" si="140"/>
        <v>-28</v>
      </c>
      <c r="F723" s="3" t="str">
        <f t="shared" si="141"/>
        <v>개봉전</v>
      </c>
      <c r="G723" s="3" t="str">
        <f t="shared" si="142"/>
        <v>수</v>
      </c>
      <c r="H723" s="3">
        <f t="shared" si="143"/>
        <v>0</v>
      </c>
      <c r="I723" s="3"/>
      <c r="J723" s="3"/>
      <c r="K723" s="3"/>
      <c r="L723" s="12" t="str">
        <f t="shared" si="144"/>
        <v/>
      </c>
      <c r="M723" s="12" t="str">
        <f t="shared" si="145"/>
        <v/>
      </c>
      <c r="N723" s="11" t="str">
        <f t="shared" si="147"/>
        <v/>
      </c>
      <c r="O723" s="11" t="str">
        <f t="shared" si="133"/>
        <v/>
      </c>
      <c r="P723" s="11" t="str">
        <f t="shared" si="134"/>
        <v/>
      </c>
      <c r="Q723" s="7"/>
      <c r="R723" s="7"/>
      <c r="S723" s="7"/>
      <c r="T723" s="7"/>
      <c r="U723" s="7"/>
      <c r="V723" s="7"/>
      <c r="W723" s="7"/>
      <c r="X723" s="3"/>
      <c r="Y723" s="3"/>
      <c r="Z723" s="9">
        <v>1.89171</v>
      </c>
      <c r="AA723" s="12">
        <f t="shared" si="146"/>
        <v>-0.39180743188935119</v>
      </c>
      <c r="AB723" s="9">
        <f t="shared" si="148"/>
        <v>1.4020457142857143</v>
      </c>
      <c r="AC723" s="9">
        <f t="shared" si="135"/>
        <v>1.2241364285714287</v>
      </c>
      <c r="AD723" s="9">
        <f t="shared" si="136"/>
        <v>1.145334524454849</v>
      </c>
      <c r="AE723" s="3" t="s">
        <v>80</v>
      </c>
      <c r="AF723" s="11" t="str">
        <f t="shared" si="137"/>
        <v/>
      </c>
      <c r="AG723" s="11" t="str">
        <f t="shared" si="138"/>
        <v/>
      </c>
      <c r="AH723" s="11">
        <f t="shared" si="139"/>
        <v>1.5453424600782708</v>
      </c>
      <c r="AI723" s="3" t="s">
        <v>45</v>
      </c>
      <c r="AJ723" s="3" t="s">
        <v>79</v>
      </c>
      <c r="AK723" s="3" t="s">
        <v>46</v>
      </c>
      <c r="AL723" s="3" t="s">
        <v>81</v>
      </c>
      <c r="AM723" s="3" t="s">
        <v>82</v>
      </c>
    </row>
    <row r="724" spans="1:39" ht="21" customHeight="1">
      <c r="A724" s="4">
        <v>43132</v>
      </c>
      <c r="B724" s="3" t="s">
        <v>78</v>
      </c>
      <c r="C724" s="3" t="s">
        <v>79</v>
      </c>
      <c r="D724" s="4">
        <v>43159</v>
      </c>
      <c r="E724" s="3">
        <f t="shared" si="140"/>
        <v>-27</v>
      </c>
      <c r="F724" s="3" t="str">
        <f t="shared" si="141"/>
        <v>개봉전</v>
      </c>
      <c r="G724" s="3" t="str">
        <f t="shared" si="142"/>
        <v>목</v>
      </c>
      <c r="H724" s="3">
        <f t="shared" si="143"/>
        <v>0</v>
      </c>
      <c r="I724" s="3"/>
      <c r="J724" s="3"/>
      <c r="K724" s="3"/>
      <c r="L724" s="12" t="str">
        <f t="shared" si="144"/>
        <v/>
      </c>
      <c r="M724" s="12" t="str">
        <f t="shared" si="145"/>
        <v/>
      </c>
      <c r="N724" s="11" t="str">
        <f t="shared" si="147"/>
        <v/>
      </c>
      <c r="O724" s="11" t="str">
        <f t="shared" si="133"/>
        <v/>
      </c>
      <c r="P724" s="11" t="str">
        <f t="shared" si="134"/>
        <v/>
      </c>
      <c r="Q724" s="7"/>
      <c r="R724" s="7"/>
      <c r="S724" s="7"/>
      <c r="T724" s="7"/>
      <c r="U724" s="7"/>
      <c r="V724" s="7"/>
      <c r="W724" s="7"/>
      <c r="X724" s="3"/>
      <c r="Y724" s="3"/>
      <c r="Z724" s="9">
        <v>7.2115299999999998</v>
      </c>
      <c r="AA724" s="12">
        <f t="shared" si="146"/>
        <v>2.8121752277040351</v>
      </c>
      <c r="AB724" s="9">
        <f t="shared" si="148"/>
        <v>2.2909928571428573</v>
      </c>
      <c r="AC724" s="9">
        <f t="shared" si="135"/>
        <v>1.2623142857142859</v>
      </c>
      <c r="AD724" s="9">
        <f t="shared" si="136"/>
        <v>1.8149147823725129</v>
      </c>
      <c r="AE724" s="3" t="s">
        <v>80</v>
      </c>
      <c r="AF724" s="11" t="str">
        <f t="shared" si="137"/>
        <v/>
      </c>
      <c r="AG724" s="11" t="str">
        <f t="shared" si="138"/>
        <v/>
      </c>
      <c r="AH724" s="11">
        <f t="shared" si="139"/>
        <v>5.7129433466874886</v>
      </c>
      <c r="AI724" s="3" t="s">
        <v>45</v>
      </c>
      <c r="AJ724" s="3" t="s">
        <v>79</v>
      </c>
      <c r="AK724" s="3" t="s">
        <v>46</v>
      </c>
      <c r="AL724" s="3" t="s">
        <v>81</v>
      </c>
      <c r="AM724" s="3" t="s">
        <v>82</v>
      </c>
    </row>
    <row r="725" spans="1:39" ht="21" customHeight="1">
      <c r="A725" s="4">
        <v>43133</v>
      </c>
      <c r="B725" s="3" t="s">
        <v>78</v>
      </c>
      <c r="C725" s="3" t="s">
        <v>79</v>
      </c>
      <c r="D725" s="4">
        <v>43159</v>
      </c>
      <c r="E725" s="3">
        <f t="shared" si="140"/>
        <v>-26</v>
      </c>
      <c r="F725" s="3" t="str">
        <f t="shared" si="141"/>
        <v>개봉전</v>
      </c>
      <c r="G725" s="3" t="str">
        <f t="shared" si="142"/>
        <v>금</v>
      </c>
      <c r="H725" s="3">
        <f t="shared" si="143"/>
        <v>0</v>
      </c>
      <c r="I725" s="3"/>
      <c r="J725" s="3"/>
      <c r="K725" s="3"/>
      <c r="L725" s="12" t="str">
        <f t="shared" si="144"/>
        <v/>
      </c>
      <c r="M725" s="12" t="str">
        <f t="shared" si="145"/>
        <v/>
      </c>
      <c r="N725" s="11" t="str">
        <f t="shared" si="147"/>
        <v/>
      </c>
      <c r="O725" s="11" t="str">
        <f t="shared" si="133"/>
        <v/>
      </c>
      <c r="P725" s="11" t="str">
        <f t="shared" si="134"/>
        <v/>
      </c>
      <c r="Q725" s="7"/>
      <c r="R725" s="7"/>
      <c r="S725" s="7"/>
      <c r="T725" s="7"/>
      <c r="U725" s="7"/>
      <c r="V725" s="7"/>
      <c r="W725" s="7"/>
      <c r="X725" s="3"/>
      <c r="Y725" s="3"/>
      <c r="Z725" s="9">
        <v>2.2751100000000002</v>
      </c>
      <c r="AA725" s="12">
        <f t="shared" si="146"/>
        <v>-0.68451770983411286</v>
      </c>
      <c r="AB725" s="9">
        <f t="shared" si="148"/>
        <v>2.4752671428571427</v>
      </c>
      <c r="AC725" s="9">
        <f t="shared" si="135"/>
        <v>1.4983432142857147</v>
      </c>
      <c r="AD725" s="9">
        <f t="shared" si="136"/>
        <v>1.6520027716327623</v>
      </c>
      <c r="AE725" s="3" t="s">
        <v>80</v>
      </c>
      <c r="AF725" s="11" t="str">
        <f t="shared" si="137"/>
        <v/>
      </c>
      <c r="AG725" s="11" t="str">
        <f t="shared" si="138"/>
        <v/>
      </c>
      <c r="AH725" s="11">
        <f t="shared" si="139"/>
        <v>1.5184171278705214</v>
      </c>
      <c r="AI725" s="3" t="s">
        <v>45</v>
      </c>
      <c r="AJ725" s="3" t="s">
        <v>79</v>
      </c>
      <c r="AK725" s="3" t="s">
        <v>46</v>
      </c>
      <c r="AL725" s="3" t="s">
        <v>81</v>
      </c>
      <c r="AM725" s="3" t="s">
        <v>82</v>
      </c>
    </row>
    <row r="726" spans="1:39" ht="21" customHeight="1">
      <c r="A726" s="4">
        <v>43134</v>
      </c>
      <c r="B726" s="3" t="s">
        <v>78</v>
      </c>
      <c r="C726" s="3" t="s">
        <v>79</v>
      </c>
      <c r="D726" s="4">
        <v>43159</v>
      </c>
      <c r="E726" s="3">
        <f t="shared" si="140"/>
        <v>-25</v>
      </c>
      <c r="F726" s="3" t="str">
        <f t="shared" si="141"/>
        <v>개봉전</v>
      </c>
      <c r="G726" s="3" t="str">
        <f t="shared" si="142"/>
        <v>토</v>
      </c>
      <c r="H726" s="3">
        <f t="shared" si="143"/>
        <v>1</v>
      </c>
      <c r="I726" s="3"/>
      <c r="J726" s="3"/>
      <c r="K726" s="3"/>
      <c r="L726" s="12" t="str">
        <f t="shared" si="144"/>
        <v/>
      </c>
      <c r="M726" s="12" t="str">
        <f t="shared" si="145"/>
        <v/>
      </c>
      <c r="N726" s="11" t="str">
        <f t="shared" si="147"/>
        <v/>
      </c>
      <c r="O726" s="11" t="str">
        <f t="shared" si="133"/>
        <v/>
      </c>
      <c r="P726" s="11" t="str">
        <f t="shared" si="134"/>
        <v/>
      </c>
      <c r="Q726" s="7"/>
      <c r="R726" s="7"/>
      <c r="S726" s="7"/>
      <c r="T726" s="7"/>
      <c r="U726" s="7"/>
      <c r="V726" s="7"/>
      <c r="W726" s="7"/>
      <c r="X726" s="3"/>
      <c r="Y726" s="3"/>
      <c r="Z726" s="9">
        <v>2.0270100000000002</v>
      </c>
      <c r="AA726" s="12">
        <f t="shared" si="146"/>
        <v>-0.10904967232353602</v>
      </c>
      <c r="AB726" s="9">
        <f t="shared" si="148"/>
        <v>2.6440571428571431</v>
      </c>
      <c r="AC726" s="9">
        <f t="shared" si="135"/>
        <v>1.5650425000000001</v>
      </c>
      <c r="AD726" s="9">
        <f t="shared" si="136"/>
        <v>1.6894475024525806</v>
      </c>
      <c r="AE726" s="3" t="s">
        <v>80</v>
      </c>
      <c r="AF726" s="11" t="str">
        <f t="shared" si="137"/>
        <v/>
      </c>
      <c r="AG726" s="11" t="str">
        <f t="shared" si="138"/>
        <v/>
      </c>
      <c r="AH726" s="11">
        <f t="shared" si="139"/>
        <v>1.2951788849184607</v>
      </c>
      <c r="AI726" s="3" t="s">
        <v>45</v>
      </c>
      <c r="AJ726" s="3" t="s">
        <v>79</v>
      </c>
      <c r="AK726" s="3" t="s">
        <v>46</v>
      </c>
      <c r="AL726" s="3" t="s">
        <v>81</v>
      </c>
      <c r="AM726" s="3" t="s">
        <v>82</v>
      </c>
    </row>
    <row r="727" spans="1:39" ht="21" customHeight="1">
      <c r="A727" s="4">
        <v>43135</v>
      </c>
      <c r="B727" s="3" t="s">
        <v>78</v>
      </c>
      <c r="C727" s="3" t="s">
        <v>79</v>
      </c>
      <c r="D727" s="4">
        <v>43159</v>
      </c>
      <c r="E727" s="3">
        <f t="shared" si="140"/>
        <v>-24</v>
      </c>
      <c r="F727" s="3" t="str">
        <f t="shared" si="141"/>
        <v>개봉전</v>
      </c>
      <c r="G727" s="3" t="str">
        <f t="shared" si="142"/>
        <v>일</v>
      </c>
      <c r="H727" s="3">
        <f t="shared" si="143"/>
        <v>1</v>
      </c>
      <c r="I727" s="3"/>
      <c r="J727" s="3"/>
      <c r="K727" s="3"/>
      <c r="L727" s="12" t="str">
        <f t="shared" si="144"/>
        <v/>
      </c>
      <c r="M727" s="12" t="str">
        <f t="shared" si="145"/>
        <v/>
      </c>
      <c r="N727" s="11" t="str">
        <f t="shared" si="147"/>
        <v/>
      </c>
      <c r="O727" s="11" t="str">
        <f t="shared" ref="O727:O790" si="149">IF(COUNT(I699:I726)=28,AVERAGE(I699:I726),"")</f>
        <v/>
      </c>
      <c r="P727" s="11" t="str">
        <f t="shared" ref="P727:P790" si="150">IF(COUNT(I727,O727)=2,IFERROR(I727/O727,""),"")</f>
        <v/>
      </c>
      <c r="Q727" s="7"/>
      <c r="R727" s="7"/>
      <c r="S727" s="7"/>
      <c r="T727" s="7"/>
      <c r="U727" s="7"/>
      <c r="V727" s="7"/>
      <c r="W727" s="7"/>
      <c r="X727" s="3"/>
      <c r="Y727" s="3"/>
      <c r="Z727" s="9">
        <v>1.9107400000000001</v>
      </c>
      <c r="AA727" s="12">
        <f t="shared" si="146"/>
        <v>-5.736034849359406E-2</v>
      </c>
      <c r="AB727" s="9">
        <f t="shared" si="148"/>
        <v>2.7838714285714281</v>
      </c>
      <c r="AC727" s="9">
        <f t="shared" ref="AC727:AC790" si="151">IF(COUNT(Z699:Z726)=28,AVERAGE(Z699:Z726),"")</f>
        <v>1.6216128571428572</v>
      </c>
      <c r="AD727" s="9">
        <f t="shared" ref="AD727:AD790" si="152">IF(COUNT(AB727:AC727)=2,IFERROR(AB727/AC727,""),"")</f>
        <v>1.7167299928025799</v>
      </c>
      <c r="AE727" s="3" t="s">
        <v>80</v>
      </c>
      <c r="AF727" s="11" t="str">
        <f t="shared" ref="AF727:AF790" si="153">IF(COUNT(J720,J713,J706,J699)=4,AVERAGE(J720,J713,J706,J699),"")</f>
        <v/>
      </c>
      <c r="AG727" s="11" t="str">
        <f t="shared" ref="AG727:AG790" si="154">IF(COUNT(J727,AF727)=2,IFERROR(J727/AF727,""),"")</f>
        <v/>
      </c>
      <c r="AH727" s="11">
        <f t="shared" ref="AH727:AH790" si="155">IF(COUNT(Z727,AC727)=2,IFERROR(Z727/AC727,""),"")</f>
        <v>1.1782960350761895</v>
      </c>
      <c r="AI727" s="3" t="s">
        <v>45</v>
      </c>
      <c r="AJ727" s="3" t="s">
        <v>79</v>
      </c>
      <c r="AK727" s="3" t="s">
        <v>46</v>
      </c>
      <c r="AL727" s="3" t="s">
        <v>81</v>
      </c>
      <c r="AM727" s="3" t="s">
        <v>82</v>
      </c>
    </row>
    <row r="728" spans="1:39" ht="21" customHeight="1">
      <c r="A728" s="4">
        <v>43136</v>
      </c>
      <c r="B728" s="3" t="s">
        <v>78</v>
      </c>
      <c r="C728" s="3" t="s">
        <v>79</v>
      </c>
      <c r="D728" s="4">
        <v>43159</v>
      </c>
      <c r="E728" s="3">
        <f t="shared" si="140"/>
        <v>-23</v>
      </c>
      <c r="F728" s="3" t="str">
        <f t="shared" si="141"/>
        <v>개봉전</v>
      </c>
      <c r="G728" s="3" t="str">
        <f t="shared" si="142"/>
        <v>월</v>
      </c>
      <c r="H728" s="3">
        <f t="shared" si="143"/>
        <v>0</v>
      </c>
      <c r="I728" s="3"/>
      <c r="J728" s="3"/>
      <c r="K728" s="3"/>
      <c r="L728" s="12" t="str">
        <f t="shared" si="144"/>
        <v/>
      </c>
      <c r="M728" s="12" t="str">
        <f t="shared" si="145"/>
        <v/>
      </c>
      <c r="N728" s="11" t="str">
        <f t="shared" si="147"/>
        <v/>
      </c>
      <c r="O728" s="11" t="str">
        <f t="shared" si="149"/>
        <v/>
      </c>
      <c r="P728" s="11" t="str">
        <f t="shared" si="150"/>
        <v/>
      </c>
      <c r="Q728" s="7"/>
      <c r="R728" s="7"/>
      <c r="S728" s="7"/>
      <c r="T728" s="7"/>
      <c r="U728" s="7"/>
      <c r="V728" s="7"/>
      <c r="W728" s="7"/>
      <c r="X728" s="3"/>
      <c r="Y728" s="3"/>
      <c r="Z728" s="9">
        <v>1.7192700000000001</v>
      </c>
      <c r="AA728" s="12">
        <f t="shared" si="146"/>
        <v>-0.10020724954729587</v>
      </c>
      <c r="AB728" s="9">
        <f t="shared" si="148"/>
        <v>2.8779642857142855</v>
      </c>
      <c r="AC728" s="9">
        <f t="shared" si="151"/>
        <v>1.6704085714285715</v>
      </c>
      <c r="AD728" s="9">
        <f t="shared" si="152"/>
        <v>1.722910391469666</v>
      </c>
      <c r="AE728" s="3" t="s">
        <v>80</v>
      </c>
      <c r="AF728" s="11" t="str">
        <f t="shared" si="153"/>
        <v/>
      </c>
      <c r="AG728" s="11" t="str">
        <f t="shared" si="154"/>
        <v/>
      </c>
      <c r="AH728" s="11">
        <f t="shared" si="155"/>
        <v>1.0292511840559111</v>
      </c>
      <c r="AI728" s="3" t="s">
        <v>45</v>
      </c>
      <c r="AJ728" s="3" t="s">
        <v>79</v>
      </c>
      <c r="AK728" s="3" t="s">
        <v>46</v>
      </c>
      <c r="AL728" s="3" t="s">
        <v>81</v>
      </c>
      <c r="AM728" s="3" t="s">
        <v>82</v>
      </c>
    </row>
    <row r="729" spans="1:39" ht="21" customHeight="1">
      <c r="A729" s="4">
        <v>43137</v>
      </c>
      <c r="B729" s="3" t="s">
        <v>78</v>
      </c>
      <c r="C729" s="3" t="s">
        <v>79</v>
      </c>
      <c r="D729" s="4">
        <v>43159</v>
      </c>
      <c r="E729" s="3">
        <f t="shared" si="140"/>
        <v>-22</v>
      </c>
      <c r="F729" s="3" t="str">
        <f t="shared" si="141"/>
        <v>개봉전</v>
      </c>
      <c r="G729" s="3" t="str">
        <f t="shared" si="142"/>
        <v>화</v>
      </c>
      <c r="H729" s="3">
        <f t="shared" si="143"/>
        <v>0</v>
      </c>
      <c r="I729" s="3"/>
      <c r="J729" s="3"/>
      <c r="K729" s="3"/>
      <c r="L729" s="12" t="str">
        <f t="shared" si="144"/>
        <v/>
      </c>
      <c r="M729" s="12" t="str">
        <f t="shared" si="145"/>
        <v/>
      </c>
      <c r="N729" s="11" t="str">
        <f t="shared" si="147"/>
        <v/>
      </c>
      <c r="O729" s="11" t="str">
        <f t="shared" si="149"/>
        <v/>
      </c>
      <c r="P729" s="11" t="str">
        <f t="shared" si="150"/>
        <v/>
      </c>
      <c r="Q729" s="7"/>
      <c r="R729" s="7"/>
      <c r="S729" s="7"/>
      <c r="T729" s="7"/>
      <c r="U729" s="7"/>
      <c r="V729" s="7"/>
      <c r="W729" s="7"/>
      <c r="X729" s="3"/>
      <c r="Y729" s="3"/>
      <c r="Z729" s="9">
        <v>4.4457899999999997</v>
      </c>
      <c r="AA729" s="12">
        <f t="shared" si="146"/>
        <v>1.5858591146242298</v>
      </c>
      <c r="AB729" s="9">
        <f t="shared" si="148"/>
        <v>3.0687371428571426</v>
      </c>
      <c r="AC729" s="9">
        <f t="shared" si="151"/>
        <v>1.688983571428571</v>
      </c>
      <c r="AD729" s="9">
        <f t="shared" si="152"/>
        <v>1.8169135536715448</v>
      </c>
      <c r="AE729" s="3" t="s">
        <v>80</v>
      </c>
      <c r="AF729" s="11" t="str">
        <f t="shared" si="153"/>
        <v/>
      </c>
      <c r="AG729" s="11" t="str">
        <f t="shared" si="154"/>
        <v/>
      </c>
      <c r="AH729" s="11">
        <f t="shared" si="155"/>
        <v>2.6322280898443995</v>
      </c>
      <c r="AI729" s="3" t="s">
        <v>45</v>
      </c>
      <c r="AJ729" s="3" t="s">
        <v>79</v>
      </c>
      <c r="AK729" s="3" t="s">
        <v>46</v>
      </c>
      <c r="AL729" s="3" t="s">
        <v>81</v>
      </c>
      <c r="AM729" s="3" t="s">
        <v>82</v>
      </c>
    </row>
    <row r="730" spans="1:39" ht="21" customHeight="1">
      <c r="A730" s="4">
        <v>43138</v>
      </c>
      <c r="B730" s="3" t="s">
        <v>78</v>
      </c>
      <c r="C730" s="3" t="s">
        <v>79</v>
      </c>
      <c r="D730" s="4">
        <v>43159</v>
      </c>
      <c r="E730" s="3">
        <f t="shared" si="140"/>
        <v>-21</v>
      </c>
      <c r="F730" s="3" t="str">
        <f t="shared" si="141"/>
        <v>개봉전</v>
      </c>
      <c r="G730" s="3" t="str">
        <f t="shared" si="142"/>
        <v>수</v>
      </c>
      <c r="H730" s="3">
        <f t="shared" si="143"/>
        <v>0</v>
      </c>
      <c r="I730" s="3"/>
      <c r="J730" s="3"/>
      <c r="K730" s="3"/>
      <c r="L730" s="12" t="str">
        <f t="shared" si="144"/>
        <v/>
      </c>
      <c r="M730" s="12" t="str">
        <f t="shared" si="145"/>
        <v/>
      </c>
      <c r="N730" s="11" t="str">
        <f t="shared" si="147"/>
        <v/>
      </c>
      <c r="O730" s="11" t="str">
        <f t="shared" si="149"/>
        <v/>
      </c>
      <c r="P730" s="11" t="str">
        <f t="shared" si="150"/>
        <v/>
      </c>
      <c r="Q730" s="7"/>
      <c r="R730" s="7"/>
      <c r="S730" s="7"/>
      <c r="T730" s="7"/>
      <c r="U730" s="7"/>
      <c r="V730" s="7"/>
      <c r="W730" s="7"/>
      <c r="X730" s="3"/>
      <c r="Y730" s="3"/>
      <c r="Z730" s="9">
        <v>2.0718100000000002</v>
      </c>
      <c r="AA730" s="12">
        <f t="shared" si="146"/>
        <v>-0.53398383639353186</v>
      </c>
      <c r="AB730" s="9">
        <f t="shared" si="148"/>
        <v>3.0944657142857142</v>
      </c>
      <c r="AC730" s="9">
        <f t="shared" si="151"/>
        <v>1.6728039285714282</v>
      </c>
      <c r="AD730" s="9">
        <f t="shared" si="152"/>
        <v>1.8498675555648549</v>
      </c>
      <c r="AE730" s="3" t="s">
        <v>80</v>
      </c>
      <c r="AF730" s="11" t="str">
        <f t="shared" si="153"/>
        <v/>
      </c>
      <c r="AG730" s="11" t="str">
        <f t="shared" si="154"/>
        <v/>
      </c>
      <c r="AH730" s="11">
        <f t="shared" si="155"/>
        <v>1.238525307487365</v>
      </c>
      <c r="AI730" s="3" t="s">
        <v>45</v>
      </c>
      <c r="AJ730" s="3" t="s">
        <v>79</v>
      </c>
      <c r="AK730" s="3" t="s">
        <v>46</v>
      </c>
      <c r="AL730" s="3" t="s">
        <v>81</v>
      </c>
      <c r="AM730" s="3" t="s">
        <v>82</v>
      </c>
    </row>
    <row r="731" spans="1:39" ht="21" customHeight="1">
      <c r="A731" s="4">
        <v>43139</v>
      </c>
      <c r="B731" s="3" t="s">
        <v>78</v>
      </c>
      <c r="C731" s="3" t="s">
        <v>79</v>
      </c>
      <c r="D731" s="4">
        <v>43159</v>
      </c>
      <c r="E731" s="3">
        <f t="shared" si="140"/>
        <v>-20</v>
      </c>
      <c r="F731" s="3" t="str">
        <f t="shared" si="141"/>
        <v>개봉전</v>
      </c>
      <c r="G731" s="3" t="str">
        <f t="shared" si="142"/>
        <v>목</v>
      </c>
      <c r="H731" s="3">
        <f t="shared" si="143"/>
        <v>0</v>
      </c>
      <c r="I731" s="3"/>
      <c r="J731" s="3"/>
      <c r="K731" s="3"/>
      <c r="L731" s="12" t="str">
        <f t="shared" si="144"/>
        <v/>
      </c>
      <c r="M731" s="12" t="str">
        <f t="shared" si="145"/>
        <v/>
      </c>
      <c r="N731" s="11" t="str">
        <f t="shared" si="147"/>
        <v/>
      </c>
      <c r="O731" s="11" t="str">
        <f t="shared" si="149"/>
        <v/>
      </c>
      <c r="P731" s="11" t="str">
        <f t="shared" si="150"/>
        <v/>
      </c>
      <c r="Q731" s="7"/>
      <c r="R731" s="7"/>
      <c r="S731" s="7"/>
      <c r="T731" s="7"/>
      <c r="U731" s="7"/>
      <c r="V731" s="7"/>
      <c r="W731" s="7"/>
      <c r="X731" s="3"/>
      <c r="Y731" s="3"/>
      <c r="Z731" s="9">
        <v>2.4958200000000001</v>
      </c>
      <c r="AA731" s="12">
        <f t="shared" si="146"/>
        <v>0.20465679767932388</v>
      </c>
      <c r="AB731" s="9">
        <f t="shared" si="148"/>
        <v>2.4207928571428567</v>
      </c>
      <c r="AC731" s="9">
        <f t="shared" si="151"/>
        <v>1.6221849999999998</v>
      </c>
      <c r="AD731" s="9">
        <f t="shared" si="152"/>
        <v>1.4923038106891984</v>
      </c>
      <c r="AE731" s="3" t="s">
        <v>80</v>
      </c>
      <c r="AF731" s="11" t="str">
        <f t="shared" si="153"/>
        <v/>
      </c>
      <c r="AG731" s="11" t="str">
        <f t="shared" si="154"/>
        <v/>
      </c>
      <c r="AH731" s="11">
        <f t="shared" si="155"/>
        <v>1.5385544805308893</v>
      </c>
      <c r="AI731" s="3" t="s">
        <v>45</v>
      </c>
      <c r="AJ731" s="3" t="s">
        <v>79</v>
      </c>
      <c r="AK731" s="3" t="s">
        <v>46</v>
      </c>
      <c r="AL731" s="3" t="s">
        <v>81</v>
      </c>
      <c r="AM731" s="3" t="s">
        <v>82</v>
      </c>
    </row>
    <row r="732" spans="1:39" ht="21" customHeight="1">
      <c r="A732" s="4">
        <v>43140</v>
      </c>
      <c r="B732" s="3" t="s">
        <v>78</v>
      </c>
      <c r="C732" s="3" t="s">
        <v>79</v>
      </c>
      <c r="D732" s="4">
        <v>43159</v>
      </c>
      <c r="E732" s="3">
        <f t="shared" si="140"/>
        <v>-19</v>
      </c>
      <c r="F732" s="3" t="str">
        <f t="shared" si="141"/>
        <v>개봉전</v>
      </c>
      <c r="G732" s="3" t="str">
        <f t="shared" si="142"/>
        <v>금</v>
      </c>
      <c r="H732" s="3">
        <f t="shared" si="143"/>
        <v>0</v>
      </c>
      <c r="I732" s="3"/>
      <c r="J732" s="3"/>
      <c r="K732" s="3"/>
      <c r="L732" s="12" t="str">
        <f t="shared" si="144"/>
        <v/>
      </c>
      <c r="M732" s="12" t="str">
        <f t="shared" si="145"/>
        <v/>
      </c>
      <c r="N732" s="11" t="str">
        <f t="shared" si="147"/>
        <v/>
      </c>
      <c r="O732" s="11" t="str">
        <f t="shared" si="149"/>
        <v/>
      </c>
      <c r="P732" s="11" t="str">
        <f t="shared" si="150"/>
        <v/>
      </c>
      <c r="Q732" s="7"/>
      <c r="R732" s="7"/>
      <c r="S732" s="7"/>
      <c r="T732" s="7"/>
      <c r="U732" s="7"/>
      <c r="V732" s="7"/>
      <c r="W732" s="7"/>
      <c r="X732" s="3"/>
      <c r="Y732" s="3"/>
      <c r="Z732" s="9">
        <v>1.95994</v>
      </c>
      <c r="AA732" s="12">
        <f t="shared" si="146"/>
        <v>-0.21471099678662731</v>
      </c>
      <c r="AB732" s="9">
        <f t="shared" si="148"/>
        <v>2.3757685714285719</v>
      </c>
      <c r="AC732" s="9">
        <f t="shared" si="151"/>
        <v>1.675812857142857</v>
      </c>
      <c r="AD732" s="9">
        <f t="shared" si="152"/>
        <v>1.4176813128639496</v>
      </c>
      <c r="AE732" s="3" t="s">
        <v>80</v>
      </c>
      <c r="AF732" s="11" t="str">
        <f t="shared" si="153"/>
        <v/>
      </c>
      <c r="AG732" s="11" t="str">
        <f t="shared" si="154"/>
        <v/>
      </c>
      <c r="AH732" s="11">
        <f t="shared" si="155"/>
        <v>1.1695458664409342</v>
      </c>
      <c r="AI732" s="3" t="s">
        <v>45</v>
      </c>
      <c r="AJ732" s="3" t="s">
        <v>79</v>
      </c>
      <c r="AK732" s="3" t="s">
        <v>46</v>
      </c>
      <c r="AL732" s="3" t="s">
        <v>81</v>
      </c>
      <c r="AM732" s="3" t="s">
        <v>82</v>
      </c>
    </row>
    <row r="733" spans="1:39" ht="21" customHeight="1">
      <c r="A733" s="4">
        <v>43141</v>
      </c>
      <c r="B733" s="3" t="s">
        <v>78</v>
      </c>
      <c r="C733" s="3" t="s">
        <v>79</v>
      </c>
      <c r="D733" s="4">
        <v>43159</v>
      </c>
      <c r="E733" s="3">
        <f t="shared" si="140"/>
        <v>-18</v>
      </c>
      <c r="F733" s="3" t="str">
        <f t="shared" si="141"/>
        <v>개봉전</v>
      </c>
      <c r="G733" s="3" t="str">
        <f t="shared" si="142"/>
        <v>토</v>
      </c>
      <c r="H733" s="3">
        <f t="shared" si="143"/>
        <v>1</v>
      </c>
      <c r="I733" s="3"/>
      <c r="J733" s="3"/>
      <c r="K733" s="3"/>
      <c r="L733" s="12" t="str">
        <f t="shared" si="144"/>
        <v/>
      </c>
      <c r="M733" s="12" t="str">
        <f t="shared" si="145"/>
        <v/>
      </c>
      <c r="N733" s="11" t="str">
        <f t="shared" si="147"/>
        <v/>
      </c>
      <c r="O733" s="11" t="str">
        <f t="shared" si="149"/>
        <v/>
      </c>
      <c r="P733" s="11" t="str">
        <f t="shared" si="150"/>
        <v/>
      </c>
      <c r="Q733" s="7"/>
      <c r="R733" s="7"/>
      <c r="S733" s="7"/>
      <c r="T733" s="7"/>
      <c r="U733" s="7"/>
      <c r="V733" s="7"/>
      <c r="W733" s="7"/>
      <c r="X733" s="3"/>
      <c r="Y733" s="3"/>
      <c r="Z733" s="9">
        <v>3.0379700000000001</v>
      </c>
      <c r="AA733" s="12">
        <f t="shared" si="146"/>
        <v>0.55003214384113797</v>
      </c>
      <c r="AB733" s="9">
        <f t="shared" si="148"/>
        <v>2.5201914285714286</v>
      </c>
      <c r="AC733" s="9">
        <f t="shared" si="151"/>
        <v>1.7186735714285715</v>
      </c>
      <c r="AD733" s="9">
        <f t="shared" si="152"/>
        <v>1.4663584001449623</v>
      </c>
      <c r="AE733" s="3" t="s">
        <v>80</v>
      </c>
      <c r="AF733" s="11" t="str">
        <f t="shared" si="153"/>
        <v/>
      </c>
      <c r="AG733" s="11" t="str">
        <f t="shared" si="154"/>
        <v/>
      </c>
      <c r="AH733" s="11">
        <f t="shared" si="155"/>
        <v>1.7676247837306427</v>
      </c>
      <c r="AI733" s="3" t="s">
        <v>45</v>
      </c>
      <c r="AJ733" s="3" t="s">
        <v>79</v>
      </c>
      <c r="AK733" s="3" t="s">
        <v>46</v>
      </c>
      <c r="AL733" s="3" t="s">
        <v>81</v>
      </c>
      <c r="AM733" s="3" t="s">
        <v>82</v>
      </c>
    </row>
    <row r="734" spans="1:39" ht="21" customHeight="1">
      <c r="A734" s="4">
        <v>43142</v>
      </c>
      <c r="B734" s="3" t="s">
        <v>78</v>
      </c>
      <c r="C734" s="3" t="s">
        <v>79</v>
      </c>
      <c r="D734" s="4">
        <v>43159</v>
      </c>
      <c r="E734" s="3">
        <f t="shared" si="140"/>
        <v>-17</v>
      </c>
      <c r="F734" s="3" t="str">
        <f t="shared" si="141"/>
        <v>개봉전</v>
      </c>
      <c r="G734" s="3" t="str">
        <f t="shared" si="142"/>
        <v>일</v>
      </c>
      <c r="H734" s="3">
        <f t="shared" si="143"/>
        <v>1</v>
      </c>
      <c r="I734" s="3"/>
      <c r="J734" s="3"/>
      <c r="K734" s="3"/>
      <c r="L734" s="12" t="str">
        <f t="shared" si="144"/>
        <v/>
      </c>
      <c r="M734" s="12" t="str">
        <f t="shared" si="145"/>
        <v/>
      </c>
      <c r="N734" s="11" t="str">
        <f t="shared" si="147"/>
        <v/>
      </c>
      <c r="O734" s="11" t="str">
        <f t="shared" si="149"/>
        <v/>
      </c>
      <c r="P734" s="11" t="str">
        <f t="shared" si="150"/>
        <v/>
      </c>
      <c r="Q734" s="7"/>
      <c r="R734" s="7"/>
      <c r="S734" s="7"/>
      <c r="T734" s="7"/>
      <c r="U734" s="7"/>
      <c r="V734" s="7"/>
      <c r="W734" s="7"/>
      <c r="X734" s="3"/>
      <c r="Y734" s="3"/>
      <c r="Z734" s="9">
        <v>1.63062</v>
      </c>
      <c r="AA734" s="12">
        <f t="shared" si="146"/>
        <v>-0.46325342251569301</v>
      </c>
      <c r="AB734" s="9">
        <f t="shared" si="148"/>
        <v>2.4801742857142854</v>
      </c>
      <c r="AC734" s="9">
        <f t="shared" si="151"/>
        <v>1.7969935714285714</v>
      </c>
      <c r="AD734" s="9">
        <f t="shared" si="152"/>
        <v>1.38017983210847</v>
      </c>
      <c r="AE734" s="3" t="s">
        <v>80</v>
      </c>
      <c r="AF734" s="11" t="str">
        <f t="shared" si="153"/>
        <v/>
      </c>
      <c r="AG734" s="11" t="str">
        <f t="shared" si="154"/>
        <v/>
      </c>
      <c r="AH734" s="11">
        <f t="shared" si="155"/>
        <v>0.90741560010350619</v>
      </c>
      <c r="AI734" s="3" t="s">
        <v>45</v>
      </c>
      <c r="AJ734" s="3" t="s">
        <v>79</v>
      </c>
      <c r="AK734" s="3" t="s">
        <v>46</v>
      </c>
      <c r="AL734" s="3" t="s">
        <v>81</v>
      </c>
      <c r="AM734" s="3" t="s">
        <v>82</v>
      </c>
    </row>
    <row r="735" spans="1:39" ht="21" customHeight="1">
      <c r="A735" s="4">
        <v>43143</v>
      </c>
      <c r="B735" s="3" t="s">
        <v>78</v>
      </c>
      <c r="C735" s="3" t="s">
        <v>79</v>
      </c>
      <c r="D735" s="4">
        <v>43159</v>
      </c>
      <c r="E735" s="3">
        <f t="shared" si="140"/>
        <v>-16</v>
      </c>
      <c r="F735" s="3" t="str">
        <f t="shared" si="141"/>
        <v>개봉전</v>
      </c>
      <c r="G735" s="3" t="str">
        <f t="shared" si="142"/>
        <v>월</v>
      </c>
      <c r="H735" s="3">
        <f t="shared" si="143"/>
        <v>0</v>
      </c>
      <c r="I735" s="3"/>
      <c r="J735" s="3"/>
      <c r="K735" s="3"/>
      <c r="L735" s="12" t="str">
        <f t="shared" si="144"/>
        <v/>
      </c>
      <c r="M735" s="12" t="str">
        <f t="shared" si="145"/>
        <v/>
      </c>
      <c r="N735" s="11" t="str">
        <f t="shared" si="147"/>
        <v/>
      </c>
      <c r="O735" s="11" t="str">
        <f t="shared" si="149"/>
        <v/>
      </c>
      <c r="P735" s="11" t="str">
        <f t="shared" si="150"/>
        <v/>
      </c>
      <c r="Q735" s="7"/>
      <c r="R735" s="7"/>
      <c r="S735" s="7"/>
      <c r="T735" s="7"/>
      <c r="U735" s="7"/>
      <c r="V735" s="7"/>
      <c r="W735" s="7"/>
      <c r="X735" s="3"/>
      <c r="Y735" s="3"/>
      <c r="Z735" s="9">
        <v>2.48631</v>
      </c>
      <c r="AA735" s="12">
        <f t="shared" si="146"/>
        <v>0.52476358685653324</v>
      </c>
      <c r="AB735" s="9">
        <f t="shared" si="148"/>
        <v>2.5897514285714287</v>
      </c>
      <c r="AC735" s="9">
        <f t="shared" si="151"/>
        <v>1.8189257142857147</v>
      </c>
      <c r="AD735" s="9">
        <f t="shared" si="152"/>
        <v>1.4237807559878355</v>
      </c>
      <c r="AE735" s="3" t="s">
        <v>80</v>
      </c>
      <c r="AF735" s="11" t="str">
        <f t="shared" si="153"/>
        <v/>
      </c>
      <c r="AG735" s="11" t="str">
        <f t="shared" si="154"/>
        <v/>
      </c>
      <c r="AH735" s="11">
        <f t="shared" si="155"/>
        <v>1.3669112380306112</v>
      </c>
      <c r="AI735" s="3" t="s">
        <v>45</v>
      </c>
      <c r="AJ735" s="3" t="s">
        <v>79</v>
      </c>
      <c r="AK735" s="3" t="s">
        <v>46</v>
      </c>
      <c r="AL735" s="3" t="s">
        <v>81</v>
      </c>
      <c r="AM735" s="3" t="s">
        <v>82</v>
      </c>
    </row>
    <row r="736" spans="1:39" ht="21" customHeight="1">
      <c r="A736" s="4">
        <v>43144</v>
      </c>
      <c r="B736" s="3" t="s">
        <v>78</v>
      </c>
      <c r="C736" s="3" t="s">
        <v>79</v>
      </c>
      <c r="D736" s="4">
        <v>43159</v>
      </c>
      <c r="E736" s="3">
        <f t="shared" si="140"/>
        <v>-15</v>
      </c>
      <c r="F736" s="3" t="str">
        <f t="shared" si="141"/>
        <v>개봉전</v>
      </c>
      <c r="G736" s="3" t="str">
        <f t="shared" si="142"/>
        <v>화</v>
      </c>
      <c r="H736" s="3">
        <f t="shared" si="143"/>
        <v>0</v>
      </c>
      <c r="I736" s="3"/>
      <c r="J736" s="3"/>
      <c r="K736" s="3"/>
      <c r="L736" s="12" t="str">
        <f t="shared" si="144"/>
        <v/>
      </c>
      <c r="M736" s="12" t="str">
        <f t="shared" si="145"/>
        <v/>
      </c>
      <c r="N736" s="11" t="str">
        <f t="shared" si="147"/>
        <v/>
      </c>
      <c r="O736" s="11" t="str">
        <f t="shared" si="149"/>
        <v/>
      </c>
      <c r="P736" s="11" t="str">
        <f t="shared" si="150"/>
        <v/>
      </c>
      <c r="Q736" s="7">
        <v>15</v>
      </c>
      <c r="R736" s="7">
        <v>15</v>
      </c>
      <c r="S736" s="7">
        <v>3238</v>
      </c>
      <c r="T736" s="7">
        <v>21524000</v>
      </c>
      <c r="U736" s="7">
        <v>3239</v>
      </c>
      <c r="V736" s="7">
        <v>3239</v>
      </c>
      <c r="W736" s="7">
        <v>10</v>
      </c>
      <c r="X736" s="3"/>
      <c r="Y736" s="3" t="s">
        <v>83</v>
      </c>
      <c r="Z736" s="9">
        <v>10.82043</v>
      </c>
      <c r="AA736" s="12">
        <f t="shared" si="146"/>
        <v>3.3520035715578507</v>
      </c>
      <c r="AB736" s="9">
        <f t="shared" si="148"/>
        <v>3.5004142857142857</v>
      </c>
      <c r="AC736" s="9">
        <f t="shared" si="151"/>
        <v>1.8475632142857148</v>
      </c>
      <c r="AD736" s="9">
        <f t="shared" si="152"/>
        <v>1.894611377109269</v>
      </c>
      <c r="AE736" s="3" t="s">
        <v>80</v>
      </c>
      <c r="AF736" s="11" t="str">
        <f t="shared" si="153"/>
        <v/>
      </c>
      <c r="AG736" s="11" t="str">
        <f t="shared" si="154"/>
        <v/>
      </c>
      <c r="AH736" s="11">
        <f t="shared" si="155"/>
        <v>5.8565952798444734</v>
      </c>
      <c r="AI736" s="3" t="s">
        <v>45</v>
      </c>
      <c r="AJ736" s="3" t="s">
        <v>79</v>
      </c>
      <c r="AK736" s="3" t="s">
        <v>46</v>
      </c>
      <c r="AL736" s="3" t="s">
        <v>81</v>
      </c>
      <c r="AM736" s="3" t="s">
        <v>82</v>
      </c>
    </row>
    <row r="737" spans="1:39" ht="21" customHeight="1">
      <c r="A737" s="4">
        <v>43145</v>
      </c>
      <c r="B737" s="3" t="s">
        <v>78</v>
      </c>
      <c r="C737" s="3" t="s">
        <v>79</v>
      </c>
      <c r="D737" s="4">
        <v>43159</v>
      </c>
      <c r="E737" s="3">
        <f t="shared" si="140"/>
        <v>-14</v>
      </c>
      <c r="F737" s="3" t="str">
        <f t="shared" si="141"/>
        <v>개봉전</v>
      </c>
      <c r="G737" s="3" t="str">
        <f t="shared" si="142"/>
        <v>수</v>
      </c>
      <c r="H737" s="3">
        <f t="shared" si="143"/>
        <v>0</v>
      </c>
      <c r="I737" s="3"/>
      <c r="J737" s="3"/>
      <c r="K737" s="3"/>
      <c r="L737" s="12" t="str">
        <f t="shared" si="144"/>
        <v/>
      </c>
      <c r="M737" s="12" t="str">
        <f t="shared" si="145"/>
        <v/>
      </c>
      <c r="N737" s="11" t="str">
        <f t="shared" si="147"/>
        <v/>
      </c>
      <c r="O737" s="11" t="str">
        <f t="shared" si="149"/>
        <v/>
      </c>
      <c r="P737" s="11" t="str">
        <f t="shared" si="150"/>
        <v/>
      </c>
      <c r="Q737" s="7"/>
      <c r="R737" s="7"/>
      <c r="S737" s="7"/>
      <c r="T737" s="7"/>
      <c r="U737" s="7"/>
      <c r="V737" s="7"/>
      <c r="W737" s="7"/>
      <c r="X737" s="3"/>
      <c r="Y737" s="3"/>
      <c r="Z737" s="9">
        <v>3.5116499999999999</v>
      </c>
      <c r="AA737" s="12">
        <f t="shared" si="146"/>
        <v>-0.67546114156276604</v>
      </c>
      <c r="AB737" s="9">
        <f t="shared" si="148"/>
        <v>3.7061057142857137</v>
      </c>
      <c r="AC737" s="9">
        <f t="shared" si="151"/>
        <v>2.196161071428572</v>
      </c>
      <c r="AD737" s="9">
        <f t="shared" si="152"/>
        <v>1.6875382058725519</v>
      </c>
      <c r="AE737" s="3" t="s">
        <v>80</v>
      </c>
      <c r="AF737" s="11" t="str">
        <f t="shared" si="153"/>
        <v/>
      </c>
      <c r="AG737" s="11" t="str">
        <f t="shared" si="154"/>
        <v/>
      </c>
      <c r="AH737" s="11">
        <f t="shared" si="155"/>
        <v>1.5989947393593134</v>
      </c>
      <c r="AI737" s="3" t="s">
        <v>45</v>
      </c>
      <c r="AJ737" s="3" t="s">
        <v>79</v>
      </c>
      <c r="AK737" s="3" t="s">
        <v>46</v>
      </c>
      <c r="AL737" s="3" t="s">
        <v>81</v>
      </c>
      <c r="AM737" s="3" t="s">
        <v>82</v>
      </c>
    </row>
    <row r="738" spans="1:39" ht="21" customHeight="1">
      <c r="A738" s="4">
        <v>43146</v>
      </c>
      <c r="B738" s="3" t="s">
        <v>78</v>
      </c>
      <c r="C738" s="3" t="s">
        <v>79</v>
      </c>
      <c r="D738" s="4">
        <v>43159</v>
      </c>
      <c r="E738" s="3">
        <f t="shared" si="140"/>
        <v>-13</v>
      </c>
      <c r="F738" s="3" t="str">
        <f t="shared" si="141"/>
        <v>개봉전</v>
      </c>
      <c r="G738" s="3" t="str">
        <f t="shared" si="142"/>
        <v>목</v>
      </c>
      <c r="H738" s="3">
        <f t="shared" si="143"/>
        <v>0</v>
      </c>
      <c r="I738" s="3"/>
      <c r="J738" s="3"/>
      <c r="K738" s="3"/>
      <c r="L738" s="12" t="str">
        <f t="shared" si="144"/>
        <v/>
      </c>
      <c r="M738" s="12" t="str">
        <f t="shared" si="145"/>
        <v/>
      </c>
      <c r="N738" s="11" t="str">
        <f t="shared" si="147"/>
        <v/>
      </c>
      <c r="O738" s="11" t="str">
        <f t="shared" si="149"/>
        <v/>
      </c>
      <c r="P738" s="11" t="str">
        <f t="shared" si="150"/>
        <v/>
      </c>
      <c r="Q738" s="7"/>
      <c r="R738" s="7"/>
      <c r="S738" s="7"/>
      <c r="T738" s="7"/>
      <c r="U738" s="7"/>
      <c r="V738" s="7"/>
      <c r="W738" s="7"/>
      <c r="X738" s="3"/>
      <c r="Y738" s="3"/>
      <c r="Z738" s="9">
        <v>2.8307199999999999</v>
      </c>
      <c r="AA738" s="12">
        <f t="shared" si="146"/>
        <v>-0.19390599860464452</v>
      </c>
      <c r="AB738" s="9">
        <f t="shared" si="148"/>
        <v>3.753948571428571</v>
      </c>
      <c r="AC738" s="9">
        <f t="shared" si="151"/>
        <v>2.2777714285714294</v>
      </c>
      <c r="AD738" s="9">
        <f t="shared" si="152"/>
        <v>1.6480795765284355</v>
      </c>
      <c r="AE738" s="3" t="s">
        <v>80</v>
      </c>
      <c r="AF738" s="11" t="str">
        <f t="shared" si="153"/>
        <v/>
      </c>
      <c r="AG738" s="11" t="str">
        <f t="shared" si="154"/>
        <v/>
      </c>
      <c r="AH738" s="11">
        <f t="shared" si="155"/>
        <v>1.2427585860866506</v>
      </c>
      <c r="AI738" s="3" t="s">
        <v>45</v>
      </c>
      <c r="AJ738" s="3" t="s">
        <v>79</v>
      </c>
      <c r="AK738" s="3" t="s">
        <v>46</v>
      </c>
      <c r="AL738" s="3" t="s">
        <v>81</v>
      </c>
      <c r="AM738" s="3" t="s">
        <v>82</v>
      </c>
    </row>
    <row r="739" spans="1:39" ht="21" customHeight="1">
      <c r="A739" s="4">
        <v>43147</v>
      </c>
      <c r="B739" s="3" t="s">
        <v>78</v>
      </c>
      <c r="C739" s="3" t="s">
        <v>79</v>
      </c>
      <c r="D739" s="4">
        <v>43159</v>
      </c>
      <c r="E739" s="3">
        <f t="shared" si="140"/>
        <v>-12</v>
      </c>
      <c r="F739" s="3" t="str">
        <f t="shared" si="141"/>
        <v>개봉전</v>
      </c>
      <c r="G739" s="3" t="str">
        <f t="shared" si="142"/>
        <v>금</v>
      </c>
      <c r="H739" s="3">
        <f t="shared" si="143"/>
        <v>0</v>
      </c>
      <c r="I739" s="3"/>
      <c r="J739" s="3"/>
      <c r="K739" s="3"/>
      <c r="L739" s="12" t="str">
        <f t="shared" si="144"/>
        <v/>
      </c>
      <c r="M739" s="12" t="str">
        <f t="shared" si="145"/>
        <v/>
      </c>
      <c r="N739" s="11" t="str">
        <f t="shared" si="147"/>
        <v/>
      </c>
      <c r="O739" s="11" t="str">
        <f t="shared" si="149"/>
        <v/>
      </c>
      <c r="P739" s="11" t="str">
        <f t="shared" si="150"/>
        <v/>
      </c>
      <c r="Q739" s="7"/>
      <c r="R739" s="7"/>
      <c r="S739" s="7"/>
      <c r="T739" s="7"/>
      <c r="U739" s="7"/>
      <c r="V739" s="7"/>
      <c r="W739" s="7"/>
      <c r="X739" s="3"/>
      <c r="Y739" s="3"/>
      <c r="Z739" s="9">
        <v>3.11456</v>
      </c>
      <c r="AA739" s="12">
        <f t="shared" si="146"/>
        <v>0.1002713090662446</v>
      </c>
      <c r="AB739" s="9">
        <f t="shared" si="148"/>
        <v>3.9188942857142854</v>
      </c>
      <c r="AC739" s="9">
        <f t="shared" si="151"/>
        <v>2.3505546428571438</v>
      </c>
      <c r="AD739" s="9">
        <f t="shared" si="152"/>
        <v>1.6672210950819655</v>
      </c>
      <c r="AE739" s="3" t="s">
        <v>80</v>
      </c>
      <c r="AF739" s="11" t="str">
        <f t="shared" si="153"/>
        <v/>
      </c>
      <c r="AG739" s="11" t="str">
        <f t="shared" si="154"/>
        <v/>
      </c>
      <c r="AH739" s="11">
        <f t="shared" si="155"/>
        <v>1.3250319491463485</v>
      </c>
      <c r="AI739" s="3" t="s">
        <v>45</v>
      </c>
      <c r="AJ739" s="3" t="s">
        <v>79</v>
      </c>
      <c r="AK739" s="3" t="s">
        <v>46</v>
      </c>
      <c r="AL739" s="3" t="s">
        <v>81</v>
      </c>
      <c r="AM739" s="3" t="s">
        <v>82</v>
      </c>
    </row>
    <row r="740" spans="1:39" ht="21" customHeight="1">
      <c r="A740" s="4">
        <v>43148</v>
      </c>
      <c r="B740" s="3" t="s">
        <v>78</v>
      </c>
      <c r="C740" s="3" t="s">
        <v>79</v>
      </c>
      <c r="D740" s="4">
        <v>43159</v>
      </c>
      <c r="E740" s="3">
        <f t="shared" si="140"/>
        <v>-11</v>
      </c>
      <c r="F740" s="3" t="str">
        <f t="shared" si="141"/>
        <v>개봉전</v>
      </c>
      <c r="G740" s="3" t="str">
        <f t="shared" si="142"/>
        <v>토</v>
      </c>
      <c r="H740" s="3">
        <f t="shared" si="143"/>
        <v>1</v>
      </c>
      <c r="I740" s="3"/>
      <c r="J740" s="3"/>
      <c r="K740" s="3"/>
      <c r="L740" s="12" t="str">
        <f t="shared" si="144"/>
        <v/>
      </c>
      <c r="M740" s="12" t="str">
        <f t="shared" si="145"/>
        <v/>
      </c>
      <c r="N740" s="11" t="str">
        <f t="shared" si="147"/>
        <v/>
      </c>
      <c r="O740" s="11" t="str">
        <f t="shared" si="149"/>
        <v/>
      </c>
      <c r="P740" s="11" t="str">
        <f t="shared" si="150"/>
        <v/>
      </c>
      <c r="Q740" s="7"/>
      <c r="R740" s="7"/>
      <c r="S740" s="7"/>
      <c r="T740" s="7"/>
      <c r="U740" s="7"/>
      <c r="V740" s="7"/>
      <c r="W740" s="7"/>
      <c r="X740" s="3"/>
      <c r="Y740" s="3"/>
      <c r="Z740" s="9">
        <v>11.63017</v>
      </c>
      <c r="AA740" s="12">
        <f t="shared" si="146"/>
        <v>2.7341293794308021</v>
      </c>
      <c r="AB740" s="9">
        <f t="shared" si="148"/>
        <v>5.1463514285714291</v>
      </c>
      <c r="AC740" s="9">
        <f t="shared" si="151"/>
        <v>2.4347432142857151</v>
      </c>
      <c r="AD740" s="9">
        <f t="shared" si="152"/>
        <v>2.1137142505934547</v>
      </c>
      <c r="AE740" s="3" t="s">
        <v>80</v>
      </c>
      <c r="AF740" s="11" t="str">
        <f t="shared" si="153"/>
        <v/>
      </c>
      <c r="AG740" s="11" t="str">
        <f t="shared" si="154"/>
        <v/>
      </c>
      <c r="AH740" s="11">
        <f t="shared" si="155"/>
        <v>4.7767542514383647</v>
      </c>
      <c r="AI740" s="3" t="s">
        <v>45</v>
      </c>
      <c r="AJ740" s="3" t="s">
        <v>79</v>
      </c>
      <c r="AK740" s="3" t="s">
        <v>46</v>
      </c>
      <c r="AL740" s="3" t="s">
        <v>81</v>
      </c>
      <c r="AM740" s="3" t="s">
        <v>82</v>
      </c>
    </row>
    <row r="741" spans="1:39" ht="21" customHeight="1">
      <c r="A741" s="4">
        <v>43149</v>
      </c>
      <c r="B741" s="3" t="s">
        <v>78</v>
      </c>
      <c r="C741" s="3" t="s">
        <v>79</v>
      </c>
      <c r="D741" s="4">
        <v>43159</v>
      </c>
      <c r="E741" s="3">
        <f t="shared" si="140"/>
        <v>-10</v>
      </c>
      <c r="F741" s="3" t="str">
        <f t="shared" si="141"/>
        <v>개봉전</v>
      </c>
      <c r="G741" s="3" t="str">
        <f t="shared" si="142"/>
        <v>일</v>
      </c>
      <c r="H741" s="3">
        <f t="shared" si="143"/>
        <v>1</v>
      </c>
      <c r="I741" s="3"/>
      <c r="J741" s="3"/>
      <c r="K741" s="3"/>
      <c r="L741" s="12" t="str">
        <f t="shared" si="144"/>
        <v/>
      </c>
      <c r="M741" s="12" t="str">
        <f t="shared" si="145"/>
        <v/>
      </c>
      <c r="N741" s="11" t="str">
        <f t="shared" si="147"/>
        <v/>
      </c>
      <c r="O741" s="11" t="str">
        <f t="shared" si="149"/>
        <v/>
      </c>
      <c r="P741" s="11" t="str">
        <f t="shared" si="150"/>
        <v/>
      </c>
      <c r="Q741" s="7"/>
      <c r="R741" s="7"/>
      <c r="S741" s="7"/>
      <c r="T741" s="7"/>
      <c r="U741" s="7"/>
      <c r="V741" s="7"/>
      <c r="W741" s="7"/>
      <c r="X741" s="3"/>
      <c r="Y741" s="3"/>
      <c r="Z741" s="9">
        <v>3.7481499999999999</v>
      </c>
      <c r="AA741" s="12">
        <f t="shared" si="146"/>
        <v>-0.67772182177904539</v>
      </c>
      <c r="AB741" s="9">
        <f t="shared" si="148"/>
        <v>5.4488557142857141</v>
      </c>
      <c r="AC741" s="9">
        <f t="shared" si="151"/>
        <v>2.8200517857142864</v>
      </c>
      <c r="AD741" s="9">
        <f t="shared" si="152"/>
        <v>1.9321828563178609</v>
      </c>
      <c r="AE741" s="3" t="s">
        <v>80</v>
      </c>
      <c r="AF741" s="11" t="str">
        <f t="shared" si="153"/>
        <v/>
      </c>
      <c r="AG741" s="11" t="str">
        <f t="shared" si="154"/>
        <v/>
      </c>
      <c r="AH741" s="11">
        <f t="shared" si="155"/>
        <v>1.3291067983174065</v>
      </c>
      <c r="AI741" s="3" t="s">
        <v>45</v>
      </c>
      <c r="AJ741" s="3" t="s">
        <v>79</v>
      </c>
      <c r="AK741" s="3" t="s">
        <v>46</v>
      </c>
      <c r="AL741" s="3" t="s">
        <v>81</v>
      </c>
      <c r="AM741" s="3" t="s">
        <v>82</v>
      </c>
    </row>
    <row r="742" spans="1:39" ht="21" customHeight="1">
      <c r="A742" s="4">
        <v>43150</v>
      </c>
      <c r="B742" s="3" t="s">
        <v>78</v>
      </c>
      <c r="C742" s="3" t="s">
        <v>79</v>
      </c>
      <c r="D742" s="4">
        <v>43159</v>
      </c>
      <c r="E742" s="3">
        <f t="shared" si="140"/>
        <v>-9</v>
      </c>
      <c r="F742" s="3" t="str">
        <f t="shared" si="141"/>
        <v>개봉전</v>
      </c>
      <c r="G742" s="3" t="str">
        <f t="shared" si="142"/>
        <v>월</v>
      </c>
      <c r="H742" s="3">
        <f t="shared" si="143"/>
        <v>0</v>
      </c>
      <c r="I742" s="3"/>
      <c r="J742" s="3"/>
      <c r="K742" s="3"/>
      <c r="L742" s="12" t="str">
        <f t="shared" si="144"/>
        <v/>
      </c>
      <c r="M742" s="12" t="str">
        <f t="shared" si="145"/>
        <v/>
      </c>
      <c r="N742" s="11" t="str">
        <f t="shared" si="147"/>
        <v/>
      </c>
      <c r="O742" s="11" t="str">
        <f t="shared" si="149"/>
        <v/>
      </c>
      <c r="P742" s="11" t="str">
        <f t="shared" si="150"/>
        <v/>
      </c>
      <c r="Q742" s="7"/>
      <c r="R742" s="7"/>
      <c r="S742" s="7"/>
      <c r="T742" s="7"/>
      <c r="U742" s="7"/>
      <c r="V742" s="7"/>
      <c r="W742" s="7"/>
      <c r="X742" s="3"/>
      <c r="Y742" s="3"/>
      <c r="Z742" s="9">
        <v>6.0652699999999999</v>
      </c>
      <c r="AA742" s="12">
        <f t="shared" si="146"/>
        <v>0.61820364713258535</v>
      </c>
      <c r="AB742" s="9">
        <f t="shared" si="148"/>
        <v>5.9601357142857143</v>
      </c>
      <c r="AC742" s="9">
        <f t="shared" si="151"/>
        <v>2.9270839285714287</v>
      </c>
      <c r="AD742" s="9">
        <f t="shared" si="152"/>
        <v>2.0362025345800641</v>
      </c>
      <c r="AE742" s="3" t="s">
        <v>80</v>
      </c>
      <c r="AF742" s="11" t="str">
        <f t="shared" si="153"/>
        <v/>
      </c>
      <c r="AG742" s="11" t="str">
        <f t="shared" si="154"/>
        <v/>
      </c>
      <c r="AH742" s="11">
        <f t="shared" si="155"/>
        <v>2.0721202903669971</v>
      </c>
      <c r="AI742" s="3" t="s">
        <v>45</v>
      </c>
      <c r="AJ742" s="3" t="s">
        <v>79</v>
      </c>
      <c r="AK742" s="3" t="s">
        <v>46</v>
      </c>
      <c r="AL742" s="3" t="s">
        <v>81</v>
      </c>
      <c r="AM742" s="3" t="s">
        <v>82</v>
      </c>
    </row>
    <row r="743" spans="1:39" ht="21" customHeight="1">
      <c r="A743" s="4">
        <v>43151</v>
      </c>
      <c r="B743" s="3" t="s">
        <v>78</v>
      </c>
      <c r="C743" s="3" t="s">
        <v>79</v>
      </c>
      <c r="D743" s="4">
        <v>43159</v>
      </c>
      <c r="E743" s="3">
        <f t="shared" si="140"/>
        <v>-8</v>
      </c>
      <c r="F743" s="3" t="str">
        <f t="shared" si="141"/>
        <v>개봉전</v>
      </c>
      <c r="G743" s="3" t="str">
        <f t="shared" si="142"/>
        <v>화</v>
      </c>
      <c r="H743" s="3">
        <f t="shared" si="143"/>
        <v>0</v>
      </c>
      <c r="I743" s="3"/>
      <c r="J743" s="3"/>
      <c r="K743" s="3"/>
      <c r="L743" s="12" t="str">
        <f t="shared" si="144"/>
        <v/>
      </c>
      <c r="M743" s="12" t="str">
        <f t="shared" si="145"/>
        <v/>
      </c>
      <c r="N743" s="11" t="str">
        <f t="shared" si="147"/>
        <v/>
      </c>
      <c r="O743" s="11" t="str">
        <f t="shared" si="149"/>
        <v/>
      </c>
      <c r="P743" s="11" t="str">
        <f t="shared" si="150"/>
        <v/>
      </c>
      <c r="Q743" s="7">
        <v>35</v>
      </c>
      <c r="R743" s="7">
        <v>40</v>
      </c>
      <c r="S743" s="7">
        <v>8477</v>
      </c>
      <c r="T743" s="7">
        <v>46692700</v>
      </c>
      <c r="U743" s="7">
        <v>6846</v>
      </c>
      <c r="V743" s="7">
        <v>10085</v>
      </c>
      <c r="W743" s="7">
        <v>8</v>
      </c>
      <c r="X743" s="3"/>
      <c r="Y743" s="3" t="s">
        <v>83</v>
      </c>
      <c r="Z743" s="9">
        <v>6.74458</v>
      </c>
      <c r="AA743" s="12">
        <f t="shared" si="146"/>
        <v>0.11199996043045068</v>
      </c>
      <c r="AB743" s="9">
        <f t="shared" si="148"/>
        <v>5.3778714285714289</v>
      </c>
      <c r="AC743" s="9">
        <f t="shared" si="151"/>
        <v>3.1096592857142862</v>
      </c>
      <c r="AD743" s="9">
        <f t="shared" si="152"/>
        <v>1.7294085732405684</v>
      </c>
      <c r="AE743" s="3" t="s">
        <v>80</v>
      </c>
      <c r="AF743" s="11" t="str">
        <f t="shared" si="153"/>
        <v/>
      </c>
      <c r="AG743" s="11" t="str">
        <f t="shared" si="154"/>
        <v/>
      </c>
      <c r="AH743" s="11">
        <f t="shared" si="155"/>
        <v>2.1689128551749923</v>
      </c>
      <c r="AI743" s="3" t="s">
        <v>45</v>
      </c>
      <c r="AJ743" s="3" t="s">
        <v>79</v>
      </c>
      <c r="AK743" s="3" t="s">
        <v>46</v>
      </c>
      <c r="AL743" s="3" t="s">
        <v>81</v>
      </c>
      <c r="AM743" s="3" t="s">
        <v>82</v>
      </c>
    </row>
    <row r="744" spans="1:39" ht="21" customHeight="1">
      <c r="A744" s="4">
        <v>43152</v>
      </c>
      <c r="B744" s="3" t="s">
        <v>78</v>
      </c>
      <c r="C744" s="3" t="s">
        <v>79</v>
      </c>
      <c r="D744" s="4">
        <v>43159</v>
      </c>
      <c r="E744" s="3">
        <f t="shared" si="140"/>
        <v>-7</v>
      </c>
      <c r="F744" s="3" t="str">
        <f t="shared" si="141"/>
        <v>개봉전</v>
      </c>
      <c r="G744" s="3" t="str">
        <f t="shared" si="142"/>
        <v>수</v>
      </c>
      <c r="H744" s="3">
        <f t="shared" si="143"/>
        <v>0</v>
      </c>
      <c r="I744" s="3"/>
      <c r="J744" s="3"/>
      <c r="K744" s="3"/>
      <c r="L744" s="12" t="str">
        <f t="shared" si="144"/>
        <v/>
      </c>
      <c r="M744" s="12" t="str">
        <f t="shared" si="145"/>
        <v/>
      </c>
      <c r="N744" s="11" t="str">
        <f t="shared" si="147"/>
        <v/>
      </c>
      <c r="O744" s="11" t="str">
        <f t="shared" si="149"/>
        <v/>
      </c>
      <c r="P744" s="11" t="str">
        <f t="shared" si="150"/>
        <v/>
      </c>
      <c r="Q744" s="7">
        <v>12</v>
      </c>
      <c r="R744" s="7">
        <v>12</v>
      </c>
      <c r="S744" s="7">
        <v>2740</v>
      </c>
      <c r="T744" s="7">
        <v>21636000</v>
      </c>
      <c r="U744" s="7">
        <v>2740</v>
      </c>
      <c r="V744" s="7">
        <v>12825</v>
      </c>
      <c r="W744" s="7">
        <v>10</v>
      </c>
      <c r="X744" s="3"/>
      <c r="Y744" s="3" t="s">
        <v>83</v>
      </c>
      <c r="Z744" s="9">
        <v>5.2724700000000002</v>
      </c>
      <c r="AA744" s="12">
        <f t="shared" si="146"/>
        <v>-0.21826562958701656</v>
      </c>
      <c r="AB744" s="9">
        <f t="shared" si="148"/>
        <v>5.6294171428571422</v>
      </c>
      <c r="AC744" s="9">
        <f t="shared" si="151"/>
        <v>3.3050407142857146</v>
      </c>
      <c r="AD744" s="9">
        <f t="shared" si="152"/>
        <v>1.7032822374999916</v>
      </c>
      <c r="AE744" s="3" t="s">
        <v>80</v>
      </c>
      <c r="AF744" s="11" t="str">
        <f t="shared" si="153"/>
        <v/>
      </c>
      <c r="AG744" s="11" t="str">
        <f t="shared" si="154"/>
        <v/>
      </c>
      <c r="AH744" s="11">
        <f t="shared" si="155"/>
        <v>1.5952814067343453</v>
      </c>
      <c r="AI744" s="3" t="s">
        <v>45</v>
      </c>
      <c r="AJ744" s="3" t="s">
        <v>79</v>
      </c>
      <c r="AK744" s="3" t="s">
        <v>46</v>
      </c>
      <c r="AL744" s="3" t="s">
        <v>81</v>
      </c>
      <c r="AM744" s="3" t="s">
        <v>82</v>
      </c>
    </row>
    <row r="745" spans="1:39" ht="21" customHeight="1">
      <c r="A745" s="4">
        <v>43153</v>
      </c>
      <c r="B745" s="3" t="s">
        <v>78</v>
      </c>
      <c r="C745" s="3" t="s">
        <v>79</v>
      </c>
      <c r="D745" s="4">
        <v>43159</v>
      </c>
      <c r="E745" s="3">
        <f t="shared" si="140"/>
        <v>-6</v>
      </c>
      <c r="F745" s="3" t="str">
        <f t="shared" si="141"/>
        <v>개봉전</v>
      </c>
      <c r="G745" s="3" t="str">
        <f t="shared" si="142"/>
        <v>목</v>
      </c>
      <c r="H745" s="3">
        <f t="shared" si="143"/>
        <v>0</v>
      </c>
      <c r="I745" s="3"/>
      <c r="J745" s="3"/>
      <c r="K745" s="3"/>
      <c r="L745" s="12" t="str">
        <f t="shared" si="144"/>
        <v/>
      </c>
      <c r="M745" s="12" t="str">
        <f t="shared" si="145"/>
        <v/>
      </c>
      <c r="N745" s="11" t="str">
        <f t="shared" si="147"/>
        <v/>
      </c>
      <c r="O745" s="11" t="str">
        <f t="shared" si="149"/>
        <v/>
      </c>
      <c r="P745" s="11" t="str">
        <f t="shared" si="150"/>
        <v/>
      </c>
      <c r="Q745" s="7"/>
      <c r="R745" s="7"/>
      <c r="S745" s="7"/>
      <c r="T745" s="7"/>
      <c r="U745" s="7"/>
      <c r="V745" s="7"/>
      <c r="W745" s="7"/>
      <c r="X745" s="3"/>
      <c r="Y745" s="3"/>
      <c r="Z745" s="9">
        <v>4.6980700000000004</v>
      </c>
      <c r="AA745" s="12">
        <f t="shared" si="146"/>
        <v>-0.10894324671358957</v>
      </c>
      <c r="AB745" s="9">
        <f t="shared" si="148"/>
        <v>5.8961814285714285</v>
      </c>
      <c r="AC745" s="9">
        <f t="shared" si="151"/>
        <v>3.4580085714285715</v>
      </c>
      <c r="AD745" s="9">
        <f t="shared" si="152"/>
        <v>1.7050800502023047</v>
      </c>
      <c r="AE745" s="3" t="s">
        <v>80</v>
      </c>
      <c r="AF745" s="11" t="str">
        <f t="shared" si="153"/>
        <v/>
      </c>
      <c r="AG745" s="11" t="str">
        <f t="shared" si="154"/>
        <v/>
      </c>
      <c r="AH745" s="11">
        <f t="shared" si="155"/>
        <v>1.3586056549475627</v>
      </c>
      <c r="AI745" s="3" t="s">
        <v>45</v>
      </c>
      <c r="AJ745" s="3" t="s">
        <v>79</v>
      </c>
      <c r="AK745" s="3" t="s">
        <v>46</v>
      </c>
      <c r="AL745" s="3" t="s">
        <v>81</v>
      </c>
      <c r="AM745" s="3" t="s">
        <v>82</v>
      </c>
    </row>
    <row r="746" spans="1:39" ht="21" customHeight="1">
      <c r="A746" s="4">
        <v>43154</v>
      </c>
      <c r="B746" s="3" t="s">
        <v>78</v>
      </c>
      <c r="C746" s="3" t="s">
        <v>79</v>
      </c>
      <c r="D746" s="4">
        <v>43159</v>
      </c>
      <c r="E746" s="3">
        <f t="shared" si="140"/>
        <v>-5</v>
      </c>
      <c r="F746" s="3" t="str">
        <f t="shared" si="141"/>
        <v>개봉전</v>
      </c>
      <c r="G746" s="3" t="str">
        <f t="shared" si="142"/>
        <v>금</v>
      </c>
      <c r="H746" s="3">
        <f t="shared" si="143"/>
        <v>0</v>
      </c>
      <c r="I746" s="3"/>
      <c r="J746" s="3"/>
      <c r="K746" s="3"/>
      <c r="L746" s="12" t="str">
        <f t="shared" si="144"/>
        <v/>
      </c>
      <c r="M746" s="12" t="str">
        <f t="shared" si="145"/>
        <v/>
      </c>
      <c r="N746" s="11" t="str">
        <f t="shared" si="147"/>
        <v/>
      </c>
      <c r="O746" s="11" t="str">
        <f t="shared" si="149"/>
        <v/>
      </c>
      <c r="P746" s="11" t="str">
        <f t="shared" si="150"/>
        <v/>
      </c>
      <c r="Q746" s="7"/>
      <c r="R746" s="7"/>
      <c r="S746" s="7"/>
      <c r="T746" s="7"/>
      <c r="U746" s="7"/>
      <c r="V746" s="7"/>
      <c r="W746" s="7"/>
      <c r="X746" s="3"/>
      <c r="Y746" s="3"/>
      <c r="Z746" s="9">
        <v>5.8700900000000003</v>
      </c>
      <c r="AA746" s="12">
        <f t="shared" si="146"/>
        <v>0.24946839872543403</v>
      </c>
      <c r="AB746" s="9">
        <f t="shared" si="148"/>
        <v>6.2898285714285711</v>
      </c>
      <c r="AC746" s="9">
        <f t="shared" si="151"/>
        <v>3.5904789285714287</v>
      </c>
      <c r="AD746" s="9">
        <f t="shared" si="152"/>
        <v>1.7518076826400297</v>
      </c>
      <c r="AE746" s="3" t="s">
        <v>80</v>
      </c>
      <c r="AF746" s="11" t="str">
        <f t="shared" si="153"/>
        <v/>
      </c>
      <c r="AG746" s="11" t="str">
        <f t="shared" si="154"/>
        <v/>
      </c>
      <c r="AH746" s="11">
        <f t="shared" si="155"/>
        <v>1.6349044561405011</v>
      </c>
      <c r="AI746" s="3" t="s">
        <v>45</v>
      </c>
      <c r="AJ746" s="3" t="s">
        <v>79</v>
      </c>
      <c r="AK746" s="3" t="s">
        <v>46</v>
      </c>
      <c r="AL746" s="3" t="s">
        <v>81</v>
      </c>
      <c r="AM746" s="3" t="s">
        <v>82</v>
      </c>
    </row>
    <row r="747" spans="1:39" ht="21" customHeight="1">
      <c r="A747" s="4">
        <v>43155</v>
      </c>
      <c r="B747" s="3" t="s">
        <v>78</v>
      </c>
      <c r="C747" s="3" t="s">
        <v>79</v>
      </c>
      <c r="D747" s="4">
        <v>43159</v>
      </c>
      <c r="E747" s="3">
        <f t="shared" si="140"/>
        <v>-4</v>
      </c>
      <c r="F747" s="3" t="str">
        <f t="shared" si="141"/>
        <v>개봉전</v>
      </c>
      <c r="G747" s="3" t="str">
        <f t="shared" si="142"/>
        <v>토</v>
      </c>
      <c r="H747" s="3">
        <f t="shared" si="143"/>
        <v>1</v>
      </c>
      <c r="I747" s="3"/>
      <c r="J747" s="3"/>
      <c r="K747" s="3"/>
      <c r="L747" s="12" t="str">
        <f t="shared" si="144"/>
        <v/>
      </c>
      <c r="M747" s="12" t="str">
        <f t="shared" si="145"/>
        <v/>
      </c>
      <c r="N747" s="11" t="str">
        <f t="shared" si="147"/>
        <v/>
      </c>
      <c r="O747" s="11" t="str">
        <f t="shared" si="149"/>
        <v/>
      </c>
      <c r="P747" s="11" t="str">
        <f t="shared" si="150"/>
        <v/>
      </c>
      <c r="Q747" s="7">
        <v>2</v>
      </c>
      <c r="R747" s="7">
        <v>5</v>
      </c>
      <c r="S747" s="7">
        <v>1332</v>
      </c>
      <c r="T747" s="7">
        <v>6420000</v>
      </c>
      <c r="U747" s="7">
        <v>1212</v>
      </c>
      <c r="V747" s="7">
        <v>14037</v>
      </c>
      <c r="W747" s="7">
        <v>17</v>
      </c>
      <c r="X747" s="3"/>
      <c r="Y747" s="3" t="s">
        <v>83</v>
      </c>
      <c r="Z747" s="9">
        <v>4.4727100000000002</v>
      </c>
      <c r="AA747" s="12">
        <f t="shared" si="146"/>
        <v>-0.2380508646375098</v>
      </c>
      <c r="AB747" s="9">
        <f t="shared" si="148"/>
        <v>5.2673342857142851</v>
      </c>
      <c r="AC747" s="9">
        <f t="shared" si="151"/>
        <v>3.7649396428571431</v>
      </c>
      <c r="AD747" s="9">
        <f t="shared" si="152"/>
        <v>1.3990487990179312</v>
      </c>
      <c r="AE747" s="3" t="s">
        <v>80</v>
      </c>
      <c r="AF747" s="11" t="str">
        <f t="shared" si="153"/>
        <v/>
      </c>
      <c r="AG747" s="11" t="str">
        <f t="shared" si="154"/>
        <v/>
      </c>
      <c r="AH747" s="11">
        <f t="shared" si="155"/>
        <v>1.1879898283324783</v>
      </c>
      <c r="AI747" s="3" t="s">
        <v>45</v>
      </c>
      <c r="AJ747" s="3" t="s">
        <v>79</v>
      </c>
      <c r="AK747" s="3" t="s">
        <v>46</v>
      </c>
      <c r="AL747" s="3" t="s">
        <v>81</v>
      </c>
      <c r="AM747" s="3" t="s">
        <v>82</v>
      </c>
    </row>
    <row r="748" spans="1:39" ht="21" customHeight="1">
      <c r="A748" s="4">
        <v>43156</v>
      </c>
      <c r="B748" s="3" t="s">
        <v>78</v>
      </c>
      <c r="C748" s="3" t="s">
        <v>79</v>
      </c>
      <c r="D748" s="4">
        <v>43159</v>
      </c>
      <c r="E748" s="3">
        <f t="shared" si="140"/>
        <v>-3</v>
      </c>
      <c r="F748" s="3" t="str">
        <f t="shared" si="141"/>
        <v>개봉전</v>
      </c>
      <c r="G748" s="3" t="str">
        <f t="shared" si="142"/>
        <v>일</v>
      </c>
      <c r="H748" s="3">
        <f t="shared" si="143"/>
        <v>1</v>
      </c>
      <c r="I748" s="3"/>
      <c r="J748" s="3"/>
      <c r="K748" s="3"/>
      <c r="L748" s="12" t="str">
        <f t="shared" si="144"/>
        <v/>
      </c>
      <c r="M748" s="12" t="str">
        <f t="shared" si="145"/>
        <v/>
      </c>
      <c r="N748" s="11" t="str">
        <f t="shared" si="147"/>
        <v/>
      </c>
      <c r="O748" s="11" t="str">
        <f t="shared" si="149"/>
        <v/>
      </c>
      <c r="P748" s="11" t="str">
        <f t="shared" si="150"/>
        <v/>
      </c>
      <c r="Q748" s="7">
        <v>2</v>
      </c>
      <c r="R748" s="7">
        <v>2</v>
      </c>
      <c r="S748" s="7">
        <v>207</v>
      </c>
      <c r="T748" s="7">
        <v>1559000</v>
      </c>
      <c r="U748" s="7">
        <v>207</v>
      </c>
      <c r="V748" s="7">
        <v>14244</v>
      </c>
      <c r="W748" s="7">
        <v>34</v>
      </c>
      <c r="X748" s="3"/>
      <c r="Y748" s="3" t="s">
        <v>83</v>
      </c>
      <c r="Z748" s="9">
        <v>23.63935</v>
      </c>
      <c r="AA748" s="12">
        <f t="shared" si="146"/>
        <v>4.2852409389385855</v>
      </c>
      <c r="AB748" s="9">
        <f t="shared" si="148"/>
        <v>8.1089342857142874</v>
      </c>
      <c r="AC748" s="9">
        <f t="shared" si="151"/>
        <v>3.8944835714285722</v>
      </c>
      <c r="AD748" s="9">
        <f t="shared" si="152"/>
        <v>2.0821590685873077</v>
      </c>
      <c r="AE748" s="3" t="s">
        <v>80</v>
      </c>
      <c r="AF748" s="11" t="str">
        <f t="shared" si="153"/>
        <v/>
      </c>
      <c r="AG748" s="11" t="str">
        <f t="shared" si="154"/>
        <v/>
      </c>
      <c r="AH748" s="11">
        <f t="shared" si="155"/>
        <v>6.0699575608502636</v>
      </c>
      <c r="AI748" s="3" t="s">
        <v>45</v>
      </c>
      <c r="AJ748" s="3" t="s">
        <v>79</v>
      </c>
      <c r="AK748" s="3" t="s">
        <v>46</v>
      </c>
      <c r="AL748" s="3" t="s">
        <v>81</v>
      </c>
      <c r="AM748" s="3" t="s">
        <v>82</v>
      </c>
    </row>
    <row r="749" spans="1:39" ht="21" customHeight="1">
      <c r="A749" s="4">
        <v>43157</v>
      </c>
      <c r="B749" s="3" t="s">
        <v>78</v>
      </c>
      <c r="C749" s="3" t="s">
        <v>79</v>
      </c>
      <c r="D749" s="4">
        <v>43159</v>
      </c>
      <c r="E749" s="3">
        <f t="shared" si="140"/>
        <v>-2</v>
      </c>
      <c r="F749" s="3" t="str">
        <f t="shared" si="141"/>
        <v>개봉전</v>
      </c>
      <c r="G749" s="3" t="str">
        <f t="shared" si="142"/>
        <v>월</v>
      </c>
      <c r="H749" s="3">
        <f t="shared" si="143"/>
        <v>0</v>
      </c>
      <c r="I749" s="3"/>
      <c r="J749" s="3"/>
      <c r="K749" s="3"/>
      <c r="L749" s="12" t="str">
        <f t="shared" si="144"/>
        <v/>
      </c>
      <c r="M749" s="12" t="str">
        <f t="shared" si="145"/>
        <v/>
      </c>
      <c r="N749" s="11" t="str">
        <f t="shared" si="147"/>
        <v/>
      </c>
      <c r="O749" s="11" t="str">
        <f t="shared" si="149"/>
        <v/>
      </c>
      <c r="P749" s="11" t="str">
        <f t="shared" si="150"/>
        <v/>
      </c>
      <c r="Q749" s="7"/>
      <c r="R749" s="7"/>
      <c r="S749" s="7"/>
      <c r="T749" s="7"/>
      <c r="U749" s="7"/>
      <c r="V749" s="7"/>
      <c r="W749" s="7"/>
      <c r="X749" s="3"/>
      <c r="Y749" s="3"/>
      <c r="Z749" s="9">
        <v>16.259550000000001</v>
      </c>
      <c r="AA749" s="12">
        <f t="shared" si="146"/>
        <v>-0.31218286458807032</v>
      </c>
      <c r="AB749" s="9">
        <f t="shared" si="148"/>
        <v>9.5652600000000003</v>
      </c>
      <c r="AC749" s="9">
        <f t="shared" si="151"/>
        <v>4.7054589285714297</v>
      </c>
      <c r="AD749" s="9">
        <f t="shared" si="152"/>
        <v>2.0328006566840866</v>
      </c>
      <c r="AE749" s="3" t="s">
        <v>80</v>
      </c>
      <c r="AF749" s="11" t="str">
        <f t="shared" si="153"/>
        <v/>
      </c>
      <c r="AG749" s="11" t="str">
        <f t="shared" si="154"/>
        <v/>
      </c>
      <c r="AH749" s="11">
        <f t="shared" si="155"/>
        <v>3.4554652897451548</v>
      </c>
      <c r="AI749" s="3" t="s">
        <v>45</v>
      </c>
      <c r="AJ749" s="3" t="s">
        <v>79</v>
      </c>
      <c r="AK749" s="3" t="s">
        <v>46</v>
      </c>
      <c r="AL749" s="3" t="s">
        <v>81</v>
      </c>
      <c r="AM749" s="3" t="s">
        <v>82</v>
      </c>
    </row>
    <row r="750" spans="1:39" ht="21" customHeight="1">
      <c r="A750" s="4">
        <v>43158</v>
      </c>
      <c r="B750" s="3" t="s">
        <v>78</v>
      </c>
      <c r="C750" s="3" t="s">
        <v>79</v>
      </c>
      <c r="D750" s="4">
        <v>43159</v>
      </c>
      <c r="E750" s="3">
        <f t="shared" si="140"/>
        <v>-1</v>
      </c>
      <c r="F750" s="3" t="str">
        <f t="shared" si="141"/>
        <v>개봉전</v>
      </c>
      <c r="G750" s="3" t="str">
        <f t="shared" si="142"/>
        <v>화</v>
      </c>
      <c r="H750" s="3">
        <f t="shared" si="143"/>
        <v>0</v>
      </c>
      <c r="I750" s="3"/>
      <c r="J750" s="3"/>
      <c r="K750" s="3"/>
      <c r="L750" s="12" t="str">
        <f t="shared" si="144"/>
        <v/>
      </c>
      <c r="M750" s="12" t="str">
        <f t="shared" si="145"/>
        <v/>
      </c>
      <c r="N750" s="11" t="str">
        <f t="shared" si="147"/>
        <v/>
      </c>
      <c r="O750" s="11" t="str">
        <f t="shared" si="149"/>
        <v/>
      </c>
      <c r="P750" s="11" t="str">
        <f t="shared" si="150"/>
        <v/>
      </c>
      <c r="Q750" s="7">
        <v>10</v>
      </c>
      <c r="R750" s="7">
        <v>10</v>
      </c>
      <c r="S750" s="7">
        <v>1750</v>
      </c>
      <c r="T750" s="7">
        <v>12106000</v>
      </c>
      <c r="U750" s="7">
        <v>1354</v>
      </c>
      <c r="V750" s="7">
        <v>15598</v>
      </c>
      <c r="W750" s="7">
        <v>17</v>
      </c>
      <c r="X750" s="3"/>
      <c r="Y750" s="3" t="s">
        <v>83</v>
      </c>
      <c r="Z750" s="9">
        <v>25.7773</v>
      </c>
      <c r="AA750" s="12">
        <f t="shared" si="146"/>
        <v>0.58536367857659033</v>
      </c>
      <c r="AB750" s="9">
        <f t="shared" si="148"/>
        <v>12.284220000000001</v>
      </c>
      <c r="AC750" s="9">
        <f t="shared" si="151"/>
        <v>5.248277857142857</v>
      </c>
      <c r="AD750" s="9">
        <f t="shared" si="152"/>
        <v>2.340619215364387</v>
      </c>
      <c r="AE750" s="3" t="s">
        <v>80</v>
      </c>
      <c r="AF750" s="11" t="str">
        <f t="shared" si="153"/>
        <v/>
      </c>
      <c r="AG750" s="11" t="str">
        <f t="shared" si="154"/>
        <v/>
      </c>
      <c r="AH750" s="11">
        <f t="shared" si="155"/>
        <v>4.9115730343654223</v>
      </c>
      <c r="AI750" s="3" t="s">
        <v>45</v>
      </c>
      <c r="AJ750" s="3" t="s">
        <v>79</v>
      </c>
      <c r="AK750" s="3" t="s">
        <v>46</v>
      </c>
      <c r="AL750" s="3" t="s">
        <v>81</v>
      </c>
      <c r="AM750" s="3" t="s">
        <v>82</v>
      </c>
    </row>
    <row r="751" spans="1:39" ht="21" customHeight="1">
      <c r="A751" s="4">
        <v>43159</v>
      </c>
      <c r="B751" s="3" t="s">
        <v>78</v>
      </c>
      <c r="C751" s="3" t="s">
        <v>79</v>
      </c>
      <c r="D751" s="4">
        <v>43159</v>
      </c>
      <c r="E751" s="3">
        <f t="shared" si="140"/>
        <v>0</v>
      </c>
      <c r="F751" s="3" t="str">
        <f t="shared" si="141"/>
        <v>개봉후</v>
      </c>
      <c r="G751" s="3" t="str">
        <f t="shared" si="142"/>
        <v>수</v>
      </c>
      <c r="H751" s="3">
        <f t="shared" si="143"/>
        <v>0</v>
      </c>
      <c r="I751" s="3"/>
      <c r="J751" s="3"/>
      <c r="K751" s="3"/>
      <c r="L751" s="12" t="str">
        <f t="shared" si="144"/>
        <v/>
      </c>
      <c r="M751" s="12" t="str">
        <f t="shared" si="145"/>
        <v/>
      </c>
      <c r="N751" s="11" t="str">
        <f t="shared" si="147"/>
        <v/>
      </c>
      <c r="O751" s="11" t="str">
        <f t="shared" si="149"/>
        <v/>
      </c>
      <c r="P751" s="11" t="str">
        <f t="shared" si="150"/>
        <v/>
      </c>
      <c r="Q751" s="7">
        <v>831</v>
      </c>
      <c r="R751" s="7">
        <v>4188</v>
      </c>
      <c r="S751" s="7">
        <v>761215</v>
      </c>
      <c r="T751" s="7">
        <v>779250900</v>
      </c>
      <c r="U751" s="7">
        <v>131350</v>
      </c>
      <c r="V751" s="7">
        <v>146948</v>
      </c>
      <c r="W751" s="7">
        <v>2</v>
      </c>
      <c r="X751" s="3"/>
      <c r="Y751" s="3" t="s">
        <v>83</v>
      </c>
      <c r="Z751" s="9">
        <v>100</v>
      </c>
      <c r="AA751" s="12">
        <f t="shared" si="146"/>
        <v>2.8793822471709603</v>
      </c>
      <c r="AB751" s="9">
        <f t="shared" si="148"/>
        <v>25.816724285714287</v>
      </c>
      <c r="AC751" s="9">
        <f t="shared" si="151"/>
        <v>6.057810714285714</v>
      </c>
      <c r="AD751" s="9">
        <f t="shared" si="152"/>
        <v>4.2617251517668748</v>
      </c>
      <c r="AE751" s="3" t="s">
        <v>80</v>
      </c>
      <c r="AF751" s="11" t="str">
        <f t="shared" si="153"/>
        <v/>
      </c>
      <c r="AG751" s="11" t="str">
        <f t="shared" si="154"/>
        <v/>
      </c>
      <c r="AH751" s="11">
        <f t="shared" si="155"/>
        <v>16.507613842105854</v>
      </c>
      <c r="AI751" s="3" t="s">
        <v>45</v>
      </c>
      <c r="AJ751" s="3" t="s">
        <v>79</v>
      </c>
      <c r="AK751" s="3" t="s">
        <v>46</v>
      </c>
      <c r="AL751" s="3" t="s">
        <v>81</v>
      </c>
      <c r="AM751" s="3" t="s">
        <v>82</v>
      </c>
    </row>
    <row r="752" spans="1:39" ht="21" customHeight="1">
      <c r="A752" s="4">
        <v>43160</v>
      </c>
      <c r="B752" s="3" t="s">
        <v>78</v>
      </c>
      <c r="C752" s="3" t="s">
        <v>79</v>
      </c>
      <c r="D752" s="4">
        <v>43159</v>
      </c>
      <c r="E752" s="3">
        <f t="shared" si="140"/>
        <v>1</v>
      </c>
      <c r="F752" s="3" t="str">
        <f t="shared" si="141"/>
        <v>개봉후</v>
      </c>
      <c r="G752" s="3" t="str">
        <f t="shared" si="142"/>
        <v>목</v>
      </c>
      <c r="H752" s="3">
        <f t="shared" si="143"/>
        <v>0</v>
      </c>
      <c r="I752" s="3"/>
      <c r="J752" s="3"/>
      <c r="K752" s="3"/>
      <c r="L752" s="12" t="str">
        <f t="shared" si="144"/>
        <v/>
      </c>
      <c r="M752" s="12" t="str">
        <f t="shared" si="145"/>
        <v/>
      </c>
      <c r="N752" s="11" t="str">
        <f t="shared" si="147"/>
        <v/>
      </c>
      <c r="O752" s="11" t="str">
        <f t="shared" si="149"/>
        <v/>
      </c>
      <c r="P752" s="11" t="str">
        <f t="shared" si="150"/>
        <v/>
      </c>
      <c r="Q752" s="7">
        <v>884</v>
      </c>
      <c r="R752" s="7">
        <v>4274</v>
      </c>
      <c r="S752" s="7">
        <v>782367</v>
      </c>
      <c r="T752" s="7">
        <v>1385057900</v>
      </c>
      <c r="U752" s="7">
        <v>167097</v>
      </c>
      <c r="V752" s="7">
        <v>314045</v>
      </c>
      <c r="W752" s="7">
        <v>2</v>
      </c>
      <c r="X752" s="3"/>
      <c r="Y752" s="3" t="s">
        <v>83</v>
      </c>
      <c r="Z752" s="9">
        <v>58.485320000000002</v>
      </c>
      <c r="AA752" s="12">
        <f t="shared" si="146"/>
        <v>-0.41514680000000004</v>
      </c>
      <c r="AB752" s="9">
        <f t="shared" si="148"/>
        <v>33.500617142857145</v>
      </c>
      <c r="AC752" s="9">
        <f t="shared" si="151"/>
        <v>9.5616782142857151</v>
      </c>
      <c r="AD752" s="9">
        <f t="shared" si="152"/>
        <v>3.5036336082514503</v>
      </c>
      <c r="AE752" s="3" t="s">
        <v>80</v>
      </c>
      <c r="AF752" s="11" t="str">
        <f t="shared" si="153"/>
        <v/>
      </c>
      <c r="AG752" s="11" t="str">
        <f t="shared" si="154"/>
        <v/>
      </c>
      <c r="AH752" s="11">
        <f t="shared" si="155"/>
        <v>6.1166375493184306</v>
      </c>
      <c r="AI752" s="3" t="s">
        <v>45</v>
      </c>
      <c r="AJ752" s="3" t="s">
        <v>79</v>
      </c>
      <c r="AK752" s="3" t="s">
        <v>46</v>
      </c>
      <c r="AL752" s="3" t="s">
        <v>81</v>
      </c>
      <c r="AM752" s="3" t="s">
        <v>82</v>
      </c>
    </row>
    <row r="753" spans="1:39" ht="21" customHeight="1">
      <c r="A753" s="4">
        <v>43161</v>
      </c>
      <c r="B753" s="3" t="s">
        <v>78</v>
      </c>
      <c r="C753" s="3" t="s">
        <v>79</v>
      </c>
      <c r="D753" s="4">
        <v>43159</v>
      </c>
      <c r="E753" s="3">
        <f t="shared" si="140"/>
        <v>2</v>
      </c>
      <c r="F753" s="3" t="str">
        <f t="shared" si="141"/>
        <v>개봉후</v>
      </c>
      <c r="G753" s="3" t="str">
        <f t="shared" si="142"/>
        <v>금</v>
      </c>
      <c r="H753" s="3">
        <f t="shared" si="143"/>
        <v>0</v>
      </c>
      <c r="I753" s="3"/>
      <c r="J753" s="3"/>
      <c r="K753" s="3"/>
      <c r="L753" s="12" t="str">
        <f t="shared" si="144"/>
        <v/>
      </c>
      <c r="M753" s="12" t="str">
        <f t="shared" si="145"/>
        <v/>
      </c>
      <c r="N753" s="11" t="str">
        <f t="shared" si="147"/>
        <v/>
      </c>
      <c r="O753" s="11" t="str">
        <f t="shared" si="149"/>
        <v/>
      </c>
      <c r="P753" s="11" t="str">
        <f t="shared" si="150"/>
        <v/>
      </c>
      <c r="Q753" s="7">
        <v>830</v>
      </c>
      <c r="R753" s="7">
        <v>4101</v>
      </c>
      <c r="S753" s="7">
        <v>746023</v>
      </c>
      <c r="T753" s="7">
        <v>658080114</v>
      </c>
      <c r="U753" s="7">
        <v>78782</v>
      </c>
      <c r="V753" s="7">
        <v>392827</v>
      </c>
      <c r="W753" s="7">
        <v>2</v>
      </c>
      <c r="X753" s="3"/>
      <c r="Y753" s="3" t="s">
        <v>83</v>
      </c>
      <c r="Z753" s="9">
        <v>50.684530000000002</v>
      </c>
      <c r="AA753" s="12">
        <f t="shared" si="146"/>
        <v>-0.13338030808414825</v>
      </c>
      <c r="AB753" s="9">
        <f t="shared" si="148"/>
        <v>39.902679999999997</v>
      </c>
      <c r="AC753" s="9">
        <f t="shared" si="151"/>
        <v>11.392884999999998</v>
      </c>
      <c r="AD753" s="9">
        <f t="shared" si="152"/>
        <v>3.5024210285630026</v>
      </c>
      <c r="AE753" s="3" t="s">
        <v>80</v>
      </c>
      <c r="AF753" s="11" t="str">
        <f t="shared" si="153"/>
        <v/>
      </c>
      <c r="AG753" s="11" t="str">
        <f t="shared" si="154"/>
        <v/>
      </c>
      <c r="AH753" s="11">
        <f t="shared" si="155"/>
        <v>4.4487879935591392</v>
      </c>
      <c r="AI753" s="3" t="s">
        <v>45</v>
      </c>
      <c r="AJ753" s="3" t="s">
        <v>79</v>
      </c>
      <c r="AK753" s="3" t="s">
        <v>46</v>
      </c>
      <c r="AL753" s="3" t="s">
        <v>81</v>
      </c>
      <c r="AM753" s="3" t="s">
        <v>82</v>
      </c>
    </row>
    <row r="754" spans="1:39" ht="21" customHeight="1">
      <c r="A754" s="4">
        <v>43162</v>
      </c>
      <c r="B754" s="3" t="s">
        <v>78</v>
      </c>
      <c r="C754" s="3" t="s">
        <v>79</v>
      </c>
      <c r="D754" s="4">
        <v>43159</v>
      </c>
      <c r="E754" s="3">
        <f t="shared" si="140"/>
        <v>3</v>
      </c>
      <c r="F754" s="3" t="str">
        <f t="shared" si="141"/>
        <v>개봉후</v>
      </c>
      <c r="G754" s="3" t="str">
        <f t="shared" si="142"/>
        <v>토</v>
      </c>
      <c r="H754" s="3">
        <f t="shared" si="143"/>
        <v>1</v>
      </c>
      <c r="I754" s="3"/>
      <c r="J754" s="3"/>
      <c r="K754" s="3"/>
      <c r="L754" s="12" t="str">
        <f t="shared" si="144"/>
        <v/>
      </c>
      <c r="M754" s="12" t="str">
        <f t="shared" si="145"/>
        <v/>
      </c>
      <c r="N754" s="11" t="str">
        <f t="shared" si="147"/>
        <v/>
      </c>
      <c r="O754" s="11" t="str">
        <f t="shared" si="149"/>
        <v/>
      </c>
      <c r="P754" s="11" t="str">
        <f t="shared" si="150"/>
        <v/>
      </c>
      <c r="Q754" s="7">
        <v>830</v>
      </c>
      <c r="R754" s="7">
        <v>3950</v>
      </c>
      <c r="S754" s="7">
        <v>688338</v>
      </c>
      <c r="T754" s="7">
        <v>1292433216</v>
      </c>
      <c r="U754" s="7">
        <v>154014</v>
      </c>
      <c r="V754" s="7">
        <v>546841</v>
      </c>
      <c r="W754" s="7">
        <v>2</v>
      </c>
      <c r="X754" s="3"/>
      <c r="Y754" s="3" t="s">
        <v>83</v>
      </c>
      <c r="Z754" s="9">
        <v>38.850580000000001</v>
      </c>
      <c r="AA754" s="12">
        <f t="shared" si="146"/>
        <v>-0.23348248469503419</v>
      </c>
      <c r="AB754" s="9">
        <f t="shared" si="148"/>
        <v>44.813804285714284</v>
      </c>
      <c r="AC754" s="9">
        <f t="shared" si="151"/>
        <v>13.121792857142859</v>
      </c>
      <c r="AD754" s="9">
        <f t="shared" si="152"/>
        <v>3.4152196101251402</v>
      </c>
      <c r="AE754" s="3" t="s">
        <v>80</v>
      </c>
      <c r="AF754" s="11" t="str">
        <f t="shared" si="153"/>
        <v/>
      </c>
      <c r="AG754" s="11" t="str">
        <f t="shared" si="154"/>
        <v/>
      </c>
      <c r="AH754" s="11">
        <f t="shared" si="155"/>
        <v>2.9607676651328676</v>
      </c>
      <c r="AI754" s="3" t="s">
        <v>45</v>
      </c>
      <c r="AJ754" s="3" t="s">
        <v>79</v>
      </c>
      <c r="AK754" s="3" t="s">
        <v>46</v>
      </c>
      <c r="AL754" s="3" t="s">
        <v>81</v>
      </c>
      <c r="AM754" s="3" t="s">
        <v>82</v>
      </c>
    </row>
    <row r="755" spans="1:39" ht="21" customHeight="1">
      <c r="A755" s="4">
        <v>43163</v>
      </c>
      <c r="B755" s="3" t="s">
        <v>78</v>
      </c>
      <c r="C755" s="3" t="s">
        <v>79</v>
      </c>
      <c r="D755" s="4">
        <v>43159</v>
      </c>
      <c r="E755" s="3">
        <f t="shared" si="140"/>
        <v>4</v>
      </c>
      <c r="F755" s="3" t="str">
        <f t="shared" si="141"/>
        <v>개봉후</v>
      </c>
      <c r="G755" s="3" t="str">
        <f t="shared" si="142"/>
        <v>일</v>
      </c>
      <c r="H755" s="3">
        <f t="shared" si="143"/>
        <v>1</v>
      </c>
      <c r="I755" s="3"/>
      <c r="J755" s="3"/>
      <c r="K755" s="3"/>
      <c r="L755" s="12" t="str">
        <f t="shared" si="144"/>
        <v/>
      </c>
      <c r="M755" s="12" t="str">
        <f t="shared" si="145"/>
        <v/>
      </c>
      <c r="N755" s="11" t="str">
        <f t="shared" si="147"/>
        <v/>
      </c>
      <c r="O755" s="11" t="str">
        <f t="shared" si="149"/>
        <v/>
      </c>
      <c r="P755" s="11" t="str">
        <f t="shared" si="150"/>
        <v/>
      </c>
      <c r="Q755" s="7">
        <v>833</v>
      </c>
      <c r="R755" s="7">
        <v>3861</v>
      </c>
      <c r="S755" s="7">
        <v>667081</v>
      </c>
      <c r="T755" s="7">
        <v>1167919900</v>
      </c>
      <c r="U755" s="7">
        <v>139732</v>
      </c>
      <c r="V755" s="7">
        <v>686573</v>
      </c>
      <c r="W755" s="7">
        <v>2</v>
      </c>
      <c r="X755" s="3"/>
      <c r="Y755" s="3" t="s">
        <v>83</v>
      </c>
      <c r="Z755" s="9">
        <v>40.778260000000003</v>
      </c>
      <c r="AA755" s="12">
        <f t="shared" si="146"/>
        <v>4.9617792063850752E-2</v>
      </c>
      <c r="AB755" s="9">
        <f t="shared" si="148"/>
        <v>47.262219999999999</v>
      </c>
      <c r="AC755" s="9">
        <f t="shared" si="151"/>
        <v>14.436920357142856</v>
      </c>
      <c r="AD755" s="9">
        <f t="shared" si="152"/>
        <v>3.2737051137513822</v>
      </c>
      <c r="AE755" s="3" t="s">
        <v>80</v>
      </c>
      <c r="AF755" s="11" t="str">
        <f t="shared" si="153"/>
        <v/>
      </c>
      <c r="AG755" s="11" t="str">
        <f t="shared" si="154"/>
        <v/>
      </c>
      <c r="AH755" s="11">
        <f t="shared" si="155"/>
        <v>2.8245816276062246</v>
      </c>
      <c r="AI755" s="3" t="s">
        <v>45</v>
      </c>
      <c r="AJ755" s="3" t="s">
        <v>79</v>
      </c>
      <c r="AK755" s="3" t="s">
        <v>46</v>
      </c>
      <c r="AL755" s="3" t="s">
        <v>81</v>
      </c>
      <c r="AM755" s="3" t="s">
        <v>82</v>
      </c>
    </row>
    <row r="756" spans="1:39" ht="21" customHeight="1">
      <c r="A756" s="4">
        <v>43164</v>
      </c>
      <c r="B756" s="3" t="s">
        <v>78</v>
      </c>
      <c r="C756" s="3" t="s">
        <v>79</v>
      </c>
      <c r="D756" s="4">
        <v>43159</v>
      </c>
      <c r="E756" s="3">
        <f t="shared" si="140"/>
        <v>5</v>
      </c>
      <c r="F756" s="3" t="str">
        <f t="shared" si="141"/>
        <v>개봉후</v>
      </c>
      <c r="G756" s="3" t="str">
        <f t="shared" si="142"/>
        <v>월</v>
      </c>
      <c r="H756" s="3">
        <f t="shared" si="143"/>
        <v>0</v>
      </c>
      <c r="I756" s="3"/>
      <c r="J756" s="3"/>
      <c r="K756" s="3"/>
      <c r="L756" s="12" t="str">
        <f t="shared" si="144"/>
        <v/>
      </c>
      <c r="M756" s="12" t="str">
        <f t="shared" si="145"/>
        <v/>
      </c>
      <c r="N756" s="11" t="str">
        <f t="shared" si="147"/>
        <v/>
      </c>
      <c r="O756" s="11" t="str">
        <f t="shared" si="149"/>
        <v/>
      </c>
      <c r="P756" s="11" t="str">
        <f t="shared" si="150"/>
        <v/>
      </c>
      <c r="Q756" s="7">
        <v>751</v>
      </c>
      <c r="R756" s="7">
        <v>3710</v>
      </c>
      <c r="S756" s="7">
        <v>625077</v>
      </c>
      <c r="T756" s="7">
        <v>385233100</v>
      </c>
      <c r="U756" s="7">
        <v>50835</v>
      </c>
      <c r="V756" s="7">
        <v>737408</v>
      </c>
      <c r="W756" s="7">
        <v>2</v>
      </c>
      <c r="X756" s="3"/>
      <c r="Y756" s="3" t="s">
        <v>83</v>
      </c>
      <c r="Z756" s="9">
        <v>23.94407</v>
      </c>
      <c r="AA756" s="12">
        <f t="shared" si="146"/>
        <v>-0.41282266580280769</v>
      </c>
      <c r="AB756" s="9">
        <f t="shared" si="148"/>
        <v>48.360008571428573</v>
      </c>
      <c r="AC756" s="9">
        <f t="shared" si="151"/>
        <v>15.82504607142857</v>
      </c>
      <c r="AD756" s="9">
        <f t="shared" si="152"/>
        <v>3.0559158155463733</v>
      </c>
      <c r="AE756" s="3" t="s">
        <v>80</v>
      </c>
      <c r="AF756" s="11" t="str">
        <f t="shared" si="153"/>
        <v/>
      </c>
      <c r="AG756" s="11" t="str">
        <f t="shared" si="154"/>
        <v/>
      </c>
      <c r="AH756" s="11">
        <f t="shared" si="155"/>
        <v>1.513048991574816</v>
      </c>
      <c r="AI756" s="3" t="s">
        <v>45</v>
      </c>
      <c r="AJ756" s="3" t="s">
        <v>79</v>
      </c>
      <c r="AK756" s="3" t="s">
        <v>46</v>
      </c>
      <c r="AL756" s="3" t="s">
        <v>81</v>
      </c>
      <c r="AM756" s="3" t="s">
        <v>82</v>
      </c>
    </row>
    <row r="757" spans="1:39" ht="21" customHeight="1">
      <c r="A757" s="4">
        <v>43165</v>
      </c>
      <c r="B757" s="3" t="s">
        <v>78</v>
      </c>
      <c r="C757" s="3" t="s">
        <v>79</v>
      </c>
      <c r="D757" s="4">
        <v>43159</v>
      </c>
      <c r="E757" s="3">
        <f t="shared" si="140"/>
        <v>6</v>
      </c>
      <c r="F757" s="3" t="str">
        <f t="shared" si="141"/>
        <v>개봉후</v>
      </c>
      <c r="G757" s="3" t="str">
        <f t="shared" si="142"/>
        <v>화</v>
      </c>
      <c r="H757" s="3">
        <f t="shared" si="143"/>
        <v>0</v>
      </c>
      <c r="I757" s="3"/>
      <c r="J757" s="3"/>
      <c r="K757" s="3"/>
      <c r="L757" s="12" t="str">
        <f t="shared" si="144"/>
        <v/>
      </c>
      <c r="M757" s="12" t="str">
        <f t="shared" si="145"/>
        <v/>
      </c>
      <c r="N757" s="11" t="str">
        <f t="shared" si="147"/>
        <v/>
      </c>
      <c r="O757" s="11" t="str">
        <f t="shared" si="149"/>
        <v/>
      </c>
      <c r="P757" s="11" t="str">
        <f t="shared" si="150"/>
        <v/>
      </c>
      <c r="Q757" s="7">
        <v>766</v>
      </c>
      <c r="R757" s="7">
        <v>3711</v>
      </c>
      <c r="S757" s="7">
        <v>623848</v>
      </c>
      <c r="T757" s="7">
        <v>359487700</v>
      </c>
      <c r="U757" s="7">
        <v>47876</v>
      </c>
      <c r="V757" s="7">
        <v>785284</v>
      </c>
      <c r="W757" s="7">
        <v>2</v>
      </c>
      <c r="X757" s="3"/>
      <c r="Y757" s="3" t="s">
        <v>83</v>
      </c>
      <c r="Z757" s="9">
        <v>17.50328</v>
      </c>
      <c r="AA757" s="12">
        <f t="shared" si="146"/>
        <v>-0.2689931160408402</v>
      </c>
      <c r="AB757" s="9">
        <f t="shared" si="148"/>
        <v>47.178005714285725</v>
      </c>
      <c r="AC757" s="9">
        <f t="shared" si="151"/>
        <v>16.61878892857143</v>
      </c>
      <c r="AD757" s="9">
        <f t="shared" si="152"/>
        <v>2.8388353638198112</v>
      </c>
      <c r="AE757" s="3" t="s">
        <v>80</v>
      </c>
      <c r="AF757" s="11" t="str">
        <f t="shared" si="153"/>
        <v/>
      </c>
      <c r="AG757" s="11" t="str">
        <f t="shared" si="154"/>
        <v/>
      </c>
      <c r="AH757" s="11">
        <f t="shared" si="155"/>
        <v>1.0532223542419468</v>
      </c>
      <c r="AI757" s="3" t="s">
        <v>45</v>
      </c>
      <c r="AJ757" s="3" t="s">
        <v>79</v>
      </c>
      <c r="AK757" s="3" t="s">
        <v>46</v>
      </c>
      <c r="AL757" s="3" t="s">
        <v>81</v>
      </c>
      <c r="AM757" s="3" t="s">
        <v>82</v>
      </c>
    </row>
    <row r="758" spans="1:39" ht="21" customHeight="1">
      <c r="A758" s="4">
        <v>43166</v>
      </c>
      <c r="B758" s="3" t="s">
        <v>78</v>
      </c>
      <c r="C758" s="3" t="s">
        <v>79</v>
      </c>
      <c r="D758" s="4">
        <v>43159</v>
      </c>
      <c r="E758" s="3">
        <f t="shared" si="140"/>
        <v>7</v>
      </c>
      <c r="F758" s="3" t="str">
        <f t="shared" si="141"/>
        <v>개봉후</v>
      </c>
      <c r="G758" s="3" t="str">
        <f t="shared" si="142"/>
        <v>수</v>
      </c>
      <c r="H758" s="3">
        <f t="shared" si="143"/>
        <v>0</v>
      </c>
      <c r="I758" s="3"/>
      <c r="J758" s="3"/>
      <c r="K758" s="3"/>
      <c r="L758" s="12" t="str">
        <f t="shared" si="144"/>
        <v/>
      </c>
      <c r="M758" s="12" t="str">
        <f t="shared" si="145"/>
        <v/>
      </c>
      <c r="N758" s="11" t="str">
        <f t="shared" si="147"/>
        <v/>
      </c>
      <c r="O758" s="11" t="str">
        <f t="shared" si="149"/>
        <v/>
      </c>
      <c r="P758" s="11" t="str">
        <f t="shared" si="150"/>
        <v/>
      </c>
      <c r="Q758" s="7">
        <v>666</v>
      </c>
      <c r="R758" s="7">
        <v>3095</v>
      </c>
      <c r="S758" s="7">
        <v>507066</v>
      </c>
      <c r="T758" s="7">
        <v>303065600</v>
      </c>
      <c r="U758" s="7">
        <v>40047</v>
      </c>
      <c r="V758" s="7">
        <v>825331</v>
      </c>
      <c r="W758" s="7">
        <v>3</v>
      </c>
      <c r="X758" s="3"/>
      <c r="Y758" s="3" t="s">
        <v>83</v>
      </c>
      <c r="Z758" s="9">
        <v>16.753419999999998</v>
      </c>
      <c r="AA758" s="12">
        <f t="shared" si="146"/>
        <v>-4.2841113208495929E-2</v>
      </c>
      <c r="AB758" s="9">
        <f t="shared" si="148"/>
        <v>35.285637142857148</v>
      </c>
      <c r="AC758" s="9">
        <f t="shared" si="151"/>
        <v>17.085127857142858</v>
      </c>
      <c r="AD758" s="9">
        <f t="shared" si="152"/>
        <v>2.0652837624568972</v>
      </c>
      <c r="AE758" s="3" t="s">
        <v>80</v>
      </c>
      <c r="AF758" s="11" t="str">
        <f t="shared" si="153"/>
        <v/>
      </c>
      <c r="AG758" s="11" t="str">
        <f t="shared" si="154"/>
        <v/>
      </c>
      <c r="AH758" s="11">
        <f t="shared" si="155"/>
        <v>0.98058499415887124</v>
      </c>
      <c r="AI758" s="3" t="s">
        <v>45</v>
      </c>
      <c r="AJ758" s="3" t="s">
        <v>79</v>
      </c>
      <c r="AK758" s="3" t="s">
        <v>46</v>
      </c>
      <c r="AL758" s="3" t="s">
        <v>81</v>
      </c>
      <c r="AM758" s="3" t="s">
        <v>82</v>
      </c>
    </row>
    <row r="759" spans="1:39" ht="21" customHeight="1">
      <c r="A759" s="4">
        <v>43167</v>
      </c>
      <c r="B759" s="3" t="s">
        <v>78</v>
      </c>
      <c r="C759" s="3" t="s">
        <v>79</v>
      </c>
      <c r="D759" s="4">
        <v>43159</v>
      </c>
      <c r="E759" s="3">
        <f t="shared" si="140"/>
        <v>8</v>
      </c>
      <c r="F759" s="3" t="str">
        <f t="shared" si="141"/>
        <v>개봉후</v>
      </c>
      <c r="G759" s="3" t="str">
        <f t="shared" si="142"/>
        <v>목</v>
      </c>
      <c r="H759" s="3">
        <f t="shared" si="143"/>
        <v>0</v>
      </c>
      <c r="I759" s="3"/>
      <c r="J759" s="3"/>
      <c r="K759" s="3"/>
      <c r="L759" s="12" t="str">
        <f t="shared" si="144"/>
        <v/>
      </c>
      <c r="M759" s="12" t="str">
        <f t="shared" si="145"/>
        <v/>
      </c>
      <c r="N759" s="11" t="str">
        <f t="shared" si="147"/>
        <v/>
      </c>
      <c r="O759" s="11" t="str">
        <f t="shared" si="149"/>
        <v/>
      </c>
      <c r="P759" s="11" t="str">
        <f t="shared" si="150"/>
        <v/>
      </c>
      <c r="Q759" s="7">
        <v>579</v>
      </c>
      <c r="R759" s="7">
        <v>2390</v>
      </c>
      <c r="S759" s="7">
        <v>353463</v>
      </c>
      <c r="T759" s="7">
        <v>265183900</v>
      </c>
      <c r="U759" s="7">
        <v>35210</v>
      </c>
      <c r="V759" s="7">
        <v>860541</v>
      </c>
      <c r="W759" s="7">
        <v>3</v>
      </c>
      <c r="X759" s="3"/>
      <c r="Y759" s="3" t="s">
        <v>83</v>
      </c>
      <c r="Z759" s="9">
        <v>16.433150000000001</v>
      </c>
      <c r="AA759" s="12">
        <f t="shared" si="146"/>
        <v>-1.911669378550751E-2</v>
      </c>
      <c r="AB759" s="9">
        <f t="shared" si="148"/>
        <v>29.278184285714293</v>
      </c>
      <c r="AC759" s="9">
        <f t="shared" si="151"/>
        <v>17.609471071428572</v>
      </c>
      <c r="AD759" s="9">
        <f t="shared" si="152"/>
        <v>1.6626384839700408</v>
      </c>
      <c r="AE759" s="3" t="s">
        <v>80</v>
      </c>
      <c r="AF759" s="11" t="str">
        <f t="shared" si="153"/>
        <v/>
      </c>
      <c r="AG759" s="11" t="str">
        <f t="shared" si="154"/>
        <v/>
      </c>
      <c r="AH759" s="11">
        <f t="shared" si="155"/>
        <v>0.93319952276493101</v>
      </c>
      <c r="AI759" s="3" t="s">
        <v>45</v>
      </c>
      <c r="AJ759" s="3" t="s">
        <v>79</v>
      </c>
      <c r="AK759" s="3" t="s">
        <v>46</v>
      </c>
      <c r="AL759" s="3" t="s">
        <v>81</v>
      </c>
      <c r="AM759" s="3" t="s">
        <v>82</v>
      </c>
    </row>
    <row r="760" spans="1:39" ht="21" customHeight="1">
      <c r="A760" s="4">
        <v>43168</v>
      </c>
      <c r="B760" s="3" t="s">
        <v>78</v>
      </c>
      <c r="C760" s="3" t="s">
        <v>79</v>
      </c>
      <c r="D760" s="4">
        <v>43159</v>
      </c>
      <c r="E760" s="3">
        <f t="shared" si="140"/>
        <v>9</v>
      </c>
      <c r="F760" s="3" t="str">
        <f t="shared" si="141"/>
        <v>개봉후</v>
      </c>
      <c r="G760" s="3" t="str">
        <f t="shared" si="142"/>
        <v>금</v>
      </c>
      <c r="H760" s="3">
        <f t="shared" si="143"/>
        <v>0</v>
      </c>
      <c r="I760" s="3"/>
      <c r="J760" s="3"/>
      <c r="K760" s="3"/>
      <c r="L760" s="12" t="str">
        <f t="shared" si="144"/>
        <v/>
      </c>
      <c r="M760" s="12" t="str">
        <f t="shared" si="145"/>
        <v/>
      </c>
      <c r="N760" s="11" t="str">
        <f t="shared" si="147"/>
        <v/>
      </c>
      <c r="O760" s="11" t="str">
        <f t="shared" si="149"/>
        <v/>
      </c>
      <c r="P760" s="11" t="str">
        <f t="shared" si="150"/>
        <v/>
      </c>
      <c r="Q760" s="7">
        <v>622</v>
      </c>
      <c r="R760" s="7">
        <v>2552</v>
      </c>
      <c r="S760" s="7">
        <v>381358</v>
      </c>
      <c r="T760" s="7">
        <v>407934330</v>
      </c>
      <c r="U760" s="7">
        <v>48732</v>
      </c>
      <c r="V760" s="7">
        <v>909273</v>
      </c>
      <c r="W760" s="7">
        <v>3</v>
      </c>
      <c r="X760" s="3"/>
      <c r="Y760" s="3" t="s">
        <v>83</v>
      </c>
      <c r="Z760" s="9">
        <v>16.94303</v>
      </c>
      <c r="AA760" s="12">
        <f t="shared" si="146"/>
        <v>3.1027526676260964E-2</v>
      </c>
      <c r="AB760" s="9">
        <f t="shared" si="148"/>
        <v>24.45797</v>
      </c>
      <c r="AC760" s="9">
        <f t="shared" si="151"/>
        <v>18.107232857142858</v>
      </c>
      <c r="AD760" s="9">
        <f t="shared" si="152"/>
        <v>1.3507293020949875</v>
      </c>
      <c r="AE760" s="3" t="s">
        <v>80</v>
      </c>
      <c r="AF760" s="11" t="str">
        <f t="shared" si="153"/>
        <v/>
      </c>
      <c r="AG760" s="11" t="str">
        <f t="shared" si="154"/>
        <v/>
      </c>
      <c r="AH760" s="11">
        <f t="shared" si="155"/>
        <v>0.93570509274786251</v>
      </c>
      <c r="AI760" s="3" t="s">
        <v>45</v>
      </c>
      <c r="AJ760" s="3" t="s">
        <v>79</v>
      </c>
      <c r="AK760" s="3" t="s">
        <v>46</v>
      </c>
      <c r="AL760" s="3" t="s">
        <v>81</v>
      </c>
      <c r="AM760" s="3" t="s">
        <v>82</v>
      </c>
    </row>
    <row r="761" spans="1:39" ht="21" customHeight="1">
      <c r="A761" s="4">
        <v>43169</v>
      </c>
      <c r="B761" s="3" t="s">
        <v>78</v>
      </c>
      <c r="C761" s="3" t="s">
        <v>79</v>
      </c>
      <c r="D761" s="4">
        <v>43159</v>
      </c>
      <c r="E761" s="3">
        <f t="shared" si="140"/>
        <v>10</v>
      </c>
      <c r="F761" s="3" t="str">
        <f t="shared" si="141"/>
        <v>개봉후</v>
      </c>
      <c r="G761" s="3" t="str">
        <f t="shared" si="142"/>
        <v>토</v>
      </c>
      <c r="H761" s="3">
        <f t="shared" si="143"/>
        <v>1</v>
      </c>
      <c r="I761" s="3"/>
      <c r="J761" s="3"/>
      <c r="K761" s="3"/>
      <c r="L761" s="12" t="str">
        <f t="shared" si="144"/>
        <v/>
      </c>
      <c r="M761" s="12" t="str">
        <f t="shared" si="145"/>
        <v/>
      </c>
      <c r="N761" s="11" t="str">
        <f t="shared" si="147"/>
        <v/>
      </c>
      <c r="O761" s="11" t="str">
        <f t="shared" si="149"/>
        <v/>
      </c>
      <c r="P761" s="11" t="str">
        <f t="shared" si="150"/>
        <v/>
      </c>
      <c r="Q761" s="7">
        <v>699</v>
      </c>
      <c r="R761" s="7">
        <v>2874</v>
      </c>
      <c r="S761" s="7">
        <v>447386</v>
      </c>
      <c r="T761" s="7">
        <v>966023320</v>
      </c>
      <c r="U761" s="7">
        <v>114883</v>
      </c>
      <c r="V761" s="7">
        <v>1024156</v>
      </c>
      <c r="W761" s="7">
        <v>3</v>
      </c>
      <c r="X761" s="3"/>
      <c r="Y761" s="3" t="s">
        <v>83</v>
      </c>
      <c r="Z761" s="9">
        <v>25.299910000000001</v>
      </c>
      <c r="AA761" s="12">
        <f t="shared" si="146"/>
        <v>0.49323409095067405</v>
      </c>
      <c r="AB761" s="9">
        <f t="shared" si="148"/>
        <v>22.522160000000003</v>
      </c>
      <c r="AC761" s="9">
        <f t="shared" si="151"/>
        <v>18.642343214285717</v>
      </c>
      <c r="AD761" s="9">
        <f t="shared" si="152"/>
        <v>1.2081185149912466</v>
      </c>
      <c r="AE761" s="3" t="s">
        <v>80</v>
      </c>
      <c r="AF761" s="11" t="str">
        <f t="shared" si="153"/>
        <v/>
      </c>
      <c r="AG761" s="11" t="str">
        <f t="shared" si="154"/>
        <v/>
      </c>
      <c r="AH761" s="11">
        <f t="shared" si="155"/>
        <v>1.3571207068332782</v>
      </c>
      <c r="AI761" s="3" t="s">
        <v>45</v>
      </c>
      <c r="AJ761" s="3" t="s">
        <v>79</v>
      </c>
      <c r="AK761" s="3" t="s">
        <v>46</v>
      </c>
      <c r="AL761" s="3" t="s">
        <v>81</v>
      </c>
      <c r="AM761" s="3" t="s">
        <v>82</v>
      </c>
    </row>
    <row r="762" spans="1:39" ht="21" customHeight="1">
      <c r="A762" s="4">
        <v>43170</v>
      </c>
      <c r="B762" s="3" t="s">
        <v>78</v>
      </c>
      <c r="C762" s="3" t="s">
        <v>79</v>
      </c>
      <c r="D762" s="4">
        <v>43159</v>
      </c>
      <c r="E762" s="3">
        <f t="shared" si="140"/>
        <v>11</v>
      </c>
      <c r="F762" s="3" t="str">
        <f t="shared" si="141"/>
        <v>개봉후</v>
      </c>
      <c r="G762" s="3" t="str">
        <f t="shared" si="142"/>
        <v>일</v>
      </c>
      <c r="H762" s="3">
        <f t="shared" si="143"/>
        <v>1</v>
      </c>
      <c r="I762" s="3"/>
      <c r="J762" s="3"/>
      <c r="K762" s="3"/>
      <c r="L762" s="12" t="str">
        <f t="shared" si="144"/>
        <v/>
      </c>
      <c r="M762" s="12" t="str">
        <f t="shared" si="145"/>
        <v/>
      </c>
      <c r="N762" s="11" t="str">
        <f t="shared" si="147"/>
        <v/>
      </c>
      <c r="O762" s="11" t="str">
        <f t="shared" si="149"/>
        <v/>
      </c>
      <c r="P762" s="11" t="str">
        <f t="shared" si="150"/>
        <v/>
      </c>
      <c r="Q762" s="7">
        <v>694</v>
      </c>
      <c r="R762" s="7">
        <v>2800</v>
      </c>
      <c r="S762" s="7">
        <v>436289</v>
      </c>
      <c r="T762" s="7">
        <v>830372600</v>
      </c>
      <c r="U762" s="7">
        <v>99324</v>
      </c>
      <c r="V762" s="7">
        <v>1123480</v>
      </c>
      <c r="W762" s="7">
        <v>3</v>
      </c>
      <c r="X762" s="3"/>
      <c r="Y762" s="3" t="s">
        <v>83</v>
      </c>
      <c r="Z762" s="9">
        <v>28.408429999999999</v>
      </c>
      <c r="AA762" s="12">
        <f t="shared" si="146"/>
        <v>0.1228668402377715</v>
      </c>
      <c r="AB762" s="9">
        <f t="shared" si="148"/>
        <v>20.755041428571428</v>
      </c>
      <c r="AC762" s="9">
        <f t="shared" si="151"/>
        <v>19.437412499999997</v>
      </c>
      <c r="AD762" s="9">
        <f t="shared" si="152"/>
        <v>1.0677882886197652</v>
      </c>
      <c r="AE762" s="3" t="s">
        <v>80</v>
      </c>
      <c r="AF762" s="11" t="str">
        <f t="shared" si="153"/>
        <v/>
      </c>
      <c r="AG762" s="11" t="str">
        <f t="shared" si="154"/>
        <v/>
      </c>
      <c r="AH762" s="11">
        <f t="shared" si="155"/>
        <v>1.4615335245882137</v>
      </c>
      <c r="AI762" s="3" t="s">
        <v>45</v>
      </c>
      <c r="AJ762" s="3" t="s">
        <v>79</v>
      </c>
      <c r="AK762" s="3" t="s">
        <v>46</v>
      </c>
      <c r="AL762" s="3" t="s">
        <v>81</v>
      </c>
      <c r="AM762" s="3" t="s">
        <v>82</v>
      </c>
    </row>
    <row r="763" spans="1:39" ht="21" customHeight="1">
      <c r="A763" s="4">
        <v>43171</v>
      </c>
      <c r="B763" s="3" t="s">
        <v>78</v>
      </c>
      <c r="C763" s="3" t="s">
        <v>79</v>
      </c>
      <c r="D763" s="4">
        <v>43159</v>
      </c>
      <c r="E763" s="3">
        <f t="shared" ref="E763:E826" si="156">A763-D763</f>
        <v>12</v>
      </c>
      <c r="F763" s="3" t="str">
        <f t="shared" ref="F763:F826" si="157">IF(E763&lt;0,"개봉전","개봉후")</f>
        <v>개봉후</v>
      </c>
      <c r="G763" s="3" t="str">
        <f t="shared" ref="G763:G826" si="158">CHOOSE(WEEKDAY(A763,2),"월","화","수","목","금","토","일")</f>
        <v>월</v>
      </c>
      <c r="H763" s="3">
        <f t="shared" ref="H763:H826" si="159">IF(WEEKDAY(A763,2)&gt;5,1,0)</f>
        <v>0</v>
      </c>
      <c r="I763" s="3"/>
      <c r="J763" s="3"/>
      <c r="K763" s="3"/>
      <c r="L763" s="12" t="str">
        <f t="shared" ref="L763:L826" si="160">IF(COUNT(I763:J763)=2,IFERROR(J763/I763,""),"")</f>
        <v/>
      </c>
      <c r="M763" s="12" t="str">
        <f t="shared" si="145"/>
        <v/>
      </c>
      <c r="N763" s="11" t="str">
        <f t="shared" si="147"/>
        <v/>
      </c>
      <c r="O763" s="11" t="str">
        <f t="shared" si="149"/>
        <v/>
      </c>
      <c r="P763" s="11" t="str">
        <f t="shared" si="150"/>
        <v/>
      </c>
      <c r="Q763" s="7">
        <v>640</v>
      </c>
      <c r="R763" s="7">
        <v>2625</v>
      </c>
      <c r="S763" s="7">
        <v>396136</v>
      </c>
      <c r="T763" s="7">
        <v>226544100</v>
      </c>
      <c r="U763" s="7">
        <v>30094</v>
      </c>
      <c r="V763" s="7">
        <v>1153574</v>
      </c>
      <c r="W763" s="7">
        <v>2</v>
      </c>
      <c r="X763" s="3"/>
      <c r="Y763" s="3" t="s">
        <v>83</v>
      </c>
      <c r="Z763" s="9">
        <v>17.135660000000001</v>
      </c>
      <c r="AA763" s="12">
        <f t="shared" si="146"/>
        <v>-0.39681073540494838</v>
      </c>
      <c r="AB763" s="9">
        <f t="shared" si="148"/>
        <v>19.782411428571429</v>
      </c>
      <c r="AC763" s="9">
        <f t="shared" si="151"/>
        <v>20.393762857142853</v>
      </c>
      <c r="AD763" s="9">
        <f t="shared" si="152"/>
        <v>0.97002262736632239</v>
      </c>
      <c r="AE763" s="3" t="s">
        <v>80</v>
      </c>
      <c r="AF763" s="11" t="str">
        <f t="shared" si="153"/>
        <v/>
      </c>
      <c r="AG763" s="11" t="str">
        <f t="shared" si="154"/>
        <v/>
      </c>
      <c r="AH763" s="11">
        <f t="shared" si="155"/>
        <v>0.84024023031131245</v>
      </c>
      <c r="AI763" s="3" t="s">
        <v>45</v>
      </c>
      <c r="AJ763" s="3" t="s">
        <v>79</v>
      </c>
      <c r="AK763" s="3" t="s">
        <v>46</v>
      </c>
      <c r="AL763" s="3" t="s">
        <v>81</v>
      </c>
      <c r="AM763" s="3" t="s">
        <v>82</v>
      </c>
    </row>
    <row r="764" spans="1:39" ht="21" customHeight="1">
      <c r="A764" s="4">
        <v>43172</v>
      </c>
      <c r="B764" s="3" t="s">
        <v>78</v>
      </c>
      <c r="C764" s="3" t="s">
        <v>79</v>
      </c>
      <c r="D764" s="4">
        <v>43159</v>
      </c>
      <c r="E764" s="3">
        <f t="shared" si="156"/>
        <v>13</v>
      </c>
      <c r="F764" s="3" t="str">
        <f t="shared" si="157"/>
        <v>개봉후</v>
      </c>
      <c r="G764" s="3" t="str">
        <f t="shared" si="158"/>
        <v>화</v>
      </c>
      <c r="H764" s="3">
        <f t="shared" si="159"/>
        <v>0</v>
      </c>
      <c r="I764" s="3"/>
      <c r="J764" s="3"/>
      <c r="K764" s="3"/>
      <c r="L764" s="12" t="str">
        <f t="shared" si="160"/>
        <v/>
      </c>
      <c r="M764" s="12" t="str">
        <f t="shared" ref="M764:M827" si="161">IF(AND(COUNT(I763:I764)=2,A764=A763+1),IFERROR(I764/I763-1,""),"")</f>
        <v/>
      </c>
      <c r="N764" s="11" t="str">
        <f t="shared" si="147"/>
        <v/>
      </c>
      <c r="O764" s="11" t="str">
        <f t="shared" si="149"/>
        <v/>
      </c>
      <c r="P764" s="11" t="str">
        <f t="shared" si="150"/>
        <v/>
      </c>
      <c r="Q764" s="7">
        <v>655</v>
      </c>
      <c r="R764" s="7">
        <v>2633</v>
      </c>
      <c r="S764" s="7">
        <v>393671</v>
      </c>
      <c r="T764" s="7">
        <v>225956300</v>
      </c>
      <c r="U764" s="7">
        <v>30183</v>
      </c>
      <c r="V764" s="7">
        <v>1183757</v>
      </c>
      <c r="W764" s="7">
        <v>2</v>
      </c>
      <c r="X764" s="3"/>
      <c r="Y764" s="3" t="s">
        <v>83</v>
      </c>
      <c r="Z764" s="9">
        <v>14.689970000000001</v>
      </c>
      <c r="AA764" s="12">
        <f t="shared" ref="AA764:AA827" si="162">IF(AND(COUNT(Z763:Z764)=2,A764=A763+1),IFERROR(Z764/Z763-1,""),"")</f>
        <v>-0.14272517078420088</v>
      </c>
      <c r="AB764" s="9">
        <f t="shared" si="148"/>
        <v>19.380509999999997</v>
      </c>
      <c r="AC764" s="9">
        <f t="shared" si="151"/>
        <v>20.916953928571427</v>
      </c>
      <c r="AD764" s="9">
        <f t="shared" si="152"/>
        <v>0.92654552217219688</v>
      </c>
      <c r="AE764" s="3" t="s">
        <v>80</v>
      </c>
      <c r="AF764" s="11" t="str">
        <f t="shared" si="153"/>
        <v/>
      </c>
      <c r="AG764" s="11" t="str">
        <f t="shared" si="154"/>
        <v/>
      </c>
      <c r="AH764" s="11">
        <f t="shared" si="155"/>
        <v>0.7022996775804099</v>
      </c>
      <c r="AI764" s="3" t="s">
        <v>45</v>
      </c>
      <c r="AJ764" s="3" t="s">
        <v>79</v>
      </c>
      <c r="AK764" s="3" t="s">
        <v>46</v>
      </c>
      <c r="AL764" s="3" t="s">
        <v>81</v>
      </c>
      <c r="AM764" s="3" t="s">
        <v>82</v>
      </c>
    </row>
    <row r="765" spans="1:39" ht="21" customHeight="1">
      <c r="A765" s="4">
        <v>43173</v>
      </c>
      <c r="B765" s="3" t="s">
        <v>78</v>
      </c>
      <c r="C765" s="3" t="s">
        <v>79</v>
      </c>
      <c r="D765" s="4">
        <v>43159</v>
      </c>
      <c r="E765" s="3">
        <f t="shared" si="156"/>
        <v>14</v>
      </c>
      <c r="F765" s="3" t="str">
        <f t="shared" si="157"/>
        <v>개봉후</v>
      </c>
      <c r="G765" s="3" t="str">
        <f t="shared" si="158"/>
        <v>수</v>
      </c>
      <c r="H765" s="3">
        <f t="shared" si="159"/>
        <v>0</v>
      </c>
      <c r="I765" s="3"/>
      <c r="J765" s="3"/>
      <c r="K765" s="3"/>
      <c r="L765" s="12" t="str">
        <f t="shared" si="160"/>
        <v/>
      </c>
      <c r="M765" s="12" t="str">
        <f t="shared" si="161"/>
        <v/>
      </c>
      <c r="N765" s="11" t="str">
        <f t="shared" si="147"/>
        <v/>
      </c>
      <c r="O765" s="11" t="str">
        <f t="shared" si="149"/>
        <v/>
      </c>
      <c r="P765" s="11" t="str">
        <f t="shared" si="150"/>
        <v/>
      </c>
      <c r="Q765" s="7">
        <v>510</v>
      </c>
      <c r="R765" s="7">
        <v>1838</v>
      </c>
      <c r="S765" s="7">
        <v>252176</v>
      </c>
      <c r="T765" s="7">
        <v>172606900</v>
      </c>
      <c r="U765" s="7">
        <v>22905</v>
      </c>
      <c r="V765" s="7">
        <v>1206662</v>
      </c>
      <c r="W765" s="7">
        <v>4</v>
      </c>
      <c r="X765" s="3"/>
      <c r="Y765" s="3" t="s">
        <v>83</v>
      </c>
      <c r="Z765" s="9">
        <v>10.272019999999999</v>
      </c>
      <c r="AA765" s="12">
        <f t="shared" si="162"/>
        <v>-0.30074601922263977</v>
      </c>
      <c r="AB765" s="9">
        <f t="shared" si="148"/>
        <v>18.454595714285716</v>
      </c>
      <c r="AC765" s="9">
        <f t="shared" si="151"/>
        <v>21.055151785714287</v>
      </c>
      <c r="AD765" s="9">
        <f t="shared" si="152"/>
        <v>0.87648837216205577</v>
      </c>
      <c r="AE765" s="3" t="s">
        <v>80</v>
      </c>
      <c r="AF765" s="11" t="str">
        <f t="shared" si="153"/>
        <v/>
      </c>
      <c r="AG765" s="11" t="str">
        <f t="shared" si="154"/>
        <v/>
      </c>
      <c r="AH765" s="11">
        <f t="shared" si="155"/>
        <v>0.48786254806148982</v>
      </c>
      <c r="AI765" s="3" t="s">
        <v>45</v>
      </c>
      <c r="AJ765" s="3" t="s">
        <v>79</v>
      </c>
      <c r="AK765" s="3" t="s">
        <v>46</v>
      </c>
      <c r="AL765" s="3" t="s">
        <v>81</v>
      </c>
      <c r="AM765" s="3" t="s">
        <v>82</v>
      </c>
    </row>
    <row r="766" spans="1:39" ht="21" customHeight="1">
      <c r="A766" s="4">
        <v>43174</v>
      </c>
      <c r="B766" s="3" t="s">
        <v>78</v>
      </c>
      <c r="C766" s="3" t="s">
        <v>79</v>
      </c>
      <c r="D766" s="4">
        <v>43159</v>
      </c>
      <c r="E766" s="3">
        <f t="shared" si="156"/>
        <v>15</v>
      </c>
      <c r="F766" s="3" t="str">
        <f t="shared" si="157"/>
        <v>개봉후</v>
      </c>
      <c r="G766" s="3" t="str">
        <f t="shared" si="158"/>
        <v>목</v>
      </c>
      <c r="H766" s="3">
        <f t="shared" si="159"/>
        <v>0</v>
      </c>
      <c r="I766" s="3"/>
      <c r="J766" s="3"/>
      <c r="K766" s="3"/>
      <c r="L766" s="12" t="str">
        <f t="shared" si="160"/>
        <v/>
      </c>
      <c r="M766" s="12" t="str">
        <f t="shared" si="161"/>
        <v/>
      </c>
      <c r="N766" s="11" t="str">
        <f t="shared" si="147"/>
        <v/>
      </c>
      <c r="O766" s="11" t="str">
        <f t="shared" si="149"/>
        <v/>
      </c>
      <c r="P766" s="11" t="str">
        <f t="shared" si="150"/>
        <v/>
      </c>
      <c r="Q766" s="7">
        <v>521</v>
      </c>
      <c r="R766" s="7">
        <v>1758</v>
      </c>
      <c r="S766" s="7">
        <v>243851</v>
      </c>
      <c r="T766" s="7">
        <v>145160300</v>
      </c>
      <c r="U766" s="7">
        <v>19352</v>
      </c>
      <c r="V766" s="7">
        <v>1226014</v>
      </c>
      <c r="W766" s="7">
        <v>4</v>
      </c>
      <c r="X766" s="3"/>
      <c r="Y766" s="3" t="s">
        <v>83</v>
      </c>
      <c r="Z766" s="9">
        <v>9.8914000000000009</v>
      </c>
      <c r="AA766" s="12">
        <f t="shared" si="162"/>
        <v>-3.7054055580109768E-2</v>
      </c>
      <c r="AB766" s="9">
        <f t="shared" si="148"/>
        <v>17.520060000000001</v>
      </c>
      <c r="AC766" s="9">
        <f t="shared" si="151"/>
        <v>21.29659357142857</v>
      </c>
      <c r="AD766" s="9">
        <f t="shared" si="152"/>
        <v>0.82266959461088873</v>
      </c>
      <c r="AE766" s="3" t="s">
        <v>80</v>
      </c>
      <c r="AF766" s="11" t="str">
        <f t="shared" si="153"/>
        <v/>
      </c>
      <c r="AG766" s="11" t="str">
        <f t="shared" si="154"/>
        <v/>
      </c>
      <c r="AH766" s="11">
        <f t="shared" si="155"/>
        <v>0.4644592557407991</v>
      </c>
      <c r="AI766" s="3" t="s">
        <v>45</v>
      </c>
      <c r="AJ766" s="3" t="s">
        <v>79</v>
      </c>
      <c r="AK766" s="3" t="s">
        <v>46</v>
      </c>
      <c r="AL766" s="3" t="s">
        <v>81</v>
      </c>
      <c r="AM766" s="3" t="s">
        <v>82</v>
      </c>
    </row>
    <row r="767" spans="1:39" ht="21" customHeight="1">
      <c r="A767" s="4">
        <v>43175</v>
      </c>
      <c r="B767" s="3" t="s">
        <v>78</v>
      </c>
      <c r="C767" s="3" t="s">
        <v>79</v>
      </c>
      <c r="D767" s="4">
        <v>43159</v>
      </c>
      <c r="E767" s="3">
        <f t="shared" si="156"/>
        <v>16</v>
      </c>
      <c r="F767" s="3" t="str">
        <f t="shared" si="157"/>
        <v>개봉후</v>
      </c>
      <c r="G767" s="3" t="str">
        <f t="shared" si="158"/>
        <v>금</v>
      </c>
      <c r="H767" s="3">
        <f t="shared" si="159"/>
        <v>0</v>
      </c>
      <c r="I767" s="3"/>
      <c r="J767" s="3"/>
      <c r="K767" s="3"/>
      <c r="L767" s="12" t="str">
        <f t="shared" si="160"/>
        <v/>
      </c>
      <c r="M767" s="12" t="str">
        <f t="shared" si="161"/>
        <v/>
      </c>
      <c r="N767" s="11" t="str">
        <f t="shared" si="147"/>
        <v/>
      </c>
      <c r="O767" s="11" t="str">
        <f t="shared" si="149"/>
        <v/>
      </c>
      <c r="P767" s="11" t="str">
        <f t="shared" si="150"/>
        <v/>
      </c>
      <c r="Q767" s="7">
        <v>538</v>
      </c>
      <c r="R767" s="7">
        <v>1896</v>
      </c>
      <c r="S767" s="7">
        <v>264749</v>
      </c>
      <c r="T767" s="7">
        <v>222310818</v>
      </c>
      <c r="U767" s="7">
        <v>26541</v>
      </c>
      <c r="V767" s="7">
        <v>1252555</v>
      </c>
      <c r="W767" s="7">
        <v>3</v>
      </c>
      <c r="X767" s="3"/>
      <c r="Y767" s="3" t="s">
        <v>83</v>
      </c>
      <c r="Z767" s="9">
        <v>11.214740000000001</v>
      </c>
      <c r="AA767" s="12">
        <f t="shared" si="162"/>
        <v>0.13378692601653963</v>
      </c>
      <c r="AB767" s="9">
        <f t="shared" si="148"/>
        <v>16.701732857142858</v>
      </c>
      <c r="AC767" s="9">
        <f t="shared" si="151"/>
        <v>21.548760714285713</v>
      </c>
      <c r="AD767" s="9">
        <f t="shared" si="152"/>
        <v>0.77506697849544881</v>
      </c>
      <c r="AE767" s="3" t="s">
        <v>80</v>
      </c>
      <c r="AF767" s="11" t="str">
        <f t="shared" si="153"/>
        <v/>
      </c>
      <c r="AG767" s="11" t="str">
        <f t="shared" si="154"/>
        <v/>
      </c>
      <c r="AH767" s="11">
        <f t="shared" si="155"/>
        <v>0.52043549736784667</v>
      </c>
      <c r="AI767" s="3" t="s">
        <v>45</v>
      </c>
      <c r="AJ767" s="3" t="s">
        <v>79</v>
      </c>
      <c r="AK767" s="3" t="s">
        <v>46</v>
      </c>
      <c r="AL767" s="3" t="s">
        <v>81</v>
      </c>
      <c r="AM767" s="3" t="s">
        <v>82</v>
      </c>
    </row>
    <row r="768" spans="1:39" ht="21" customHeight="1">
      <c r="A768" s="4">
        <v>43176</v>
      </c>
      <c r="B768" s="3" t="s">
        <v>78</v>
      </c>
      <c r="C768" s="3" t="s">
        <v>79</v>
      </c>
      <c r="D768" s="4">
        <v>43159</v>
      </c>
      <c r="E768" s="3">
        <f t="shared" si="156"/>
        <v>17</v>
      </c>
      <c r="F768" s="3" t="str">
        <f t="shared" si="157"/>
        <v>개봉후</v>
      </c>
      <c r="G768" s="3" t="str">
        <f t="shared" si="158"/>
        <v>토</v>
      </c>
      <c r="H768" s="3">
        <f t="shared" si="159"/>
        <v>1</v>
      </c>
      <c r="I768" s="3"/>
      <c r="J768" s="3"/>
      <c r="K768" s="3"/>
      <c r="L768" s="12" t="str">
        <f t="shared" si="160"/>
        <v/>
      </c>
      <c r="M768" s="12" t="str">
        <f t="shared" si="161"/>
        <v/>
      </c>
      <c r="N768" s="11" t="str">
        <f t="shared" si="147"/>
        <v/>
      </c>
      <c r="O768" s="11" t="str">
        <f t="shared" si="149"/>
        <v/>
      </c>
      <c r="P768" s="11" t="str">
        <f t="shared" si="150"/>
        <v/>
      </c>
      <c r="Q768" s="7">
        <v>584</v>
      </c>
      <c r="R768" s="7">
        <v>2026</v>
      </c>
      <c r="S768" s="7">
        <v>283848</v>
      </c>
      <c r="T768" s="7">
        <v>464907224</v>
      </c>
      <c r="U768" s="7">
        <v>55314</v>
      </c>
      <c r="V768" s="7">
        <v>1307869</v>
      </c>
      <c r="W768" s="7">
        <v>3</v>
      </c>
      <c r="X768" s="3"/>
      <c r="Y768" s="3" t="s">
        <v>83</v>
      </c>
      <c r="Z768" s="9">
        <v>16.25375</v>
      </c>
      <c r="AA768" s="12">
        <f t="shared" si="162"/>
        <v>0.44932026957379301</v>
      </c>
      <c r="AB768" s="9">
        <f t="shared" si="148"/>
        <v>15.409424285714286</v>
      </c>
      <c r="AC768" s="9">
        <f t="shared" si="151"/>
        <v>21.838052857142856</v>
      </c>
      <c r="AD768" s="9">
        <f t="shared" si="152"/>
        <v>0.70562262975172374</v>
      </c>
      <c r="AE768" s="3" t="s">
        <v>80</v>
      </c>
      <c r="AF768" s="11" t="str">
        <f t="shared" si="153"/>
        <v/>
      </c>
      <c r="AG768" s="11" t="str">
        <f t="shared" si="154"/>
        <v/>
      </c>
      <c r="AH768" s="11">
        <f t="shared" si="155"/>
        <v>0.74428567905419618</v>
      </c>
      <c r="AI768" s="3" t="s">
        <v>45</v>
      </c>
      <c r="AJ768" s="3" t="s">
        <v>79</v>
      </c>
      <c r="AK768" s="3" t="s">
        <v>46</v>
      </c>
      <c r="AL768" s="3" t="s">
        <v>81</v>
      </c>
      <c r="AM768" s="3" t="s">
        <v>82</v>
      </c>
    </row>
    <row r="769" spans="1:39" ht="21" customHeight="1">
      <c r="A769" s="4">
        <v>43177</v>
      </c>
      <c r="B769" s="3" t="s">
        <v>78</v>
      </c>
      <c r="C769" s="3" t="s">
        <v>79</v>
      </c>
      <c r="D769" s="4">
        <v>43159</v>
      </c>
      <c r="E769" s="3">
        <f t="shared" si="156"/>
        <v>18</v>
      </c>
      <c r="F769" s="3" t="str">
        <f t="shared" si="157"/>
        <v>개봉후</v>
      </c>
      <c r="G769" s="3" t="str">
        <f t="shared" si="158"/>
        <v>일</v>
      </c>
      <c r="H769" s="3">
        <f t="shared" si="159"/>
        <v>1</v>
      </c>
      <c r="I769" s="3"/>
      <c r="J769" s="3"/>
      <c r="K769" s="3"/>
      <c r="L769" s="12" t="str">
        <f t="shared" si="160"/>
        <v/>
      </c>
      <c r="M769" s="12" t="str">
        <f t="shared" si="161"/>
        <v/>
      </c>
      <c r="N769" s="11" t="str">
        <f t="shared" ref="N769:N832" si="163">IF(COUNT(I763:I769)=7,AVERAGE(I763:I769),"")</f>
        <v/>
      </c>
      <c r="O769" s="11" t="str">
        <f t="shared" si="149"/>
        <v/>
      </c>
      <c r="P769" s="11" t="str">
        <f t="shared" si="150"/>
        <v/>
      </c>
      <c r="Q769" s="7">
        <v>588</v>
      </c>
      <c r="R769" s="7">
        <v>1953</v>
      </c>
      <c r="S769" s="7">
        <v>277233</v>
      </c>
      <c r="T769" s="7">
        <v>383090300</v>
      </c>
      <c r="U769" s="7">
        <v>45707</v>
      </c>
      <c r="V769" s="7">
        <v>1353576</v>
      </c>
      <c r="W769" s="7">
        <v>3</v>
      </c>
      <c r="X769" s="3"/>
      <c r="Y769" s="3" t="s">
        <v>83</v>
      </c>
      <c r="Z769" s="9">
        <v>18.23319</v>
      </c>
      <c r="AA769" s="12">
        <f t="shared" si="162"/>
        <v>0.12178358840267633</v>
      </c>
      <c r="AB769" s="9">
        <f t="shared" ref="AB769:AB832" si="164">IF(COUNT(Z763:Z769)=7,AVERAGE(Z763:Z769),"")</f>
        <v>13.955818571428571</v>
      </c>
      <c r="AC769" s="9">
        <f t="shared" si="151"/>
        <v>22.003180714285715</v>
      </c>
      <c r="AD769" s="9">
        <f t="shared" si="152"/>
        <v>0.6342636890841723</v>
      </c>
      <c r="AE769" s="3" t="s">
        <v>80</v>
      </c>
      <c r="AF769" s="11" t="str">
        <f t="shared" si="153"/>
        <v/>
      </c>
      <c r="AG769" s="11" t="str">
        <f t="shared" si="154"/>
        <v/>
      </c>
      <c r="AH769" s="11">
        <f t="shared" si="155"/>
        <v>0.8286615574702787</v>
      </c>
      <c r="AI769" s="3" t="s">
        <v>45</v>
      </c>
      <c r="AJ769" s="3" t="s">
        <v>79</v>
      </c>
      <c r="AK769" s="3" t="s">
        <v>46</v>
      </c>
      <c r="AL769" s="3" t="s">
        <v>81</v>
      </c>
      <c r="AM769" s="3" t="s">
        <v>82</v>
      </c>
    </row>
    <row r="770" spans="1:39" ht="21" customHeight="1">
      <c r="A770" s="4">
        <v>43178</v>
      </c>
      <c r="B770" s="3" t="s">
        <v>78</v>
      </c>
      <c r="C770" s="3" t="s">
        <v>79</v>
      </c>
      <c r="D770" s="4">
        <v>43159</v>
      </c>
      <c r="E770" s="3">
        <f t="shared" si="156"/>
        <v>19</v>
      </c>
      <c r="F770" s="3" t="str">
        <f t="shared" si="157"/>
        <v>개봉후</v>
      </c>
      <c r="G770" s="3" t="str">
        <f t="shared" si="158"/>
        <v>월</v>
      </c>
      <c r="H770" s="3">
        <f t="shared" si="159"/>
        <v>0</v>
      </c>
      <c r="I770" s="3"/>
      <c r="J770" s="3"/>
      <c r="K770" s="3"/>
      <c r="L770" s="12" t="str">
        <f t="shared" si="160"/>
        <v/>
      </c>
      <c r="M770" s="12" t="str">
        <f t="shared" si="161"/>
        <v/>
      </c>
      <c r="N770" s="11" t="str">
        <f t="shared" si="163"/>
        <v/>
      </c>
      <c r="O770" s="11" t="str">
        <f t="shared" si="149"/>
        <v/>
      </c>
      <c r="P770" s="11" t="str">
        <f t="shared" si="150"/>
        <v/>
      </c>
      <c r="Q770" s="7">
        <v>546</v>
      </c>
      <c r="R770" s="7">
        <v>1784</v>
      </c>
      <c r="S770" s="7">
        <v>251702</v>
      </c>
      <c r="T770" s="7">
        <v>112879100</v>
      </c>
      <c r="U770" s="7">
        <v>15005</v>
      </c>
      <c r="V770" s="7">
        <v>1368581</v>
      </c>
      <c r="W770" s="7">
        <v>3</v>
      </c>
      <c r="X770" s="3"/>
      <c r="Y770" s="3" t="s">
        <v>83</v>
      </c>
      <c r="Z770" s="9">
        <v>8.9442699999999995</v>
      </c>
      <c r="AA770" s="12">
        <f t="shared" si="162"/>
        <v>-0.5094511711883658</v>
      </c>
      <c r="AB770" s="9">
        <f t="shared" si="164"/>
        <v>12.78562</v>
      </c>
      <c r="AC770" s="9">
        <f t="shared" si="151"/>
        <v>22.520503571428574</v>
      </c>
      <c r="AD770" s="9">
        <f t="shared" si="152"/>
        <v>0.56773242034520599</v>
      </c>
      <c r="AE770" s="3" t="s">
        <v>80</v>
      </c>
      <c r="AF770" s="11" t="str">
        <f t="shared" si="153"/>
        <v/>
      </c>
      <c r="AG770" s="11" t="str">
        <f t="shared" si="154"/>
        <v/>
      </c>
      <c r="AH770" s="11">
        <f t="shared" si="155"/>
        <v>0.39716119009645334</v>
      </c>
      <c r="AI770" s="3" t="s">
        <v>45</v>
      </c>
      <c r="AJ770" s="3" t="s">
        <v>79</v>
      </c>
      <c r="AK770" s="3" t="s">
        <v>46</v>
      </c>
      <c r="AL770" s="3" t="s">
        <v>81</v>
      </c>
      <c r="AM770" s="3" t="s">
        <v>82</v>
      </c>
    </row>
    <row r="771" spans="1:39" ht="21" customHeight="1">
      <c r="A771" s="4">
        <v>43179</v>
      </c>
      <c r="B771" s="3" t="s">
        <v>78</v>
      </c>
      <c r="C771" s="3" t="s">
        <v>79</v>
      </c>
      <c r="D771" s="4">
        <v>43159</v>
      </c>
      <c r="E771" s="3">
        <f t="shared" si="156"/>
        <v>20</v>
      </c>
      <c r="F771" s="3" t="str">
        <f t="shared" si="157"/>
        <v>개봉후</v>
      </c>
      <c r="G771" s="3" t="str">
        <f t="shared" si="158"/>
        <v>화</v>
      </c>
      <c r="H771" s="3">
        <f t="shared" si="159"/>
        <v>0</v>
      </c>
      <c r="I771" s="3"/>
      <c r="J771" s="3"/>
      <c r="K771" s="3"/>
      <c r="L771" s="12" t="str">
        <f t="shared" si="160"/>
        <v/>
      </c>
      <c r="M771" s="12" t="str">
        <f t="shared" si="161"/>
        <v/>
      </c>
      <c r="N771" s="11" t="str">
        <f t="shared" si="163"/>
        <v/>
      </c>
      <c r="O771" s="11" t="str">
        <f t="shared" si="149"/>
        <v/>
      </c>
      <c r="P771" s="11" t="str">
        <f t="shared" si="150"/>
        <v/>
      </c>
      <c r="Q771" s="7">
        <v>528</v>
      </c>
      <c r="R771" s="7">
        <v>1762</v>
      </c>
      <c r="S771" s="7">
        <v>248907</v>
      </c>
      <c r="T771" s="7">
        <v>107330500</v>
      </c>
      <c r="U771" s="7">
        <v>14371</v>
      </c>
      <c r="V771" s="7">
        <v>1382952</v>
      </c>
      <c r="W771" s="7">
        <v>3</v>
      </c>
      <c r="X771" s="3"/>
      <c r="Y771" s="3" t="s">
        <v>83</v>
      </c>
      <c r="Z771" s="9">
        <v>7.9173</v>
      </c>
      <c r="AA771" s="12">
        <f t="shared" si="162"/>
        <v>-0.11481876106155109</v>
      </c>
      <c r="AB771" s="9">
        <f t="shared" si="164"/>
        <v>11.818095714285716</v>
      </c>
      <c r="AC771" s="9">
        <f t="shared" si="151"/>
        <v>22.623325000000001</v>
      </c>
      <c r="AD771" s="9">
        <f t="shared" si="152"/>
        <v>0.5223854457417606</v>
      </c>
      <c r="AE771" s="3" t="s">
        <v>80</v>
      </c>
      <c r="AF771" s="11" t="str">
        <f t="shared" si="153"/>
        <v/>
      </c>
      <c r="AG771" s="11" t="str">
        <f t="shared" si="154"/>
        <v/>
      </c>
      <c r="AH771" s="11">
        <f t="shared" si="155"/>
        <v>0.34996182037786222</v>
      </c>
      <c r="AI771" s="3" t="s">
        <v>45</v>
      </c>
      <c r="AJ771" s="3" t="s">
        <v>79</v>
      </c>
      <c r="AK771" s="3" t="s">
        <v>46</v>
      </c>
      <c r="AL771" s="3" t="s">
        <v>81</v>
      </c>
      <c r="AM771" s="3" t="s">
        <v>82</v>
      </c>
    </row>
    <row r="772" spans="1:39" ht="21" customHeight="1">
      <c r="A772" s="4">
        <v>43180</v>
      </c>
      <c r="B772" s="3" t="s">
        <v>78</v>
      </c>
      <c r="C772" s="3" t="s">
        <v>79</v>
      </c>
      <c r="D772" s="4">
        <v>43159</v>
      </c>
      <c r="E772" s="3">
        <f t="shared" si="156"/>
        <v>21</v>
      </c>
      <c r="F772" s="3" t="str">
        <f t="shared" si="157"/>
        <v>개봉후</v>
      </c>
      <c r="G772" s="3" t="str">
        <f t="shared" si="158"/>
        <v>수</v>
      </c>
      <c r="H772" s="3">
        <f t="shared" si="159"/>
        <v>0</v>
      </c>
      <c r="I772" s="3"/>
      <c r="J772" s="3"/>
      <c r="K772" s="3"/>
      <c r="L772" s="12" t="str">
        <f t="shared" si="160"/>
        <v/>
      </c>
      <c r="M772" s="12" t="str">
        <f t="shared" si="161"/>
        <v/>
      </c>
      <c r="N772" s="11" t="str">
        <f t="shared" si="163"/>
        <v/>
      </c>
      <c r="O772" s="11" t="str">
        <f t="shared" si="149"/>
        <v/>
      </c>
      <c r="P772" s="11" t="str">
        <f t="shared" si="150"/>
        <v/>
      </c>
      <c r="Q772" s="7">
        <v>514</v>
      </c>
      <c r="R772" s="7">
        <v>1236</v>
      </c>
      <c r="S772" s="7">
        <v>162452</v>
      </c>
      <c r="T772" s="7">
        <v>93969300</v>
      </c>
      <c r="U772" s="7">
        <v>12838</v>
      </c>
      <c r="V772" s="7">
        <v>1395790</v>
      </c>
      <c r="W772" s="7">
        <v>4</v>
      </c>
      <c r="X772" s="3"/>
      <c r="Y772" s="3" t="s">
        <v>83</v>
      </c>
      <c r="Z772" s="9">
        <v>9.2668700000000008</v>
      </c>
      <c r="AA772" s="12">
        <f t="shared" si="162"/>
        <v>0.17045836333093356</v>
      </c>
      <c r="AB772" s="9">
        <f t="shared" si="164"/>
        <v>11.674502857142857</v>
      </c>
      <c r="AC772" s="9">
        <f t="shared" si="151"/>
        <v>22.665207857142857</v>
      </c>
      <c r="AD772" s="9">
        <f t="shared" si="152"/>
        <v>0.51508474710341912</v>
      </c>
      <c r="AE772" s="3" t="s">
        <v>80</v>
      </c>
      <c r="AF772" s="11" t="str">
        <f t="shared" si="153"/>
        <v/>
      </c>
      <c r="AG772" s="11" t="str">
        <f t="shared" si="154"/>
        <v/>
      </c>
      <c r="AH772" s="11">
        <f t="shared" si="155"/>
        <v>0.4088588138440381</v>
      </c>
      <c r="AI772" s="3" t="s">
        <v>45</v>
      </c>
      <c r="AJ772" s="3" t="s">
        <v>79</v>
      </c>
      <c r="AK772" s="3" t="s">
        <v>46</v>
      </c>
      <c r="AL772" s="3" t="s">
        <v>81</v>
      </c>
      <c r="AM772" s="3" t="s">
        <v>82</v>
      </c>
    </row>
    <row r="773" spans="1:39" ht="21" customHeight="1">
      <c r="A773" s="4">
        <v>43181</v>
      </c>
      <c r="B773" s="3" t="s">
        <v>78</v>
      </c>
      <c r="C773" s="3" t="s">
        <v>79</v>
      </c>
      <c r="D773" s="4">
        <v>43159</v>
      </c>
      <c r="E773" s="3">
        <f t="shared" si="156"/>
        <v>22</v>
      </c>
      <c r="F773" s="3" t="str">
        <f t="shared" si="157"/>
        <v>개봉후</v>
      </c>
      <c r="G773" s="3" t="str">
        <f t="shared" si="158"/>
        <v>목</v>
      </c>
      <c r="H773" s="3">
        <f t="shared" si="159"/>
        <v>0</v>
      </c>
      <c r="I773" s="3"/>
      <c r="J773" s="3"/>
      <c r="K773" s="3"/>
      <c r="L773" s="12" t="str">
        <f t="shared" si="160"/>
        <v/>
      </c>
      <c r="M773" s="12" t="str">
        <f t="shared" si="161"/>
        <v/>
      </c>
      <c r="N773" s="11" t="str">
        <f t="shared" si="163"/>
        <v/>
      </c>
      <c r="O773" s="11" t="str">
        <f t="shared" si="149"/>
        <v/>
      </c>
      <c r="P773" s="11" t="str">
        <f t="shared" si="150"/>
        <v/>
      </c>
      <c r="Q773" s="7">
        <v>430</v>
      </c>
      <c r="R773" s="7">
        <v>941</v>
      </c>
      <c r="S773" s="7">
        <v>123948</v>
      </c>
      <c r="T773" s="7">
        <v>76009000</v>
      </c>
      <c r="U773" s="7">
        <v>10268</v>
      </c>
      <c r="V773" s="7">
        <v>1406058</v>
      </c>
      <c r="W773" s="7">
        <v>5</v>
      </c>
      <c r="X773" s="3"/>
      <c r="Y773" s="3" t="s">
        <v>83</v>
      </c>
      <c r="Z773" s="9">
        <v>6.3126699999999998</v>
      </c>
      <c r="AA773" s="12">
        <f t="shared" si="162"/>
        <v>-0.31879156608434145</v>
      </c>
      <c r="AB773" s="9">
        <f t="shared" si="164"/>
        <v>11.163255714285713</v>
      </c>
      <c r="AC773" s="9">
        <f t="shared" si="151"/>
        <v>22.807865</v>
      </c>
      <c r="AD773" s="9">
        <f t="shared" si="152"/>
        <v>0.48944764072769253</v>
      </c>
      <c r="AE773" s="3" t="s">
        <v>80</v>
      </c>
      <c r="AF773" s="11" t="str">
        <f t="shared" si="153"/>
        <v/>
      </c>
      <c r="AG773" s="11" t="str">
        <f t="shared" si="154"/>
        <v/>
      </c>
      <c r="AH773" s="11">
        <f t="shared" si="155"/>
        <v>0.27677601564197263</v>
      </c>
      <c r="AI773" s="3" t="s">
        <v>45</v>
      </c>
      <c r="AJ773" s="3" t="s">
        <v>79</v>
      </c>
      <c r="AK773" s="3" t="s">
        <v>46</v>
      </c>
      <c r="AL773" s="3" t="s">
        <v>81</v>
      </c>
      <c r="AM773" s="3" t="s">
        <v>82</v>
      </c>
    </row>
    <row r="774" spans="1:39" ht="21" customHeight="1">
      <c r="A774" s="4">
        <v>43182</v>
      </c>
      <c r="B774" s="3" t="s">
        <v>78</v>
      </c>
      <c r="C774" s="3" t="s">
        <v>79</v>
      </c>
      <c r="D774" s="4">
        <v>43159</v>
      </c>
      <c r="E774" s="3">
        <f t="shared" si="156"/>
        <v>23</v>
      </c>
      <c r="F774" s="3" t="str">
        <f t="shared" si="157"/>
        <v>개봉후</v>
      </c>
      <c r="G774" s="3" t="str">
        <f t="shared" si="158"/>
        <v>금</v>
      </c>
      <c r="H774" s="3">
        <f t="shared" si="159"/>
        <v>0</v>
      </c>
      <c r="I774" s="3"/>
      <c r="J774" s="3"/>
      <c r="K774" s="3"/>
      <c r="L774" s="12" t="str">
        <f t="shared" si="160"/>
        <v/>
      </c>
      <c r="M774" s="12" t="str">
        <f t="shared" si="161"/>
        <v/>
      </c>
      <c r="N774" s="11" t="str">
        <f t="shared" si="163"/>
        <v/>
      </c>
      <c r="O774" s="11" t="str">
        <f t="shared" si="149"/>
        <v/>
      </c>
      <c r="P774" s="11" t="str">
        <f t="shared" si="150"/>
        <v/>
      </c>
      <c r="Q774" s="7">
        <v>459</v>
      </c>
      <c r="R774" s="7">
        <v>989</v>
      </c>
      <c r="S774" s="7">
        <v>129747</v>
      </c>
      <c r="T774" s="7">
        <v>106478776</v>
      </c>
      <c r="U774" s="7">
        <v>12799</v>
      </c>
      <c r="V774" s="7">
        <v>1418857</v>
      </c>
      <c r="W774" s="7">
        <v>5</v>
      </c>
      <c r="X774" s="3"/>
      <c r="Y774" s="3" t="s">
        <v>83</v>
      </c>
      <c r="Z774" s="9">
        <v>6.8831300000000004</v>
      </c>
      <c r="AA774" s="12">
        <f t="shared" si="162"/>
        <v>9.0367467331572859E-2</v>
      </c>
      <c r="AB774" s="9">
        <f t="shared" si="164"/>
        <v>10.544454285714284</v>
      </c>
      <c r="AC774" s="9">
        <f t="shared" si="151"/>
        <v>22.865529285714285</v>
      </c>
      <c r="AD774" s="9">
        <f t="shared" si="152"/>
        <v>0.46115067593480774</v>
      </c>
      <c r="AE774" s="3" t="s">
        <v>80</v>
      </c>
      <c r="AF774" s="11" t="str">
        <f t="shared" si="153"/>
        <v/>
      </c>
      <c r="AG774" s="11" t="str">
        <f t="shared" si="154"/>
        <v/>
      </c>
      <c r="AH774" s="11">
        <f t="shared" si="155"/>
        <v>0.30102648899977047</v>
      </c>
      <c r="AI774" s="3" t="s">
        <v>45</v>
      </c>
      <c r="AJ774" s="3" t="s">
        <v>79</v>
      </c>
      <c r="AK774" s="3" t="s">
        <v>46</v>
      </c>
      <c r="AL774" s="3" t="s">
        <v>81</v>
      </c>
      <c r="AM774" s="3" t="s">
        <v>82</v>
      </c>
    </row>
    <row r="775" spans="1:39" ht="21" customHeight="1">
      <c r="A775" s="4">
        <v>43183</v>
      </c>
      <c r="B775" s="3" t="s">
        <v>78</v>
      </c>
      <c r="C775" s="3" t="s">
        <v>79</v>
      </c>
      <c r="D775" s="4">
        <v>43159</v>
      </c>
      <c r="E775" s="3">
        <f t="shared" si="156"/>
        <v>24</v>
      </c>
      <c r="F775" s="3" t="str">
        <f t="shared" si="157"/>
        <v>개봉후</v>
      </c>
      <c r="G775" s="3" t="str">
        <f t="shared" si="158"/>
        <v>토</v>
      </c>
      <c r="H775" s="3">
        <f t="shared" si="159"/>
        <v>1</v>
      </c>
      <c r="I775" s="3"/>
      <c r="J775" s="3"/>
      <c r="K775" s="3"/>
      <c r="L775" s="12" t="str">
        <f t="shared" si="160"/>
        <v/>
      </c>
      <c r="M775" s="12" t="str">
        <f t="shared" si="161"/>
        <v/>
      </c>
      <c r="N775" s="11" t="str">
        <f t="shared" si="163"/>
        <v/>
      </c>
      <c r="O775" s="11" t="str">
        <f t="shared" si="149"/>
        <v/>
      </c>
      <c r="P775" s="11" t="str">
        <f t="shared" si="150"/>
        <v/>
      </c>
      <c r="Q775" s="7">
        <v>466</v>
      </c>
      <c r="R775" s="7">
        <v>954</v>
      </c>
      <c r="S775" s="7">
        <v>124435</v>
      </c>
      <c r="T775" s="7">
        <v>211182487</v>
      </c>
      <c r="U775" s="7">
        <v>25371</v>
      </c>
      <c r="V775" s="7">
        <v>1444228</v>
      </c>
      <c r="W775" s="7">
        <v>4</v>
      </c>
      <c r="X775" s="3"/>
      <c r="Y775" s="3" t="s">
        <v>83</v>
      </c>
      <c r="Z775" s="9">
        <v>8.8895</v>
      </c>
      <c r="AA775" s="12">
        <f t="shared" si="162"/>
        <v>0.29149093508331236</v>
      </c>
      <c r="AB775" s="9">
        <f t="shared" si="164"/>
        <v>9.4924185714285727</v>
      </c>
      <c r="AC775" s="9">
        <f t="shared" si="151"/>
        <v>22.901709285714286</v>
      </c>
      <c r="AD775" s="9">
        <f t="shared" si="152"/>
        <v>0.41448515711225925</v>
      </c>
      <c r="AE775" s="3" t="s">
        <v>80</v>
      </c>
      <c r="AF775" s="11" t="str">
        <f t="shared" si="153"/>
        <v/>
      </c>
      <c r="AG775" s="11" t="str">
        <f t="shared" si="154"/>
        <v/>
      </c>
      <c r="AH775" s="11">
        <f t="shared" si="155"/>
        <v>0.38815880024925148</v>
      </c>
      <c r="AI775" s="3" t="s">
        <v>45</v>
      </c>
      <c r="AJ775" s="3" t="s">
        <v>79</v>
      </c>
      <c r="AK775" s="3" t="s">
        <v>46</v>
      </c>
      <c r="AL775" s="3" t="s">
        <v>81</v>
      </c>
      <c r="AM775" s="3" t="s">
        <v>82</v>
      </c>
    </row>
    <row r="776" spans="1:39" ht="21" customHeight="1">
      <c r="A776" s="4">
        <v>43184</v>
      </c>
      <c r="B776" s="3" t="s">
        <v>78</v>
      </c>
      <c r="C776" s="3" t="s">
        <v>79</v>
      </c>
      <c r="D776" s="4">
        <v>43159</v>
      </c>
      <c r="E776" s="3">
        <f t="shared" si="156"/>
        <v>25</v>
      </c>
      <c r="F776" s="3" t="str">
        <f t="shared" si="157"/>
        <v>개봉후</v>
      </c>
      <c r="G776" s="3" t="str">
        <f t="shared" si="158"/>
        <v>일</v>
      </c>
      <c r="H776" s="3">
        <f t="shared" si="159"/>
        <v>1</v>
      </c>
      <c r="I776" s="3"/>
      <c r="J776" s="3"/>
      <c r="K776" s="3"/>
      <c r="L776" s="12" t="str">
        <f t="shared" si="160"/>
        <v/>
      </c>
      <c r="M776" s="12" t="str">
        <f t="shared" si="161"/>
        <v/>
      </c>
      <c r="N776" s="11" t="str">
        <f t="shared" si="163"/>
        <v/>
      </c>
      <c r="O776" s="11" t="str">
        <f t="shared" si="149"/>
        <v/>
      </c>
      <c r="P776" s="11" t="str">
        <f t="shared" si="150"/>
        <v/>
      </c>
      <c r="Q776" s="7">
        <v>458</v>
      </c>
      <c r="R776" s="7">
        <v>929</v>
      </c>
      <c r="S776" s="7">
        <v>120650</v>
      </c>
      <c r="T776" s="7">
        <v>181230800</v>
      </c>
      <c r="U776" s="7">
        <v>22029</v>
      </c>
      <c r="V776" s="7">
        <v>1466257</v>
      </c>
      <c r="W776" s="7">
        <v>6</v>
      </c>
      <c r="X776" s="3"/>
      <c r="Y776" s="3" t="s">
        <v>83</v>
      </c>
      <c r="Z776" s="9">
        <v>7.8467500000000001</v>
      </c>
      <c r="AA776" s="12">
        <f t="shared" si="162"/>
        <v>-0.11730131053490067</v>
      </c>
      <c r="AB776" s="9">
        <f t="shared" si="164"/>
        <v>8.008641428571428</v>
      </c>
      <c r="AC776" s="9">
        <f t="shared" si="151"/>
        <v>23.059451785714288</v>
      </c>
      <c r="AD776" s="9">
        <f t="shared" si="152"/>
        <v>0.3473040687607723</v>
      </c>
      <c r="AE776" s="3" t="s">
        <v>80</v>
      </c>
      <c r="AF776" s="11" t="str">
        <f t="shared" si="153"/>
        <v/>
      </c>
      <c r="AG776" s="11" t="str">
        <f t="shared" si="154"/>
        <v/>
      </c>
      <c r="AH776" s="11">
        <f t="shared" si="155"/>
        <v>0.34028345829371326</v>
      </c>
      <c r="AI776" s="3" t="s">
        <v>45</v>
      </c>
      <c r="AJ776" s="3" t="s">
        <v>79</v>
      </c>
      <c r="AK776" s="3" t="s">
        <v>46</v>
      </c>
      <c r="AL776" s="3" t="s">
        <v>81</v>
      </c>
      <c r="AM776" s="3" t="s">
        <v>82</v>
      </c>
    </row>
    <row r="777" spans="1:39" ht="21" customHeight="1">
      <c r="A777" s="4">
        <v>43185</v>
      </c>
      <c r="B777" s="3" t="s">
        <v>78</v>
      </c>
      <c r="C777" s="3" t="s">
        <v>79</v>
      </c>
      <c r="D777" s="4">
        <v>43159</v>
      </c>
      <c r="E777" s="3">
        <f t="shared" si="156"/>
        <v>26</v>
      </c>
      <c r="F777" s="3" t="str">
        <f t="shared" si="157"/>
        <v>개봉후</v>
      </c>
      <c r="G777" s="3" t="str">
        <f t="shared" si="158"/>
        <v>월</v>
      </c>
      <c r="H777" s="3">
        <f t="shared" si="159"/>
        <v>0</v>
      </c>
      <c r="I777" s="3"/>
      <c r="J777" s="3"/>
      <c r="K777" s="3"/>
      <c r="L777" s="12" t="str">
        <f t="shared" si="160"/>
        <v/>
      </c>
      <c r="M777" s="12" t="str">
        <f t="shared" si="161"/>
        <v/>
      </c>
      <c r="N777" s="11" t="str">
        <f t="shared" si="163"/>
        <v/>
      </c>
      <c r="O777" s="11" t="str">
        <f t="shared" si="149"/>
        <v/>
      </c>
      <c r="P777" s="11" t="str">
        <f t="shared" si="150"/>
        <v/>
      </c>
      <c r="Q777" s="7">
        <v>448</v>
      </c>
      <c r="R777" s="7">
        <v>974</v>
      </c>
      <c r="S777" s="7">
        <v>128034</v>
      </c>
      <c r="T777" s="7">
        <v>57450800</v>
      </c>
      <c r="U777" s="7">
        <v>7874</v>
      </c>
      <c r="V777" s="7">
        <v>1474131</v>
      </c>
      <c r="W777" s="7">
        <v>5</v>
      </c>
      <c r="X777" s="3"/>
      <c r="Y777" s="3" t="s">
        <v>83</v>
      </c>
      <c r="Z777" s="9">
        <v>5.20749</v>
      </c>
      <c r="AA777" s="12">
        <f t="shared" si="162"/>
        <v>-0.33635071845031383</v>
      </c>
      <c r="AB777" s="9">
        <f t="shared" si="164"/>
        <v>7.4748157142857155</v>
      </c>
      <c r="AC777" s="9">
        <f t="shared" si="151"/>
        <v>22.495430357142862</v>
      </c>
      <c r="AD777" s="9">
        <f t="shared" si="152"/>
        <v>0.33228151653974802</v>
      </c>
      <c r="AE777" s="3" t="s">
        <v>80</v>
      </c>
      <c r="AF777" s="11" t="str">
        <f t="shared" si="153"/>
        <v/>
      </c>
      <c r="AG777" s="11" t="str">
        <f t="shared" si="154"/>
        <v/>
      </c>
      <c r="AH777" s="11">
        <f t="shared" si="155"/>
        <v>0.23149101472275196</v>
      </c>
      <c r="AI777" s="3" t="s">
        <v>45</v>
      </c>
      <c r="AJ777" s="3" t="s">
        <v>79</v>
      </c>
      <c r="AK777" s="3" t="s">
        <v>46</v>
      </c>
      <c r="AL777" s="3" t="s">
        <v>81</v>
      </c>
      <c r="AM777" s="3" t="s">
        <v>82</v>
      </c>
    </row>
    <row r="778" spans="1:39" ht="21" customHeight="1">
      <c r="A778" s="4">
        <v>43186</v>
      </c>
      <c r="B778" s="3" t="s">
        <v>78</v>
      </c>
      <c r="C778" s="3" t="s">
        <v>79</v>
      </c>
      <c r="D778" s="4">
        <v>43159</v>
      </c>
      <c r="E778" s="3">
        <f t="shared" si="156"/>
        <v>27</v>
      </c>
      <c r="F778" s="3" t="str">
        <f t="shared" si="157"/>
        <v>개봉후</v>
      </c>
      <c r="G778" s="3" t="str">
        <f t="shared" si="158"/>
        <v>화</v>
      </c>
      <c r="H778" s="3">
        <f t="shared" si="159"/>
        <v>0</v>
      </c>
      <c r="I778" s="3"/>
      <c r="J778" s="3"/>
      <c r="K778" s="3"/>
      <c r="L778" s="12" t="str">
        <f t="shared" si="160"/>
        <v/>
      </c>
      <c r="M778" s="12" t="str">
        <f t="shared" si="161"/>
        <v/>
      </c>
      <c r="N778" s="11" t="str">
        <f t="shared" si="163"/>
        <v/>
      </c>
      <c r="O778" s="11" t="str">
        <f t="shared" si="149"/>
        <v/>
      </c>
      <c r="P778" s="11" t="str">
        <f t="shared" si="150"/>
        <v/>
      </c>
      <c r="Q778" s="7">
        <v>458</v>
      </c>
      <c r="R778" s="7">
        <v>999</v>
      </c>
      <c r="S778" s="7">
        <v>131915</v>
      </c>
      <c r="T778" s="7">
        <v>61363300</v>
      </c>
      <c r="U778" s="7">
        <v>8590</v>
      </c>
      <c r="V778" s="7">
        <v>1482721</v>
      </c>
      <c r="W778" s="7">
        <v>5</v>
      </c>
      <c r="X778" s="3"/>
      <c r="Y778" s="3" t="s">
        <v>83</v>
      </c>
      <c r="Z778" s="9">
        <v>4.7166300000000003</v>
      </c>
      <c r="AA778" s="12">
        <f t="shared" si="162"/>
        <v>-9.4260382641157214E-2</v>
      </c>
      <c r="AB778" s="9">
        <f t="shared" si="164"/>
        <v>7.0175771428571432</v>
      </c>
      <c r="AC778" s="9">
        <f t="shared" si="151"/>
        <v>22.100713928571434</v>
      </c>
      <c r="AD778" s="9">
        <f t="shared" si="152"/>
        <v>0.31752716973477207</v>
      </c>
      <c r="AE778" s="3" t="s">
        <v>80</v>
      </c>
      <c r="AF778" s="11" t="str">
        <f t="shared" si="153"/>
        <v/>
      </c>
      <c r="AG778" s="11" t="str">
        <f t="shared" si="154"/>
        <v/>
      </c>
      <c r="AH778" s="11">
        <f t="shared" si="155"/>
        <v>0.21341527768034768</v>
      </c>
      <c r="AI778" s="3" t="s">
        <v>45</v>
      </c>
      <c r="AJ778" s="3" t="s">
        <v>79</v>
      </c>
      <c r="AK778" s="3" t="s">
        <v>46</v>
      </c>
      <c r="AL778" s="3" t="s">
        <v>81</v>
      </c>
      <c r="AM778" s="3" t="s">
        <v>82</v>
      </c>
    </row>
    <row r="779" spans="1:39" ht="21" customHeight="1">
      <c r="A779" s="4">
        <v>43187</v>
      </c>
      <c r="B779" s="3" t="s">
        <v>78</v>
      </c>
      <c r="C779" s="3" t="s">
        <v>79</v>
      </c>
      <c r="D779" s="4">
        <v>43159</v>
      </c>
      <c r="E779" s="3">
        <f t="shared" si="156"/>
        <v>28</v>
      </c>
      <c r="F779" s="3" t="str">
        <f t="shared" si="157"/>
        <v>개봉후</v>
      </c>
      <c r="G779" s="3" t="str">
        <f t="shared" si="158"/>
        <v>수</v>
      </c>
      <c r="H779" s="3">
        <f t="shared" si="159"/>
        <v>0</v>
      </c>
      <c r="I779" s="3"/>
      <c r="J779" s="3"/>
      <c r="K779" s="3"/>
      <c r="L779" s="12" t="str">
        <f t="shared" si="160"/>
        <v/>
      </c>
      <c r="M779" s="12" t="str">
        <f t="shared" si="161"/>
        <v/>
      </c>
      <c r="N779" s="11" t="str">
        <f t="shared" si="163"/>
        <v/>
      </c>
      <c r="O779" s="11" t="str">
        <f t="shared" si="149"/>
        <v/>
      </c>
      <c r="P779" s="11" t="str">
        <f t="shared" si="150"/>
        <v/>
      </c>
      <c r="Q779" s="7">
        <v>126</v>
      </c>
      <c r="R779" s="7">
        <v>170</v>
      </c>
      <c r="S779" s="7">
        <v>20388</v>
      </c>
      <c r="T779" s="7">
        <v>16493000</v>
      </c>
      <c r="U779" s="7">
        <v>2808</v>
      </c>
      <c r="V779" s="7">
        <v>1485529</v>
      </c>
      <c r="W779" s="7">
        <v>9</v>
      </c>
      <c r="X779" s="3"/>
      <c r="Y779" s="3" t="s">
        <v>83</v>
      </c>
      <c r="Z779" s="9">
        <v>4.0361599999999997</v>
      </c>
      <c r="AA779" s="12">
        <f t="shared" si="162"/>
        <v>-0.14427037948704913</v>
      </c>
      <c r="AB779" s="9">
        <f t="shared" si="164"/>
        <v>6.2703328571428569</v>
      </c>
      <c r="AC779" s="9">
        <f t="shared" si="151"/>
        <v>21.34854714285715</v>
      </c>
      <c r="AD779" s="9">
        <f t="shared" si="152"/>
        <v>0.29371239247260911</v>
      </c>
      <c r="AE779" s="3" t="s">
        <v>80</v>
      </c>
      <c r="AF779" s="11" t="str">
        <f t="shared" si="153"/>
        <v/>
      </c>
      <c r="AG779" s="11" t="str">
        <f t="shared" si="154"/>
        <v/>
      </c>
      <c r="AH779" s="11">
        <f t="shared" si="155"/>
        <v>0.18906017224457489</v>
      </c>
      <c r="AI779" s="3" t="s">
        <v>45</v>
      </c>
      <c r="AJ779" s="3" t="s">
        <v>79</v>
      </c>
      <c r="AK779" s="3" t="s">
        <v>46</v>
      </c>
      <c r="AL779" s="3" t="s">
        <v>81</v>
      </c>
      <c r="AM779" s="3" t="s">
        <v>82</v>
      </c>
    </row>
    <row r="780" spans="1:39" ht="21" customHeight="1">
      <c r="A780" s="4">
        <v>43188</v>
      </c>
      <c r="B780" s="3" t="s">
        <v>78</v>
      </c>
      <c r="C780" s="3" t="s">
        <v>79</v>
      </c>
      <c r="D780" s="4">
        <v>43159</v>
      </c>
      <c r="E780" s="3">
        <f t="shared" si="156"/>
        <v>29</v>
      </c>
      <c r="F780" s="3" t="str">
        <f t="shared" si="157"/>
        <v>개봉후</v>
      </c>
      <c r="G780" s="3" t="str">
        <f t="shared" si="158"/>
        <v>목</v>
      </c>
      <c r="H780" s="3">
        <f t="shared" si="159"/>
        <v>0</v>
      </c>
      <c r="I780" s="3"/>
      <c r="J780" s="3"/>
      <c r="K780" s="3"/>
      <c r="L780" s="12" t="str">
        <f t="shared" si="160"/>
        <v/>
      </c>
      <c r="M780" s="12" t="str">
        <f t="shared" si="161"/>
        <v/>
      </c>
      <c r="N780" s="11" t="str">
        <f t="shared" si="163"/>
        <v/>
      </c>
      <c r="O780" s="11" t="str">
        <f t="shared" si="149"/>
        <v/>
      </c>
      <c r="P780" s="11" t="str">
        <f t="shared" si="150"/>
        <v/>
      </c>
      <c r="Q780" s="7">
        <v>114</v>
      </c>
      <c r="R780" s="7">
        <v>153</v>
      </c>
      <c r="S780" s="7">
        <v>18544</v>
      </c>
      <c r="T780" s="7">
        <v>13376800</v>
      </c>
      <c r="U780" s="7">
        <v>1960</v>
      </c>
      <c r="V780" s="7">
        <v>1487489</v>
      </c>
      <c r="W780" s="7">
        <v>8</v>
      </c>
      <c r="X780" s="3"/>
      <c r="Y780" s="3" t="s">
        <v>83</v>
      </c>
      <c r="Z780" s="9">
        <v>3.5880100000000001</v>
      </c>
      <c r="AA780" s="12">
        <f t="shared" si="162"/>
        <v>-0.11103375485610079</v>
      </c>
      <c r="AB780" s="9">
        <f t="shared" si="164"/>
        <v>5.8810957142857143</v>
      </c>
      <c r="AC780" s="9">
        <f t="shared" si="151"/>
        <v>17.921267142857143</v>
      </c>
      <c r="AD780" s="9">
        <f t="shared" si="152"/>
        <v>0.32816294000894547</v>
      </c>
      <c r="AE780" s="3" t="s">
        <v>80</v>
      </c>
      <c r="AF780" s="11" t="str">
        <f t="shared" si="153"/>
        <v/>
      </c>
      <c r="AG780" s="11" t="str">
        <f t="shared" si="154"/>
        <v/>
      </c>
      <c r="AH780" s="11">
        <f t="shared" si="155"/>
        <v>0.20020961527991443</v>
      </c>
      <c r="AI780" s="3" t="s">
        <v>45</v>
      </c>
      <c r="AJ780" s="3" t="s">
        <v>79</v>
      </c>
      <c r="AK780" s="3" t="s">
        <v>46</v>
      </c>
      <c r="AL780" s="3" t="s">
        <v>81</v>
      </c>
      <c r="AM780" s="3" t="s">
        <v>82</v>
      </c>
    </row>
    <row r="781" spans="1:39" ht="21" customHeight="1">
      <c r="A781" s="4">
        <v>43189</v>
      </c>
      <c r="B781" s="3" t="s">
        <v>78</v>
      </c>
      <c r="C781" s="3" t="s">
        <v>79</v>
      </c>
      <c r="D781" s="4">
        <v>43159</v>
      </c>
      <c r="E781" s="3">
        <f t="shared" si="156"/>
        <v>30</v>
      </c>
      <c r="F781" s="3" t="str">
        <f t="shared" si="157"/>
        <v>개봉후</v>
      </c>
      <c r="G781" s="3" t="str">
        <f t="shared" si="158"/>
        <v>금</v>
      </c>
      <c r="H781" s="3">
        <f t="shared" si="159"/>
        <v>0</v>
      </c>
      <c r="I781" s="3"/>
      <c r="J781" s="3"/>
      <c r="K781" s="3"/>
      <c r="L781" s="12" t="str">
        <f t="shared" si="160"/>
        <v/>
      </c>
      <c r="M781" s="12" t="str">
        <f t="shared" si="161"/>
        <v/>
      </c>
      <c r="N781" s="11" t="str">
        <f t="shared" si="163"/>
        <v/>
      </c>
      <c r="O781" s="11" t="str">
        <f t="shared" si="149"/>
        <v/>
      </c>
      <c r="P781" s="11" t="str">
        <f t="shared" si="150"/>
        <v/>
      </c>
      <c r="Q781" s="7">
        <v>124</v>
      </c>
      <c r="R781" s="7">
        <v>167</v>
      </c>
      <c r="S781" s="7">
        <v>20206</v>
      </c>
      <c r="T781" s="7">
        <v>17562900</v>
      </c>
      <c r="U781" s="7">
        <v>2407</v>
      </c>
      <c r="V781" s="7">
        <v>1489896</v>
      </c>
      <c r="W781" s="7">
        <v>7</v>
      </c>
      <c r="X781" s="3"/>
      <c r="Y781" s="3" t="s">
        <v>83</v>
      </c>
      <c r="Z781" s="9">
        <v>4.1218000000000004</v>
      </c>
      <c r="AA781" s="12">
        <f t="shared" si="162"/>
        <v>0.14877048837656526</v>
      </c>
      <c r="AB781" s="9">
        <f t="shared" si="164"/>
        <v>5.4866200000000003</v>
      </c>
      <c r="AC781" s="9">
        <f t="shared" si="151"/>
        <v>15.96064892857143</v>
      </c>
      <c r="AD781" s="9">
        <f t="shared" si="152"/>
        <v>0.34375920581639435</v>
      </c>
      <c r="AE781" s="3" t="s">
        <v>80</v>
      </c>
      <c r="AF781" s="11" t="str">
        <f t="shared" si="153"/>
        <v/>
      </c>
      <c r="AG781" s="11" t="str">
        <f t="shared" si="154"/>
        <v/>
      </c>
      <c r="AH781" s="11">
        <f t="shared" si="155"/>
        <v>0.25824764509552589</v>
      </c>
      <c r="AI781" s="3" t="s">
        <v>45</v>
      </c>
      <c r="AJ781" s="3" t="s">
        <v>79</v>
      </c>
      <c r="AK781" s="3" t="s">
        <v>46</v>
      </c>
      <c r="AL781" s="3" t="s">
        <v>81</v>
      </c>
      <c r="AM781" s="3" t="s">
        <v>82</v>
      </c>
    </row>
    <row r="782" spans="1:39" ht="21" customHeight="1">
      <c r="A782" s="4">
        <v>43190</v>
      </c>
      <c r="B782" s="3" t="s">
        <v>78</v>
      </c>
      <c r="C782" s="3" t="s">
        <v>79</v>
      </c>
      <c r="D782" s="4">
        <v>43159</v>
      </c>
      <c r="E782" s="3">
        <f t="shared" si="156"/>
        <v>31</v>
      </c>
      <c r="F782" s="3" t="str">
        <f t="shared" si="157"/>
        <v>개봉후</v>
      </c>
      <c r="G782" s="3" t="str">
        <f t="shared" si="158"/>
        <v>토</v>
      </c>
      <c r="H782" s="3">
        <f t="shared" si="159"/>
        <v>1</v>
      </c>
      <c r="I782" s="3"/>
      <c r="J782" s="3"/>
      <c r="K782" s="3"/>
      <c r="L782" s="12" t="str">
        <f t="shared" si="160"/>
        <v/>
      </c>
      <c r="M782" s="12" t="str">
        <f t="shared" si="161"/>
        <v/>
      </c>
      <c r="N782" s="11" t="str">
        <f t="shared" si="163"/>
        <v/>
      </c>
      <c r="O782" s="11" t="str">
        <f t="shared" si="149"/>
        <v/>
      </c>
      <c r="P782" s="11" t="str">
        <f t="shared" si="150"/>
        <v/>
      </c>
      <c r="Q782" s="7">
        <v>92</v>
      </c>
      <c r="R782" s="7">
        <v>129</v>
      </c>
      <c r="S782" s="7">
        <v>14818</v>
      </c>
      <c r="T782" s="7">
        <v>28178300</v>
      </c>
      <c r="U782" s="7">
        <v>3561</v>
      </c>
      <c r="V782" s="7">
        <v>1493457</v>
      </c>
      <c r="W782" s="7">
        <v>9</v>
      </c>
      <c r="X782" s="3"/>
      <c r="Y782" s="3" t="s">
        <v>83</v>
      </c>
      <c r="Z782" s="9">
        <v>5.2861700000000003</v>
      </c>
      <c r="AA782" s="12">
        <f t="shared" si="162"/>
        <v>0.28249065942064133</v>
      </c>
      <c r="AB782" s="9">
        <f t="shared" si="164"/>
        <v>4.9718585714285712</v>
      </c>
      <c r="AC782" s="9">
        <f t="shared" si="151"/>
        <v>14.297694285714288</v>
      </c>
      <c r="AD782" s="9">
        <f t="shared" si="152"/>
        <v>0.34773848650521666</v>
      </c>
      <c r="AE782" s="3" t="s">
        <v>80</v>
      </c>
      <c r="AF782" s="11" t="str">
        <f t="shared" si="153"/>
        <v/>
      </c>
      <c r="AG782" s="11" t="str">
        <f t="shared" si="154"/>
        <v/>
      </c>
      <c r="AH782" s="11">
        <f t="shared" si="155"/>
        <v>0.36972185125553708</v>
      </c>
      <c r="AI782" s="3" t="s">
        <v>45</v>
      </c>
      <c r="AJ782" s="3" t="s">
        <v>79</v>
      </c>
      <c r="AK782" s="3" t="s">
        <v>46</v>
      </c>
      <c r="AL782" s="3" t="s">
        <v>81</v>
      </c>
      <c r="AM782" s="3" t="s">
        <v>82</v>
      </c>
    </row>
    <row r="783" spans="1:39" ht="21" customHeight="1">
      <c r="A783" s="4">
        <v>43191</v>
      </c>
      <c r="B783" s="3" t="s">
        <v>78</v>
      </c>
      <c r="C783" s="3" t="s">
        <v>79</v>
      </c>
      <c r="D783" s="4">
        <v>43159</v>
      </c>
      <c r="E783" s="3">
        <f t="shared" si="156"/>
        <v>32</v>
      </c>
      <c r="F783" s="3" t="str">
        <f t="shared" si="157"/>
        <v>개봉후</v>
      </c>
      <c r="G783" s="3" t="str">
        <f t="shared" si="158"/>
        <v>일</v>
      </c>
      <c r="H783" s="3">
        <f t="shared" si="159"/>
        <v>1</v>
      </c>
      <c r="I783" s="3"/>
      <c r="J783" s="3"/>
      <c r="K783" s="3"/>
      <c r="L783" s="12" t="str">
        <f t="shared" si="160"/>
        <v/>
      </c>
      <c r="M783" s="12" t="str">
        <f t="shared" si="161"/>
        <v/>
      </c>
      <c r="N783" s="11" t="str">
        <f t="shared" si="163"/>
        <v/>
      </c>
      <c r="O783" s="11" t="str">
        <f t="shared" si="149"/>
        <v/>
      </c>
      <c r="P783" s="11" t="str">
        <f t="shared" si="150"/>
        <v/>
      </c>
      <c r="Q783" s="7">
        <v>88</v>
      </c>
      <c r="R783" s="7">
        <v>126</v>
      </c>
      <c r="S783" s="7">
        <v>14495</v>
      </c>
      <c r="T783" s="7">
        <v>21765300</v>
      </c>
      <c r="U783" s="7">
        <v>2747</v>
      </c>
      <c r="V783" s="7">
        <v>1496204</v>
      </c>
      <c r="W783" s="7">
        <v>10</v>
      </c>
      <c r="X783" s="3"/>
      <c r="Y783" s="3" t="s">
        <v>83</v>
      </c>
      <c r="Z783" s="9">
        <v>3.9556300000000002</v>
      </c>
      <c r="AA783" s="12">
        <f t="shared" si="162"/>
        <v>-0.25170208298257524</v>
      </c>
      <c r="AB783" s="9">
        <f t="shared" si="164"/>
        <v>4.4159842857142859</v>
      </c>
      <c r="AC783" s="9">
        <f t="shared" si="151"/>
        <v>13.098965357142859</v>
      </c>
      <c r="AD783" s="9">
        <f t="shared" si="152"/>
        <v>0.33712466330833157</v>
      </c>
      <c r="AE783" s="3" t="s">
        <v>80</v>
      </c>
      <c r="AF783" s="11" t="str">
        <f t="shared" si="153"/>
        <v/>
      </c>
      <c r="AG783" s="11" t="str">
        <f t="shared" si="154"/>
        <v/>
      </c>
      <c r="AH783" s="11">
        <f t="shared" si="155"/>
        <v>0.30198033906876448</v>
      </c>
      <c r="AI783" s="3" t="s">
        <v>45</v>
      </c>
      <c r="AJ783" s="3" t="s">
        <v>79</v>
      </c>
      <c r="AK783" s="3" t="s">
        <v>46</v>
      </c>
      <c r="AL783" s="3" t="s">
        <v>81</v>
      </c>
      <c r="AM783" s="3" t="s">
        <v>82</v>
      </c>
    </row>
    <row r="784" spans="1:39" ht="21" customHeight="1">
      <c r="A784" s="4">
        <v>43192</v>
      </c>
      <c r="B784" s="3" t="s">
        <v>78</v>
      </c>
      <c r="C784" s="3" t="s">
        <v>79</v>
      </c>
      <c r="D784" s="4">
        <v>43159</v>
      </c>
      <c r="E784" s="3">
        <f t="shared" si="156"/>
        <v>33</v>
      </c>
      <c r="F784" s="3" t="str">
        <f t="shared" si="157"/>
        <v>개봉후</v>
      </c>
      <c r="G784" s="3" t="str">
        <f t="shared" si="158"/>
        <v>월</v>
      </c>
      <c r="H784" s="3">
        <f t="shared" si="159"/>
        <v>0</v>
      </c>
      <c r="I784" s="3"/>
      <c r="J784" s="3"/>
      <c r="K784" s="3"/>
      <c r="L784" s="12" t="str">
        <f t="shared" si="160"/>
        <v/>
      </c>
      <c r="M784" s="12" t="str">
        <f t="shared" si="161"/>
        <v/>
      </c>
      <c r="N784" s="11" t="str">
        <f t="shared" si="163"/>
        <v/>
      </c>
      <c r="O784" s="11" t="str">
        <f t="shared" si="149"/>
        <v/>
      </c>
      <c r="P784" s="11" t="str">
        <f t="shared" si="150"/>
        <v/>
      </c>
      <c r="Q784" s="7">
        <v>112</v>
      </c>
      <c r="R784" s="7">
        <v>166</v>
      </c>
      <c r="S784" s="7">
        <v>20679</v>
      </c>
      <c r="T784" s="7">
        <v>11350700</v>
      </c>
      <c r="U784" s="7">
        <v>1626</v>
      </c>
      <c r="V784" s="7">
        <v>1497830</v>
      </c>
      <c r="W784" s="7">
        <v>9</v>
      </c>
      <c r="X784" s="3"/>
      <c r="Y784" s="3" t="s">
        <v>83</v>
      </c>
      <c r="Z784" s="9">
        <v>2.79637</v>
      </c>
      <c r="AA784" s="12">
        <f t="shared" si="162"/>
        <v>-0.29306583274977693</v>
      </c>
      <c r="AB784" s="9">
        <f t="shared" si="164"/>
        <v>4.0715385714285715</v>
      </c>
      <c r="AC784" s="9">
        <f t="shared" si="151"/>
        <v>11.783871428571429</v>
      </c>
      <c r="AD784" s="9">
        <f t="shared" si="152"/>
        <v>0.34551790522396836</v>
      </c>
      <c r="AE784" s="3" t="s">
        <v>80</v>
      </c>
      <c r="AF784" s="11" t="str">
        <f t="shared" si="153"/>
        <v/>
      </c>
      <c r="AG784" s="11" t="str">
        <f t="shared" si="154"/>
        <v/>
      </c>
      <c r="AH784" s="11">
        <f t="shared" si="155"/>
        <v>0.23730486342712981</v>
      </c>
      <c r="AI784" s="3" t="s">
        <v>45</v>
      </c>
      <c r="AJ784" s="3" t="s">
        <v>79</v>
      </c>
      <c r="AK784" s="3" t="s">
        <v>46</v>
      </c>
      <c r="AL784" s="3" t="s">
        <v>81</v>
      </c>
      <c r="AM784" s="3" t="s">
        <v>82</v>
      </c>
    </row>
    <row r="785" spans="1:39" ht="21" customHeight="1">
      <c r="A785" s="4">
        <v>43193</v>
      </c>
      <c r="B785" s="3" t="s">
        <v>78</v>
      </c>
      <c r="C785" s="3" t="s">
        <v>79</v>
      </c>
      <c r="D785" s="4">
        <v>43159</v>
      </c>
      <c r="E785" s="3">
        <f t="shared" si="156"/>
        <v>34</v>
      </c>
      <c r="F785" s="3" t="str">
        <f t="shared" si="157"/>
        <v>개봉후</v>
      </c>
      <c r="G785" s="3" t="str">
        <f t="shared" si="158"/>
        <v>화</v>
      </c>
      <c r="H785" s="3">
        <f t="shared" si="159"/>
        <v>0</v>
      </c>
      <c r="I785" s="3"/>
      <c r="J785" s="3"/>
      <c r="K785" s="3"/>
      <c r="L785" s="12" t="str">
        <f t="shared" si="160"/>
        <v/>
      </c>
      <c r="M785" s="12" t="str">
        <f t="shared" si="161"/>
        <v/>
      </c>
      <c r="N785" s="11" t="str">
        <f t="shared" si="163"/>
        <v/>
      </c>
      <c r="O785" s="11" t="str">
        <f t="shared" si="149"/>
        <v/>
      </c>
      <c r="P785" s="11" t="str">
        <f t="shared" si="150"/>
        <v/>
      </c>
      <c r="Q785" s="7">
        <v>105</v>
      </c>
      <c r="R785" s="7">
        <v>151</v>
      </c>
      <c r="S785" s="7">
        <v>18787</v>
      </c>
      <c r="T785" s="7">
        <v>9955600</v>
      </c>
      <c r="U785" s="7">
        <v>1423</v>
      </c>
      <c r="V785" s="7">
        <v>1499253</v>
      </c>
      <c r="W785" s="7">
        <v>12</v>
      </c>
      <c r="X785" s="3"/>
      <c r="Y785" s="3" t="s">
        <v>83</v>
      </c>
      <c r="Z785" s="9">
        <v>2.6870599999999998</v>
      </c>
      <c r="AA785" s="12">
        <f t="shared" si="162"/>
        <v>-3.9089963059251942E-2</v>
      </c>
      <c r="AB785" s="9">
        <f t="shared" si="164"/>
        <v>3.7815999999999996</v>
      </c>
      <c r="AC785" s="9">
        <f t="shared" si="151"/>
        <v>11.028596428571431</v>
      </c>
      <c r="AD785" s="9">
        <f t="shared" si="152"/>
        <v>0.34289041443235058</v>
      </c>
      <c r="AE785" s="3" t="s">
        <v>80</v>
      </c>
      <c r="AF785" s="11" t="str">
        <f t="shared" si="153"/>
        <v/>
      </c>
      <c r="AG785" s="11" t="str">
        <f t="shared" si="154"/>
        <v/>
      </c>
      <c r="AH785" s="11">
        <f t="shared" si="155"/>
        <v>0.24364478448397292</v>
      </c>
      <c r="AI785" s="3" t="s">
        <v>45</v>
      </c>
      <c r="AJ785" s="3" t="s">
        <v>79</v>
      </c>
      <c r="AK785" s="3" t="s">
        <v>46</v>
      </c>
      <c r="AL785" s="3" t="s">
        <v>81</v>
      </c>
      <c r="AM785" s="3" t="s">
        <v>82</v>
      </c>
    </row>
    <row r="786" spans="1:39" ht="21" customHeight="1">
      <c r="A786" s="4">
        <v>43194</v>
      </c>
      <c r="B786" s="3" t="s">
        <v>78</v>
      </c>
      <c r="C786" s="3" t="s">
        <v>79</v>
      </c>
      <c r="D786" s="4">
        <v>43159</v>
      </c>
      <c r="E786" s="3">
        <f t="shared" si="156"/>
        <v>35</v>
      </c>
      <c r="F786" s="3" t="str">
        <f t="shared" si="157"/>
        <v>개봉후</v>
      </c>
      <c r="G786" s="3" t="str">
        <f t="shared" si="158"/>
        <v>수</v>
      </c>
      <c r="H786" s="3">
        <f t="shared" si="159"/>
        <v>0</v>
      </c>
      <c r="I786" s="3"/>
      <c r="J786" s="3"/>
      <c r="K786" s="3"/>
      <c r="L786" s="12" t="str">
        <f t="shared" si="160"/>
        <v/>
      </c>
      <c r="M786" s="12" t="str">
        <f t="shared" si="161"/>
        <v/>
      </c>
      <c r="N786" s="11" t="str">
        <f t="shared" si="163"/>
        <v/>
      </c>
      <c r="O786" s="11" t="str">
        <f t="shared" si="149"/>
        <v/>
      </c>
      <c r="P786" s="11" t="str">
        <f t="shared" si="150"/>
        <v/>
      </c>
      <c r="Q786" s="7">
        <v>94</v>
      </c>
      <c r="R786" s="7">
        <v>135</v>
      </c>
      <c r="S786" s="7">
        <v>16482</v>
      </c>
      <c r="T786" s="7">
        <v>8643100</v>
      </c>
      <c r="U786" s="7">
        <v>1251</v>
      </c>
      <c r="V786" s="7">
        <v>1500504</v>
      </c>
      <c r="W786" s="7">
        <v>10</v>
      </c>
      <c r="X786" s="3"/>
      <c r="Y786" s="3" t="s">
        <v>83</v>
      </c>
      <c r="Z786" s="9">
        <v>10.323539999999999</v>
      </c>
      <c r="AA786" s="12">
        <f t="shared" si="162"/>
        <v>2.8419462163107636</v>
      </c>
      <c r="AB786" s="9">
        <f t="shared" si="164"/>
        <v>4.6797971428571428</v>
      </c>
      <c r="AC786" s="9">
        <f t="shared" si="151"/>
        <v>10.499445714285715</v>
      </c>
      <c r="AD786" s="9">
        <f t="shared" si="152"/>
        <v>0.44571849507157651</v>
      </c>
      <c r="AE786" s="3" t="s">
        <v>80</v>
      </c>
      <c r="AF786" s="11" t="str">
        <f t="shared" si="153"/>
        <v/>
      </c>
      <c r="AG786" s="11" t="str">
        <f t="shared" si="154"/>
        <v/>
      </c>
      <c r="AH786" s="11">
        <f t="shared" si="155"/>
        <v>0.98324619041114003</v>
      </c>
      <c r="AI786" s="3" t="s">
        <v>45</v>
      </c>
      <c r="AJ786" s="3" t="s">
        <v>79</v>
      </c>
      <c r="AK786" s="3" t="s">
        <v>46</v>
      </c>
      <c r="AL786" s="3" t="s">
        <v>81</v>
      </c>
      <c r="AM786" s="3" t="s">
        <v>82</v>
      </c>
    </row>
    <row r="787" spans="1:39" ht="21" customHeight="1">
      <c r="A787" s="4">
        <v>43195</v>
      </c>
      <c r="B787" s="3" t="s">
        <v>78</v>
      </c>
      <c r="C787" s="3" t="s">
        <v>79</v>
      </c>
      <c r="D787" s="4">
        <v>43159</v>
      </c>
      <c r="E787" s="3">
        <f t="shared" si="156"/>
        <v>36</v>
      </c>
      <c r="F787" s="3" t="str">
        <f t="shared" si="157"/>
        <v>개봉후</v>
      </c>
      <c r="G787" s="3" t="str">
        <f t="shared" si="158"/>
        <v>목</v>
      </c>
      <c r="H787" s="3">
        <f t="shared" si="159"/>
        <v>0</v>
      </c>
      <c r="I787" s="3"/>
      <c r="J787" s="3"/>
      <c r="K787" s="3"/>
      <c r="L787" s="12" t="str">
        <f t="shared" si="160"/>
        <v/>
      </c>
      <c r="M787" s="12" t="str">
        <f t="shared" si="161"/>
        <v/>
      </c>
      <c r="N787" s="11" t="str">
        <f t="shared" si="163"/>
        <v/>
      </c>
      <c r="O787" s="11" t="str">
        <f t="shared" si="149"/>
        <v/>
      </c>
      <c r="P787" s="11" t="str">
        <f t="shared" si="150"/>
        <v/>
      </c>
      <c r="Q787" s="7">
        <v>23</v>
      </c>
      <c r="R787" s="7">
        <v>30</v>
      </c>
      <c r="S787" s="7">
        <v>3799</v>
      </c>
      <c r="T787" s="7">
        <v>3569400</v>
      </c>
      <c r="U787" s="7">
        <v>535</v>
      </c>
      <c r="V787" s="7">
        <v>1501039</v>
      </c>
      <c r="W787" s="7">
        <v>17</v>
      </c>
      <c r="X787" s="3"/>
      <c r="Y787" s="3" t="s">
        <v>83</v>
      </c>
      <c r="Z787" s="9">
        <v>11.149990000000001</v>
      </c>
      <c r="AA787" s="12">
        <f t="shared" si="162"/>
        <v>8.0054903647392317E-2</v>
      </c>
      <c r="AB787" s="9">
        <f t="shared" si="164"/>
        <v>5.7600800000000003</v>
      </c>
      <c r="AC787" s="9">
        <f t="shared" si="151"/>
        <v>10.269807142857145</v>
      </c>
      <c r="AD787" s="9">
        <f t="shared" si="152"/>
        <v>0.56087518683408288</v>
      </c>
      <c r="AE787" s="3" t="s">
        <v>80</v>
      </c>
      <c r="AF787" s="11" t="str">
        <f t="shared" si="153"/>
        <v/>
      </c>
      <c r="AG787" s="11" t="str">
        <f t="shared" si="154"/>
        <v/>
      </c>
      <c r="AH787" s="11">
        <f t="shared" si="155"/>
        <v>1.0857058798572514</v>
      </c>
      <c r="AI787" s="3" t="s">
        <v>45</v>
      </c>
      <c r="AJ787" s="3" t="s">
        <v>79</v>
      </c>
      <c r="AK787" s="3" t="s">
        <v>46</v>
      </c>
      <c r="AL787" s="3" t="s">
        <v>81</v>
      </c>
      <c r="AM787" s="3" t="s">
        <v>82</v>
      </c>
    </row>
    <row r="788" spans="1:39" ht="21" customHeight="1">
      <c r="A788" s="4">
        <v>43196</v>
      </c>
      <c r="B788" s="3" t="s">
        <v>78</v>
      </c>
      <c r="C788" s="3" t="s">
        <v>79</v>
      </c>
      <c r="D788" s="4">
        <v>43159</v>
      </c>
      <c r="E788" s="3">
        <f t="shared" si="156"/>
        <v>37</v>
      </c>
      <c r="F788" s="3" t="str">
        <f t="shared" si="157"/>
        <v>개봉후</v>
      </c>
      <c r="G788" s="3" t="str">
        <f t="shared" si="158"/>
        <v>금</v>
      </c>
      <c r="H788" s="3">
        <f t="shared" si="159"/>
        <v>0</v>
      </c>
      <c r="I788" s="3"/>
      <c r="J788" s="3"/>
      <c r="K788" s="3"/>
      <c r="L788" s="12" t="str">
        <f t="shared" si="160"/>
        <v/>
      </c>
      <c r="M788" s="12" t="str">
        <f t="shared" si="161"/>
        <v/>
      </c>
      <c r="N788" s="11" t="str">
        <f t="shared" si="163"/>
        <v/>
      </c>
      <c r="O788" s="11" t="str">
        <f t="shared" si="149"/>
        <v/>
      </c>
      <c r="P788" s="11" t="str">
        <f t="shared" si="150"/>
        <v/>
      </c>
      <c r="Q788" s="7">
        <v>24</v>
      </c>
      <c r="R788" s="7">
        <v>31</v>
      </c>
      <c r="S788" s="7">
        <v>3860</v>
      </c>
      <c r="T788" s="7">
        <v>3406900</v>
      </c>
      <c r="U788" s="7">
        <v>436</v>
      </c>
      <c r="V788" s="7">
        <v>1501475</v>
      </c>
      <c r="W788" s="7">
        <v>17</v>
      </c>
      <c r="X788" s="3"/>
      <c r="Y788" s="3" t="s">
        <v>83</v>
      </c>
      <c r="Z788" s="9">
        <v>9.8150499999999994</v>
      </c>
      <c r="AA788" s="12">
        <f t="shared" si="162"/>
        <v>-0.11972566791539729</v>
      </c>
      <c r="AB788" s="9">
        <f t="shared" si="164"/>
        <v>6.5734014285714286</v>
      </c>
      <c r="AC788" s="9">
        <f t="shared" si="151"/>
        <v>10.081122857142859</v>
      </c>
      <c r="AD788" s="9">
        <f t="shared" si="152"/>
        <v>0.65205052271671538</v>
      </c>
      <c r="AE788" s="3" t="s">
        <v>80</v>
      </c>
      <c r="AF788" s="11" t="str">
        <f t="shared" si="153"/>
        <v/>
      </c>
      <c r="AG788" s="11" t="str">
        <f t="shared" si="154"/>
        <v/>
      </c>
      <c r="AH788" s="11">
        <f t="shared" si="155"/>
        <v>0.97360682327620518</v>
      </c>
      <c r="AI788" s="3" t="s">
        <v>45</v>
      </c>
      <c r="AJ788" s="3" t="s">
        <v>79</v>
      </c>
      <c r="AK788" s="3" t="s">
        <v>46</v>
      </c>
      <c r="AL788" s="3" t="s">
        <v>81</v>
      </c>
      <c r="AM788" s="3" t="s">
        <v>82</v>
      </c>
    </row>
    <row r="789" spans="1:39" ht="21" customHeight="1">
      <c r="A789" s="4">
        <v>43197</v>
      </c>
      <c r="B789" s="3" t="s">
        <v>78</v>
      </c>
      <c r="C789" s="3" t="s">
        <v>79</v>
      </c>
      <c r="D789" s="4">
        <v>43159</v>
      </c>
      <c r="E789" s="3">
        <f t="shared" si="156"/>
        <v>38</v>
      </c>
      <c r="F789" s="3" t="str">
        <f t="shared" si="157"/>
        <v>개봉후</v>
      </c>
      <c r="G789" s="3" t="str">
        <f t="shared" si="158"/>
        <v>토</v>
      </c>
      <c r="H789" s="3">
        <f t="shared" si="159"/>
        <v>1</v>
      </c>
      <c r="I789" s="3"/>
      <c r="J789" s="3"/>
      <c r="K789" s="3"/>
      <c r="L789" s="12" t="str">
        <f t="shared" si="160"/>
        <v/>
      </c>
      <c r="M789" s="12" t="str">
        <f t="shared" si="161"/>
        <v/>
      </c>
      <c r="N789" s="11" t="str">
        <f t="shared" si="163"/>
        <v/>
      </c>
      <c r="O789" s="11" t="str">
        <f t="shared" si="149"/>
        <v/>
      </c>
      <c r="P789" s="11" t="str">
        <f t="shared" si="150"/>
        <v/>
      </c>
      <c r="Q789" s="7">
        <v>23</v>
      </c>
      <c r="R789" s="7">
        <v>29</v>
      </c>
      <c r="S789" s="7">
        <v>3729</v>
      </c>
      <c r="T789" s="7">
        <v>3520700</v>
      </c>
      <c r="U789" s="7">
        <v>411</v>
      </c>
      <c r="V789" s="7">
        <v>1501886</v>
      </c>
      <c r="W789" s="7">
        <v>22</v>
      </c>
      <c r="X789" s="3"/>
      <c r="Y789" s="3" t="s">
        <v>83</v>
      </c>
      <c r="Z789" s="9">
        <v>11.75179</v>
      </c>
      <c r="AA789" s="12">
        <f t="shared" si="162"/>
        <v>0.19732349809730976</v>
      </c>
      <c r="AB789" s="9">
        <f t="shared" si="164"/>
        <v>7.4970614285714285</v>
      </c>
      <c r="AC789" s="9">
        <f t="shared" si="151"/>
        <v>9.8265521428571425</v>
      </c>
      <c r="AD789" s="9">
        <f t="shared" si="152"/>
        <v>0.76293915908450094</v>
      </c>
      <c r="AE789" s="3" t="s">
        <v>80</v>
      </c>
      <c r="AF789" s="11" t="str">
        <f t="shared" si="153"/>
        <v/>
      </c>
      <c r="AG789" s="11" t="str">
        <f t="shared" si="154"/>
        <v/>
      </c>
      <c r="AH789" s="11">
        <f t="shared" si="155"/>
        <v>1.1959220110120008</v>
      </c>
      <c r="AI789" s="3" t="s">
        <v>45</v>
      </c>
      <c r="AJ789" s="3" t="s">
        <v>79</v>
      </c>
      <c r="AK789" s="3" t="s">
        <v>46</v>
      </c>
      <c r="AL789" s="3" t="s">
        <v>81</v>
      </c>
      <c r="AM789" s="3" t="s">
        <v>82</v>
      </c>
    </row>
    <row r="790" spans="1:39" ht="21" customHeight="1">
      <c r="A790" s="4">
        <v>43198</v>
      </c>
      <c r="B790" s="3" t="s">
        <v>78</v>
      </c>
      <c r="C790" s="3" t="s">
        <v>79</v>
      </c>
      <c r="D790" s="4">
        <v>43159</v>
      </c>
      <c r="E790" s="3">
        <f t="shared" si="156"/>
        <v>39</v>
      </c>
      <c r="F790" s="3" t="str">
        <f t="shared" si="157"/>
        <v>개봉후</v>
      </c>
      <c r="G790" s="3" t="str">
        <f t="shared" si="158"/>
        <v>일</v>
      </c>
      <c r="H790" s="3">
        <f t="shared" si="159"/>
        <v>1</v>
      </c>
      <c r="I790" s="3"/>
      <c r="J790" s="3"/>
      <c r="K790" s="3"/>
      <c r="L790" s="12" t="str">
        <f t="shared" si="160"/>
        <v/>
      </c>
      <c r="M790" s="12" t="str">
        <f t="shared" si="161"/>
        <v/>
      </c>
      <c r="N790" s="11" t="str">
        <f t="shared" si="163"/>
        <v/>
      </c>
      <c r="O790" s="11" t="str">
        <f t="shared" si="149"/>
        <v/>
      </c>
      <c r="P790" s="11" t="str">
        <f t="shared" si="150"/>
        <v/>
      </c>
      <c r="Q790" s="7">
        <v>18</v>
      </c>
      <c r="R790" s="7">
        <v>25</v>
      </c>
      <c r="S790" s="7">
        <v>3020</v>
      </c>
      <c r="T790" s="7">
        <v>4806400</v>
      </c>
      <c r="U790" s="7">
        <v>565</v>
      </c>
      <c r="V790" s="7">
        <v>1502451</v>
      </c>
      <c r="W790" s="7">
        <v>17</v>
      </c>
      <c r="X790" s="3"/>
      <c r="Y790" s="3" t="s">
        <v>83</v>
      </c>
      <c r="Z790" s="9">
        <v>11.9718</v>
      </c>
      <c r="AA790" s="12">
        <f t="shared" si="162"/>
        <v>1.8721403292604855E-2</v>
      </c>
      <c r="AB790" s="9">
        <f t="shared" si="164"/>
        <v>8.6422285714285714</v>
      </c>
      <c r="AC790" s="9">
        <f t="shared" si="151"/>
        <v>9.3426907142857178</v>
      </c>
      <c r="AD790" s="9">
        <f t="shared" si="152"/>
        <v>0.92502565221536404</v>
      </c>
      <c r="AE790" s="3" t="s">
        <v>80</v>
      </c>
      <c r="AF790" s="11" t="str">
        <f t="shared" si="153"/>
        <v/>
      </c>
      <c r="AG790" s="11" t="str">
        <f t="shared" si="154"/>
        <v/>
      </c>
      <c r="AH790" s="11">
        <f t="shared" si="155"/>
        <v>1.28140814740813</v>
      </c>
      <c r="AI790" s="3" t="s">
        <v>45</v>
      </c>
      <c r="AJ790" s="3" t="s">
        <v>79</v>
      </c>
      <c r="AK790" s="3" t="s">
        <v>46</v>
      </c>
      <c r="AL790" s="3" t="s">
        <v>81</v>
      </c>
      <c r="AM790" s="3" t="s">
        <v>82</v>
      </c>
    </row>
    <row r="791" spans="1:39" ht="21" customHeight="1">
      <c r="A791" s="4">
        <v>43199</v>
      </c>
      <c r="B791" s="3" t="s">
        <v>78</v>
      </c>
      <c r="C791" s="3" t="s">
        <v>79</v>
      </c>
      <c r="D791" s="4">
        <v>43159</v>
      </c>
      <c r="E791" s="3">
        <f t="shared" si="156"/>
        <v>40</v>
      </c>
      <c r="F791" s="3" t="str">
        <f t="shared" si="157"/>
        <v>개봉후</v>
      </c>
      <c r="G791" s="3" t="str">
        <f t="shared" si="158"/>
        <v>월</v>
      </c>
      <c r="H791" s="3">
        <f t="shared" si="159"/>
        <v>0</v>
      </c>
      <c r="I791" s="3"/>
      <c r="J791" s="3"/>
      <c r="K791" s="3"/>
      <c r="L791" s="12" t="str">
        <f t="shared" si="160"/>
        <v/>
      </c>
      <c r="M791" s="12" t="str">
        <f t="shared" si="161"/>
        <v/>
      </c>
      <c r="N791" s="11" t="str">
        <f t="shared" si="163"/>
        <v/>
      </c>
      <c r="O791" s="11" t="str">
        <f t="shared" ref="O791:O854" si="165">IF(COUNT(I763:I790)=28,AVERAGE(I763:I790),"")</f>
        <v/>
      </c>
      <c r="P791" s="11" t="str">
        <f t="shared" ref="P791:P854" si="166">IF(COUNT(I791,O791)=2,IFERROR(I791/O791,""),"")</f>
        <v/>
      </c>
      <c r="Q791" s="7">
        <v>25</v>
      </c>
      <c r="R791" s="7">
        <v>32</v>
      </c>
      <c r="S791" s="7">
        <v>4447</v>
      </c>
      <c r="T791" s="7">
        <v>1608600</v>
      </c>
      <c r="U791" s="7">
        <v>218</v>
      </c>
      <c r="V791" s="7">
        <v>1502669</v>
      </c>
      <c r="W791" s="7">
        <v>23</v>
      </c>
      <c r="X791" s="3"/>
      <c r="Y791" s="3" t="s">
        <v>83</v>
      </c>
      <c r="Z791" s="9">
        <v>7.2618900000000002</v>
      </c>
      <c r="AA791" s="12">
        <f t="shared" si="162"/>
        <v>-0.39341703002054829</v>
      </c>
      <c r="AB791" s="9">
        <f t="shared" si="164"/>
        <v>9.2801599999999986</v>
      </c>
      <c r="AC791" s="9">
        <f t="shared" ref="AC791:AC854" si="167">IF(COUNT(Z763:Z790)=28,AVERAGE(Z763:Z790),"")</f>
        <v>8.7556682142857163</v>
      </c>
      <c r="AD791" s="9">
        <f t="shared" ref="AD791:AD854" si="168">IF(COUNT(AB791:AC791)=2,IFERROR(AB791/AC791,""),"")</f>
        <v>1.0599031133750048</v>
      </c>
      <c r="AE791" s="3" t="s">
        <v>80</v>
      </c>
      <c r="AF791" s="11" t="str">
        <f t="shared" ref="AF791:AF854" si="169">IF(COUNT(J784,J777,J770,J763)=4,AVERAGE(J784,J777,J770,J763),"")</f>
        <v/>
      </c>
      <c r="AG791" s="11" t="str">
        <f t="shared" ref="AG791:AG854" si="170">IF(COUNT(J791,AF791)=2,IFERROR(J791/AF791,""),"")</f>
        <v/>
      </c>
      <c r="AH791" s="11">
        <f t="shared" ref="AH791:AH854" si="171">IF(COUNT(Z791,AC791)=2,IFERROR(Z791/AC791,""),"")</f>
        <v>0.82939300830878071</v>
      </c>
      <c r="AI791" s="3" t="s">
        <v>45</v>
      </c>
      <c r="AJ791" s="3" t="s">
        <v>79</v>
      </c>
      <c r="AK791" s="3" t="s">
        <v>46</v>
      </c>
      <c r="AL791" s="3" t="s">
        <v>81</v>
      </c>
      <c r="AM791" s="3" t="s">
        <v>82</v>
      </c>
    </row>
    <row r="792" spans="1:39" ht="21" customHeight="1">
      <c r="A792" s="4">
        <v>43200</v>
      </c>
      <c r="B792" s="3" t="s">
        <v>78</v>
      </c>
      <c r="C792" s="3" t="s">
        <v>79</v>
      </c>
      <c r="D792" s="4">
        <v>43159</v>
      </c>
      <c r="E792" s="3">
        <f t="shared" si="156"/>
        <v>41</v>
      </c>
      <c r="F792" s="3" t="str">
        <f t="shared" si="157"/>
        <v>개봉후</v>
      </c>
      <c r="G792" s="3" t="str">
        <f t="shared" si="158"/>
        <v>화</v>
      </c>
      <c r="H792" s="3">
        <f t="shared" si="159"/>
        <v>0</v>
      </c>
      <c r="I792" s="3"/>
      <c r="J792" s="3"/>
      <c r="K792" s="3"/>
      <c r="L792" s="12" t="str">
        <f t="shared" si="160"/>
        <v/>
      </c>
      <c r="M792" s="12" t="str">
        <f t="shared" si="161"/>
        <v/>
      </c>
      <c r="N792" s="11" t="str">
        <f t="shared" si="163"/>
        <v/>
      </c>
      <c r="O792" s="11" t="str">
        <f t="shared" si="165"/>
        <v/>
      </c>
      <c r="P792" s="11" t="str">
        <f t="shared" si="166"/>
        <v/>
      </c>
      <c r="Q792" s="7">
        <v>25</v>
      </c>
      <c r="R792" s="7">
        <v>32</v>
      </c>
      <c r="S792" s="7">
        <v>4391</v>
      </c>
      <c r="T792" s="7">
        <v>1341700</v>
      </c>
      <c r="U792" s="7">
        <v>186</v>
      </c>
      <c r="V792" s="7">
        <v>1502855</v>
      </c>
      <c r="W792" s="7">
        <v>25</v>
      </c>
      <c r="X792" s="3"/>
      <c r="Y792" s="3" t="s">
        <v>83</v>
      </c>
      <c r="Z792" s="9">
        <v>5.6628400000000001</v>
      </c>
      <c r="AA792" s="12">
        <f t="shared" si="162"/>
        <v>-0.22019749679491152</v>
      </c>
      <c r="AB792" s="9">
        <f t="shared" si="164"/>
        <v>9.705271428571427</v>
      </c>
      <c r="AC792" s="9">
        <f t="shared" si="167"/>
        <v>8.4030335714285744</v>
      </c>
      <c r="AD792" s="9">
        <f t="shared" si="168"/>
        <v>1.1549723496964992</v>
      </c>
      <c r="AE792" s="3" t="s">
        <v>80</v>
      </c>
      <c r="AF792" s="11" t="str">
        <f t="shared" si="169"/>
        <v/>
      </c>
      <c r="AG792" s="11" t="str">
        <f t="shared" si="170"/>
        <v/>
      </c>
      <c r="AH792" s="11">
        <f t="shared" si="171"/>
        <v>0.67390424563510076</v>
      </c>
      <c r="AI792" s="3" t="s">
        <v>45</v>
      </c>
      <c r="AJ792" s="3" t="s">
        <v>79</v>
      </c>
      <c r="AK792" s="3" t="s">
        <v>46</v>
      </c>
      <c r="AL792" s="3" t="s">
        <v>81</v>
      </c>
      <c r="AM792" s="3" t="s">
        <v>82</v>
      </c>
    </row>
    <row r="793" spans="1:39" ht="21" customHeight="1">
      <c r="A793" s="4">
        <v>43201</v>
      </c>
      <c r="B793" s="3" t="s">
        <v>78</v>
      </c>
      <c r="C793" s="3" t="s">
        <v>79</v>
      </c>
      <c r="D793" s="4">
        <v>43159</v>
      </c>
      <c r="E793" s="3">
        <f t="shared" si="156"/>
        <v>42</v>
      </c>
      <c r="F793" s="3" t="str">
        <f t="shared" si="157"/>
        <v>개봉후</v>
      </c>
      <c r="G793" s="3" t="str">
        <f t="shared" si="158"/>
        <v>수</v>
      </c>
      <c r="H793" s="3">
        <f t="shared" si="159"/>
        <v>0</v>
      </c>
      <c r="I793" s="3"/>
      <c r="J793" s="3"/>
      <c r="K793" s="3"/>
      <c r="L793" s="12" t="str">
        <f t="shared" si="160"/>
        <v/>
      </c>
      <c r="M793" s="12" t="str">
        <f t="shared" si="161"/>
        <v/>
      </c>
      <c r="N793" s="11" t="str">
        <f t="shared" si="163"/>
        <v/>
      </c>
      <c r="O793" s="11" t="str">
        <f t="shared" si="165"/>
        <v/>
      </c>
      <c r="P793" s="11" t="str">
        <f t="shared" si="166"/>
        <v/>
      </c>
      <c r="Q793" s="7">
        <v>26</v>
      </c>
      <c r="R793" s="7">
        <v>28</v>
      </c>
      <c r="S793" s="7">
        <v>3843</v>
      </c>
      <c r="T793" s="7">
        <v>1558100</v>
      </c>
      <c r="U793" s="7">
        <v>206</v>
      </c>
      <c r="V793" s="7">
        <v>1503061</v>
      </c>
      <c r="W793" s="7">
        <v>29</v>
      </c>
      <c r="X793" s="3"/>
      <c r="Y793" s="3" t="s">
        <v>83</v>
      </c>
      <c r="Z793" s="9">
        <v>5.4219299999999997</v>
      </c>
      <c r="AA793" s="12">
        <f t="shared" si="162"/>
        <v>-4.2542257948308682E-2</v>
      </c>
      <c r="AB793" s="9">
        <f t="shared" si="164"/>
        <v>9.0050414285714293</v>
      </c>
      <c r="AC793" s="9">
        <f t="shared" si="167"/>
        <v>8.0806360714285734</v>
      </c>
      <c r="AD793" s="9">
        <f t="shared" si="168"/>
        <v>1.1143975980320855</v>
      </c>
      <c r="AE793" s="3" t="s">
        <v>80</v>
      </c>
      <c r="AF793" s="11" t="str">
        <f t="shared" si="169"/>
        <v/>
      </c>
      <c r="AG793" s="11" t="str">
        <f t="shared" si="170"/>
        <v/>
      </c>
      <c r="AH793" s="11">
        <f t="shared" si="171"/>
        <v>0.67097812004809887</v>
      </c>
      <c r="AI793" s="3" t="s">
        <v>45</v>
      </c>
      <c r="AJ793" s="3" t="s">
        <v>79</v>
      </c>
      <c r="AK793" s="3" t="s">
        <v>46</v>
      </c>
      <c r="AL793" s="3" t="s">
        <v>81</v>
      </c>
      <c r="AM793" s="3" t="s">
        <v>82</v>
      </c>
    </row>
    <row r="794" spans="1:39" ht="21" customHeight="1">
      <c r="A794" s="4">
        <v>43202</v>
      </c>
      <c r="B794" s="3" t="s">
        <v>78</v>
      </c>
      <c r="C794" s="3" t="s">
        <v>79</v>
      </c>
      <c r="D794" s="4">
        <v>43159</v>
      </c>
      <c r="E794" s="3">
        <f t="shared" si="156"/>
        <v>43</v>
      </c>
      <c r="F794" s="3" t="str">
        <f t="shared" si="157"/>
        <v>개봉후</v>
      </c>
      <c r="G794" s="3" t="str">
        <f t="shared" si="158"/>
        <v>목</v>
      </c>
      <c r="H794" s="3">
        <f t="shared" si="159"/>
        <v>0</v>
      </c>
      <c r="I794" s="3"/>
      <c r="J794" s="3"/>
      <c r="K794" s="3"/>
      <c r="L794" s="12" t="str">
        <f t="shared" si="160"/>
        <v/>
      </c>
      <c r="M794" s="12" t="str">
        <f t="shared" si="161"/>
        <v/>
      </c>
      <c r="N794" s="11" t="str">
        <f t="shared" si="163"/>
        <v/>
      </c>
      <c r="O794" s="11" t="str">
        <f t="shared" si="165"/>
        <v/>
      </c>
      <c r="P794" s="11" t="str">
        <f t="shared" si="166"/>
        <v/>
      </c>
      <c r="Q794" s="7">
        <v>3</v>
      </c>
      <c r="R794" s="7">
        <v>4</v>
      </c>
      <c r="S794" s="7">
        <v>245</v>
      </c>
      <c r="T794" s="7">
        <v>181500</v>
      </c>
      <c r="U794" s="7">
        <v>24</v>
      </c>
      <c r="V794" s="7">
        <v>1503085</v>
      </c>
      <c r="W794" s="7">
        <v>62</v>
      </c>
      <c r="X794" s="3"/>
      <c r="Y794" s="3" t="s">
        <v>83</v>
      </c>
      <c r="Z794" s="9">
        <v>4.3441400000000003</v>
      </c>
      <c r="AA794" s="12">
        <f t="shared" si="162"/>
        <v>-0.19878345902658268</v>
      </c>
      <c r="AB794" s="9">
        <f t="shared" si="164"/>
        <v>8.0327771428571442</v>
      </c>
      <c r="AC794" s="9">
        <f t="shared" si="167"/>
        <v>7.907418571428571</v>
      </c>
      <c r="AD794" s="9">
        <f t="shared" si="168"/>
        <v>1.0158532864165715</v>
      </c>
      <c r="AE794" s="3" t="s">
        <v>80</v>
      </c>
      <c r="AF794" s="11" t="str">
        <f t="shared" si="169"/>
        <v/>
      </c>
      <c r="AG794" s="11" t="str">
        <f t="shared" si="170"/>
        <v/>
      </c>
      <c r="AH794" s="11">
        <f t="shared" si="171"/>
        <v>0.5493752431035378</v>
      </c>
      <c r="AI794" s="3" t="s">
        <v>45</v>
      </c>
      <c r="AJ794" s="3" t="s">
        <v>79</v>
      </c>
      <c r="AK794" s="3" t="s">
        <v>46</v>
      </c>
      <c r="AL794" s="3" t="s">
        <v>81</v>
      </c>
      <c r="AM794" s="3" t="s">
        <v>82</v>
      </c>
    </row>
    <row r="795" spans="1:39" ht="21" customHeight="1">
      <c r="A795" s="4">
        <v>43203</v>
      </c>
      <c r="B795" s="3" t="s">
        <v>78</v>
      </c>
      <c r="C795" s="3" t="s">
        <v>79</v>
      </c>
      <c r="D795" s="4">
        <v>43159</v>
      </c>
      <c r="E795" s="3">
        <f t="shared" si="156"/>
        <v>44</v>
      </c>
      <c r="F795" s="3" t="str">
        <f t="shared" si="157"/>
        <v>개봉후</v>
      </c>
      <c r="G795" s="3" t="str">
        <f t="shared" si="158"/>
        <v>금</v>
      </c>
      <c r="H795" s="3">
        <f t="shared" si="159"/>
        <v>0</v>
      </c>
      <c r="I795" s="3"/>
      <c r="J795" s="3"/>
      <c r="K795" s="3"/>
      <c r="L795" s="12" t="str">
        <f t="shared" si="160"/>
        <v/>
      </c>
      <c r="M795" s="12" t="str">
        <f t="shared" si="161"/>
        <v/>
      </c>
      <c r="N795" s="11" t="str">
        <f t="shared" si="163"/>
        <v/>
      </c>
      <c r="O795" s="11" t="str">
        <f t="shared" si="165"/>
        <v/>
      </c>
      <c r="P795" s="11" t="str">
        <f t="shared" si="166"/>
        <v/>
      </c>
      <c r="Q795" s="7">
        <v>5</v>
      </c>
      <c r="R795" s="7">
        <v>7</v>
      </c>
      <c r="S795" s="7">
        <v>799</v>
      </c>
      <c r="T795" s="7">
        <v>1083100</v>
      </c>
      <c r="U795" s="7">
        <v>152</v>
      </c>
      <c r="V795" s="7">
        <v>1503237</v>
      </c>
      <c r="W795" s="7">
        <v>36</v>
      </c>
      <c r="X795" s="3"/>
      <c r="Y795" s="3" t="s">
        <v>83</v>
      </c>
      <c r="Z795" s="9">
        <v>4.6173000000000002</v>
      </c>
      <c r="AA795" s="12">
        <f t="shared" si="162"/>
        <v>6.2880109757051939E-2</v>
      </c>
      <c r="AB795" s="9">
        <f t="shared" si="164"/>
        <v>7.290241428571429</v>
      </c>
      <c r="AC795" s="9">
        <f t="shared" si="167"/>
        <v>7.7093021428571413</v>
      </c>
      <c r="AD795" s="9">
        <f t="shared" si="168"/>
        <v>0.94564219866852894</v>
      </c>
      <c r="AE795" s="3" t="s">
        <v>80</v>
      </c>
      <c r="AF795" s="11" t="str">
        <f t="shared" si="169"/>
        <v/>
      </c>
      <c r="AG795" s="11" t="str">
        <f t="shared" si="170"/>
        <v/>
      </c>
      <c r="AH795" s="11">
        <f t="shared" si="171"/>
        <v>0.59892580605081647</v>
      </c>
      <c r="AI795" s="3" t="s">
        <v>45</v>
      </c>
      <c r="AJ795" s="3" t="s">
        <v>79</v>
      </c>
      <c r="AK795" s="3" t="s">
        <v>46</v>
      </c>
      <c r="AL795" s="3" t="s">
        <v>81</v>
      </c>
      <c r="AM795" s="3" t="s">
        <v>82</v>
      </c>
    </row>
    <row r="796" spans="1:39" ht="21" customHeight="1">
      <c r="A796" s="4">
        <v>43204</v>
      </c>
      <c r="B796" s="3" t="s">
        <v>78</v>
      </c>
      <c r="C796" s="3" t="s">
        <v>79</v>
      </c>
      <c r="D796" s="4">
        <v>43159</v>
      </c>
      <c r="E796" s="3">
        <f t="shared" si="156"/>
        <v>45</v>
      </c>
      <c r="F796" s="3" t="str">
        <f t="shared" si="157"/>
        <v>개봉후</v>
      </c>
      <c r="G796" s="3" t="str">
        <f t="shared" si="158"/>
        <v>토</v>
      </c>
      <c r="H796" s="3">
        <f t="shared" si="159"/>
        <v>1</v>
      </c>
      <c r="I796" s="3"/>
      <c r="J796" s="3"/>
      <c r="K796" s="3"/>
      <c r="L796" s="12" t="str">
        <f t="shared" si="160"/>
        <v/>
      </c>
      <c r="M796" s="12" t="str">
        <f t="shared" si="161"/>
        <v/>
      </c>
      <c r="N796" s="11" t="str">
        <f t="shared" si="163"/>
        <v/>
      </c>
      <c r="O796" s="11" t="str">
        <f t="shared" si="165"/>
        <v/>
      </c>
      <c r="P796" s="11" t="str">
        <f t="shared" si="166"/>
        <v/>
      </c>
      <c r="Q796" s="7">
        <v>7</v>
      </c>
      <c r="R796" s="7">
        <v>9</v>
      </c>
      <c r="S796" s="7">
        <v>820</v>
      </c>
      <c r="T796" s="7">
        <v>1532600</v>
      </c>
      <c r="U796" s="7">
        <v>170</v>
      </c>
      <c r="V796" s="7">
        <v>1503407</v>
      </c>
      <c r="W796" s="7">
        <v>40</v>
      </c>
      <c r="X796" s="3"/>
      <c r="Y796" s="3" t="s">
        <v>83</v>
      </c>
      <c r="Z796" s="9">
        <v>16.367470000000001</v>
      </c>
      <c r="AA796" s="12">
        <f t="shared" si="162"/>
        <v>2.5448140688281029</v>
      </c>
      <c r="AB796" s="9">
        <f t="shared" si="164"/>
        <v>7.9496242857142851</v>
      </c>
      <c r="AC796" s="9">
        <f t="shared" si="167"/>
        <v>7.473679285714284</v>
      </c>
      <c r="AD796" s="9">
        <f t="shared" si="168"/>
        <v>1.0636828236541747</v>
      </c>
      <c r="AE796" s="3" t="s">
        <v>80</v>
      </c>
      <c r="AF796" s="11" t="str">
        <f t="shared" si="169"/>
        <v/>
      </c>
      <c r="AG796" s="11" t="str">
        <f t="shared" si="170"/>
        <v/>
      </c>
      <c r="AH796" s="11">
        <f t="shared" si="171"/>
        <v>2.1900150346678555</v>
      </c>
      <c r="AI796" s="3" t="s">
        <v>45</v>
      </c>
      <c r="AJ796" s="3" t="s">
        <v>79</v>
      </c>
      <c r="AK796" s="3" t="s">
        <v>46</v>
      </c>
      <c r="AL796" s="3" t="s">
        <v>81</v>
      </c>
      <c r="AM796" s="3" t="s">
        <v>82</v>
      </c>
    </row>
    <row r="797" spans="1:39" ht="21" customHeight="1">
      <c r="A797" s="4">
        <v>43205</v>
      </c>
      <c r="B797" s="3" t="s">
        <v>78</v>
      </c>
      <c r="C797" s="3" t="s">
        <v>79</v>
      </c>
      <c r="D797" s="4">
        <v>43159</v>
      </c>
      <c r="E797" s="3">
        <f t="shared" si="156"/>
        <v>46</v>
      </c>
      <c r="F797" s="3" t="str">
        <f t="shared" si="157"/>
        <v>개봉후</v>
      </c>
      <c r="G797" s="3" t="str">
        <f t="shared" si="158"/>
        <v>일</v>
      </c>
      <c r="H797" s="3">
        <f t="shared" si="159"/>
        <v>1</v>
      </c>
      <c r="I797" s="3"/>
      <c r="J797" s="3"/>
      <c r="K797" s="3"/>
      <c r="L797" s="12" t="str">
        <f t="shared" si="160"/>
        <v/>
      </c>
      <c r="M797" s="12" t="str">
        <f t="shared" si="161"/>
        <v/>
      </c>
      <c r="N797" s="11" t="str">
        <f t="shared" si="163"/>
        <v/>
      </c>
      <c r="O797" s="11" t="str">
        <f t="shared" si="165"/>
        <v/>
      </c>
      <c r="P797" s="11" t="str">
        <f t="shared" si="166"/>
        <v/>
      </c>
      <c r="Q797" s="7">
        <v>4</v>
      </c>
      <c r="R797" s="7">
        <v>6</v>
      </c>
      <c r="S797" s="7">
        <v>696</v>
      </c>
      <c r="T797" s="7">
        <v>958700</v>
      </c>
      <c r="U797" s="7">
        <v>107</v>
      </c>
      <c r="V797" s="7">
        <v>1503514</v>
      </c>
      <c r="W797" s="7">
        <v>44</v>
      </c>
      <c r="X797" s="3"/>
      <c r="Y797" s="3" t="s">
        <v>83</v>
      </c>
      <c r="Z797" s="9">
        <v>6.9905900000000001</v>
      </c>
      <c r="AA797" s="12">
        <f t="shared" si="162"/>
        <v>-0.57289733844021096</v>
      </c>
      <c r="AB797" s="9">
        <f t="shared" si="164"/>
        <v>7.2380228571428571</v>
      </c>
      <c r="AC797" s="9">
        <f t="shared" si="167"/>
        <v>7.477740714285714</v>
      </c>
      <c r="AD797" s="9">
        <f t="shared" si="168"/>
        <v>0.96794247536760769</v>
      </c>
      <c r="AE797" s="3" t="s">
        <v>80</v>
      </c>
      <c r="AF797" s="11" t="str">
        <f t="shared" si="169"/>
        <v/>
      </c>
      <c r="AG797" s="11" t="str">
        <f t="shared" si="170"/>
        <v/>
      </c>
      <c r="AH797" s="11">
        <f t="shared" si="171"/>
        <v>0.93485322199591037</v>
      </c>
      <c r="AI797" s="3" t="s">
        <v>45</v>
      </c>
      <c r="AJ797" s="3" t="s">
        <v>79</v>
      </c>
      <c r="AK797" s="3" t="s">
        <v>46</v>
      </c>
      <c r="AL797" s="3" t="s">
        <v>81</v>
      </c>
      <c r="AM797" s="3" t="s">
        <v>82</v>
      </c>
    </row>
    <row r="798" spans="1:39" ht="21" customHeight="1">
      <c r="A798" s="4">
        <v>43206</v>
      </c>
      <c r="B798" s="3" t="s">
        <v>78</v>
      </c>
      <c r="C798" s="3" t="s">
        <v>79</v>
      </c>
      <c r="D798" s="4">
        <v>43159</v>
      </c>
      <c r="E798" s="3">
        <f t="shared" si="156"/>
        <v>47</v>
      </c>
      <c r="F798" s="3" t="str">
        <f t="shared" si="157"/>
        <v>개봉후</v>
      </c>
      <c r="G798" s="3" t="str">
        <f t="shared" si="158"/>
        <v>월</v>
      </c>
      <c r="H798" s="3">
        <f t="shared" si="159"/>
        <v>0</v>
      </c>
      <c r="I798" s="3"/>
      <c r="J798" s="3"/>
      <c r="K798" s="3"/>
      <c r="L798" s="12" t="str">
        <f t="shared" si="160"/>
        <v/>
      </c>
      <c r="M798" s="12" t="str">
        <f t="shared" si="161"/>
        <v/>
      </c>
      <c r="N798" s="11" t="str">
        <f t="shared" si="163"/>
        <v/>
      </c>
      <c r="O798" s="11" t="str">
        <f t="shared" si="165"/>
        <v/>
      </c>
      <c r="P798" s="11" t="str">
        <f t="shared" si="166"/>
        <v/>
      </c>
      <c r="Q798" s="7">
        <v>5</v>
      </c>
      <c r="R798" s="7">
        <v>8</v>
      </c>
      <c r="S798" s="7">
        <v>1338</v>
      </c>
      <c r="T798" s="7">
        <v>534000</v>
      </c>
      <c r="U798" s="7">
        <v>76</v>
      </c>
      <c r="V798" s="7">
        <v>1503590</v>
      </c>
      <c r="W798" s="7">
        <v>39</v>
      </c>
      <c r="X798" s="3"/>
      <c r="Y798" s="3" t="s">
        <v>83</v>
      </c>
      <c r="Z798" s="9">
        <v>4.1730900000000002</v>
      </c>
      <c r="AA798" s="12">
        <f t="shared" si="162"/>
        <v>-0.40304180333848783</v>
      </c>
      <c r="AB798" s="9">
        <f t="shared" si="164"/>
        <v>6.7967657142857139</v>
      </c>
      <c r="AC798" s="9">
        <f t="shared" si="167"/>
        <v>7.0762192857142852</v>
      </c>
      <c r="AD798" s="9">
        <f t="shared" si="168"/>
        <v>0.96050806791802767</v>
      </c>
      <c r="AE798" s="3" t="s">
        <v>80</v>
      </c>
      <c r="AF798" s="11" t="str">
        <f t="shared" si="169"/>
        <v/>
      </c>
      <c r="AG798" s="11" t="str">
        <f t="shared" si="170"/>
        <v/>
      </c>
      <c r="AH798" s="11">
        <f t="shared" si="171"/>
        <v>0.58973440922397324</v>
      </c>
      <c r="AI798" s="3" t="s">
        <v>45</v>
      </c>
      <c r="AJ798" s="3" t="s">
        <v>79</v>
      </c>
      <c r="AK798" s="3" t="s">
        <v>46</v>
      </c>
      <c r="AL798" s="3" t="s">
        <v>81</v>
      </c>
      <c r="AM798" s="3" t="s">
        <v>82</v>
      </c>
    </row>
    <row r="799" spans="1:39" ht="21" customHeight="1">
      <c r="A799" s="4">
        <v>43207</v>
      </c>
      <c r="B799" s="3" t="s">
        <v>78</v>
      </c>
      <c r="C799" s="3" t="s">
        <v>79</v>
      </c>
      <c r="D799" s="4">
        <v>43159</v>
      </c>
      <c r="E799" s="3">
        <f t="shared" si="156"/>
        <v>48</v>
      </c>
      <c r="F799" s="3" t="str">
        <f t="shared" si="157"/>
        <v>개봉후</v>
      </c>
      <c r="G799" s="3" t="str">
        <f t="shared" si="158"/>
        <v>화</v>
      </c>
      <c r="H799" s="3">
        <f t="shared" si="159"/>
        <v>0</v>
      </c>
      <c r="I799" s="3"/>
      <c r="J799" s="3"/>
      <c r="K799" s="3"/>
      <c r="L799" s="12" t="str">
        <f t="shared" si="160"/>
        <v/>
      </c>
      <c r="M799" s="12" t="str">
        <f t="shared" si="161"/>
        <v/>
      </c>
      <c r="N799" s="11" t="str">
        <f t="shared" si="163"/>
        <v/>
      </c>
      <c r="O799" s="11" t="str">
        <f t="shared" si="165"/>
        <v/>
      </c>
      <c r="P799" s="11" t="str">
        <f t="shared" si="166"/>
        <v/>
      </c>
      <c r="Q799" s="7">
        <v>4</v>
      </c>
      <c r="R799" s="7">
        <v>6</v>
      </c>
      <c r="S799" s="7">
        <v>1044</v>
      </c>
      <c r="T799" s="7">
        <v>395000</v>
      </c>
      <c r="U799" s="7">
        <v>46</v>
      </c>
      <c r="V799" s="7">
        <v>1503636</v>
      </c>
      <c r="W799" s="7">
        <v>56</v>
      </c>
      <c r="X799" s="3"/>
      <c r="Y799" s="3" t="s">
        <v>83</v>
      </c>
      <c r="Z799" s="9">
        <v>3.4478300000000002</v>
      </c>
      <c r="AA799" s="12">
        <f t="shared" si="162"/>
        <v>-0.1737944784320492</v>
      </c>
      <c r="AB799" s="9">
        <f t="shared" si="164"/>
        <v>6.4803357142857152</v>
      </c>
      <c r="AC799" s="9">
        <f t="shared" si="167"/>
        <v>6.9058199999999994</v>
      </c>
      <c r="AD799" s="9">
        <f t="shared" si="168"/>
        <v>0.93838757950333429</v>
      </c>
      <c r="AE799" s="3" t="s">
        <v>80</v>
      </c>
      <c r="AF799" s="11" t="str">
        <f t="shared" si="169"/>
        <v/>
      </c>
      <c r="AG799" s="11" t="str">
        <f t="shared" si="170"/>
        <v/>
      </c>
      <c r="AH799" s="11">
        <f t="shared" si="171"/>
        <v>0.4992643885881764</v>
      </c>
      <c r="AI799" s="3" t="s">
        <v>45</v>
      </c>
      <c r="AJ799" s="3" t="s">
        <v>79</v>
      </c>
      <c r="AK799" s="3" t="s">
        <v>46</v>
      </c>
      <c r="AL799" s="3" t="s">
        <v>81</v>
      </c>
      <c r="AM799" s="3" t="s">
        <v>82</v>
      </c>
    </row>
    <row r="800" spans="1:39" ht="21" customHeight="1">
      <c r="A800" s="4">
        <v>43208</v>
      </c>
      <c r="B800" s="3" t="s">
        <v>78</v>
      </c>
      <c r="C800" s="3" t="s">
        <v>79</v>
      </c>
      <c r="D800" s="4">
        <v>43159</v>
      </c>
      <c r="E800" s="3">
        <f t="shared" si="156"/>
        <v>49</v>
      </c>
      <c r="F800" s="3" t="str">
        <f t="shared" si="157"/>
        <v>개봉후</v>
      </c>
      <c r="G800" s="3" t="str">
        <f t="shared" si="158"/>
        <v>수</v>
      </c>
      <c r="H800" s="3">
        <f t="shared" si="159"/>
        <v>0</v>
      </c>
      <c r="I800" s="3"/>
      <c r="J800" s="3"/>
      <c r="K800" s="3"/>
      <c r="L800" s="12" t="str">
        <f t="shared" si="160"/>
        <v/>
      </c>
      <c r="M800" s="12" t="str">
        <f t="shared" si="161"/>
        <v/>
      </c>
      <c r="N800" s="11" t="str">
        <f t="shared" si="163"/>
        <v/>
      </c>
      <c r="O800" s="11" t="str">
        <f t="shared" si="165"/>
        <v/>
      </c>
      <c r="P800" s="11" t="str">
        <f t="shared" si="166"/>
        <v/>
      </c>
      <c r="Q800" s="7">
        <v>5</v>
      </c>
      <c r="R800" s="7">
        <v>7</v>
      </c>
      <c r="S800" s="7">
        <v>1218</v>
      </c>
      <c r="T800" s="7">
        <v>535600</v>
      </c>
      <c r="U800" s="7">
        <v>75</v>
      </c>
      <c r="V800" s="7">
        <v>1503711</v>
      </c>
      <c r="W800" s="7">
        <v>50</v>
      </c>
      <c r="X800" s="3"/>
      <c r="Y800" s="3" t="s">
        <v>83</v>
      </c>
      <c r="Z800" s="9">
        <v>3.3531399999999998</v>
      </c>
      <c r="AA800" s="12">
        <f t="shared" si="162"/>
        <v>-2.7463651050080862E-2</v>
      </c>
      <c r="AB800" s="9">
        <f t="shared" si="164"/>
        <v>6.1847942857142852</v>
      </c>
      <c r="AC800" s="9">
        <f t="shared" si="167"/>
        <v>6.7461960714285709</v>
      </c>
      <c r="AD800" s="9">
        <f t="shared" si="168"/>
        <v>0.91678246825764087</v>
      </c>
      <c r="AE800" s="3" t="s">
        <v>80</v>
      </c>
      <c r="AF800" s="11" t="str">
        <f t="shared" si="169"/>
        <v/>
      </c>
      <c r="AG800" s="11" t="str">
        <f t="shared" si="170"/>
        <v/>
      </c>
      <c r="AH800" s="11">
        <f t="shared" si="171"/>
        <v>0.49704158676934818</v>
      </c>
      <c r="AI800" s="3" t="s">
        <v>45</v>
      </c>
      <c r="AJ800" s="3" t="s">
        <v>79</v>
      </c>
      <c r="AK800" s="3" t="s">
        <v>46</v>
      </c>
      <c r="AL800" s="3" t="s">
        <v>81</v>
      </c>
      <c r="AM800" s="3" t="s">
        <v>82</v>
      </c>
    </row>
    <row r="801" spans="1:39" ht="21" customHeight="1">
      <c r="A801" s="4">
        <v>43209</v>
      </c>
      <c r="B801" s="3" t="s">
        <v>78</v>
      </c>
      <c r="C801" s="3" t="s">
        <v>79</v>
      </c>
      <c r="D801" s="4">
        <v>43159</v>
      </c>
      <c r="E801" s="3">
        <f t="shared" si="156"/>
        <v>50</v>
      </c>
      <c r="F801" s="3" t="str">
        <f t="shared" si="157"/>
        <v>개봉후</v>
      </c>
      <c r="G801" s="3" t="str">
        <f t="shared" si="158"/>
        <v>목</v>
      </c>
      <c r="H801" s="3">
        <f t="shared" si="159"/>
        <v>0</v>
      </c>
      <c r="I801" s="3"/>
      <c r="J801" s="3"/>
      <c r="K801" s="3"/>
      <c r="L801" s="12" t="str">
        <f t="shared" si="160"/>
        <v/>
      </c>
      <c r="M801" s="12" t="str">
        <f t="shared" si="161"/>
        <v/>
      </c>
      <c r="N801" s="11" t="str">
        <f t="shared" si="163"/>
        <v/>
      </c>
      <c r="O801" s="11" t="str">
        <f t="shared" si="165"/>
        <v/>
      </c>
      <c r="P801" s="11" t="str">
        <f t="shared" si="166"/>
        <v/>
      </c>
      <c r="Q801" s="7">
        <v>1</v>
      </c>
      <c r="R801" s="7">
        <v>3</v>
      </c>
      <c r="S801" s="7">
        <v>600</v>
      </c>
      <c r="T801" s="7">
        <v>247500</v>
      </c>
      <c r="U801" s="7">
        <v>30</v>
      </c>
      <c r="V801" s="7">
        <v>1503741</v>
      </c>
      <c r="W801" s="7">
        <v>77</v>
      </c>
      <c r="X801" s="3"/>
      <c r="Y801" s="3" t="s">
        <v>83</v>
      </c>
      <c r="Z801" s="9">
        <v>3.0802100000000001</v>
      </c>
      <c r="AA801" s="12">
        <f t="shared" si="162"/>
        <v>-8.1395348837209225E-2</v>
      </c>
      <c r="AB801" s="9">
        <f t="shared" si="164"/>
        <v>6.004232857142858</v>
      </c>
      <c r="AC801" s="9">
        <f t="shared" si="167"/>
        <v>6.5349914285714288</v>
      </c>
      <c r="AD801" s="9">
        <f t="shared" si="168"/>
        <v>0.91878205545793712</v>
      </c>
      <c r="AE801" s="3" t="s">
        <v>80</v>
      </c>
      <c r="AF801" s="11" t="str">
        <f t="shared" si="169"/>
        <v/>
      </c>
      <c r="AG801" s="11" t="str">
        <f t="shared" si="170"/>
        <v/>
      </c>
      <c r="AH801" s="11">
        <f t="shared" si="171"/>
        <v>0.47134109258860107</v>
      </c>
      <c r="AI801" s="3" t="s">
        <v>45</v>
      </c>
      <c r="AJ801" s="3" t="s">
        <v>79</v>
      </c>
      <c r="AK801" s="3" t="s">
        <v>46</v>
      </c>
      <c r="AL801" s="3" t="s">
        <v>81</v>
      </c>
      <c r="AM801" s="3" t="s">
        <v>82</v>
      </c>
    </row>
    <row r="802" spans="1:39" ht="21" customHeight="1">
      <c r="A802" s="4">
        <v>43210</v>
      </c>
      <c r="B802" s="3" t="s">
        <v>78</v>
      </c>
      <c r="C802" s="3" t="s">
        <v>79</v>
      </c>
      <c r="D802" s="4">
        <v>43159</v>
      </c>
      <c r="E802" s="3">
        <f t="shared" si="156"/>
        <v>51</v>
      </c>
      <c r="F802" s="3" t="str">
        <f t="shared" si="157"/>
        <v>개봉후</v>
      </c>
      <c r="G802" s="3" t="str">
        <f t="shared" si="158"/>
        <v>금</v>
      </c>
      <c r="H802" s="3">
        <f t="shared" si="159"/>
        <v>0</v>
      </c>
      <c r="I802" s="3"/>
      <c r="J802" s="3"/>
      <c r="K802" s="3"/>
      <c r="L802" s="12" t="str">
        <f t="shared" si="160"/>
        <v/>
      </c>
      <c r="M802" s="12" t="str">
        <f t="shared" si="161"/>
        <v/>
      </c>
      <c r="N802" s="11" t="str">
        <f t="shared" si="163"/>
        <v/>
      </c>
      <c r="O802" s="11" t="str">
        <f t="shared" si="165"/>
        <v/>
      </c>
      <c r="P802" s="11" t="str">
        <f t="shared" si="166"/>
        <v/>
      </c>
      <c r="Q802" s="7">
        <v>3</v>
      </c>
      <c r="R802" s="7">
        <v>5</v>
      </c>
      <c r="S802" s="7">
        <v>965</v>
      </c>
      <c r="T802" s="7">
        <v>361500</v>
      </c>
      <c r="U802" s="7">
        <v>35</v>
      </c>
      <c r="V802" s="7">
        <v>1503776</v>
      </c>
      <c r="W802" s="7">
        <v>81</v>
      </c>
      <c r="X802" s="3"/>
      <c r="Y802" s="3" t="s">
        <v>83</v>
      </c>
      <c r="Z802" s="9">
        <v>3.0781200000000002</v>
      </c>
      <c r="AA802" s="12">
        <f t="shared" si="162"/>
        <v>-6.7852516549193886E-4</v>
      </c>
      <c r="AB802" s="9">
        <f t="shared" si="164"/>
        <v>5.7843500000000008</v>
      </c>
      <c r="AC802" s="9">
        <f t="shared" si="167"/>
        <v>6.4195464285714285</v>
      </c>
      <c r="AD802" s="9">
        <f t="shared" si="168"/>
        <v>0.90105275572984977</v>
      </c>
      <c r="AE802" s="3" t="s">
        <v>80</v>
      </c>
      <c r="AF802" s="11" t="str">
        <f t="shared" si="169"/>
        <v/>
      </c>
      <c r="AG802" s="11" t="str">
        <f t="shared" si="170"/>
        <v/>
      </c>
      <c r="AH802" s="11">
        <f t="shared" si="171"/>
        <v>0.47949181990494438</v>
      </c>
      <c r="AI802" s="3" t="s">
        <v>45</v>
      </c>
      <c r="AJ802" s="3" t="s">
        <v>79</v>
      </c>
      <c r="AK802" s="3" t="s">
        <v>46</v>
      </c>
      <c r="AL802" s="3" t="s">
        <v>81</v>
      </c>
      <c r="AM802" s="3" t="s">
        <v>82</v>
      </c>
    </row>
    <row r="803" spans="1:39" ht="21" customHeight="1">
      <c r="A803" s="4">
        <v>43211</v>
      </c>
      <c r="B803" s="3" t="s">
        <v>78</v>
      </c>
      <c r="C803" s="3" t="s">
        <v>79</v>
      </c>
      <c r="D803" s="4">
        <v>43159</v>
      </c>
      <c r="E803" s="3">
        <f t="shared" si="156"/>
        <v>52</v>
      </c>
      <c r="F803" s="3" t="str">
        <f t="shared" si="157"/>
        <v>개봉후</v>
      </c>
      <c r="G803" s="3" t="str">
        <f t="shared" si="158"/>
        <v>토</v>
      </c>
      <c r="H803" s="3">
        <f t="shared" si="159"/>
        <v>1</v>
      </c>
      <c r="I803" s="3"/>
      <c r="J803" s="3"/>
      <c r="K803" s="3"/>
      <c r="L803" s="12" t="str">
        <f t="shared" si="160"/>
        <v/>
      </c>
      <c r="M803" s="12" t="str">
        <f t="shared" si="161"/>
        <v/>
      </c>
      <c r="N803" s="11" t="str">
        <f t="shared" si="163"/>
        <v/>
      </c>
      <c r="O803" s="11" t="str">
        <f t="shared" si="165"/>
        <v/>
      </c>
      <c r="P803" s="11" t="str">
        <f t="shared" si="166"/>
        <v/>
      </c>
      <c r="Q803" s="7">
        <v>2</v>
      </c>
      <c r="R803" s="7">
        <v>4</v>
      </c>
      <c r="S803" s="7">
        <v>427</v>
      </c>
      <c r="T803" s="7">
        <v>464000</v>
      </c>
      <c r="U803" s="7">
        <v>51</v>
      </c>
      <c r="V803" s="7">
        <v>1503827</v>
      </c>
      <c r="W803" s="7">
        <v>76</v>
      </c>
      <c r="X803" s="3"/>
      <c r="Y803" s="3" t="s">
        <v>83</v>
      </c>
      <c r="Z803" s="9">
        <v>3.6755</v>
      </c>
      <c r="AA803" s="12">
        <f t="shared" si="162"/>
        <v>0.1940730056008213</v>
      </c>
      <c r="AB803" s="9">
        <f t="shared" si="164"/>
        <v>3.9712114285714284</v>
      </c>
      <c r="AC803" s="9">
        <f t="shared" si="167"/>
        <v>6.2836532142857147</v>
      </c>
      <c r="AD803" s="9">
        <f t="shared" si="168"/>
        <v>0.63199086473183896</v>
      </c>
      <c r="AE803" s="3" t="s">
        <v>80</v>
      </c>
      <c r="AF803" s="11" t="str">
        <f t="shared" si="169"/>
        <v/>
      </c>
      <c r="AG803" s="11" t="str">
        <f t="shared" si="170"/>
        <v/>
      </c>
      <c r="AH803" s="11">
        <f t="shared" si="171"/>
        <v>0.58493043372346687</v>
      </c>
      <c r="AI803" s="3" t="s">
        <v>45</v>
      </c>
      <c r="AJ803" s="3" t="s">
        <v>79</v>
      </c>
      <c r="AK803" s="3" t="s">
        <v>46</v>
      </c>
      <c r="AL803" s="3" t="s">
        <v>81</v>
      </c>
      <c r="AM803" s="3" t="s">
        <v>82</v>
      </c>
    </row>
    <row r="804" spans="1:39" ht="21" customHeight="1">
      <c r="A804" s="4">
        <v>43212</v>
      </c>
      <c r="B804" s="3" t="s">
        <v>78</v>
      </c>
      <c r="C804" s="3" t="s">
        <v>79</v>
      </c>
      <c r="D804" s="4">
        <v>43159</v>
      </c>
      <c r="E804" s="3">
        <f t="shared" si="156"/>
        <v>53</v>
      </c>
      <c r="F804" s="3" t="str">
        <f t="shared" si="157"/>
        <v>개봉후</v>
      </c>
      <c r="G804" s="3" t="str">
        <f t="shared" si="158"/>
        <v>일</v>
      </c>
      <c r="H804" s="3">
        <f t="shared" si="159"/>
        <v>1</v>
      </c>
      <c r="I804" s="3"/>
      <c r="J804" s="3"/>
      <c r="K804" s="3"/>
      <c r="L804" s="12" t="str">
        <f t="shared" si="160"/>
        <v/>
      </c>
      <c r="M804" s="12" t="str">
        <f t="shared" si="161"/>
        <v/>
      </c>
      <c r="N804" s="11" t="str">
        <f t="shared" si="163"/>
        <v/>
      </c>
      <c r="O804" s="11" t="str">
        <f t="shared" si="165"/>
        <v/>
      </c>
      <c r="P804" s="11" t="str">
        <f t="shared" si="166"/>
        <v/>
      </c>
      <c r="Q804" s="7">
        <v>4</v>
      </c>
      <c r="R804" s="7">
        <v>4</v>
      </c>
      <c r="S804" s="7">
        <v>492</v>
      </c>
      <c r="T804" s="7">
        <v>344900</v>
      </c>
      <c r="U804" s="7">
        <v>40</v>
      </c>
      <c r="V804" s="7">
        <v>1503867</v>
      </c>
      <c r="W804" s="7">
        <v>77</v>
      </c>
      <c r="X804" s="3"/>
      <c r="Y804" s="3" t="s">
        <v>83</v>
      </c>
      <c r="Z804" s="9">
        <v>4.5040399999999998</v>
      </c>
      <c r="AA804" s="12">
        <f t="shared" si="162"/>
        <v>0.2254223915113589</v>
      </c>
      <c r="AB804" s="9">
        <f t="shared" si="164"/>
        <v>3.61599</v>
      </c>
      <c r="AC804" s="9">
        <f t="shared" si="167"/>
        <v>6.097438928571429</v>
      </c>
      <c r="AD804" s="9">
        <f t="shared" si="168"/>
        <v>0.59303423000370936</v>
      </c>
      <c r="AE804" s="3" t="s">
        <v>80</v>
      </c>
      <c r="AF804" s="11" t="str">
        <f t="shared" si="169"/>
        <v/>
      </c>
      <c r="AG804" s="11" t="str">
        <f t="shared" si="170"/>
        <v/>
      </c>
      <c r="AH804" s="11">
        <f t="shared" si="171"/>
        <v>0.73867734515468986</v>
      </c>
      <c r="AI804" s="3" t="s">
        <v>45</v>
      </c>
      <c r="AJ804" s="3" t="s">
        <v>79</v>
      </c>
      <c r="AK804" s="3" t="s">
        <v>46</v>
      </c>
      <c r="AL804" s="3" t="s">
        <v>81</v>
      </c>
      <c r="AM804" s="3" t="s">
        <v>82</v>
      </c>
    </row>
    <row r="805" spans="1:39" ht="21" customHeight="1">
      <c r="A805" s="4">
        <v>43213</v>
      </c>
      <c r="B805" s="3" t="s">
        <v>78</v>
      </c>
      <c r="C805" s="3" t="s">
        <v>79</v>
      </c>
      <c r="D805" s="4">
        <v>43159</v>
      </c>
      <c r="E805" s="3">
        <f t="shared" si="156"/>
        <v>54</v>
      </c>
      <c r="F805" s="3" t="str">
        <f t="shared" si="157"/>
        <v>개봉후</v>
      </c>
      <c r="G805" s="3" t="str">
        <f t="shared" si="158"/>
        <v>월</v>
      </c>
      <c r="H805" s="3">
        <f t="shared" si="159"/>
        <v>0</v>
      </c>
      <c r="I805" s="3"/>
      <c r="J805" s="3"/>
      <c r="K805" s="3"/>
      <c r="L805" s="12" t="str">
        <f t="shared" si="160"/>
        <v/>
      </c>
      <c r="M805" s="12" t="str">
        <f t="shared" si="161"/>
        <v/>
      </c>
      <c r="N805" s="11" t="str">
        <f t="shared" si="163"/>
        <v/>
      </c>
      <c r="O805" s="11" t="str">
        <f t="shared" si="165"/>
        <v/>
      </c>
      <c r="P805" s="11" t="str">
        <f t="shared" si="166"/>
        <v/>
      </c>
      <c r="Q805" s="7">
        <v>4</v>
      </c>
      <c r="R805" s="7">
        <v>5</v>
      </c>
      <c r="S805" s="7">
        <v>806</v>
      </c>
      <c r="T805" s="7">
        <v>181500</v>
      </c>
      <c r="U805" s="7">
        <v>23</v>
      </c>
      <c r="V805" s="7">
        <v>1503890</v>
      </c>
      <c r="W805" s="7">
        <v>67</v>
      </c>
      <c r="X805" s="3"/>
      <c r="Y805" s="3" t="s">
        <v>83</v>
      </c>
      <c r="Z805" s="9">
        <v>3.0943700000000001</v>
      </c>
      <c r="AA805" s="12">
        <f t="shared" si="162"/>
        <v>-0.31297901439596443</v>
      </c>
      <c r="AB805" s="9">
        <f t="shared" si="164"/>
        <v>3.4618871428571434</v>
      </c>
      <c r="AC805" s="9">
        <f t="shared" si="167"/>
        <v>5.9780564285714295</v>
      </c>
      <c r="AD805" s="9">
        <f t="shared" si="168"/>
        <v>0.57909910758142968</v>
      </c>
      <c r="AE805" s="3" t="s">
        <v>80</v>
      </c>
      <c r="AF805" s="11" t="str">
        <f t="shared" si="169"/>
        <v/>
      </c>
      <c r="AG805" s="11" t="str">
        <f t="shared" si="170"/>
        <v/>
      </c>
      <c r="AH805" s="11">
        <f t="shared" si="171"/>
        <v>0.51762141039867349</v>
      </c>
      <c r="AI805" s="3" t="s">
        <v>45</v>
      </c>
      <c r="AJ805" s="3" t="s">
        <v>79</v>
      </c>
      <c r="AK805" s="3" t="s">
        <v>46</v>
      </c>
      <c r="AL805" s="3" t="s">
        <v>81</v>
      </c>
      <c r="AM805" s="3" t="s">
        <v>82</v>
      </c>
    </row>
    <row r="806" spans="1:39" ht="21" customHeight="1">
      <c r="A806" s="4">
        <v>43214</v>
      </c>
      <c r="B806" s="3" t="s">
        <v>78</v>
      </c>
      <c r="C806" s="3" t="s">
        <v>79</v>
      </c>
      <c r="D806" s="4">
        <v>43159</v>
      </c>
      <c r="E806" s="3">
        <f t="shared" si="156"/>
        <v>55</v>
      </c>
      <c r="F806" s="3" t="str">
        <f t="shared" si="157"/>
        <v>개봉후</v>
      </c>
      <c r="G806" s="3" t="str">
        <f t="shared" si="158"/>
        <v>화</v>
      </c>
      <c r="H806" s="3">
        <f t="shared" si="159"/>
        <v>0</v>
      </c>
      <c r="I806" s="3"/>
      <c r="J806" s="3"/>
      <c r="K806" s="3"/>
      <c r="L806" s="12" t="str">
        <f t="shared" si="160"/>
        <v/>
      </c>
      <c r="M806" s="12" t="str">
        <f t="shared" si="161"/>
        <v/>
      </c>
      <c r="N806" s="11" t="str">
        <f t="shared" si="163"/>
        <v/>
      </c>
      <c r="O806" s="11" t="str">
        <f t="shared" si="165"/>
        <v/>
      </c>
      <c r="P806" s="11" t="str">
        <f t="shared" si="166"/>
        <v/>
      </c>
      <c r="Q806" s="7">
        <v>4</v>
      </c>
      <c r="R806" s="7">
        <v>6</v>
      </c>
      <c r="S806" s="7">
        <v>997</v>
      </c>
      <c r="T806" s="7">
        <v>339500</v>
      </c>
      <c r="U806" s="7">
        <v>40</v>
      </c>
      <c r="V806" s="7">
        <v>1503930</v>
      </c>
      <c r="W806" s="7">
        <v>71</v>
      </c>
      <c r="X806" s="3"/>
      <c r="Y806" s="3" t="s">
        <v>83</v>
      </c>
      <c r="Z806" s="9">
        <v>2.63415</v>
      </c>
      <c r="AA806" s="12">
        <f t="shared" si="162"/>
        <v>-0.14872817407097405</v>
      </c>
      <c r="AB806" s="9">
        <f t="shared" si="164"/>
        <v>3.345647142857143</v>
      </c>
      <c r="AC806" s="9">
        <f t="shared" si="167"/>
        <v>5.9025878571428576</v>
      </c>
      <c r="AD806" s="9">
        <f t="shared" si="168"/>
        <v>0.56681022355448696</v>
      </c>
      <c r="AE806" s="3" t="s">
        <v>80</v>
      </c>
      <c r="AF806" s="11" t="str">
        <f t="shared" si="169"/>
        <v/>
      </c>
      <c r="AG806" s="11" t="str">
        <f t="shared" si="170"/>
        <v/>
      </c>
      <c r="AH806" s="11">
        <f t="shared" si="171"/>
        <v>0.44627035865503539</v>
      </c>
      <c r="AI806" s="3" t="s">
        <v>45</v>
      </c>
      <c r="AJ806" s="3" t="s">
        <v>79</v>
      </c>
      <c r="AK806" s="3" t="s">
        <v>46</v>
      </c>
      <c r="AL806" s="3" t="s">
        <v>81</v>
      </c>
      <c r="AM806" s="3" t="s">
        <v>82</v>
      </c>
    </row>
    <row r="807" spans="1:39" ht="21" customHeight="1">
      <c r="A807" s="4">
        <v>43215</v>
      </c>
      <c r="B807" s="3" t="s">
        <v>78</v>
      </c>
      <c r="C807" s="3" t="s">
        <v>79</v>
      </c>
      <c r="D807" s="4">
        <v>43159</v>
      </c>
      <c r="E807" s="3">
        <f t="shared" si="156"/>
        <v>56</v>
      </c>
      <c r="F807" s="3" t="str">
        <f t="shared" si="157"/>
        <v>개봉후</v>
      </c>
      <c r="G807" s="3" t="str">
        <f t="shared" si="158"/>
        <v>수</v>
      </c>
      <c r="H807" s="3">
        <f t="shared" si="159"/>
        <v>0</v>
      </c>
      <c r="I807" s="3"/>
      <c r="J807" s="3"/>
      <c r="K807" s="3"/>
      <c r="L807" s="12" t="str">
        <f t="shared" si="160"/>
        <v/>
      </c>
      <c r="M807" s="12" t="str">
        <f t="shared" si="161"/>
        <v/>
      </c>
      <c r="N807" s="11" t="str">
        <f t="shared" si="163"/>
        <v/>
      </c>
      <c r="O807" s="11" t="str">
        <f t="shared" si="165"/>
        <v/>
      </c>
      <c r="P807" s="11" t="str">
        <f t="shared" si="166"/>
        <v/>
      </c>
      <c r="Q807" s="7">
        <v>3</v>
      </c>
      <c r="R807" s="7">
        <v>3</v>
      </c>
      <c r="S807" s="7">
        <v>220</v>
      </c>
      <c r="T807" s="7">
        <v>684000</v>
      </c>
      <c r="U807" s="7">
        <v>130</v>
      </c>
      <c r="V807" s="7">
        <v>1504060</v>
      </c>
      <c r="W807" s="7">
        <v>33</v>
      </c>
      <c r="X807" s="3"/>
      <c r="Y807" s="3" t="s">
        <v>83</v>
      </c>
      <c r="Z807" s="9">
        <v>2.3944000000000001</v>
      </c>
      <c r="AA807" s="12">
        <f t="shared" si="162"/>
        <v>-9.1016077292485176E-2</v>
      </c>
      <c r="AB807" s="9">
        <f t="shared" si="164"/>
        <v>3.2086842857142854</v>
      </c>
      <c r="AC807" s="9">
        <f t="shared" si="167"/>
        <v>5.8282135714285719</v>
      </c>
      <c r="AD807" s="9">
        <f t="shared" si="168"/>
        <v>0.5505433605666229</v>
      </c>
      <c r="AE807" s="3" t="s">
        <v>80</v>
      </c>
      <c r="AF807" s="11" t="str">
        <f t="shared" si="169"/>
        <v/>
      </c>
      <c r="AG807" s="11" t="str">
        <f t="shared" si="170"/>
        <v/>
      </c>
      <c r="AH807" s="11">
        <f t="shared" si="171"/>
        <v>0.410829145269826</v>
      </c>
      <c r="AI807" s="3" t="s">
        <v>45</v>
      </c>
      <c r="AJ807" s="3" t="s">
        <v>79</v>
      </c>
      <c r="AK807" s="3" t="s">
        <v>46</v>
      </c>
      <c r="AL807" s="3" t="s">
        <v>81</v>
      </c>
      <c r="AM807" s="3" t="s">
        <v>82</v>
      </c>
    </row>
    <row r="808" spans="1:39" ht="21" customHeight="1">
      <c r="A808" s="4">
        <v>43216</v>
      </c>
      <c r="B808" s="3" t="s">
        <v>78</v>
      </c>
      <c r="C808" s="3" t="s">
        <v>79</v>
      </c>
      <c r="D808" s="4">
        <v>43159</v>
      </c>
      <c r="E808" s="3">
        <f t="shared" si="156"/>
        <v>57</v>
      </c>
      <c r="F808" s="3" t="str">
        <f t="shared" si="157"/>
        <v>개봉후</v>
      </c>
      <c r="G808" s="3" t="str">
        <f t="shared" si="158"/>
        <v>목</v>
      </c>
      <c r="H808" s="3">
        <f t="shared" si="159"/>
        <v>0</v>
      </c>
      <c r="I808" s="3"/>
      <c r="J808" s="3"/>
      <c r="K808" s="3"/>
      <c r="L808" s="12" t="str">
        <f t="shared" si="160"/>
        <v/>
      </c>
      <c r="M808" s="12" t="str">
        <f t="shared" si="161"/>
        <v/>
      </c>
      <c r="N808" s="11" t="str">
        <f t="shared" si="163"/>
        <v/>
      </c>
      <c r="O808" s="11" t="str">
        <f t="shared" si="165"/>
        <v/>
      </c>
      <c r="P808" s="11" t="str">
        <f t="shared" si="166"/>
        <v/>
      </c>
      <c r="Q808" s="7"/>
      <c r="R808" s="7"/>
      <c r="S808" s="7"/>
      <c r="T808" s="7"/>
      <c r="U808" s="7"/>
      <c r="V808" s="7"/>
      <c r="W808" s="7"/>
      <c r="X808" s="3"/>
      <c r="Y808" s="3"/>
      <c r="Z808" s="9">
        <v>2.5053399999999999</v>
      </c>
      <c r="AA808" s="12">
        <f t="shared" si="162"/>
        <v>4.6333110591379789E-2</v>
      </c>
      <c r="AB808" s="9">
        <f t="shared" si="164"/>
        <v>3.12656</v>
      </c>
      <c r="AC808" s="9">
        <f t="shared" si="167"/>
        <v>5.7695792857142862</v>
      </c>
      <c r="AD808" s="9">
        <f t="shared" si="168"/>
        <v>0.5419043304841118</v>
      </c>
      <c r="AE808" s="3" t="s">
        <v>80</v>
      </c>
      <c r="AF808" s="11" t="str">
        <f t="shared" si="169"/>
        <v/>
      </c>
      <c r="AG808" s="11" t="str">
        <f t="shared" si="170"/>
        <v/>
      </c>
      <c r="AH808" s="11">
        <f t="shared" si="171"/>
        <v>0.43423270154261057</v>
      </c>
      <c r="AI808" s="3" t="s">
        <v>45</v>
      </c>
      <c r="AJ808" s="3" t="s">
        <v>79</v>
      </c>
      <c r="AK808" s="3" t="s">
        <v>46</v>
      </c>
      <c r="AL808" s="3" t="s">
        <v>81</v>
      </c>
      <c r="AM808" s="3" t="s">
        <v>82</v>
      </c>
    </row>
    <row r="809" spans="1:39" ht="21" customHeight="1">
      <c r="A809" s="4">
        <v>43217</v>
      </c>
      <c r="B809" s="3" t="s">
        <v>78</v>
      </c>
      <c r="C809" s="3" t="s">
        <v>79</v>
      </c>
      <c r="D809" s="4">
        <v>43159</v>
      </c>
      <c r="E809" s="3">
        <f t="shared" si="156"/>
        <v>58</v>
      </c>
      <c r="F809" s="3" t="str">
        <f t="shared" si="157"/>
        <v>개봉후</v>
      </c>
      <c r="G809" s="3" t="str">
        <f t="shared" si="158"/>
        <v>금</v>
      </c>
      <c r="H809" s="3">
        <f t="shared" si="159"/>
        <v>0</v>
      </c>
      <c r="I809" s="3"/>
      <c r="J809" s="3"/>
      <c r="K809" s="3"/>
      <c r="L809" s="12" t="str">
        <f t="shared" si="160"/>
        <v/>
      </c>
      <c r="M809" s="12" t="str">
        <f t="shared" si="161"/>
        <v/>
      </c>
      <c r="N809" s="11" t="str">
        <f t="shared" si="163"/>
        <v/>
      </c>
      <c r="O809" s="11" t="str">
        <f t="shared" si="165"/>
        <v/>
      </c>
      <c r="P809" s="11" t="str">
        <f t="shared" si="166"/>
        <v/>
      </c>
      <c r="Q809" s="7">
        <v>1</v>
      </c>
      <c r="R809" s="7">
        <v>1</v>
      </c>
      <c r="S809" s="7">
        <v>135</v>
      </c>
      <c r="T809" s="7">
        <v>540000</v>
      </c>
      <c r="U809" s="7">
        <v>90</v>
      </c>
      <c r="V809" s="7">
        <v>1504150</v>
      </c>
      <c r="W809" s="7">
        <v>44</v>
      </c>
      <c r="X809" s="3"/>
      <c r="Y809" s="3" t="s">
        <v>83</v>
      </c>
      <c r="Z809" s="9">
        <v>2.5204200000000001</v>
      </c>
      <c r="AA809" s="12">
        <f t="shared" si="162"/>
        <v>6.0191431103164827E-3</v>
      </c>
      <c r="AB809" s="9">
        <f t="shared" si="164"/>
        <v>3.0468885714285716</v>
      </c>
      <c r="AC809" s="9">
        <f t="shared" si="167"/>
        <v>5.7309124999999996</v>
      </c>
      <c r="AD809" s="9">
        <f t="shared" si="168"/>
        <v>0.53165853979249755</v>
      </c>
      <c r="AE809" s="3" t="s">
        <v>80</v>
      </c>
      <c r="AF809" s="11" t="str">
        <f t="shared" si="169"/>
        <v/>
      </c>
      <c r="AG809" s="11" t="str">
        <f t="shared" si="170"/>
        <v/>
      </c>
      <c r="AH809" s="11">
        <f t="shared" si="171"/>
        <v>0.43979383736883093</v>
      </c>
      <c r="AI809" s="3" t="s">
        <v>45</v>
      </c>
      <c r="AJ809" s="3" t="s">
        <v>79</v>
      </c>
      <c r="AK809" s="3" t="s">
        <v>46</v>
      </c>
      <c r="AL809" s="3" t="s">
        <v>81</v>
      </c>
      <c r="AM809" s="3" t="s">
        <v>82</v>
      </c>
    </row>
    <row r="810" spans="1:39" ht="21" customHeight="1">
      <c r="A810" s="4">
        <v>43218</v>
      </c>
      <c r="B810" s="3" t="s">
        <v>78</v>
      </c>
      <c r="C810" s="3" t="s">
        <v>79</v>
      </c>
      <c r="D810" s="4">
        <v>43159</v>
      </c>
      <c r="E810" s="3">
        <f t="shared" si="156"/>
        <v>59</v>
      </c>
      <c r="F810" s="3" t="str">
        <f t="shared" si="157"/>
        <v>개봉후</v>
      </c>
      <c r="G810" s="3" t="str">
        <f t="shared" si="158"/>
        <v>토</v>
      </c>
      <c r="H810" s="3">
        <f t="shared" si="159"/>
        <v>1</v>
      </c>
      <c r="I810" s="3"/>
      <c r="J810" s="3"/>
      <c r="K810" s="3"/>
      <c r="L810" s="12" t="str">
        <f t="shared" si="160"/>
        <v/>
      </c>
      <c r="M810" s="12" t="str">
        <f t="shared" si="161"/>
        <v/>
      </c>
      <c r="N810" s="11" t="str">
        <f t="shared" si="163"/>
        <v/>
      </c>
      <c r="O810" s="11" t="str">
        <f t="shared" si="165"/>
        <v/>
      </c>
      <c r="P810" s="11" t="str">
        <f t="shared" si="166"/>
        <v/>
      </c>
      <c r="Q810" s="7">
        <v>1</v>
      </c>
      <c r="R810" s="7">
        <v>1</v>
      </c>
      <c r="S810" s="7">
        <v>40</v>
      </c>
      <c r="T810" s="7">
        <v>84000</v>
      </c>
      <c r="U810" s="7">
        <v>14</v>
      </c>
      <c r="V810" s="7">
        <v>1504164</v>
      </c>
      <c r="W810" s="7">
        <v>75</v>
      </c>
      <c r="X810" s="3"/>
      <c r="Y810" s="3" t="s">
        <v>83</v>
      </c>
      <c r="Z810" s="9">
        <v>3.5852200000000001</v>
      </c>
      <c r="AA810" s="12">
        <f t="shared" si="162"/>
        <v>0.42246927099451681</v>
      </c>
      <c r="AB810" s="9">
        <f t="shared" si="164"/>
        <v>3.0339914285714289</v>
      </c>
      <c r="AC810" s="9">
        <f t="shared" si="167"/>
        <v>5.6737203571428561</v>
      </c>
      <c r="AD810" s="9">
        <f t="shared" si="168"/>
        <v>0.53474461862608813</v>
      </c>
      <c r="AE810" s="3" t="s">
        <v>80</v>
      </c>
      <c r="AF810" s="11" t="str">
        <f t="shared" si="169"/>
        <v/>
      </c>
      <c r="AG810" s="11" t="str">
        <f t="shared" si="170"/>
        <v/>
      </c>
      <c r="AH810" s="11">
        <f t="shared" si="171"/>
        <v>0.63189931373449415</v>
      </c>
      <c r="AI810" s="3" t="s">
        <v>45</v>
      </c>
      <c r="AJ810" s="3" t="s">
        <v>79</v>
      </c>
      <c r="AK810" s="3" t="s">
        <v>46</v>
      </c>
      <c r="AL810" s="3" t="s">
        <v>81</v>
      </c>
      <c r="AM810" s="3" t="s">
        <v>82</v>
      </c>
    </row>
    <row r="811" spans="1:39" ht="21" customHeight="1">
      <c r="A811" s="4">
        <v>43219</v>
      </c>
      <c r="B811" s="3" t="s">
        <v>78</v>
      </c>
      <c r="C811" s="3" t="s">
        <v>79</v>
      </c>
      <c r="D811" s="4">
        <v>43159</v>
      </c>
      <c r="E811" s="3">
        <f t="shared" si="156"/>
        <v>60</v>
      </c>
      <c r="F811" s="3" t="str">
        <f t="shared" si="157"/>
        <v>개봉후</v>
      </c>
      <c r="G811" s="3" t="str">
        <f t="shared" si="158"/>
        <v>일</v>
      </c>
      <c r="H811" s="3">
        <f t="shared" si="159"/>
        <v>1</v>
      </c>
      <c r="I811" s="3"/>
      <c r="J811" s="3"/>
      <c r="K811" s="3"/>
      <c r="L811" s="12" t="str">
        <f t="shared" si="160"/>
        <v/>
      </c>
      <c r="M811" s="12" t="str">
        <f t="shared" si="161"/>
        <v/>
      </c>
      <c r="N811" s="11" t="str">
        <f t="shared" si="163"/>
        <v/>
      </c>
      <c r="O811" s="11" t="str">
        <f t="shared" si="165"/>
        <v/>
      </c>
      <c r="P811" s="11" t="str">
        <f t="shared" si="166"/>
        <v/>
      </c>
      <c r="Q811" s="7">
        <v>1</v>
      </c>
      <c r="R811" s="7">
        <v>1</v>
      </c>
      <c r="S811" s="7">
        <v>40</v>
      </c>
      <c r="T811" s="7">
        <v>54000</v>
      </c>
      <c r="U811" s="7">
        <v>9</v>
      </c>
      <c r="V811" s="7">
        <v>1504173</v>
      </c>
      <c r="W811" s="7">
        <v>77</v>
      </c>
      <c r="X811" s="3"/>
      <c r="Y811" s="3" t="s">
        <v>83</v>
      </c>
      <c r="Z811" s="9">
        <v>5.1408800000000001</v>
      </c>
      <c r="AA811" s="12">
        <f t="shared" si="162"/>
        <v>0.43390921617083467</v>
      </c>
      <c r="AB811" s="9">
        <f t="shared" si="164"/>
        <v>3.1249685714285715</v>
      </c>
      <c r="AC811" s="9">
        <f t="shared" si="167"/>
        <v>5.6129721428571413</v>
      </c>
      <c r="AD811" s="9">
        <f t="shared" si="168"/>
        <v>0.55674043837992138</v>
      </c>
      <c r="AE811" s="3" t="s">
        <v>80</v>
      </c>
      <c r="AF811" s="11" t="str">
        <f t="shared" si="169"/>
        <v/>
      </c>
      <c r="AG811" s="11" t="str">
        <f t="shared" si="170"/>
        <v/>
      </c>
      <c r="AH811" s="11">
        <f t="shared" si="171"/>
        <v>0.9158926624180902</v>
      </c>
      <c r="AI811" s="3" t="s">
        <v>45</v>
      </c>
      <c r="AJ811" s="3" t="s">
        <v>79</v>
      </c>
      <c r="AK811" s="3" t="s">
        <v>46</v>
      </c>
      <c r="AL811" s="3" t="s">
        <v>81</v>
      </c>
      <c r="AM811" s="3" t="s">
        <v>82</v>
      </c>
    </row>
    <row r="812" spans="1:39" ht="21" customHeight="1">
      <c r="A812" s="4">
        <v>43220</v>
      </c>
      <c r="B812" s="3" t="s">
        <v>78</v>
      </c>
      <c r="C812" s="3" t="s">
        <v>79</v>
      </c>
      <c r="D812" s="4">
        <v>43159</v>
      </c>
      <c r="E812" s="3">
        <f t="shared" si="156"/>
        <v>61</v>
      </c>
      <c r="F812" s="3" t="str">
        <f t="shared" si="157"/>
        <v>개봉후</v>
      </c>
      <c r="G812" s="3" t="str">
        <f t="shared" si="158"/>
        <v>월</v>
      </c>
      <c r="H812" s="3">
        <f t="shared" si="159"/>
        <v>0</v>
      </c>
      <c r="I812" s="3"/>
      <c r="J812" s="3"/>
      <c r="K812" s="3"/>
      <c r="L812" s="12" t="str">
        <f t="shared" si="160"/>
        <v/>
      </c>
      <c r="M812" s="12" t="str">
        <f t="shared" si="161"/>
        <v/>
      </c>
      <c r="N812" s="11" t="str">
        <f t="shared" si="163"/>
        <v/>
      </c>
      <c r="O812" s="11" t="str">
        <f t="shared" si="165"/>
        <v/>
      </c>
      <c r="P812" s="11" t="str">
        <f t="shared" si="166"/>
        <v/>
      </c>
      <c r="Q812" s="7">
        <v>2</v>
      </c>
      <c r="R812" s="7">
        <v>2</v>
      </c>
      <c r="S812" s="7">
        <v>99</v>
      </c>
      <c r="T812" s="7">
        <v>272000</v>
      </c>
      <c r="U812" s="7">
        <v>33</v>
      </c>
      <c r="V812" s="7">
        <v>1504206</v>
      </c>
      <c r="W812" s="7">
        <v>61</v>
      </c>
      <c r="X812" s="3"/>
      <c r="Y812" s="3" t="s">
        <v>83</v>
      </c>
      <c r="Z812" s="9">
        <v>4.25502</v>
      </c>
      <c r="AA812" s="12">
        <f t="shared" si="162"/>
        <v>-0.17231680179268916</v>
      </c>
      <c r="AB812" s="9">
        <f t="shared" si="164"/>
        <v>3.2907757142857141</v>
      </c>
      <c r="AC812" s="9">
        <f t="shared" si="167"/>
        <v>5.6553024999999995</v>
      </c>
      <c r="AD812" s="9">
        <f t="shared" si="168"/>
        <v>0.58189207638065599</v>
      </c>
      <c r="AE812" s="3" t="s">
        <v>80</v>
      </c>
      <c r="AF812" s="11" t="str">
        <f t="shared" si="169"/>
        <v/>
      </c>
      <c r="AG812" s="11" t="str">
        <f t="shared" si="170"/>
        <v/>
      </c>
      <c r="AH812" s="11">
        <f t="shared" si="171"/>
        <v>0.75239476579723197</v>
      </c>
      <c r="AI812" s="3" t="s">
        <v>45</v>
      </c>
      <c r="AJ812" s="3" t="s">
        <v>79</v>
      </c>
      <c r="AK812" s="3" t="s">
        <v>46</v>
      </c>
      <c r="AL812" s="3" t="s">
        <v>81</v>
      </c>
      <c r="AM812" s="3" t="s">
        <v>82</v>
      </c>
    </row>
    <row r="813" spans="1:39" ht="21" customHeight="1">
      <c r="A813" s="4">
        <v>43221</v>
      </c>
      <c r="B813" s="3" t="s">
        <v>78</v>
      </c>
      <c r="C813" s="3" t="s">
        <v>79</v>
      </c>
      <c r="D813" s="4">
        <v>43159</v>
      </c>
      <c r="E813" s="3">
        <f t="shared" si="156"/>
        <v>62</v>
      </c>
      <c r="F813" s="3" t="str">
        <f t="shared" si="157"/>
        <v>개봉후</v>
      </c>
      <c r="G813" s="3" t="str">
        <f t="shared" si="158"/>
        <v>화</v>
      </c>
      <c r="H813" s="3">
        <f t="shared" si="159"/>
        <v>0</v>
      </c>
      <c r="I813" s="3"/>
      <c r="J813" s="3"/>
      <c r="K813" s="3"/>
      <c r="L813" s="12" t="str">
        <f t="shared" si="160"/>
        <v/>
      </c>
      <c r="M813" s="12" t="str">
        <f t="shared" si="161"/>
        <v/>
      </c>
      <c r="N813" s="11" t="str">
        <f t="shared" si="163"/>
        <v/>
      </c>
      <c r="O813" s="11" t="str">
        <f t="shared" si="165"/>
        <v/>
      </c>
      <c r="P813" s="11" t="str">
        <f t="shared" si="166"/>
        <v/>
      </c>
      <c r="Q813" s="7">
        <v>1</v>
      </c>
      <c r="R813" s="7">
        <v>1</v>
      </c>
      <c r="S813" s="7">
        <v>40</v>
      </c>
      <c r="T813" s="7">
        <v>308000</v>
      </c>
      <c r="U813" s="7">
        <v>39</v>
      </c>
      <c r="V813" s="7">
        <v>1504245</v>
      </c>
      <c r="W813" s="7">
        <v>68</v>
      </c>
      <c r="X813" s="3"/>
      <c r="Y813" s="3" t="s">
        <v>83</v>
      </c>
      <c r="Z813" s="9">
        <v>6.0610900000000001</v>
      </c>
      <c r="AA813" s="12">
        <f t="shared" si="162"/>
        <v>0.42445628927713619</v>
      </c>
      <c r="AB813" s="9">
        <f t="shared" si="164"/>
        <v>3.7803385714285715</v>
      </c>
      <c r="AC813" s="9">
        <f t="shared" si="167"/>
        <v>5.7073971428571415</v>
      </c>
      <c r="AD813" s="9">
        <f t="shared" si="168"/>
        <v>0.66235772223415346</v>
      </c>
      <c r="AE813" s="3" t="s">
        <v>80</v>
      </c>
      <c r="AF813" s="11" t="str">
        <f t="shared" si="169"/>
        <v/>
      </c>
      <c r="AG813" s="11" t="str">
        <f t="shared" si="170"/>
        <v/>
      </c>
      <c r="AH813" s="11">
        <f t="shared" si="171"/>
        <v>1.0619709559874431</v>
      </c>
      <c r="AI813" s="3" t="s">
        <v>45</v>
      </c>
      <c r="AJ813" s="3" t="s">
        <v>79</v>
      </c>
      <c r="AK813" s="3" t="s">
        <v>46</v>
      </c>
      <c r="AL813" s="3" t="s">
        <v>81</v>
      </c>
      <c r="AM813" s="3" t="s">
        <v>82</v>
      </c>
    </row>
    <row r="814" spans="1:39" ht="21" customHeight="1">
      <c r="A814" s="4">
        <v>43222</v>
      </c>
      <c r="B814" s="3" t="s">
        <v>78</v>
      </c>
      <c r="C814" s="3" t="s">
        <v>79</v>
      </c>
      <c r="D814" s="4">
        <v>43159</v>
      </c>
      <c r="E814" s="3">
        <f t="shared" si="156"/>
        <v>63</v>
      </c>
      <c r="F814" s="3" t="str">
        <f t="shared" si="157"/>
        <v>개봉후</v>
      </c>
      <c r="G814" s="3" t="str">
        <f t="shared" si="158"/>
        <v>수</v>
      </c>
      <c r="H814" s="3">
        <f t="shared" si="159"/>
        <v>0</v>
      </c>
      <c r="I814" s="3"/>
      <c r="J814" s="3"/>
      <c r="K814" s="3"/>
      <c r="L814" s="12" t="str">
        <f t="shared" si="160"/>
        <v/>
      </c>
      <c r="M814" s="12" t="str">
        <f t="shared" si="161"/>
        <v/>
      </c>
      <c r="N814" s="11" t="str">
        <f t="shared" si="163"/>
        <v/>
      </c>
      <c r="O814" s="11" t="str">
        <f t="shared" si="165"/>
        <v/>
      </c>
      <c r="P814" s="11" t="str">
        <f t="shared" si="166"/>
        <v/>
      </c>
      <c r="Q814" s="7"/>
      <c r="R814" s="7"/>
      <c r="S814" s="7"/>
      <c r="T814" s="7"/>
      <c r="U814" s="7"/>
      <c r="V814" s="7"/>
      <c r="W814" s="7"/>
      <c r="X814" s="3"/>
      <c r="Y814" s="3"/>
      <c r="Z814" s="9">
        <v>3.1164200000000002</v>
      </c>
      <c r="AA814" s="12">
        <f t="shared" si="162"/>
        <v>-0.48583175633425668</v>
      </c>
      <c r="AB814" s="9">
        <f t="shared" si="164"/>
        <v>3.8834842857142862</v>
      </c>
      <c r="AC814" s="9">
        <f t="shared" si="167"/>
        <v>5.827898214285713</v>
      </c>
      <c r="AD814" s="9">
        <f t="shared" si="168"/>
        <v>0.66636103496022692</v>
      </c>
      <c r="AE814" s="3" t="s">
        <v>80</v>
      </c>
      <c r="AF814" s="11" t="str">
        <f t="shared" si="169"/>
        <v/>
      </c>
      <c r="AG814" s="11" t="str">
        <f t="shared" si="170"/>
        <v/>
      </c>
      <c r="AH814" s="11">
        <f t="shared" si="171"/>
        <v>0.5347416659338412</v>
      </c>
      <c r="AI814" s="3" t="s">
        <v>45</v>
      </c>
      <c r="AJ814" s="3" t="s">
        <v>79</v>
      </c>
      <c r="AK814" s="3" t="s">
        <v>46</v>
      </c>
      <c r="AL814" s="3" t="s">
        <v>81</v>
      </c>
      <c r="AM814" s="3" t="s">
        <v>82</v>
      </c>
    </row>
    <row r="815" spans="1:39" ht="21" customHeight="1">
      <c r="A815" s="4">
        <v>43223</v>
      </c>
      <c r="B815" s="3" t="s">
        <v>78</v>
      </c>
      <c r="C815" s="3" t="s">
        <v>79</v>
      </c>
      <c r="D815" s="4">
        <v>43159</v>
      </c>
      <c r="E815" s="3">
        <f t="shared" si="156"/>
        <v>64</v>
      </c>
      <c r="F815" s="3" t="str">
        <f t="shared" si="157"/>
        <v>개봉후</v>
      </c>
      <c r="G815" s="3" t="str">
        <f t="shared" si="158"/>
        <v>목</v>
      </c>
      <c r="H815" s="3">
        <f t="shared" si="159"/>
        <v>0</v>
      </c>
      <c r="I815" s="3"/>
      <c r="J815" s="3"/>
      <c r="K815" s="3"/>
      <c r="L815" s="12" t="str">
        <f t="shared" si="160"/>
        <v/>
      </c>
      <c r="M815" s="12" t="str">
        <f t="shared" si="161"/>
        <v/>
      </c>
      <c r="N815" s="11" t="str">
        <f t="shared" si="163"/>
        <v/>
      </c>
      <c r="O815" s="11" t="str">
        <f t="shared" si="165"/>
        <v/>
      </c>
      <c r="P815" s="11" t="str">
        <f t="shared" si="166"/>
        <v/>
      </c>
      <c r="Q815" s="7"/>
      <c r="R815" s="7"/>
      <c r="S815" s="7"/>
      <c r="T815" s="7"/>
      <c r="U815" s="7"/>
      <c r="V815" s="7"/>
      <c r="W815" s="7"/>
      <c r="X815" s="3"/>
      <c r="Y815" s="3"/>
      <c r="Z815" s="9">
        <v>2.7088800000000002</v>
      </c>
      <c r="AA815" s="12">
        <f t="shared" si="162"/>
        <v>-0.13077184718362733</v>
      </c>
      <c r="AB815" s="9">
        <f t="shared" si="164"/>
        <v>3.9125614285714287</v>
      </c>
      <c r="AC815" s="9">
        <f t="shared" si="167"/>
        <v>5.5705010714285716</v>
      </c>
      <c r="AD815" s="9">
        <f t="shared" si="168"/>
        <v>0.70237154223687115</v>
      </c>
      <c r="AE815" s="3" t="s">
        <v>80</v>
      </c>
      <c r="AF815" s="11" t="str">
        <f t="shared" si="169"/>
        <v/>
      </c>
      <c r="AG815" s="11" t="str">
        <f t="shared" si="170"/>
        <v/>
      </c>
      <c r="AH815" s="11">
        <f t="shared" si="171"/>
        <v>0.48629018561615678</v>
      </c>
      <c r="AI815" s="3" t="s">
        <v>45</v>
      </c>
      <c r="AJ815" s="3" t="s">
        <v>79</v>
      </c>
      <c r="AK815" s="3" t="s">
        <v>46</v>
      </c>
      <c r="AL815" s="3" t="s">
        <v>81</v>
      </c>
      <c r="AM815" s="3" t="s">
        <v>82</v>
      </c>
    </row>
    <row r="816" spans="1:39" ht="21" customHeight="1">
      <c r="A816" s="4">
        <v>43224</v>
      </c>
      <c r="B816" s="3" t="s">
        <v>78</v>
      </c>
      <c r="C816" s="3" t="s">
        <v>79</v>
      </c>
      <c r="D816" s="4">
        <v>43159</v>
      </c>
      <c r="E816" s="3">
        <f t="shared" si="156"/>
        <v>65</v>
      </c>
      <c r="F816" s="3" t="str">
        <f t="shared" si="157"/>
        <v>개봉후</v>
      </c>
      <c r="G816" s="3" t="str">
        <f t="shared" si="158"/>
        <v>금</v>
      </c>
      <c r="H816" s="3">
        <f t="shared" si="159"/>
        <v>0</v>
      </c>
      <c r="I816" s="3"/>
      <c r="J816" s="3"/>
      <c r="K816" s="3"/>
      <c r="L816" s="12" t="str">
        <f t="shared" si="160"/>
        <v/>
      </c>
      <c r="M816" s="12" t="str">
        <f t="shared" si="161"/>
        <v/>
      </c>
      <c r="N816" s="11" t="str">
        <f t="shared" si="163"/>
        <v/>
      </c>
      <c r="O816" s="11" t="str">
        <f t="shared" si="165"/>
        <v/>
      </c>
      <c r="P816" s="11" t="str">
        <f t="shared" si="166"/>
        <v/>
      </c>
      <c r="Q816" s="7"/>
      <c r="R816" s="7"/>
      <c r="S816" s="7"/>
      <c r="T816" s="7"/>
      <c r="U816" s="7"/>
      <c r="V816" s="7"/>
      <c r="W816" s="7"/>
      <c r="X816" s="3"/>
      <c r="Y816" s="3"/>
      <c r="Z816" s="9">
        <v>2.7195499999999999</v>
      </c>
      <c r="AA816" s="12">
        <f t="shared" si="162"/>
        <v>3.9388972564307068E-3</v>
      </c>
      <c r="AB816" s="9">
        <f t="shared" si="164"/>
        <v>3.9410085714285716</v>
      </c>
      <c r="AC816" s="9">
        <f t="shared" si="167"/>
        <v>5.2690328571428582</v>
      </c>
      <c r="AD816" s="9">
        <f t="shared" si="168"/>
        <v>0.74795672721722029</v>
      </c>
      <c r="AE816" s="3" t="s">
        <v>80</v>
      </c>
      <c r="AF816" s="11" t="str">
        <f t="shared" si="169"/>
        <v/>
      </c>
      <c r="AG816" s="11" t="str">
        <f t="shared" si="170"/>
        <v/>
      </c>
      <c r="AH816" s="11">
        <f t="shared" si="171"/>
        <v>0.51613836423762227</v>
      </c>
      <c r="AI816" s="3" t="s">
        <v>45</v>
      </c>
      <c r="AJ816" s="3" t="s">
        <v>79</v>
      </c>
      <c r="AK816" s="3" t="s">
        <v>46</v>
      </c>
      <c r="AL816" s="3" t="s">
        <v>81</v>
      </c>
      <c r="AM816" s="3" t="s">
        <v>82</v>
      </c>
    </row>
    <row r="817" spans="1:39" ht="21" customHeight="1">
      <c r="A817" s="4">
        <v>43225</v>
      </c>
      <c r="B817" s="3" t="s">
        <v>78</v>
      </c>
      <c r="C817" s="3" t="s">
        <v>79</v>
      </c>
      <c r="D817" s="4">
        <v>43159</v>
      </c>
      <c r="E817" s="3">
        <f t="shared" si="156"/>
        <v>66</v>
      </c>
      <c r="F817" s="3" t="str">
        <f t="shared" si="157"/>
        <v>개봉후</v>
      </c>
      <c r="G817" s="3" t="str">
        <f t="shared" si="158"/>
        <v>토</v>
      </c>
      <c r="H817" s="3">
        <f t="shared" si="159"/>
        <v>1</v>
      </c>
      <c r="I817" s="3"/>
      <c r="J817" s="3"/>
      <c r="K817" s="3"/>
      <c r="L817" s="12" t="str">
        <f t="shared" si="160"/>
        <v/>
      </c>
      <c r="M817" s="12" t="str">
        <f t="shared" si="161"/>
        <v/>
      </c>
      <c r="N817" s="11" t="str">
        <f t="shared" si="163"/>
        <v/>
      </c>
      <c r="O817" s="11" t="str">
        <f t="shared" si="165"/>
        <v/>
      </c>
      <c r="P817" s="11" t="str">
        <f t="shared" si="166"/>
        <v/>
      </c>
      <c r="Q817" s="7"/>
      <c r="R817" s="7"/>
      <c r="S817" s="7"/>
      <c r="T817" s="7"/>
      <c r="U817" s="7"/>
      <c r="V817" s="7"/>
      <c r="W817" s="7"/>
      <c r="X817" s="3"/>
      <c r="Y817" s="3"/>
      <c r="Z817" s="9">
        <v>3.6599599999999999</v>
      </c>
      <c r="AA817" s="12">
        <f t="shared" si="162"/>
        <v>0.34579617951499331</v>
      </c>
      <c r="AB817" s="9">
        <f t="shared" si="164"/>
        <v>3.951685714285714</v>
      </c>
      <c r="AC817" s="9">
        <f t="shared" si="167"/>
        <v>5.0156221428571426</v>
      </c>
      <c r="AD817" s="9">
        <f t="shared" si="168"/>
        <v>0.78787548218986081</v>
      </c>
      <c r="AE817" s="3" t="s">
        <v>80</v>
      </c>
      <c r="AF817" s="11" t="str">
        <f t="shared" si="169"/>
        <v/>
      </c>
      <c r="AG817" s="11" t="str">
        <f t="shared" si="170"/>
        <v/>
      </c>
      <c r="AH817" s="11">
        <f t="shared" si="171"/>
        <v>0.72971206676966871</v>
      </c>
      <c r="AI817" s="3" t="s">
        <v>45</v>
      </c>
      <c r="AJ817" s="3" t="s">
        <v>79</v>
      </c>
      <c r="AK817" s="3" t="s">
        <v>46</v>
      </c>
      <c r="AL817" s="3" t="s">
        <v>81</v>
      </c>
      <c r="AM817" s="3" t="s">
        <v>82</v>
      </c>
    </row>
    <row r="818" spans="1:39" ht="21" customHeight="1">
      <c r="A818" s="4">
        <v>43226</v>
      </c>
      <c r="B818" s="3" t="s">
        <v>78</v>
      </c>
      <c r="C818" s="3" t="s">
        <v>79</v>
      </c>
      <c r="D818" s="4">
        <v>43159</v>
      </c>
      <c r="E818" s="3">
        <f t="shared" si="156"/>
        <v>67</v>
      </c>
      <c r="F818" s="3" t="str">
        <f t="shared" si="157"/>
        <v>개봉후</v>
      </c>
      <c r="G818" s="3" t="str">
        <f t="shared" si="158"/>
        <v>일</v>
      </c>
      <c r="H818" s="3">
        <f t="shared" si="159"/>
        <v>1</v>
      </c>
      <c r="I818" s="3"/>
      <c r="J818" s="3"/>
      <c r="K818" s="3"/>
      <c r="L818" s="12" t="str">
        <f t="shared" si="160"/>
        <v/>
      </c>
      <c r="M818" s="12" t="str">
        <f t="shared" si="161"/>
        <v/>
      </c>
      <c r="N818" s="11" t="str">
        <f t="shared" si="163"/>
        <v/>
      </c>
      <c r="O818" s="11" t="str">
        <f t="shared" si="165"/>
        <v/>
      </c>
      <c r="P818" s="11" t="str">
        <f t="shared" si="166"/>
        <v/>
      </c>
      <c r="Q818" s="7"/>
      <c r="R818" s="7"/>
      <c r="S818" s="7"/>
      <c r="T818" s="7"/>
      <c r="U818" s="7"/>
      <c r="V818" s="7"/>
      <c r="W818" s="7"/>
      <c r="X818" s="3"/>
      <c r="Y818" s="3"/>
      <c r="Z818" s="9">
        <v>4.4690000000000003</v>
      </c>
      <c r="AA818" s="12">
        <f t="shared" si="162"/>
        <v>0.2210515961923083</v>
      </c>
      <c r="AB818" s="9">
        <f t="shared" si="164"/>
        <v>3.8557028571428567</v>
      </c>
      <c r="AC818" s="9">
        <f t="shared" si="167"/>
        <v>4.7266282142857152</v>
      </c>
      <c r="AD818" s="9">
        <f t="shared" si="168"/>
        <v>0.81574066804946022</v>
      </c>
      <c r="AE818" s="3" t="s">
        <v>80</v>
      </c>
      <c r="AF818" s="11" t="str">
        <f t="shared" si="169"/>
        <v/>
      </c>
      <c r="AG818" s="11" t="str">
        <f t="shared" si="170"/>
        <v/>
      </c>
      <c r="AH818" s="11">
        <f t="shared" si="171"/>
        <v>0.94549429263188889</v>
      </c>
      <c r="AI818" s="3" t="s">
        <v>45</v>
      </c>
      <c r="AJ818" s="3" t="s">
        <v>79</v>
      </c>
      <c r="AK818" s="3" t="s">
        <v>46</v>
      </c>
      <c r="AL818" s="3" t="s">
        <v>81</v>
      </c>
      <c r="AM818" s="3" t="s">
        <v>82</v>
      </c>
    </row>
    <row r="819" spans="1:39" ht="21" customHeight="1">
      <c r="A819" s="4">
        <v>43227</v>
      </c>
      <c r="B819" s="3" t="s">
        <v>78</v>
      </c>
      <c r="C819" s="3" t="s">
        <v>79</v>
      </c>
      <c r="D819" s="4">
        <v>43159</v>
      </c>
      <c r="E819" s="3">
        <f t="shared" si="156"/>
        <v>68</v>
      </c>
      <c r="F819" s="3" t="str">
        <f t="shared" si="157"/>
        <v>개봉후</v>
      </c>
      <c r="G819" s="3" t="str">
        <f t="shared" si="158"/>
        <v>월</v>
      </c>
      <c r="H819" s="3">
        <f t="shared" si="159"/>
        <v>0</v>
      </c>
      <c r="I819" s="3"/>
      <c r="J819" s="3"/>
      <c r="K819" s="3"/>
      <c r="L819" s="12" t="str">
        <f t="shared" si="160"/>
        <v/>
      </c>
      <c r="M819" s="12" t="str">
        <f t="shared" si="161"/>
        <v/>
      </c>
      <c r="N819" s="11" t="str">
        <f t="shared" si="163"/>
        <v/>
      </c>
      <c r="O819" s="11" t="str">
        <f t="shared" si="165"/>
        <v/>
      </c>
      <c r="P819" s="11" t="str">
        <f t="shared" si="166"/>
        <v/>
      </c>
      <c r="Q819" s="7">
        <v>1</v>
      </c>
      <c r="R819" s="7">
        <v>1</v>
      </c>
      <c r="S819" s="7">
        <v>59</v>
      </c>
      <c r="T819" s="7">
        <v>139000</v>
      </c>
      <c r="U819" s="7">
        <v>14</v>
      </c>
      <c r="V819" s="7">
        <v>1504259</v>
      </c>
      <c r="W819" s="7">
        <v>70</v>
      </c>
      <c r="X819" s="3"/>
      <c r="Y819" s="3" t="s">
        <v>83</v>
      </c>
      <c r="Z819" s="9">
        <v>3.7734399999999999</v>
      </c>
      <c r="AA819" s="12">
        <f t="shared" si="162"/>
        <v>-0.15564108301633484</v>
      </c>
      <c r="AB819" s="9">
        <f t="shared" si="164"/>
        <v>3.786905714285715</v>
      </c>
      <c r="AC819" s="9">
        <f t="shared" si="167"/>
        <v>4.4586710714285713</v>
      </c>
      <c r="AD819" s="9">
        <f t="shared" si="168"/>
        <v>0.84933507173301737</v>
      </c>
      <c r="AE819" s="3" t="s">
        <v>80</v>
      </c>
      <c r="AF819" s="11" t="str">
        <f t="shared" si="169"/>
        <v/>
      </c>
      <c r="AG819" s="11" t="str">
        <f t="shared" si="170"/>
        <v/>
      </c>
      <c r="AH819" s="11">
        <f t="shared" si="171"/>
        <v>0.84631495339058027</v>
      </c>
      <c r="AI819" s="3" t="s">
        <v>45</v>
      </c>
      <c r="AJ819" s="3" t="s">
        <v>79</v>
      </c>
      <c r="AK819" s="3" t="s">
        <v>46</v>
      </c>
      <c r="AL819" s="3" t="s">
        <v>81</v>
      </c>
      <c r="AM819" s="3" t="s">
        <v>82</v>
      </c>
    </row>
    <row r="820" spans="1:39" ht="21" customHeight="1">
      <c r="A820" s="4">
        <v>43228</v>
      </c>
      <c r="B820" s="3" t="s">
        <v>78</v>
      </c>
      <c r="C820" s="3" t="s">
        <v>79</v>
      </c>
      <c r="D820" s="4">
        <v>43159</v>
      </c>
      <c r="E820" s="3">
        <f t="shared" si="156"/>
        <v>69</v>
      </c>
      <c r="F820" s="3" t="str">
        <f t="shared" si="157"/>
        <v>개봉후</v>
      </c>
      <c r="G820" s="3" t="str">
        <f t="shared" si="158"/>
        <v>화</v>
      </c>
      <c r="H820" s="3">
        <f t="shared" si="159"/>
        <v>0</v>
      </c>
      <c r="I820" s="3"/>
      <c r="J820" s="3"/>
      <c r="K820" s="3"/>
      <c r="L820" s="12" t="str">
        <f t="shared" si="160"/>
        <v/>
      </c>
      <c r="M820" s="12" t="str">
        <f t="shared" si="161"/>
        <v/>
      </c>
      <c r="N820" s="11" t="str">
        <f t="shared" si="163"/>
        <v/>
      </c>
      <c r="O820" s="11" t="str">
        <f t="shared" si="165"/>
        <v/>
      </c>
      <c r="P820" s="11" t="str">
        <f t="shared" si="166"/>
        <v/>
      </c>
      <c r="Q820" s="7">
        <v>1</v>
      </c>
      <c r="R820" s="7">
        <v>1</v>
      </c>
      <c r="S820" s="7">
        <v>59</v>
      </c>
      <c r="T820" s="7">
        <v>20000</v>
      </c>
      <c r="U820" s="7">
        <v>2</v>
      </c>
      <c r="V820" s="7">
        <v>1504261</v>
      </c>
      <c r="W820" s="7">
        <v>89</v>
      </c>
      <c r="X820" s="3"/>
      <c r="Y820" s="3" t="s">
        <v>83</v>
      </c>
      <c r="Z820" s="9">
        <v>2.3064399999999998</v>
      </c>
      <c r="AA820" s="12">
        <f t="shared" si="162"/>
        <v>-0.38876992876526462</v>
      </c>
      <c r="AB820" s="9">
        <f t="shared" si="164"/>
        <v>3.2505271428571425</v>
      </c>
      <c r="AC820" s="9">
        <f t="shared" si="167"/>
        <v>4.3340835714285726</v>
      </c>
      <c r="AD820" s="9">
        <f t="shared" si="168"/>
        <v>0.74999180087007988</v>
      </c>
      <c r="AE820" s="3" t="s">
        <v>80</v>
      </c>
      <c r="AF820" s="11" t="str">
        <f t="shared" si="169"/>
        <v/>
      </c>
      <c r="AG820" s="11" t="str">
        <f t="shared" si="170"/>
        <v/>
      </c>
      <c r="AH820" s="11">
        <f t="shared" si="171"/>
        <v>0.53216325019772659</v>
      </c>
      <c r="AI820" s="3" t="s">
        <v>45</v>
      </c>
      <c r="AJ820" s="3" t="s">
        <v>79</v>
      </c>
      <c r="AK820" s="3" t="s">
        <v>46</v>
      </c>
      <c r="AL820" s="3" t="s">
        <v>81</v>
      </c>
      <c r="AM820" s="3" t="s">
        <v>82</v>
      </c>
    </row>
    <row r="821" spans="1:39" ht="21" customHeight="1">
      <c r="A821" s="4">
        <v>43229</v>
      </c>
      <c r="B821" s="3" t="s">
        <v>78</v>
      </c>
      <c r="C821" s="3" t="s">
        <v>79</v>
      </c>
      <c r="D821" s="4">
        <v>43159</v>
      </c>
      <c r="E821" s="3">
        <f t="shared" si="156"/>
        <v>70</v>
      </c>
      <c r="F821" s="3" t="str">
        <f t="shared" si="157"/>
        <v>개봉후</v>
      </c>
      <c r="G821" s="3" t="str">
        <f t="shared" si="158"/>
        <v>수</v>
      </c>
      <c r="H821" s="3">
        <f t="shared" si="159"/>
        <v>0</v>
      </c>
      <c r="I821" s="3"/>
      <c r="J821" s="3"/>
      <c r="K821" s="3"/>
      <c r="L821" s="12" t="str">
        <f t="shared" si="160"/>
        <v/>
      </c>
      <c r="M821" s="12" t="str">
        <f t="shared" si="161"/>
        <v/>
      </c>
      <c r="N821" s="11" t="str">
        <f t="shared" si="163"/>
        <v/>
      </c>
      <c r="O821" s="11" t="str">
        <f t="shared" si="165"/>
        <v/>
      </c>
      <c r="P821" s="11" t="str">
        <f t="shared" si="166"/>
        <v/>
      </c>
      <c r="Q821" s="7">
        <v>1</v>
      </c>
      <c r="R821" s="7">
        <v>1</v>
      </c>
      <c r="S821" s="7">
        <v>59</v>
      </c>
      <c r="T821" s="7">
        <v>60000</v>
      </c>
      <c r="U821" s="7">
        <v>6</v>
      </c>
      <c r="V821" s="7">
        <v>1504267</v>
      </c>
      <c r="W821" s="7">
        <v>88</v>
      </c>
      <c r="X821" s="3"/>
      <c r="Y821" s="3" t="s">
        <v>83</v>
      </c>
      <c r="Z821" s="9">
        <v>5.4033699999999998</v>
      </c>
      <c r="AA821" s="12">
        <f t="shared" si="162"/>
        <v>1.3427316557118329</v>
      </c>
      <c r="AB821" s="9">
        <f t="shared" si="164"/>
        <v>3.5772342857142858</v>
      </c>
      <c r="AC821" s="9">
        <f t="shared" si="167"/>
        <v>4.2142121428571429</v>
      </c>
      <c r="AD821" s="9">
        <f t="shared" si="168"/>
        <v>0.84885007314534477</v>
      </c>
      <c r="AE821" s="3" t="s">
        <v>80</v>
      </c>
      <c r="AF821" s="11" t="str">
        <f t="shared" si="169"/>
        <v/>
      </c>
      <c r="AG821" s="11" t="str">
        <f t="shared" si="170"/>
        <v/>
      </c>
      <c r="AH821" s="11">
        <f t="shared" si="171"/>
        <v>1.2821779770053612</v>
      </c>
      <c r="AI821" s="3" t="s">
        <v>45</v>
      </c>
      <c r="AJ821" s="3" t="s">
        <v>79</v>
      </c>
      <c r="AK821" s="3" t="s">
        <v>46</v>
      </c>
      <c r="AL821" s="3" t="s">
        <v>81</v>
      </c>
      <c r="AM821" s="3" t="s">
        <v>82</v>
      </c>
    </row>
    <row r="822" spans="1:39" ht="21" customHeight="1">
      <c r="A822" s="4">
        <v>43230</v>
      </c>
      <c r="B822" s="3" t="s">
        <v>78</v>
      </c>
      <c r="C822" s="3" t="s">
        <v>79</v>
      </c>
      <c r="D822" s="4">
        <v>43159</v>
      </c>
      <c r="E822" s="3">
        <f t="shared" si="156"/>
        <v>71</v>
      </c>
      <c r="F822" s="3" t="str">
        <f t="shared" si="157"/>
        <v>개봉후</v>
      </c>
      <c r="G822" s="3" t="str">
        <f t="shared" si="158"/>
        <v>목</v>
      </c>
      <c r="H822" s="3">
        <f t="shared" si="159"/>
        <v>0</v>
      </c>
      <c r="I822" s="3"/>
      <c r="J822" s="3"/>
      <c r="K822" s="3"/>
      <c r="L822" s="12" t="str">
        <f t="shared" si="160"/>
        <v/>
      </c>
      <c r="M822" s="12" t="str">
        <f t="shared" si="161"/>
        <v/>
      </c>
      <c r="N822" s="11" t="str">
        <f t="shared" si="163"/>
        <v/>
      </c>
      <c r="O822" s="11" t="str">
        <f t="shared" si="165"/>
        <v/>
      </c>
      <c r="P822" s="11" t="str">
        <f t="shared" si="166"/>
        <v/>
      </c>
      <c r="Q822" s="7">
        <v>1</v>
      </c>
      <c r="R822" s="7">
        <v>1</v>
      </c>
      <c r="S822" s="7">
        <v>32</v>
      </c>
      <c r="T822" s="7">
        <v>288000</v>
      </c>
      <c r="U822" s="7">
        <v>32</v>
      </c>
      <c r="V822" s="7">
        <v>1504299</v>
      </c>
      <c r="W822" s="7">
        <v>46</v>
      </c>
      <c r="X822" s="3"/>
      <c r="Y822" s="3" t="s">
        <v>83</v>
      </c>
      <c r="Z822" s="9">
        <v>1.89473</v>
      </c>
      <c r="AA822" s="12">
        <f t="shared" si="162"/>
        <v>-0.64934291007278788</v>
      </c>
      <c r="AB822" s="9">
        <f t="shared" si="164"/>
        <v>3.4609271428571424</v>
      </c>
      <c r="AC822" s="9">
        <f t="shared" si="167"/>
        <v>4.2135492857142847</v>
      </c>
      <c r="AD822" s="9">
        <f t="shared" si="168"/>
        <v>0.82138048191133073</v>
      </c>
      <c r="AE822" s="3" t="s">
        <v>80</v>
      </c>
      <c r="AF822" s="11" t="str">
        <f t="shared" si="169"/>
        <v/>
      </c>
      <c r="AG822" s="11" t="str">
        <f t="shared" si="170"/>
        <v/>
      </c>
      <c r="AH822" s="11">
        <f t="shared" si="171"/>
        <v>0.44967552804566369</v>
      </c>
      <c r="AI822" s="3" t="s">
        <v>45</v>
      </c>
      <c r="AJ822" s="3" t="s">
        <v>79</v>
      </c>
      <c r="AK822" s="3" t="s">
        <v>46</v>
      </c>
      <c r="AL822" s="3" t="s">
        <v>81</v>
      </c>
      <c r="AM822" s="3" t="s">
        <v>82</v>
      </c>
    </row>
    <row r="823" spans="1:39" ht="21" customHeight="1">
      <c r="A823" s="4">
        <v>43231</v>
      </c>
      <c r="B823" s="3" t="s">
        <v>78</v>
      </c>
      <c r="C823" s="3" t="s">
        <v>79</v>
      </c>
      <c r="D823" s="4">
        <v>43159</v>
      </c>
      <c r="E823" s="3">
        <f t="shared" si="156"/>
        <v>72</v>
      </c>
      <c r="F823" s="3" t="str">
        <f t="shared" si="157"/>
        <v>개봉후</v>
      </c>
      <c r="G823" s="3" t="str">
        <f t="shared" si="158"/>
        <v>금</v>
      </c>
      <c r="H823" s="3">
        <f t="shared" si="159"/>
        <v>0</v>
      </c>
      <c r="I823" s="3"/>
      <c r="J823" s="3"/>
      <c r="K823" s="3"/>
      <c r="L823" s="12" t="str">
        <f t="shared" si="160"/>
        <v/>
      </c>
      <c r="M823" s="12" t="str">
        <f t="shared" si="161"/>
        <v/>
      </c>
      <c r="N823" s="11" t="str">
        <f t="shared" si="163"/>
        <v/>
      </c>
      <c r="O823" s="11" t="str">
        <f t="shared" si="165"/>
        <v/>
      </c>
      <c r="P823" s="11" t="str">
        <f t="shared" si="166"/>
        <v/>
      </c>
      <c r="Q823" s="7"/>
      <c r="R823" s="7"/>
      <c r="S823" s="7"/>
      <c r="T823" s="7"/>
      <c r="U823" s="7"/>
      <c r="V823" s="7"/>
      <c r="W823" s="7"/>
      <c r="X823" s="3"/>
      <c r="Y823" s="3"/>
      <c r="Z823" s="9">
        <v>1.8910100000000001</v>
      </c>
      <c r="AA823" s="12">
        <f t="shared" si="162"/>
        <v>-1.9633404231736984E-3</v>
      </c>
      <c r="AB823" s="9">
        <f t="shared" si="164"/>
        <v>3.3425642857142859</v>
      </c>
      <c r="AC823" s="9">
        <f t="shared" si="167"/>
        <v>4.1260703571428552</v>
      </c>
      <c r="AD823" s="9">
        <f t="shared" si="168"/>
        <v>0.81010840736823575</v>
      </c>
      <c r="AE823" s="3" t="s">
        <v>80</v>
      </c>
      <c r="AF823" s="11" t="str">
        <f t="shared" si="169"/>
        <v/>
      </c>
      <c r="AG823" s="11" t="str">
        <f t="shared" si="170"/>
        <v/>
      </c>
      <c r="AH823" s="11">
        <f t="shared" si="171"/>
        <v>0.45830774473498115</v>
      </c>
      <c r="AI823" s="3" t="s">
        <v>45</v>
      </c>
      <c r="AJ823" s="3" t="s">
        <v>79</v>
      </c>
      <c r="AK823" s="3" t="s">
        <v>46</v>
      </c>
      <c r="AL823" s="3" t="s">
        <v>81</v>
      </c>
      <c r="AM823" s="3" t="s">
        <v>82</v>
      </c>
    </row>
    <row r="824" spans="1:39" ht="21" customHeight="1">
      <c r="A824" s="4">
        <v>43232</v>
      </c>
      <c r="B824" s="3" t="s">
        <v>78</v>
      </c>
      <c r="C824" s="3" t="s">
        <v>79</v>
      </c>
      <c r="D824" s="4">
        <v>43159</v>
      </c>
      <c r="E824" s="3">
        <f t="shared" si="156"/>
        <v>73</v>
      </c>
      <c r="F824" s="3" t="str">
        <f t="shared" si="157"/>
        <v>개봉후</v>
      </c>
      <c r="G824" s="3" t="str">
        <f t="shared" si="158"/>
        <v>토</v>
      </c>
      <c r="H824" s="3">
        <f t="shared" si="159"/>
        <v>1</v>
      </c>
      <c r="I824" s="3"/>
      <c r="J824" s="3"/>
      <c r="K824" s="3"/>
      <c r="L824" s="12" t="str">
        <f t="shared" si="160"/>
        <v/>
      </c>
      <c r="M824" s="12" t="str">
        <f t="shared" si="161"/>
        <v/>
      </c>
      <c r="N824" s="11" t="str">
        <f t="shared" si="163"/>
        <v/>
      </c>
      <c r="O824" s="11" t="str">
        <f t="shared" si="165"/>
        <v/>
      </c>
      <c r="P824" s="11" t="str">
        <f t="shared" si="166"/>
        <v/>
      </c>
      <c r="Q824" s="7"/>
      <c r="R824" s="7"/>
      <c r="S824" s="7"/>
      <c r="T824" s="7"/>
      <c r="U824" s="7"/>
      <c r="V824" s="7"/>
      <c r="W824" s="7"/>
      <c r="X824" s="3"/>
      <c r="Y824" s="3"/>
      <c r="Z824" s="9">
        <v>4.0206099999999996</v>
      </c>
      <c r="AA824" s="12">
        <f t="shared" si="162"/>
        <v>1.1261706706997843</v>
      </c>
      <c r="AB824" s="9">
        <f t="shared" si="164"/>
        <v>3.3940857142857146</v>
      </c>
      <c r="AC824" s="9">
        <f t="shared" si="167"/>
        <v>4.0287028571428554</v>
      </c>
      <c r="AD824" s="9">
        <f t="shared" si="168"/>
        <v>0.84247606106467499</v>
      </c>
      <c r="AE824" s="3" t="s">
        <v>80</v>
      </c>
      <c r="AF824" s="11" t="str">
        <f t="shared" si="169"/>
        <v/>
      </c>
      <c r="AG824" s="11" t="str">
        <f t="shared" si="170"/>
        <v/>
      </c>
      <c r="AH824" s="11">
        <f t="shared" si="171"/>
        <v>0.99799120028708321</v>
      </c>
      <c r="AI824" s="3" t="s">
        <v>45</v>
      </c>
      <c r="AJ824" s="3" t="s">
        <v>79</v>
      </c>
      <c r="AK824" s="3" t="s">
        <v>46</v>
      </c>
      <c r="AL824" s="3" t="s">
        <v>81</v>
      </c>
      <c r="AM824" s="3" t="s">
        <v>82</v>
      </c>
    </row>
    <row r="825" spans="1:39" ht="21" customHeight="1">
      <c r="A825" s="4">
        <v>43233</v>
      </c>
      <c r="B825" s="3" t="s">
        <v>78</v>
      </c>
      <c r="C825" s="3" t="s">
        <v>79</v>
      </c>
      <c r="D825" s="4">
        <v>43159</v>
      </c>
      <c r="E825" s="3">
        <f t="shared" si="156"/>
        <v>74</v>
      </c>
      <c r="F825" s="3" t="str">
        <f t="shared" si="157"/>
        <v>개봉후</v>
      </c>
      <c r="G825" s="3" t="str">
        <f t="shared" si="158"/>
        <v>일</v>
      </c>
      <c r="H825" s="3">
        <f t="shared" si="159"/>
        <v>1</v>
      </c>
      <c r="I825" s="3"/>
      <c r="J825" s="3"/>
      <c r="K825" s="3"/>
      <c r="L825" s="12" t="str">
        <f t="shared" si="160"/>
        <v/>
      </c>
      <c r="M825" s="12" t="str">
        <f t="shared" si="161"/>
        <v/>
      </c>
      <c r="N825" s="11" t="str">
        <f t="shared" si="163"/>
        <v/>
      </c>
      <c r="O825" s="11" t="str">
        <f t="shared" si="165"/>
        <v/>
      </c>
      <c r="P825" s="11" t="str">
        <f t="shared" si="166"/>
        <v/>
      </c>
      <c r="Q825" s="7"/>
      <c r="R825" s="7"/>
      <c r="S825" s="7"/>
      <c r="T825" s="7"/>
      <c r="U825" s="7"/>
      <c r="V825" s="7"/>
      <c r="W825" s="7"/>
      <c r="X825" s="3"/>
      <c r="Y825" s="3"/>
      <c r="Z825" s="9">
        <v>2.8504499999999999</v>
      </c>
      <c r="AA825" s="12">
        <f t="shared" si="162"/>
        <v>-0.29104041426549698</v>
      </c>
      <c r="AB825" s="9">
        <f t="shared" si="164"/>
        <v>3.162864285714285</v>
      </c>
      <c r="AC825" s="9">
        <f t="shared" si="167"/>
        <v>3.5877435714285704</v>
      </c>
      <c r="AD825" s="9">
        <f t="shared" si="168"/>
        <v>0.88157479004412054</v>
      </c>
      <c r="AE825" s="3" t="s">
        <v>80</v>
      </c>
      <c r="AF825" s="11" t="str">
        <f t="shared" si="169"/>
        <v/>
      </c>
      <c r="AG825" s="11" t="str">
        <f t="shared" si="170"/>
        <v/>
      </c>
      <c r="AH825" s="11">
        <f t="shared" si="171"/>
        <v>0.79449658071995533</v>
      </c>
      <c r="AI825" s="3" t="s">
        <v>45</v>
      </c>
      <c r="AJ825" s="3" t="s">
        <v>79</v>
      </c>
      <c r="AK825" s="3" t="s">
        <v>46</v>
      </c>
      <c r="AL825" s="3" t="s">
        <v>81</v>
      </c>
      <c r="AM825" s="3" t="s">
        <v>82</v>
      </c>
    </row>
    <row r="826" spans="1:39" ht="21" customHeight="1">
      <c r="A826" s="4">
        <v>43234</v>
      </c>
      <c r="B826" s="3" t="s">
        <v>78</v>
      </c>
      <c r="C826" s="3" t="s">
        <v>79</v>
      </c>
      <c r="D826" s="4">
        <v>43159</v>
      </c>
      <c r="E826" s="3">
        <f t="shared" si="156"/>
        <v>75</v>
      </c>
      <c r="F826" s="3" t="str">
        <f t="shared" si="157"/>
        <v>개봉후</v>
      </c>
      <c r="G826" s="3" t="str">
        <f t="shared" si="158"/>
        <v>월</v>
      </c>
      <c r="H826" s="3">
        <f t="shared" si="159"/>
        <v>0</v>
      </c>
      <c r="I826" s="3"/>
      <c r="J826" s="3"/>
      <c r="K826" s="3"/>
      <c r="L826" s="12" t="str">
        <f t="shared" si="160"/>
        <v/>
      </c>
      <c r="M826" s="12" t="str">
        <f t="shared" si="161"/>
        <v/>
      </c>
      <c r="N826" s="11" t="str">
        <f t="shared" si="163"/>
        <v/>
      </c>
      <c r="O826" s="11" t="str">
        <f t="shared" si="165"/>
        <v/>
      </c>
      <c r="P826" s="11" t="str">
        <f t="shared" si="166"/>
        <v/>
      </c>
      <c r="Q826" s="7">
        <v>1</v>
      </c>
      <c r="R826" s="7">
        <v>1</v>
      </c>
      <c r="S826" s="7">
        <v>59</v>
      </c>
      <c r="T826" s="7">
        <v>10000</v>
      </c>
      <c r="U826" s="7">
        <v>1</v>
      </c>
      <c r="V826" s="7">
        <v>1504300</v>
      </c>
      <c r="W826" s="7">
        <v>92</v>
      </c>
      <c r="X826" s="3"/>
      <c r="Y826" s="3" t="s">
        <v>83</v>
      </c>
      <c r="Z826" s="9">
        <v>1.8554999999999999</v>
      </c>
      <c r="AA826" s="12">
        <f t="shared" si="162"/>
        <v>-0.34905014997631956</v>
      </c>
      <c r="AB826" s="9">
        <f t="shared" si="164"/>
        <v>2.8888728571428568</v>
      </c>
      <c r="AC826" s="9">
        <f t="shared" si="167"/>
        <v>3.4398814285714274</v>
      </c>
      <c r="AD826" s="9">
        <f t="shared" si="168"/>
        <v>0.8398175684627005</v>
      </c>
      <c r="AE826" s="3" t="s">
        <v>80</v>
      </c>
      <c r="AF826" s="11" t="str">
        <f t="shared" si="169"/>
        <v/>
      </c>
      <c r="AG826" s="11" t="str">
        <f t="shared" si="170"/>
        <v/>
      </c>
      <c r="AH826" s="11">
        <f t="shared" si="171"/>
        <v>0.53940812743960875</v>
      </c>
      <c r="AI826" s="3" t="s">
        <v>45</v>
      </c>
      <c r="AJ826" s="3" t="s">
        <v>79</v>
      </c>
      <c r="AK826" s="3" t="s">
        <v>46</v>
      </c>
      <c r="AL826" s="3" t="s">
        <v>81</v>
      </c>
      <c r="AM826" s="3" t="s">
        <v>82</v>
      </c>
    </row>
    <row r="827" spans="1:39" ht="21" customHeight="1">
      <c r="A827" s="4">
        <v>43235</v>
      </c>
      <c r="B827" s="3" t="s">
        <v>78</v>
      </c>
      <c r="C827" s="3" t="s">
        <v>79</v>
      </c>
      <c r="D827" s="4">
        <v>43159</v>
      </c>
      <c r="E827" s="3">
        <f t="shared" ref="E827:E890" si="172">A827-D827</f>
        <v>76</v>
      </c>
      <c r="F827" s="3" t="str">
        <f t="shared" ref="F827:F890" si="173">IF(E827&lt;0,"개봉전","개봉후")</f>
        <v>개봉후</v>
      </c>
      <c r="G827" s="3" t="str">
        <f t="shared" ref="G827:G890" si="174">CHOOSE(WEEKDAY(A827,2),"월","화","수","목","금","토","일")</f>
        <v>화</v>
      </c>
      <c r="H827" s="3">
        <f t="shared" ref="H827:H890" si="175">IF(WEEKDAY(A827,2)&gt;5,1,0)</f>
        <v>0</v>
      </c>
      <c r="I827" s="3"/>
      <c r="J827" s="3"/>
      <c r="K827" s="3"/>
      <c r="L827" s="12" t="str">
        <f t="shared" ref="L827:L890" si="176">IF(COUNT(I827:J827)=2,IFERROR(J827/I827,""),"")</f>
        <v/>
      </c>
      <c r="M827" s="12" t="str">
        <f t="shared" si="161"/>
        <v/>
      </c>
      <c r="N827" s="11" t="str">
        <f t="shared" si="163"/>
        <v/>
      </c>
      <c r="O827" s="11" t="str">
        <f t="shared" si="165"/>
        <v/>
      </c>
      <c r="P827" s="11" t="str">
        <f t="shared" si="166"/>
        <v/>
      </c>
      <c r="Q827" s="7">
        <v>1</v>
      </c>
      <c r="R827" s="7">
        <v>1</v>
      </c>
      <c r="S827" s="7">
        <v>154</v>
      </c>
      <c r="T827" s="7">
        <v>315000</v>
      </c>
      <c r="U827" s="7">
        <v>45</v>
      </c>
      <c r="V827" s="7">
        <v>1504345</v>
      </c>
      <c r="W827" s="7">
        <v>50</v>
      </c>
      <c r="X827" s="3"/>
      <c r="Y827" s="3" t="s">
        <v>83</v>
      </c>
      <c r="Z827" s="9">
        <v>1.6004400000000001</v>
      </c>
      <c r="AA827" s="12">
        <f t="shared" si="162"/>
        <v>-0.13746160064672586</v>
      </c>
      <c r="AB827" s="9">
        <f t="shared" si="164"/>
        <v>2.7880157142857138</v>
      </c>
      <c r="AC827" s="9">
        <f t="shared" si="167"/>
        <v>3.3571103571428567</v>
      </c>
      <c r="AD827" s="9">
        <f t="shared" si="168"/>
        <v>0.8304808057184383</v>
      </c>
      <c r="AE827" s="3" t="s">
        <v>80</v>
      </c>
      <c r="AF827" s="11" t="str">
        <f t="shared" si="169"/>
        <v/>
      </c>
      <c r="AG827" s="11" t="str">
        <f t="shared" si="170"/>
        <v/>
      </c>
      <c r="AH827" s="11">
        <f t="shared" si="171"/>
        <v>0.47673142367654847</v>
      </c>
      <c r="AI827" s="3" t="s">
        <v>45</v>
      </c>
      <c r="AJ827" s="3" t="s">
        <v>79</v>
      </c>
      <c r="AK827" s="3" t="s">
        <v>46</v>
      </c>
      <c r="AL827" s="3" t="s">
        <v>81</v>
      </c>
      <c r="AM827" s="3" t="s">
        <v>82</v>
      </c>
    </row>
    <row r="828" spans="1:39" ht="21" customHeight="1">
      <c r="A828" s="4">
        <v>43236</v>
      </c>
      <c r="B828" s="3" t="s">
        <v>78</v>
      </c>
      <c r="C828" s="3" t="s">
        <v>79</v>
      </c>
      <c r="D828" s="4">
        <v>43159</v>
      </c>
      <c r="E828" s="3">
        <f t="shared" si="172"/>
        <v>77</v>
      </c>
      <c r="F828" s="3" t="str">
        <f t="shared" si="173"/>
        <v>개봉후</v>
      </c>
      <c r="G828" s="3" t="str">
        <f t="shared" si="174"/>
        <v>수</v>
      </c>
      <c r="H828" s="3">
        <f t="shared" si="175"/>
        <v>0</v>
      </c>
      <c r="I828" s="3"/>
      <c r="J828" s="3"/>
      <c r="K828" s="3"/>
      <c r="L828" s="12" t="str">
        <f t="shared" si="176"/>
        <v/>
      </c>
      <c r="M828" s="12" t="str">
        <f t="shared" ref="M828:M891" si="177">IF(AND(COUNT(I827:I828)=2,A828=A827+1),IFERROR(I828/I827-1,""),"")</f>
        <v/>
      </c>
      <c r="N828" s="11" t="str">
        <f t="shared" si="163"/>
        <v/>
      </c>
      <c r="O828" s="11" t="str">
        <f t="shared" si="165"/>
        <v/>
      </c>
      <c r="P828" s="11" t="str">
        <f t="shared" si="166"/>
        <v/>
      </c>
      <c r="Q828" s="7">
        <v>1</v>
      </c>
      <c r="R828" s="7">
        <v>1</v>
      </c>
      <c r="S828" s="7">
        <v>59</v>
      </c>
      <c r="T828" s="7">
        <v>20000</v>
      </c>
      <c r="U828" s="7">
        <v>2</v>
      </c>
      <c r="V828" s="7">
        <v>1504347</v>
      </c>
      <c r="W828" s="7">
        <v>97</v>
      </c>
      <c r="X828" s="3"/>
      <c r="Y828" s="3" t="s">
        <v>83</v>
      </c>
      <c r="Z828" s="9">
        <v>1.5839700000000001</v>
      </c>
      <c r="AA828" s="12">
        <f t="shared" ref="AA828:AA891" si="178">IF(AND(COUNT(Z827:Z828)=2,A828=A827+1),IFERROR(Z828/Z827-1,""),"")</f>
        <v>-1.0290919997000825E-2</v>
      </c>
      <c r="AB828" s="9">
        <f t="shared" si="164"/>
        <v>2.2423871428571429</v>
      </c>
      <c r="AC828" s="9">
        <f t="shared" si="167"/>
        <v>3.2911321428571427</v>
      </c>
      <c r="AD828" s="9">
        <f t="shared" si="168"/>
        <v>0.68134217816925791</v>
      </c>
      <c r="AE828" s="3" t="s">
        <v>80</v>
      </c>
      <c r="AF828" s="11" t="str">
        <f t="shared" si="169"/>
        <v/>
      </c>
      <c r="AG828" s="11" t="str">
        <f t="shared" si="170"/>
        <v/>
      </c>
      <c r="AH828" s="11">
        <f t="shared" si="171"/>
        <v>0.48128423024208999</v>
      </c>
      <c r="AI828" s="3" t="s">
        <v>45</v>
      </c>
      <c r="AJ828" s="3" t="s">
        <v>79</v>
      </c>
      <c r="AK828" s="3" t="s">
        <v>46</v>
      </c>
      <c r="AL828" s="3" t="s">
        <v>81</v>
      </c>
      <c r="AM828" s="3" t="s">
        <v>82</v>
      </c>
    </row>
    <row r="829" spans="1:39" ht="21" customHeight="1">
      <c r="A829" s="4">
        <v>43237</v>
      </c>
      <c r="B829" s="3" t="s">
        <v>78</v>
      </c>
      <c r="C829" s="3" t="s">
        <v>79</v>
      </c>
      <c r="D829" s="4">
        <v>43159</v>
      </c>
      <c r="E829" s="3">
        <f t="shared" si="172"/>
        <v>78</v>
      </c>
      <c r="F829" s="3" t="str">
        <f t="shared" si="173"/>
        <v>개봉후</v>
      </c>
      <c r="G829" s="3" t="str">
        <f t="shared" si="174"/>
        <v>목</v>
      </c>
      <c r="H829" s="3">
        <f t="shared" si="175"/>
        <v>0</v>
      </c>
      <c r="I829" s="3"/>
      <c r="J829" s="3"/>
      <c r="K829" s="3"/>
      <c r="L829" s="12" t="str">
        <f t="shared" si="176"/>
        <v/>
      </c>
      <c r="M829" s="12" t="str">
        <f t="shared" si="177"/>
        <v/>
      </c>
      <c r="N829" s="11" t="str">
        <f t="shared" si="163"/>
        <v/>
      </c>
      <c r="O829" s="11" t="str">
        <f t="shared" si="165"/>
        <v/>
      </c>
      <c r="P829" s="11" t="str">
        <f t="shared" si="166"/>
        <v/>
      </c>
      <c r="Q829" s="7"/>
      <c r="R829" s="7"/>
      <c r="S829" s="7"/>
      <c r="T829" s="7"/>
      <c r="U829" s="7"/>
      <c r="V829" s="7"/>
      <c r="W829" s="7"/>
      <c r="X829" s="3"/>
      <c r="Y829" s="3"/>
      <c r="Z829" s="9">
        <v>1.6183099999999999</v>
      </c>
      <c r="AA829" s="12">
        <f t="shared" si="178"/>
        <v>2.167970352973847E-2</v>
      </c>
      <c r="AB829" s="9">
        <f t="shared" si="164"/>
        <v>2.2028985714285714</v>
      </c>
      <c r="AC829" s="9">
        <f t="shared" si="167"/>
        <v>3.2279474999999995</v>
      </c>
      <c r="AD829" s="9">
        <f t="shared" si="168"/>
        <v>0.68244560093637574</v>
      </c>
      <c r="AE829" s="3" t="s">
        <v>80</v>
      </c>
      <c r="AF829" s="11" t="str">
        <f t="shared" si="169"/>
        <v/>
      </c>
      <c r="AG829" s="11" t="str">
        <f t="shared" si="170"/>
        <v/>
      </c>
      <c r="AH829" s="11">
        <f t="shared" si="171"/>
        <v>0.50134334588775065</v>
      </c>
      <c r="AI829" s="3" t="s">
        <v>45</v>
      </c>
      <c r="AJ829" s="3" t="s">
        <v>79</v>
      </c>
      <c r="AK829" s="3" t="s">
        <v>46</v>
      </c>
      <c r="AL829" s="3" t="s">
        <v>81</v>
      </c>
      <c r="AM829" s="3" t="s">
        <v>82</v>
      </c>
    </row>
    <row r="830" spans="1:39" ht="21" customHeight="1">
      <c r="A830" s="4">
        <v>43238</v>
      </c>
      <c r="B830" s="3" t="s">
        <v>78</v>
      </c>
      <c r="C830" s="3" t="s">
        <v>79</v>
      </c>
      <c r="D830" s="4">
        <v>43159</v>
      </c>
      <c r="E830" s="3">
        <f t="shared" si="172"/>
        <v>79</v>
      </c>
      <c r="F830" s="3" t="str">
        <f t="shared" si="173"/>
        <v>개봉후</v>
      </c>
      <c r="G830" s="3" t="str">
        <f t="shared" si="174"/>
        <v>금</v>
      </c>
      <c r="H830" s="3">
        <f t="shared" si="175"/>
        <v>0</v>
      </c>
      <c r="I830" s="3"/>
      <c r="J830" s="3"/>
      <c r="K830" s="3"/>
      <c r="L830" s="12" t="str">
        <f t="shared" si="176"/>
        <v/>
      </c>
      <c r="M830" s="12" t="str">
        <f t="shared" si="177"/>
        <v/>
      </c>
      <c r="N830" s="11" t="str">
        <f t="shared" si="163"/>
        <v/>
      </c>
      <c r="O830" s="11" t="str">
        <f t="shared" si="165"/>
        <v/>
      </c>
      <c r="P830" s="11" t="str">
        <f t="shared" si="166"/>
        <v/>
      </c>
      <c r="Q830" s="7"/>
      <c r="R830" s="7"/>
      <c r="S830" s="7"/>
      <c r="T830" s="7"/>
      <c r="U830" s="7"/>
      <c r="V830" s="7"/>
      <c r="W830" s="7"/>
      <c r="X830" s="3"/>
      <c r="Y830" s="3"/>
      <c r="Z830" s="9">
        <v>1.8452900000000001</v>
      </c>
      <c r="AA830" s="12">
        <f t="shared" si="178"/>
        <v>0.14025742904635097</v>
      </c>
      <c r="AB830" s="9">
        <f t="shared" si="164"/>
        <v>2.196367142857143</v>
      </c>
      <c r="AC830" s="9">
        <f t="shared" si="167"/>
        <v>3.1757367857142853</v>
      </c>
      <c r="AD830" s="9">
        <f t="shared" si="168"/>
        <v>0.69160868518362961</v>
      </c>
      <c r="AE830" s="3" t="s">
        <v>80</v>
      </c>
      <c r="AF830" s="11" t="str">
        <f t="shared" si="169"/>
        <v/>
      </c>
      <c r="AG830" s="11" t="str">
        <f t="shared" si="170"/>
        <v/>
      </c>
      <c r="AH830" s="11">
        <f t="shared" si="171"/>
        <v>0.58105886114392136</v>
      </c>
      <c r="AI830" s="3" t="s">
        <v>45</v>
      </c>
      <c r="AJ830" s="3" t="s">
        <v>79</v>
      </c>
      <c r="AK830" s="3" t="s">
        <v>46</v>
      </c>
      <c r="AL830" s="3" t="s">
        <v>81</v>
      </c>
      <c r="AM830" s="3" t="s">
        <v>82</v>
      </c>
    </row>
    <row r="831" spans="1:39" ht="21" customHeight="1">
      <c r="A831" s="4">
        <v>43239</v>
      </c>
      <c r="B831" s="3" t="s">
        <v>78</v>
      </c>
      <c r="C831" s="3" t="s">
        <v>79</v>
      </c>
      <c r="D831" s="4">
        <v>43159</v>
      </c>
      <c r="E831" s="3">
        <f t="shared" si="172"/>
        <v>80</v>
      </c>
      <c r="F831" s="3" t="str">
        <f t="shared" si="173"/>
        <v>개봉후</v>
      </c>
      <c r="G831" s="3" t="str">
        <f t="shared" si="174"/>
        <v>토</v>
      </c>
      <c r="H831" s="3">
        <f t="shared" si="175"/>
        <v>1</v>
      </c>
      <c r="I831" s="3"/>
      <c r="J831" s="3"/>
      <c r="K831" s="3"/>
      <c r="L831" s="12" t="str">
        <f t="shared" si="176"/>
        <v/>
      </c>
      <c r="M831" s="12" t="str">
        <f t="shared" si="177"/>
        <v/>
      </c>
      <c r="N831" s="11" t="str">
        <f t="shared" si="163"/>
        <v/>
      </c>
      <c r="O831" s="11" t="str">
        <f t="shared" si="165"/>
        <v/>
      </c>
      <c r="P831" s="11" t="str">
        <f t="shared" si="166"/>
        <v/>
      </c>
      <c r="Q831" s="7">
        <v>1</v>
      </c>
      <c r="R831" s="7">
        <v>1</v>
      </c>
      <c r="S831" s="7">
        <v>103</v>
      </c>
      <c r="T831" s="7">
        <v>110000</v>
      </c>
      <c r="U831" s="7">
        <v>22</v>
      </c>
      <c r="V831" s="7">
        <v>1504369</v>
      </c>
      <c r="W831" s="7">
        <v>72</v>
      </c>
      <c r="X831" s="3"/>
      <c r="Y831" s="3" t="s">
        <v>83</v>
      </c>
      <c r="Z831" s="9">
        <v>4.5421100000000001</v>
      </c>
      <c r="AA831" s="12">
        <f t="shared" si="178"/>
        <v>1.4614613421196667</v>
      </c>
      <c r="AB831" s="9">
        <f t="shared" si="164"/>
        <v>2.2708671428571425</v>
      </c>
      <c r="AC831" s="9">
        <f t="shared" si="167"/>
        <v>3.1317071428571426</v>
      </c>
      <c r="AD831" s="9">
        <f t="shared" si="168"/>
        <v>0.72512116850918829</v>
      </c>
      <c r="AE831" s="3" t="s">
        <v>80</v>
      </c>
      <c r="AF831" s="11" t="str">
        <f t="shared" si="169"/>
        <v/>
      </c>
      <c r="AG831" s="11" t="str">
        <f t="shared" si="170"/>
        <v/>
      </c>
      <c r="AH831" s="11">
        <f t="shared" si="171"/>
        <v>1.4503623080975918</v>
      </c>
      <c r="AI831" s="3" t="s">
        <v>45</v>
      </c>
      <c r="AJ831" s="3" t="s">
        <v>79</v>
      </c>
      <c r="AK831" s="3" t="s">
        <v>46</v>
      </c>
      <c r="AL831" s="3" t="s">
        <v>81</v>
      </c>
      <c r="AM831" s="3" t="s">
        <v>82</v>
      </c>
    </row>
    <row r="832" spans="1:39" ht="21" customHeight="1">
      <c r="A832" s="4">
        <v>43240</v>
      </c>
      <c r="B832" s="3" t="s">
        <v>78</v>
      </c>
      <c r="C832" s="3" t="s">
        <v>79</v>
      </c>
      <c r="D832" s="4">
        <v>43159</v>
      </c>
      <c r="E832" s="3">
        <f t="shared" si="172"/>
        <v>81</v>
      </c>
      <c r="F832" s="3" t="str">
        <f t="shared" si="173"/>
        <v>개봉후</v>
      </c>
      <c r="G832" s="3" t="str">
        <f t="shared" si="174"/>
        <v>일</v>
      </c>
      <c r="H832" s="3">
        <f t="shared" si="175"/>
        <v>1</v>
      </c>
      <c r="I832" s="3"/>
      <c r="J832" s="3"/>
      <c r="K832" s="3"/>
      <c r="L832" s="12" t="str">
        <f t="shared" si="176"/>
        <v/>
      </c>
      <c r="M832" s="12" t="str">
        <f t="shared" si="177"/>
        <v/>
      </c>
      <c r="N832" s="11" t="str">
        <f t="shared" si="163"/>
        <v/>
      </c>
      <c r="O832" s="11" t="str">
        <f t="shared" si="165"/>
        <v/>
      </c>
      <c r="P832" s="11" t="str">
        <f t="shared" si="166"/>
        <v/>
      </c>
      <c r="Q832" s="7"/>
      <c r="R832" s="7"/>
      <c r="S832" s="7"/>
      <c r="T832" s="7"/>
      <c r="U832" s="7"/>
      <c r="V832" s="7"/>
      <c r="W832" s="7"/>
      <c r="X832" s="3"/>
      <c r="Y832" s="3"/>
      <c r="Z832" s="9">
        <v>4.0389499999999998</v>
      </c>
      <c r="AA832" s="12">
        <f t="shared" si="178"/>
        <v>-0.11077670950285223</v>
      </c>
      <c r="AB832" s="9">
        <f t="shared" si="164"/>
        <v>2.4406528571428572</v>
      </c>
      <c r="AC832" s="9">
        <f t="shared" si="167"/>
        <v>3.1626574999999995</v>
      </c>
      <c r="AD832" s="9">
        <f t="shared" si="168"/>
        <v>0.77170950605396182</v>
      </c>
      <c r="AE832" s="3" t="s">
        <v>80</v>
      </c>
      <c r="AF832" s="11" t="str">
        <f t="shared" si="169"/>
        <v/>
      </c>
      <c r="AG832" s="11" t="str">
        <f t="shared" si="170"/>
        <v/>
      </c>
      <c r="AH832" s="11">
        <f t="shared" si="171"/>
        <v>1.2770747385703323</v>
      </c>
      <c r="AI832" s="3" t="s">
        <v>45</v>
      </c>
      <c r="AJ832" s="3" t="s">
        <v>79</v>
      </c>
      <c r="AK832" s="3" t="s">
        <v>46</v>
      </c>
      <c r="AL832" s="3" t="s">
        <v>81</v>
      </c>
      <c r="AM832" s="3" t="s">
        <v>82</v>
      </c>
    </row>
    <row r="833" spans="1:39" ht="21" customHeight="1">
      <c r="A833" s="4">
        <v>43241</v>
      </c>
      <c r="B833" s="3" t="s">
        <v>78</v>
      </c>
      <c r="C833" s="3" t="s">
        <v>79</v>
      </c>
      <c r="D833" s="4">
        <v>43159</v>
      </c>
      <c r="E833" s="3">
        <f t="shared" si="172"/>
        <v>82</v>
      </c>
      <c r="F833" s="3" t="str">
        <f t="shared" si="173"/>
        <v>개봉후</v>
      </c>
      <c r="G833" s="3" t="str">
        <f t="shared" si="174"/>
        <v>월</v>
      </c>
      <c r="H833" s="3">
        <f t="shared" si="175"/>
        <v>0</v>
      </c>
      <c r="I833" s="3"/>
      <c r="J833" s="3"/>
      <c r="K833" s="3"/>
      <c r="L833" s="12" t="str">
        <f t="shared" si="176"/>
        <v/>
      </c>
      <c r="M833" s="12" t="str">
        <f t="shared" si="177"/>
        <v/>
      </c>
      <c r="N833" s="11" t="str">
        <f t="shared" ref="N833:N896" si="179">IF(COUNT(I827:I833)=7,AVERAGE(I827:I833),"")</f>
        <v/>
      </c>
      <c r="O833" s="11" t="str">
        <f t="shared" si="165"/>
        <v/>
      </c>
      <c r="P833" s="11" t="str">
        <f t="shared" si="166"/>
        <v/>
      </c>
      <c r="Q833" s="7">
        <v>1</v>
      </c>
      <c r="R833" s="7">
        <v>1</v>
      </c>
      <c r="S833" s="7">
        <v>59</v>
      </c>
      <c r="T833" s="7">
        <v>30000</v>
      </c>
      <c r="U833" s="7">
        <v>3</v>
      </c>
      <c r="V833" s="7">
        <v>1504372</v>
      </c>
      <c r="W833" s="7">
        <v>94</v>
      </c>
      <c r="X833" s="3"/>
      <c r="Y833" s="3" t="s">
        <v>83</v>
      </c>
      <c r="Z833" s="9">
        <v>2.80125</v>
      </c>
      <c r="AA833" s="12">
        <f t="shared" si="178"/>
        <v>-0.30644103046583882</v>
      </c>
      <c r="AB833" s="9">
        <f t="shared" ref="AB833:AB896" si="180">IF(COUNT(Z827:Z833)=7,AVERAGE(Z827:Z833),"")</f>
        <v>2.5757599999999998</v>
      </c>
      <c r="AC833" s="9">
        <f t="shared" si="167"/>
        <v>3.1460471428571428</v>
      </c>
      <c r="AD833" s="9">
        <f t="shared" si="168"/>
        <v>0.81872899007507371</v>
      </c>
      <c r="AE833" s="3" t="s">
        <v>80</v>
      </c>
      <c r="AF833" s="11" t="str">
        <f t="shared" si="169"/>
        <v/>
      </c>
      <c r="AG833" s="11" t="str">
        <f t="shared" si="170"/>
        <v/>
      </c>
      <c r="AH833" s="11">
        <f t="shared" si="171"/>
        <v>0.89040305907685524</v>
      </c>
      <c r="AI833" s="3" t="s">
        <v>45</v>
      </c>
      <c r="AJ833" s="3" t="s">
        <v>79</v>
      </c>
      <c r="AK833" s="3" t="s">
        <v>46</v>
      </c>
      <c r="AL833" s="3" t="s">
        <v>81</v>
      </c>
      <c r="AM833" s="3" t="s">
        <v>82</v>
      </c>
    </row>
    <row r="834" spans="1:39" ht="21" customHeight="1">
      <c r="A834" s="4">
        <v>43242</v>
      </c>
      <c r="B834" s="3" t="s">
        <v>78</v>
      </c>
      <c r="C834" s="3" t="s">
        <v>79</v>
      </c>
      <c r="D834" s="4">
        <v>43159</v>
      </c>
      <c r="E834" s="3">
        <f t="shared" si="172"/>
        <v>83</v>
      </c>
      <c r="F834" s="3" t="str">
        <f t="shared" si="173"/>
        <v>개봉후</v>
      </c>
      <c r="G834" s="3" t="str">
        <f t="shared" si="174"/>
        <v>화</v>
      </c>
      <c r="H834" s="3">
        <f t="shared" si="175"/>
        <v>0</v>
      </c>
      <c r="I834" s="3"/>
      <c r="J834" s="3"/>
      <c r="K834" s="3"/>
      <c r="L834" s="12" t="str">
        <f t="shared" si="176"/>
        <v/>
      </c>
      <c r="M834" s="12" t="str">
        <f t="shared" si="177"/>
        <v/>
      </c>
      <c r="N834" s="11" t="str">
        <f t="shared" si="179"/>
        <v/>
      </c>
      <c r="O834" s="11" t="str">
        <f t="shared" si="165"/>
        <v/>
      </c>
      <c r="P834" s="11" t="str">
        <f t="shared" si="166"/>
        <v/>
      </c>
      <c r="Q834" s="7">
        <v>2</v>
      </c>
      <c r="R834" s="7">
        <v>2</v>
      </c>
      <c r="S834" s="7">
        <v>261</v>
      </c>
      <c r="T834" s="7">
        <v>292000</v>
      </c>
      <c r="U834" s="7">
        <v>47</v>
      </c>
      <c r="V834" s="7">
        <v>1504419</v>
      </c>
      <c r="W834" s="7">
        <v>51</v>
      </c>
      <c r="X834" s="3"/>
      <c r="Y834" s="3" t="s">
        <v>83</v>
      </c>
      <c r="Z834" s="9">
        <v>3.47777</v>
      </c>
      <c r="AA834" s="12">
        <f t="shared" si="178"/>
        <v>0.24150647032574746</v>
      </c>
      <c r="AB834" s="9">
        <f t="shared" si="180"/>
        <v>2.84395</v>
      </c>
      <c r="AC834" s="9">
        <f t="shared" si="167"/>
        <v>3.1355785714285713</v>
      </c>
      <c r="AD834" s="9">
        <f t="shared" si="168"/>
        <v>0.90699369676591923</v>
      </c>
      <c r="AE834" s="3" t="s">
        <v>80</v>
      </c>
      <c r="AF834" s="11" t="str">
        <f t="shared" si="169"/>
        <v/>
      </c>
      <c r="AG834" s="11" t="str">
        <f t="shared" si="170"/>
        <v/>
      </c>
      <c r="AH834" s="11">
        <f t="shared" si="171"/>
        <v>1.1091318303070066</v>
      </c>
      <c r="AI834" s="3" t="s">
        <v>45</v>
      </c>
      <c r="AJ834" s="3" t="s">
        <v>79</v>
      </c>
      <c r="AK834" s="3" t="s">
        <v>46</v>
      </c>
      <c r="AL834" s="3" t="s">
        <v>81</v>
      </c>
      <c r="AM834" s="3" t="s">
        <v>82</v>
      </c>
    </row>
    <row r="835" spans="1:39" ht="21" customHeight="1">
      <c r="A835" s="4">
        <v>43243</v>
      </c>
      <c r="B835" s="3" t="s">
        <v>78</v>
      </c>
      <c r="C835" s="3" t="s">
        <v>79</v>
      </c>
      <c r="D835" s="4">
        <v>43159</v>
      </c>
      <c r="E835" s="3">
        <f t="shared" si="172"/>
        <v>84</v>
      </c>
      <c r="F835" s="3" t="str">
        <f t="shared" si="173"/>
        <v>개봉후</v>
      </c>
      <c r="G835" s="3" t="str">
        <f t="shared" si="174"/>
        <v>수</v>
      </c>
      <c r="H835" s="3">
        <f t="shared" si="175"/>
        <v>0</v>
      </c>
      <c r="I835" s="3"/>
      <c r="J835" s="3"/>
      <c r="K835" s="3"/>
      <c r="L835" s="12" t="str">
        <f t="shared" si="176"/>
        <v/>
      </c>
      <c r="M835" s="12" t="str">
        <f t="shared" si="177"/>
        <v/>
      </c>
      <c r="N835" s="11" t="str">
        <f t="shared" si="179"/>
        <v/>
      </c>
      <c r="O835" s="11" t="str">
        <f t="shared" si="165"/>
        <v/>
      </c>
      <c r="P835" s="11" t="str">
        <f t="shared" si="166"/>
        <v/>
      </c>
      <c r="Q835" s="7">
        <v>1</v>
      </c>
      <c r="R835" s="7">
        <v>1</v>
      </c>
      <c r="S835" s="7">
        <v>59</v>
      </c>
      <c r="T835" s="7">
        <v>60000</v>
      </c>
      <c r="U835" s="7">
        <v>6</v>
      </c>
      <c r="V835" s="7">
        <v>1504425</v>
      </c>
      <c r="W835" s="7">
        <v>82</v>
      </c>
      <c r="X835" s="3"/>
      <c r="Y835" s="3" t="s">
        <v>83</v>
      </c>
      <c r="Z835" s="9">
        <v>1.8708199999999999</v>
      </c>
      <c r="AA835" s="12">
        <f t="shared" si="178"/>
        <v>-0.4620633336879667</v>
      </c>
      <c r="AB835" s="9">
        <f t="shared" si="180"/>
        <v>2.8849285714285711</v>
      </c>
      <c r="AC835" s="9">
        <f t="shared" si="167"/>
        <v>3.165707857142857</v>
      </c>
      <c r="AD835" s="9">
        <f t="shared" si="168"/>
        <v>0.9113060022008167</v>
      </c>
      <c r="AE835" s="3" t="s">
        <v>80</v>
      </c>
      <c r="AF835" s="11" t="str">
        <f t="shared" si="169"/>
        <v/>
      </c>
      <c r="AG835" s="11" t="str">
        <f t="shared" si="170"/>
        <v/>
      </c>
      <c r="AH835" s="11">
        <f t="shared" si="171"/>
        <v>0.59096419645256504</v>
      </c>
      <c r="AI835" s="3" t="s">
        <v>45</v>
      </c>
      <c r="AJ835" s="3" t="s">
        <v>79</v>
      </c>
      <c r="AK835" s="3" t="s">
        <v>46</v>
      </c>
      <c r="AL835" s="3" t="s">
        <v>81</v>
      </c>
      <c r="AM835" s="3" t="s">
        <v>82</v>
      </c>
    </row>
    <row r="836" spans="1:39" ht="21" customHeight="1">
      <c r="A836" s="4">
        <v>43244</v>
      </c>
      <c r="B836" s="3" t="s">
        <v>78</v>
      </c>
      <c r="C836" s="3" t="s">
        <v>79</v>
      </c>
      <c r="D836" s="4">
        <v>43159</v>
      </c>
      <c r="E836" s="3">
        <f t="shared" si="172"/>
        <v>85</v>
      </c>
      <c r="F836" s="3" t="str">
        <f t="shared" si="173"/>
        <v>개봉후</v>
      </c>
      <c r="G836" s="3" t="str">
        <f t="shared" si="174"/>
        <v>목</v>
      </c>
      <c r="H836" s="3">
        <f t="shared" si="175"/>
        <v>0</v>
      </c>
      <c r="I836" s="3"/>
      <c r="J836" s="3"/>
      <c r="K836" s="3"/>
      <c r="L836" s="12" t="str">
        <f t="shared" si="176"/>
        <v/>
      </c>
      <c r="M836" s="12" t="str">
        <f t="shared" si="177"/>
        <v/>
      </c>
      <c r="N836" s="11" t="str">
        <f t="shared" si="179"/>
        <v/>
      </c>
      <c r="O836" s="11" t="str">
        <f t="shared" si="165"/>
        <v/>
      </c>
      <c r="P836" s="11" t="str">
        <f t="shared" si="166"/>
        <v/>
      </c>
      <c r="Q836" s="7"/>
      <c r="R836" s="7"/>
      <c r="S836" s="7"/>
      <c r="T836" s="7"/>
      <c r="U836" s="7"/>
      <c r="V836" s="7"/>
      <c r="W836" s="7"/>
      <c r="X836" s="3"/>
      <c r="Y836" s="3"/>
      <c r="Z836" s="9">
        <v>1.6289899999999999</v>
      </c>
      <c r="AA836" s="12">
        <f t="shared" si="178"/>
        <v>-0.12926417292951753</v>
      </c>
      <c r="AB836" s="9">
        <f t="shared" si="180"/>
        <v>2.8864542857142856</v>
      </c>
      <c r="AC836" s="9">
        <f t="shared" si="167"/>
        <v>3.1470085714285716</v>
      </c>
      <c r="AD836" s="9">
        <f t="shared" si="168"/>
        <v>0.91720572734379036</v>
      </c>
      <c r="AE836" s="3" t="s">
        <v>80</v>
      </c>
      <c r="AF836" s="11" t="str">
        <f t="shared" si="169"/>
        <v/>
      </c>
      <c r="AG836" s="11" t="str">
        <f t="shared" si="170"/>
        <v/>
      </c>
      <c r="AH836" s="11">
        <f t="shared" si="171"/>
        <v>0.517631256167989</v>
      </c>
      <c r="AI836" s="3" t="s">
        <v>45</v>
      </c>
      <c r="AJ836" s="3" t="s">
        <v>79</v>
      </c>
      <c r="AK836" s="3" t="s">
        <v>46</v>
      </c>
      <c r="AL836" s="3" t="s">
        <v>81</v>
      </c>
      <c r="AM836" s="3" t="s">
        <v>82</v>
      </c>
    </row>
    <row r="837" spans="1:39" ht="21" customHeight="1">
      <c r="A837" s="4">
        <v>43245</v>
      </c>
      <c r="B837" s="3" t="s">
        <v>78</v>
      </c>
      <c r="C837" s="3" t="s">
        <v>79</v>
      </c>
      <c r="D837" s="4">
        <v>43159</v>
      </c>
      <c r="E837" s="3">
        <f t="shared" si="172"/>
        <v>86</v>
      </c>
      <c r="F837" s="3" t="str">
        <f t="shared" si="173"/>
        <v>개봉후</v>
      </c>
      <c r="G837" s="3" t="str">
        <f t="shared" si="174"/>
        <v>금</v>
      </c>
      <c r="H837" s="3">
        <f t="shared" si="175"/>
        <v>0</v>
      </c>
      <c r="I837" s="3"/>
      <c r="J837" s="3"/>
      <c r="K837" s="3"/>
      <c r="L837" s="12" t="str">
        <f t="shared" si="176"/>
        <v/>
      </c>
      <c r="M837" s="12" t="str">
        <f t="shared" si="177"/>
        <v/>
      </c>
      <c r="N837" s="11" t="str">
        <f t="shared" si="179"/>
        <v/>
      </c>
      <c r="O837" s="11" t="str">
        <f t="shared" si="165"/>
        <v/>
      </c>
      <c r="P837" s="11" t="str">
        <f t="shared" si="166"/>
        <v/>
      </c>
      <c r="Q837" s="7"/>
      <c r="R837" s="7"/>
      <c r="S837" s="7"/>
      <c r="T837" s="7"/>
      <c r="U837" s="7"/>
      <c r="V837" s="7"/>
      <c r="W837" s="7"/>
      <c r="X837" s="3"/>
      <c r="Y837" s="3"/>
      <c r="Z837" s="9">
        <v>1.67564</v>
      </c>
      <c r="AA837" s="12">
        <f t="shared" si="178"/>
        <v>2.8637376533926062E-2</v>
      </c>
      <c r="AB837" s="9">
        <f t="shared" si="180"/>
        <v>2.8622185714285715</v>
      </c>
      <c r="AC837" s="9">
        <f t="shared" si="167"/>
        <v>3.115710357142857</v>
      </c>
      <c r="AD837" s="9">
        <f t="shared" si="168"/>
        <v>0.9186407731600762</v>
      </c>
      <c r="AE837" s="3" t="s">
        <v>80</v>
      </c>
      <c r="AF837" s="11" t="str">
        <f t="shared" si="169"/>
        <v/>
      </c>
      <c r="AG837" s="11" t="str">
        <f t="shared" si="170"/>
        <v/>
      </c>
      <c r="AH837" s="11">
        <f t="shared" si="171"/>
        <v>0.53780352084350402</v>
      </c>
      <c r="AI837" s="3" t="s">
        <v>45</v>
      </c>
      <c r="AJ837" s="3" t="s">
        <v>79</v>
      </c>
      <c r="AK837" s="3" t="s">
        <v>46</v>
      </c>
      <c r="AL837" s="3" t="s">
        <v>81</v>
      </c>
      <c r="AM837" s="3" t="s">
        <v>82</v>
      </c>
    </row>
    <row r="838" spans="1:39" ht="21" customHeight="1">
      <c r="A838" s="4">
        <v>43246</v>
      </c>
      <c r="B838" s="3" t="s">
        <v>78</v>
      </c>
      <c r="C838" s="3" t="s">
        <v>79</v>
      </c>
      <c r="D838" s="4">
        <v>43159</v>
      </c>
      <c r="E838" s="3">
        <f t="shared" si="172"/>
        <v>87</v>
      </c>
      <c r="F838" s="3" t="str">
        <f t="shared" si="173"/>
        <v>개봉후</v>
      </c>
      <c r="G838" s="3" t="str">
        <f t="shared" si="174"/>
        <v>토</v>
      </c>
      <c r="H838" s="3">
        <f t="shared" si="175"/>
        <v>1</v>
      </c>
      <c r="I838" s="3"/>
      <c r="J838" s="3"/>
      <c r="K838" s="3"/>
      <c r="L838" s="12" t="str">
        <f t="shared" si="176"/>
        <v/>
      </c>
      <c r="M838" s="12" t="str">
        <f t="shared" si="177"/>
        <v/>
      </c>
      <c r="N838" s="11" t="str">
        <f t="shared" si="179"/>
        <v/>
      </c>
      <c r="O838" s="11" t="str">
        <f t="shared" si="165"/>
        <v/>
      </c>
      <c r="P838" s="11" t="str">
        <f t="shared" si="166"/>
        <v/>
      </c>
      <c r="Q838" s="7"/>
      <c r="R838" s="7"/>
      <c r="S838" s="7"/>
      <c r="T838" s="7"/>
      <c r="U838" s="7"/>
      <c r="V838" s="7"/>
      <c r="W838" s="7"/>
      <c r="X838" s="3"/>
      <c r="Y838" s="3"/>
      <c r="Z838" s="9">
        <v>2.1391100000000001</v>
      </c>
      <c r="AA838" s="12">
        <f t="shared" si="178"/>
        <v>0.27659282423432252</v>
      </c>
      <c r="AB838" s="9">
        <f t="shared" si="180"/>
        <v>2.5189328571428571</v>
      </c>
      <c r="AC838" s="9">
        <f t="shared" si="167"/>
        <v>3.0855396428571429</v>
      </c>
      <c r="AD838" s="9">
        <f t="shared" si="168"/>
        <v>0.81636703743996619</v>
      </c>
      <c r="AE838" s="3" t="s">
        <v>80</v>
      </c>
      <c r="AF838" s="11" t="str">
        <f t="shared" si="169"/>
        <v/>
      </c>
      <c r="AG838" s="11" t="str">
        <f t="shared" si="170"/>
        <v/>
      </c>
      <c r="AH838" s="11">
        <f t="shared" si="171"/>
        <v>0.69326932971090616</v>
      </c>
      <c r="AI838" s="3" t="s">
        <v>45</v>
      </c>
      <c r="AJ838" s="3" t="s">
        <v>79</v>
      </c>
      <c r="AK838" s="3" t="s">
        <v>46</v>
      </c>
      <c r="AL838" s="3" t="s">
        <v>81</v>
      </c>
      <c r="AM838" s="3" t="s">
        <v>82</v>
      </c>
    </row>
    <row r="839" spans="1:39" ht="21" customHeight="1">
      <c r="A839" s="4">
        <v>43247</v>
      </c>
      <c r="B839" s="3" t="s">
        <v>78</v>
      </c>
      <c r="C839" s="3" t="s">
        <v>79</v>
      </c>
      <c r="D839" s="4">
        <v>43159</v>
      </c>
      <c r="E839" s="3">
        <f t="shared" si="172"/>
        <v>88</v>
      </c>
      <c r="F839" s="3" t="str">
        <f t="shared" si="173"/>
        <v>개봉후</v>
      </c>
      <c r="G839" s="3" t="str">
        <f t="shared" si="174"/>
        <v>일</v>
      </c>
      <c r="H839" s="3">
        <f t="shared" si="175"/>
        <v>1</v>
      </c>
      <c r="I839" s="3"/>
      <c r="J839" s="3"/>
      <c r="K839" s="3"/>
      <c r="L839" s="12" t="str">
        <f t="shared" si="176"/>
        <v/>
      </c>
      <c r="M839" s="12" t="str">
        <f t="shared" si="177"/>
        <v/>
      </c>
      <c r="N839" s="11" t="str">
        <f t="shared" si="179"/>
        <v/>
      </c>
      <c r="O839" s="11" t="str">
        <f t="shared" si="165"/>
        <v/>
      </c>
      <c r="P839" s="11" t="str">
        <f t="shared" si="166"/>
        <v/>
      </c>
      <c r="Q839" s="7"/>
      <c r="R839" s="7"/>
      <c r="S839" s="7"/>
      <c r="T839" s="7"/>
      <c r="U839" s="7"/>
      <c r="V839" s="7"/>
      <c r="W839" s="7"/>
      <c r="X839" s="3"/>
      <c r="Y839" s="3"/>
      <c r="Z839" s="9">
        <v>2.4173800000000001</v>
      </c>
      <c r="AA839" s="12">
        <f t="shared" si="178"/>
        <v>0.13008681180490944</v>
      </c>
      <c r="AB839" s="9">
        <f t="shared" si="180"/>
        <v>2.28728</v>
      </c>
      <c r="AC839" s="9">
        <f t="shared" si="167"/>
        <v>3.0338928571428574</v>
      </c>
      <c r="AD839" s="9">
        <f t="shared" si="168"/>
        <v>0.75390928674851965</v>
      </c>
      <c r="AE839" s="3" t="s">
        <v>80</v>
      </c>
      <c r="AF839" s="11" t="str">
        <f t="shared" si="169"/>
        <v/>
      </c>
      <c r="AG839" s="11" t="str">
        <f t="shared" si="170"/>
        <v/>
      </c>
      <c r="AH839" s="11">
        <f t="shared" si="171"/>
        <v>0.79679148665669985</v>
      </c>
      <c r="AI839" s="3" t="s">
        <v>45</v>
      </c>
      <c r="AJ839" s="3" t="s">
        <v>79</v>
      </c>
      <c r="AK839" s="3" t="s">
        <v>46</v>
      </c>
      <c r="AL839" s="3" t="s">
        <v>81</v>
      </c>
      <c r="AM839" s="3" t="s">
        <v>82</v>
      </c>
    </row>
    <row r="840" spans="1:39" ht="21" customHeight="1">
      <c r="A840" s="4">
        <v>43248</v>
      </c>
      <c r="B840" s="3" t="s">
        <v>78</v>
      </c>
      <c r="C840" s="3" t="s">
        <v>79</v>
      </c>
      <c r="D840" s="4">
        <v>43159</v>
      </c>
      <c r="E840" s="3">
        <f t="shared" si="172"/>
        <v>89</v>
      </c>
      <c r="F840" s="3" t="str">
        <f t="shared" si="173"/>
        <v>개봉후</v>
      </c>
      <c r="G840" s="3" t="str">
        <f t="shared" si="174"/>
        <v>월</v>
      </c>
      <c r="H840" s="3">
        <f t="shared" si="175"/>
        <v>0</v>
      </c>
      <c r="I840" s="3"/>
      <c r="J840" s="3"/>
      <c r="K840" s="3"/>
      <c r="L840" s="12" t="str">
        <f t="shared" si="176"/>
        <v/>
      </c>
      <c r="M840" s="12" t="str">
        <f t="shared" si="177"/>
        <v/>
      </c>
      <c r="N840" s="11" t="str">
        <f t="shared" si="179"/>
        <v/>
      </c>
      <c r="O840" s="11" t="str">
        <f t="shared" si="165"/>
        <v/>
      </c>
      <c r="P840" s="11" t="str">
        <f t="shared" si="166"/>
        <v/>
      </c>
      <c r="Q840" s="7"/>
      <c r="R840" s="7"/>
      <c r="S840" s="7"/>
      <c r="T840" s="7"/>
      <c r="U840" s="7"/>
      <c r="V840" s="7"/>
      <c r="W840" s="7"/>
      <c r="X840" s="3"/>
      <c r="Y840" s="3"/>
      <c r="Z840" s="9">
        <v>1.6519699999999999</v>
      </c>
      <c r="AA840" s="12">
        <f t="shared" si="178"/>
        <v>-0.31662791948307678</v>
      </c>
      <c r="AB840" s="9">
        <f t="shared" si="180"/>
        <v>2.123097142857143</v>
      </c>
      <c r="AC840" s="9">
        <f t="shared" si="167"/>
        <v>2.9366249999999998</v>
      </c>
      <c r="AD840" s="9">
        <f t="shared" si="168"/>
        <v>0.72297182747444533</v>
      </c>
      <c r="AE840" s="3" t="s">
        <v>80</v>
      </c>
      <c r="AF840" s="11" t="str">
        <f t="shared" si="169"/>
        <v/>
      </c>
      <c r="AG840" s="11" t="str">
        <f t="shared" si="170"/>
        <v/>
      </c>
      <c r="AH840" s="11">
        <f t="shared" si="171"/>
        <v>0.56254033116247393</v>
      </c>
      <c r="AI840" s="3" t="s">
        <v>45</v>
      </c>
      <c r="AJ840" s="3" t="s">
        <v>79</v>
      </c>
      <c r="AK840" s="3" t="s">
        <v>46</v>
      </c>
      <c r="AL840" s="3" t="s">
        <v>81</v>
      </c>
      <c r="AM840" s="3" t="s">
        <v>82</v>
      </c>
    </row>
    <row r="841" spans="1:39" ht="21" customHeight="1">
      <c r="A841" s="4">
        <v>43249</v>
      </c>
      <c r="B841" s="3" t="s">
        <v>78</v>
      </c>
      <c r="C841" s="3" t="s">
        <v>79</v>
      </c>
      <c r="D841" s="4">
        <v>43159</v>
      </c>
      <c r="E841" s="3">
        <f t="shared" si="172"/>
        <v>90</v>
      </c>
      <c r="F841" s="3" t="str">
        <f t="shared" si="173"/>
        <v>개봉후</v>
      </c>
      <c r="G841" s="3" t="str">
        <f t="shared" si="174"/>
        <v>화</v>
      </c>
      <c r="H841" s="3">
        <f t="shared" si="175"/>
        <v>0</v>
      </c>
      <c r="I841" s="3"/>
      <c r="J841" s="3"/>
      <c r="K841" s="3"/>
      <c r="L841" s="12" t="str">
        <f t="shared" si="176"/>
        <v/>
      </c>
      <c r="M841" s="12" t="str">
        <f t="shared" si="177"/>
        <v/>
      </c>
      <c r="N841" s="11" t="str">
        <f t="shared" si="179"/>
        <v/>
      </c>
      <c r="O841" s="11" t="str">
        <f t="shared" si="165"/>
        <v/>
      </c>
      <c r="P841" s="11" t="str">
        <f t="shared" si="166"/>
        <v/>
      </c>
      <c r="Q841" s="7">
        <v>1</v>
      </c>
      <c r="R841" s="7">
        <v>1</v>
      </c>
      <c r="S841" s="7">
        <v>59</v>
      </c>
      <c r="T841" s="7">
        <v>10000</v>
      </c>
      <c r="U841" s="7">
        <v>1</v>
      </c>
      <c r="V841" s="7">
        <v>1504426</v>
      </c>
      <c r="W841" s="7">
        <v>94</v>
      </c>
      <c r="X841" s="3"/>
      <c r="Y841" s="3" t="s">
        <v>83</v>
      </c>
      <c r="Z841" s="9">
        <v>1.4161699999999999</v>
      </c>
      <c r="AA841" s="12">
        <f t="shared" si="178"/>
        <v>-0.14273866958843084</v>
      </c>
      <c r="AB841" s="9">
        <f t="shared" si="180"/>
        <v>1.8285828571428571</v>
      </c>
      <c r="AC841" s="9">
        <f t="shared" si="167"/>
        <v>2.8436589285714291</v>
      </c>
      <c r="AD841" s="9">
        <f t="shared" si="168"/>
        <v>0.64303874095810898</v>
      </c>
      <c r="AE841" s="3" t="s">
        <v>80</v>
      </c>
      <c r="AF841" s="11" t="str">
        <f t="shared" si="169"/>
        <v/>
      </c>
      <c r="AG841" s="11" t="str">
        <f t="shared" si="170"/>
        <v/>
      </c>
      <c r="AH841" s="11">
        <f t="shared" si="171"/>
        <v>0.49800979497616554</v>
      </c>
      <c r="AI841" s="3" t="s">
        <v>45</v>
      </c>
      <c r="AJ841" s="3" t="s">
        <v>79</v>
      </c>
      <c r="AK841" s="3" t="s">
        <v>46</v>
      </c>
      <c r="AL841" s="3" t="s">
        <v>81</v>
      </c>
      <c r="AM841" s="3" t="s">
        <v>82</v>
      </c>
    </row>
    <row r="842" spans="1:39" ht="21" customHeight="1">
      <c r="A842" s="4">
        <v>43250</v>
      </c>
      <c r="B842" s="3" t="s">
        <v>78</v>
      </c>
      <c r="C842" s="3" t="s">
        <v>79</v>
      </c>
      <c r="D842" s="4">
        <v>43159</v>
      </c>
      <c r="E842" s="3">
        <f t="shared" si="172"/>
        <v>91</v>
      </c>
      <c r="F842" s="3" t="str">
        <f t="shared" si="173"/>
        <v>개봉후</v>
      </c>
      <c r="G842" s="3" t="str">
        <f t="shared" si="174"/>
        <v>수</v>
      </c>
      <c r="H842" s="3">
        <f t="shared" si="175"/>
        <v>0</v>
      </c>
      <c r="I842" s="3"/>
      <c r="J842" s="3"/>
      <c r="K842" s="3"/>
      <c r="L842" s="12" t="str">
        <f t="shared" si="176"/>
        <v/>
      </c>
      <c r="M842" s="12" t="str">
        <f t="shared" si="177"/>
        <v/>
      </c>
      <c r="N842" s="11" t="str">
        <f t="shared" si="179"/>
        <v/>
      </c>
      <c r="O842" s="11" t="str">
        <f t="shared" si="165"/>
        <v/>
      </c>
      <c r="P842" s="11" t="str">
        <f t="shared" si="166"/>
        <v/>
      </c>
      <c r="Q842" s="7">
        <v>1</v>
      </c>
      <c r="R842" s="7">
        <v>1</v>
      </c>
      <c r="S842" s="7">
        <v>64</v>
      </c>
      <c r="T842" s="7">
        <v>450000</v>
      </c>
      <c r="U842" s="7">
        <v>50</v>
      </c>
      <c r="V842" s="7">
        <v>1504476</v>
      </c>
      <c r="W842" s="7">
        <v>50</v>
      </c>
      <c r="X842" s="3"/>
      <c r="Y842" s="3" t="s">
        <v>83</v>
      </c>
      <c r="Z842" s="9">
        <v>1.4092100000000001</v>
      </c>
      <c r="AA842" s="12">
        <f t="shared" si="178"/>
        <v>-4.9146641999193719E-3</v>
      </c>
      <c r="AB842" s="9">
        <f t="shared" si="180"/>
        <v>1.7626385714285713</v>
      </c>
      <c r="AC842" s="9">
        <f t="shared" si="167"/>
        <v>2.6777689285714286</v>
      </c>
      <c r="AD842" s="9">
        <f t="shared" si="168"/>
        <v>0.65824894471717055</v>
      </c>
      <c r="AE842" s="3" t="s">
        <v>80</v>
      </c>
      <c r="AF842" s="11" t="str">
        <f t="shared" si="169"/>
        <v/>
      </c>
      <c r="AG842" s="11" t="str">
        <f t="shared" si="170"/>
        <v/>
      </c>
      <c r="AH842" s="11">
        <f t="shared" si="171"/>
        <v>0.52626273498206733</v>
      </c>
      <c r="AI842" s="3" t="s">
        <v>45</v>
      </c>
      <c r="AJ842" s="3" t="s">
        <v>79</v>
      </c>
      <c r="AK842" s="3" t="s">
        <v>46</v>
      </c>
      <c r="AL842" s="3" t="s">
        <v>81</v>
      </c>
      <c r="AM842" s="3" t="s">
        <v>82</v>
      </c>
    </row>
    <row r="843" spans="1:39" ht="21" customHeight="1">
      <c r="A843" s="4">
        <v>43251</v>
      </c>
      <c r="B843" s="3" t="s">
        <v>78</v>
      </c>
      <c r="C843" s="3" t="s">
        <v>79</v>
      </c>
      <c r="D843" s="4">
        <v>43159</v>
      </c>
      <c r="E843" s="3">
        <f t="shared" si="172"/>
        <v>92</v>
      </c>
      <c r="F843" s="3" t="str">
        <f t="shared" si="173"/>
        <v>개봉후</v>
      </c>
      <c r="G843" s="3" t="str">
        <f t="shared" si="174"/>
        <v>목</v>
      </c>
      <c r="H843" s="3">
        <f t="shared" si="175"/>
        <v>0</v>
      </c>
      <c r="I843" s="3"/>
      <c r="J843" s="3"/>
      <c r="K843" s="3"/>
      <c r="L843" s="12" t="str">
        <f t="shared" si="176"/>
        <v/>
      </c>
      <c r="M843" s="12" t="str">
        <f t="shared" si="177"/>
        <v/>
      </c>
      <c r="N843" s="11" t="str">
        <f t="shared" si="179"/>
        <v/>
      </c>
      <c r="O843" s="11" t="str">
        <f t="shared" si="165"/>
        <v/>
      </c>
      <c r="P843" s="11" t="str">
        <f t="shared" si="166"/>
        <v/>
      </c>
      <c r="Q843" s="7">
        <v>1</v>
      </c>
      <c r="R843" s="7">
        <v>1</v>
      </c>
      <c r="S843" s="7">
        <v>90</v>
      </c>
      <c r="T843" s="7">
        <v>490000</v>
      </c>
      <c r="U843" s="7">
        <v>70</v>
      </c>
      <c r="V843" s="7">
        <v>1504546</v>
      </c>
      <c r="W843" s="7">
        <v>52</v>
      </c>
      <c r="X843" s="3"/>
      <c r="Y843" s="3" t="s">
        <v>83</v>
      </c>
      <c r="Z843" s="9">
        <v>1.59487</v>
      </c>
      <c r="AA843" s="12">
        <f t="shared" si="178"/>
        <v>0.13174757488238087</v>
      </c>
      <c r="AB843" s="9">
        <f t="shared" si="180"/>
        <v>1.7577642857142857</v>
      </c>
      <c r="AC843" s="9">
        <f t="shared" si="167"/>
        <v>2.6167971428571426</v>
      </c>
      <c r="AD843" s="9">
        <f t="shared" si="168"/>
        <v>0.67172355736947786</v>
      </c>
      <c r="AE843" s="3" t="s">
        <v>80</v>
      </c>
      <c r="AF843" s="11" t="str">
        <f t="shared" si="169"/>
        <v/>
      </c>
      <c r="AG843" s="11" t="str">
        <f t="shared" si="170"/>
        <v/>
      </c>
      <c r="AH843" s="11">
        <f t="shared" si="171"/>
        <v>0.60947406808104565</v>
      </c>
      <c r="AI843" s="3" t="s">
        <v>45</v>
      </c>
      <c r="AJ843" s="3" t="s">
        <v>79</v>
      </c>
      <c r="AK843" s="3" t="s">
        <v>46</v>
      </c>
      <c r="AL843" s="3" t="s">
        <v>81</v>
      </c>
      <c r="AM843" s="3" t="s">
        <v>82</v>
      </c>
    </row>
    <row r="844" spans="1:39" ht="21" customHeight="1">
      <c r="A844" s="4">
        <v>43252</v>
      </c>
      <c r="B844" s="3" t="s">
        <v>78</v>
      </c>
      <c r="C844" s="3" t="s">
        <v>79</v>
      </c>
      <c r="D844" s="4">
        <v>43159</v>
      </c>
      <c r="E844" s="3">
        <f t="shared" si="172"/>
        <v>93</v>
      </c>
      <c r="F844" s="3" t="str">
        <f t="shared" si="173"/>
        <v>개봉후</v>
      </c>
      <c r="G844" s="3" t="str">
        <f t="shared" si="174"/>
        <v>금</v>
      </c>
      <c r="H844" s="3">
        <f t="shared" si="175"/>
        <v>0</v>
      </c>
      <c r="I844" s="3"/>
      <c r="J844" s="3"/>
      <c r="K844" s="3"/>
      <c r="L844" s="12" t="str">
        <f t="shared" si="176"/>
        <v/>
      </c>
      <c r="M844" s="12" t="str">
        <f t="shared" si="177"/>
        <v/>
      </c>
      <c r="N844" s="11" t="str">
        <f t="shared" si="179"/>
        <v/>
      </c>
      <c r="O844" s="11" t="str">
        <f t="shared" si="165"/>
        <v/>
      </c>
      <c r="P844" s="11" t="str">
        <f t="shared" si="166"/>
        <v/>
      </c>
      <c r="Q844" s="7"/>
      <c r="R844" s="7"/>
      <c r="S844" s="7"/>
      <c r="T844" s="7"/>
      <c r="U844" s="7"/>
      <c r="V844" s="7"/>
      <c r="W844" s="7"/>
      <c r="X844" s="3"/>
      <c r="Y844" s="3"/>
      <c r="Z844" s="9">
        <v>1.8464499999999999</v>
      </c>
      <c r="AA844" s="12">
        <f t="shared" si="178"/>
        <v>0.15774326434129415</v>
      </c>
      <c r="AB844" s="9">
        <f t="shared" si="180"/>
        <v>1.7821657142857146</v>
      </c>
      <c r="AC844" s="9">
        <f t="shared" si="167"/>
        <v>2.5770110714285717</v>
      </c>
      <c r="AD844" s="9">
        <f t="shared" si="168"/>
        <v>0.69156308020739976</v>
      </c>
      <c r="AE844" s="3" t="s">
        <v>80</v>
      </c>
      <c r="AF844" s="11" t="str">
        <f t="shared" si="169"/>
        <v/>
      </c>
      <c r="AG844" s="11" t="str">
        <f t="shared" si="170"/>
        <v/>
      </c>
      <c r="AH844" s="11">
        <f t="shared" si="171"/>
        <v>0.71650836912253402</v>
      </c>
      <c r="AI844" s="3" t="s">
        <v>45</v>
      </c>
      <c r="AJ844" s="3" t="s">
        <v>79</v>
      </c>
      <c r="AK844" s="3" t="s">
        <v>46</v>
      </c>
      <c r="AL844" s="3" t="s">
        <v>81</v>
      </c>
      <c r="AM844" s="3" t="s">
        <v>82</v>
      </c>
    </row>
    <row r="845" spans="1:39" ht="21" customHeight="1">
      <c r="A845" s="4">
        <v>43253</v>
      </c>
      <c r="B845" s="3" t="s">
        <v>78</v>
      </c>
      <c r="C845" s="3" t="s">
        <v>79</v>
      </c>
      <c r="D845" s="4">
        <v>43159</v>
      </c>
      <c r="E845" s="3">
        <f t="shared" si="172"/>
        <v>94</v>
      </c>
      <c r="F845" s="3" t="str">
        <f t="shared" si="173"/>
        <v>개봉후</v>
      </c>
      <c r="G845" s="3" t="str">
        <f t="shared" si="174"/>
        <v>토</v>
      </c>
      <c r="H845" s="3">
        <f t="shared" si="175"/>
        <v>1</v>
      </c>
      <c r="I845" s="3"/>
      <c r="J845" s="3"/>
      <c r="K845" s="3"/>
      <c r="L845" s="12" t="str">
        <f t="shared" si="176"/>
        <v/>
      </c>
      <c r="M845" s="12" t="str">
        <f t="shared" si="177"/>
        <v/>
      </c>
      <c r="N845" s="11" t="str">
        <f t="shared" si="179"/>
        <v/>
      </c>
      <c r="O845" s="11" t="str">
        <f t="shared" si="165"/>
        <v/>
      </c>
      <c r="P845" s="11" t="str">
        <f t="shared" si="166"/>
        <v/>
      </c>
      <c r="Q845" s="7"/>
      <c r="R845" s="7"/>
      <c r="S845" s="7"/>
      <c r="T845" s="7"/>
      <c r="U845" s="7"/>
      <c r="V845" s="7"/>
      <c r="W845" s="7"/>
      <c r="X845" s="3"/>
      <c r="Y845" s="3"/>
      <c r="Z845" s="9">
        <v>2.3124799999999999</v>
      </c>
      <c r="AA845" s="12">
        <f t="shared" si="178"/>
        <v>0.25239242871456025</v>
      </c>
      <c r="AB845" s="9">
        <f t="shared" si="180"/>
        <v>1.8069328571428573</v>
      </c>
      <c r="AC845" s="9">
        <f t="shared" si="167"/>
        <v>2.5458289285714288</v>
      </c>
      <c r="AD845" s="9">
        <f t="shared" si="168"/>
        <v>0.709762088435692</v>
      </c>
      <c r="AE845" s="3" t="s">
        <v>80</v>
      </c>
      <c r="AF845" s="11" t="str">
        <f t="shared" si="169"/>
        <v/>
      </c>
      <c r="AG845" s="11" t="str">
        <f t="shared" si="170"/>
        <v/>
      </c>
      <c r="AH845" s="11">
        <f t="shared" si="171"/>
        <v>0.90834068780011434</v>
      </c>
      <c r="AI845" s="3" t="s">
        <v>45</v>
      </c>
      <c r="AJ845" s="3" t="s">
        <v>79</v>
      </c>
      <c r="AK845" s="3" t="s">
        <v>46</v>
      </c>
      <c r="AL845" s="3" t="s">
        <v>81</v>
      </c>
      <c r="AM845" s="3" t="s">
        <v>82</v>
      </c>
    </row>
    <row r="846" spans="1:39" ht="21" customHeight="1">
      <c r="A846" s="4">
        <v>43254</v>
      </c>
      <c r="B846" s="3" t="s">
        <v>78</v>
      </c>
      <c r="C846" s="3" t="s">
        <v>79</v>
      </c>
      <c r="D846" s="4">
        <v>43159</v>
      </c>
      <c r="E846" s="3">
        <f t="shared" si="172"/>
        <v>95</v>
      </c>
      <c r="F846" s="3" t="str">
        <f t="shared" si="173"/>
        <v>개봉후</v>
      </c>
      <c r="G846" s="3" t="str">
        <f t="shared" si="174"/>
        <v>일</v>
      </c>
      <c r="H846" s="3">
        <f t="shared" si="175"/>
        <v>1</v>
      </c>
      <c r="I846" s="3"/>
      <c r="J846" s="3"/>
      <c r="K846" s="3"/>
      <c r="L846" s="12" t="str">
        <f t="shared" si="176"/>
        <v/>
      </c>
      <c r="M846" s="12" t="str">
        <f t="shared" si="177"/>
        <v/>
      </c>
      <c r="N846" s="11" t="str">
        <f t="shared" si="179"/>
        <v/>
      </c>
      <c r="O846" s="11" t="str">
        <f t="shared" si="165"/>
        <v/>
      </c>
      <c r="P846" s="11" t="str">
        <f t="shared" si="166"/>
        <v/>
      </c>
      <c r="Q846" s="7"/>
      <c r="R846" s="7"/>
      <c r="S846" s="7"/>
      <c r="T846" s="7"/>
      <c r="U846" s="7"/>
      <c r="V846" s="7"/>
      <c r="W846" s="7"/>
      <c r="X846" s="3"/>
      <c r="Y846" s="3"/>
      <c r="Z846" s="9">
        <v>2.8402400000000001</v>
      </c>
      <c r="AA846" s="12">
        <f t="shared" si="178"/>
        <v>0.22822251435688101</v>
      </c>
      <c r="AB846" s="9">
        <f t="shared" si="180"/>
        <v>1.8673414285714285</v>
      </c>
      <c r="AC846" s="9">
        <f t="shared" si="167"/>
        <v>2.4977046428571432</v>
      </c>
      <c r="AD846" s="9">
        <f t="shared" si="168"/>
        <v>0.74762299614231509</v>
      </c>
      <c r="AE846" s="3" t="s">
        <v>80</v>
      </c>
      <c r="AF846" s="11" t="str">
        <f t="shared" si="169"/>
        <v/>
      </c>
      <c r="AG846" s="11" t="str">
        <f t="shared" si="170"/>
        <v/>
      </c>
      <c r="AH846" s="11">
        <f t="shared" si="171"/>
        <v>1.1371400570209247</v>
      </c>
      <c r="AI846" s="3" t="s">
        <v>45</v>
      </c>
      <c r="AJ846" s="3" t="s">
        <v>79</v>
      </c>
      <c r="AK846" s="3" t="s">
        <v>46</v>
      </c>
      <c r="AL846" s="3" t="s">
        <v>81</v>
      </c>
      <c r="AM846" s="3" t="s">
        <v>82</v>
      </c>
    </row>
    <row r="847" spans="1:39" ht="21" customHeight="1">
      <c r="A847" s="4">
        <v>43255</v>
      </c>
      <c r="B847" s="3" t="s">
        <v>78</v>
      </c>
      <c r="C847" s="3" t="s">
        <v>79</v>
      </c>
      <c r="D847" s="4">
        <v>43159</v>
      </c>
      <c r="E847" s="3">
        <f t="shared" si="172"/>
        <v>96</v>
      </c>
      <c r="F847" s="3" t="str">
        <f t="shared" si="173"/>
        <v>개봉후</v>
      </c>
      <c r="G847" s="3" t="str">
        <f t="shared" si="174"/>
        <v>월</v>
      </c>
      <c r="H847" s="3">
        <f t="shared" si="175"/>
        <v>0</v>
      </c>
      <c r="I847" s="3"/>
      <c r="J847" s="3"/>
      <c r="K847" s="3"/>
      <c r="L847" s="12" t="str">
        <f t="shared" si="176"/>
        <v/>
      </c>
      <c r="M847" s="12" t="str">
        <f t="shared" si="177"/>
        <v/>
      </c>
      <c r="N847" s="11" t="str">
        <f t="shared" si="179"/>
        <v/>
      </c>
      <c r="O847" s="11" t="str">
        <f t="shared" si="165"/>
        <v/>
      </c>
      <c r="P847" s="11" t="str">
        <f t="shared" si="166"/>
        <v/>
      </c>
      <c r="Q847" s="7">
        <v>1</v>
      </c>
      <c r="R847" s="7">
        <v>1</v>
      </c>
      <c r="S847" s="7">
        <v>114</v>
      </c>
      <c r="T847" s="7">
        <v>800000</v>
      </c>
      <c r="U847" s="7">
        <v>114</v>
      </c>
      <c r="V847" s="7">
        <v>1504660</v>
      </c>
      <c r="W847" s="7">
        <v>35</v>
      </c>
      <c r="X847" s="3"/>
      <c r="Y847" s="3" t="s">
        <v>83</v>
      </c>
      <c r="Z847" s="9">
        <v>1.94509</v>
      </c>
      <c r="AA847" s="12">
        <f t="shared" si="178"/>
        <v>-0.3151670281384672</v>
      </c>
      <c r="AB847" s="9">
        <f t="shared" si="180"/>
        <v>1.9092157142857145</v>
      </c>
      <c r="AC847" s="9">
        <f t="shared" si="167"/>
        <v>2.4395346428571427</v>
      </c>
      <c r="AD847" s="9">
        <f t="shared" si="168"/>
        <v>0.78261471706328078</v>
      </c>
      <c r="AE847" s="3" t="s">
        <v>80</v>
      </c>
      <c r="AF847" s="11" t="str">
        <f t="shared" si="169"/>
        <v/>
      </c>
      <c r="AG847" s="11" t="str">
        <f t="shared" si="170"/>
        <v/>
      </c>
      <c r="AH847" s="11">
        <f t="shared" si="171"/>
        <v>0.79732009778797097</v>
      </c>
      <c r="AI847" s="3" t="s">
        <v>45</v>
      </c>
      <c r="AJ847" s="3" t="s">
        <v>79</v>
      </c>
      <c r="AK847" s="3" t="s">
        <v>46</v>
      </c>
      <c r="AL847" s="3" t="s">
        <v>81</v>
      </c>
      <c r="AM847" s="3" t="s">
        <v>82</v>
      </c>
    </row>
    <row r="848" spans="1:39" ht="21" customHeight="1">
      <c r="A848" s="4">
        <v>43256</v>
      </c>
      <c r="B848" s="3" t="s">
        <v>78</v>
      </c>
      <c r="C848" s="3" t="s">
        <v>79</v>
      </c>
      <c r="D848" s="4">
        <v>43159</v>
      </c>
      <c r="E848" s="3">
        <f t="shared" si="172"/>
        <v>97</v>
      </c>
      <c r="F848" s="3" t="str">
        <f t="shared" si="173"/>
        <v>개봉후</v>
      </c>
      <c r="G848" s="3" t="str">
        <f t="shared" si="174"/>
        <v>화</v>
      </c>
      <c r="H848" s="3">
        <f t="shared" si="175"/>
        <v>0</v>
      </c>
      <c r="I848" s="3"/>
      <c r="J848" s="3"/>
      <c r="K848" s="3"/>
      <c r="L848" s="12" t="str">
        <f t="shared" si="176"/>
        <v/>
      </c>
      <c r="M848" s="12" t="str">
        <f t="shared" si="177"/>
        <v/>
      </c>
      <c r="N848" s="11" t="str">
        <f t="shared" si="179"/>
        <v/>
      </c>
      <c r="O848" s="11" t="str">
        <f t="shared" si="165"/>
        <v/>
      </c>
      <c r="P848" s="11" t="str">
        <f t="shared" si="166"/>
        <v/>
      </c>
      <c r="Q848" s="7"/>
      <c r="R848" s="7"/>
      <c r="S848" s="7"/>
      <c r="T848" s="7"/>
      <c r="U848" s="7"/>
      <c r="V848" s="7"/>
      <c r="W848" s="7"/>
      <c r="X848" s="3"/>
      <c r="Y848" s="3"/>
      <c r="Z848" s="9">
        <v>1.7858799999999999</v>
      </c>
      <c r="AA848" s="12">
        <f t="shared" si="178"/>
        <v>-8.1852253623225679E-2</v>
      </c>
      <c r="AB848" s="9">
        <f t="shared" si="180"/>
        <v>1.9620314285714286</v>
      </c>
      <c r="AC848" s="9">
        <f t="shared" si="167"/>
        <v>2.3742364285714284</v>
      </c>
      <c r="AD848" s="9">
        <f t="shared" si="168"/>
        <v>0.82638418186177764</v>
      </c>
      <c r="AE848" s="3" t="s">
        <v>80</v>
      </c>
      <c r="AF848" s="11" t="str">
        <f t="shared" si="169"/>
        <v/>
      </c>
      <c r="AG848" s="11" t="str">
        <f t="shared" si="170"/>
        <v/>
      </c>
      <c r="AH848" s="11">
        <f t="shared" si="171"/>
        <v>0.75219130601688189</v>
      </c>
      <c r="AI848" s="3" t="s">
        <v>45</v>
      </c>
      <c r="AJ848" s="3" t="s">
        <v>79</v>
      </c>
      <c r="AK848" s="3" t="s">
        <v>46</v>
      </c>
      <c r="AL848" s="3" t="s">
        <v>81</v>
      </c>
      <c r="AM848" s="3" t="s">
        <v>82</v>
      </c>
    </row>
    <row r="849" spans="1:39" ht="21" customHeight="1">
      <c r="A849" s="4">
        <v>43257</v>
      </c>
      <c r="B849" s="3" t="s">
        <v>78</v>
      </c>
      <c r="C849" s="3" t="s">
        <v>79</v>
      </c>
      <c r="D849" s="4">
        <v>43159</v>
      </c>
      <c r="E849" s="3">
        <f t="shared" si="172"/>
        <v>98</v>
      </c>
      <c r="F849" s="3" t="str">
        <f t="shared" si="173"/>
        <v>개봉후</v>
      </c>
      <c r="G849" s="3" t="str">
        <f t="shared" si="174"/>
        <v>수</v>
      </c>
      <c r="H849" s="3">
        <f t="shared" si="175"/>
        <v>0</v>
      </c>
      <c r="I849" s="3"/>
      <c r="J849" s="3"/>
      <c r="K849" s="3"/>
      <c r="L849" s="12" t="str">
        <f t="shared" si="176"/>
        <v/>
      </c>
      <c r="M849" s="12" t="str">
        <f t="shared" si="177"/>
        <v/>
      </c>
      <c r="N849" s="11" t="str">
        <f t="shared" si="179"/>
        <v/>
      </c>
      <c r="O849" s="11" t="str">
        <f t="shared" si="165"/>
        <v/>
      </c>
      <c r="P849" s="11" t="str">
        <f t="shared" si="166"/>
        <v/>
      </c>
      <c r="Q849" s="7"/>
      <c r="R849" s="7"/>
      <c r="S849" s="7"/>
      <c r="T849" s="7"/>
      <c r="U849" s="7"/>
      <c r="V849" s="7"/>
      <c r="W849" s="7"/>
      <c r="X849" s="3"/>
      <c r="Y849" s="3"/>
      <c r="Z849" s="9">
        <v>2.3287200000000001</v>
      </c>
      <c r="AA849" s="12">
        <f t="shared" si="178"/>
        <v>0.30396219230855381</v>
      </c>
      <c r="AB849" s="9">
        <f t="shared" si="180"/>
        <v>2.0933900000000003</v>
      </c>
      <c r="AC849" s="9">
        <f t="shared" si="167"/>
        <v>2.3556450000000004</v>
      </c>
      <c r="AD849" s="9">
        <f t="shared" si="168"/>
        <v>0.88866955759462907</v>
      </c>
      <c r="AE849" s="3" t="s">
        <v>80</v>
      </c>
      <c r="AF849" s="11" t="str">
        <f t="shared" si="169"/>
        <v/>
      </c>
      <c r="AG849" s="11" t="str">
        <f t="shared" si="170"/>
        <v/>
      </c>
      <c r="AH849" s="11">
        <f t="shared" si="171"/>
        <v>0.98857000948784712</v>
      </c>
      <c r="AI849" s="3" t="s">
        <v>45</v>
      </c>
      <c r="AJ849" s="3" t="s">
        <v>79</v>
      </c>
      <c r="AK849" s="3" t="s">
        <v>46</v>
      </c>
      <c r="AL849" s="3" t="s">
        <v>81</v>
      </c>
      <c r="AM849" s="3" t="s">
        <v>82</v>
      </c>
    </row>
    <row r="850" spans="1:39" ht="21" customHeight="1">
      <c r="A850" s="4">
        <v>43258</v>
      </c>
      <c r="B850" s="3" t="s">
        <v>78</v>
      </c>
      <c r="C850" s="3" t="s">
        <v>79</v>
      </c>
      <c r="D850" s="4">
        <v>43159</v>
      </c>
      <c r="E850" s="3">
        <f t="shared" si="172"/>
        <v>99</v>
      </c>
      <c r="F850" s="3" t="str">
        <f t="shared" si="173"/>
        <v>개봉후</v>
      </c>
      <c r="G850" s="3" t="str">
        <f t="shared" si="174"/>
        <v>목</v>
      </c>
      <c r="H850" s="3">
        <f t="shared" si="175"/>
        <v>0</v>
      </c>
      <c r="I850" s="3"/>
      <c r="J850" s="3"/>
      <c r="K850" s="3"/>
      <c r="L850" s="12" t="str">
        <f t="shared" si="176"/>
        <v/>
      </c>
      <c r="M850" s="12" t="str">
        <f t="shared" si="177"/>
        <v/>
      </c>
      <c r="N850" s="11" t="str">
        <f t="shared" si="179"/>
        <v/>
      </c>
      <c r="O850" s="11" t="str">
        <f t="shared" si="165"/>
        <v/>
      </c>
      <c r="P850" s="11" t="str">
        <f t="shared" si="166"/>
        <v/>
      </c>
      <c r="Q850" s="7"/>
      <c r="R850" s="7"/>
      <c r="S850" s="7"/>
      <c r="T850" s="7"/>
      <c r="U850" s="7"/>
      <c r="V850" s="7"/>
      <c r="W850" s="7"/>
      <c r="X850" s="3"/>
      <c r="Y850" s="3"/>
      <c r="Z850" s="9">
        <v>1.4621200000000001</v>
      </c>
      <c r="AA850" s="12">
        <f t="shared" si="178"/>
        <v>-0.37213576557078565</v>
      </c>
      <c r="AB850" s="9">
        <f t="shared" si="180"/>
        <v>2.0744257142857143</v>
      </c>
      <c r="AC850" s="9">
        <f t="shared" si="167"/>
        <v>2.2458360714285717</v>
      </c>
      <c r="AD850" s="9">
        <f t="shared" si="168"/>
        <v>0.92367637187614338</v>
      </c>
      <c r="AE850" s="3" t="s">
        <v>80</v>
      </c>
      <c r="AF850" s="11" t="str">
        <f t="shared" si="169"/>
        <v/>
      </c>
      <c r="AG850" s="11" t="str">
        <f t="shared" si="170"/>
        <v/>
      </c>
      <c r="AH850" s="11">
        <f t="shared" si="171"/>
        <v>0.65103594095803641</v>
      </c>
      <c r="AI850" s="3" t="s">
        <v>45</v>
      </c>
      <c r="AJ850" s="3" t="s">
        <v>79</v>
      </c>
      <c r="AK850" s="3" t="s">
        <v>46</v>
      </c>
      <c r="AL850" s="3" t="s">
        <v>81</v>
      </c>
      <c r="AM850" s="3" t="s">
        <v>82</v>
      </c>
    </row>
    <row r="851" spans="1:39" ht="21" customHeight="1">
      <c r="A851" s="4">
        <v>43259</v>
      </c>
      <c r="B851" s="3" t="s">
        <v>78</v>
      </c>
      <c r="C851" s="3" t="s">
        <v>79</v>
      </c>
      <c r="D851" s="4">
        <v>43159</v>
      </c>
      <c r="E851" s="3">
        <f t="shared" si="172"/>
        <v>100</v>
      </c>
      <c r="F851" s="3" t="str">
        <f t="shared" si="173"/>
        <v>개봉후</v>
      </c>
      <c r="G851" s="3" t="str">
        <f t="shared" si="174"/>
        <v>금</v>
      </c>
      <c r="H851" s="3">
        <f t="shared" si="175"/>
        <v>0</v>
      </c>
      <c r="I851" s="3"/>
      <c r="J851" s="3"/>
      <c r="K851" s="3"/>
      <c r="L851" s="12" t="str">
        <f t="shared" si="176"/>
        <v/>
      </c>
      <c r="M851" s="12" t="str">
        <f t="shared" si="177"/>
        <v/>
      </c>
      <c r="N851" s="11" t="str">
        <f t="shared" si="179"/>
        <v/>
      </c>
      <c r="O851" s="11" t="str">
        <f t="shared" si="165"/>
        <v/>
      </c>
      <c r="P851" s="11" t="str">
        <f t="shared" si="166"/>
        <v/>
      </c>
      <c r="Q851" s="7"/>
      <c r="R851" s="7"/>
      <c r="S851" s="7"/>
      <c r="T851" s="7"/>
      <c r="U851" s="7"/>
      <c r="V851" s="7"/>
      <c r="W851" s="7"/>
      <c r="X851" s="3"/>
      <c r="Y851" s="3"/>
      <c r="Z851" s="9">
        <v>1.3797299999999999</v>
      </c>
      <c r="AA851" s="12">
        <f t="shared" si="178"/>
        <v>-5.6349684020463586E-2</v>
      </c>
      <c r="AB851" s="9">
        <f t="shared" si="180"/>
        <v>2.0077514285714289</v>
      </c>
      <c r="AC851" s="9">
        <f t="shared" si="167"/>
        <v>2.2303857142857146</v>
      </c>
      <c r="AD851" s="9">
        <f t="shared" si="168"/>
        <v>0.90018126268998955</v>
      </c>
      <c r="AE851" s="3" t="s">
        <v>80</v>
      </c>
      <c r="AF851" s="11" t="str">
        <f t="shared" si="169"/>
        <v/>
      </c>
      <c r="AG851" s="11" t="str">
        <f t="shared" si="170"/>
        <v/>
      </c>
      <c r="AH851" s="11">
        <f t="shared" si="171"/>
        <v>0.61860600664843346</v>
      </c>
      <c r="AI851" s="3" t="s">
        <v>45</v>
      </c>
      <c r="AJ851" s="3" t="s">
        <v>79</v>
      </c>
      <c r="AK851" s="3" t="s">
        <v>46</v>
      </c>
      <c r="AL851" s="3" t="s">
        <v>81</v>
      </c>
      <c r="AM851" s="3" t="s">
        <v>82</v>
      </c>
    </row>
    <row r="852" spans="1:39" ht="21" customHeight="1">
      <c r="A852" s="4">
        <v>43260</v>
      </c>
      <c r="B852" s="3" t="s">
        <v>78</v>
      </c>
      <c r="C852" s="3" t="s">
        <v>79</v>
      </c>
      <c r="D852" s="4">
        <v>43159</v>
      </c>
      <c r="E852" s="3">
        <f t="shared" si="172"/>
        <v>101</v>
      </c>
      <c r="F852" s="3" t="str">
        <f t="shared" si="173"/>
        <v>개봉후</v>
      </c>
      <c r="G852" s="3" t="str">
        <f t="shared" si="174"/>
        <v>토</v>
      </c>
      <c r="H852" s="3">
        <f t="shared" si="175"/>
        <v>1</v>
      </c>
      <c r="I852" s="3"/>
      <c r="J852" s="3"/>
      <c r="K852" s="3"/>
      <c r="L852" s="12" t="str">
        <f t="shared" si="176"/>
        <v/>
      </c>
      <c r="M852" s="12" t="str">
        <f t="shared" si="177"/>
        <v/>
      </c>
      <c r="N852" s="11" t="str">
        <f t="shared" si="179"/>
        <v/>
      </c>
      <c r="O852" s="11" t="str">
        <f t="shared" si="165"/>
        <v/>
      </c>
      <c r="P852" s="11" t="str">
        <f t="shared" si="166"/>
        <v/>
      </c>
      <c r="Q852" s="7"/>
      <c r="R852" s="7"/>
      <c r="S852" s="7"/>
      <c r="T852" s="7"/>
      <c r="U852" s="7"/>
      <c r="V852" s="7"/>
      <c r="W852" s="7"/>
      <c r="X852" s="3"/>
      <c r="Y852" s="3"/>
      <c r="Z852" s="9">
        <v>1.7508300000000001</v>
      </c>
      <c r="AA852" s="12">
        <f t="shared" si="178"/>
        <v>0.26896566719575588</v>
      </c>
      <c r="AB852" s="9">
        <f t="shared" si="180"/>
        <v>1.9275157142857144</v>
      </c>
      <c r="AC852" s="9">
        <f t="shared" si="167"/>
        <v>2.2121257142857145</v>
      </c>
      <c r="AD852" s="9">
        <f t="shared" si="168"/>
        <v>0.87134094678163476</v>
      </c>
      <c r="AE852" s="3" t="s">
        <v>80</v>
      </c>
      <c r="AF852" s="11" t="str">
        <f t="shared" si="169"/>
        <v/>
      </c>
      <c r="AG852" s="11" t="str">
        <f t="shared" si="170"/>
        <v/>
      </c>
      <c r="AH852" s="11">
        <f t="shared" si="171"/>
        <v>0.79146948507188941</v>
      </c>
      <c r="AI852" s="3" t="s">
        <v>45</v>
      </c>
      <c r="AJ852" s="3" t="s">
        <v>79</v>
      </c>
      <c r="AK852" s="3" t="s">
        <v>46</v>
      </c>
      <c r="AL852" s="3" t="s">
        <v>81</v>
      </c>
      <c r="AM852" s="3" t="s">
        <v>82</v>
      </c>
    </row>
    <row r="853" spans="1:39" ht="21" customHeight="1">
      <c r="A853" s="4">
        <v>43261</v>
      </c>
      <c r="B853" s="3" t="s">
        <v>78</v>
      </c>
      <c r="C853" s="3" t="s">
        <v>79</v>
      </c>
      <c r="D853" s="4">
        <v>43159</v>
      </c>
      <c r="E853" s="3">
        <f t="shared" si="172"/>
        <v>102</v>
      </c>
      <c r="F853" s="3" t="str">
        <f t="shared" si="173"/>
        <v>개봉후</v>
      </c>
      <c r="G853" s="3" t="str">
        <f t="shared" si="174"/>
        <v>일</v>
      </c>
      <c r="H853" s="3">
        <f t="shared" si="175"/>
        <v>1</v>
      </c>
      <c r="I853" s="3"/>
      <c r="J853" s="3"/>
      <c r="K853" s="3"/>
      <c r="L853" s="12" t="str">
        <f t="shared" si="176"/>
        <v/>
      </c>
      <c r="M853" s="12" t="str">
        <f t="shared" si="177"/>
        <v/>
      </c>
      <c r="N853" s="11" t="str">
        <f t="shared" si="179"/>
        <v/>
      </c>
      <c r="O853" s="11" t="str">
        <f t="shared" si="165"/>
        <v/>
      </c>
      <c r="P853" s="11" t="str">
        <f t="shared" si="166"/>
        <v/>
      </c>
      <c r="Q853" s="7"/>
      <c r="R853" s="7"/>
      <c r="S853" s="7"/>
      <c r="T853" s="7"/>
      <c r="U853" s="7"/>
      <c r="V853" s="7"/>
      <c r="W853" s="7"/>
      <c r="X853" s="3"/>
      <c r="Y853" s="3"/>
      <c r="Z853" s="9">
        <v>2.5211199999999998</v>
      </c>
      <c r="AA853" s="12">
        <f t="shared" si="178"/>
        <v>0.43995704894250132</v>
      </c>
      <c r="AB853" s="9">
        <f t="shared" si="180"/>
        <v>1.8819271428571429</v>
      </c>
      <c r="AC853" s="9">
        <f t="shared" si="167"/>
        <v>2.1310621428571426</v>
      </c>
      <c r="AD853" s="9">
        <f t="shared" si="168"/>
        <v>0.88309350769753658</v>
      </c>
      <c r="AE853" s="3" t="s">
        <v>80</v>
      </c>
      <c r="AF853" s="11" t="str">
        <f t="shared" si="169"/>
        <v/>
      </c>
      <c r="AG853" s="11" t="str">
        <f t="shared" si="170"/>
        <v/>
      </c>
      <c r="AH853" s="11">
        <f t="shared" si="171"/>
        <v>1.1830344828048522</v>
      </c>
      <c r="AI853" s="3" t="s">
        <v>45</v>
      </c>
      <c r="AJ853" s="3" t="s">
        <v>79</v>
      </c>
      <c r="AK853" s="3" t="s">
        <v>46</v>
      </c>
      <c r="AL853" s="3" t="s">
        <v>81</v>
      </c>
      <c r="AM853" s="3" t="s">
        <v>82</v>
      </c>
    </row>
    <row r="854" spans="1:39" ht="21" customHeight="1">
      <c r="A854" s="4">
        <v>43262</v>
      </c>
      <c r="B854" s="3" t="s">
        <v>78</v>
      </c>
      <c r="C854" s="3" t="s">
        <v>79</v>
      </c>
      <c r="D854" s="4">
        <v>43159</v>
      </c>
      <c r="E854" s="3">
        <f t="shared" si="172"/>
        <v>103</v>
      </c>
      <c r="F854" s="3" t="str">
        <f t="shared" si="173"/>
        <v>개봉후</v>
      </c>
      <c r="G854" s="3" t="str">
        <f t="shared" si="174"/>
        <v>월</v>
      </c>
      <c r="H854" s="3">
        <f t="shared" si="175"/>
        <v>0</v>
      </c>
      <c r="I854" s="3"/>
      <c r="J854" s="3"/>
      <c r="K854" s="3"/>
      <c r="L854" s="12" t="str">
        <f t="shared" si="176"/>
        <v/>
      </c>
      <c r="M854" s="12" t="str">
        <f t="shared" si="177"/>
        <v/>
      </c>
      <c r="N854" s="11" t="str">
        <f t="shared" si="179"/>
        <v/>
      </c>
      <c r="O854" s="11" t="str">
        <f t="shared" si="165"/>
        <v/>
      </c>
      <c r="P854" s="11" t="str">
        <f t="shared" si="166"/>
        <v/>
      </c>
      <c r="Q854" s="7"/>
      <c r="R854" s="7"/>
      <c r="S854" s="7"/>
      <c r="T854" s="7"/>
      <c r="U854" s="7"/>
      <c r="V854" s="7"/>
      <c r="W854" s="7"/>
      <c r="X854" s="3"/>
      <c r="Y854" s="3"/>
      <c r="Z854" s="9">
        <v>1.51109</v>
      </c>
      <c r="AA854" s="12">
        <f t="shared" si="178"/>
        <v>-0.40062749888938243</v>
      </c>
      <c r="AB854" s="9">
        <f t="shared" si="180"/>
        <v>1.8199271428571429</v>
      </c>
      <c r="AC854" s="9">
        <f t="shared" si="167"/>
        <v>2.119300357142857</v>
      </c>
      <c r="AD854" s="9">
        <f t="shared" si="168"/>
        <v>0.85873960088917489</v>
      </c>
      <c r="AE854" s="3" t="s">
        <v>80</v>
      </c>
      <c r="AF854" s="11" t="str">
        <f t="shared" si="169"/>
        <v/>
      </c>
      <c r="AG854" s="11" t="str">
        <f t="shared" si="170"/>
        <v/>
      </c>
      <c r="AH854" s="11">
        <f t="shared" si="171"/>
        <v>0.7130136107923758</v>
      </c>
      <c r="AI854" s="3" t="s">
        <v>45</v>
      </c>
      <c r="AJ854" s="3" t="s">
        <v>79</v>
      </c>
      <c r="AK854" s="3" t="s">
        <v>46</v>
      </c>
      <c r="AL854" s="3" t="s">
        <v>81</v>
      </c>
      <c r="AM854" s="3" t="s">
        <v>82</v>
      </c>
    </row>
    <row r="855" spans="1:39" ht="21" customHeight="1">
      <c r="A855" s="4">
        <v>43263</v>
      </c>
      <c r="B855" s="3" t="s">
        <v>78</v>
      </c>
      <c r="C855" s="3" t="s">
        <v>79</v>
      </c>
      <c r="D855" s="4">
        <v>43159</v>
      </c>
      <c r="E855" s="3">
        <f t="shared" si="172"/>
        <v>104</v>
      </c>
      <c r="F855" s="3" t="str">
        <f t="shared" si="173"/>
        <v>개봉후</v>
      </c>
      <c r="G855" s="3" t="str">
        <f t="shared" si="174"/>
        <v>화</v>
      </c>
      <c r="H855" s="3">
        <f t="shared" si="175"/>
        <v>0</v>
      </c>
      <c r="I855" s="3"/>
      <c r="J855" s="3"/>
      <c r="K855" s="3"/>
      <c r="L855" s="12" t="str">
        <f t="shared" si="176"/>
        <v/>
      </c>
      <c r="M855" s="12" t="str">
        <f t="shared" si="177"/>
        <v/>
      </c>
      <c r="N855" s="11" t="str">
        <f t="shared" si="179"/>
        <v/>
      </c>
      <c r="O855" s="11" t="str">
        <f t="shared" ref="O855:O918" si="181">IF(COUNT(I827:I854)=28,AVERAGE(I827:I854),"")</f>
        <v/>
      </c>
      <c r="P855" s="11" t="str">
        <f t="shared" ref="P855:P918" si="182">IF(COUNT(I855,O855)=2,IFERROR(I855/O855,""),"")</f>
        <v/>
      </c>
      <c r="Q855" s="7"/>
      <c r="R855" s="7"/>
      <c r="S855" s="7"/>
      <c r="T855" s="7"/>
      <c r="U855" s="7"/>
      <c r="V855" s="7"/>
      <c r="W855" s="7"/>
      <c r="X855" s="3"/>
      <c r="Y855" s="3"/>
      <c r="Z855" s="9">
        <v>1.40201</v>
      </c>
      <c r="AA855" s="12">
        <f t="shared" si="178"/>
        <v>-7.2186302602757046E-2</v>
      </c>
      <c r="AB855" s="9">
        <f t="shared" si="180"/>
        <v>1.7650885714285713</v>
      </c>
      <c r="AC855" s="9">
        <f t="shared" ref="AC855:AC918" si="183">IF(COUNT(Z827:Z854)=28,AVERAGE(Z827:Z854),"")</f>
        <v>2.1070000000000002</v>
      </c>
      <c r="AD855" s="9">
        <f t="shared" ref="AD855:AD918" si="184">IF(COUNT(AB855:AC855)=2,IFERROR(AB855/AC855,""),"")</f>
        <v>0.8377259475218658</v>
      </c>
      <c r="AE855" s="3" t="s">
        <v>80</v>
      </c>
      <c r="AF855" s="11" t="str">
        <f t="shared" ref="AF855:AF918" si="185">IF(COUNT(J848,J841,J834,J827)=4,AVERAGE(J848,J841,J834,J827),"")</f>
        <v/>
      </c>
      <c r="AG855" s="11" t="str">
        <f t="shared" ref="AG855:AG918" si="186">IF(COUNT(J855,AF855)=2,IFERROR(J855/AF855,""),"")</f>
        <v/>
      </c>
      <c r="AH855" s="11">
        <f t="shared" ref="AH855:AH918" si="187">IF(COUNT(Z855,AC855)=2,IFERROR(Z855/AC855,""),"")</f>
        <v>0.6654057902230659</v>
      </c>
      <c r="AI855" s="3" t="s">
        <v>45</v>
      </c>
      <c r="AJ855" s="3" t="s">
        <v>79</v>
      </c>
      <c r="AK855" s="3" t="s">
        <v>46</v>
      </c>
      <c r="AL855" s="3" t="s">
        <v>81</v>
      </c>
      <c r="AM855" s="3" t="s">
        <v>82</v>
      </c>
    </row>
    <row r="856" spans="1:39" ht="21" customHeight="1">
      <c r="A856" s="4">
        <v>43264</v>
      </c>
      <c r="B856" s="3" t="s">
        <v>78</v>
      </c>
      <c r="C856" s="3" t="s">
        <v>79</v>
      </c>
      <c r="D856" s="4">
        <v>43159</v>
      </c>
      <c r="E856" s="3">
        <f t="shared" si="172"/>
        <v>105</v>
      </c>
      <c r="F856" s="3" t="str">
        <f t="shared" si="173"/>
        <v>개봉후</v>
      </c>
      <c r="G856" s="3" t="str">
        <f t="shared" si="174"/>
        <v>수</v>
      </c>
      <c r="H856" s="3">
        <f t="shared" si="175"/>
        <v>0</v>
      </c>
      <c r="I856" s="3"/>
      <c r="J856" s="3"/>
      <c r="K856" s="3"/>
      <c r="L856" s="12" t="str">
        <f t="shared" si="176"/>
        <v/>
      </c>
      <c r="M856" s="12" t="str">
        <f t="shared" si="177"/>
        <v/>
      </c>
      <c r="N856" s="11" t="str">
        <f t="shared" si="179"/>
        <v/>
      </c>
      <c r="O856" s="11" t="str">
        <f t="shared" si="181"/>
        <v/>
      </c>
      <c r="P856" s="11" t="str">
        <f t="shared" si="182"/>
        <v/>
      </c>
      <c r="Q856" s="7"/>
      <c r="R856" s="7"/>
      <c r="S856" s="7"/>
      <c r="T856" s="7"/>
      <c r="U856" s="7"/>
      <c r="V856" s="7"/>
      <c r="W856" s="7"/>
      <c r="X856" s="3"/>
      <c r="Y856" s="3"/>
      <c r="Z856" s="9">
        <v>1.81535</v>
      </c>
      <c r="AA856" s="12">
        <f t="shared" si="178"/>
        <v>0.29481958045948331</v>
      </c>
      <c r="AB856" s="9">
        <f t="shared" si="180"/>
        <v>1.6917500000000001</v>
      </c>
      <c r="AC856" s="9">
        <f t="shared" si="183"/>
        <v>2.099913214285714</v>
      </c>
      <c r="AD856" s="9">
        <f t="shared" si="184"/>
        <v>0.80562853192742501</v>
      </c>
      <c r="AE856" s="3" t="s">
        <v>80</v>
      </c>
      <c r="AF856" s="11" t="str">
        <f t="shared" si="185"/>
        <v/>
      </c>
      <c r="AG856" s="11" t="str">
        <f t="shared" si="186"/>
        <v/>
      </c>
      <c r="AH856" s="11">
        <f t="shared" si="187"/>
        <v>0.86448810724660918</v>
      </c>
      <c r="AI856" s="3" t="s">
        <v>45</v>
      </c>
      <c r="AJ856" s="3" t="s">
        <v>79</v>
      </c>
      <c r="AK856" s="3" t="s">
        <v>46</v>
      </c>
      <c r="AL856" s="3" t="s">
        <v>81</v>
      </c>
      <c r="AM856" s="3" t="s">
        <v>82</v>
      </c>
    </row>
    <row r="857" spans="1:39" ht="21" customHeight="1">
      <c r="A857" s="4">
        <v>43265</v>
      </c>
      <c r="B857" s="3" t="s">
        <v>78</v>
      </c>
      <c r="C857" s="3" t="s">
        <v>79</v>
      </c>
      <c r="D857" s="4">
        <v>43159</v>
      </c>
      <c r="E857" s="3">
        <f t="shared" si="172"/>
        <v>106</v>
      </c>
      <c r="F857" s="3" t="str">
        <f t="shared" si="173"/>
        <v>개봉후</v>
      </c>
      <c r="G857" s="3" t="str">
        <f t="shared" si="174"/>
        <v>목</v>
      </c>
      <c r="H857" s="3">
        <f t="shared" si="175"/>
        <v>0</v>
      </c>
      <c r="I857" s="3"/>
      <c r="J857" s="3"/>
      <c r="K857" s="3"/>
      <c r="L857" s="12" t="str">
        <f t="shared" si="176"/>
        <v/>
      </c>
      <c r="M857" s="12" t="str">
        <f t="shared" si="177"/>
        <v/>
      </c>
      <c r="N857" s="11" t="str">
        <f t="shared" si="179"/>
        <v/>
      </c>
      <c r="O857" s="11" t="str">
        <f t="shared" si="181"/>
        <v/>
      </c>
      <c r="P857" s="11" t="str">
        <f t="shared" si="182"/>
        <v/>
      </c>
      <c r="Q857" s="7"/>
      <c r="R857" s="7"/>
      <c r="S857" s="7"/>
      <c r="T857" s="7"/>
      <c r="U857" s="7"/>
      <c r="V857" s="7"/>
      <c r="W857" s="7"/>
      <c r="X857" s="3"/>
      <c r="Y857" s="3"/>
      <c r="Z857" s="9">
        <v>1.36697</v>
      </c>
      <c r="AA857" s="12">
        <f t="shared" si="178"/>
        <v>-0.24699369267634341</v>
      </c>
      <c r="AB857" s="9">
        <f t="shared" si="180"/>
        <v>1.6781571428571431</v>
      </c>
      <c r="AC857" s="9">
        <f t="shared" si="183"/>
        <v>2.1081767857142859</v>
      </c>
      <c r="AD857" s="9">
        <f t="shared" si="184"/>
        <v>0.79602296839093367</v>
      </c>
      <c r="AE857" s="3" t="s">
        <v>80</v>
      </c>
      <c r="AF857" s="11" t="str">
        <f t="shared" si="185"/>
        <v/>
      </c>
      <c r="AG857" s="11" t="str">
        <f t="shared" si="186"/>
        <v/>
      </c>
      <c r="AH857" s="11">
        <f t="shared" si="187"/>
        <v>0.64841336327344457</v>
      </c>
      <c r="AI857" s="3" t="s">
        <v>45</v>
      </c>
      <c r="AJ857" s="3" t="s">
        <v>79</v>
      </c>
      <c r="AK857" s="3" t="s">
        <v>46</v>
      </c>
      <c r="AL857" s="3" t="s">
        <v>81</v>
      </c>
      <c r="AM857" s="3" t="s">
        <v>82</v>
      </c>
    </row>
    <row r="858" spans="1:39" ht="21" customHeight="1">
      <c r="A858" s="4">
        <v>43266</v>
      </c>
      <c r="B858" s="3" t="s">
        <v>78</v>
      </c>
      <c r="C858" s="3" t="s">
        <v>79</v>
      </c>
      <c r="D858" s="4">
        <v>43159</v>
      </c>
      <c r="E858" s="3">
        <f t="shared" si="172"/>
        <v>107</v>
      </c>
      <c r="F858" s="3" t="str">
        <f t="shared" si="173"/>
        <v>개봉후</v>
      </c>
      <c r="G858" s="3" t="str">
        <f t="shared" si="174"/>
        <v>금</v>
      </c>
      <c r="H858" s="3">
        <f t="shared" si="175"/>
        <v>0</v>
      </c>
      <c r="I858" s="3"/>
      <c r="J858" s="3"/>
      <c r="K858" s="3"/>
      <c r="L858" s="12" t="str">
        <f t="shared" si="176"/>
        <v/>
      </c>
      <c r="M858" s="12" t="str">
        <f t="shared" si="177"/>
        <v/>
      </c>
      <c r="N858" s="11" t="str">
        <f t="shared" si="179"/>
        <v/>
      </c>
      <c r="O858" s="11" t="str">
        <f t="shared" si="181"/>
        <v/>
      </c>
      <c r="P858" s="11" t="str">
        <f t="shared" si="182"/>
        <v/>
      </c>
      <c r="Q858" s="7"/>
      <c r="R858" s="7"/>
      <c r="S858" s="7"/>
      <c r="T858" s="7"/>
      <c r="U858" s="7"/>
      <c r="V858" s="7"/>
      <c r="W858" s="7"/>
      <c r="X858" s="3"/>
      <c r="Y858" s="3"/>
      <c r="Z858" s="9">
        <v>1.1638900000000001</v>
      </c>
      <c r="AA858" s="12">
        <f t="shared" si="178"/>
        <v>-0.1485621484012084</v>
      </c>
      <c r="AB858" s="9">
        <f t="shared" si="180"/>
        <v>1.6473228571428573</v>
      </c>
      <c r="AC858" s="9">
        <f t="shared" si="183"/>
        <v>2.0992003571428568</v>
      </c>
      <c r="AD858" s="9">
        <f t="shared" si="184"/>
        <v>0.78473827023589449</v>
      </c>
      <c r="AE858" s="3" t="s">
        <v>80</v>
      </c>
      <c r="AF858" s="11" t="str">
        <f t="shared" si="185"/>
        <v/>
      </c>
      <c r="AG858" s="11" t="str">
        <f t="shared" si="186"/>
        <v/>
      </c>
      <c r="AH858" s="11">
        <f t="shared" si="187"/>
        <v>0.55444445597566838</v>
      </c>
      <c r="AI858" s="3" t="s">
        <v>45</v>
      </c>
      <c r="AJ858" s="3" t="s">
        <v>79</v>
      </c>
      <c r="AK858" s="3" t="s">
        <v>46</v>
      </c>
      <c r="AL858" s="3" t="s">
        <v>81</v>
      </c>
      <c r="AM858" s="3" t="s">
        <v>82</v>
      </c>
    </row>
    <row r="859" spans="1:39" ht="21" customHeight="1">
      <c r="A859" s="4">
        <v>43267</v>
      </c>
      <c r="B859" s="3" t="s">
        <v>78</v>
      </c>
      <c r="C859" s="3" t="s">
        <v>79</v>
      </c>
      <c r="D859" s="4">
        <v>43159</v>
      </c>
      <c r="E859" s="3">
        <f t="shared" si="172"/>
        <v>108</v>
      </c>
      <c r="F859" s="3" t="str">
        <f t="shared" si="173"/>
        <v>개봉후</v>
      </c>
      <c r="G859" s="3" t="str">
        <f t="shared" si="174"/>
        <v>토</v>
      </c>
      <c r="H859" s="3">
        <f t="shared" si="175"/>
        <v>1</v>
      </c>
      <c r="I859" s="3"/>
      <c r="J859" s="3"/>
      <c r="K859" s="3"/>
      <c r="L859" s="12" t="str">
        <f t="shared" si="176"/>
        <v/>
      </c>
      <c r="M859" s="12" t="str">
        <f t="shared" si="177"/>
        <v/>
      </c>
      <c r="N859" s="11" t="str">
        <f t="shared" si="179"/>
        <v/>
      </c>
      <c r="O859" s="11" t="str">
        <f t="shared" si="181"/>
        <v/>
      </c>
      <c r="P859" s="11" t="str">
        <f t="shared" si="182"/>
        <v/>
      </c>
      <c r="Q859" s="7"/>
      <c r="R859" s="7"/>
      <c r="S859" s="7"/>
      <c r="T859" s="7"/>
      <c r="U859" s="7"/>
      <c r="V859" s="7"/>
      <c r="W859" s="7"/>
      <c r="X859" s="3"/>
      <c r="Y859" s="3"/>
      <c r="Z859" s="9">
        <v>1.3089500000000001</v>
      </c>
      <c r="AA859" s="12">
        <f t="shared" si="178"/>
        <v>0.1246337712326766</v>
      </c>
      <c r="AB859" s="9">
        <f t="shared" si="180"/>
        <v>1.5841971428571429</v>
      </c>
      <c r="AC859" s="9">
        <f t="shared" si="183"/>
        <v>2.0748646428571429</v>
      </c>
      <c r="AD859" s="9">
        <f t="shared" si="184"/>
        <v>0.76351830868140969</v>
      </c>
      <c r="AE859" s="3" t="s">
        <v>80</v>
      </c>
      <c r="AF859" s="11" t="str">
        <f t="shared" si="185"/>
        <v/>
      </c>
      <c r="AG859" s="11" t="str">
        <f t="shared" si="186"/>
        <v/>
      </c>
      <c r="AH859" s="11">
        <f t="shared" si="187"/>
        <v>0.63086042962182909</v>
      </c>
      <c r="AI859" s="3" t="s">
        <v>45</v>
      </c>
      <c r="AJ859" s="3" t="s">
        <v>79</v>
      </c>
      <c r="AK859" s="3" t="s">
        <v>46</v>
      </c>
      <c r="AL859" s="3" t="s">
        <v>81</v>
      </c>
      <c r="AM859" s="3" t="s">
        <v>82</v>
      </c>
    </row>
    <row r="860" spans="1:39" ht="21" customHeight="1">
      <c r="A860" s="4">
        <v>43268</v>
      </c>
      <c r="B860" s="3" t="s">
        <v>78</v>
      </c>
      <c r="C860" s="3" t="s">
        <v>79</v>
      </c>
      <c r="D860" s="4">
        <v>43159</v>
      </c>
      <c r="E860" s="3">
        <f t="shared" si="172"/>
        <v>109</v>
      </c>
      <c r="F860" s="3" t="str">
        <f t="shared" si="173"/>
        <v>개봉후</v>
      </c>
      <c r="G860" s="3" t="str">
        <f t="shared" si="174"/>
        <v>일</v>
      </c>
      <c r="H860" s="3">
        <f t="shared" si="175"/>
        <v>1</v>
      </c>
      <c r="I860" s="3"/>
      <c r="J860" s="3"/>
      <c r="K860" s="3"/>
      <c r="L860" s="12" t="str">
        <f t="shared" si="176"/>
        <v/>
      </c>
      <c r="M860" s="12" t="str">
        <f t="shared" si="177"/>
        <v/>
      </c>
      <c r="N860" s="11" t="str">
        <f t="shared" si="179"/>
        <v/>
      </c>
      <c r="O860" s="11" t="str">
        <f t="shared" si="181"/>
        <v/>
      </c>
      <c r="P860" s="11" t="str">
        <f t="shared" si="182"/>
        <v/>
      </c>
      <c r="Q860" s="7"/>
      <c r="R860" s="7"/>
      <c r="S860" s="7"/>
      <c r="T860" s="7"/>
      <c r="U860" s="7"/>
      <c r="V860" s="7"/>
      <c r="W860" s="7"/>
      <c r="X860" s="3"/>
      <c r="Y860" s="3"/>
      <c r="Z860" s="9">
        <v>1.5120199999999999</v>
      </c>
      <c r="AA860" s="12">
        <f t="shared" si="178"/>
        <v>0.15513961572252555</v>
      </c>
      <c r="AB860" s="9">
        <f t="shared" si="180"/>
        <v>1.44004</v>
      </c>
      <c r="AC860" s="9">
        <f t="shared" si="183"/>
        <v>1.9593946428571434</v>
      </c>
      <c r="AD860" s="9">
        <f t="shared" si="184"/>
        <v>0.7349412765057719</v>
      </c>
      <c r="AE860" s="3" t="s">
        <v>80</v>
      </c>
      <c r="AF860" s="11" t="str">
        <f t="shared" si="185"/>
        <v/>
      </c>
      <c r="AG860" s="11" t="str">
        <f t="shared" si="186"/>
        <v/>
      </c>
      <c r="AH860" s="11">
        <f t="shared" si="187"/>
        <v>0.77167711237344605</v>
      </c>
      <c r="AI860" s="3" t="s">
        <v>45</v>
      </c>
      <c r="AJ860" s="3" t="s">
        <v>79</v>
      </c>
      <c r="AK860" s="3" t="s">
        <v>46</v>
      </c>
      <c r="AL860" s="3" t="s">
        <v>81</v>
      </c>
      <c r="AM860" s="3" t="s">
        <v>82</v>
      </c>
    </row>
    <row r="861" spans="1:39" ht="21" customHeight="1">
      <c r="A861" s="4">
        <v>43269</v>
      </c>
      <c r="B861" s="3" t="s">
        <v>78</v>
      </c>
      <c r="C861" s="3" t="s">
        <v>79</v>
      </c>
      <c r="D861" s="4">
        <v>43159</v>
      </c>
      <c r="E861" s="3">
        <f t="shared" si="172"/>
        <v>110</v>
      </c>
      <c r="F861" s="3" t="str">
        <f t="shared" si="173"/>
        <v>개봉후</v>
      </c>
      <c r="G861" s="3" t="str">
        <f t="shared" si="174"/>
        <v>월</v>
      </c>
      <c r="H861" s="3">
        <f t="shared" si="175"/>
        <v>0</v>
      </c>
      <c r="I861" s="3"/>
      <c r="J861" s="3"/>
      <c r="K861" s="3"/>
      <c r="L861" s="12" t="str">
        <f t="shared" si="176"/>
        <v/>
      </c>
      <c r="M861" s="12" t="str">
        <f t="shared" si="177"/>
        <v/>
      </c>
      <c r="N861" s="11" t="str">
        <f t="shared" si="179"/>
        <v/>
      </c>
      <c r="O861" s="11" t="str">
        <f t="shared" si="181"/>
        <v/>
      </c>
      <c r="P861" s="11" t="str">
        <f t="shared" si="182"/>
        <v/>
      </c>
      <c r="Q861" s="7"/>
      <c r="R861" s="7"/>
      <c r="S861" s="7"/>
      <c r="T861" s="7"/>
      <c r="U861" s="7"/>
      <c r="V861" s="7"/>
      <c r="W861" s="7"/>
      <c r="X861" s="3"/>
      <c r="Y861" s="3"/>
      <c r="Z861" s="9">
        <v>0.98287000000000002</v>
      </c>
      <c r="AA861" s="12">
        <f t="shared" si="178"/>
        <v>-0.34996230208595125</v>
      </c>
      <c r="AB861" s="9">
        <f t="shared" si="180"/>
        <v>1.3645800000000001</v>
      </c>
      <c r="AC861" s="9">
        <f t="shared" si="183"/>
        <v>1.8691471428571433</v>
      </c>
      <c r="AD861" s="9">
        <f t="shared" si="184"/>
        <v>0.73005488370173399</v>
      </c>
      <c r="AE861" s="3" t="s">
        <v>80</v>
      </c>
      <c r="AF861" s="11" t="str">
        <f t="shared" si="185"/>
        <v/>
      </c>
      <c r="AG861" s="11" t="str">
        <f t="shared" si="186"/>
        <v/>
      </c>
      <c r="AH861" s="11">
        <f t="shared" si="187"/>
        <v>0.52583875151616122</v>
      </c>
      <c r="AI861" s="3" t="s">
        <v>45</v>
      </c>
      <c r="AJ861" s="3" t="s">
        <v>79</v>
      </c>
      <c r="AK861" s="3" t="s">
        <v>46</v>
      </c>
      <c r="AL861" s="3" t="s">
        <v>81</v>
      </c>
      <c r="AM861" s="3" t="s">
        <v>82</v>
      </c>
    </row>
    <row r="862" spans="1:39" ht="21" customHeight="1">
      <c r="A862" s="4">
        <v>43270</v>
      </c>
      <c r="B862" s="3" t="s">
        <v>78</v>
      </c>
      <c r="C862" s="3" t="s">
        <v>79</v>
      </c>
      <c r="D862" s="4">
        <v>43159</v>
      </c>
      <c r="E862" s="3">
        <f t="shared" si="172"/>
        <v>111</v>
      </c>
      <c r="F862" s="3" t="str">
        <f t="shared" si="173"/>
        <v>개봉후</v>
      </c>
      <c r="G862" s="3" t="str">
        <f t="shared" si="174"/>
        <v>화</v>
      </c>
      <c r="H862" s="3">
        <f t="shared" si="175"/>
        <v>0</v>
      </c>
      <c r="I862" s="3"/>
      <c r="J862" s="3"/>
      <c r="K862" s="3"/>
      <c r="L862" s="12" t="str">
        <f t="shared" si="176"/>
        <v/>
      </c>
      <c r="M862" s="12" t="str">
        <f t="shared" si="177"/>
        <v/>
      </c>
      <c r="N862" s="11" t="str">
        <f t="shared" si="179"/>
        <v/>
      </c>
      <c r="O862" s="11" t="str">
        <f t="shared" si="181"/>
        <v/>
      </c>
      <c r="P862" s="11" t="str">
        <f t="shared" si="182"/>
        <v/>
      </c>
      <c r="Q862" s="7"/>
      <c r="R862" s="7"/>
      <c r="S862" s="7"/>
      <c r="T862" s="7"/>
      <c r="U862" s="7"/>
      <c r="V862" s="7"/>
      <c r="W862" s="7"/>
      <c r="X862" s="3"/>
      <c r="Y862" s="3"/>
      <c r="Z862" s="9">
        <v>1.05505</v>
      </c>
      <c r="AA862" s="12">
        <f t="shared" si="178"/>
        <v>7.3437992816954401E-2</v>
      </c>
      <c r="AB862" s="9">
        <f t="shared" si="180"/>
        <v>1.3150142857142857</v>
      </c>
      <c r="AC862" s="9">
        <f t="shared" si="183"/>
        <v>1.8042050000000007</v>
      </c>
      <c r="AD862" s="9">
        <f t="shared" si="184"/>
        <v>0.72886079226822076</v>
      </c>
      <c r="AE862" s="3" t="s">
        <v>80</v>
      </c>
      <c r="AF862" s="11" t="str">
        <f t="shared" si="185"/>
        <v/>
      </c>
      <c r="AG862" s="11" t="str">
        <f t="shared" si="186"/>
        <v/>
      </c>
      <c r="AH862" s="11">
        <f t="shared" si="187"/>
        <v>0.58477279466579446</v>
      </c>
      <c r="AI862" s="3" t="s">
        <v>45</v>
      </c>
      <c r="AJ862" s="3" t="s">
        <v>79</v>
      </c>
      <c r="AK862" s="3" t="s">
        <v>46</v>
      </c>
      <c r="AL862" s="3" t="s">
        <v>81</v>
      </c>
      <c r="AM862" s="3" t="s">
        <v>82</v>
      </c>
    </row>
    <row r="863" spans="1:39" ht="21" customHeight="1">
      <c r="A863" s="4">
        <v>43271</v>
      </c>
      <c r="B863" s="3" t="s">
        <v>78</v>
      </c>
      <c r="C863" s="3" t="s">
        <v>79</v>
      </c>
      <c r="D863" s="4">
        <v>43159</v>
      </c>
      <c r="E863" s="3">
        <f t="shared" si="172"/>
        <v>112</v>
      </c>
      <c r="F863" s="3" t="str">
        <f t="shared" si="173"/>
        <v>개봉후</v>
      </c>
      <c r="G863" s="3" t="str">
        <f t="shared" si="174"/>
        <v>수</v>
      </c>
      <c r="H863" s="3">
        <f t="shared" si="175"/>
        <v>0</v>
      </c>
      <c r="I863" s="3"/>
      <c r="J863" s="3"/>
      <c r="K863" s="3"/>
      <c r="L863" s="12" t="str">
        <f t="shared" si="176"/>
        <v/>
      </c>
      <c r="M863" s="12" t="str">
        <f t="shared" si="177"/>
        <v/>
      </c>
      <c r="N863" s="11" t="str">
        <f t="shared" si="179"/>
        <v/>
      </c>
      <c r="O863" s="11" t="str">
        <f t="shared" si="181"/>
        <v/>
      </c>
      <c r="P863" s="11" t="str">
        <f t="shared" si="182"/>
        <v/>
      </c>
      <c r="Q863" s="7"/>
      <c r="R863" s="7"/>
      <c r="S863" s="7"/>
      <c r="T863" s="7"/>
      <c r="U863" s="7"/>
      <c r="V863" s="7"/>
      <c r="W863" s="7"/>
      <c r="X863" s="3"/>
      <c r="Y863" s="3"/>
      <c r="Z863" s="9">
        <v>1.11052</v>
      </c>
      <c r="AA863" s="12">
        <f t="shared" si="178"/>
        <v>5.2575707312449538E-2</v>
      </c>
      <c r="AB863" s="9">
        <f t="shared" si="180"/>
        <v>1.2143242857142855</v>
      </c>
      <c r="AC863" s="9">
        <f t="shared" si="183"/>
        <v>1.7176792857142862</v>
      </c>
      <c r="AD863" s="9">
        <f t="shared" si="184"/>
        <v>0.70695635431693316</v>
      </c>
      <c r="AE863" s="3" t="s">
        <v>80</v>
      </c>
      <c r="AF863" s="11" t="str">
        <f t="shared" si="185"/>
        <v/>
      </c>
      <c r="AG863" s="11" t="str">
        <f t="shared" si="186"/>
        <v/>
      </c>
      <c r="AH863" s="11">
        <f t="shared" si="187"/>
        <v>0.64652348621541256</v>
      </c>
      <c r="AI863" s="3" t="s">
        <v>45</v>
      </c>
      <c r="AJ863" s="3" t="s">
        <v>79</v>
      </c>
      <c r="AK863" s="3" t="s">
        <v>46</v>
      </c>
      <c r="AL863" s="3" t="s">
        <v>81</v>
      </c>
      <c r="AM863" s="3" t="s">
        <v>82</v>
      </c>
    </row>
    <row r="864" spans="1:39" ht="21" customHeight="1">
      <c r="A864" s="4">
        <v>43272</v>
      </c>
      <c r="B864" s="3" t="s">
        <v>78</v>
      </c>
      <c r="C864" s="3" t="s">
        <v>79</v>
      </c>
      <c r="D864" s="4">
        <v>43159</v>
      </c>
      <c r="E864" s="3">
        <f t="shared" si="172"/>
        <v>113</v>
      </c>
      <c r="F864" s="3" t="str">
        <f t="shared" si="173"/>
        <v>개봉후</v>
      </c>
      <c r="G864" s="3" t="str">
        <f t="shared" si="174"/>
        <v>목</v>
      </c>
      <c r="H864" s="3">
        <f t="shared" si="175"/>
        <v>0</v>
      </c>
      <c r="I864" s="3"/>
      <c r="J864" s="3"/>
      <c r="K864" s="3"/>
      <c r="L864" s="12" t="str">
        <f t="shared" si="176"/>
        <v/>
      </c>
      <c r="M864" s="12" t="str">
        <f t="shared" si="177"/>
        <v/>
      </c>
      <c r="N864" s="11" t="str">
        <f t="shared" si="179"/>
        <v/>
      </c>
      <c r="O864" s="11" t="str">
        <f t="shared" si="181"/>
        <v/>
      </c>
      <c r="P864" s="11" t="str">
        <f t="shared" si="182"/>
        <v/>
      </c>
      <c r="Q864" s="7"/>
      <c r="R864" s="7"/>
      <c r="S864" s="7"/>
      <c r="T864" s="7"/>
      <c r="U864" s="7"/>
      <c r="V864" s="7"/>
      <c r="W864" s="7"/>
      <c r="X864" s="3"/>
      <c r="Y864" s="3"/>
      <c r="Z864" s="9">
        <v>1.09613</v>
      </c>
      <c r="AA864" s="12">
        <f t="shared" si="178"/>
        <v>-1.295789359939481E-2</v>
      </c>
      <c r="AB864" s="9">
        <f t="shared" si="180"/>
        <v>1.1756328571428571</v>
      </c>
      <c r="AC864" s="9">
        <f t="shared" si="183"/>
        <v>1.6905257142857144</v>
      </c>
      <c r="AD864" s="9">
        <f t="shared" si="184"/>
        <v>0.69542441573542635</v>
      </c>
      <c r="AE864" s="3" t="s">
        <v>80</v>
      </c>
      <c r="AF864" s="11" t="str">
        <f t="shared" si="185"/>
        <v/>
      </c>
      <c r="AG864" s="11" t="str">
        <f t="shared" si="186"/>
        <v/>
      </c>
      <c r="AH864" s="11">
        <f t="shared" si="187"/>
        <v>0.64839593431629039</v>
      </c>
      <c r="AI864" s="3" t="s">
        <v>45</v>
      </c>
      <c r="AJ864" s="3" t="s">
        <v>79</v>
      </c>
      <c r="AK864" s="3" t="s">
        <v>46</v>
      </c>
      <c r="AL864" s="3" t="s">
        <v>81</v>
      </c>
      <c r="AM864" s="3" t="s">
        <v>82</v>
      </c>
    </row>
    <row r="865" spans="1:39" ht="21" customHeight="1">
      <c r="A865" s="4">
        <v>43273</v>
      </c>
      <c r="B865" s="3" t="s">
        <v>78</v>
      </c>
      <c r="C865" s="3" t="s">
        <v>79</v>
      </c>
      <c r="D865" s="4">
        <v>43159</v>
      </c>
      <c r="E865" s="3">
        <f t="shared" si="172"/>
        <v>114</v>
      </c>
      <c r="F865" s="3" t="str">
        <f t="shared" si="173"/>
        <v>개봉후</v>
      </c>
      <c r="G865" s="3" t="str">
        <f t="shared" si="174"/>
        <v>금</v>
      </c>
      <c r="H865" s="3">
        <f t="shared" si="175"/>
        <v>0</v>
      </c>
      <c r="I865" s="3"/>
      <c r="J865" s="3"/>
      <c r="K865" s="3"/>
      <c r="L865" s="12" t="str">
        <f t="shared" si="176"/>
        <v/>
      </c>
      <c r="M865" s="12" t="str">
        <f t="shared" si="177"/>
        <v/>
      </c>
      <c r="N865" s="11" t="str">
        <f t="shared" si="179"/>
        <v/>
      </c>
      <c r="O865" s="11" t="str">
        <f t="shared" si="181"/>
        <v/>
      </c>
      <c r="P865" s="11" t="str">
        <f t="shared" si="182"/>
        <v/>
      </c>
      <c r="Q865" s="7"/>
      <c r="R865" s="7"/>
      <c r="S865" s="7"/>
      <c r="T865" s="7"/>
      <c r="U865" s="7"/>
      <c r="V865" s="7"/>
      <c r="W865" s="7"/>
      <c r="X865" s="3"/>
      <c r="Y865" s="3"/>
      <c r="Z865" s="9">
        <v>1.1107499999999999</v>
      </c>
      <c r="AA865" s="12">
        <f t="shared" si="178"/>
        <v>1.3337834016038164E-2</v>
      </c>
      <c r="AB865" s="9">
        <f t="shared" si="180"/>
        <v>1.1680414285714285</v>
      </c>
      <c r="AC865" s="9">
        <f t="shared" si="183"/>
        <v>1.6714950000000004</v>
      </c>
      <c r="AD865" s="9">
        <f t="shared" si="184"/>
        <v>0.69880043229051125</v>
      </c>
      <c r="AE865" s="3" t="s">
        <v>80</v>
      </c>
      <c r="AF865" s="11" t="str">
        <f t="shared" si="185"/>
        <v/>
      </c>
      <c r="AG865" s="11" t="str">
        <f t="shared" si="186"/>
        <v/>
      </c>
      <c r="AH865" s="11">
        <f t="shared" si="187"/>
        <v>0.66452487144741657</v>
      </c>
      <c r="AI865" s="3" t="s">
        <v>45</v>
      </c>
      <c r="AJ865" s="3" t="s">
        <v>79</v>
      </c>
      <c r="AK865" s="3" t="s">
        <v>46</v>
      </c>
      <c r="AL865" s="3" t="s">
        <v>81</v>
      </c>
      <c r="AM865" s="3" t="s">
        <v>82</v>
      </c>
    </row>
    <row r="866" spans="1:39" ht="21" customHeight="1">
      <c r="A866" s="4">
        <v>43274</v>
      </c>
      <c r="B866" s="3" t="s">
        <v>78</v>
      </c>
      <c r="C866" s="3" t="s">
        <v>79</v>
      </c>
      <c r="D866" s="4">
        <v>43159</v>
      </c>
      <c r="E866" s="3">
        <f t="shared" si="172"/>
        <v>115</v>
      </c>
      <c r="F866" s="3" t="str">
        <f t="shared" si="173"/>
        <v>개봉후</v>
      </c>
      <c r="G866" s="3" t="str">
        <f t="shared" si="174"/>
        <v>토</v>
      </c>
      <c r="H866" s="3">
        <f t="shared" si="175"/>
        <v>1</v>
      </c>
      <c r="I866" s="3"/>
      <c r="J866" s="3"/>
      <c r="K866" s="3"/>
      <c r="L866" s="12" t="str">
        <f t="shared" si="176"/>
        <v/>
      </c>
      <c r="M866" s="12" t="str">
        <f t="shared" si="177"/>
        <v/>
      </c>
      <c r="N866" s="11" t="str">
        <f t="shared" si="179"/>
        <v/>
      </c>
      <c r="O866" s="11" t="str">
        <f t="shared" si="181"/>
        <v/>
      </c>
      <c r="P866" s="11" t="str">
        <f t="shared" si="182"/>
        <v/>
      </c>
      <c r="Q866" s="7">
        <v>1</v>
      </c>
      <c r="R866" s="7">
        <v>1</v>
      </c>
      <c r="S866" s="7">
        <v>413</v>
      </c>
      <c r="T866" s="7">
        <v>384000</v>
      </c>
      <c r="U866" s="7">
        <v>60</v>
      </c>
      <c r="V866" s="7">
        <v>1504720</v>
      </c>
      <c r="W866" s="7">
        <v>53</v>
      </c>
      <c r="X866" s="3"/>
      <c r="Y866" s="3" t="s">
        <v>83</v>
      </c>
      <c r="Z866" s="9">
        <v>1.2430399999999999</v>
      </c>
      <c r="AA866" s="12">
        <f t="shared" si="178"/>
        <v>0.11909970740490672</v>
      </c>
      <c r="AB866" s="9">
        <f t="shared" si="180"/>
        <v>1.1586257142857141</v>
      </c>
      <c r="AC866" s="9">
        <f t="shared" si="183"/>
        <v>1.6513203571428576</v>
      </c>
      <c r="AD866" s="9">
        <f t="shared" si="184"/>
        <v>0.70163594197457113</v>
      </c>
      <c r="AE866" s="3" t="s">
        <v>80</v>
      </c>
      <c r="AF866" s="11" t="str">
        <f t="shared" si="185"/>
        <v/>
      </c>
      <c r="AG866" s="11" t="str">
        <f t="shared" si="186"/>
        <v/>
      </c>
      <c r="AH866" s="11">
        <f t="shared" si="187"/>
        <v>0.75275520865662238</v>
      </c>
      <c r="AI866" s="3" t="s">
        <v>45</v>
      </c>
      <c r="AJ866" s="3" t="s">
        <v>79</v>
      </c>
      <c r="AK866" s="3" t="s">
        <v>46</v>
      </c>
      <c r="AL866" s="3" t="s">
        <v>81</v>
      </c>
      <c r="AM866" s="3" t="s">
        <v>82</v>
      </c>
    </row>
    <row r="867" spans="1:39" ht="21" customHeight="1">
      <c r="A867" s="4">
        <v>43275</v>
      </c>
      <c r="B867" s="3" t="s">
        <v>78</v>
      </c>
      <c r="C867" s="3" t="s">
        <v>79</v>
      </c>
      <c r="D867" s="4">
        <v>43159</v>
      </c>
      <c r="E867" s="3">
        <f t="shared" si="172"/>
        <v>116</v>
      </c>
      <c r="F867" s="3" t="str">
        <f t="shared" si="173"/>
        <v>개봉후</v>
      </c>
      <c r="G867" s="3" t="str">
        <f t="shared" si="174"/>
        <v>일</v>
      </c>
      <c r="H867" s="3">
        <f t="shared" si="175"/>
        <v>1</v>
      </c>
      <c r="I867" s="3"/>
      <c r="J867" s="3"/>
      <c r="K867" s="3"/>
      <c r="L867" s="12" t="str">
        <f t="shared" si="176"/>
        <v/>
      </c>
      <c r="M867" s="12" t="str">
        <f t="shared" si="177"/>
        <v/>
      </c>
      <c r="N867" s="11" t="str">
        <f t="shared" si="179"/>
        <v/>
      </c>
      <c r="O867" s="11" t="str">
        <f t="shared" si="181"/>
        <v/>
      </c>
      <c r="P867" s="11" t="str">
        <f t="shared" si="182"/>
        <v/>
      </c>
      <c r="Q867" s="7">
        <v>1</v>
      </c>
      <c r="R867" s="7">
        <v>1</v>
      </c>
      <c r="S867" s="7">
        <v>841</v>
      </c>
      <c r="T867" s="7">
        <v>317000</v>
      </c>
      <c r="U867" s="7">
        <v>49</v>
      </c>
      <c r="V867" s="7">
        <v>1504769</v>
      </c>
      <c r="W867" s="7">
        <v>45</v>
      </c>
      <c r="X867" s="3"/>
      <c r="Y867" s="3" t="s">
        <v>83</v>
      </c>
      <c r="Z867" s="9">
        <v>1.42893</v>
      </c>
      <c r="AA867" s="12">
        <f t="shared" si="178"/>
        <v>0.14954466469301075</v>
      </c>
      <c r="AB867" s="9">
        <f t="shared" si="180"/>
        <v>1.1467557142857141</v>
      </c>
      <c r="AC867" s="9">
        <f t="shared" si="183"/>
        <v>1.6193178571428575</v>
      </c>
      <c r="AD867" s="9">
        <f t="shared" si="184"/>
        <v>0.70817209186407826</v>
      </c>
      <c r="AE867" s="3" t="s">
        <v>80</v>
      </c>
      <c r="AF867" s="11" t="str">
        <f t="shared" si="185"/>
        <v/>
      </c>
      <c r="AG867" s="11" t="str">
        <f t="shared" si="186"/>
        <v/>
      </c>
      <c r="AH867" s="11">
        <f t="shared" si="187"/>
        <v>0.8824271242961651</v>
      </c>
      <c r="AI867" s="3" t="s">
        <v>45</v>
      </c>
      <c r="AJ867" s="3" t="s">
        <v>79</v>
      </c>
      <c r="AK867" s="3" t="s">
        <v>46</v>
      </c>
      <c r="AL867" s="3" t="s">
        <v>81</v>
      </c>
      <c r="AM867" s="3" t="s">
        <v>82</v>
      </c>
    </row>
    <row r="868" spans="1:39" ht="21" customHeight="1">
      <c r="A868" s="4">
        <v>43276</v>
      </c>
      <c r="B868" s="3" t="s">
        <v>78</v>
      </c>
      <c r="C868" s="3" t="s">
        <v>79</v>
      </c>
      <c r="D868" s="4">
        <v>43159</v>
      </c>
      <c r="E868" s="3">
        <f t="shared" si="172"/>
        <v>117</v>
      </c>
      <c r="F868" s="3" t="str">
        <f t="shared" si="173"/>
        <v>개봉후</v>
      </c>
      <c r="G868" s="3" t="str">
        <f t="shared" si="174"/>
        <v>월</v>
      </c>
      <c r="H868" s="3">
        <f t="shared" si="175"/>
        <v>0</v>
      </c>
      <c r="I868" s="3"/>
      <c r="J868" s="3"/>
      <c r="K868" s="3"/>
      <c r="L868" s="12" t="str">
        <f t="shared" si="176"/>
        <v/>
      </c>
      <c r="M868" s="12" t="str">
        <f t="shared" si="177"/>
        <v/>
      </c>
      <c r="N868" s="11" t="str">
        <f t="shared" si="179"/>
        <v/>
      </c>
      <c r="O868" s="11" t="str">
        <f t="shared" si="181"/>
        <v/>
      </c>
      <c r="P868" s="11" t="str">
        <f t="shared" si="182"/>
        <v/>
      </c>
      <c r="Q868" s="7"/>
      <c r="R868" s="7"/>
      <c r="S868" s="7"/>
      <c r="T868" s="7"/>
      <c r="U868" s="7"/>
      <c r="V868" s="7"/>
      <c r="W868" s="7"/>
      <c r="X868" s="3"/>
      <c r="Y868" s="3"/>
      <c r="Z868" s="9">
        <v>1.2845800000000001</v>
      </c>
      <c r="AA868" s="12">
        <f t="shared" si="178"/>
        <v>-0.10101964406933861</v>
      </c>
      <c r="AB868" s="9">
        <f t="shared" si="180"/>
        <v>1.1898571428571429</v>
      </c>
      <c r="AC868" s="9">
        <f t="shared" si="183"/>
        <v>1.5840160714285718</v>
      </c>
      <c r="AD868" s="9">
        <f t="shared" si="184"/>
        <v>0.75116481727615936</v>
      </c>
      <c r="AE868" s="3" t="s">
        <v>80</v>
      </c>
      <c r="AF868" s="11" t="str">
        <f t="shared" si="185"/>
        <v/>
      </c>
      <c r="AG868" s="11" t="str">
        <f t="shared" si="186"/>
        <v/>
      </c>
      <c r="AH868" s="11">
        <f t="shared" si="187"/>
        <v>0.81096399409728193</v>
      </c>
      <c r="AI868" s="3" t="s">
        <v>45</v>
      </c>
      <c r="AJ868" s="3" t="s">
        <v>79</v>
      </c>
      <c r="AK868" s="3" t="s">
        <v>46</v>
      </c>
      <c r="AL868" s="3" t="s">
        <v>81</v>
      </c>
      <c r="AM868" s="3" t="s">
        <v>82</v>
      </c>
    </row>
    <row r="869" spans="1:39" ht="21" customHeight="1">
      <c r="A869" s="4">
        <v>43277</v>
      </c>
      <c r="B869" s="3" t="s">
        <v>78</v>
      </c>
      <c r="C869" s="3" t="s">
        <v>79</v>
      </c>
      <c r="D869" s="4">
        <v>43159</v>
      </c>
      <c r="E869" s="3">
        <f t="shared" si="172"/>
        <v>118</v>
      </c>
      <c r="F869" s="3" t="str">
        <f t="shared" si="173"/>
        <v>개봉후</v>
      </c>
      <c r="G869" s="3" t="str">
        <f t="shared" si="174"/>
        <v>화</v>
      </c>
      <c r="H869" s="3">
        <f t="shared" si="175"/>
        <v>0</v>
      </c>
      <c r="I869" s="3"/>
      <c r="J869" s="3"/>
      <c r="K869" s="3"/>
      <c r="L869" s="12" t="str">
        <f t="shared" si="176"/>
        <v/>
      </c>
      <c r="M869" s="12" t="str">
        <f t="shared" si="177"/>
        <v/>
      </c>
      <c r="N869" s="11" t="str">
        <f t="shared" si="179"/>
        <v/>
      </c>
      <c r="O869" s="11" t="str">
        <f t="shared" si="181"/>
        <v/>
      </c>
      <c r="P869" s="11" t="str">
        <f t="shared" si="182"/>
        <v/>
      </c>
      <c r="Q869" s="7"/>
      <c r="R869" s="7"/>
      <c r="S869" s="7"/>
      <c r="T869" s="7"/>
      <c r="U869" s="7"/>
      <c r="V869" s="7"/>
      <c r="W869" s="7"/>
      <c r="X869" s="3"/>
      <c r="Y869" s="3"/>
      <c r="Z869" s="9">
        <v>1.54637</v>
      </c>
      <c r="AA869" s="12">
        <f t="shared" si="178"/>
        <v>0.20379423624842352</v>
      </c>
      <c r="AB869" s="9">
        <f t="shared" si="180"/>
        <v>1.2600457142857144</v>
      </c>
      <c r="AC869" s="9">
        <f t="shared" si="183"/>
        <v>1.5708950000000002</v>
      </c>
      <c r="AD869" s="9">
        <f t="shared" si="184"/>
        <v>0.80211962880123389</v>
      </c>
      <c r="AE869" s="3" t="s">
        <v>80</v>
      </c>
      <c r="AF869" s="11" t="str">
        <f t="shared" si="185"/>
        <v/>
      </c>
      <c r="AG869" s="11" t="str">
        <f t="shared" si="186"/>
        <v/>
      </c>
      <c r="AH869" s="11">
        <f t="shared" si="187"/>
        <v>0.98438788079406958</v>
      </c>
      <c r="AI869" s="3" t="s">
        <v>45</v>
      </c>
      <c r="AJ869" s="3" t="s">
        <v>79</v>
      </c>
      <c r="AK869" s="3" t="s">
        <v>46</v>
      </c>
      <c r="AL869" s="3" t="s">
        <v>81</v>
      </c>
      <c r="AM869" s="3" t="s">
        <v>82</v>
      </c>
    </row>
    <row r="870" spans="1:39" ht="21" customHeight="1">
      <c r="A870" s="4">
        <v>43278</v>
      </c>
      <c r="B870" s="3" t="s">
        <v>78</v>
      </c>
      <c r="C870" s="3" t="s">
        <v>79</v>
      </c>
      <c r="D870" s="4">
        <v>43159</v>
      </c>
      <c r="E870" s="3">
        <f t="shared" si="172"/>
        <v>119</v>
      </c>
      <c r="F870" s="3" t="str">
        <f t="shared" si="173"/>
        <v>개봉후</v>
      </c>
      <c r="G870" s="3" t="str">
        <f t="shared" si="174"/>
        <v>수</v>
      </c>
      <c r="H870" s="3">
        <f t="shared" si="175"/>
        <v>0</v>
      </c>
      <c r="I870" s="3"/>
      <c r="J870" s="3"/>
      <c r="K870" s="3"/>
      <c r="L870" s="12" t="str">
        <f t="shared" si="176"/>
        <v/>
      </c>
      <c r="M870" s="12" t="str">
        <f t="shared" si="177"/>
        <v/>
      </c>
      <c r="N870" s="11" t="str">
        <f t="shared" si="179"/>
        <v/>
      </c>
      <c r="O870" s="11" t="str">
        <f t="shared" si="181"/>
        <v/>
      </c>
      <c r="P870" s="11" t="str">
        <f t="shared" si="182"/>
        <v/>
      </c>
      <c r="Q870" s="7">
        <v>1</v>
      </c>
      <c r="R870" s="7">
        <v>1</v>
      </c>
      <c r="S870" s="7">
        <v>97</v>
      </c>
      <c r="T870" s="7">
        <v>1261000</v>
      </c>
      <c r="U870" s="7">
        <v>97</v>
      </c>
      <c r="V870" s="7">
        <v>1504866</v>
      </c>
      <c r="W870" s="7">
        <v>39</v>
      </c>
      <c r="X870" s="3"/>
      <c r="Y870" s="3" t="s">
        <v>83</v>
      </c>
      <c r="Z870" s="9">
        <v>1.44797</v>
      </c>
      <c r="AA870" s="12">
        <f t="shared" si="178"/>
        <v>-6.3632895102724518E-2</v>
      </c>
      <c r="AB870" s="9">
        <f t="shared" si="180"/>
        <v>1.3082528571428571</v>
      </c>
      <c r="AC870" s="9">
        <f t="shared" si="183"/>
        <v>1.5755450000000002</v>
      </c>
      <c r="AD870" s="9">
        <f t="shared" si="184"/>
        <v>0.83034940743860497</v>
      </c>
      <c r="AE870" s="3" t="s">
        <v>80</v>
      </c>
      <c r="AF870" s="11" t="str">
        <f t="shared" si="185"/>
        <v/>
      </c>
      <c r="AG870" s="11" t="str">
        <f t="shared" si="186"/>
        <v/>
      </c>
      <c r="AH870" s="11">
        <f t="shared" si="187"/>
        <v>0.91902801887600782</v>
      </c>
      <c r="AI870" s="3" t="s">
        <v>45</v>
      </c>
      <c r="AJ870" s="3" t="s">
        <v>79</v>
      </c>
      <c r="AK870" s="3" t="s">
        <v>46</v>
      </c>
      <c r="AL870" s="3" t="s">
        <v>81</v>
      </c>
      <c r="AM870" s="3" t="s">
        <v>82</v>
      </c>
    </row>
    <row r="871" spans="1:39" ht="21" customHeight="1">
      <c r="A871" s="4">
        <v>43279</v>
      </c>
      <c r="B871" s="3" t="s">
        <v>78</v>
      </c>
      <c r="C871" s="3" t="s">
        <v>79</v>
      </c>
      <c r="D871" s="4">
        <v>43159</v>
      </c>
      <c r="E871" s="3">
        <f t="shared" si="172"/>
        <v>120</v>
      </c>
      <c r="F871" s="3" t="str">
        <f t="shared" si="173"/>
        <v>개봉후</v>
      </c>
      <c r="G871" s="3" t="str">
        <f t="shared" si="174"/>
        <v>목</v>
      </c>
      <c r="H871" s="3">
        <f t="shared" si="175"/>
        <v>0</v>
      </c>
      <c r="I871" s="3"/>
      <c r="J871" s="3"/>
      <c r="K871" s="3"/>
      <c r="L871" s="12" t="str">
        <f t="shared" si="176"/>
        <v/>
      </c>
      <c r="M871" s="12" t="str">
        <f t="shared" si="177"/>
        <v/>
      </c>
      <c r="N871" s="11" t="str">
        <f t="shared" si="179"/>
        <v/>
      </c>
      <c r="O871" s="11" t="str">
        <f t="shared" si="181"/>
        <v/>
      </c>
      <c r="P871" s="11" t="str">
        <f t="shared" si="182"/>
        <v/>
      </c>
      <c r="Q871" s="7"/>
      <c r="R871" s="7"/>
      <c r="S871" s="7"/>
      <c r="T871" s="7"/>
      <c r="U871" s="7"/>
      <c r="V871" s="7"/>
      <c r="W871" s="7"/>
      <c r="X871" s="3"/>
      <c r="Y871" s="3"/>
      <c r="Z871" s="9">
        <v>1.1836199999999999</v>
      </c>
      <c r="AA871" s="12">
        <f t="shared" si="178"/>
        <v>-0.18256593713958169</v>
      </c>
      <c r="AB871" s="9">
        <f t="shared" si="180"/>
        <v>1.3207514285714286</v>
      </c>
      <c r="AC871" s="9">
        <f t="shared" si="183"/>
        <v>1.5769292857142858</v>
      </c>
      <c r="AD871" s="9">
        <f t="shared" si="184"/>
        <v>0.83754638875463661</v>
      </c>
      <c r="AE871" s="3" t="s">
        <v>80</v>
      </c>
      <c r="AF871" s="11" t="str">
        <f t="shared" si="185"/>
        <v/>
      </c>
      <c r="AG871" s="11" t="str">
        <f t="shared" si="186"/>
        <v/>
      </c>
      <c r="AH871" s="11">
        <f t="shared" si="187"/>
        <v>0.75058533741661559</v>
      </c>
      <c r="AI871" s="3" t="s">
        <v>45</v>
      </c>
      <c r="AJ871" s="3" t="s">
        <v>79</v>
      </c>
      <c r="AK871" s="3" t="s">
        <v>46</v>
      </c>
      <c r="AL871" s="3" t="s">
        <v>81</v>
      </c>
      <c r="AM871" s="3" t="s">
        <v>82</v>
      </c>
    </row>
    <row r="872" spans="1:39" ht="21" customHeight="1">
      <c r="A872" s="4">
        <v>43280</v>
      </c>
      <c r="B872" s="3" t="s">
        <v>78</v>
      </c>
      <c r="C872" s="3" t="s">
        <v>79</v>
      </c>
      <c r="D872" s="4">
        <v>43159</v>
      </c>
      <c r="E872" s="3">
        <f t="shared" si="172"/>
        <v>121</v>
      </c>
      <c r="F872" s="3" t="str">
        <f t="shared" si="173"/>
        <v>개봉후</v>
      </c>
      <c r="G872" s="3" t="str">
        <f t="shared" si="174"/>
        <v>금</v>
      </c>
      <c r="H872" s="3">
        <f t="shared" si="175"/>
        <v>0</v>
      </c>
      <c r="I872" s="3"/>
      <c r="J872" s="3"/>
      <c r="K872" s="3"/>
      <c r="L872" s="12" t="str">
        <f t="shared" si="176"/>
        <v/>
      </c>
      <c r="M872" s="12" t="str">
        <f t="shared" si="177"/>
        <v/>
      </c>
      <c r="N872" s="11" t="str">
        <f t="shared" si="179"/>
        <v/>
      </c>
      <c r="O872" s="11" t="str">
        <f t="shared" si="181"/>
        <v/>
      </c>
      <c r="P872" s="11" t="str">
        <f t="shared" si="182"/>
        <v/>
      </c>
      <c r="Q872" s="7"/>
      <c r="R872" s="7"/>
      <c r="S872" s="7"/>
      <c r="T872" s="7"/>
      <c r="U872" s="7"/>
      <c r="V872" s="7"/>
      <c r="W872" s="7"/>
      <c r="X872" s="3"/>
      <c r="Y872" s="3"/>
      <c r="Z872" s="9">
        <v>1.20729</v>
      </c>
      <c r="AA872" s="12">
        <f t="shared" si="178"/>
        <v>1.9997972322198132E-2</v>
      </c>
      <c r="AB872" s="9">
        <f t="shared" si="180"/>
        <v>1.334542857142857</v>
      </c>
      <c r="AC872" s="9">
        <f t="shared" si="183"/>
        <v>1.5622417857142856</v>
      </c>
      <c r="AD872" s="9">
        <f t="shared" si="184"/>
        <v>0.85424859925423102</v>
      </c>
      <c r="AE872" s="3" t="s">
        <v>80</v>
      </c>
      <c r="AF872" s="11" t="str">
        <f t="shared" si="185"/>
        <v/>
      </c>
      <c r="AG872" s="11" t="str">
        <f t="shared" si="186"/>
        <v/>
      </c>
      <c r="AH872" s="11">
        <f t="shared" si="187"/>
        <v>0.77279330961436599</v>
      </c>
      <c r="AI872" s="3" t="s">
        <v>45</v>
      </c>
      <c r="AJ872" s="3" t="s">
        <v>79</v>
      </c>
      <c r="AK872" s="3" t="s">
        <v>46</v>
      </c>
      <c r="AL872" s="3" t="s">
        <v>81</v>
      </c>
      <c r="AM872" s="3" t="s">
        <v>82</v>
      </c>
    </row>
    <row r="873" spans="1:39" ht="21" customHeight="1">
      <c r="A873" s="4">
        <v>43281</v>
      </c>
      <c r="B873" s="3" t="s">
        <v>78</v>
      </c>
      <c r="C873" s="3" t="s">
        <v>79</v>
      </c>
      <c r="D873" s="4">
        <v>43159</v>
      </c>
      <c r="E873" s="3">
        <f t="shared" si="172"/>
        <v>122</v>
      </c>
      <c r="F873" s="3" t="str">
        <f t="shared" si="173"/>
        <v>개봉후</v>
      </c>
      <c r="G873" s="3" t="str">
        <f t="shared" si="174"/>
        <v>토</v>
      </c>
      <c r="H873" s="3">
        <f t="shared" si="175"/>
        <v>1</v>
      </c>
      <c r="I873" s="3"/>
      <c r="J873" s="3"/>
      <c r="K873" s="3"/>
      <c r="L873" s="12" t="str">
        <f t="shared" si="176"/>
        <v/>
      </c>
      <c r="M873" s="12" t="str">
        <f t="shared" si="177"/>
        <v/>
      </c>
      <c r="N873" s="11" t="str">
        <f t="shared" si="179"/>
        <v/>
      </c>
      <c r="O873" s="11" t="str">
        <f t="shared" si="181"/>
        <v/>
      </c>
      <c r="P873" s="11" t="str">
        <f t="shared" si="182"/>
        <v/>
      </c>
      <c r="Q873" s="7"/>
      <c r="R873" s="7"/>
      <c r="S873" s="7"/>
      <c r="T873" s="7"/>
      <c r="U873" s="7"/>
      <c r="V873" s="7"/>
      <c r="W873" s="7"/>
      <c r="X873" s="3"/>
      <c r="Y873" s="3"/>
      <c r="Z873" s="9">
        <v>1.61646</v>
      </c>
      <c r="AA873" s="12">
        <f t="shared" si="178"/>
        <v>0.33891608478493152</v>
      </c>
      <c r="AB873" s="9">
        <f t="shared" si="180"/>
        <v>1.3878885714285716</v>
      </c>
      <c r="AC873" s="9">
        <f t="shared" si="183"/>
        <v>1.5394146428571429</v>
      </c>
      <c r="AD873" s="9">
        <f t="shared" si="184"/>
        <v>0.9015690333129871</v>
      </c>
      <c r="AE873" s="3" t="s">
        <v>80</v>
      </c>
      <c r="AF873" s="11" t="str">
        <f t="shared" si="185"/>
        <v/>
      </c>
      <c r="AG873" s="11" t="str">
        <f t="shared" si="186"/>
        <v/>
      </c>
      <c r="AH873" s="11">
        <f t="shared" si="187"/>
        <v>1.0500484762181173</v>
      </c>
      <c r="AI873" s="3" t="s">
        <v>45</v>
      </c>
      <c r="AJ873" s="3" t="s">
        <v>79</v>
      </c>
      <c r="AK873" s="3" t="s">
        <v>46</v>
      </c>
      <c r="AL873" s="3" t="s">
        <v>81</v>
      </c>
      <c r="AM873" s="3" t="s">
        <v>82</v>
      </c>
    </row>
    <row r="874" spans="1:39" ht="21" customHeight="1">
      <c r="A874" s="4">
        <v>43282</v>
      </c>
      <c r="B874" s="3" t="s">
        <v>78</v>
      </c>
      <c r="C874" s="3" t="s">
        <v>79</v>
      </c>
      <c r="D874" s="4">
        <v>43159</v>
      </c>
      <c r="E874" s="3">
        <f t="shared" si="172"/>
        <v>123</v>
      </c>
      <c r="F874" s="3" t="str">
        <f t="shared" si="173"/>
        <v>개봉후</v>
      </c>
      <c r="G874" s="3" t="str">
        <f t="shared" si="174"/>
        <v>일</v>
      </c>
      <c r="H874" s="3">
        <f t="shared" si="175"/>
        <v>1</v>
      </c>
      <c r="I874" s="3"/>
      <c r="J874" s="3"/>
      <c r="K874" s="3"/>
      <c r="L874" s="12" t="str">
        <f t="shared" si="176"/>
        <v/>
      </c>
      <c r="M874" s="12" t="str">
        <f t="shared" si="177"/>
        <v/>
      </c>
      <c r="N874" s="11" t="str">
        <f t="shared" si="179"/>
        <v/>
      </c>
      <c r="O874" s="11" t="str">
        <f t="shared" si="181"/>
        <v/>
      </c>
      <c r="P874" s="11" t="str">
        <f t="shared" si="182"/>
        <v/>
      </c>
      <c r="Q874" s="7"/>
      <c r="R874" s="7"/>
      <c r="S874" s="7"/>
      <c r="T874" s="7"/>
      <c r="U874" s="7"/>
      <c r="V874" s="7"/>
      <c r="W874" s="7"/>
      <c r="X874" s="3"/>
      <c r="Y874" s="3"/>
      <c r="Z874" s="9">
        <v>2.3001800000000001</v>
      </c>
      <c r="AA874" s="12">
        <f t="shared" si="178"/>
        <v>0.42297365848830171</v>
      </c>
      <c r="AB874" s="9">
        <f t="shared" si="180"/>
        <v>1.5123528571428575</v>
      </c>
      <c r="AC874" s="9">
        <f t="shared" si="183"/>
        <v>1.5145567857142856</v>
      </c>
      <c r="AD874" s="9">
        <f t="shared" si="184"/>
        <v>0.9985448359597896</v>
      </c>
      <c r="AE874" s="3" t="s">
        <v>80</v>
      </c>
      <c r="AF874" s="11" t="str">
        <f t="shared" si="185"/>
        <v/>
      </c>
      <c r="AG874" s="11" t="str">
        <f t="shared" si="186"/>
        <v/>
      </c>
      <c r="AH874" s="11">
        <f t="shared" si="187"/>
        <v>1.5187149281531915</v>
      </c>
      <c r="AI874" s="3" t="s">
        <v>45</v>
      </c>
      <c r="AJ874" s="3" t="s">
        <v>79</v>
      </c>
      <c r="AK874" s="3" t="s">
        <v>46</v>
      </c>
      <c r="AL874" s="3" t="s">
        <v>81</v>
      </c>
      <c r="AM874" s="3" t="s">
        <v>82</v>
      </c>
    </row>
    <row r="875" spans="1:39" ht="21" customHeight="1">
      <c r="A875" s="4">
        <v>43283</v>
      </c>
      <c r="B875" s="3" t="s">
        <v>78</v>
      </c>
      <c r="C875" s="3" t="s">
        <v>79</v>
      </c>
      <c r="D875" s="4">
        <v>43159</v>
      </c>
      <c r="E875" s="3">
        <f t="shared" si="172"/>
        <v>124</v>
      </c>
      <c r="F875" s="3" t="str">
        <f t="shared" si="173"/>
        <v>개봉후</v>
      </c>
      <c r="G875" s="3" t="str">
        <f t="shared" si="174"/>
        <v>월</v>
      </c>
      <c r="H875" s="3">
        <f t="shared" si="175"/>
        <v>0</v>
      </c>
      <c r="I875" s="3"/>
      <c r="J875" s="3"/>
      <c r="K875" s="3"/>
      <c r="L875" s="12" t="str">
        <f t="shared" si="176"/>
        <v/>
      </c>
      <c r="M875" s="12" t="str">
        <f t="shared" si="177"/>
        <v/>
      </c>
      <c r="N875" s="11" t="str">
        <f t="shared" si="179"/>
        <v/>
      </c>
      <c r="O875" s="11" t="str">
        <f t="shared" si="181"/>
        <v/>
      </c>
      <c r="P875" s="11" t="str">
        <f t="shared" si="182"/>
        <v/>
      </c>
      <c r="Q875" s="7"/>
      <c r="R875" s="7"/>
      <c r="S875" s="7"/>
      <c r="T875" s="7"/>
      <c r="U875" s="7"/>
      <c r="V875" s="7"/>
      <c r="W875" s="7"/>
      <c r="X875" s="3"/>
      <c r="Y875" s="3"/>
      <c r="Z875" s="9">
        <v>1.38994</v>
      </c>
      <c r="AA875" s="12">
        <f t="shared" si="178"/>
        <v>-0.39572555191332859</v>
      </c>
      <c r="AB875" s="9">
        <f t="shared" si="180"/>
        <v>1.5274042857142855</v>
      </c>
      <c r="AC875" s="9">
        <f t="shared" si="183"/>
        <v>1.4952689285714282</v>
      </c>
      <c r="AD875" s="9">
        <f t="shared" si="184"/>
        <v>1.0214913561893908</v>
      </c>
      <c r="AE875" s="3" t="s">
        <v>80</v>
      </c>
      <c r="AF875" s="11" t="str">
        <f t="shared" si="185"/>
        <v/>
      </c>
      <c r="AG875" s="11" t="str">
        <f t="shared" si="186"/>
        <v/>
      </c>
      <c r="AH875" s="11">
        <f t="shared" si="187"/>
        <v>0.92955853856198367</v>
      </c>
      <c r="AI875" s="3" t="s">
        <v>45</v>
      </c>
      <c r="AJ875" s="3" t="s">
        <v>79</v>
      </c>
      <c r="AK875" s="3" t="s">
        <v>46</v>
      </c>
      <c r="AL875" s="3" t="s">
        <v>81</v>
      </c>
      <c r="AM875" s="3" t="s">
        <v>82</v>
      </c>
    </row>
    <row r="876" spans="1:39" ht="21" customHeight="1">
      <c r="A876" s="4">
        <v>43284</v>
      </c>
      <c r="B876" s="3" t="s">
        <v>78</v>
      </c>
      <c r="C876" s="3" t="s">
        <v>79</v>
      </c>
      <c r="D876" s="4">
        <v>43159</v>
      </c>
      <c r="E876" s="3">
        <f t="shared" si="172"/>
        <v>125</v>
      </c>
      <c r="F876" s="3" t="str">
        <f t="shared" si="173"/>
        <v>개봉후</v>
      </c>
      <c r="G876" s="3" t="str">
        <f t="shared" si="174"/>
        <v>화</v>
      </c>
      <c r="H876" s="3">
        <f t="shared" si="175"/>
        <v>0</v>
      </c>
      <c r="I876" s="3"/>
      <c r="J876" s="3"/>
      <c r="K876" s="3"/>
      <c r="L876" s="12" t="str">
        <f t="shared" si="176"/>
        <v/>
      </c>
      <c r="M876" s="12" t="str">
        <f t="shared" si="177"/>
        <v/>
      </c>
      <c r="N876" s="11" t="str">
        <f t="shared" si="179"/>
        <v/>
      </c>
      <c r="O876" s="11" t="str">
        <f t="shared" si="181"/>
        <v/>
      </c>
      <c r="P876" s="11" t="str">
        <f t="shared" si="182"/>
        <v/>
      </c>
      <c r="Q876" s="7">
        <v>1</v>
      </c>
      <c r="R876" s="7">
        <v>1</v>
      </c>
      <c r="S876" s="7">
        <v>72</v>
      </c>
      <c r="T876" s="7">
        <v>0</v>
      </c>
      <c r="U876" s="7">
        <v>0</v>
      </c>
      <c r="V876" s="7">
        <v>1504866</v>
      </c>
      <c r="W876" s="7">
        <v>118</v>
      </c>
      <c r="X876" s="3"/>
      <c r="Y876" s="3" t="s">
        <v>83</v>
      </c>
      <c r="Z876" s="9">
        <v>1.19964</v>
      </c>
      <c r="AA876" s="12">
        <f t="shared" si="178"/>
        <v>-0.13691238470725353</v>
      </c>
      <c r="AB876" s="9">
        <f t="shared" si="180"/>
        <v>1.4778714285714287</v>
      </c>
      <c r="AC876" s="9">
        <f t="shared" si="183"/>
        <v>1.4754421428571427</v>
      </c>
      <c r="AD876" s="9">
        <f t="shared" si="184"/>
        <v>1.0016464798203348</v>
      </c>
      <c r="AE876" s="3" t="s">
        <v>80</v>
      </c>
      <c r="AF876" s="11" t="str">
        <f t="shared" si="185"/>
        <v/>
      </c>
      <c r="AG876" s="11" t="str">
        <f t="shared" si="186"/>
        <v/>
      </c>
      <c r="AH876" s="11">
        <f t="shared" si="187"/>
        <v>0.81307152964801366</v>
      </c>
      <c r="AI876" s="3" t="s">
        <v>45</v>
      </c>
      <c r="AJ876" s="3" t="s">
        <v>79</v>
      </c>
      <c r="AK876" s="3" t="s">
        <v>46</v>
      </c>
      <c r="AL876" s="3" t="s">
        <v>81</v>
      </c>
      <c r="AM876" s="3" t="s">
        <v>82</v>
      </c>
    </row>
    <row r="877" spans="1:39" ht="21" customHeight="1">
      <c r="A877" s="4">
        <v>43285</v>
      </c>
      <c r="B877" s="3" t="s">
        <v>78</v>
      </c>
      <c r="C877" s="3" t="s">
        <v>79</v>
      </c>
      <c r="D877" s="4">
        <v>43159</v>
      </c>
      <c r="E877" s="3">
        <f t="shared" si="172"/>
        <v>126</v>
      </c>
      <c r="F877" s="3" t="str">
        <f t="shared" si="173"/>
        <v>개봉후</v>
      </c>
      <c r="G877" s="3" t="str">
        <f t="shared" si="174"/>
        <v>수</v>
      </c>
      <c r="H877" s="3">
        <f t="shared" si="175"/>
        <v>0</v>
      </c>
      <c r="I877" s="3"/>
      <c r="J877" s="3"/>
      <c r="K877" s="3"/>
      <c r="L877" s="12" t="str">
        <f t="shared" si="176"/>
        <v/>
      </c>
      <c r="M877" s="12" t="str">
        <f t="shared" si="177"/>
        <v/>
      </c>
      <c r="N877" s="11" t="str">
        <f t="shared" si="179"/>
        <v/>
      </c>
      <c r="O877" s="11" t="str">
        <f t="shared" si="181"/>
        <v/>
      </c>
      <c r="P877" s="11" t="str">
        <f t="shared" si="182"/>
        <v/>
      </c>
      <c r="Q877" s="7">
        <v>1</v>
      </c>
      <c r="R877" s="7">
        <v>1</v>
      </c>
      <c r="S877" s="7">
        <v>158</v>
      </c>
      <c r="T877" s="7">
        <v>1264000</v>
      </c>
      <c r="U877" s="7">
        <v>158</v>
      </c>
      <c r="V877" s="7">
        <v>1505024</v>
      </c>
      <c r="W877" s="7">
        <v>32</v>
      </c>
      <c r="X877" s="3"/>
      <c r="Y877" s="3" t="s">
        <v>83</v>
      </c>
      <c r="Z877" s="9">
        <v>1.2769200000000001</v>
      </c>
      <c r="AA877" s="12">
        <f t="shared" si="178"/>
        <v>6.4419325797739235E-2</v>
      </c>
      <c r="AB877" s="9">
        <f t="shared" si="180"/>
        <v>1.4534357142857144</v>
      </c>
      <c r="AC877" s="9">
        <f t="shared" si="183"/>
        <v>1.4545050000000004</v>
      </c>
      <c r="AD877" s="9">
        <f t="shared" si="184"/>
        <v>0.99926484562494733</v>
      </c>
      <c r="AE877" s="3" t="s">
        <v>80</v>
      </c>
      <c r="AF877" s="11" t="str">
        <f t="shared" si="185"/>
        <v/>
      </c>
      <c r="AG877" s="11" t="str">
        <f t="shared" si="186"/>
        <v/>
      </c>
      <c r="AH877" s="11">
        <f t="shared" si="187"/>
        <v>0.87790691678612287</v>
      </c>
      <c r="AI877" s="3" t="s">
        <v>45</v>
      </c>
      <c r="AJ877" s="3" t="s">
        <v>79</v>
      </c>
      <c r="AK877" s="3" t="s">
        <v>46</v>
      </c>
      <c r="AL877" s="3" t="s">
        <v>81</v>
      </c>
      <c r="AM877" s="3" t="s">
        <v>82</v>
      </c>
    </row>
    <row r="878" spans="1:39" ht="21" customHeight="1">
      <c r="A878" s="4">
        <v>43286</v>
      </c>
      <c r="B878" s="3" t="s">
        <v>78</v>
      </c>
      <c r="C878" s="3" t="s">
        <v>79</v>
      </c>
      <c r="D878" s="4">
        <v>43159</v>
      </c>
      <c r="E878" s="3">
        <f t="shared" si="172"/>
        <v>127</v>
      </c>
      <c r="F878" s="3" t="str">
        <f t="shared" si="173"/>
        <v>개봉후</v>
      </c>
      <c r="G878" s="3" t="str">
        <f t="shared" si="174"/>
        <v>목</v>
      </c>
      <c r="H878" s="3">
        <f t="shared" si="175"/>
        <v>0</v>
      </c>
      <c r="I878" s="3"/>
      <c r="J878" s="3"/>
      <c r="K878" s="3"/>
      <c r="L878" s="12" t="str">
        <f t="shared" si="176"/>
        <v/>
      </c>
      <c r="M878" s="12" t="str">
        <f t="shared" si="177"/>
        <v/>
      </c>
      <c r="N878" s="11" t="str">
        <f t="shared" si="179"/>
        <v/>
      </c>
      <c r="O878" s="11" t="str">
        <f t="shared" si="181"/>
        <v/>
      </c>
      <c r="P878" s="11" t="str">
        <f t="shared" si="182"/>
        <v/>
      </c>
      <c r="Q878" s="7">
        <v>1</v>
      </c>
      <c r="R878" s="7">
        <v>1</v>
      </c>
      <c r="S878" s="7">
        <v>72</v>
      </c>
      <c r="T878" s="7">
        <v>0</v>
      </c>
      <c r="U878" s="7">
        <v>0</v>
      </c>
      <c r="V878" s="7">
        <v>1505024</v>
      </c>
      <c r="W878" s="7">
        <v>108</v>
      </c>
      <c r="X878" s="3"/>
      <c r="Y878" s="3" t="s">
        <v>83</v>
      </c>
      <c r="Z878" s="9">
        <v>1.17805</v>
      </c>
      <c r="AA878" s="12">
        <f t="shared" si="178"/>
        <v>-7.7428499827710384E-2</v>
      </c>
      <c r="AB878" s="9">
        <f t="shared" si="180"/>
        <v>1.4526400000000002</v>
      </c>
      <c r="AC878" s="9">
        <f t="shared" si="183"/>
        <v>1.4169407142857142</v>
      </c>
      <c r="AD878" s="9">
        <f t="shared" si="184"/>
        <v>1.0251946220151364</v>
      </c>
      <c r="AE878" s="3" t="s">
        <v>80</v>
      </c>
      <c r="AF878" s="11" t="str">
        <f t="shared" si="185"/>
        <v/>
      </c>
      <c r="AG878" s="11" t="str">
        <f t="shared" si="186"/>
        <v/>
      </c>
      <c r="AH878" s="11">
        <f t="shared" si="187"/>
        <v>0.83140387464542576</v>
      </c>
      <c r="AI878" s="3" t="s">
        <v>45</v>
      </c>
      <c r="AJ878" s="3" t="s">
        <v>79</v>
      </c>
      <c r="AK878" s="3" t="s">
        <v>46</v>
      </c>
      <c r="AL878" s="3" t="s">
        <v>81</v>
      </c>
      <c r="AM878" s="3" t="s">
        <v>82</v>
      </c>
    </row>
    <row r="879" spans="1:39" ht="21" customHeight="1">
      <c r="A879" s="4">
        <v>43287</v>
      </c>
      <c r="B879" s="3" t="s">
        <v>78</v>
      </c>
      <c r="C879" s="3" t="s">
        <v>79</v>
      </c>
      <c r="D879" s="4">
        <v>43159</v>
      </c>
      <c r="E879" s="3">
        <f t="shared" si="172"/>
        <v>128</v>
      </c>
      <c r="F879" s="3" t="str">
        <f t="shared" si="173"/>
        <v>개봉후</v>
      </c>
      <c r="G879" s="3" t="str">
        <f t="shared" si="174"/>
        <v>금</v>
      </c>
      <c r="H879" s="3">
        <f t="shared" si="175"/>
        <v>0</v>
      </c>
      <c r="I879" s="3"/>
      <c r="J879" s="3"/>
      <c r="K879" s="3"/>
      <c r="L879" s="12" t="str">
        <f t="shared" si="176"/>
        <v/>
      </c>
      <c r="M879" s="12" t="str">
        <f t="shared" si="177"/>
        <v/>
      </c>
      <c r="N879" s="11" t="str">
        <f t="shared" si="179"/>
        <v/>
      </c>
      <c r="O879" s="11" t="str">
        <f t="shared" si="181"/>
        <v/>
      </c>
      <c r="P879" s="11" t="str">
        <f t="shared" si="182"/>
        <v/>
      </c>
      <c r="Q879" s="7">
        <v>1</v>
      </c>
      <c r="R879" s="7">
        <v>1</v>
      </c>
      <c r="S879" s="7">
        <v>123</v>
      </c>
      <c r="T879" s="7">
        <v>0</v>
      </c>
      <c r="U879" s="7">
        <v>0</v>
      </c>
      <c r="V879" s="7">
        <v>1505024</v>
      </c>
      <c r="W879" s="7">
        <v>103</v>
      </c>
      <c r="X879" s="3"/>
      <c r="Y879" s="3" t="s">
        <v>83</v>
      </c>
      <c r="Z879" s="9">
        <v>1.1255999999999999</v>
      </c>
      <c r="AA879" s="12">
        <f t="shared" si="178"/>
        <v>-4.4522728237341491E-2</v>
      </c>
      <c r="AB879" s="9">
        <f t="shared" si="180"/>
        <v>1.4409700000000003</v>
      </c>
      <c r="AC879" s="9">
        <f t="shared" si="183"/>
        <v>1.4067953571428571</v>
      </c>
      <c r="AD879" s="9">
        <f t="shared" si="184"/>
        <v>1.0242925473727398</v>
      </c>
      <c r="AE879" s="3" t="s">
        <v>80</v>
      </c>
      <c r="AF879" s="11" t="str">
        <f t="shared" si="185"/>
        <v/>
      </c>
      <c r="AG879" s="11" t="str">
        <f t="shared" si="186"/>
        <v/>
      </c>
      <c r="AH879" s="11">
        <f t="shared" si="187"/>
        <v>0.80011637391670576</v>
      </c>
      <c r="AI879" s="3" t="s">
        <v>45</v>
      </c>
      <c r="AJ879" s="3" t="s">
        <v>79</v>
      </c>
      <c r="AK879" s="3" t="s">
        <v>46</v>
      </c>
      <c r="AL879" s="3" t="s">
        <v>81</v>
      </c>
      <c r="AM879" s="3" t="s">
        <v>82</v>
      </c>
    </row>
    <row r="880" spans="1:39" ht="21" customHeight="1">
      <c r="A880" s="4">
        <v>43288</v>
      </c>
      <c r="B880" s="3" t="s">
        <v>78</v>
      </c>
      <c r="C880" s="3" t="s">
        <v>79</v>
      </c>
      <c r="D880" s="4">
        <v>43159</v>
      </c>
      <c r="E880" s="3">
        <f t="shared" si="172"/>
        <v>129</v>
      </c>
      <c r="F880" s="3" t="str">
        <f t="shared" si="173"/>
        <v>개봉후</v>
      </c>
      <c r="G880" s="3" t="str">
        <f t="shared" si="174"/>
        <v>토</v>
      </c>
      <c r="H880" s="3">
        <f t="shared" si="175"/>
        <v>1</v>
      </c>
      <c r="I880" s="3"/>
      <c r="J880" s="3"/>
      <c r="K880" s="3"/>
      <c r="L880" s="12" t="str">
        <f t="shared" si="176"/>
        <v/>
      </c>
      <c r="M880" s="12" t="str">
        <f t="shared" si="177"/>
        <v/>
      </c>
      <c r="N880" s="11" t="str">
        <f t="shared" si="179"/>
        <v/>
      </c>
      <c r="O880" s="11" t="str">
        <f t="shared" si="181"/>
        <v/>
      </c>
      <c r="P880" s="11" t="str">
        <f t="shared" si="182"/>
        <v/>
      </c>
      <c r="Q880" s="7">
        <v>1</v>
      </c>
      <c r="R880" s="7">
        <v>1</v>
      </c>
      <c r="S880" s="7">
        <v>83</v>
      </c>
      <c r="T880" s="7">
        <v>913000</v>
      </c>
      <c r="U880" s="7">
        <v>83</v>
      </c>
      <c r="V880" s="7">
        <v>1505107</v>
      </c>
      <c r="W880" s="7">
        <v>41</v>
      </c>
      <c r="X880" s="3"/>
      <c r="Y880" s="3" t="s">
        <v>83</v>
      </c>
      <c r="Z880" s="9">
        <v>1.3245</v>
      </c>
      <c r="AA880" s="12">
        <f t="shared" si="178"/>
        <v>0.17670575692963753</v>
      </c>
      <c r="AB880" s="9">
        <f t="shared" si="180"/>
        <v>1.3992614285714287</v>
      </c>
      <c r="AC880" s="9">
        <f t="shared" si="183"/>
        <v>1.3977192857142859</v>
      </c>
      <c r="AD880" s="9">
        <f t="shared" si="184"/>
        <v>1.001103328023663</v>
      </c>
      <c r="AE880" s="3" t="s">
        <v>80</v>
      </c>
      <c r="AF880" s="11" t="str">
        <f t="shared" si="185"/>
        <v/>
      </c>
      <c r="AG880" s="11" t="str">
        <f t="shared" si="186"/>
        <v/>
      </c>
      <c r="AH880" s="11">
        <f t="shared" si="187"/>
        <v>0.94761517104139537</v>
      </c>
      <c r="AI880" s="3" t="s">
        <v>45</v>
      </c>
      <c r="AJ880" s="3" t="s">
        <v>79</v>
      </c>
      <c r="AK880" s="3" t="s">
        <v>46</v>
      </c>
      <c r="AL880" s="3" t="s">
        <v>81</v>
      </c>
      <c r="AM880" s="3" t="s">
        <v>82</v>
      </c>
    </row>
    <row r="881" spans="1:39" ht="21" customHeight="1">
      <c r="A881" s="4">
        <v>43289</v>
      </c>
      <c r="B881" s="3" t="s">
        <v>78</v>
      </c>
      <c r="C881" s="3" t="s">
        <v>79</v>
      </c>
      <c r="D881" s="4">
        <v>43159</v>
      </c>
      <c r="E881" s="3">
        <f t="shared" si="172"/>
        <v>130</v>
      </c>
      <c r="F881" s="3" t="str">
        <f t="shared" si="173"/>
        <v>개봉후</v>
      </c>
      <c r="G881" s="3" t="str">
        <f t="shared" si="174"/>
        <v>일</v>
      </c>
      <c r="H881" s="3">
        <f t="shared" si="175"/>
        <v>1</v>
      </c>
      <c r="I881" s="3"/>
      <c r="J881" s="3"/>
      <c r="K881" s="3"/>
      <c r="L881" s="12" t="str">
        <f t="shared" si="176"/>
        <v/>
      </c>
      <c r="M881" s="12" t="str">
        <f t="shared" si="177"/>
        <v/>
      </c>
      <c r="N881" s="11" t="str">
        <f t="shared" si="179"/>
        <v/>
      </c>
      <c r="O881" s="11" t="str">
        <f t="shared" si="181"/>
        <v/>
      </c>
      <c r="P881" s="11" t="str">
        <f t="shared" si="182"/>
        <v/>
      </c>
      <c r="Q881" s="7"/>
      <c r="R881" s="7"/>
      <c r="S881" s="7"/>
      <c r="T881" s="7"/>
      <c r="U881" s="7"/>
      <c r="V881" s="7"/>
      <c r="W881" s="7"/>
      <c r="X881" s="3"/>
      <c r="Y881" s="3"/>
      <c r="Z881" s="9">
        <v>1.5883799999999999</v>
      </c>
      <c r="AA881" s="12">
        <f t="shared" si="178"/>
        <v>0.19922989807474512</v>
      </c>
      <c r="AB881" s="9">
        <f t="shared" si="180"/>
        <v>1.2975757142857145</v>
      </c>
      <c r="AC881" s="9">
        <f t="shared" si="183"/>
        <v>1.3824932142857143</v>
      </c>
      <c r="AD881" s="9">
        <f t="shared" si="184"/>
        <v>0.9385765520419761</v>
      </c>
      <c r="AE881" s="3" t="s">
        <v>80</v>
      </c>
      <c r="AF881" s="11" t="str">
        <f t="shared" si="185"/>
        <v/>
      </c>
      <c r="AG881" s="11" t="str">
        <f t="shared" si="186"/>
        <v/>
      </c>
      <c r="AH881" s="11">
        <f t="shared" si="187"/>
        <v>1.1489242649343925</v>
      </c>
      <c r="AI881" s="3" t="s">
        <v>45</v>
      </c>
      <c r="AJ881" s="3" t="s">
        <v>79</v>
      </c>
      <c r="AK881" s="3" t="s">
        <v>46</v>
      </c>
      <c r="AL881" s="3" t="s">
        <v>81</v>
      </c>
      <c r="AM881" s="3" t="s">
        <v>82</v>
      </c>
    </row>
    <row r="882" spans="1:39" ht="21" customHeight="1">
      <c r="A882" s="4">
        <v>43290</v>
      </c>
      <c r="B882" s="3" t="s">
        <v>78</v>
      </c>
      <c r="C882" s="3" t="s">
        <v>79</v>
      </c>
      <c r="D882" s="4">
        <v>43159</v>
      </c>
      <c r="E882" s="3">
        <f t="shared" si="172"/>
        <v>131</v>
      </c>
      <c r="F882" s="3" t="str">
        <f t="shared" si="173"/>
        <v>개봉후</v>
      </c>
      <c r="G882" s="3" t="str">
        <f t="shared" si="174"/>
        <v>월</v>
      </c>
      <c r="H882" s="3">
        <f t="shared" si="175"/>
        <v>0</v>
      </c>
      <c r="I882" s="3"/>
      <c r="J882" s="3"/>
      <c r="K882" s="3"/>
      <c r="L882" s="12" t="str">
        <f t="shared" si="176"/>
        <v/>
      </c>
      <c r="M882" s="12" t="str">
        <f t="shared" si="177"/>
        <v/>
      </c>
      <c r="N882" s="11" t="str">
        <f t="shared" si="179"/>
        <v/>
      </c>
      <c r="O882" s="11" t="str">
        <f t="shared" si="181"/>
        <v/>
      </c>
      <c r="P882" s="11" t="str">
        <f t="shared" si="182"/>
        <v/>
      </c>
      <c r="Q882" s="7"/>
      <c r="R882" s="7"/>
      <c r="S882" s="7"/>
      <c r="T882" s="7"/>
      <c r="U882" s="7"/>
      <c r="V882" s="7"/>
      <c r="W882" s="7"/>
      <c r="X882" s="3"/>
      <c r="Y882" s="3"/>
      <c r="Z882" s="9">
        <v>1.4010800000000001</v>
      </c>
      <c r="AA882" s="12">
        <f t="shared" si="178"/>
        <v>-0.11791888590891342</v>
      </c>
      <c r="AB882" s="9">
        <f t="shared" si="180"/>
        <v>1.299167142857143</v>
      </c>
      <c r="AC882" s="9">
        <f t="shared" si="183"/>
        <v>1.3491810714285715</v>
      </c>
      <c r="AD882" s="9">
        <f t="shared" si="184"/>
        <v>0.96293015842679175</v>
      </c>
      <c r="AE882" s="3" t="s">
        <v>80</v>
      </c>
      <c r="AF882" s="11" t="str">
        <f t="shared" si="185"/>
        <v/>
      </c>
      <c r="AG882" s="11" t="str">
        <f t="shared" si="186"/>
        <v/>
      </c>
      <c r="AH882" s="11">
        <f t="shared" si="187"/>
        <v>1.0384669853961677</v>
      </c>
      <c r="AI882" s="3" t="s">
        <v>45</v>
      </c>
      <c r="AJ882" s="3" t="s">
        <v>79</v>
      </c>
      <c r="AK882" s="3" t="s">
        <v>46</v>
      </c>
      <c r="AL882" s="3" t="s">
        <v>81</v>
      </c>
      <c r="AM882" s="3" t="s">
        <v>82</v>
      </c>
    </row>
    <row r="883" spans="1:39" ht="21" customHeight="1">
      <c r="A883" s="4">
        <v>43291</v>
      </c>
      <c r="B883" s="3" t="s">
        <v>78</v>
      </c>
      <c r="C883" s="3" t="s">
        <v>79</v>
      </c>
      <c r="D883" s="4">
        <v>43159</v>
      </c>
      <c r="E883" s="3">
        <f t="shared" si="172"/>
        <v>132</v>
      </c>
      <c r="F883" s="3" t="str">
        <f t="shared" si="173"/>
        <v>개봉후</v>
      </c>
      <c r="G883" s="3" t="str">
        <f t="shared" si="174"/>
        <v>화</v>
      </c>
      <c r="H883" s="3">
        <f t="shared" si="175"/>
        <v>0</v>
      </c>
      <c r="I883" s="3"/>
      <c r="J883" s="3"/>
      <c r="K883" s="3"/>
      <c r="L883" s="12" t="str">
        <f t="shared" si="176"/>
        <v/>
      </c>
      <c r="M883" s="12" t="str">
        <f t="shared" si="177"/>
        <v/>
      </c>
      <c r="N883" s="11" t="str">
        <f t="shared" si="179"/>
        <v/>
      </c>
      <c r="O883" s="11" t="str">
        <f t="shared" si="181"/>
        <v/>
      </c>
      <c r="P883" s="11" t="str">
        <f t="shared" si="182"/>
        <v/>
      </c>
      <c r="Q883" s="7">
        <v>2</v>
      </c>
      <c r="R883" s="7">
        <v>3</v>
      </c>
      <c r="S883" s="7">
        <v>141</v>
      </c>
      <c r="T883" s="7">
        <v>725000</v>
      </c>
      <c r="U883" s="7">
        <v>141</v>
      </c>
      <c r="V883" s="7">
        <v>1505248</v>
      </c>
      <c r="W883" s="7">
        <v>37</v>
      </c>
      <c r="X883" s="3"/>
      <c r="Y883" s="3" t="s">
        <v>83</v>
      </c>
      <c r="Z883" s="9">
        <v>1.1687700000000001</v>
      </c>
      <c r="AA883" s="12">
        <f t="shared" si="178"/>
        <v>-0.16580780540725726</v>
      </c>
      <c r="AB883" s="9">
        <f t="shared" si="180"/>
        <v>1.2947571428571429</v>
      </c>
      <c r="AC883" s="9">
        <f t="shared" si="183"/>
        <v>1.3452521428571429</v>
      </c>
      <c r="AD883" s="9">
        <f t="shared" si="184"/>
        <v>0.96246428577117515</v>
      </c>
      <c r="AE883" s="3" t="s">
        <v>80</v>
      </c>
      <c r="AF883" s="11" t="str">
        <f t="shared" si="185"/>
        <v/>
      </c>
      <c r="AG883" s="11" t="str">
        <f t="shared" si="186"/>
        <v/>
      </c>
      <c r="AH883" s="11">
        <f t="shared" si="187"/>
        <v>0.86881110445041376</v>
      </c>
      <c r="AI883" s="3" t="s">
        <v>45</v>
      </c>
      <c r="AJ883" s="3" t="s">
        <v>79</v>
      </c>
      <c r="AK883" s="3" t="s">
        <v>46</v>
      </c>
      <c r="AL883" s="3" t="s">
        <v>81</v>
      </c>
      <c r="AM883" s="3" t="s">
        <v>82</v>
      </c>
    </row>
    <row r="884" spans="1:39" ht="21" customHeight="1">
      <c r="A884" s="4">
        <v>43292</v>
      </c>
      <c r="B884" s="3" t="s">
        <v>78</v>
      </c>
      <c r="C884" s="3" t="s">
        <v>79</v>
      </c>
      <c r="D884" s="4">
        <v>43159</v>
      </c>
      <c r="E884" s="3">
        <f t="shared" si="172"/>
        <v>133</v>
      </c>
      <c r="F884" s="3" t="str">
        <f t="shared" si="173"/>
        <v>개봉후</v>
      </c>
      <c r="G884" s="3" t="str">
        <f t="shared" si="174"/>
        <v>수</v>
      </c>
      <c r="H884" s="3">
        <f t="shared" si="175"/>
        <v>0</v>
      </c>
      <c r="I884" s="3"/>
      <c r="J884" s="3"/>
      <c r="K884" s="3"/>
      <c r="L884" s="12" t="str">
        <f t="shared" si="176"/>
        <v/>
      </c>
      <c r="M884" s="12" t="str">
        <f t="shared" si="177"/>
        <v/>
      </c>
      <c r="N884" s="11" t="str">
        <f t="shared" si="179"/>
        <v/>
      </c>
      <c r="O884" s="11" t="str">
        <f t="shared" si="181"/>
        <v/>
      </c>
      <c r="P884" s="11" t="str">
        <f t="shared" si="182"/>
        <v/>
      </c>
      <c r="Q884" s="7"/>
      <c r="R884" s="7"/>
      <c r="S884" s="7"/>
      <c r="T884" s="7"/>
      <c r="U884" s="7"/>
      <c r="V884" s="7"/>
      <c r="W884" s="7"/>
      <c r="X884" s="3"/>
      <c r="Y884" s="3"/>
      <c r="Z884" s="9">
        <v>1.1717900000000001</v>
      </c>
      <c r="AA884" s="12">
        <f t="shared" si="178"/>
        <v>2.5839130025582246E-3</v>
      </c>
      <c r="AB884" s="9">
        <f t="shared" si="180"/>
        <v>1.2797385714285716</v>
      </c>
      <c r="AC884" s="9">
        <f t="shared" si="183"/>
        <v>1.3369221428571429</v>
      </c>
      <c r="AD884" s="9">
        <f t="shared" si="184"/>
        <v>0.95722744833415352</v>
      </c>
      <c r="AE884" s="3" t="s">
        <v>80</v>
      </c>
      <c r="AF884" s="11" t="str">
        <f t="shared" si="185"/>
        <v/>
      </c>
      <c r="AG884" s="11" t="str">
        <f t="shared" si="186"/>
        <v/>
      </c>
      <c r="AH884" s="11">
        <f t="shared" si="187"/>
        <v>0.87648335115144538</v>
      </c>
      <c r="AI884" s="3" t="s">
        <v>45</v>
      </c>
      <c r="AJ884" s="3" t="s">
        <v>79</v>
      </c>
      <c r="AK884" s="3" t="s">
        <v>46</v>
      </c>
      <c r="AL884" s="3" t="s">
        <v>81</v>
      </c>
      <c r="AM884" s="3" t="s">
        <v>82</v>
      </c>
    </row>
    <row r="885" spans="1:39" ht="21" customHeight="1">
      <c r="A885" s="4">
        <v>43293</v>
      </c>
      <c r="B885" s="3" t="s">
        <v>78</v>
      </c>
      <c r="C885" s="3" t="s">
        <v>79</v>
      </c>
      <c r="D885" s="4">
        <v>43159</v>
      </c>
      <c r="E885" s="3">
        <f t="shared" si="172"/>
        <v>134</v>
      </c>
      <c r="F885" s="3" t="str">
        <f t="shared" si="173"/>
        <v>개봉후</v>
      </c>
      <c r="G885" s="3" t="str">
        <f t="shared" si="174"/>
        <v>목</v>
      </c>
      <c r="H885" s="3">
        <f t="shared" si="175"/>
        <v>0</v>
      </c>
      <c r="I885" s="3"/>
      <c r="J885" s="3"/>
      <c r="K885" s="3"/>
      <c r="L885" s="12" t="str">
        <f t="shared" si="176"/>
        <v/>
      </c>
      <c r="M885" s="12" t="str">
        <f t="shared" si="177"/>
        <v/>
      </c>
      <c r="N885" s="11" t="str">
        <f t="shared" si="179"/>
        <v/>
      </c>
      <c r="O885" s="11" t="str">
        <f t="shared" si="181"/>
        <v/>
      </c>
      <c r="P885" s="11" t="str">
        <f t="shared" si="182"/>
        <v/>
      </c>
      <c r="Q885" s="7"/>
      <c r="R885" s="7"/>
      <c r="S885" s="7"/>
      <c r="T885" s="7"/>
      <c r="U885" s="7"/>
      <c r="V885" s="7"/>
      <c r="W885" s="7"/>
      <c r="X885" s="3"/>
      <c r="Y885" s="3"/>
      <c r="Z885" s="9">
        <v>1.1156200000000001</v>
      </c>
      <c r="AA885" s="12">
        <f t="shared" si="178"/>
        <v>-4.793521023391567E-2</v>
      </c>
      <c r="AB885" s="9">
        <f t="shared" si="180"/>
        <v>1.2708200000000001</v>
      </c>
      <c r="AC885" s="9">
        <f t="shared" si="183"/>
        <v>1.3139378571428573</v>
      </c>
      <c r="AD885" s="9">
        <f t="shared" si="184"/>
        <v>0.96718424930946389</v>
      </c>
      <c r="AE885" s="3" t="s">
        <v>80</v>
      </c>
      <c r="AF885" s="11" t="str">
        <f t="shared" si="185"/>
        <v/>
      </c>
      <c r="AG885" s="11" t="str">
        <f t="shared" si="186"/>
        <v/>
      </c>
      <c r="AH885" s="11">
        <f t="shared" si="187"/>
        <v>0.84906602997641223</v>
      </c>
      <c r="AI885" s="3" t="s">
        <v>45</v>
      </c>
      <c r="AJ885" s="3" t="s">
        <v>79</v>
      </c>
      <c r="AK885" s="3" t="s">
        <v>46</v>
      </c>
      <c r="AL885" s="3" t="s">
        <v>81</v>
      </c>
      <c r="AM885" s="3" t="s">
        <v>82</v>
      </c>
    </row>
    <row r="886" spans="1:39" ht="21" customHeight="1">
      <c r="A886" s="4">
        <v>43294</v>
      </c>
      <c r="B886" s="3" t="s">
        <v>78</v>
      </c>
      <c r="C886" s="3" t="s">
        <v>79</v>
      </c>
      <c r="D886" s="4">
        <v>43159</v>
      </c>
      <c r="E886" s="3">
        <f t="shared" si="172"/>
        <v>135</v>
      </c>
      <c r="F886" s="3" t="str">
        <f t="shared" si="173"/>
        <v>개봉후</v>
      </c>
      <c r="G886" s="3" t="str">
        <f t="shared" si="174"/>
        <v>금</v>
      </c>
      <c r="H886" s="3">
        <f t="shared" si="175"/>
        <v>0</v>
      </c>
      <c r="I886" s="3"/>
      <c r="J886" s="3"/>
      <c r="K886" s="3"/>
      <c r="L886" s="12" t="str">
        <f t="shared" si="176"/>
        <v/>
      </c>
      <c r="M886" s="12" t="str">
        <f t="shared" si="177"/>
        <v/>
      </c>
      <c r="N886" s="11" t="str">
        <f t="shared" si="179"/>
        <v/>
      </c>
      <c r="O886" s="11" t="str">
        <f t="shared" si="181"/>
        <v/>
      </c>
      <c r="P886" s="11" t="str">
        <f t="shared" si="182"/>
        <v/>
      </c>
      <c r="Q886" s="7"/>
      <c r="R886" s="7"/>
      <c r="S886" s="7"/>
      <c r="T886" s="7"/>
      <c r="U886" s="7"/>
      <c r="V886" s="7"/>
      <c r="W886" s="7"/>
      <c r="X886" s="3"/>
      <c r="Y886" s="3"/>
      <c r="Z886" s="9">
        <v>1.2370000000000001</v>
      </c>
      <c r="AA886" s="12">
        <f t="shared" si="178"/>
        <v>0.10880048762123318</v>
      </c>
      <c r="AB886" s="9">
        <f t="shared" si="180"/>
        <v>1.2867342857142856</v>
      </c>
      <c r="AC886" s="9">
        <f t="shared" si="183"/>
        <v>1.3049610714285715</v>
      </c>
      <c r="AD886" s="9">
        <f t="shared" si="184"/>
        <v>0.9860326977460464</v>
      </c>
      <c r="AE886" s="3" t="s">
        <v>80</v>
      </c>
      <c r="AF886" s="11" t="str">
        <f t="shared" si="185"/>
        <v/>
      </c>
      <c r="AG886" s="11" t="str">
        <f t="shared" si="186"/>
        <v/>
      </c>
      <c r="AH886" s="11">
        <f t="shared" si="187"/>
        <v>0.94792099709597244</v>
      </c>
      <c r="AI886" s="3" t="s">
        <v>45</v>
      </c>
      <c r="AJ886" s="3" t="s">
        <v>79</v>
      </c>
      <c r="AK886" s="3" t="s">
        <v>46</v>
      </c>
      <c r="AL886" s="3" t="s">
        <v>81</v>
      </c>
      <c r="AM886" s="3" t="s">
        <v>82</v>
      </c>
    </row>
    <row r="887" spans="1:39" ht="21" customHeight="1">
      <c r="A887" s="4">
        <v>43295</v>
      </c>
      <c r="B887" s="3" t="s">
        <v>78</v>
      </c>
      <c r="C887" s="3" t="s">
        <v>79</v>
      </c>
      <c r="D887" s="4">
        <v>43159</v>
      </c>
      <c r="E887" s="3">
        <f t="shared" si="172"/>
        <v>136</v>
      </c>
      <c r="F887" s="3" t="str">
        <f t="shared" si="173"/>
        <v>개봉후</v>
      </c>
      <c r="G887" s="3" t="str">
        <f t="shared" si="174"/>
        <v>토</v>
      </c>
      <c r="H887" s="3">
        <f t="shared" si="175"/>
        <v>1</v>
      </c>
      <c r="I887" s="3"/>
      <c r="J887" s="3"/>
      <c r="K887" s="3"/>
      <c r="L887" s="12" t="str">
        <f t="shared" si="176"/>
        <v/>
      </c>
      <c r="M887" s="12" t="str">
        <f t="shared" si="177"/>
        <v/>
      </c>
      <c r="N887" s="11" t="str">
        <f t="shared" si="179"/>
        <v/>
      </c>
      <c r="O887" s="11" t="str">
        <f t="shared" si="181"/>
        <v/>
      </c>
      <c r="P887" s="11" t="str">
        <f t="shared" si="182"/>
        <v/>
      </c>
      <c r="Q887" s="7"/>
      <c r="R887" s="7"/>
      <c r="S887" s="7"/>
      <c r="T887" s="7"/>
      <c r="U887" s="7"/>
      <c r="V887" s="7"/>
      <c r="W887" s="7"/>
      <c r="X887" s="3"/>
      <c r="Y887" s="3"/>
      <c r="Z887" s="9">
        <v>1.4379900000000001</v>
      </c>
      <c r="AA887" s="12">
        <f t="shared" si="178"/>
        <v>0.16248181083265956</v>
      </c>
      <c r="AB887" s="9">
        <f t="shared" si="180"/>
        <v>1.3029471428571431</v>
      </c>
      <c r="AC887" s="9">
        <f t="shared" si="183"/>
        <v>1.307572142857143</v>
      </c>
      <c r="AD887" s="9">
        <f t="shared" si="184"/>
        <v>0.99646291026826717</v>
      </c>
      <c r="AE887" s="3" t="s">
        <v>80</v>
      </c>
      <c r="AF887" s="11" t="str">
        <f t="shared" si="185"/>
        <v/>
      </c>
      <c r="AG887" s="11" t="str">
        <f t="shared" si="186"/>
        <v/>
      </c>
      <c r="AH887" s="11">
        <f t="shared" si="187"/>
        <v>1.0997404677480238</v>
      </c>
      <c r="AI887" s="3" t="s">
        <v>45</v>
      </c>
      <c r="AJ887" s="3" t="s">
        <v>79</v>
      </c>
      <c r="AK887" s="3" t="s">
        <v>46</v>
      </c>
      <c r="AL887" s="3" t="s">
        <v>81</v>
      </c>
      <c r="AM887" s="3" t="s">
        <v>82</v>
      </c>
    </row>
    <row r="888" spans="1:39" ht="21" customHeight="1">
      <c r="A888" s="4">
        <v>43296</v>
      </c>
      <c r="B888" s="3" t="s">
        <v>78</v>
      </c>
      <c r="C888" s="3" t="s">
        <v>79</v>
      </c>
      <c r="D888" s="4">
        <v>43159</v>
      </c>
      <c r="E888" s="3">
        <f t="shared" si="172"/>
        <v>137</v>
      </c>
      <c r="F888" s="3" t="str">
        <f t="shared" si="173"/>
        <v>개봉후</v>
      </c>
      <c r="G888" s="3" t="str">
        <f t="shared" si="174"/>
        <v>일</v>
      </c>
      <c r="H888" s="3">
        <f t="shared" si="175"/>
        <v>1</v>
      </c>
      <c r="I888" s="3"/>
      <c r="J888" s="3"/>
      <c r="K888" s="3"/>
      <c r="L888" s="12" t="str">
        <f t="shared" si="176"/>
        <v/>
      </c>
      <c r="M888" s="12" t="str">
        <f t="shared" si="177"/>
        <v/>
      </c>
      <c r="N888" s="11" t="str">
        <f t="shared" si="179"/>
        <v/>
      </c>
      <c r="O888" s="11" t="str">
        <f t="shared" si="181"/>
        <v/>
      </c>
      <c r="P888" s="11" t="str">
        <f t="shared" si="182"/>
        <v/>
      </c>
      <c r="Q888" s="7"/>
      <c r="R888" s="7"/>
      <c r="S888" s="7"/>
      <c r="T888" s="7"/>
      <c r="U888" s="7"/>
      <c r="V888" s="7"/>
      <c r="W888" s="7"/>
      <c r="X888" s="3"/>
      <c r="Y888" s="3"/>
      <c r="Z888" s="9">
        <v>1.67726</v>
      </c>
      <c r="AA888" s="12">
        <f t="shared" si="178"/>
        <v>0.16639197769108249</v>
      </c>
      <c r="AB888" s="9">
        <f t="shared" si="180"/>
        <v>1.3156442857142856</v>
      </c>
      <c r="AC888" s="9">
        <f t="shared" si="183"/>
        <v>1.3121807142857143</v>
      </c>
      <c r="AD888" s="9">
        <f t="shared" si="184"/>
        <v>1.002639553676459</v>
      </c>
      <c r="AE888" s="3" t="s">
        <v>80</v>
      </c>
      <c r="AF888" s="11" t="str">
        <f t="shared" si="185"/>
        <v/>
      </c>
      <c r="AG888" s="11" t="str">
        <f t="shared" si="186"/>
        <v/>
      </c>
      <c r="AH888" s="11">
        <f t="shared" si="187"/>
        <v>1.2782233283416429</v>
      </c>
      <c r="AI888" s="3" t="s">
        <v>45</v>
      </c>
      <c r="AJ888" s="3" t="s">
        <v>79</v>
      </c>
      <c r="AK888" s="3" t="s">
        <v>46</v>
      </c>
      <c r="AL888" s="3" t="s">
        <v>81</v>
      </c>
      <c r="AM888" s="3" t="s">
        <v>82</v>
      </c>
    </row>
    <row r="889" spans="1:39" ht="21" customHeight="1">
      <c r="A889" s="4">
        <v>43297</v>
      </c>
      <c r="B889" s="3" t="s">
        <v>78</v>
      </c>
      <c r="C889" s="3" t="s">
        <v>79</v>
      </c>
      <c r="D889" s="4">
        <v>43159</v>
      </c>
      <c r="E889" s="3">
        <f t="shared" si="172"/>
        <v>138</v>
      </c>
      <c r="F889" s="3" t="str">
        <f t="shared" si="173"/>
        <v>개봉후</v>
      </c>
      <c r="G889" s="3" t="str">
        <f t="shared" si="174"/>
        <v>월</v>
      </c>
      <c r="H889" s="3">
        <f t="shared" si="175"/>
        <v>0</v>
      </c>
      <c r="I889" s="3"/>
      <c r="J889" s="3"/>
      <c r="K889" s="3"/>
      <c r="L889" s="12" t="str">
        <f t="shared" si="176"/>
        <v/>
      </c>
      <c r="M889" s="12" t="str">
        <f t="shared" si="177"/>
        <v/>
      </c>
      <c r="N889" s="11" t="str">
        <f t="shared" si="179"/>
        <v/>
      </c>
      <c r="O889" s="11" t="str">
        <f t="shared" si="181"/>
        <v/>
      </c>
      <c r="P889" s="11" t="str">
        <f t="shared" si="182"/>
        <v/>
      </c>
      <c r="Q889" s="7"/>
      <c r="R889" s="7"/>
      <c r="S889" s="7"/>
      <c r="T889" s="7"/>
      <c r="U889" s="7"/>
      <c r="V889" s="7"/>
      <c r="W889" s="7"/>
      <c r="X889" s="3"/>
      <c r="Y889" s="3"/>
      <c r="Z889" s="9">
        <v>1.2367699999999999</v>
      </c>
      <c r="AA889" s="12">
        <f t="shared" si="178"/>
        <v>-0.26262475704422694</v>
      </c>
      <c r="AB889" s="9">
        <f t="shared" si="180"/>
        <v>1.2921714285714285</v>
      </c>
      <c r="AC889" s="9">
        <f t="shared" si="183"/>
        <v>1.3180821428571428</v>
      </c>
      <c r="AD889" s="9">
        <f t="shared" si="184"/>
        <v>0.98034210961272195</v>
      </c>
      <c r="AE889" s="3" t="s">
        <v>80</v>
      </c>
      <c r="AF889" s="11" t="str">
        <f t="shared" si="185"/>
        <v/>
      </c>
      <c r="AG889" s="11" t="str">
        <f t="shared" si="186"/>
        <v/>
      </c>
      <c r="AH889" s="11">
        <f t="shared" si="187"/>
        <v>0.9383102613916865</v>
      </c>
      <c r="AI889" s="3" t="s">
        <v>45</v>
      </c>
      <c r="AJ889" s="3" t="s">
        <v>79</v>
      </c>
      <c r="AK889" s="3" t="s">
        <v>46</v>
      </c>
      <c r="AL889" s="3" t="s">
        <v>81</v>
      </c>
      <c r="AM889" s="3" t="s">
        <v>82</v>
      </c>
    </row>
    <row r="890" spans="1:39" ht="21" customHeight="1">
      <c r="A890" s="4">
        <v>43298</v>
      </c>
      <c r="B890" s="3" t="s">
        <v>78</v>
      </c>
      <c r="C890" s="3" t="s">
        <v>79</v>
      </c>
      <c r="D890" s="4">
        <v>43159</v>
      </c>
      <c r="E890" s="3">
        <f t="shared" si="172"/>
        <v>139</v>
      </c>
      <c r="F890" s="3" t="str">
        <f t="shared" si="173"/>
        <v>개봉후</v>
      </c>
      <c r="G890" s="3" t="str">
        <f t="shared" si="174"/>
        <v>화</v>
      </c>
      <c r="H890" s="3">
        <f t="shared" si="175"/>
        <v>0</v>
      </c>
      <c r="I890" s="3"/>
      <c r="J890" s="3"/>
      <c r="K890" s="3"/>
      <c r="L890" s="12" t="str">
        <f t="shared" si="176"/>
        <v/>
      </c>
      <c r="M890" s="12" t="str">
        <f t="shared" si="177"/>
        <v/>
      </c>
      <c r="N890" s="11" t="str">
        <f t="shared" si="179"/>
        <v/>
      </c>
      <c r="O890" s="11" t="str">
        <f t="shared" si="181"/>
        <v/>
      </c>
      <c r="P890" s="11" t="str">
        <f t="shared" si="182"/>
        <v/>
      </c>
      <c r="Q890" s="7"/>
      <c r="R890" s="7"/>
      <c r="S890" s="7"/>
      <c r="T890" s="7"/>
      <c r="U890" s="7"/>
      <c r="V890" s="7"/>
      <c r="W890" s="7"/>
      <c r="X890" s="3"/>
      <c r="Y890" s="3"/>
      <c r="Z890" s="9">
        <v>1.14927</v>
      </c>
      <c r="AA890" s="12">
        <f t="shared" si="178"/>
        <v>-7.0748805355886679E-2</v>
      </c>
      <c r="AB890" s="9">
        <f t="shared" si="180"/>
        <v>1.2893857142857144</v>
      </c>
      <c r="AC890" s="9">
        <f t="shared" si="183"/>
        <v>1.3271499999999998</v>
      </c>
      <c r="AD890" s="9">
        <f t="shared" si="184"/>
        <v>0.97154482483947902</v>
      </c>
      <c r="AE890" s="3" t="s">
        <v>80</v>
      </c>
      <c r="AF890" s="11" t="str">
        <f t="shared" si="185"/>
        <v/>
      </c>
      <c r="AG890" s="11" t="str">
        <f t="shared" si="186"/>
        <v/>
      </c>
      <c r="AH890" s="11">
        <f t="shared" si="187"/>
        <v>0.86596842858757495</v>
      </c>
      <c r="AI890" s="3" t="s">
        <v>45</v>
      </c>
      <c r="AJ890" s="3" t="s">
        <v>79</v>
      </c>
      <c r="AK890" s="3" t="s">
        <v>46</v>
      </c>
      <c r="AL890" s="3" t="s">
        <v>81</v>
      </c>
      <c r="AM890" s="3" t="s">
        <v>82</v>
      </c>
    </row>
    <row r="891" spans="1:39" ht="21" customHeight="1">
      <c r="A891" s="4">
        <v>43299</v>
      </c>
      <c r="B891" s="3" t="s">
        <v>78</v>
      </c>
      <c r="C891" s="3" t="s">
        <v>79</v>
      </c>
      <c r="D891" s="4">
        <v>43159</v>
      </c>
      <c r="E891" s="3">
        <f t="shared" ref="E891:E954" si="188">A891-D891</f>
        <v>140</v>
      </c>
      <c r="F891" s="3" t="str">
        <f t="shared" ref="F891:F954" si="189">IF(E891&lt;0,"개봉전","개봉후")</f>
        <v>개봉후</v>
      </c>
      <c r="G891" s="3" t="str">
        <f t="shared" ref="G891:G954" si="190">CHOOSE(WEEKDAY(A891,2),"월","화","수","목","금","토","일")</f>
        <v>수</v>
      </c>
      <c r="H891" s="3">
        <f t="shared" ref="H891:H954" si="191">IF(WEEKDAY(A891,2)&gt;5,1,0)</f>
        <v>0</v>
      </c>
      <c r="I891" s="3"/>
      <c r="J891" s="3"/>
      <c r="K891" s="3"/>
      <c r="L891" s="12" t="str">
        <f t="shared" ref="L891:L954" si="192">IF(COUNT(I891:J891)=2,IFERROR(J891/I891,""),"")</f>
        <v/>
      </c>
      <c r="M891" s="12" t="str">
        <f t="shared" si="177"/>
        <v/>
      </c>
      <c r="N891" s="11" t="str">
        <f t="shared" si="179"/>
        <v/>
      </c>
      <c r="O891" s="11" t="str">
        <f t="shared" si="181"/>
        <v/>
      </c>
      <c r="P891" s="11" t="str">
        <f t="shared" si="182"/>
        <v/>
      </c>
      <c r="Q891" s="7"/>
      <c r="R891" s="7"/>
      <c r="S891" s="7"/>
      <c r="T891" s="7"/>
      <c r="U891" s="7"/>
      <c r="V891" s="7"/>
      <c r="W891" s="7"/>
      <c r="X891" s="3"/>
      <c r="Y891" s="3"/>
      <c r="Z891" s="9">
        <v>1.1532199999999999</v>
      </c>
      <c r="AA891" s="12">
        <f t="shared" si="178"/>
        <v>3.4369643338814093E-3</v>
      </c>
      <c r="AB891" s="9">
        <f t="shared" si="180"/>
        <v>1.2867328571428569</v>
      </c>
      <c r="AC891" s="9">
        <f t="shared" si="183"/>
        <v>1.3305149999999999</v>
      </c>
      <c r="AD891" s="9">
        <f t="shared" si="184"/>
        <v>0.96709383745606547</v>
      </c>
      <c r="AE891" s="3" t="s">
        <v>80</v>
      </c>
      <c r="AF891" s="11" t="str">
        <f t="shared" si="185"/>
        <v/>
      </c>
      <c r="AG891" s="11" t="str">
        <f t="shared" si="186"/>
        <v/>
      </c>
      <c r="AH891" s="11">
        <f t="shared" si="187"/>
        <v>0.8667470866544158</v>
      </c>
      <c r="AI891" s="3" t="s">
        <v>45</v>
      </c>
      <c r="AJ891" s="3" t="s">
        <v>79</v>
      </c>
      <c r="AK891" s="3" t="s">
        <v>46</v>
      </c>
      <c r="AL891" s="3" t="s">
        <v>81</v>
      </c>
      <c r="AM891" s="3" t="s">
        <v>82</v>
      </c>
    </row>
    <row r="892" spans="1:39" ht="21" customHeight="1">
      <c r="A892" s="4">
        <v>43300</v>
      </c>
      <c r="B892" s="3" t="s">
        <v>78</v>
      </c>
      <c r="C892" s="3" t="s">
        <v>79</v>
      </c>
      <c r="D892" s="4">
        <v>43159</v>
      </c>
      <c r="E892" s="3">
        <f t="shared" si="188"/>
        <v>141</v>
      </c>
      <c r="F892" s="3" t="str">
        <f t="shared" si="189"/>
        <v>개봉후</v>
      </c>
      <c r="G892" s="3" t="str">
        <f t="shared" si="190"/>
        <v>목</v>
      </c>
      <c r="H892" s="3">
        <f t="shared" si="191"/>
        <v>0</v>
      </c>
      <c r="I892" s="3"/>
      <c r="J892" s="3"/>
      <c r="K892" s="3"/>
      <c r="L892" s="12" t="str">
        <f t="shared" si="192"/>
        <v/>
      </c>
      <c r="M892" s="12" t="str">
        <f t="shared" ref="M892:M955" si="193">IF(AND(COUNT(I891:I892)=2,A892=A891+1),IFERROR(I892/I891-1,""),"")</f>
        <v/>
      </c>
      <c r="N892" s="11" t="str">
        <f t="shared" si="179"/>
        <v/>
      </c>
      <c r="O892" s="11" t="str">
        <f t="shared" si="181"/>
        <v/>
      </c>
      <c r="P892" s="11" t="str">
        <f t="shared" si="182"/>
        <v/>
      </c>
      <c r="Q892" s="7">
        <v>1</v>
      </c>
      <c r="R892" s="7">
        <v>1</v>
      </c>
      <c r="S892" s="7">
        <v>273</v>
      </c>
      <c r="T892" s="7">
        <v>1188000</v>
      </c>
      <c r="U892" s="7">
        <v>198</v>
      </c>
      <c r="V892" s="7">
        <v>1505446</v>
      </c>
      <c r="W892" s="7">
        <v>34</v>
      </c>
      <c r="X892" s="3"/>
      <c r="Y892" s="3" t="s">
        <v>83</v>
      </c>
      <c r="Z892" s="9">
        <v>3.5729199999999999</v>
      </c>
      <c r="AA892" s="12">
        <f t="shared" ref="AA892:AA955" si="194">IF(AND(COUNT(Z891:Z892)=2,A892=A891+1),IFERROR(Z892/Z891-1,""),"")</f>
        <v>2.0982119630252685</v>
      </c>
      <c r="AB892" s="9">
        <f t="shared" si="180"/>
        <v>1.6377757142857143</v>
      </c>
      <c r="AC892" s="9">
        <f t="shared" si="183"/>
        <v>1.3320399999999997</v>
      </c>
      <c r="AD892" s="9">
        <f t="shared" si="184"/>
        <v>1.2295244244059598</v>
      </c>
      <c r="AE892" s="3" t="s">
        <v>80</v>
      </c>
      <c r="AF892" s="11" t="str">
        <f t="shared" si="185"/>
        <v/>
      </c>
      <c r="AG892" s="11" t="str">
        <f t="shared" si="186"/>
        <v/>
      </c>
      <c r="AH892" s="11">
        <f t="shared" si="187"/>
        <v>2.6822918230683768</v>
      </c>
      <c r="AI892" s="3" t="s">
        <v>45</v>
      </c>
      <c r="AJ892" s="3" t="s">
        <v>79</v>
      </c>
      <c r="AK892" s="3" t="s">
        <v>46</v>
      </c>
      <c r="AL892" s="3" t="s">
        <v>81</v>
      </c>
      <c r="AM892" s="3" t="s">
        <v>82</v>
      </c>
    </row>
    <row r="893" spans="1:39" ht="21" customHeight="1">
      <c r="A893" s="4">
        <v>43301</v>
      </c>
      <c r="B893" s="3" t="s">
        <v>78</v>
      </c>
      <c r="C893" s="3" t="s">
        <v>79</v>
      </c>
      <c r="D893" s="4">
        <v>43159</v>
      </c>
      <c r="E893" s="3">
        <f t="shared" si="188"/>
        <v>142</v>
      </c>
      <c r="F893" s="3" t="str">
        <f t="shared" si="189"/>
        <v>개봉후</v>
      </c>
      <c r="G893" s="3" t="str">
        <f t="shared" si="190"/>
        <v>금</v>
      </c>
      <c r="H893" s="3">
        <f t="shared" si="191"/>
        <v>0</v>
      </c>
      <c r="I893" s="3"/>
      <c r="J893" s="3"/>
      <c r="K893" s="3"/>
      <c r="L893" s="12" t="str">
        <f t="shared" si="192"/>
        <v/>
      </c>
      <c r="M893" s="12" t="str">
        <f t="shared" si="193"/>
        <v/>
      </c>
      <c r="N893" s="11" t="str">
        <f t="shared" si="179"/>
        <v/>
      </c>
      <c r="O893" s="11" t="str">
        <f t="shared" si="181"/>
        <v/>
      </c>
      <c r="P893" s="11" t="str">
        <f t="shared" si="182"/>
        <v/>
      </c>
      <c r="Q893" s="7"/>
      <c r="R893" s="7"/>
      <c r="S893" s="7"/>
      <c r="T893" s="7"/>
      <c r="U893" s="7"/>
      <c r="V893" s="7"/>
      <c r="W893" s="7"/>
      <c r="X893" s="3"/>
      <c r="Y893" s="3"/>
      <c r="Z893" s="9">
        <v>1.1592499999999999</v>
      </c>
      <c r="AA893" s="12">
        <f t="shared" si="194"/>
        <v>-0.6755454922024563</v>
      </c>
      <c r="AB893" s="9">
        <f t="shared" si="180"/>
        <v>1.6266685714285711</v>
      </c>
      <c r="AC893" s="9">
        <f t="shared" si="183"/>
        <v>1.4204967857142852</v>
      </c>
      <c r="AD893" s="9">
        <f t="shared" si="184"/>
        <v>1.145140621075474</v>
      </c>
      <c r="AE893" s="3" t="s">
        <v>80</v>
      </c>
      <c r="AF893" s="11" t="str">
        <f t="shared" si="185"/>
        <v/>
      </c>
      <c r="AG893" s="11" t="str">
        <f t="shared" si="186"/>
        <v/>
      </c>
      <c r="AH893" s="11">
        <f t="shared" si="187"/>
        <v>0.81608773188253325</v>
      </c>
      <c r="AI893" s="3" t="s">
        <v>45</v>
      </c>
      <c r="AJ893" s="3" t="s">
        <v>79</v>
      </c>
      <c r="AK893" s="3" t="s">
        <v>46</v>
      </c>
      <c r="AL893" s="3" t="s">
        <v>81</v>
      </c>
      <c r="AM893" s="3" t="s">
        <v>82</v>
      </c>
    </row>
    <row r="894" spans="1:39" ht="21" customHeight="1">
      <c r="A894" s="4">
        <v>43302</v>
      </c>
      <c r="B894" s="3" t="s">
        <v>78</v>
      </c>
      <c r="C894" s="3" t="s">
        <v>79</v>
      </c>
      <c r="D894" s="4">
        <v>43159</v>
      </c>
      <c r="E894" s="3">
        <f t="shared" si="188"/>
        <v>143</v>
      </c>
      <c r="F894" s="3" t="str">
        <f t="shared" si="189"/>
        <v>개봉후</v>
      </c>
      <c r="G894" s="3" t="str">
        <f t="shared" si="190"/>
        <v>토</v>
      </c>
      <c r="H894" s="3">
        <f t="shared" si="191"/>
        <v>1</v>
      </c>
      <c r="I894" s="3"/>
      <c r="J894" s="3"/>
      <c r="K894" s="3"/>
      <c r="L894" s="12" t="str">
        <f t="shared" si="192"/>
        <v/>
      </c>
      <c r="M894" s="12" t="str">
        <f t="shared" si="193"/>
        <v/>
      </c>
      <c r="N894" s="11" t="str">
        <f t="shared" si="179"/>
        <v/>
      </c>
      <c r="O894" s="11" t="str">
        <f t="shared" si="181"/>
        <v/>
      </c>
      <c r="P894" s="11" t="str">
        <f t="shared" si="182"/>
        <v/>
      </c>
      <c r="Q894" s="7"/>
      <c r="R894" s="7"/>
      <c r="S894" s="7"/>
      <c r="T894" s="7"/>
      <c r="U894" s="7"/>
      <c r="V894" s="7"/>
      <c r="W894" s="7"/>
      <c r="X894" s="3"/>
      <c r="Y894" s="3"/>
      <c r="Z894" s="9">
        <v>1.6275999999999999</v>
      </c>
      <c r="AA894" s="12">
        <f t="shared" si="194"/>
        <v>0.40401121414707797</v>
      </c>
      <c r="AB894" s="9">
        <f t="shared" si="180"/>
        <v>1.653755714285714</v>
      </c>
      <c r="AC894" s="9">
        <f t="shared" si="183"/>
        <v>1.4222289285714287</v>
      </c>
      <c r="AD894" s="9">
        <f t="shared" si="184"/>
        <v>1.1627915035780101</v>
      </c>
      <c r="AE894" s="3" t="s">
        <v>80</v>
      </c>
      <c r="AF894" s="11" t="str">
        <f t="shared" si="185"/>
        <v/>
      </c>
      <c r="AG894" s="11" t="str">
        <f t="shared" si="186"/>
        <v/>
      </c>
      <c r="AH894" s="11">
        <f t="shared" si="187"/>
        <v>1.1444008536901709</v>
      </c>
      <c r="AI894" s="3" t="s">
        <v>45</v>
      </c>
      <c r="AJ894" s="3" t="s">
        <v>79</v>
      </c>
      <c r="AK894" s="3" t="s">
        <v>46</v>
      </c>
      <c r="AL894" s="3" t="s">
        <v>81</v>
      </c>
      <c r="AM894" s="3" t="s">
        <v>82</v>
      </c>
    </row>
    <row r="895" spans="1:39" ht="21" customHeight="1">
      <c r="A895" s="4">
        <v>43303</v>
      </c>
      <c r="B895" s="3" t="s">
        <v>78</v>
      </c>
      <c r="C895" s="3" t="s">
        <v>79</v>
      </c>
      <c r="D895" s="4">
        <v>43159</v>
      </c>
      <c r="E895" s="3">
        <f t="shared" si="188"/>
        <v>144</v>
      </c>
      <c r="F895" s="3" t="str">
        <f t="shared" si="189"/>
        <v>개봉후</v>
      </c>
      <c r="G895" s="3" t="str">
        <f t="shared" si="190"/>
        <v>일</v>
      </c>
      <c r="H895" s="3">
        <f t="shared" si="191"/>
        <v>1</v>
      </c>
      <c r="I895" s="3"/>
      <c r="J895" s="3"/>
      <c r="K895" s="3"/>
      <c r="L895" s="12" t="str">
        <f t="shared" si="192"/>
        <v/>
      </c>
      <c r="M895" s="12" t="str">
        <f t="shared" si="193"/>
        <v/>
      </c>
      <c r="N895" s="11" t="str">
        <f t="shared" si="179"/>
        <v/>
      </c>
      <c r="O895" s="11" t="str">
        <f t="shared" si="181"/>
        <v/>
      </c>
      <c r="P895" s="11" t="str">
        <f t="shared" si="182"/>
        <v/>
      </c>
      <c r="Q895" s="7"/>
      <c r="R895" s="7"/>
      <c r="S895" s="7"/>
      <c r="T895" s="7"/>
      <c r="U895" s="7"/>
      <c r="V895" s="7"/>
      <c r="W895" s="7"/>
      <c r="X895" s="3"/>
      <c r="Y895" s="3"/>
      <c r="Z895" s="9">
        <v>1.6127400000000001</v>
      </c>
      <c r="AA895" s="12">
        <f t="shared" si="194"/>
        <v>-9.1300073728187714E-3</v>
      </c>
      <c r="AB895" s="9">
        <f t="shared" si="180"/>
        <v>1.6445385714285712</v>
      </c>
      <c r="AC895" s="9">
        <f t="shared" si="183"/>
        <v>1.4359632142857142</v>
      </c>
      <c r="AD895" s="9">
        <f t="shared" si="184"/>
        <v>1.145251184060873</v>
      </c>
      <c r="AE895" s="3" t="s">
        <v>80</v>
      </c>
      <c r="AF895" s="11" t="str">
        <f t="shared" si="185"/>
        <v/>
      </c>
      <c r="AG895" s="11" t="str">
        <f t="shared" si="186"/>
        <v/>
      </c>
      <c r="AH895" s="11">
        <f t="shared" si="187"/>
        <v>1.1231067648221194</v>
      </c>
      <c r="AI895" s="3" t="s">
        <v>45</v>
      </c>
      <c r="AJ895" s="3" t="s">
        <v>79</v>
      </c>
      <c r="AK895" s="3" t="s">
        <v>46</v>
      </c>
      <c r="AL895" s="3" t="s">
        <v>81</v>
      </c>
      <c r="AM895" s="3" t="s">
        <v>82</v>
      </c>
    </row>
    <row r="896" spans="1:39" ht="21" customHeight="1">
      <c r="A896" s="4">
        <v>43304</v>
      </c>
      <c r="B896" s="3" t="s">
        <v>78</v>
      </c>
      <c r="C896" s="3" t="s">
        <v>79</v>
      </c>
      <c r="D896" s="4">
        <v>43159</v>
      </c>
      <c r="E896" s="3">
        <f t="shared" si="188"/>
        <v>145</v>
      </c>
      <c r="F896" s="3" t="str">
        <f t="shared" si="189"/>
        <v>개봉후</v>
      </c>
      <c r="G896" s="3" t="str">
        <f t="shared" si="190"/>
        <v>월</v>
      </c>
      <c r="H896" s="3">
        <f t="shared" si="191"/>
        <v>0</v>
      </c>
      <c r="I896" s="3"/>
      <c r="J896" s="3"/>
      <c r="K896" s="3"/>
      <c r="L896" s="12" t="str">
        <f t="shared" si="192"/>
        <v/>
      </c>
      <c r="M896" s="12" t="str">
        <f t="shared" si="193"/>
        <v/>
      </c>
      <c r="N896" s="11" t="str">
        <f t="shared" si="179"/>
        <v/>
      </c>
      <c r="O896" s="11" t="str">
        <f t="shared" si="181"/>
        <v/>
      </c>
      <c r="P896" s="11" t="str">
        <f t="shared" si="182"/>
        <v/>
      </c>
      <c r="Q896" s="7"/>
      <c r="R896" s="7"/>
      <c r="S896" s="7"/>
      <c r="T896" s="7"/>
      <c r="U896" s="7"/>
      <c r="V896" s="7"/>
      <c r="W896" s="7"/>
      <c r="X896" s="3"/>
      <c r="Y896" s="3"/>
      <c r="Z896" s="9">
        <v>1.22377</v>
      </c>
      <c r="AA896" s="12">
        <f t="shared" si="194"/>
        <v>-0.24118580800376999</v>
      </c>
      <c r="AB896" s="9">
        <f t="shared" si="180"/>
        <v>1.6426814285714286</v>
      </c>
      <c r="AC896" s="9">
        <f t="shared" si="183"/>
        <v>1.4425278571428575</v>
      </c>
      <c r="AD896" s="9">
        <f t="shared" si="184"/>
        <v>1.1387519627003981</v>
      </c>
      <c r="AE896" s="3" t="s">
        <v>80</v>
      </c>
      <c r="AF896" s="11" t="str">
        <f t="shared" si="185"/>
        <v/>
      </c>
      <c r="AG896" s="11" t="str">
        <f t="shared" si="186"/>
        <v/>
      </c>
      <c r="AH896" s="11">
        <f t="shared" si="187"/>
        <v>0.84835103456778982</v>
      </c>
      <c r="AI896" s="3" t="s">
        <v>45</v>
      </c>
      <c r="AJ896" s="3" t="s">
        <v>79</v>
      </c>
      <c r="AK896" s="3" t="s">
        <v>46</v>
      </c>
      <c r="AL896" s="3" t="s">
        <v>81</v>
      </c>
      <c r="AM896" s="3" t="s">
        <v>82</v>
      </c>
    </row>
    <row r="897" spans="1:39" ht="21" customHeight="1">
      <c r="A897" s="4">
        <v>43305</v>
      </c>
      <c r="B897" s="3" t="s">
        <v>78</v>
      </c>
      <c r="C897" s="3" t="s">
        <v>79</v>
      </c>
      <c r="D897" s="4">
        <v>43159</v>
      </c>
      <c r="E897" s="3">
        <f t="shared" si="188"/>
        <v>146</v>
      </c>
      <c r="F897" s="3" t="str">
        <f t="shared" si="189"/>
        <v>개봉후</v>
      </c>
      <c r="G897" s="3" t="str">
        <f t="shared" si="190"/>
        <v>화</v>
      </c>
      <c r="H897" s="3">
        <f t="shared" si="191"/>
        <v>0</v>
      </c>
      <c r="I897" s="3"/>
      <c r="J897" s="3"/>
      <c r="K897" s="3"/>
      <c r="L897" s="12" t="str">
        <f t="shared" si="192"/>
        <v/>
      </c>
      <c r="M897" s="12" t="str">
        <f t="shared" si="193"/>
        <v/>
      </c>
      <c r="N897" s="11" t="str">
        <f t="shared" ref="N897:N960" si="195">IF(COUNT(I891:I897)=7,AVERAGE(I891:I897),"")</f>
        <v/>
      </c>
      <c r="O897" s="11" t="str">
        <f t="shared" si="181"/>
        <v/>
      </c>
      <c r="P897" s="11" t="str">
        <f t="shared" si="182"/>
        <v/>
      </c>
      <c r="Q897" s="7"/>
      <c r="R897" s="7"/>
      <c r="S897" s="7"/>
      <c r="T897" s="7"/>
      <c r="U897" s="7"/>
      <c r="V897" s="7"/>
      <c r="W897" s="7"/>
      <c r="X897" s="3"/>
      <c r="Y897" s="3"/>
      <c r="Z897" s="9">
        <v>1.1411500000000001</v>
      </c>
      <c r="AA897" s="12">
        <f t="shared" si="194"/>
        <v>-6.7512686207375494E-2</v>
      </c>
      <c r="AB897" s="9">
        <f t="shared" ref="AB897:AB960" si="196">IF(COUNT(Z891:Z897)=7,AVERAGE(Z891:Z897),"")</f>
        <v>1.6415214285714286</v>
      </c>
      <c r="AC897" s="9">
        <f t="shared" si="183"/>
        <v>1.4403560714285715</v>
      </c>
      <c r="AD897" s="9">
        <f t="shared" si="184"/>
        <v>1.139663629801857</v>
      </c>
      <c r="AE897" s="3" t="s">
        <v>80</v>
      </c>
      <c r="AF897" s="11" t="str">
        <f t="shared" si="185"/>
        <v/>
      </c>
      <c r="AG897" s="11" t="str">
        <f t="shared" si="186"/>
        <v/>
      </c>
      <c r="AH897" s="11">
        <f t="shared" si="187"/>
        <v>0.79226937188398605</v>
      </c>
      <c r="AI897" s="3" t="s">
        <v>45</v>
      </c>
      <c r="AJ897" s="3" t="s">
        <v>79</v>
      </c>
      <c r="AK897" s="3" t="s">
        <v>46</v>
      </c>
      <c r="AL897" s="3" t="s">
        <v>81</v>
      </c>
      <c r="AM897" s="3" t="s">
        <v>82</v>
      </c>
    </row>
    <row r="898" spans="1:39" ht="21" customHeight="1">
      <c r="A898" s="4">
        <v>43306</v>
      </c>
      <c r="B898" s="3" t="s">
        <v>78</v>
      </c>
      <c r="C898" s="3" t="s">
        <v>79</v>
      </c>
      <c r="D898" s="4">
        <v>43159</v>
      </c>
      <c r="E898" s="3">
        <f t="shared" si="188"/>
        <v>147</v>
      </c>
      <c r="F898" s="3" t="str">
        <f t="shared" si="189"/>
        <v>개봉후</v>
      </c>
      <c r="G898" s="3" t="str">
        <f t="shared" si="190"/>
        <v>수</v>
      </c>
      <c r="H898" s="3">
        <f t="shared" si="191"/>
        <v>0</v>
      </c>
      <c r="I898" s="3"/>
      <c r="J898" s="3"/>
      <c r="K898" s="3"/>
      <c r="L898" s="12" t="str">
        <f t="shared" si="192"/>
        <v/>
      </c>
      <c r="M898" s="12" t="str">
        <f t="shared" si="193"/>
        <v/>
      </c>
      <c r="N898" s="11" t="str">
        <f t="shared" si="195"/>
        <v/>
      </c>
      <c r="O898" s="11" t="str">
        <f t="shared" si="181"/>
        <v/>
      </c>
      <c r="P898" s="11" t="str">
        <f t="shared" si="182"/>
        <v/>
      </c>
      <c r="Q898" s="7"/>
      <c r="R898" s="7"/>
      <c r="S898" s="7"/>
      <c r="T898" s="7"/>
      <c r="U898" s="7"/>
      <c r="V898" s="7"/>
      <c r="W898" s="7"/>
      <c r="X898" s="3"/>
      <c r="Y898" s="3"/>
      <c r="Z898" s="9">
        <v>1.12351</v>
      </c>
      <c r="AA898" s="12">
        <f t="shared" si="194"/>
        <v>-1.5458090522718404E-2</v>
      </c>
      <c r="AB898" s="9">
        <f t="shared" si="196"/>
        <v>1.6372771428571427</v>
      </c>
      <c r="AC898" s="9">
        <f t="shared" si="183"/>
        <v>1.4258839285714289</v>
      </c>
      <c r="AD898" s="9">
        <f t="shared" si="184"/>
        <v>1.148254153125567</v>
      </c>
      <c r="AE898" s="3" t="s">
        <v>80</v>
      </c>
      <c r="AF898" s="11" t="str">
        <f t="shared" si="185"/>
        <v/>
      </c>
      <c r="AG898" s="11" t="str">
        <f t="shared" si="186"/>
        <v/>
      </c>
      <c r="AH898" s="11">
        <f t="shared" si="187"/>
        <v>0.787939310828496</v>
      </c>
      <c r="AI898" s="3" t="s">
        <v>45</v>
      </c>
      <c r="AJ898" s="3" t="s">
        <v>79</v>
      </c>
      <c r="AK898" s="3" t="s">
        <v>46</v>
      </c>
      <c r="AL898" s="3" t="s">
        <v>81</v>
      </c>
      <c r="AM898" s="3" t="s">
        <v>82</v>
      </c>
    </row>
    <row r="899" spans="1:39" ht="21" customHeight="1">
      <c r="A899" s="4">
        <v>43307</v>
      </c>
      <c r="B899" s="3" t="s">
        <v>78</v>
      </c>
      <c r="C899" s="3" t="s">
        <v>79</v>
      </c>
      <c r="D899" s="4">
        <v>43159</v>
      </c>
      <c r="E899" s="3">
        <f t="shared" si="188"/>
        <v>148</v>
      </c>
      <c r="F899" s="3" t="str">
        <f t="shared" si="189"/>
        <v>개봉후</v>
      </c>
      <c r="G899" s="3" t="str">
        <f t="shared" si="190"/>
        <v>목</v>
      </c>
      <c r="H899" s="3">
        <f t="shared" si="191"/>
        <v>0</v>
      </c>
      <c r="I899" s="3"/>
      <c r="J899" s="3"/>
      <c r="K899" s="3"/>
      <c r="L899" s="12" t="str">
        <f t="shared" si="192"/>
        <v/>
      </c>
      <c r="M899" s="12" t="str">
        <f t="shared" si="193"/>
        <v/>
      </c>
      <c r="N899" s="11" t="str">
        <f t="shared" si="195"/>
        <v/>
      </c>
      <c r="O899" s="11" t="str">
        <f t="shared" si="181"/>
        <v/>
      </c>
      <c r="P899" s="11" t="str">
        <f t="shared" si="182"/>
        <v/>
      </c>
      <c r="Q899" s="7"/>
      <c r="R899" s="7"/>
      <c r="S899" s="7"/>
      <c r="T899" s="7"/>
      <c r="U899" s="7"/>
      <c r="V899" s="7"/>
      <c r="W899" s="7"/>
      <c r="X899" s="3"/>
      <c r="Y899" s="3"/>
      <c r="Z899" s="9">
        <v>1.4830099999999999</v>
      </c>
      <c r="AA899" s="12">
        <f t="shared" si="194"/>
        <v>0.31997935042856751</v>
      </c>
      <c r="AB899" s="9">
        <f t="shared" si="196"/>
        <v>1.3387185714285714</v>
      </c>
      <c r="AC899" s="9">
        <f t="shared" si="183"/>
        <v>1.4142960714285719</v>
      </c>
      <c r="AD899" s="9">
        <f t="shared" si="184"/>
        <v>0.94656175497704653</v>
      </c>
      <c r="AE899" s="3" t="s">
        <v>80</v>
      </c>
      <c r="AF899" s="11" t="str">
        <f t="shared" si="185"/>
        <v/>
      </c>
      <c r="AG899" s="11" t="str">
        <f t="shared" si="186"/>
        <v/>
      </c>
      <c r="AH899" s="11">
        <f t="shared" si="187"/>
        <v>1.0485852502595305</v>
      </c>
      <c r="AI899" s="3" t="s">
        <v>45</v>
      </c>
      <c r="AJ899" s="3" t="s">
        <v>79</v>
      </c>
      <c r="AK899" s="3" t="s">
        <v>46</v>
      </c>
      <c r="AL899" s="3" t="s">
        <v>81</v>
      </c>
      <c r="AM899" s="3" t="s">
        <v>82</v>
      </c>
    </row>
    <row r="900" spans="1:39" ht="21" customHeight="1">
      <c r="A900" s="4">
        <v>43308</v>
      </c>
      <c r="B900" s="3" t="s">
        <v>78</v>
      </c>
      <c r="C900" s="3" t="s">
        <v>79</v>
      </c>
      <c r="D900" s="4">
        <v>43159</v>
      </c>
      <c r="E900" s="3">
        <f t="shared" si="188"/>
        <v>149</v>
      </c>
      <c r="F900" s="3" t="str">
        <f t="shared" si="189"/>
        <v>개봉후</v>
      </c>
      <c r="G900" s="3" t="str">
        <f t="shared" si="190"/>
        <v>금</v>
      </c>
      <c r="H900" s="3">
        <f t="shared" si="191"/>
        <v>0</v>
      </c>
      <c r="I900" s="3"/>
      <c r="J900" s="3"/>
      <c r="K900" s="3"/>
      <c r="L900" s="12" t="str">
        <f t="shared" si="192"/>
        <v/>
      </c>
      <c r="M900" s="12" t="str">
        <f t="shared" si="193"/>
        <v/>
      </c>
      <c r="N900" s="11" t="str">
        <f t="shared" si="195"/>
        <v/>
      </c>
      <c r="O900" s="11" t="str">
        <f t="shared" si="181"/>
        <v/>
      </c>
      <c r="P900" s="11" t="str">
        <f t="shared" si="182"/>
        <v/>
      </c>
      <c r="Q900" s="7">
        <v>1</v>
      </c>
      <c r="R900" s="7">
        <v>1</v>
      </c>
      <c r="S900" s="7">
        <v>123</v>
      </c>
      <c r="T900" s="7">
        <v>440000</v>
      </c>
      <c r="U900" s="7">
        <v>44</v>
      </c>
      <c r="V900" s="7">
        <v>1505490</v>
      </c>
      <c r="W900" s="7">
        <v>50</v>
      </c>
      <c r="X900" s="3"/>
      <c r="Y900" s="3" t="s">
        <v>83</v>
      </c>
      <c r="Z900" s="9">
        <v>1.26416</v>
      </c>
      <c r="AA900" s="12">
        <f t="shared" si="194"/>
        <v>-0.1475714931119817</v>
      </c>
      <c r="AB900" s="9">
        <f t="shared" si="196"/>
        <v>1.3537057142857143</v>
      </c>
      <c r="AC900" s="9">
        <f t="shared" si="183"/>
        <v>1.4249885714285717</v>
      </c>
      <c r="AD900" s="9">
        <f t="shared" si="184"/>
        <v>0.94997654116524222</v>
      </c>
      <c r="AE900" s="3" t="s">
        <v>80</v>
      </c>
      <c r="AF900" s="11" t="str">
        <f t="shared" si="185"/>
        <v/>
      </c>
      <c r="AG900" s="11" t="str">
        <f t="shared" si="186"/>
        <v/>
      </c>
      <c r="AH900" s="11">
        <f t="shared" si="187"/>
        <v>0.88713693944412564</v>
      </c>
      <c r="AI900" s="3" t="s">
        <v>45</v>
      </c>
      <c r="AJ900" s="3" t="s">
        <v>79</v>
      </c>
      <c r="AK900" s="3" t="s">
        <v>46</v>
      </c>
      <c r="AL900" s="3" t="s">
        <v>81</v>
      </c>
      <c r="AM900" s="3" t="s">
        <v>82</v>
      </c>
    </row>
    <row r="901" spans="1:39" ht="21" customHeight="1">
      <c r="A901" s="4">
        <v>43309</v>
      </c>
      <c r="B901" s="3" t="s">
        <v>78</v>
      </c>
      <c r="C901" s="3" t="s">
        <v>79</v>
      </c>
      <c r="D901" s="4">
        <v>43159</v>
      </c>
      <c r="E901" s="3">
        <f t="shared" si="188"/>
        <v>150</v>
      </c>
      <c r="F901" s="3" t="str">
        <f t="shared" si="189"/>
        <v>개봉후</v>
      </c>
      <c r="G901" s="3" t="str">
        <f t="shared" si="190"/>
        <v>토</v>
      </c>
      <c r="H901" s="3">
        <f t="shared" si="191"/>
        <v>1</v>
      </c>
      <c r="I901" s="3"/>
      <c r="J901" s="3"/>
      <c r="K901" s="3"/>
      <c r="L901" s="12" t="str">
        <f t="shared" si="192"/>
        <v/>
      </c>
      <c r="M901" s="12" t="str">
        <f t="shared" si="193"/>
        <v/>
      </c>
      <c r="N901" s="11" t="str">
        <f t="shared" si="195"/>
        <v/>
      </c>
      <c r="O901" s="11" t="str">
        <f t="shared" si="181"/>
        <v/>
      </c>
      <c r="P901" s="11" t="str">
        <f t="shared" si="182"/>
        <v/>
      </c>
      <c r="Q901" s="7"/>
      <c r="R901" s="7"/>
      <c r="S901" s="7"/>
      <c r="T901" s="7"/>
      <c r="U901" s="7"/>
      <c r="V901" s="7"/>
      <c r="W901" s="7"/>
      <c r="X901" s="3"/>
      <c r="Y901" s="3"/>
      <c r="Z901" s="9">
        <v>1.4785999999999999</v>
      </c>
      <c r="AA901" s="12">
        <f t="shared" si="194"/>
        <v>0.16963042652828753</v>
      </c>
      <c r="AB901" s="9">
        <f t="shared" si="196"/>
        <v>1.3324200000000002</v>
      </c>
      <c r="AC901" s="9">
        <f t="shared" si="183"/>
        <v>1.4270196428571431</v>
      </c>
      <c r="AD901" s="9">
        <f t="shared" si="184"/>
        <v>0.93370824057632595</v>
      </c>
      <c r="AE901" s="3" t="s">
        <v>80</v>
      </c>
      <c r="AF901" s="11" t="str">
        <f t="shared" si="185"/>
        <v/>
      </c>
      <c r="AG901" s="11" t="str">
        <f t="shared" si="186"/>
        <v/>
      </c>
      <c r="AH901" s="11">
        <f t="shared" si="187"/>
        <v>1.0361455130635651</v>
      </c>
      <c r="AI901" s="3" t="s">
        <v>45</v>
      </c>
      <c r="AJ901" s="3" t="s">
        <v>79</v>
      </c>
      <c r="AK901" s="3" t="s">
        <v>46</v>
      </c>
      <c r="AL901" s="3" t="s">
        <v>81</v>
      </c>
      <c r="AM901" s="3" t="s">
        <v>82</v>
      </c>
    </row>
    <row r="902" spans="1:39" ht="21" customHeight="1">
      <c r="A902" s="4">
        <v>43310</v>
      </c>
      <c r="B902" s="3" t="s">
        <v>78</v>
      </c>
      <c r="C902" s="3" t="s">
        <v>79</v>
      </c>
      <c r="D902" s="4">
        <v>43159</v>
      </c>
      <c r="E902" s="3">
        <f t="shared" si="188"/>
        <v>151</v>
      </c>
      <c r="F902" s="3" t="str">
        <f t="shared" si="189"/>
        <v>개봉후</v>
      </c>
      <c r="G902" s="3" t="str">
        <f t="shared" si="190"/>
        <v>일</v>
      </c>
      <c r="H902" s="3">
        <f t="shared" si="191"/>
        <v>1</v>
      </c>
      <c r="I902" s="3"/>
      <c r="J902" s="3"/>
      <c r="K902" s="3"/>
      <c r="L902" s="12" t="str">
        <f t="shared" si="192"/>
        <v/>
      </c>
      <c r="M902" s="12" t="str">
        <f t="shared" si="193"/>
        <v/>
      </c>
      <c r="N902" s="11" t="str">
        <f t="shared" si="195"/>
        <v/>
      </c>
      <c r="O902" s="11" t="str">
        <f t="shared" si="181"/>
        <v/>
      </c>
      <c r="P902" s="11" t="str">
        <f t="shared" si="182"/>
        <v/>
      </c>
      <c r="Q902" s="7"/>
      <c r="R902" s="7"/>
      <c r="S902" s="7"/>
      <c r="T902" s="7"/>
      <c r="U902" s="7"/>
      <c r="V902" s="7"/>
      <c r="W902" s="7"/>
      <c r="X902" s="3"/>
      <c r="Y902" s="3"/>
      <c r="Z902" s="9">
        <v>1.8362400000000001</v>
      </c>
      <c r="AA902" s="12">
        <f t="shared" si="194"/>
        <v>0.24187745164344654</v>
      </c>
      <c r="AB902" s="9">
        <f t="shared" si="196"/>
        <v>1.3643485714285715</v>
      </c>
      <c r="AC902" s="9">
        <f t="shared" si="183"/>
        <v>1.4220960714285718</v>
      </c>
      <c r="AD902" s="9">
        <f t="shared" si="184"/>
        <v>0.95939268720291881</v>
      </c>
      <c r="AE902" s="3" t="s">
        <v>80</v>
      </c>
      <c r="AF902" s="11" t="str">
        <f t="shared" si="185"/>
        <v/>
      </c>
      <c r="AG902" s="11" t="str">
        <f t="shared" si="186"/>
        <v/>
      </c>
      <c r="AH902" s="11">
        <f t="shared" si="187"/>
        <v>1.2912207809950551</v>
      </c>
      <c r="AI902" s="3" t="s">
        <v>45</v>
      </c>
      <c r="AJ902" s="3" t="s">
        <v>79</v>
      </c>
      <c r="AK902" s="3" t="s">
        <v>46</v>
      </c>
      <c r="AL902" s="3" t="s">
        <v>81</v>
      </c>
      <c r="AM902" s="3" t="s">
        <v>82</v>
      </c>
    </row>
    <row r="903" spans="1:39" ht="21" customHeight="1">
      <c r="A903" s="4">
        <v>43311</v>
      </c>
      <c r="B903" s="3" t="s">
        <v>78</v>
      </c>
      <c r="C903" s="3" t="s">
        <v>79</v>
      </c>
      <c r="D903" s="4">
        <v>43159</v>
      </c>
      <c r="E903" s="3">
        <f t="shared" si="188"/>
        <v>152</v>
      </c>
      <c r="F903" s="3" t="str">
        <f t="shared" si="189"/>
        <v>개봉후</v>
      </c>
      <c r="G903" s="3" t="str">
        <f t="shared" si="190"/>
        <v>월</v>
      </c>
      <c r="H903" s="3">
        <f t="shared" si="191"/>
        <v>0</v>
      </c>
      <c r="I903" s="3"/>
      <c r="J903" s="3"/>
      <c r="K903" s="3"/>
      <c r="L903" s="12" t="str">
        <f t="shared" si="192"/>
        <v/>
      </c>
      <c r="M903" s="12" t="str">
        <f t="shared" si="193"/>
        <v/>
      </c>
      <c r="N903" s="11" t="str">
        <f t="shared" si="195"/>
        <v/>
      </c>
      <c r="O903" s="11" t="str">
        <f t="shared" si="181"/>
        <v/>
      </c>
      <c r="P903" s="11" t="str">
        <f t="shared" si="182"/>
        <v/>
      </c>
      <c r="Q903" s="7"/>
      <c r="R903" s="7"/>
      <c r="S903" s="7"/>
      <c r="T903" s="7"/>
      <c r="U903" s="7"/>
      <c r="V903" s="7"/>
      <c r="W903" s="7"/>
      <c r="X903" s="3"/>
      <c r="Y903" s="3"/>
      <c r="Z903" s="9">
        <v>1.6872400000000001</v>
      </c>
      <c r="AA903" s="12">
        <f t="shared" si="194"/>
        <v>-8.1144077026968131E-2</v>
      </c>
      <c r="AB903" s="9">
        <f t="shared" si="196"/>
        <v>1.4305585714285713</v>
      </c>
      <c r="AC903" s="9">
        <f t="shared" si="183"/>
        <v>1.4055267857142861</v>
      </c>
      <c r="AD903" s="9">
        <f t="shared" si="184"/>
        <v>1.0178095401444549</v>
      </c>
      <c r="AE903" s="3" t="s">
        <v>80</v>
      </c>
      <c r="AF903" s="11" t="str">
        <f t="shared" si="185"/>
        <v/>
      </c>
      <c r="AG903" s="11" t="str">
        <f t="shared" si="186"/>
        <v/>
      </c>
      <c r="AH903" s="11">
        <f t="shared" si="187"/>
        <v>1.2004324763846801</v>
      </c>
      <c r="AI903" s="3" t="s">
        <v>45</v>
      </c>
      <c r="AJ903" s="3" t="s">
        <v>79</v>
      </c>
      <c r="AK903" s="3" t="s">
        <v>46</v>
      </c>
      <c r="AL903" s="3" t="s">
        <v>81</v>
      </c>
      <c r="AM903" s="3" t="s">
        <v>82</v>
      </c>
    </row>
    <row r="904" spans="1:39" ht="21" customHeight="1">
      <c r="A904" s="4">
        <v>43312</v>
      </c>
      <c r="B904" s="3" t="s">
        <v>78</v>
      </c>
      <c r="C904" s="3" t="s">
        <v>79</v>
      </c>
      <c r="D904" s="4">
        <v>43159</v>
      </c>
      <c r="E904" s="3">
        <f t="shared" si="188"/>
        <v>153</v>
      </c>
      <c r="F904" s="3" t="str">
        <f t="shared" si="189"/>
        <v>개봉후</v>
      </c>
      <c r="G904" s="3" t="str">
        <f t="shared" si="190"/>
        <v>화</v>
      </c>
      <c r="H904" s="3">
        <f t="shared" si="191"/>
        <v>0</v>
      </c>
      <c r="I904" s="3"/>
      <c r="J904" s="3"/>
      <c r="K904" s="3"/>
      <c r="L904" s="12" t="str">
        <f t="shared" si="192"/>
        <v/>
      </c>
      <c r="M904" s="12" t="str">
        <f t="shared" si="193"/>
        <v/>
      </c>
      <c r="N904" s="11" t="str">
        <f t="shared" si="195"/>
        <v/>
      </c>
      <c r="O904" s="11" t="str">
        <f t="shared" si="181"/>
        <v/>
      </c>
      <c r="P904" s="11" t="str">
        <f t="shared" si="182"/>
        <v/>
      </c>
      <c r="Q904" s="7"/>
      <c r="R904" s="7"/>
      <c r="S904" s="7"/>
      <c r="T904" s="7"/>
      <c r="U904" s="7"/>
      <c r="V904" s="7"/>
      <c r="W904" s="7"/>
      <c r="X904" s="3"/>
      <c r="Y904" s="3"/>
      <c r="Z904" s="9">
        <v>1.4417</v>
      </c>
      <c r="AA904" s="12">
        <f t="shared" si="194"/>
        <v>-0.14552760721651936</v>
      </c>
      <c r="AB904" s="9">
        <f t="shared" si="196"/>
        <v>1.4734942857142859</v>
      </c>
      <c r="AC904" s="9">
        <f t="shared" si="183"/>
        <v>1.4161446428571429</v>
      </c>
      <c r="AD904" s="9">
        <f t="shared" si="184"/>
        <v>1.0404970234830231</v>
      </c>
      <c r="AE904" s="3" t="s">
        <v>80</v>
      </c>
      <c r="AF904" s="11" t="str">
        <f t="shared" si="185"/>
        <v/>
      </c>
      <c r="AG904" s="11" t="str">
        <f t="shared" si="186"/>
        <v/>
      </c>
      <c r="AH904" s="11">
        <f t="shared" si="187"/>
        <v>1.0180457252525406</v>
      </c>
      <c r="AI904" s="3" t="s">
        <v>45</v>
      </c>
      <c r="AJ904" s="3" t="s">
        <v>79</v>
      </c>
      <c r="AK904" s="3" t="s">
        <v>46</v>
      </c>
      <c r="AL904" s="3" t="s">
        <v>81</v>
      </c>
      <c r="AM904" s="3" t="s">
        <v>82</v>
      </c>
    </row>
    <row r="905" spans="1:39" ht="21" customHeight="1">
      <c r="A905" s="4">
        <v>43313</v>
      </c>
      <c r="B905" s="3" t="s">
        <v>78</v>
      </c>
      <c r="C905" s="3" t="s">
        <v>79</v>
      </c>
      <c r="D905" s="4">
        <v>43159</v>
      </c>
      <c r="E905" s="3">
        <f t="shared" si="188"/>
        <v>154</v>
      </c>
      <c r="F905" s="3" t="str">
        <f t="shared" si="189"/>
        <v>개봉후</v>
      </c>
      <c r="G905" s="3" t="str">
        <f t="shared" si="190"/>
        <v>수</v>
      </c>
      <c r="H905" s="3">
        <f t="shared" si="191"/>
        <v>0</v>
      </c>
      <c r="I905" s="3">
        <v>32088</v>
      </c>
      <c r="J905" s="3">
        <v>23642</v>
      </c>
      <c r="K905" s="3">
        <v>8446</v>
      </c>
      <c r="L905" s="12">
        <f t="shared" si="192"/>
        <v>0.73678633757167789</v>
      </c>
      <c r="M905" s="12" t="str">
        <f t="shared" si="193"/>
        <v/>
      </c>
      <c r="N905" s="11" t="str">
        <f t="shared" si="195"/>
        <v/>
      </c>
      <c r="O905" s="11" t="str">
        <f t="shared" si="181"/>
        <v/>
      </c>
      <c r="P905" s="11" t="str">
        <f t="shared" si="182"/>
        <v/>
      </c>
      <c r="Q905" s="7"/>
      <c r="R905" s="7"/>
      <c r="S905" s="7"/>
      <c r="T905" s="7"/>
      <c r="U905" s="7"/>
      <c r="V905" s="7"/>
      <c r="W905" s="7"/>
      <c r="X905" s="3" t="s">
        <v>84</v>
      </c>
      <c r="Y905" s="3"/>
      <c r="Z905" s="9">
        <v>1.67842</v>
      </c>
      <c r="AA905" s="12">
        <f t="shared" si="194"/>
        <v>0.16419504751335223</v>
      </c>
      <c r="AB905" s="9">
        <f t="shared" si="196"/>
        <v>1.5527671428571428</v>
      </c>
      <c r="AC905" s="9">
        <f t="shared" si="183"/>
        <v>1.4247896428571427</v>
      </c>
      <c r="AD905" s="9">
        <f t="shared" si="184"/>
        <v>1.0898220313725511</v>
      </c>
      <c r="AE905" s="3" t="s">
        <v>80</v>
      </c>
      <c r="AF905" s="11" t="str">
        <f t="shared" si="185"/>
        <v/>
      </c>
      <c r="AG905" s="11" t="str">
        <f t="shared" si="186"/>
        <v/>
      </c>
      <c r="AH905" s="11">
        <f t="shared" si="187"/>
        <v>1.1780124935736129</v>
      </c>
      <c r="AI905" s="3" t="s">
        <v>45</v>
      </c>
      <c r="AJ905" s="3" t="s">
        <v>79</v>
      </c>
      <c r="AK905" s="3" t="s">
        <v>46</v>
      </c>
      <c r="AL905" s="3" t="s">
        <v>81</v>
      </c>
      <c r="AM905" s="3" t="s">
        <v>82</v>
      </c>
    </row>
    <row r="906" spans="1:39" ht="21" customHeight="1">
      <c r="A906" s="4">
        <v>43314</v>
      </c>
      <c r="B906" s="3" t="s">
        <v>78</v>
      </c>
      <c r="C906" s="3" t="s">
        <v>79</v>
      </c>
      <c r="D906" s="4">
        <v>43159</v>
      </c>
      <c r="E906" s="3">
        <f t="shared" si="188"/>
        <v>155</v>
      </c>
      <c r="F906" s="3" t="str">
        <f t="shared" si="189"/>
        <v>개봉후</v>
      </c>
      <c r="G906" s="3" t="str">
        <f t="shared" si="190"/>
        <v>목</v>
      </c>
      <c r="H906" s="3">
        <f t="shared" si="191"/>
        <v>0</v>
      </c>
      <c r="I906" s="3">
        <v>33632</v>
      </c>
      <c r="J906" s="3">
        <v>25067</v>
      </c>
      <c r="K906" s="3">
        <v>8564</v>
      </c>
      <c r="L906" s="12">
        <f t="shared" si="192"/>
        <v>0.74533182683158894</v>
      </c>
      <c r="M906" s="12">
        <f t="shared" si="193"/>
        <v>4.8117676389927588E-2</v>
      </c>
      <c r="N906" s="11" t="str">
        <f t="shared" si="195"/>
        <v/>
      </c>
      <c r="O906" s="11" t="str">
        <f t="shared" si="181"/>
        <v/>
      </c>
      <c r="P906" s="11" t="str">
        <f t="shared" si="182"/>
        <v/>
      </c>
      <c r="Q906" s="7"/>
      <c r="R906" s="7"/>
      <c r="S906" s="7"/>
      <c r="T906" s="7"/>
      <c r="U906" s="7"/>
      <c r="V906" s="7"/>
      <c r="W906" s="7"/>
      <c r="X906" s="3" t="s">
        <v>84</v>
      </c>
      <c r="Y906" s="3"/>
      <c r="Z906" s="9">
        <v>1.8483099999999999</v>
      </c>
      <c r="AA906" s="12">
        <f t="shared" si="194"/>
        <v>0.1012201951835654</v>
      </c>
      <c r="AB906" s="9">
        <f t="shared" si="196"/>
        <v>1.6049528571428571</v>
      </c>
      <c r="AC906" s="9">
        <f t="shared" si="183"/>
        <v>1.4391289285714284</v>
      </c>
      <c r="AD906" s="9">
        <f t="shared" si="184"/>
        <v>1.1152252069145996</v>
      </c>
      <c r="AE906" s="3" t="s">
        <v>80</v>
      </c>
      <c r="AF906" s="11" t="str">
        <f t="shared" si="185"/>
        <v/>
      </c>
      <c r="AG906" s="11" t="str">
        <f t="shared" si="186"/>
        <v/>
      </c>
      <c r="AH906" s="11">
        <f t="shared" si="187"/>
        <v>1.2843255133747822</v>
      </c>
      <c r="AI906" s="3" t="s">
        <v>45</v>
      </c>
      <c r="AJ906" s="3" t="s">
        <v>79</v>
      </c>
      <c r="AK906" s="3" t="s">
        <v>46</v>
      </c>
      <c r="AL906" s="3" t="s">
        <v>81</v>
      </c>
      <c r="AM906" s="3" t="s">
        <v>82</v>
      </c>
    </row>
    <row r="907" spans="1:39" ht="21" customHeight="1">
      <c r="A907" s="4">
        <v>43315</v>
      </c>
      <c r="B907" s="3" t="s">
        <v>78</v>
      </c>
      <c r="C907" s="3" t="s">
        <v>79</v>
      </c>
      <c r="D907" s="4">
        <v>43159</v>
      </c>
      <c r="E907" s="3">
        <f t="shared" si="188"/>
        <v>156</v>
      </c>
      <c r="F907" s="3" t="str">
        <f t="shared" si="189"/>
        <v>개봉후</v>
      </c>
      <c r="G907" s="3" t="str">
        <f t="shared" si="190"/>
        <v>금</v>
      </c>
      <c r="H907" s="3">
        <f t="shared" si="191"/>
        <v>0</v>
      </c>
      <c r="I907" s="3">
        <v>36190</v>
      </c>
      <c r="J907" s="3">
        <v>27808</v>
      </c>
      <c r="K907" s="3">
        <v>8382</v>
      </c>
      <c r="L907" s="12">
        <f t="shared" si="192"/>
        <v>0.76838905775075983</v>
      </c>
      <c r="M907" s="12">
        <f t="shared" si="193"/>
        <v>7.6058515699333862E-2</v>
      </c>
      <c r="N907" s="11" t="str">
        <f t="shared" si="195"/>
        <v/>
      </c>
      <c r="O907" s="11" t="str">
        <f t="shared" si="181"/>
        <v/>
      </c>
      <c r="P907" s="11" t="str">
        <f t="shared" si="182"/>
        <v/>
      </c>
      <c r="Q907" s="7"/>
      <c r="R907" s="7"/>
      <c r="S907" s="7"/>
      <c r="T907" s="7"/>
      <c r="U907" s="7"/>
      <c r="V907" s="7"/>
      <c r="W907" s="7"/>
      <c r="X907" s="3" t="s">
        <v>84</v>
      </c>
      <c r="Y907" s="3"/>
      <c r="Z907" s="9">
        <v>1.87662</v>
      </c>
      <c r="AA907" s="12">
        <f t="shared" si="194"/>
        <v>1.5316694710302947E-2</v>
      </c>
      <c r="AB907" s="9">
        <f t="shared" si="196"/>
        <v>1.6924471428571428</v>
      </c>
      <c r="AC907" s="9">
        <f t="shared" si="183"/>
        <v>1.4630667857142856</v>
      </c>
      <c r="AD907" s="9">
        <f t="shared" si="184"/>
        <v>1.1567805102149669</v>
      </c>
      <c r="AE907" s="3" t="s">
        <v>80</v>
      </c>
      <c r="AF907" s="11" t="str">
        <f t="shared" si="185"/>
        <v/>
      </c>
      <c r="AG907" s="11" t="str">
        <f t="shared" si="186"/>
        <v/>
      </c>
      <c r="AH907" s="11">
        <f t="shared" si="187"/>
        <v>1.282661884148927</v>
      </c>
      <c r="AI907" s="3" t="s">
        <v>45</v>
      </c>
      <c r="AJ907" s="3" t="s">
        <v>79</v>
      </c>
      <c r="AK907" s="3" t="s">
        <v>46</v>
      </c>
      <c r="AL907" s="3" t="s">
        <v>81</v>
      </c>
      <c r="AM907" s="3" t="s">
        <v>82</v>
      </c>
    </row>
    <row r="908" spans="1:39" ht="21" customHeight="1">
      <c r="A908" s="4">
        <v>43316</v>
      </c>
      <c r="B908" s="3" t="s">
        <v>78</v>
      </c>
      <c r="C908" s="3" t="s">
        <v>79</v>
      </c>
      <c r="D908" s="4">
        <v>43159</v>
      </c>
      <c r="E908" s="3">
        <f t="shared" si="188"/>
        <v>157</v>
      </c>
      <c r="F908" s="3" t="str">
        <f t="shared" si="189"/>
        <v>개봉후</v>
      </c>
      <c r="G908" s="3" t="str">
        <f t="shared" si="190"/>
        <v>토</v>
      </c>
      <c r="H908" s="3">
        <f t="shared" si="191"/>
        <v>1</v>
      </c>
      <c r="I908" s="3">
        <v>40761</v>
      </c>
      <c r="J908" s="3">
        <v>33530</v>
      </c>
      <c r="K908" s="3">
        <v>7231</v>
      </c>
      <c r="L908" s="12">
        <f t="shared" si="192"/>
        <v>0.82260003434655671</v>
      </c>
      <c r="M908" s="12">
        <f t="shared" si="193"/>
        <v>0.12630560928433265</v>
      </c>
      <c r="N908" s="11" t="str">
        <f t="shared" si="195"/>
        <v/>
      </c>
      <c r="O908" s="11" t="str">
        <f t="shared" si="181"/>
        <v/>
      </c>
      <c r="P908" s="11" t="str">
        <f t="shared" si="182"/>
        <v/>
      </c>
      <c r="Q908" s="7"/>
      <c r="R908" s="7"/>
      <c r="S908" s="7"/>
      <c r="T908" s="7"/>
      <c r="U908" s="7"/>
      <c r="V908" s="7"/>
      <c r="W908" s="7"/>
      <c r="X908" s="3" t="s">
        <v>84</v>
      </c>
      <c r="Y908" s="3"/>
      <c r="Z908" s="9">
        <v>2.0739000000000001</v>
      </c>
      <c r="AA908" s="12">
        <f t="shared" si="194"/>
        <v>0.10512517185152026</v>
      </c>
      <c r="AB908" s="9">
        <f t="shared" si="196"/>
        <v>1.77749</v>
      </c>
      <c r="AC908" s="9">
        <f t="shared" si="183"/>
        <v>1.4898889285714285</v>
      </c>
      <c r="AD908" s="9">
        <f t="shared" si="184"/>
        <v>1.19303524303945</v>
      </c>
      <c r="AE908" s="3" t="s">
        <v>80</v>
      </c>
      <c r="AF908" s="11" t="str">
        <f t="shared" si="185"/>
        <v/>
      </c>
      <c r="AG908" s="11" t="str">
        <f t="shared" si="186"/>
        <v/>
      </c>
      <c r="AH908" s="11">
        <f t="shared" si="187"/>
        <v>1.3919829594200335</v>
      </c>
      <c r="AI908" s="3" t="s">
        <v>45</v>
      </c>
      <c r="AJ908" s="3" t="s">
        <v>79</v>
      </c>
      <c r="AK908" s="3" t="s">
        <v>46</v>
      </c>
      <c r="AL908" s="3" t="s">
        <v>81</v>
      </c>
      <c r="AM908" s="3" t="s">
        <v>82</v>
      </c>
    </row>
    <row r="909" spans="1:39" ht="21" customHeight="1">
      <c r="A909" s="4">
        <v>43317</v>
      </c>
      <c r="B909" s="3" t="s">
        <v>78</v>
      </c>
      <c r="C909" s="3" t="s">
        <v>79</v>
      </c>
      <c r="D909" s="4">
        <v>43159</v>
      </c>
      <c r="E909" s="3">
        <f t="shared" si="188"/>
        <v>158</v>
      </c>
      <c r="F909" s="3" t="str">
        <f t="shared" si="189"/>
        <v>개봉후</v>
      </c>
      <c r="G909" s="3" t="str">
        <f t="shared" si="190"/>
        <v>일</v>
      </c>
      <c r="H909" s="3">
        <f t="shared" si="191"/>
        <v>1</v>
      </c>
      <c r="I909" s="3">
        <v>53543</v>
      </c>
      <c r="J909" s="3">
        <v>46400</v>
      </c>
      <c r="K909" s="3">
        <v>7144</v>
      </c>
      <c r="L909" s="12">
        <f t="shared" si="192"/>
        <v>0.86659320546103136</v>
      </c>
      <c r="M909" s="12">
        <f t="shared" si="193"/>
        <v>0.31358406319766452</v>
      </c>
      <c r="N909" s="11" t="str">
        <f t="shared" si="195"/>
        <v/>
      </c>
      <c r="O909" s="11" t="str">
        <f t="shared" si="181"/>
        <v/>
      </c>
      <c r="P909" s="11" t="str">
        <f t="shared" si="182"/>
        <v/>
      </c>
      <c r="Q909" s="7"/>
      <c r="R909" s="7"/>
      <c r="S909" s="7"/>
      <c r="T909" s="7"/>
      <c r="U909" s="7"/>
      <c r="V909" s="7"/>
      <c r="W909" s="7"/>
      <c r="X909" s="3" t="s">
        <v>84</v>
      </c>
      <c r="Y909" s="3"/>
      <c r="Z909" s="9">
        <v>2.3140999999999998</v>
      </c>
      <c r="AA909" s="12">
        <f t="shared" si="194"/>
        <v>0.11582043492936012</v>
      </c>
      <c r="AB909" s="9">
        <f t="shared" si="196"/>
        <v>1.8457557142857142</v>
      </c>
      <c r="AC909" s="9">
        <f t="shared" si="183"/>
        <v>1.5166532142857145</v>
      </c>
      <c r="AD909" s="9">
        <f t="shared" si="184"/>
        <v>1.2169925840001561</v>
      </c>
      <c r="AE909" s="3" t="s">
        <v>80</v>
      </c>
      <c r="AF909" s="11" t="str">
        <f t="shared" si="185"/>
        <v/>
      </c>
      <c r="AG909" s="11" t="str">
        <f t="shared" si="186"/>
        <v/>
      </c>
      <c r="AH909" s="11">
        <f t="shared" si="187"/>
        <v>1.5257937531157062</v>
      </c>
      <c r="AI909" s="3" t="s">
        <v>45</v>
      </c>
      <c r="AJ909" s="3" t="s">
        <v>79</v>
      </c>
      <c r="AK909" s="3" t="s">
        <v>46</v>
      </c>
      <c r="AL909" s="3" t="s">
        <v>81</v>
      </c>
      <c r="AM909" s="3" t="s">
        <v>82</v>
      </c>
    </row>
    <row r="910" spans="1:39" ht="21" customHeight="1">
      <c r="A910" s="4">
        <v>43318</v>
      </c>
      <c r="B910" s="3" t="s">
        <v>78</v>
      </c>
      <c r="C910" s="3" t="s">
        <v>79</v>
      </c>
      <c r="D910" s="4">
        <v>43159</v>
      </c>
      <c r="E910" s="3">
        <f t="shared" si="188"/>
        <v>159</v>
      </c>
      <c r="F910" s="3" t="str">
        <f t="shared" si="189"/>
        <v>개봉후</v>
      </c>
      <c r="G910" s="3" t="str">
        <f t="shared" si="190"/>
        <v>월</v>
      </c>
      <c r="H910" s="3">
        <f t="shared" si="191"/>
        <v>0</v>
      </c>
      <c r="I910" s="3">
        <v>29407</v>
      </c>
      <c r="J910" s="3">
        <v>20996</v>
      </c>
      <c r="K910" s="3">
        <v>8410</v>
      </c>
      <c r="L910" s="12">
        <f t="shared" si="192"/>
        <v>0.7139796647056823</v>
      </c>
      <c r="M910" s="12">
        <f t="shared" si="193"/>
        <v>-0.45077787946136749</v>
      </c>
      <c r="N910" s="11" t="str">
        <f t="shared" si="195"/>
        <v/>
      </c>
      <c r="O910" s="11" t="str">
        <f t="shared" si="181"/>
        <v/>
      </c>
      <c r="P910" s="11" t="str">
        <f t="shared" si="182"/>
        <v/>
      </c>
      <c r="Q910" s="7"/>
      <c r="R910" s="7"/>
      <c r="S910" s="7"/>
      <c r="T910" s="7"/>
      <c r="U910" s="7"/>
      <c r="V910" s="7"/>
      <c r="W910" s="7"/>
      <c r="X910" s="3" t="s">
        <v>84</v>
      </c>
      <c r="Y910" s="3"/>
      <c r="Z910" s="9">
        <v>1.7782199999999999</v>
      </c>
      <c r="AA910" s="12">
        <f t="shared" si="194"/>
        <v>-0.23157166933148954</v>
      </c>
      <c r="AB910" s="9">
        <f t="shared" si="196"/>
        <v>1.8587528571428569</v>
      </c>
      <c r="AC910" s="9">
        <f t="shared" si="183"/>
        <v>1.5425717857142855</v>
      </c>
      <c r="AD910" s="9">
        <f t="shared" si="184"/>
        <v>1.2049700859024619</v>
      </c>
      <c r="AE910" s="3" t="s">
        <v>80</v>
      </c>
      <c r="AF910" s="11" t="str">
        <f t="shared" si="185"/>
        <v/>
      </c>
      <c r="AG910" s="11" t="str">
        <f t="shared" si="186"/>
        <v/>
      </c>
      <c r="AH910" s="11">
        <f t="shared" si="187"/>
        <v>1.1527632078247807</v>
      </c>
      <c r="AI910" s="3" t="s">
        <v>45</v>
      </c>
      <c r="AJ910" s="3" t="s">
        <v>79</v>
      </c>
      <c r="AK910" s="3" t="s">
        <v>46</v>
      </c>
      <c r="AL910" s="3" t="s">
        <v>81</v>
      </c>
      <c r="AM910" s="3" t="s">
        <v>82</v>
      </c>
    </row>
    <row r="911" spans="1:39" ht="21" customHeight="1">
      <c r="A911" s="4">
        <v>43319</v>
      </c>
      <c r="B911" s="3" t="s">
        <v>78</v>
      </c>
      <c r="C911" s="3" t="s">
        <v>79</v>
      </c>
      <c r="D911" s="4">
        <v>43159</v>
      </c>
      <c r="E911" s="3">
        <f t="shared" si="188"/>
        <v>160</v>
      </c>
      <c r="F911" s="3" t="str">
        <f t="shared" si="189"/>
        <v>개봉후</v>
      </c>
      <c r="G911" s="3" t="str">
        <f t="shared" si="190"/>
        <v>화</v>
      </c>
      <c r="H911" s="3">
        <f t="shared" si="191"/>
        <v>0</v>
      </c>
      <c r="I911" s="3">
        <v>23866</v>
      </c>
      <c r="J911" s="3">
        <v>15208</v>
      </c>
      <c r="K911" s="3">
        <v>8659</v>
      </c>
      <c r="L911" s="12">
        <f t="shared" si="192"/>
        <v>0.63722450347775073</v>
      </c>
      <c r="M911" s="12">
        <f t="shared" si="193"/>
        <v>-0.18842452477301319</v>
      </c>
      <c r="N911" s="11">
        <f t="shared" si="195"/>
        <v>35641</v>
      </c>
      <c r="O911" s="11" t="str">
        <f t="shared" si="181"/>
        <v/>
      </c>
      <c r="P911" s="11" t="str">
        <f t="shared" si="182"/>
        <v/>
      </c>
      <c r="Q911" s="7"/>
      <c r="R911" s="7"/>
      <c r="S911" s="7"/>
      <c r="T911" s="7"/>
      <c r="U911" s="7"/>
      <c r="V911" s="7"/>
      <c r="W911" s="7"/>
      <c r="X911" s="3" t="s">
        <v>84</v>
      </c>
      <c r="Y911" s="3"/>
      <c r="Z911" s="9">
        <v>1.6352599999999999</v>
      </c>
      <c r="AA911" s="12">
        <f t="shared" si="194"/>
        <v>-8.0395001743316374E-2</v>
      </c>
      <c r="AB911" s="9">
        <f t="shared" si="196"/>
        <v>1.8864042857142855</v>
      </c>
      <c r="AC911" s="9">
        <f t="shared" si="183"/>
        <v>1.5560410714285715</v>
      </c>
      <c r="AD911" s="9">
        <f t="shared" si="184"/>
        <v>1.212310086379927</v>
      </c>
      <c r="AE911" s="3" t="s">
        <v>80</v>
      </c>
      <c r="AF911" s="11" t="str">
        <f t="shared" si="185"/>
        <v/>
      </c>
      <c r="AG911" s="11" t="str">
        <f t="shared" si="186"/>
        <v/>
      </c>
      <c r="AH911" s="11">
        <f t="shared" si="187"/>
        <v>1.0509105640114622</v>
      </c>
      <c r="AI911" s="3" t="s">
        <v>45</v>
      </c>
      <c r="AJ911" s="3" t="s">
        <v>79</v>
      </c>
      <c r="AK911" s="3" t="s">
        <v>46</v>
      </c>
      <c r="AL911" s="3" t="s">
        <v>81</v>
      </c>
      <c r="AM911" s="3" t="s">
        <v>82</v>
      </c>
    </row>
    <row r="912" spans="1:39" ht="21" customHeight="1">
      <c r="A912" s="4">
        <v>43320</v>
      </c>
      <c r="B912" s="3" t="s">
        <v>78</v>
      </c>
      <c r="C912" s="3" t="s">
        <v>79</v>
      </c>
      <c r="D912" s="4">
        <v>43159</v>
      </c>
      <c r="E912" s="3">
        <f t="shared" si="188"/>
        <v>161</v>
      </c>
      <c r="F912" s="3" t="str">
        <f t="shared" si="189"/>
        <v>개봉후</v>
      </c>
      <c r="G912" s="3" t="str">
        <f t="shared" si="190"/>
        <v>수</v>
      </c>
      <c r="H912" s="3">
        <f t="shared" si="191"/>
        <v>0</v>
      </c>
      <c r="I912" s="3">
        <v>29166</v>
      </c>
      <c r="J912" s="3">
        <v>20279</v>
      </c>
      <c r="K912" s="3">
        <v>8886</v>
      </c>
      <c r="L912" s="12">
        <f t="shared" si="192"/>
        <v>0.69529589247754231</v>
      </c>
      <c r="M912" s="12">
        <f t="shared" si="193"/>
        <v>0.22207324226933722</v>
      </c>
      <c r="N912" s="11">
        <f t="shared" si="195"/>
        <v>35223.571428571428</v>
      </c>
      <c r="O912" s="11" t="str">
        <f t="shared" si="181"/>
        <v/>
      </c>
      <c r="P912" s="11" t="str">
        <f t="shared" si="182"/>
        <v/>
      </c>
      <c r="Q912" s="7"/>
      <c r="R912" s="7"/>
      <c r="S912" s="7"/>
      <c r="T912" s="7"/>
      <c r="U912" s="7"/>
      <c r="V912" s="7"/>
      <c r="W912" s="7"/>
      <c r="X912" s="3" t="s">
        <v>84</v>
      </c>
      <c r="Y912" s="3"/>
      <c r="Z912" s="9">
        <v>1.6768000000000001</v>
      </c>
      <c r="AA912" s="12">
        <f t="shared" si="194"/>
        <v>2.5402688257524897E-2</v>
      </c>
      <c r="AB912" s="9">
        <f t="shared" si="196"/>
        <v>1.8861728571428569</v>
      </c>
      <c r="AC912" s="9">
        <f t="shared" si="183"/>
        <v>1.5727014285714289</v>
      </c>
      <c r="AD912" s="9">
        <f t="shared" si="184"/>
        <v>1.1993203686831844</v>
      </c>
      <c r="AE912" s="3" t="s">
        <v>80</v>
      </c>
      <c r="AF912" s="11" t="str">
        <f t="shared" si="185"/>
        <v/>
      </c>
      <c r="AG912" s="11" t="str">
        <f t="shared" si="186"/>
        <v/>
      </c>
      <c r="AH912" s="11">
        <f t="shared" si="187"/>
        <v>1.0661909308005968</v>
      </c>
      <c r="AI912" s="3" t="s">
        <v>45</v>
      </c>
      <c r="AJ912" s="3" t="s">
        <v>79</v>
      </c>
      <c r="AK912" s="3" t="s">
        <v>46</v>
      </c>
      <c r="AL912" s="3" t="s">
        <v>81</v>
      </c>
      <c r="AM912" s="3" t="s">
        <v>82</v>
      </c>
    </row>
    <row r="913" spans="1:39" ht="21" customHeight="1">
      <c r="A913" s="4">
        <v>43321</v>
      </c>
      <c r="B913" s="3" t="s">
        <v>78</v>
      </c>
      <c r="C913" s="3" t="s">
        <v>79</v>
      </c>
      <c r="D913" s="4">
        <v>43159</v>
      </c>
      <c r="E913" s="3">
        <f t="shared" si="188"/>
        <v>162</v>
      </c>
      <c r="F913" s="3" t="str">
        <f t="shared" si="189"/>
        <v>개봉후</v>
      </c>
      <c r="G913" s="3" t="str">
        <f t="shared" si="190"/>
        <v>목</v>
      </c>
      <c r="H913" s="3">
        <f t="shared" si="191"/>
        <v>0</v>
      </c>
      <c r="I913" s="3">
        <v>23664</v>
      </c>
      <c r="J913" s="3">
        <v>14998</v>
      </c>
      <c r="K913" s="3">
        <v>8666</v>
      </c>
      <c r="L913" s="12">
        <f t="shared" si="192"/>
        <v>0.63378972278566603</v>
      </c>
      <c r="M913" s="12">
        <f t="shared" si="193"/>
        <v>-0.18864431186998565</v>
      </c>
      <c r="N913" s="11">
        <f t="shared" si="195"/>
        <v>33799.571428571428</v>
      </c>
      <c r="O913" s="11" t="str">
        <f t="shared" si="181"/>
        <v/>
      </c>
      <c r="P913" s="11" t="str">
        <f t="shared" si="182"/>
        <v/>
      </c>
      <c r="Q913" s="7"/>
      <c r="R913" s="7"/>
      <c r="S913" s="7"/>
      <c r="T913" s="7"/>
      <c r="U913" s="7"/>
      <c r="V913" s="7"/>
      <c r="W913" s="7"/>
      <c r="X913" s="3" t="s">
        <v>84</v>
      </c>
      <c r="Y913" s="3"/>
      <c r="Z913" s="9">
        <v>1.70767</v>
      </c>
      <c r="AA913" s="12">
        <f t="shared" si="194"/>
        <v>1.8410066793893121E-2</v>
      </c>
      <c r="AB913" s="9">
        <f t="shared" si="196"/>
        <v>1.8660814285714287</v>
      </c>
      <c r="AC913" s="9">
        <f t="shared" si="183"/>
        <v>1.5907375000000001</v>
      </c>
      <c r="AD913" s="9">
        <f t="shared" si="184"/>
        <v>1.173091995738724</v>
      </c>
      <c r="AE913" s="3" t="s">
        <v>80</v>
      </c>
      <c r="AF913" s="11" t="str">
        <f t="shared" si="185"/>
        <v/>
      </c>
      <c r="AG913" s="11" t="str">
        <f t="shared" si="186"/>
        <v/>
      </c>
      <c r="AH913" s="11">
        <f t="shared" si="187"/>
        <v>1.0735083569727877</v>
      </c>
      <c r="AI913" s="3" t="s">
        <v>45</v>
      </c>
      <c r="AJ913" s="3" t="s">
        <v>79</v>
      </c>
      <c r="AK913" s="3" t="s">
        <v>46</v>
      </c>
      <c r="AL913" s="3" t="s">
        <v>81</v>
      </c>
      <c r="AM913" s="3" t="s">
        <v>82</v>
      </c>
    </row>
    <row r="914" spans="1:39" ht="21" customHeight="1">
      <c r="A914" s="4">
        <v>43322</v>
      </c>
      <c r="B914" s="3" t="s">
        <v>78</v>
      </c>
      <c r="C914" s="3" t="s">
        <v>79</v>
      </c>
      <c r="D914" s="4">
        <v>43159</v>
      </c>
      <c r="E914" s="3">
        <f t="shared" si="188"/>
        <v>163</v>
      </c>
      <c r="F914" s="3" t="str">
        <f t="shared" si="189"/>
        <v>개봉후</v>
      </c>
      <c r="G914" s="3" t="str">
        <f t="shared" si="190"/>
        <v>금</v>
      </c>
      <c r="H914" s="3">
        <f t="shared" si="191"/>
        <v>0</v>
      </c>
      <c r="I914" s="3">
        <v>25406</v>
      </c>
      <c r="J914" s="3">
        <v>16380</v>
      </c>
      <c r="K914" s="3">
        <v>9026</v>
      </c>
      <c r="L914" s="12">
        <f t="shared" si="192"/>
        <v>0.64472959143509412</v>
      </c>
      <c r="M914" s="12">
        <f t="shared" si="193"/>
        <v>7.3613928329952616E-2</v>
      </c>
      <c r="N914" s="11">
        <f t="shared" si="195"/>
        <v>32259</v>
      </c>
      <c r="O914" s="11" t="str">
        <f t="shared" si="181"/>
        <v/>
      </c>
      <c r="P914" s="11" t="str">
        <f t="shared" si="182"/>
        <v/>
      </c>
      <c r="Q914" s="7"/>
      <c r="R914" s="7"/>
      <c r="S914" s="7"/>
      <c r="T914" s="7"/>
      <c r="U914" s="7"/>
      <c r="V914" s="7"/>
      <c r="W914" s="7"/>
      <c r="X914" s="3" t="s">
        <v>84</v>
      </c>
      <c r="Y914" s="3"/>
      <c r="Z914" s="9">
        <v>1.6779599999999999</v>
      </c>
      <c r="AA914" s="12">
        <f t="shared" si="194"/>
        <v>-1.7397975018592637E-2</v>
      </c>
      <c r="AB914" s="9">
        <f t="shared" si="196"/>
        <v>1.8377014285714286</v>
      </c>
      <c r="AC914" s="9">
        <f t="shared" si="183"/>
        <v>1.6118821428571428</v>
      </c>
      <c r="AD914" s="9">
        <f t="shared" si="184"/>
        <v>1.1400966483281523</v>
      </c>
      <c r="AE914" s="3" t="s">
        <v>80</v>
      </c>
      <c r="AF914" s="11" t="str">
        <f t="shared" si="185"/>
        <v/>
      </c>
      <c r="AG914" s="11" t="str">
        <f t="shared" si="186"/>
        <v/>
      </c>
      <c r="AH914" s="11">
        <f t="shared" si="187"/>
        <v>1.0409942237003325</v>
      </c>
      <c r="AI914" s="3" t="s">
        <v>45</v>
      </c>
      <c r="AJ914" s="3" t="s">
        <v>79</v>
      </c>
      <c r="AK914" s="3" t="s">
        <v>46</v>
      </c>
      <c r="AL914" s="3" t="s">
        <v>81</v>
      </c>
      <c r="AM914" s="3" t="s">
        <v>82</v>
      </c>
    </row>
    <row r="915" spans="1:39" ht="21" customHeight="1">
      <c r="A915" s="4">
        <v>43323</v>
      </c>
      <c r="B915" s="3" t="s">
        <v>78</v>
      </c>
      <c r="C915" s="3" t="s">
        <v>79</v>
      </c>
      <c r="D915" s="4">
        <v>43159</v>
      </c>
      <c r="E915" s="3">
        <f t="shared" si="188"/>
        <v>164</v>
      </c>
      <c r="F915" s="3" t="str">
        <f t="shared" si="189"/>
        <v>개봉후</v>
      </c>
      <c r="G915" s="3" t="str">
        <f t="shared" si="190"/>
        <v>토</v>
      </c>
      <c r="H915" s="3">
        <f t="shared" si="191"/>
        <v>1</v>
      </c>
      <c r="I915" s="3">
        <v>34324</v>
      </c>
      <c r="J915" s="3">
        <v>26890</v>
      </c>
      <c r="K915" s="3">
        <v>7434</v>
      </c>
      <c r="L915" s="12">
        <f t="shared" si="192"/>
        <v>0.78341685118284587</v>
      </c>
      <c r="M915" s="12">
        <f t="shared" si="193"/>
        <v>0.35101944422577347</v>
      </c>
      <c r="N915" s="11">
        <f t="shared" si="195"/>
        <v>31339.428571428572</v>
      </c>
      <c r="O915" s="11" t="str">
        <f t="shared" si="181"/>
        <v/>
      </c>
      <c r="P915" s="11" t="str">
        <f t="shared" si="182"/>
        <v/>
      </c>
      <c r="Q915" s="7">
        <v>1</v>
      </c>
      <c r="R915" s="7">
        <v>1</v>
      </c>
      <c r="S915" s="7">
        <v>202</v>
      </c>
      <c r="T915" s="7">
        <v>543000</v>
      </c>
      <c r="U915" s="7">
        <v>70</v>
      </c>
      <c r="V915" s="7">
        <v>1505560</v>
      </c>
      <c r="W915" s="7">
        <v>40</v>
      </c>
      <c r="X915" s="3" t="s">
        <v>84</v>
      </c>
      <c r="Y915" s="3" t="s">
        <v>83</v>
      </c>
      <c r="Z915" s="9">
        <v>1.96319</v>
      </c>
      <c r="AA915" s="12">
        <f t="shared" si="194"/>
        <v>0.16998617368709623</v>
      </c>
      <c r="AB915" s="9">
        <f t="shared" si="196"/>
        <v>1.8218857142857143</v>
      </c>
      <c r="AC915" s="9">
        <f t="shared" si="183"/>
        <v>1.6276307142857145</v>
      </c>
      <c r="AD915" s="9">
        <f t="shared" si="184"/>
        <v>1.1193483253265153</v>
      </c>
      <c r="AE915" s="3" t="s">
        <v>80</v>
      </c>
      <c r="AF915" s="11" t="str">
        <f t="shared" si="185"/>
        <v/>
      </c>
      <c r="AG915" s="11" t="str">
        <f t="shared" si="186"/>
        <v/>
      </c>
      <c r="AH915" s="11">
        <f t="shared" si="187"/>
        <v>1.2061642624270246</v>
      </c>
      <c r="AI915" s="3" t="s">
        <v>45</v>
      </c>
      <c r="AJ915" s="3" t="s">
        <v>79</v>
      </c>
      <c r="AK915" s="3" t="s">
        <v>46</v>
      </c>
      <c r="AL915" s="3" t="s">
        <v>81</v>
      </c>
      <c r="AM915" s="3" t="s">
        <v>82</v>
      </c>
    </row>
    <row r="916" spans="1:39" ht="21" customHeight="1">
      <c r="A916" s="4">
        <v>43324</v>
      </c>
      <c r="B916" s="3" t="s">
        <v>78</v>
      </c>
      <c r="C916" s="3" t="s">
        <v>79</v>
      </c>
      <c r="D916" s="4">
        <v>43159</v>
      </c>
      <c r="E916" s="3">
        <f t="shared" si="188"/>
        <v>165</v>
      </c>
      <c r="F916" s="3" t="str">
        <f t="shared" si="189"/>
        <v>개봉후</v>
      </c>
      <c r="G916" s="3" t="str">
        <f t="shared" si="190"/>
        <v>일</v>
      </c>
      <c r="H916" s="3">
        <f t="shared" si="191"/>
        <v>1</v>
      </c>
      <c r="I916" s="3">
        <v>37622</v>
      </c>
      <c r="J916" s="3">
        <v>30401</v>
      </c>
      <c r="K916" s="3">
        <v>7220</v>
      </c>
      <c r="L916" s="12">
        <f t="shared" si="192"/>
        <v>0.80806443038647602</v>
      </c>
      <c r="M916" s="12">
        <f t="shared" si="193"/>
        <v>9.60843724507634E-2</v>
      </c>
      <c r="N916" s="11">
        <f t="shared" si="195"/>
        <v>29065</v>
      </c>
      <c r="O916" s="11" t="str">
        <f t="shared" si="181"/>
        <v/>
      </c>
      <c r="P916" s="11" t="str">
        <f t="shared" si="182"/>
        <v/>
      </c>
      <c r="Q916" s="7"/>
      <c r="R916" s="7"/>
      <c r="S916" s="7"/>
      <c r="T916" s="7"/>
      <c r="U916" s="7"/>
      <c r="V916" s="7"/>
      <c r="W916" s="7"/>
      <c r="X916" s="3" t="s">
        <v>84</v>
      </c>
      <c r="Y916" s="3"/>
      <c r="Z916" s="9">
        <v>2.33731</v>
      </c>
      <c r="AA916" s="12">
        <f t="shared" si="194"/>
        <v>0.19056739286569302</v>
      </c>
      <c r="AB916" s="9">
        <f t="shared" si="196"/>
        <v>1.8252014285714286</v>
      </c>
      <c r="AC916" s="9">
        <f t="shared" si="183"/>
        <v>1.6463878571428572</v>
      </c>
      <c r="AD916" s="9">
        <f t="shared" si="184"/>
        <v>1.1086096272228858</v>
      </c>
      <c r="AE916" s="3" t="s">
        <v>80</v>
      </c>
      <c r="AF916" s="11" t="str">
        <f t="shared" si="185"/>
        <v/>
      </c>
      <c r="AG916" s="11" t="str">
        <f t="shared" si="186"/>
        <v/>
      </c>
      <c r="AH916" s="11">
        <f t="shared" si="187"/>
        <v>1.4196594015557</v>
      </c>
      <c r="AI916" s="3" t="s">
        <v>45</v>
      </c>
      <c r="AJ916" s="3" t="s">
        <v>79</v>
      </c>
      <c r="AK916" s="3" t="s">
        <v>46</v>
      </c>
      <c r="AL916" s="3" t="s">
        <v>81</v>
      </c>
      <c r="AM916" s="3" t="s">
        <v>82</v>
      </c>
    </row>
    <row r="917" spans="1:39" ht="21" customHeight="1">
      <c r="A917" s="4">
        <v>43325</v>
      </c>
      <c r="B917" s="3" t="s">
        <v>78</v>
      </c>
      <c r="C917" s="3" t="s">
        <v>79</v>
      </c>
      <c r="D917" s="4">
        <v>43159</v>
      </c>
      <c r="E917" s="3">
        <f t="shared" si="188"/>
        <v>166</v>
      </c>
      <c r="F917" s="3" t="str">
        <f t="shared" si="189"/>
        <v>개봉후</v>
      </c>
      <c r="G917" s="3" t="str">
        <f t="shared" si="190"/>
        <v>월</v>
      </c>
      <c r="H917" s="3">
        <f t="shared" si="191"/>
        <v>0</v>
      </c>
      <c r="I917" s="3">
        <v>23142</v>
      </c>
      <c r="J917" s="3">
        <v>14336</v>
      </c>
      <c r="K917" s="3">
        <v>8806</v>
      </c>
      <c r="L917" s="12">
        <f t="shared" si="192"/>
        <v>0.61947973381730193</v>
      </c>
      <c r="M917" s="12">
        <f t="shared" si="193"/>
        <v>-0.38488118653979053</v>
      </c>
      <c r="N917" s="11">
        <f t="shared" si="195"/>
        <v>28170</v>
      </c>
      <c r="O917" s="11" t="str">
        <f t="shared" si="181"/>
        <v/>
      </c>
      <c r="P917" s="11" t="str">
        <f t="shared" si="182"/>
        <v/>
      </c>
      <c r="Q917" s="7"/>
      <c r="R917" s="7"/>
      <c r="S917" s="7"/>
      <c r="T917" s="7"/>
      <c r="U917" s="7"/>
      <c r="V917" s="7"/>
      <c r="W917" s="7"/>
      <c r="X917" s="3" t="s">
        <v>84</v>
      </c>
      <c r="Y917" s="3"/>
      <c r="Z917" s="9">
        <v>1.65429</v>
      </c>
      <c r="AA917" s="12">
        <f t="shared" si="194"/>
        <v>-0.29222482255242133</v>
      </c>
      <c r="AB917" s="9">
        <f t="shared" si="196"/>
        <v>1.8074971428571427</v>
      </c>
      <c r="AC917" s="9">
        <f t="shared" si="183"/>
        <v>1.6699610714285715</v>
      </c>
      <c r="AD917" s="9">
        <f t="shared" si="184"/>
        <v>1.0823588488268865</v>
      </c>
      <c r="AE917" s="3" t="s">
        <v>80</v>
      </c>
      <c r="AF917" s="11" t="str">
        <f t="shared" si="185"/>
        <v/>
      </c>
      <c r="AG917" s="11" t="str">
        <f t="shared" si="186"/>
        <v/>
      </c>
      <c r="AH917" s="11">
        <f t="shared" si="187"/>
        <v>0.99061590614494643</v>
      </c>
      <c r="AI917" s="3" t="s">
        <v>45</v>
      </c>
      <c r="AJ917" s="3" t="s">
        <v>79</v>
      </c>
      <c r="AK917" s="3" t="s">
        <v>46</v>
      </c>
      <c r="AL917" s="3" t="s">
        <v>81</v>
      </c>
      <c r="AM917" s="3" t="s">
        <v>82</v>
      </c>
    </row>
    <row r="918" spans="1:39" ht="21" customHeight="1">
      <c r="A918" s="4">
        <v>43326</v>
      </c>
      <c r="B918" s="3" t="s">
        <v>78</v>
      </c>
      <c r="C918" s="3" t="s">
        <v>79</v>
      </c>
      <c r="D918" s="4">
        <v>43159</v>
      </c>
      <c r="E918" s="3">
        <f t="shared" si="188"/>
        <v>167</v>
      </c>
      <c r="F918" s="3" t="str">
        <f t="shared" si="189"/>
        <v>개봉후</v>
      </c>
      <c r="G918" s="3" t="str">
        <f t="shared" si="190"/>
        <v>화</v>
      </c>
      <c r="H918" s="3">
        <f t="shared" si="191"/>
        <v>0</v>
      </c>
      <c r="I918" s="3">
        <v>24384</v>
      </c>
      <c r="J918" s="3">
        <v>15582</v>
      </c>
      <c r="K918" s="3">
        <v>8802</v>
      </c>
      <c r="L918" s="12">
        <f t="shared" si="192"/>
        <v>0.63902559055118113</v>
      </c>
      <c r="M918" s="12">
        <f t="shared" si="193"/>
        <v>5.3668654394607218E-2</v>
      </c>
      <c r="N918" s="11">
        <f t="shared" si="195"/>
        <v>28244</v>
      </c>
      <c r="O918" s="11" t="str">
        <f t="shared" si="181"/>
        <v/>
      </c>
      <c r="P918" s="11" t="str">
        <f t="shared" si="182"/>
        <v/>
      </c>
      <c r="Q918" s="7"/>
      <c r="R918" s="7"/>
      <c r="S918" s="7"/>
      <c r="T918" s="7"/>
      <c r="U918" s="7"/>
      <c r="V918" s="7"/>
      <c r="W918" s="7"/>
      <c r="X918" s="3" t="s">
        <v>84</v>
      </c>
      <c r="Y918" s="3"/>
      <c r="Z918" s="9">
        <v>1.5565800000000001</v>
      </c>
      <c r="AA918" s="12">
        <f t="shared" si="194"/>
        <v>-5.9064613822243928E-2</v>
      </c>
      <c r="AB918" s="9">
        <f t="shared" si="196"/>
        <v>1.796257142857143</v>
      </c>
      <c r="AC918" s="9">
        <f t="shared" si="183"/>
        <v>1.6848724999999998</v>
      </c>
      <c r="AD918" s="9">
        <f t="shared" si="184"/>
        <v>1.0661086478989616</v>
      </c>
      <c r="AE918" s="3" t="s">
        <v>80</v>
      </c>
      <c r="AF918" s="11" t="str">
        <f t="shared" si="185"/>
        <v/>
      </c>
      <c r="AG918" s="11" t="str">
        <f t="shared" si="186"/>
        <v/>
      </c>
      <c r="AH918" s="11">
        <f t="shared" si="187"/>
        <v>0.92385625618555722</v>
      </c>
      <c r="AI918" s="3" t="s">
        <v>45</v>
      </c>
      <c r="AJ918" s="3" t="s">
        <v>79</v>
      </c>
      <c r="AK918" s="3" t="s">
        <v>46</v>
      </c>
      <c r="AL918" s="3" t="s">
        <v>81</v>
      </c>
      <c r="AM918" s="3" t="s">
        <v>82</v>
      </c>
    </row>
    <row r="919" spans="1:39" ht="21" customHeight="1">
      <c r="A919" s="4">
        <v>43327</v>
      </c>
      <c r="B919" s="3" t="s">
        <v>78</v>
      </c>
      <c r="C919" s="3" t="s">
        <v>79</v>
      </c>
      <c r="D919" s="4">
        <v>43159</v>
      </c>
      <c r="E919" s="3">
        <f t="shared" si="188"/>
        <v>168</v>
      </c>
      <c r="F919" s="3" t="str">
        <f t="shared" si="189"/>
        <v>개봉후</v>
      </c>
      <c r="G919" s="3" t="str">
        <f t="shared" si="190"/>
        <v>수</v>
      </c>
      <c r="H919" s="3">
        <f t="shared" si="191"/>
        <v>0</v>
      </c>
      <c r="I919" s="3">
        <v>30964</v>
      </c>
      <c r="J919" s="3">
        <v>23576</v>
      </c>
      <c r="K919" s="3">
        <v>7388</v>
      </c>
      <c r="L919" s="12">
        <f t="shared" si="192"/>
        <v>0.76140033587391809</v>
      </c>
      <c r="M919" s="12">
        <f t="shared" si="193"/>
        <v>0.26984908136482932</v>
      </c>
      <c r="N919" s="11">
        <f t="shared" si="195"/>
        <v>28500.857142857141</v>
      </c>
      <c r="O919" s="11" t="str">
        <f t="shared" ref="O919:O982" si="197">IF(COUNT(I891:I918)=28,AVERAGE(I891:I918),"")</f>
        <v/>
      </c>
      <c r="P919" s="11" t="str">
        <f t="shared" ref="P919:P982" si="198">IF(COUNT(I919,O919)=2,IFERROR(I919/O919,""),"")</f>
        <v/>
      </c>
      <c r="Q919" s="7"/>
      <c r="R919" s="7"/>
      <c r="S919" s="7"/>
      <c r="T919" s="7"/>
      <c r="U919" s="7"/>
      <c r="V919" s="7"/>
      <c r="W919" s="7"/>
      <c r="X919" s="3" t="s">
        <v>84</v>
      </c>
      <c r="Y919" s="3"/>
      <c r="Z919" s="9">
        <v>2.0372300000000001</v>
      </c>
      <c r="AA919" s="12">
        <f t="shared" si="194"/>
        <v>0.30878592812447803</v>
      </c>
      <c r="AB919" s="9">
        <f t="shared" si="196"/>
        <v>1.8477471428571428</v>
      </c>
      <c r="AC919" s="9">
        <f t="shared" ref="AC919:AC982" si="199">IF(COUNT(Z891:Z918)=28,AVERAGE(Z891:Z918),"")</f>
        <v>1.6994192857142856</v>
      </c>
      <c r="AD919" s="9">
        <f t="shared" ref="AD919:AD982" si="200">IF(COUNT(AB919:AC919)=2,IFERROR(AB919/AC919,""),"")</f>
        <v>1.0872814957378298</v>
      </c>
      <c r="AE919" s="3" t="s">
        <v>80</v>
      </c>
      <c r="AF919" s="11" t="str">
        <f t="shared" ref="AF919:AF982" si="201">IF(COUNT(J912,J905,J898,J891)=4,AVERAGE(J912,J905,J898,J891),"")</f>
        <v/>
      </c>
      <c r="AG919" s="11" t="str">
        <f t="shared" ref="AG919:AG982" si="202">IF(COUNT(J919,AF919)=2,IFERROR(J919/AF919,""),"")</f>
        <v/>
      </c>
      <c r="AH919" s="11">
        <f t="shared" ref="AH919:AH982" si="203">IF(COUNT(Z919,AC919)=2,IFERROR(Z919/AC919,""),"")</f>
        <v>1.1987800874836658</v>
      </c>
      <c r="AI919" s="3" t="s">
        <v>45</v>
      </c>
      <c r="AJ919" s="3" t="s">
        <v>79</v>
      </c>
      <c r="AK919" s="3" t="s">
        <v>46</v>
      </c>
      <c r="AL919" s="3" t="s">
        <v>81</v>
      </c>
      <c r="AM919" s="3" t="s">
        <v>82</v>
      </c>
    </row>
    <row r="920" spans="1:39" ht="21" customHeight="1">
      <c r="A920" s="4">
        <v>43328</v>
      </c>
      <c r="B920" s="3" t="s">
        <v>78</v>
      </c>
      <c r="C920" s="3" t="s">
        <v>79</v>
      </c>
      <c r="D920" s="4">
        <v>43159</v>
      </c>
      <c r="E920" s="3">
        <f t="shared" si="188"/>
        <v>169</v>
      </c>
      <c r="F920" s="3" t="str">
        <f t="shared" si="189"/>
        <v>개봉후</v>
      </c>
      <c r="G920" s="3" t="str">
        <f t="shared" si="190"/>
        <v>목</v>
      </c>
      <c r="H920" s="3">
        <f t="shared" si="191"/>
        <v>0</v>
      </c>
      <c r="I920" s="3">
        <v>22477</v>
      </c>
      <c r="J920" s="3">
        <v>13314</v>
      </c>
      <c r="K920" s="3">
        <v>9163</v>
      </c>
      <c r="L920" s="12">
        <f t="shared" si="192"/>
        <v>0.59233883525381503</v>
      </c>
      <c r="M920" s="12">
        <f t="shared" si="193"/>
        <v>-0.27409249450975326</v>
      </c>
      <c r="N920" s="11">
        <f t="shared" si="195"/>
        <v>28331.285714285714</v>
      </c>
      <c r="O920" s="11" t="str">
        <f t="shared" si="197"/>
        <v/>
      </c>
      <c r="P920" s="11" t="str">
        <f t="shared" si="198"/>
        <v/>
      </c>
      <c r="Q920" s="7"/>
      <c r="R920" s="7"/>
      <c r="S920" s="7"/>
      <c r="T920" s="7"/>
      <c r="U920" s="7"/>
      <c r="V920" s="7"/>
      <c r="W920" s="7"/>
      <c r="X920" s="3" t="s">
        <v>84</v>
      </c>
      <c r="Y920" s="3"/>
      <c r="Z920" s="9">
        <v>1.3853</v>
      </c>
      <c r="AA920" s="12">
        <f t="shared" si="194"/>
        <v>-0.32000805014652256</v>
      </c>
      <c r="AB920" s="9">
        <f t="shared" si="196"/>
        <v>1.8016942857142857</v>
      </c>
      <c r="AC920" s="9">
        <f t="shared" si="199"/>
        <v>1.7309910714285714</v>
      </c>
      <c r="AD920" s="9">
        <f t="shared" si="200"/>
        <v>1.0408455106746237</v>
      </c>
      <c r="AE920" s="3" t="s">
        <v>80</v>
      </c>
      <c r="AF920" s="11" t="str">
        <f t="shared" si="201"/>
        <v/>
      </c>
      <c r="AG920" s="11" t="str">
        <f t="shared" si="202"/>
        <v/>
      </c>
      <c r="AH920" s="11">
        <f t="shared" si="203"/>
        <v>0.80029297832063584</v>
      </c>
      <c r="AI920" s="3" t="s">
        <v>45</v>
      </c>
      <c r="AJ920" s="3" t="s">
        <v>79</v>
      </c>
      <c r="AK920" s="3" t="s">
        <v>46</v>
      </c>
      <c r="AL920" s="3" t="s">
        <v>81</v>
      </c>
      <c r="AM920" s="3" t="s">
        <v>82</v>
      </c>
    </row>
    <row r="921" spans="1:39" ht="21" customHeight="1">
      <c r="A921" s="4">
        <v>43329</v>
      </c>
      <c r="B921" s="3" t="s">
        <v>78</v>
      </c>
      <c r="C921" s="3" t="s">
        <v>79</v>
      </c>
      <c r="D921" s="4">
        <v>43159</v>
      </c>
      <c r="E921" s="3">
        <f t="shared" si="188"/>
        <v>170</v>
      </c>
      <c r="F921" s="3" t="str">
        <f t="shared" si="189"/>
        <v>개봉후</v>
      </c>
      <c r="G921" s="3" t="str">
        <f t="shared" si="190"/>
        <v>금</v>
      </c>
      <c r="H921" s="3">
        <f t="shared" si="191"/>
        <v>0</v>
      </c>
      <c r="I921" s="3">
        <v>25102</v>
      </c>
      <c r="J921" s="3">
        <v>16286</v>
      </c>
      <c r="K921" s="3">
        <v>8816</v>
      </c>
      <c r="L921" s="12">
        <f t="shared" si="192"/>
        <v>0.6487929248665445</v>
      </c>
      <c r="M921" s="12">
        <f t="shared" si="193"/>
        <v>0.11678604796013703</v>
      </c>
      <c r="N921" s="11">
        <f t="shared" si="195"/>
        <v>28287.857142857141</v>
      </c>
      <c r="O921" s="11" t="str">
        <f t="shared" si="197"/>
        <v/>
      </c>
      <c r="P921" s="11" t="str">
        <f t="shared" si="198"/>
        <v/>
      </c>
      <c r="Q921" s="7"/>
      <c r="R921" s="7"/>
      <c r="S921" s="7"/>
      <c r="T921" s="7"/>
      <c r="U921" s="7"/>
      <c r="V921" s="7"/>
      <c r="W921" s="7"/>
      <c r="X921" s="3" t="s">
        <v>84</v>
      </c>
      <c r="Y921" s="3"/>
      <c r="Z921" s="9">
        <v>1.2931699999999999</v>
      </c>
      <c r="AA921" s="12">
        <f t="shared" si="194"/>
        <v>-6.6505450083014561E-2</v>
      </c>
      <c r="AB921" s="9">
        <f t="shared" si="196"/>
        <v>1.746724285714286</v>
      </c>
      <c r="AC921" s="9">
        <f t="shared" si="199"/>
        <v>1.6528617857142858</v>
      </c>
      <c r="AD921" s="9">
        <f t="shared" si="200"/>
        <v>1.0567878698698556</v>
      </c>
      <c r="AE921" s="3" t="s">
        <v>80</v>
      </c>
      <c r="AF921" s="11" t="str">
        <f t="shared" si="201"/>
        <v/>
      </c>
      <c r="AG921" s="11" t="str">
        <f t="shared" si="202"/>
        <v/>
      </c>
      <c r="AH921" s="11">
        <f t="shared" si="203"/>
        <v>0.78238241768119487</v>
      </c>
      <c r="AI921" s="3" t="s">
        <v>45</v>
      </c>
      <c r="AJ921" s="3" t="s">
        <v>79</v>
      </c>
      <c r="AK921" s="3" t="s">
        <v>46</v>
      </c>
      <c r="AL921" s="3" t="s">
        <v>81</v>
      </c>
      <c r="AM921" s="3" t="s">
        <v>82</v>
      </c>
    </row>
    <row r="922" spans="1:39" ht="21" customHeight="1">
      <c r="A922" s="4">
        <v>43330</v>
      </c>
      <c r="B922" s="3" t="s">
        <v>78</v>
      </c>
      <c r="C922" s="3" t="s">
        <v>79</v>
      </c>
      <c r="D922" s="4">
        <v>43159</v>
      </c>
      <c r="E922" s="3">
        <f t="shared" si="188"/>
        <v>171</v>
      </c>
      <c r="F922" s="3" t="str">
        <f t="shared" si="189"/>
        <v>개봉후</v>
      </c>
      <c r="G922" s="3" t="str">
        <f t="shared" si="190"/>
        <v>토</v>
      </c>
      <c r="H922" s="3">
        <f t="shared" si="191"/>
        <v>1</v>
      </c>
      <c r="I922" s="3">
        <v>35112</v>
      </c>
      <c r="J922" s="3">
        <v>26747</v>
      </c>
      <c r="K922" s="3">
        <v>8365</v>
      </c>
      <c r="L922" s="12">
        <f t="shared" si="192"/>
        <v>0.76176236044657097</v>
      </c>
      <c r="M922" s="12">
        <f t="shared" si="193"/>
        <v>0.39877300613496924</v>
      </c>
      <c r="N922" s="11">
        <f t="shared" si="195"/>
        <v>28400.428571428572</v>
      </c>
      <c r="O922" s="11" t="str">
        <f t="shared" si="197"/>
        <v/>
      </c>
      <c r="P922" s="11" t="str">
        <f t="shared" si="198"/>
        <v/>
      </c>
      <c r="Q922" s="7"/>
      <c r="R922" s="7"/>
      <c r="S922" s="7"/>
      <c r="T922" s="7"/>
      <c r="U922" s="7"/>
      <c r="V922" s="7"/>
      <c r="W922" s="7"/>
      <c r="X922" s="3" t="s">
        <v>84</v>
      </c>
      <c r="Y922" s="3"/>
      <c r="Z922" s="9">
        <v>1.5287299999999999</v>
      </c>
      <c r="AA922" s="12">
        <f t="shared" si="194"/>
        <v>0.1821570249851141</v>
      </c>
      <c r="AB922" s="9">
        <f t="shared" si="196"/>
        <v>1.6846585714285713</v>
      </c>
      <c r="AC922" s="9">
        <f t="shared" si="199"/>
        <v>1.657644642857143</v>
      </c>
      <c r="AD922" s="9">
        <f t="shared" si="200"/>
        <v>1.0162965739899879</v>
      </c>
      <c r="AE922" s="3" t="s">
        <v>80</v>
      </c>
      <c r="AF922" s="11" t="str">
        <f t="shared" si="201"/>
        <v/>
      </c>
      <c r="AG922" s="11" t="str">
        <f t="shared" si="202"/>
        <v/>
      </c>
      <c r="AH922" s="11">
        <f t="shared" si="203"/>
        <v>0.92223022985496839</v>
      </c>
      <c r="AI922" s="3" t="s">
        <v>45</v>
      </c>
      <c r="AJ922" s="3" t="s">
        <v>79</v>
      </c>
      <c r="AK922" s="3" t="s">
        <v>46</v>
      </c>
      <c r="AL922" s="3" t="s">
        <v>81</v>
      </c>
      <c r="AM922" s="3" t="s">
        <v>82</v>
      </c>
    </row>
    <row r="923" spans="1:39" ht="21" customHeight="1">
      <c r="A923" s="4">
        <v>43331</v>
      </c>
      <c r="B923" s="3" t="s">
        <v>78</v>
      </c>
      <c r="C923" s="3" t="s">
        <v>79</v>
      </c>
      <c r="D923" s="4">
        <v>43159</v>
      </c>
      <c r="E923" s="3">
        <f t="shared" si="188"/>
        <v>172</v>
      </c>
      <c r="F923" s="3" t="str">
        <f t="shared" si="189"/>
        <v>개봉후</v>
      </c>
      <c r="G923" s="3" t="str">
        <f t="shared" si="190"/>
        <v>일</v>
      </c>
      <c r="H923" s="3">
        <f t="shared" si="191"/>
        <v>1</v>
      </c>
      <c r="I923" s="3">
        <v>36816</v>
      </c>
      <c r="J923" s="3">
        <v>29526</v>
      </c>
      <c r="K923" s="3">
        <v>7290</v>
      </c>
      <c r="L923" s="12">
        <f t="shared" si="192"/>
        <v>0.80198826597131678</v>
      </c>
      <c r="M923" s="12">
        <f t="shared" si="193"/>
        <v>4.8530416951469535E-2</v>
      </c>
      <c r="N923" s="11">
        <f t="shared" si="195"/>
        <v>28285.285714285714</v>
      </c>
      <c r="O923" s="11" t="str">
        <f t="shared" si="197"/>
        <v/>
      </c>
      <c r="P923" s="11" t="str">
        <f t="shared" si="198"/>
        <v/>
      </c>
      <c r="Q923" s="7"/>
      <c r="R923" s="7"/>
      <c r="S923" s="7"/>
      <c r="T923" s="7"/>
      <c r="U923" s="7"/>
      <c r="V923" s="7"/>
      <c r="W923" s="7"/>
      <c r="X923" s="3" t="s">
        <v>84</v>
      </c>
      <c r="Y923" s="3"/>
      <c r="Z923" s="9">
        <v>1.59859</v>
      </c>
      <c r="AA923" s="12">
        <f t="shared" si="194"/>
        <v>4.5698063098127184E-2</v>
      </c>
      <c r="AB923" s="9">
        <f t="shared" si="196"/>
        <v>1.5791271428571427</v>
      </c>
      <c r="AC923" s="9">
        <f t="shared" si="199"/>
        <v>1.6541135714285715</v>
      </c>
      <c r="AD923" s="9">
        <f t="shared" si="200"/>
        <v>0.95466669890951505</v>
      </c>
      <c r="AE923" s="3" t="s">
        <v>80</v>
      </c>
      <c r="AF923" s="11" t="str">
        <f t="shared" si="201"/>
        <v/>
      </c>
      <c r="AG923" s="11" t="str">
        <f t="shared" si="202"/>
        <v/>
      </c>
      <c r="AH923" s="11">
        <f t="shared" si="203"/>
        <v>0.96643303556199056</v>
      </c>
      <c r="AI923" s="3" t="s">
        <v>45</v>
      </c>
      <c r="AJ923" s="3" t="s">
        <v>79</v>
      </c>
      <c r="AK923" s="3" t="s">
        <v>46</v>
      </c>
      <c r="AL923" s="3" t="s">
        <v>81</v>
      </c>
      <c r="AM923" s="3" t="s">
        <v>82</v>
      </c>
    </row>
    <row r="924" spans="1:39" ht="21" customHeight="1">
      <c r="A924" s="4">
        <v>43332</v>
      </c>
      <c r="B924" s="3" t="s">
        <v>78</v>
      </c>
      <c r="C924" s="3" t="s">
        <v>79</v>
      </c>
      <c r="D924" s="4">
        <v>43159</v>
      </c>
      <c r="E924" s="3">
        <f t="shared" si="188"/>
        <v>173</v>
      </c>
      <c r="F924" s="3" t="str">
        <f t="shared" si="189"/>
        <v>개봉후</v>
      </c>
      <c r="G924" s="3" t="str">
        <f t="shared" si="190"/>
        <v>월</v>
      </c>
      <c r="H924" s="3">
        <f t="shared" si="191"/>
        <v>0</v>
      </c>
      <c r="I924" s="3">
        <v>20867</v>
      </c>
      <c r="J924" s="3">
        <v>12068</v>
      </c>
      <c r="K924" s="3">
        <v>8799</v>
      </c>
      <c r="L924" s="12">
        <f t="shared" si="192"/>
        <v>0.57832941965783291</v>
      </c>
      <c r="M924" s="12">
        <f t="shared" si="193"/>
        <v>-0.43320838765754022</v>
      </c>
      <c r="N924" s="11">
        <f t="shared" si="195"/>
        <v>27960.285714285714</v>
      </c>
      <c r="O924" s="11" t="str">
        <f t="shared" si="197"/>
        <v/>
      </c>
      <c r="P924" s="11" t="str">
        <f t="shared" si="198"/>
        <v/>
      </c>
      <c r="Q924" s="7"/>
      <c r="R924" s="7"/>
      <c r="S924" s="7"/>
      <c r="T924" s="7"/>
      <c r="U924" s="7"/>
      <c r="V924" s="7"/>
      <c r="W924" s="7"/>
      <c r="X924" s="3" t="s">
        <v>84</v>
      </c>
      <c r="Y924" s="3"/>
      <c r="Z924" s="9">
        <v>1.2748299999999999</v>
      </c>
      <c r="AA924" s="12">
        <f t="shared" si="194"/>
        <v>-0.20252847822143272</v>
      </c>
      <c r="AB924" s="9">
        <f t="shared" si="196"/>
        <v>1.5249185714285713</v>
      </c>
      <c r="AC924" s="9">
        <f t="shared" si="199"/>
        <v>1.6536082142857145</v>
      </c>
      <c r="AD924" s="9">
        <f t="shared" si="200"/>
        <v>0.92217646130118469</v>
      </c>
      <c r="AE924" s="3" t="s">
        <v>80</v>
      </c>
      <c r="AF924" s="11" t="str">
        <f t="shared" si="201"/>
        <v/>
      </c>
      <c r="AG924" s="11" t="str">
        <f t="shared" si="202"/>
        <v/>
      </c>
      <c r="AH924" s="11">
        <f t="shared" si="203"/>
        <v>0.77093835709486358</v>
      </c>
      <c r="AI924" s="3" t="s">
        <v>45</v>
      </c>
      <c r="AJ924" s="3" t="s">
        <v>79</v>
      </c>
      <c r="AK924" s="3" t="s">
        <v>46</v>
      </c>
      <c r="AL924" s="3" t="s">
        <v>81</v>
      </c>
      <c r="AM924" s="3" t="s">
        <v>82</v>
      </c>
    </row>
    <row r="925" spans="1:39" ht="21" customHeight="1">
      <c r="A925" s="4">
        <v>43333</v>
      </c>
      <c r="B925" s="3" t="s">
        <v>78</v>
      </c>
      <c r="C925" s="3" t="s">
        <v>79</v>
      </c>
      <c r="D925" s="4">
        <v>43159</v>
      </c>
      <c r="E925" s="3">
        <f t="shared" si="188"/>
        <v>174</v>
      </c>
      <c r="F925" s="3" t="str">
        <f t="shared" si="189"/>
        <v>개봉후</v>
      </c>
      <c r="G925" s="3" t="str">
        <f t="shared" si="190"/>
        <v>화</v>
      </c>
      <c r="H925" s="3">
        <f t="shared" si="191"/>
        <v>0</v>
      </c>
      <c r="I925" s="3">
        <v>27240</v>
      </c>
      <c r="J925" s="3">
        <v>18417</v>
      </c>
      <c r="K925" s="3">
        <v>8824</v>
      </c>
      <c r="L925" s="12">
        <f t="shared" si="192"/>
        <v>0.67610132158590308</v>
      </c>
      <c r="M925" s="12">
        <f t="shared" si="193"/>
        <v>0.30541045670196953</v>
      </c>
      <c r="N925" s="11">
        <f t="shared" si="195"/>
        <v>28368.285714285714</v>
      </c>
      <c r="O925" s="11" t="str">
        <f t="shared" si="197"/>
        <v/>
      </c>
      <c r="P925" s="11" t="str">
        <f t="shared" si="198"/>
        <v/>
      </c>
      <c r="Q925" s="7"/>
      <c r="R925" s="7"/>
      <c r="S925" s="7"/>
      <c r="T925" s="7"/>
      <c r="U925" s="7"/>
      <c r="V925" s="7"/>
      <c r="W925" s="7"/>
      <c r="X925" s="3" t="s">
        <v>84</v>
      </c>
      <c r="Y925" s="3"/>
      <c r="Z925" s="9">
        <v>1.1852499999999999</v>
      </c>
      <c r="AA925" s="12">
        <f t="shared" si="194"/>
        <v>-7.0268192621761316E-2</v>
      </c>
      <c r="AB925" s="9">
        <f t="shared" si="196"/>
        <v>1.4718714285714285</v>
      </c>
      <c r="AC925" s="9">
        <f t="shared" si="199"/>
        <v>1.655431785714286</v>
      </c>
      <c r="AD925" s="9">
        <f t="shared" si="200"/>
        <v>0.88911632679346264</v>
      </c>
      <c r="AE925" s="3" t="s">
        <v>80</v>
      </c>
      <c r="AF925" s="11" t="str">
        <f t="shared" si="201"/>
        <v/>
      </c>
      <c r="AG925" s="11" t="str">
        <f t="shared" si="202"/>
        <v/>
      </c>
      <c r="AH925" s="11">
        <f t="shared" si="203"/>
        <v>0.71597634540319521</v>
      </c>
      <c r="AI925" s="3" t="s">
        <v>45</v>
      </c>
      <c r="AJ925" s="3" t="s">
        <v>79</v>
      </c>
      <c r="AK925" s="3" t="s">
        <v>46</v>
      </c>
      <c r="AL925" s="3" t="s">
        <v>81</v>
      </c>
      <c r="AM925" s="3" t="s">
        <v>82</v>
      </c>
    </row>
    <row r="926" spans="1:39" ht="21" customHeight="1">
      <c r="A926" s="4">
        <v>43334</v>
      </c>
      <c r="B926" s="3" t="s">
        <v>78</v>
      </c>
      <c r="C926" s="3" t="s">
        <v>79</v>
      </c>
      <c r="D926" s="4">
        <v>43159</v>
      </c>
      <c r="E926" s="3">
        <f t="shared" si="188"/>
        <v>175</v>
      </c>
      <c r="F926" s="3" t="str">
        <f t="shared" si="189"/>
        <v>개봉후</v>
      </c>
      <c r="G926" s="3" t="str">
        <f t="shared" si="190"/>
        <v>수</v>
      </c>
      <c r="H926" s="3">
        <f t="shared" si="191"/>
        <v>0</v>
      </c>
      <c r="I926" s="3">
        <v>21704</v>
      </c>
      <c r="J926" s="3">
        <v>12806</v>
      </c>
      <c r="K926" s="3">
        <v>8897</v>
      </c>
      <c r="L926" s="12">
        <f t="shared" si="192"/>
        <v>0.59002948765204566</v>
      </c>
      <c r="M926" s="12">
        <f t="shared" si="193"/>
        <v>-0.20323054331864909</v>
      </c>
      <c r="N926" s="11">
        <f t="shared" si="195"/>
        <v>27045.428571428572</v>
      </c>
      <c r="O926" s="11" t="str">
        <f t="shared" si="197"/>
        <v/>
      </c>
      <c r="P926" s="11" t="str">
        <f t="shared" si="198"/>
        <v/>
      </c>
      <c r="Q926" s="7"/>
      <c r="R926" s="7"/>
      <c r="S926" s="7"/>
      <c r="T926" s="7"/>
      <c r="U926" s="7"/>
      <c r="V926" s="7"/>
      <c r="W926" s="7"/>
      <c r="X926" s="3" t="s">
        <v>84</v>
      </c>
      <c r="Y926" s="3"/>
      <c r="Z926" s="9">
        <v>1.50691</v>
      </c>
      <c r="AA926" s="12">
        <f t="shared" si="194"/>
        <v>0.27138578358996002</v>
      </c>
      <c r="AB926" s="9">
        <f t="shared" si="196"/>
        <v>1.3961114285714284</v>
      </c>
      <c r="AC926" s="9">
        <f t="shared" si="199"/>
        <v>1.6570067857142858</v>
      </c>
      <c r="AD926" s="9">
        <f t="shared" si="200"/>
        <v>0.8425502180243678</v>
      </c>
      <c r="AE926" s="3" t="s">
        <v>80</v>
      </c>
      <c r="AF926" s="11" t="str">
        <f t="shared" si="201"/>
        <v/>
      </c>
      <c r="AG926" s="11" t="str">
        <f t="shared" si="202"/>
        <v/>
      </c>
      <c r="AH926" s="11">
        <f t="shared" si="203"/>
        <v>0.90941691548379289</v>
      </c>
      <c r="AI926" s="3" t="s">
        <v>45</v>
      </c>
      <c r="AJ926" s="3" t="s">
        <v>79</v>
      </c>
      <c r="AK926" s="3" t="s">
        <v>46</v>
      </c>
      <c r="AL926" s="3" t="s">
        <v>81</v>
      </c>
      <c r="AM926" s="3" t="s">
        <v>82</v>
      </c>
    </row>
    <row r="927" spans="1:39" ht="21" customHeight="1">
      <c r="A927" s="4">
        <v>43335</v>
      </c>
      <c r="B927" s="3" t="s">
        <v>78</v>
      </c>
      <c r="C927" s="3" t="s">
        <v>79</v>
      </c>
      <c r="D927" s="4">
        <v>43159</v>
      </c>
      <c r="E927" s="3">
        <f t="shared" si="188"/>
        <v>176</v>
      </c>
      <c r="F927" s="3" t="str">
        <f t="shared" si="189"/>
        <v>개봉후</v>
      </c>
      <c r="G927" s="3" t="str">
        <f t="shared" si="190"/>
        <v>목</v>
      </c>
      <c r="H927" s="3">
        <f t="shared" si="191"/>
        <v>0</v>
      </c>
      <c r="I927" s="3">
        <v>17888</v>
      </c>
      <c r="J927" s="3">
        <v>8998</v>
      </c>
      <c r="K927" s="3">
        <v>8890</v>
      </c>
      <c r="L927" s="12">
        <f t="shared" si="192"/>
        <v>0.50301878354203933</v>
      </c>
      <c r="M927" s="12">
        <f t="shared" si="193"/>
        <v>-0.17582012532252123</v>
      </c>
      <c r="N927" s="11">
        <f t="shared" si="195"/>
        <v>26389.857142857141</v>
      </c>
      <c r="O927" s="11" t="str">
        <f t="shared" si="197"/>
        <v/>
      </c>
      <c r="P927" s="11" t="str">
        <f t="shared" si="198"/>
        <v/>
      </c>
      <c r="Q927" s="7"/>
      <c r="R927" s="7"/>
      <c r="S927" s="7"/>
      <c r="T927" s="7"/>
      <c r="U927" s="7"/>
      <c r="V927" s="7"/>
      <c r="W927" s="7"/>
      <c r="X927" s="3" t="s">
        <v>84</v>
      </c>
      <c r="Y927" s="3"/>
      <c r="Z927" s="9">
        <v>1.2882899999999999</v>
      </c>
      <c r="AA927" s="12">
        <f t="shared" si="194"/>
        <v>-0.14507833911779733</v>
      </c>
      <c r="AB927" s="9">
        <f t="shared" si="196"/>
        <v>1.3822528571428572</v>
      </c>
      <c r="AC927" s="9">
        <f t="shared" si="199"/>
        <v>1.6706996428571426</v>
      </c>
      <c r="AD927" s="9">
        <f t="shared" si="200"/>
        <v>0.82734970528813967</v>
      </c>
      <c r="AE927" s="3" t="s">
        <v>80</v>
      </c>
      <c r="AF927" s="11" t="str">
        <f t="shared" si="201"/>
        <v/>
      </c>
      <c r="AG927" s="11" t="str">
        <f t="shared" si="202"/>
        <v/>
      </c>
      <c r="AH927" s="11">
        <f t="shared" si="203"/>
        <v>0.7711080836749532</v>
      </c>
      <c r="AI927" s="3" t="s">
        <v>45</v>
      </c>
      <c r="AJ927" s="3" t="s">
        <v>79</v>
      </c>
      <c r="AK927" s="3" t="s">
        <v>46</v>
      </c>
      <c r="AL927" s="3" t="s">
        <v>81</v>
      </c>
      <c r="AM927" s="3" t="s">
        <v>82</v>
      </c>
    </row>
    <row r="928" spans="1:39" ht="21" customHeight="1">
      <c r="A928" s="4">
        <v>43336</v>
      </c>
      <c r="B928" s="3" t="s">
        <v>78</v>
      </c>
      <c r="C928" s="3" t="s">
        <v>79</v>
      </c>
      <c r="D928" s="4">
        <v>43159</v>
      </c>
      <c r="E928" s="3">
        <f t="shared" si="188"/>
        <v>177</v>
      </c>
      <c r="F928" s="3" t="str">
        <f t="shared" si="189"/>
        <v>개봉후</v>
      </c>
      <c r="G928" s="3" t="str">
        <f t="shared" si="190"/>
        <v>금</v>
      </c>
      <c r="H928" s="3">
        <f t="shared" si="191"/>
        <v>0</v>
      </c>
      <c r="I928" s="3">
        <v>20692</v>
      </c>
      <c r="J928" s="3">
        <v>11900</v>
      </c>
      <c r="K928" s="3">
        <v>8792</v>
      </c>
      <c r="L928" s="12">
        <f t="shared" si="192"/>
        <v>0.57510148849797027</v>
      </c>
      <c r="M928" s="12">
        <f t="shared" si="193"/>
        <v>0.1567531305903398</v>
      </c>
      <c r="N928" s="11">
        <f t="shared" si="195"/>
        <v>25759.857142857141</v>
      </c>
      <c r="O928" s="11" t="str">
        <f t="shared" si="197"/>
        <v/>
      </c>
      <c r="P928" s="11" t="str">
        <f t="shared" si="198"/>
        <v/>
      </c>
      <c r="Q928" s="7"/>
      <c r="R928" s="7"/>
      <c r="S928" s="7"/>
      <c r="T928" s="7"/>
      <c r="U928" s="7"/>
      <c r="V928" s="7"/>
      <c r="W928" s="7"/>
      <c r="X928" s="3" t="s">
        <v>84</v>
      </c>
      <c r="Y928" s="3"/>
      <c r="Z928" s="9">
        <v>1.3662700000000001</v>
      </c>
      <c r="AA928" s="12">
        <f t="shared" si="194"/>
        <v>6.0529849645654554E-2</v>
      </c>
      <c r="AB928" s="9">
        <f t="shared" si="196"/>
        <v>1.3926957142857144</v>
      </c>
      <c r="AC928" s="9">
        <f t="shared" si="199"/>
        <v>1.6637453571428569</v>
      </c>
      <c r="AD928" s="9">
        <f t="shared" si="200"/>
        <v>0.83708465860267522</v>
      </c>
      <c r="AE928" s="3" t="s">
        <v>80</v>
      </c>
      <c r="AF928" s="11" t="str">
        <f t="shared" si="201"/>
        <v/>
      </c>
      <c r="AG928" s="11" t="str">
        <f t="shared" si="202"/>
        <v/>
      </c>
      <c r="AH928" s="11">
        <f t="shared" si="203"/>
        <v>0.82120139006505777</v>
      </c>
      <c r="AI928" s="3" t="s">
        <v>45</v>
      </c>
      <c r="AJ928" s="3" t="s">
        <v>79</v>
      </c>
      <c r="AK928" s="3" t="s">
        <v>46</v>
      </c>
      <c r="AL928" s="3" t="s">
        <v>81</v>
      </c>
      <c r="AM928" s="3" t="s">
        <v>82</v>
      </c>
    </row>
    <row r="929" spans="1:39" ht="21" customHeight="1">
      <c r="A929" s="4">
        <v>43337</v>
      </c>
      <c r="B929" s="3" t="s">
        <v>78</v>
      </c>
      <c r="C929" s="3" t="s">
        <v>79</v>
      </c>
      <c r="D929" s="4">
        <v>43159</v>
      </c>
      <c r="E929" s="3">
        <f t="shared" si="188"/>
        <v>178</v>
      </c>
      <c r="F929" s="3" t="str">
        <f t="shared" si="189"/>
        <v>개봉후</v>
      </c>
      <c r="G929" s="3" t="str">
        <f t="shared" si="190"/>
        <v>토</v>
      </c>
      <c r="H929" s="3">
        <f t="shared" si="191"/>
        <v>1</v>
      </c>
      <c r="I929" s="3">
        <v>31398</v>
      </c>
      <c r="J929" s="3">
        <v>23765</v>
      </c>
      <c r="K929" s="3">
        <v>7634</v>
      </c>
      <c r="L929" s="12">
        <f t="shared" si="192"/>
        <v>0.75689534365246192</v>
      </c>
      <c r="M929" s="12">
        <f t="shared" si="193"/>
        <v>0.51739802822346803</v>
      </c>
      <c r="N929" s="11">
        <f t="shared" si="195"/>
        <v>25229.285714285714</v>
      </c>
      <c r="O929" s="11" t="str">
        <f t="shared" si="197"/>
        <v/>
      </c>
      <c r="P929" s="11" t="str">
        <f t="shared" si="198"/>
        <v/>
      </c>
      <c r="Q929" s="7"/>
      <c r="R929" s="7"/>
      <c r="S929" s="7"/>
      <c r="T929" s="7"/>
      <c r="U929" s="7"/>
      <c r="V929" s="7"/>
      <c r="W929" s="7"/>
      <c r="X929" s="3" t="s">
        <v>84</v>
      </c>
      <c r="Y929" s="3"/>
      <c r="Z929" s="9">
        <v>1.44286</v>
      </c>
      <c r="AA929" s="12">
        <f t="shared" si="194"/>
        <v>5.6057733830062739E-2</v>
      </c>
      <c r="AB929" s="9">
        <f t="shared" si="196"/>
        <v>1.3804285714285711</v>
      </c>
      <c r="AC929" s="9">
        <f t="shared" si="199"/>
        <v>1.6673921428571425</v>
      </c>
      <c r="AD929" s="9">
        <f t="shared" si="200"/>
        <v>0.8278967712197276</v>
      </c>
      <c r="AE929" s="3" t="s">
        <v>80</v>
      </c>
      <c r="AF929" s="11" t="str">
        <f t="shared" si="201"/>
        <v/>
      </c>
      <c r="AG929" s="11" t="str">
        <f t="shared" si="202"/>
        <v/>
      </c>
      <c r="AH929" s="11">
        <f t="shared" si="203"/>
        <v>0.8653393301515756</v>
      </c>
      <c r="AI929" s="3" t="s">
        <v>45</v>
      </c>
      <c r="AJ929" s="3" t="s">
        <v>79</v>
      </c>
      <c r="AK929" s="3" t="s">
        <v>46</v>
      </c>
      <c r="AL929" s="3" t="s">
        <v>81</v>
      </c>
      <c r="AM929" s="3" t="s">
        <v>82</v>
      </c>
    </row>
    <row r="930" spans="1:39" ht="21" customHeight="1">
      <c r="A930" s="4">
        <v>43338</v>
      </c>
      <c r="B930" s="3" t="s">
        <v>78</v>
      </c>
      <c r="C930" s="3" t="s">
        <v>79</v>
      </c>
      <c r="D930" s="4">
        <v>43159</v>
      </c>
      <c r="E930" s="3">
        <f t="shared" si="188"/>
        <v>179</v>
      </c>
      <c r="F930" s="3" t="str">
        <f t="shared" si="189"/>
        <v>개봉후</v>
      </c>
      <c r="G930" s="3" t="str">
        <f t="shared" si="190"/>
        <v>일</v>
      </c>
      <c r="H930" s="3">
        <f t="shared" si="191"/>
        <v>1</v>
      </c>
      <c r="I930" s="3">
        <v>28140</v>
      </c>
      <c r="J930" s="3">
        <v>21718</v>
      </c>
      <c r="K930" s="3">
        <v>6422</v>
      </c>
      <c r="L930" s="12">
        <f t="shared" si="192"/>
        <v>0.77178393745557927</v>
      </c>
      <c r="M930" s="12">
        <f t="shared" si="193"/>
        <v>-0.10376457099178293</v>
      </c>
      <c r="N930" s="11">
        <f t="shared" si="195"/>
        <v>23989.857142857141</v>
      </c>
      <c r="O930" s="11" t="str">
        <f t="shared" si="197"/>
        <v/>
      </c>
      <c r="P930" s="11" t="str">
        <f t="shared" si="198"/>
        <v/>
      </c>
      <c r="Q930" s="7"/>
      <c r="R930" s="7"/>
      <c r="S930" s="7"/>
      <c r="T930" s="7"/>
      <c r="U930" s="7"/>
      <c r="V930" s="7"/>
      <c r="W930" s="7"/>
      <c r="X930" s="3" t="s">
        <v>84</v>
      </c>
      <c r="Y930" s="3"/>
      <c r="Z930" s="9">
        <v>1.71834</v>
      </c>
      <c r="AA930" s="12">
        <f t="shared" si="194"/>
        <v>0.19092635460127805</v>
      </c>
      <c r="AB930" s="9">
        <f t="shared" si="196"/>
        <v>1.3975357142857141</v>
      </c>
      <c r="AC930" s="9">
        <f t="shared" si="199"/>
        <v>1.6661157142857141</v>
      </c>
      <c r="AD930" s="9">
        <f t="shared" si="200"/>
        <v>0.8387987114597597</v>
      </c>
      <c r="AE930" s="3" t="s">
        <v>80</v>
      </c>
      <c r="AF930" s="11" t="str">
        <f t="shared" si="201"/>
        <v/>
      </c>
      <c r="AG930" s="11" t="str">
        <f t="shared" si="202"/>
        <v/>
      </c>
      <c r="AH930" s="11">
        <f t="shared" si="203"/>
        <v>1.0313449331679072</v>
      </c>
      <c r="AI930" s="3" t="s">
        <v>45</v>
      </c>
      <c r="AJ930" s="3" t="s">
        <v>79</v>
      </c>
      <c r="AK930" s="3" t="s">
        <v>46</v>
      </c>
      <c r="AL930" s="3" t="s">
        <v>81</v>
      </c>
      <c r="AM930" s="3" t="s">
        <v>82</v>
      </c>
    </row>
    <row r="931" spans="1:39" ht="21" customHeight="1">
      <c r="A931" s="4">
        <v>43339</v>
      </c>
      <c r="B931" s="3" t="s">
        <v>78</v>
      </c>
      <c r="C931" s="3" t="s">
        <v>79</v>
      </c>
      <c r="D931" s="4">
        <v>43159</v>
      </c>
      <c r="E931" s="3">
        <f t="shared" si="188"/>
        <v>180</v>
      </c>
      <c r="F931" s="3" t="str">
        <f t="shared" si="189"/>
        <v>개봉후</v>
      </c>
      <c r="G931" s="3" t="str">
        <f t="shared" si="190"/>
        <v>월</v>
      </c>
      <c r="H931" s="3">
        <f t="shared" si="191"/>
        <v>0</v>
      </c>
      <c r="I931" s="3">
        <v>22197</v>
      </c>
      <c r="J931" s="3">
        <v>13570</v>
      </c>
      <c r="K931" s="3">
        <v>8628</v>
      </c>
      <c r="L931" s="12">
        <f t="shared" si="192"/>
        <v>0.61134387529846379</v>
      </c>
      <c r="M931" s="12">
        <f t="shared" si="193"/>
        <v>-0.21119402985074631</v>
      </c>
      <c r="N931" s="11">
        <f t="shared" si="195"/>
        <v>24179.857142857141</v>
      </c>
      <c r="O931" s="11" t="str">
        <f t="shared" si="197"/>
        <v/>
      </c>
      <c r="P931" s="11" t="str">
        <f t="shared" si="198"/>
        <v/>
      </c>
      <c r="Q931" s="7"/>
      <c r="R931" s="7"/>
      <c r="S931" s="7"/>
      <c r="T931" s="7"/>
      <c r="U931" s="7"/>
      <c r="V931" s="7"/>
      <c r="W931" s="7"/>
      <c r="X931" s="3" t="s">
        <v>84</v>
      </c>
      <c r="Y931" s="3"/>
      <c r="Z931" s="9">
        <v>1.1878</v>
      </c>
      <c r="AA931" s="12">
        <f t="shared" si="194"/>
        <v>-0.30875146944143772</v>
      </c>
      <c r="AB931" s="9">
        <f t="shared" si="196"/>
        <v>1.3851028571428567</v>
      </c>
      <c r="AC931" s="9">
        <f t="shared" si="199"/>
        <v>1.6619049999999995</v>
      </c>
      <c r="AD931" s="9">
        <f t="shared" si="200"/>
        <v>0.8334428605382721</v>
      </c>
      <c r="AE931" s="3" t="s">
        <v>80</v>
      </c>
      <c r="AF931" s="11" t="str">
        <f t="shared" si="201"/>
        <v/>
      </c>
      <c r="AG931" s="11" t="str">
        <f t="shared" si="202"/>
        <v/>
      </c>
      <c r="AH931" s="11">
        <f t="shared" si="203"/>
        <v>0.71472196064155313</v>
      </c>
      <c r="AI931" s="3" t="s">
        <v>45</v>
      </c>
      <c r="AJ931" s="3" t="s">
        <v>79</v>
      </c>
      <c r="AK931" s="3" t="s">
        <v>46</v>
      </c>
      <c r="AL931" s="3" t="s">
        <v>81</v>
      </c>
      <c r="AM931" s="3" t="s">
        <v>82</v>
      </c>
    </row>
    <row r="932" spans="1:39" ht="21" customHeight="1">
      <c r="A932" s="4">
        <v>43340</v>
      </c>
      <c r="B932" s="3" t="s">
        <v>78</v>
      </c>
      <c r="C932" s="3" t="s">
        <v>79</v>
      </c>
      <c r="D932" s="4">
        <v>43159</v>
      </c>
      <c r="E932" s="3">
        <f t="shared" si="188"/>
        <v>181</v>
      </c>
      <c r="F932" s="3" t="str">
        <f t="shared" si="189"/>
        <v>개봉후</v>
      </c>
      <c r="G932" s="3" t="str">
        <f t="shared" si="190"/>
        <v>화</v>
      </c>
      <c r="H932" s="3">
        <f t="shared" si="191"/>
        <v>0</v>
      </c>
      <c r="I932" s="3">
        <v>20321</v>
      </c>
      <c r="J932" s="3">
        <v>11602</v>
      </c>
      <c r="K932" s="3">
        <v>8718</v>
      </c>
      <c r="L932" s="12">
        <f t="shared" si="192"/>
        <v>0.57093646966192613</v>
      </c>
      <c r="M932" s="12">
        <f t="shared" si="193"/>
        <v>-8.4515925575528228E-2</v>
      </c>
      <c r="N932" s="11">
        <f t="shared" si="195"/>
        <v>23191.428571428572</v>
      </c>
      <c r="O932" s="11" t="str">
        <f t="shared" si="197"/>
        <v/>
      </c>
      <c r="P932" s="11" t="str">
        <f t="shared" si="198"/>
        <v/>
      </c>
      <c r="Q932" s="7"/>
      <c r="R932" s="7"/>
      <c r="S932" s="7"/>
      <c r="T932" s="7"/>
      <c r="U932" s="7"/>
      <c r="V932" s="7"/>
      <c r="W932" s="7"/>
      <c r="X932" s="3" t="s">
        <v>84</v>
      </c>
      <c r="Y932" s="3"/>
      <c r="Z932" s="9">
        <v>1.25116</v>
      </c>
      <c r="AA932" s="12">
        <f t="shared" si="194"/>
        <v>5.3342313520794882E-2</v>
      </c>
      <c r="AB932" s="9">
        <f t="shared" si="196"/>
        <v>1.3945185714285713</v>
      </c>
      <c r="AC932" s="9">
        <f t="shared" si="199"/>
        <v>1.6440678571428573</v>
      </c>
      <c r="AD932" s="9">
        <f t="shared" si="200"/>
        <v>0.84821229572119661</v>
      </c>
      <c r="AE932" s="3" t="s">
        <v>80</v>
      </c>
      <c r="AF932" s="11" t="str">
        <f t="shared" si="201"/>
        <v/>
      </c>
      <c r="AG932" s="11" t="str">
        <f t="shared" si="202"/>
        <v/>
      </c>
      <c r="AH932" s="11">
        <f t="shared" si="203"/>
        <v>0.7610148173411333</v>
      </c>
      <c r="AI932" s="3" t="s">
        <v>45</v>
      </c>
      <c r="AJ932" s="3" t="s">
        <v>79</v>
      </c>
      <c r="AK932" s="3" t="s">
        <v>46</v>
      </c>
      <c r="AL932" s="3" t="s">
        <v>81</v>
      </c>
      <c r="AM932" s="3" t="s">
        <v>82</v>
      </c>
    </row>
    <row r="933" spans="1:39" ht="21" customHeight="1">
      <c r="A933" s="4">
        <v>43341</v>
      </c>
      <c r="B933" s="3" t="s">
        <v>78</v>
      </c>
      <c r="C933" s="3" t="s">
        <v>79</v>
      </c>
      <c r="D933" s="4">
        <v>43159</v>
      </c>
      <c r="E933" s="3">
        <f t="shared" si="188"/>
        <v>182</v>
      </c>
      <c r="F933" s="3" t="str">
        <f t="shared" si="189"/>
        <v>개봉후</v>
      </c>
      <c r="G933" s="3" t="str">
        <f t="shared" si="190"/>
        <v>수</v>
      </c>
      <c r="H933" s="3">
        <f t="shared" si="191"/>
        <v>0</v>
      </c>
      <c r="I933" s="3">
        <v>21500</v>
      </c>
      <c r="J933" s="3">
        <v>12866</v>
      </c>
      <c r="K933" s="3">
        <v>8634</v>
      </c>
      <c r="L933" s="12">
        <f t="shared" si="192"/>
        <v>0.59841860465116281</v>
      </c>
      <c r="M933" s="12">
        <f t="shared" si="193"/>
        <v>5.8018798287485795E-2</v>
      </c>
      <c r="N933" s="11">
        <f t="shared" si="195"/>
        <v>23162.285714285714</v>
      </c>
      <c r="O933" s="11">
        <f t="shared" si="197"/>
        <v>28861.178571428572</v>
      </c>
      <c r="P933" s="11">
        <f t="shared" si="198"/>
        <v>0.74494532324068541</v>
      </c>
      <c r="Q933" s="7"/>
      <c r="R933" s="7"/>
      <c r="S933" s="7"/>
      <c r="T933" s="7"/>
      <c r="U933" s="7"/>
      <c r="V933" s="7"/>
      <c r="W933" s="7"/>
      <c r="X933" s="3" t="s">
        <v>84</v>
      </c>
      <c r="Y933" s="3"/>
      <c r="Z933" s="9">
        <v>1.07176</v>
      </c>
      <c r="AA933" s="12">
        <f t="shared" si="194"/>
        <v>-0.1433869369225359</v>
      </c>
      <c r="AB933" s="9">
        <f t="shared" si="196"/>
        <v>1.3323542857142854</v>
      </c>
      <c r="AC933" s="9">
        <f t="shared" si="199"/>
        <v>1.6372628571428574</v>
      </c>
      <c r="AD933" s="9">
        <f t="shared" si="200"/>
        <v>0.81376932231843357</v>
      </c>
      <c r="AE933" s="3" t="s">
        <v>80</v>
      </c>
      <c r="AF933" s="11">
        <f t="shared" si="201"/>
        <v>20075.75</v>
      </c>
      <c r="AG933" s="11">
        <f t="shared" si="202"/>
        <v>0.64087269466894137</v>
      </c>
      <c r="AH933" s="11">
        <f t="shared" si="203"/>
        <v>0.6546047235630198</v>
      </c>
      <c r="AI933" s="3" t="s">
        <v>45</v>
      </c>
      <c r="AJ933" s="3" t="s">
        <v>79</v>
      </c>
      <c r="AK933" s="3" t="s">
        <v>46</v>
      </c>
      <c r="AL933" s="3" t="s">
        <v>81</v>
      </c>
      <c r="AM933" s="3" t="s">
        <v>82</v>
      </c>
    </row>
    <row r="934" spans="1:39" ht="21" customHeight="1">
      <c r="A934" s="4">
        <v>43342</v>
      </c>
      <c r="B934" s="3" t="s">
        <v>78</v>
      </c>
      <c r="C934" s="3" t="s">
        <v>79</v>
      </c>
      <c r="D934" s="4">
        <v>43159</v>
      </c>
      <c r="E934" s="3">
        <f t="shared" si="188"/>
        <v>183</v>
      </c>
      <c r="F934" s="3" t="str">
        <f t="shared" si="189"/>
        <v>개봉후</v>
      </c>
      <c r="G934" s="3" t="str">
        <f t="shared" si="190"/>
        <v>목</v>
      </c>
      <c r="H934" s="3">
        <f t="shared" si="191"/>
        <v>0</v>
      </c>
      <c r="I934" s="3">
        <v>20958</v>
      </c>
      <c r="J934" s="3">
        <v>12232</v>
      </c>
      <c r="K934" s="3">
        <v>8726</v>
      </c>
      <c r="L934" s="12">
        <f t="shared" si="192"/>
        <v>0.5836434774310526</v>
      </c>
      <c r="M934" s="12">
        <f t="shared" si="193"/>
        <v>-2.5209302325581384E-2</v>
      </c>
      <c r="N934" s="11">
        <f t="shared" si="195"/>
        <v>23600.857142857141</v>
      </c>
      <c r="O934" s="11">
        <f t="shared" si="197"/>
        <v>28483.035714285714</v>
      </c>
      <c r="P934" s="11">
        <f t="shared" si="198"/>
        <v>0.73580640105325856</v>
      </c>
      <c r="Q934" s="7"/>
      <c r="R934" s="7"/>
      <c r="S934" s="7"/>
      <c r="T934" s="7"/>
      <c r="U934" s="7"/>
      <c r="V934" s="7"/>
      <c r="W934" s="7"/>
      <c r="X934" s="3" t="s">
        <v>84</v>
      </c>
      <c r="Y934" s="3"/>
      <c r="Z934" s="9">
        <v>1.1181700000000001</v>
      </c>
      <c r="AA934" s="12">
        <f t="shared" si="194"/>
        <v>4.3302605060834498E-2</v>
      </c>
      <c r="AB934" s="9">
        <f t="shared" si="196"/>
        <v>1.3080514285714284</v>
      </c>
      <c r="AC934" s="9">
        <f t="shared" si="199"/>
        <v>1.6155964285714286</v>
      </c>
      <c r="AD934" s="9">
        <f t="shared" si="200"/>
        <v>0.80963996047457032</v>
      </c>
      <c r="AE934" s="3" t="s">
        <v>80</v>
      </c>
      <c r="AF934" s="11">
        <f t="shared" si="201"/>
        <v>15594.25</v>
      </c>
      <c r="AG934" s="11">
        <f t="shared" si="202"/>
        <v>0.78439168283181304</v>
      </c>
      <c r="AH934" s="11">
        <f t="shared" si="203"/>
        <v>0.69210972506836266</v>
      </c>
      <c r="AI934" s="3" t="s">
        <v>45</v>
      </c>
      <c r="AJ934" s="3" t="s">
        <v>79</v>
      </c>
      <c r="AK934" s="3" t="s">
        <v>46</v>
      </c>
      <c r="AL934" s="3" t="s">
        <v>81</v>
      </c>
      <c r="AM934" s="3" t="s">
        <v>82</v>
      </c>
    </row>
    <row r="935" spans="1:39" ht="21" customHeight="1">
      <c r="A935" s="4">
        <v>43343</v>
      </c>
      <c r="B935" s="3" t="s">
        <v>78</v>
      </c>
      <c r="C935" s="3" t="s">
        <v>79</v>
      </c>
      <c r="D935" s="4">
        <v>43159</v>
      </c>
      <c r="E935" s="3">
        <f t="shared" si="188"/>
        <v>184</v>
      </c>
      <c r="F935" s="3" t="str">
        <f t="shared" si="189"/>
        <v>개봉후</v>
      </c>
      <c r="G935" s="3" t="str">
        <f t="shared" si="190"/>
        <v>금</v>
      </c>
      <c r="H935" s="3">
        <f t="shared" si="191"/>
        <v>0</v>
      </c>
      <c r="I935" s="3">
        <v>20786</v>
      </c>
      <c r="J935" s="3">
        <v>12383</v>
      </c>
      <c r="K935" s="3">
        <v>8404</v>
      </c>
      <c r="L935" s="12">
        <f t="shared" si="192"/>
        <v>0.59573751563552391</v>
      </c>
      <c r="M935" s="12">
        <f t="shared" si="193"/>
        <v>-8.206889970417075E-3</v>
      </c>
      <c r="N935" s="11">
        <f t="shared" si="195"/>
        <v>23614.285714285714</v>
      </c>
      <c r="O935" s="11">
        <f t="shared" si="197"/>
        <v>28030.392857142859</v>
      </c>
      <c r="P935" s="11">
        <f t="shared" si="198"/>
        <v>0.74155221819173311</v>
      </c>
      <c r="Q935" s="7"/>
      <c r="R935" s="7"/>
      <c r="S935" s="7"/>
      <c r="T935" s="7"/>
      <c r="U935" s="7"/>
      <c r="V935" s="7"/>
      <c r="W935" s="7"/>
      <c r="X935" s="3" t="s">
        <v>84</v>
      </c>
      <c r="Y935" s="3"/>
      <c r="Z935" s="9">
        <v>1.1748000000000001</v>
      </c>
      <c r="AA935" s="12">
        <f t="shared" si="194"/>
        <v>5.0645250722161972E-2</v>
      </c>
      <c r="AB935" s="9">
        <f t="shared" si="196"/>
        <v>1.2806985714285715</v>
      </c>
      <c r="AC935" s="9">
        <f t="shared" si="199"/>
        <v>1.58952</v>
      </c>
      <c r="AD935" s="9">
        <f t="shared" si="200"/>
        <v>0.8057140340659894</v>
      </c>
      <c r="AE935" s="3" t="s">
        <v>80</v>
      </c>
      <c r="AF935" s="11">
        <f t="shared" si="201"/>
        <v>18093.5</v>
      </c>
      <c r="AG935" s="11">
        <f t="shared" si="202"/>
        <v>0.68438942161549732</v>
      </c>
      <c r="AH935" s="11">
        <f t="shared" si="203"/>
        <v>0.73909104635361622</v>
      </c>
      <c r="AI935" s="3" t="s">
        <v>45</v>
      </c>
      <c r="AJ935" s="3" t="s">
        <v>79</v>
      </c>
      <c r="AK935" s="3" t="s">
        <v>46</v>
      </c>
      <c r="AL935" s="3" t="s">
        <v>81</v>
      </c>
      <c r="AM935" s="3" t="s">
        <v>82</v>
      </c>
    </row>
    <row r="936" spans="1:39" ht="21" customHeight="1">
      <c r="A936" s="4">
        <v>43344</v>
      </c>
      <c r="B936" s="3" t="s">
        <v>78</v>
      </c>
      <c r="C936" s="3" t="s">
        <v>79</v>
      </c>
      <c r="D936" s="4">
        <v>43159</v>
      </c>
      <c r="E936" s="3">
        <f t="shared" si="188"/>
        <v>185</v>
      </c>
      <c r="F936" s="3" t="str">
        <f t="shared" si="189"/>
        <v>개봉후</v>
      </c>
      <c r="G936" s="3" t="str">
        <f t="shared" si="190"/>
        <v>토</v>
      </c>
      <c r="H936" s="3">
        <f t="shared" si="191"/>
        <v>1</v>
      </c>
      <c r="I936" s="3">
        <v>29939</v>
      </c>
      <c r="J936" s="3">
        <v>22320</v>
      </c>
      <c r="K936" s="3">
        <v>7620</v>
      </c>
      <c r="L936" s="12">
        <f t="shared" si="192"/>
        <v>0.74551588229399779</v>
      </c>
      <c r="M936" s="12">
        <f t="shared" si="193"/>
        <v>0.44034446261907045</v>
      </c>
      <c r="N936" s="11">
        <f t="shared" si="195"/>
        <v>23405.857142857141</v>
      </c>
      <c r="O936" s="11">
        <f t="shared" si="197"/>
        <v>27480.25</v>
      </c>
      <c r="P936" s="11">
        <f t="shared" si="198"/>
        <v>1.0894733490415844</v>
      </c>
      <c r="Q936" s="7"/>
      <c r="R936" s="7"/>
      <c r="S936" s="7"/>
      <c r="T936" s="7"/>
      <c r="U936" s="7"/>
      <c r="V936" s="7"/>
      <c r="W936" s="7"/>
      <c r="X936" s="3" t="s">
        <v>85</v>
      </c>
      <c r="Y936" s="3"/>
      <c r="Z936" s="9"/>
      <c r="AA936" s="12" t="str">
        <f t="shared" si="194"/>
        <v/>
      </c>
      <c r="AB936" s="9" t="str">
        <f t="shared" si="196"/>
        <v/>
      </c>
      <c r="AC936" s="9">
        <f t="shared" si="199"/>
        <v>1.5644549999999999</v>
      </c>
      <c r="AD936" s="9" t="str">
        <f t="shared" si="200"/>
        <v/>
      </c>
      <c r="AE936" s="3"/>
      <c r="AF936" s="11">
        <f t="shared" si="201"/>
        <v>27733</v>
      </c>
      <c r="AG936" s="11">
        <f t="shared" si="202"/>
        <v>0.8048173655933365</v>
      </c>
      <c r="AH936" s="11" t="str">
        <f t="shared" si="203"/>
        <v/>
      </c>
      <c r="AI936" s="3" t="s">
        <v>45</v>
      </c>
      <c r="AJ936" s="3" t="s">
        <v>79</v>
      </c>
      <c r="AK936" s="3" t="s">
        <v>46</v>
      </c>
      <c r="AL936" s="3" t="s">
        <v>81</v>
      </c>
      <c r="AM936" s="3" t="s">
        <v>82</v>
      </c>
    </row>
    <row r="937" spans="1:39" ht="21" customHeight="1">
      <c r="A937" s="4">
        <v>43345</v>
      </c>
      <c r="B937" s="3" t="s">
        <v>78</v>
      </c>
      <c r="C937" s="3" t="s">
        <v>79</v>
      </c>
      <c r="D937" s="4">
        <v>43159</v>
      </c>
      <c r="E937" s="3">
        <f t="shared" si="188"/>
        <v>186</v>
      </c>
      <c r="F937" s="3" t="str">
        <f t="shared" si="189"/>
        <v>개봉후</v>
      </c>
      <c r="G937" s="3" t="str">
        <f t="shared" si="190"/>
        <v>일</v>
      </c>
      <c r="H937" s="3">
        <f t="shared" si="191"/>
        <v>1</v>
      </c>
      <c r="I937" s="3">
        <v>36120</v>
      </c>
      <c r="J937" s="3">
        <v>28490</v>
      </c>
      <c r="K937" s="3">
        <v>7630</v>
      </c>
      <c r="L937" s="12">
        <f t="shared" si="192"/>
        <v>0.78875968992248058</v>
      </c>
      <c r="M937" s="12">
        <f t="shared" si="193"/>
        <v>0.20645312134673843</v>
      </c>
      <c r="N937" s="11">
        <f t="shared" si="195"/>
        <v>24545.857142857141</v>
      </c>
      <c r="O937" s="11">
        <f t="shared" si="197"/>
        <v>27093.75</v>
      </c>
      <c r="P937" s="11">
        <f t="shared" si="198"/>
        <v>1.3331487889273357</v>
      </c>
      <c r="Q937" s="7"/>
      <c r="R937" s="7"/>
      <c r="S937" s="7"/>
      <c r="T937" s="7"/>
      <c r="U937" s="7"/>
      <c r="V937" s="7"/>
      <c r="W937" s="7"/>
      <c r="X937" s="3" t="s">
        <v>85</v>
      </c>
      <c r="Y937" s="3"/>
      <c r="Z937" s="9"/>
      <c r="AA937" s="12" t="str">
        <f t="shared" si="194"/>
        <v/>
      </c>
      <c r="AB937" s="9" t="str">
        <f t="shared" si="196"/>
        <v/>
      </c>
      <c r="AC937" s="9" t="str">
        <f t="shared" si="199"/>
        <v/>
      </c>
      <c r="AD937" s="9" t="str">
        <f t="shared" si="200"/>
        <v/>
      </c>
      <c r="AE937" s="3"/>
      <c r="AF937" s="11">
        <f t="shared" si="201"/>
        <v>32011.25</v>
      </c>
      <c r="AG937" s="11">
        <f t="shared" si="202"/>
        <v>0.88999960951228085</v>
      </c>
      <c r="AH937" s="11" t="str">
        <f t="shared" si="203"/>
        <v/>
      </c>
      <c r="AI937" s="3" t="s">
        <v>45</v>
      </c>
      <c r="AJ937" s="3" t="s">
        <v>79</v>
      </c>
      <c r="AK937" s="3" t="s">
        <v>46</v>
      </c>
      <c r="AL937" s="3" t="s">
        <v>81</v>
      </c>
      <c r="AM937" s="3" t="s">
        <v>82</v>
      </c>
    </row>
    <row r="938" spans="1:39" ht="21" customHeight="1">
      <c r="A938" s="4">
        <v>43346</v>
      </c>
      <c r="B938" s="3" t="s">
        <v>78</v>
      </c>
      <c r="C938" s="3" t="s">
        <v>79</v>
      </c>
      <c r="D938" s="4">
        <v>43159</v>
      </c>
      <c r="E938" s="3">
        <f t="shared" si="188"/>
        <v>187</v>
      </c>
      <c r="F938" s="3" t="str">
        <f t="shared" si="189"/>
        <v>개봉후</v>
      </c>
      <c r="G938" s="3" t="str">
        <f t="shared" si="190"/>
        <v>월</v>
      </c>
      <c r="H938" s="3">
        <f t="shared" si="191"/>
        <v>0</v>
      </c>
      <c r="I938" s="3">
        <v>19778</v>
      </c>
      <c r="J938" s="3">
        <v>10146</v>
      </c>
      <c r="K938" s="3">
        <v>9632</v>
      </c>
      <c r="L938" s="12">
        <f t="shared" si="192"/>
        <v>0.51299423601981997</v>
      </c>
      <c r="M938" s="12">
        <f t="shared" si="193"/>
        <v>-0.45243632336655593</v>
      </c>
      <c r="N938" s="11">
        <f t="shared" si="195"/>
        <v>24200.285714285714</v>
      </c>
      <c r="O938" s="11">
        <f t="shared" si="197"/>
        <v>26471.5</v>
      </c>
      <c r="P938" s="11">
        <f t="shared" si="198"/>
        <v>0.74714315395803033</v>
      </c>
      <c r="Q938" s="7"/>
      <c r="R938" s="7"/>
      <c r="S938" s="7"/>
      <c r="T938" s="7"/>
      <c r="U938" s="7"/>
      <c r="V938" s="7"/>
      <c r="W938" s="7"/>
      <c r="X938" s="3" t="s">
        <v>85</v>
      </c>
      <c r="Y938" s="3"/>
      <c r="Z938" s="9"/>
      <c r="AA938" s="12" t="str">
        <f t="shared" si="194"/>
        <v/>
      </c>
      <c r="AB938" s="9" t="str">
        <f t="shared" si="196"/>
        <v/>
      </c>
      <c r="AC938" s="9" t="str">
        <f t="shared" si="199"/>
        <v/>
      </c>
      <c r="AD938" s="9" t="str">
        <f t="shared" si="200"/>
        <v/>
      </c>
      <c r="AE938" s="3"/>
      <c r="AF938" s="11">
        <f t="shared" si="201"/>
        <v>15242.5</v>
      </c>
      <c r="AG938" s="11">
        <f t="shared" si="202"/>
        <v>0.6656388387731671</v>
      </c>
      <c r="AH938" s="11" t="str">
        <f t="shared" si="203"/>
        <v/>
      </c>
      <c r="AI938" s="3" t="s">
        <v>45</v>
      </c>
      <c r="AJ938" s="3" t="s">
        <v>79</v>
      </c>
      <c r="AK938" s="3" t="s">
        <v>46</v>
      </c>
      <c r="AL938" s="3" t="s">
        <v>81</v>
      </c>
      <c r="AM938" s="3" t="s">
        <v>82</v>
      </c>
    </row>
    <row r="939" spans="1:39" ht="21" customHeight="1">
      <c r="A939" s="4">
        <v>43347</v>
      </c>
      <c r="B939" s="3" t="s">
        <v>78</v>
      </c>
      <c r="C939" s="3" t="s">
        <v>79</v>
      </c>
      <c r="D939" s="4">
        <v>43159</v>
      </c>
      <c r="E939" s="3">
        <f t="shared" si="188"/>
        <v>188</v>
      </c>
      <c r="F939" s="3" t="str">
        <f t="shared" si="189"/>
        <v>개봉후</v>
      </c>
      <c r="G939" s="3" t="str">
        <f t="shared" si="190"/>
        <v>화</v>
      </c>
      <c r="H939" s="3">
        <f t="shared" si="191"/>
        <v>0</v>
      </c>
      <c r="I939" s="3">
        <v>19428</v>
      </c>
      <c r="J939" s="3">
        <v>10314</v>
      </c>
      <c r="K939" s="3">
        <v>9114</v>
      </c>
      <c r="L939" s="12">
        <f t="shared" si="192"/>
        <v>0.53088326127239038</v>
      </c>
      <c r="M939" s="12">
        <f t="shared" si="193"/>
        <v>-1.7696430377186823E-2</v>
      </c>
      <c r="N939" s="11">
        <f t="shared" si="195"/>
        <v>24072.714285714286</v>
      </c>
      <c r="O939" s="11">
        <f t="shared" si="197"/>
        <v>26127.607142857141</v>
      </c>
      <c r="P939" s="11">
        <f t="shared" si="198"/>
        <v>0.74358129674003826</v>
      </c>
      <c r="Q939" s="7"/>
      <c r="R939" s="7"/>
      <c r="S939" s="7"/>
      <c r="T939" s="7"/>
      <c r="U939" s="7"/>
      <c r="V939" s="7"/>
      <c r="W939" s="7"/>
      <c r="X939" s="3" t="s">
        <v>85</v>
      </c>
      <c r="Y939" s="3"/>
      <c r="Z939" s="9"/>
      <c r="AA939" s="12" t="str">
        <f t="shared" si="194"/>
        <v/>
      </c>
      <c r="AB939" s="9" t="str">
        <f t="shared" si="196"/>
        <v/>
      </c>
      <c r="AC939" s="9" t="str">
        <f t="shared" si="199"/>
        <v/>
      </c>
      <c r="AD939" s="9" t="str">
        <f t="shared" si="200"/>
        <v/>
      </c>
      <c r="AE939" s="3"/>
      <c r="AF939" s="11">
        <f t="shared" si="201"/>
        <v>15202.25</v>
      </c>
      <c r="AG939" s="11">
        <f t="shared" si="202"/>
        <v>0.67845220279892782</v>
      </c>
      <c r="AH939" s="11" t="str">
        <f t="shared" si="203"/>
        <v/>
      </c>
      <c r="AI939" s="3" t="s">
        <v>45</v>
      </c>
      <c r="AJ939" s="3" t="s">
        <v>79</v>
      </c>
      <c r="AK939" s="3" t="s">
        <v>46</v>
      </c>
      <c r="AL939" s="3" t="s">
        <v>81</v>
      </c>
      <c r="AM939" s="3" t="s">
        <v>82</v>
      </c>
    </row>
    <row r="940" spans="1:39" ht="21" customHeight="1">
      <c r="A940" s="4">
        <v>43348</v>
      </c>
      <c r="B940" s="3" t="s">
        <v>78</v>
      </c>
      <c r="C940" s="3" t="s">
        <v>79</v>
      </c>
      <c r="D940" s="4">
        <v>43159</v>
      </c>
      <c r="E940" s="3">
        <f t="shared" si="188"/>
        <v>189</v>
      </c>
      <c r="F940" s="3" t="str">
        <f t="shared" si="189"/>
        <v>개봉후</v>
      </c>
      <c r="G940" s="3" t="str">
        <f t="shared" si="190"/>
        <v>수</v>
      </c>
      <c r="H940" s="3">
        <f t="shared" si="191"/>
        <v>0</v>
      </c>
      <c r="I940" s="3">
        <v>21287</v>
      </c>
      <c r="J940" s="3">
        <v>12022</v>
      </c>
      <c r="K940" s="3">
        <v>9264</v>
      </c>
      <c r="L940" s="12">
        <f t="shared" si="192"/>
        <v>0.56475783341945784</v>
      </c>
      <c r="M940" s="12">
        <f t="shared" si="193"/>
        <v>9.5686637842289368E-2</v>
      </c>
      <c r="N940" s="11">
        <f t="shared" si="195"/>
        <v>24042.285714285714</v>
      </c>
      <c r="O940" s="11">
        <f t="shared" si="197"/>
        <v>25969.107142857141</v>
      </c>
      <c r="P940" s="11">
        <f t="shared" si="198"/>
        <v>0.81970473158354373</v>
      </c>
      <c r="Q940" s="7"/>
      <c r="R940" s="7"/>
      <c r="S940" s="7"/>
      <c r="T940" s="7"/>
      <c r="U940" s="7"/>
      <c r="V940" s="7"/>
      <c r="W940" s="7"/>
      <c r="X940" s="3" t="s">
        <v>85</v>
      </c>
      <c r="Y940" s="3"/>
      <c r="Z940" s="9"/>
      <c r="AA940" s="12" t="str">
        <f t="shared" si="194"/>
        <v/>
      </c>
      <c r="AB940" s="9" t="str">
        <f t="shared" si="196"/>
        <v/>
      </c>
      <c r="AC940" s="9" t="str">
        <f t="shared" si="199"/>
        <v/>
      </c>
      <c r="AD940" s="9" t="str">
        <f t="shared" si="200"/>
        <v/>
      </c>
      <c r="AE940" s="3"/>
      <c r="AF940" s="11">
        <f t="shared" si="201"/>
        <v>17381.75</v>
      </c>
      <c r="AG940" s="11">
        <f t="shared" si="202"/>
        <v>0.69164497245674339</v>
      </c>
      <c r="AH940" s="11" t="str">
        <f t="shared" si="203"/>
        <v/>
      </c>
      <c r="AI940" s="3" t="s">
        <v>45</v>
      </c>
      <c r="AJ940" s="3" t="s">
        <v>79</v>
      </c>
      <c r="AK940" s="3" t="s">
        <v>46</v>
      </c>
      <c r="AL940" s="3" t="s">
        <v>81</v>
      </c>
      <c r="AM940" s="3" t="s">
        <v>82</v>
      </c>
    </row>
    <row r="941" spans="1:39" ht="21" customHeight="1">
      <c r="A941" s="4">
        <v>43349</v>
      </c>
      <c r="B941" s="3" t="s">
        <v>78</v>
      </c>
      <c r="C941" s="3" t="s">
        <v>79</v>
      </c>
      <c r="D941" s="4">
        <v>43159</v>
      </c>
      <c r="E941" s="3">
        <f t="shared" si="188"/>
        <v>190</v>
      </c>
      <c r="F941" s="3" t="str">
        <f t="shared" si="189"/>
        <v>개봉후</v>
      </c>
      <c r="G941" s="3" t="str">
        <f t="shared" si="190"/>
        <v>목</v>
      </c>
      <c r="H941" s="3">
        <f t="shared" si="191"/>
        <v>0</v>
      </c>
      <c r="I941" s="3">
        <v>21434</v>
      </c>
      <c r="J941" s="3">
        <v>12236</v>
      </c>
      <c r="K941" s="3">
        <v>9198</v>
      </c>
      <c r="L941" s="12">
        <f t="shared" si="192"/>
        <v>0.57086871325930766</v>
      </c>
      <c r="M941" s="12">
        <f t="shared" si="193"/>
        <v>6.9056231502795384E-3</v>
      </c>
      <c r="N941" s="11">
        <f t="shared" si="195"/>
        <v>24110.285714285714</v>
      </c>
      <c r="O941" s="11">
        <f t="shared" si="197"/>
        <v>25687.714285714286</v>
      </c>
      <c r="P941" s="11">
        <f t="shared" si="198"/>
        <v>0.8344066646645979</v>
      </c>
      <c r="Q941" s="7"/>
      <c r="R941" s="7"/>
      <c r="S941" s="7"/>
      <c r="T941" s="7"/>
      <c r="U941" s="7"/>
      <c r="V941" s="7"/>
      <c r="W941" s="7"/>
      <c r="X941" s="3" t="s">
        <v>85</v>
      </c>
      <c r="Y941" s="3"/>
      <c r="Z941" s="9"/>
      <c r="AA941" s="12" t="str">
        <f t="shared" si="194"/>
        <v/>
      </c>
      <c r="AB941" s="9" t="str">
        <f t="shared" si="196"/>
        <v/>
      </c>
      <c r="AC941" s="9" t="str">
        <f t="shared" si="199"/>
        <v/>
      </c>
      <c r="AD941" s="9" t="str">
        <f t="shared" si="200"/>
        <v/>
      </c>
      <c r="AE941" s="3"/>
      <c r="AF941" s="11">
        <f t="shared" si="201"/>
        <v>12385.5</v>
      </c>
      <c r="AG941" s="11">
        <f t="shared" si="202"/>
        <v>0.9879294336118849</v>
      </c>
      <c r="AH941" s="11" t="str">
        <f t="shared" si="203"/>
        <v/>
      </c>
      <c r="AI941" s="3" t="s">
        <v>45</v>
      </c>
      <c r="AJ941" s="3" t="s">
        <v>79</v>
      </c>
      <c r="AK941" s="3" t="s">
        <v>46</v>
      </c>
      <c r="AL941" s="3" t="s">
        <v>81</v>
      </c>
      <c r="AM941" s="3" t="s">
        <v>82</v>
      </c>
    </row>
    <row r="942" spans="1:39" ht="21" customHeight="1">
      <c r="A942" s="4">
        <v>43350</v>
      </c>
      <c r="B942" s="3" t="s">
        <v>78</v>
      </c>
      <c r="C942" s="3" t="s">
        <v>79</v>
      </c>
      <c r="D942" s="4">
        <v>43159</v>
      </c>
      <c r="E942" s="3">
        <f t="shared" si="188"/>
        <v>191</v>
      </c>
      <c r="F942" s="3" t="str">
        <f t="shared" si="189"/>
        <v>개봉후</v>
      </c>
      <c r="G942" s="3" t="str">
        <f t="shared" si="190"/>
        <v>금</v>
      </c>
      <c r="H942" s="3">
        <f t="shared" si="191"/>
        <v>0</v>
      </c>
      <c r="I942" s="3">
        <v>22169</v>
      </c>
      <c r="J942" s="3">
        <v>13024</v>
      </c>
      <c r="K942" s="3">
        <v>9146</v>
      </c>
      <c r="L942" s="12">
        <f t="shared" si="192"/>
        <v>0.58748703144029957</v>
      </c>
      <c r="M942" s="12">
        <f t="shared" si="193"/>
        <v>3.4291312867406942E-2</v>
      </c>
      <c r="N942" s="11">
        <f t="shared" si="195"/>
        <v>24307.857142857141</v>
      </c>
      <c r="O942" s="11">
        <f t="shared" si="197"/>
        <v>25608.071428571428</v>
      </c>
      <c r="P942" s="11">
        <f t="shared" si="198"/>
        <v>0.86570361465274626</v>
      </c>
      <c r="Q942" s="7"/>
      <c r="R942" s="7"/>
      <c r="S942" s="7"/>
      <c r="T942" s="7"/>
      <c r="U942" s="7"/>
      <c r="V942" s="7"/>
      <c r="W942" s="7"/>
      <c r="X942" s="3" t="s">
        <v>85</v>
      </c>
      <c r="Y942" s="3"/>
      <c r="Z942" s="9"/>
      <c r="AA942" s="12" t="str">
        <f t="shared" si="194"/>
        <v/>
      </c>
      <c r="AB942" s="9" t="str">
        <f t="shared" si="196"/>
        <v/>
      </c>
      <c r="AC942" s="9" t="str">
        <f t="shared" si="199"/>
        <v/>
      </c>
      <c r="AD942" s="9" t="str">
        <f t="shared" si="200"/>
        <v/>
      </c>
      <c r="AE942" s="3"/>
      <c r="AF942" s="11">
        <f t="shared" si="201"/>
        <v>14237.25</v>
      </c>
      <c r="AG942" s="11">
        <f t="shared" si="202"/>
        <v>0.91478340269363811</v>
      </c>
      <c r="AH942" s="11" t="str">
        <f t="shared" si="203"/>
        <v/>
      </c>
      <c r="AI942" s="3" t="s">
        <v>45</v>
      </c>
      <c r="AJ942" s="3" t="s">
        <v>79</v>
      </c>
      <c r="AK942" s="3" t="s">
        <v>46</v>
      </c>
      <c r="AL942" s="3" t="s">
        <v>81</v>
      </c>
      <c r="AM942" s="3" t="s">
        <v>82</v>
      </c>
    </row>
    <row r="943" spans="1:39" ht="21" customHeight="1">
      <c r="A943" s="4">
        <v>43351</v>
      </c>
      <c r="B943" s="3" t="s">
        <v>78</v>
      </c>
      <c r="C943" s="3" t="s">
        <v>79</v>
      </c>
      <c r="D943" s="4">
        <v>43159</v>
      </c>
      <c r="E943" s="3">
        <f t="shared" si="188"/>
        <v>192</v>
      </c>
      <c r="F943" s="3" t="str">
        <f t="shared" si="189"/>
        <v>개봉후</v>
      </c>
      <c r="G943" s="3" t="str">
        <f t="shared" si="190"/>
        <v>토</v>
      </c>
      <c r="H943" s="3">
        <f t="shared" si="191"/>
        <v>1</v>
      </c>
      <c r="I943" s="3">
        <v>36102</v>
      </c>
      <c r="J943" s="3">
        <v>27710</v>
      </c>
      <c r="K943" s="3">
        <v>8393</v>
      </c>
      <c r="L943" s="12">
        <f t="shared" si="192"/>
        <v>0.76754750429339091</v>
      </c>
      <c r="M943" s="12">
        <f t="shared" si="193"/>
        <v>0.62849023411069505</v>
      </c>
      <c r="N943" s="11">
        <f t="shared" si="195"/>
        <v>25188.285714285714</v>
      </c>
      <c r="O943" s="11">
        <f t="shared" si="197"/>
        <v>25492.464285714286</v>
      </c>
      <c r="P943" s="11">
        <f t="shared" si="198"/>
        <v>1.4161832138068813</v>
      </c>
      <c r="Q943" s="7"/>
      <c r="R943" s="7"/>
      <c r="S943" s="7"/>
      <c r="T943" s="7"/>
      <c r="U943" s="7"/>
      <c r="V943" s="7"/>
      <c r="W943" s="7"/>
      <c r="X943" s="3" t="s">
        <v>85</v>
      </c>
      <c r="Y943" s="3"/>
      <c r="Z943" s="9"/>
      <c r="AA943" s="12" t="str">
        <f t="shared" si="194"/>
        <v/>
      </c>
      <c r="AB943" s="9" t="str">
        <f t="shared" si="196"/>
        <v/>
      </c>
      <c r="AC943" s="9" t="str">
        <f t="shared" si="199"/>
        <v/>
      </c>
      <c r="AD943" s="9" t="str">
        <f t="shared" si="200"/>
        <v/>
      </c>
      <c r="AE943" s="3"/>
      <c r="AF943" s="11">
        <f t="shared" si="201"/>
        <v>24930.5</v>
      </c>
      <c r="AG943" s="11">
        <f t="shared" si="202"/>
        <v>1.111489942038868</v>
      </c>
      <c r="AH943" s="11" t="str">
        <f t="shared" si="203"/>
        <v/>
      </c>
      <c r="AI943" s="3" t="s">
        <v>45</v>
      </c>
      <c r="AJ943" s="3" t="s">
        <v>79</v>
      </c>
      <c r="AK943" s="3" t="s">
        <v>46</v>
      </c>
      <c r="AL943" s="3" t="s">
        <v>81</v>
      </c>
      <c r="AM943" s="3" t="s">
        <v>82</v>
      </c>
    </row>
    <row r="944" spans="1:39" ht="21" customHeight="1">
      <c r="A944" s="4">
        <v>43352</v>
      </c>
      <c r="B944" s="3" t="s">
        <v>78</v>
      </c>
      <c r="C944" s="3" t="s">
        <v>79</v>
      </c>
      <c r="D944" s="4">
        <v>43159</v>
      </c>
      <c r="E944" s="3">
        <f t="shared" si="188"/>
        <v>193</v>
      </c>
      <c r="F944" s="3" t="str">
        <f t="shared" si="189"/>
        <v>개봉후</v>
      </c>
      <c r="G944" s="3" t="str">
        <f t="shared" si="190"/>
        <v>일</v>
      </c>
      <c r="H944" s="3">
        <f t="shared" si="191"/>
        <v>1</v>
      </c>
      <c r="I944" s="3">
        <v>44320</v>
      </c>
      <c r="J944" s="3">
        <v>36694</v>
      </c>
      <c r="K944" s="3">
        <v>7626</v>
      </c>
      <c r="L944" s="12">
        <f t="shared" si="192"/>
        <v>0.82793321299638989</v>
      </c>
      <c r="M944" s="12">
        <f t="shared" si="193"/>
        <v>0.22763281812641956</v>
      </c>
      <c r="N944" s="11">
        <f t="shared" si="195"/>
        <v>26359.714285714286</v>
      </c>
      <c r="O944" s="11">
        <f t="shared" si="197"/>
        <v>25555.964285714286</v>
      </c>
      <c r="P944" s="11">
        <f t="shared" si="198"/>
        <v>1.73423313260673</v>
      </c>
      <c r="Q944" s="7"/>
      <c r="R944" s="7"/>
      <c r="S944" s="7"/>
      <c r="T944" s="7"/>
      <c r="U944" s="7"/>
      <c r="V944" s="7"/>
      <c r="W944" s="7"/>
      <c r="X944" s="3" t="s">
        <v>85</v>
      </c>
      <c r="Y944" s="3"/>
      <c r="Z944" s="9"/>
      <c r="AA944" s="12" t="str">
        <f t="shared" si="194"/>
        <v/>
      </c>
      <c r="AB944" s="9" t="str">
        <f t="shared" si="196"/>
        <v/>
      </c>
      <c r="AC944" s="9" t="str">
        <f t="shared" si="199"/>
        <v/>
      </c>
      <c r="AD944" s="9" t="str">
        <f t="shared" si="200"/>
        <v/>
      </c>
      <c r="AE944" s="3"/>
      <c r="AF944" s="11">
        <f t="shared" si="201"/>
        <v>27533.75</v>
      </c>
      <c r="AG944" s="11">
        <f t="shared" si="202"/>
        <v>1.3326916965542288</v>
      </c>
      <c r="AH944" s="11" t="str">
        <f t="shared" si="203"/>
        <v/>
      </c>
      <c r="AI944" s="3" t="s">
        <v>45</v>
      </c>
      <c r="AJ944" s="3" t="s">
        <v>79</v>
      </c>
      <c r="AK944" s="3" t="s">
        <v>46</v>
      </c>
      <c r="AL944" s="3" t="s">
        <v>81</v>
      </c>
      <c r="AM944" s="3" t="s">
        <v>82</v>
      </c>
    </row>
    <row r="945" spans="1:39" ht="21" customHeight="1">
      <c r="A945" s="4">
        <v>43353</v>
      </c>
      <c r="B945" s="3" t="s">
        <v>78</v>
      </c>
      <c r="C945" s="3" t="s">
        <v>79</v>
      </c>
      <c r="D945" s="4">
        <v>43159</v>
      </c>
      <c r="E945" s="3">
        <f t="shared" si="188"/>
        <v>194</v>
      </c>
      <c r="F945" s="3" t="str">
        <f t="shared" si="189"/>
        <v>개봉후</v>
      </c>
      <c r="G945" s="3" t="str">
        <f t="shared" si="190"/>
        <v>월</v>
      </c>
      <c r="H945" s="3">
        <f t="shared" si="191"/>
        <v>0</v>
      </c>
      <c r="I945" s="3">
        <v>21276</v>
      </c>
      <c r="J945" s="3">
        <v>11952</v>
      </c>
      <c r="K945" s="3">
        <v>9324</v>
      </c>
      <c r="L945" s="12">
        <f t="shared" si="192"/>
        <v>0.56175972927241957</v>
      </c>
      <c r="M945" s="12">
        <f t="shared" si="193"/>
        <v>-0.51994584837545132</v>
      </c>
      <c r="N945" s="11">
        <f t="shared" si="195"/>
        <v>26573.714285714286</v>
      </c>
      <c r="O945" s="11">
        <f t="shared" si="197"/>
        <v>25795.178571428572</v>
      </c>
      <c r="P945" s="11">
        <f t="shared" si="198"/>
        <v>0.82480529999376961</v>
      </c>
      <c r="Q945" s="7"/>
      <c r="R945" s="7"/>
      <c r="S945" s="7"/>
      <c r="T945" s="7"/>
      <c r="U945" s="7"/>
      <c r="V945" s="7"/>
      <c r="W945" s="7"/>
      <c r="X945" s="3" t="s">
        <v>85</v>
      </c>
      <c r="Y945" s="3"/>
      <c r="Z945" s="9"/>
      <c r="AA945" s="12" t="str">
        <f t="shared" si="194"/>
        <v/>
      </c>
      <c r="AB945" s="9" t="str">
        <f t="shared" si="196"/>
        <v/>
      </c>
      <c r="AC945" s="9" t="str">
        <f t="shared" si="199"/>
        <v/>
      </c>
      <c r="AD945" s="9" t="str">
        <f t="shared" si="200"/>
        <v/>
      </c>
      <c r="AE945" s="3"/>
      <c r="AF945" s="11">
        <f t="shared" si="201"/>
        <v>12530</v>
      </c>
      <c r="AG945" s="11">
        <f t="shared" si="202"/>
        <v>0.95387071029529125</v>
      </c>
      <c r="AH945" s="11" t="str">
        <f t="shared" si="203"/>
        <v/>
      </c>
      <c r="AI945" s="3" t="s">
        <v>45</v>
      </c>
      <c r="AJ945" s="3" t="s">
        <v>79</v>
      </c>
      <c r="AK945" s="3" t="s">
        <v>46</v>
      </c>
      <c r="AL945" s="3" t="s">
        <v>81</v>
      </c>
      <c r="AM945" s="3" t="s">
        <v>82</v>
      </c>
    </row>
    <row r="946" spans="1:39" ht="21" customHeight="1">
      <c r="A946" s="4">
        <v>43354</v>
      </c>
      <c r="B946" s="3" t="s">
        <v>78</v>
      </c>
      <c r="C946" s="3" t="s">
        <v>79</v>
      </c>
      <c r="D946" s="4">
        <v>43159</v>
      </c>
      <c r="E946" s="3">
        <f t="shared" si="188"/>
        <v>195</v>
      </c>
      <c r="F946" s="3" t="str">
        <f t="shared" si="189"/>
        <v>개봉후</v>
      </c>
      <c r="G946" s="3" t="str">
        <f t="shared" si="190"/>
        <v>화</v>
      </c>
      <c r="H946" s="3">
        <f t="shared" si="191"/>
        <v>0</v>
      </c>
      <c r="I946" s="3">
        <v>22494</v>
      </c>
      <c r="J946" s="3">
        <v>13072</v>
      </c>
      <c r="K946" s="3">
        <v>9422</v>
      </c>
      <c r="L946" s="12">
        <f t="shared" si="192"/>
        <v>0.58113274651018054</v>
      </c>
      <c r="M946" s="12">
        <f t="shared" si="193"/>
        <v>5.7247602932882113E-2</v>
      </c>
      <c r="N946" s="11">
        <f t="shared" si="195"/>
        <v>27011.714285714286</v>
      </c>
      <c r="O946" s="11">
        <f t="shared" si="197"/>
        <v>25728.535714285714</v>
      </c>
      <c r="P946" s="11">
        <f t="shared" si="198"/>
        <v>0.87428216863155006</v>
      </c>
      <c r="Q946" s="7"/>
      <c r="R946" s="7"/>
      <c r="S946" s="7"/>
      <c r="T946" s="7"/>
      <c r="U946" s="7"/>
      <c r="V946" s="7"/>
      <c r="W946" s="7"/>
      <c r="X946" s="3" t="s">
        <v>85</v>
      </c>
      <c r="Y946" s="3"/>
      <c r="Z946" s="9"/>
      <c r="AA946" s="12" t="str">
        <f t="shared" si="194"/>
        <v/>
      </c>
      <c r="AB946" s="9" t="str">
        <f t="shared" si="196"/>
        <v/>
      </c>
      <c r="AC946" s="9" t="str">
        <f t="shared" si="199"/>
        <v/>
      </c>
      <c r="AD946" s="9" t="str">
        <f t="shared" si="200"/>
        <v/>
      </c>
      <c r="AE946" s="3"/>
      <c r="AF946" s="11">
        <f t="shared" si="201"/>
        <v>13978.75</v>
      </c>
      <c r="AG946" s="11">
        <f t="shared" si="202"/>
        <v>0.9351336850576768</v>
      </c>
      <c r="AH946" s="11" t="str">
        <f t="shared" si="203"/>
        <v/>
      </c>
      <c r="AI946" s="3" t="s">
        <v>45</v>
      </c>
      <c r="AJ946" s="3" t="s">
        <v>79</v>
      </c>
      <c r="AK946" s="3" t="s">
        <v>46</v>
      </c>
      <c r="AL946" s="3" t="s">
        <v>81</v>
      </c>
      <c r="AM946" s="3" t="s">
        <v>82</v>
      </c>
    </row>
    <row r="947" spans="1:39" ht="21" customHeight="1">
      <c r="A947" s="4">
        <v>43355</v>
      </c>
      <c r="B947" s="3" t="s">
        <v>78</v>
      </c>
      <c r="C947" s="3" t="s">
        <v>79</v>
      </c>
      <c r="D947" s="4">
        <v>43159</v>
      </c>
      <c r="E947" s="3">
        <f t="shared" si="188"/>
        <v>196</v>
      </c>
      <c r="F947" s="3" t="str">
        <f t="shared" si="189"/>
        <v>개봉후</v>
      </c>
      <c r="G947" s="3" t="str">
        <f t="shared" si="190"/>
        <v>수</v>
      </c>
      <c r="H947" s="3">
        <f t="shared" si="191"/>
        <v>0</v>
      </c>
      <c r="I947" s="3">
        <v>23082</v>
      </c>
      <c r="J947" s="3">
        <v>13706</v>
      </c>
      <c r="K947" s="3">
        <v>9376</v>
      </c>
      <c r="L947" s="12">
        <f t="shared" si="192"/>
        <v>0.59379603153972793</v>
      </c>
      <c r="M947" s="12">
        <f t="shared" si="193"/>
        <v>2.6140304081088361E-2</v>
      </c>
      <c r="N947" s="11">
        <f t="shared" si="195"/>
        <v>27268.142857142859</v>
      </c>
      <c r="O947" s="11">
        <f t="shared" si="197"/>
        <v>25661.035714285714</v>
      </c>
      <c r="P947" s="11">
        <f t="shared" si="198"/>
        <v>0.89949603971557768</v>
      </c>
      <c r="Q947" s="7"/>
      <c r="R947" s="7"/>
      <c r="S947" s="7"/>
      <c r="T947" s="7"/>
      <c r="U947" s="7"/>
      <c r="V947" s="7"/>
      <c r="W947" s="7"/>
      <c r="X947" s="3" t="s">
        <v>85</v>
      </c>
      <c r="Y947" s="3"/>
      <c r="Z947" s="9"/>
      <c r="AA947" s="12" t="str">
        <f t="shared" si="194"/>
        <v/>
      </c>
      <c r="AB947" s="9" t="str">
        <f t="shared" si="196"/>
        <v/>
      </c>
      <c r="AC947" s="9" t="str">
        <f t="shared" si="199"/>
        <v/>
      </c>
      <c r="AD947" s="9" t="str">
        <f t="shared" si="200"/>
        <v/>
      </c>
      <c r="AE947" s="3"/>
      <c r="AF947" s="11">
        <f t="shared" si="201"/>
        <v>15317.5</v>
      </c>
      <c r="AG947" s="11">
        <f t="shared" si="202"/>
        <v>0.89479353680430884</v>
      </c>
      <c r="AH947" s="11" t="str">
        <f t="shared" si="203"/>
        <v/>
      </c>
      <c r="AI947" s="3" t="s">
        <v>45</v>
      </c>
      <c r="AJ947" s="3" t="s">
        <v>79</v>
      </c>
      <c r="AK947" s="3" t="s">
        <v>46</v>
      </c>
      <c r="AL947" s="3" t="s">
        <v>81</v>
      </c>
      <c r="AM947" s="3" t="s">
        <v>82</v>
      </c>
    </row>
    <row r="948" spans="1:39" ht="21" customHeight="1">
      <c r="A948" s="4">
        <v>43356</v>
      </c>
      <c r="B948" s="3" t="s">
        <v>78</v>
      </c>
      <c r="C948" s="3" t="s">
        <v>79</v>
      </c>
      <c r="D948" s="4">
        <v>43159</v>
      </c>
      <c r="E948" s="3">
        <f t="shared" si="188"/>
        <v>197</v>
      </c>
      <c r="F948" s="3" t="str">
        <f t="shared" si="189"/>
        <v>개봉후</v>
      </c>
      <c r="G948" s="3" t="str">
        <f t="shared" si="190"/>
        <v>목</v>
      </c>
      <c r="H948" s="3">
        <f t="shared" si="191"/>
        <v>0</v>
      </c>
      <c r="I948" s="3">
        <v>23268</v>
      </c>
      <c r="J948" s="3">
        <v>13622</v>
      </c>
      <c r="K948" s="3">
        <v>9646</v>
      </c>
      <c r="L948" s="12">
        <f t="shared" si="192"/>
        <v>0.585439229843562</v>
      </c>
      <c r="M948" s="12">
        <f t="shared" si="193"/>
        <v>8.0582271900182523E-3</v>
      </c>
      <c r="N948" s="11">
        <f t="shared" si="195"/>
        <v>27530.142857142859</v>
      </c>
      <c r="O948" s="11">
        <f t="shared" si="197"/>
        <v>25379.535714285714</v>
      </c>
      <c r="P948" s="11">
        <f t="shared" si="198"/>
        <v>0.91680164136741216</v>
      </c>
      <c r="Q948" s="7"/>
      <c r="R948" s="7"/>
      <c r="S948" s="7"/>
      <c r="T948" s="7"/>
      <c r="U948" s="7"/>
      <c r="V948" s="7"/>
      <c r="W948" s="7"/>
      <c r="X948" s="3" t="s">
        <v>85</v>
      </c>
      <c r="Y948" s="3"/>
      <c r="Z948" s="9"/>
      <c r="AA948" s="12" t="str">
        <f t="shared" si="194"/>
        <v/>
      </c>
      <c r="AB948" s="9" t="str">
        <f t="shared" si="196"/>
        <v/>
      </c>
      <c r="AC948" s="9" t="str">
        <f t="shared" si="199"/>
        <v/>
      </c>
      <c r="AD948" s="9" t="str">
        <f t="shared" si="200"/>
        <v/>
      </c>
      <c r="AE948" s="3"/>
      <c r="AF948" s="11">
        <f t="shared" si="201"/>
        <v>11695</v>
      </c>
      <c r="AG948" s="11">
        <f t="shared" si="202"/>
        <v>1.1647712697734074</v>
      </c>
      <c r="AH948" s="11" t="str">
        <f t="shared" si="203"/>
        <v/>
      </c>
      <c r="AI948" s="3" t="s">
        <v>45</v>
      </c>
      <c r="AJ948" s="3" t="s">
        <v>79</v>
      </c>
      <c r="AK948" s="3" t="s">
        <v>46</v>
      </c>
      <c r="AL948" s="3" t="s">
        <v>81</v>
      </c>
      <c r="AM948" s="3" t="s">
        <v>82</v>
      </c>
    </row>
    <row r="949" spans="1:39" ht="21" customHeight="1">
      <c r="A949" s="4">
        <v>43357</v>
      </c>
      <c r="B949" s="3" t="s">
        <v>78</v>
      </c>
      <c r="C949" s="3" t="s">
        <v>79</v>
      </c>
      <c r="D949" s="4">
        <v>43159</v>
      </c>
      <c r="E949" s="3">
        <f t="shared" si="188"/>
        <v>198</v>
      </c>
      <c r="F949" s="3" t="str">
        <f t="shared" si="189"/>
        <v>개봉후</v>
      </c>
      <c r="G949" s="3" t="str">
        <f t="shared" si="190"/>
        <v>금</v>
      </c>
      <c r="H949" s="3">
        <f t="shared" si="191"/>
        <v>0</v>
      </c>
      <c r="I949" s="3">
        <v>27930</v>
      </c>
      <c r="J949" s="3">
        <v>19016</v>
      </c>
      <c r="K949" s="3">
        <v>8914</v>
      </c>
      <c r="L949" s="12">
        <f t="shared" si="192"/>
        <v>0.68084496956677409</v>
      </c>
      <c r="M949" s="12">
        <f t="shared" si="193"/>
        <v>0.20036101083032487</v>
      </c>
      <c r="N949" s="11">
        <f t="shared" si="195"/>
        <v>28353.142857142859</v>
      </c>
      <c r="O949" s="11">
        <f t="shared" si="197"/>
        <v>25407.785714285714</v>
      </c>
      <c r="P949" s="11">
        <f t="shared" si="198"/>
        <v>1.0992693465726198</v>
      </c>
      <c r="Q949" s="7"/>
      <c r="R949" s="7"/>
      <c r="S949" s="7"/>
      <c r="T949" s="7"/>
      <c r="U949" s="7"/>
      <c r="V949" s="7"/>
      <c r="W949" s="7"/>
      <c r="X949" s="3" t="s">
        <v>85</v>
      </c>
      <c r="Y949" s="3"/>
      <c r="Z949" s="9"/>
      <c r="AA949" s="12" t="str">
        <f t="shared" si="194"/>
        <v/>
      </c>
      <c r="AB949" s="9" t="str">
        <f t="shared" si="196"/>
        <v/>
      </c>
      <c r="AC949" s="9" t="str">
        <f t="shared" si="199"/>
        <v/>
      </c>
      <c r="AD949" s="9" t="str">
        <f t="shared" si="200"/>
        <v/>
      </c>
      <c r="AE949" s="3"/>
      <c r="AF949" s="11">
        <f t="shared" si="201"/>
        <v>13398.25</v>
      </c>
      <c r="AG949" s="11">
        <f t="shared" si="202"/>
        <v>1.4192898326273953</v>
      </c>
      <c r="AH949" s="11" t="str">
        <f t="shared" si="203"/>
        <v/>
      </c>
      <c r="AI949" s="3" t="s">
        <v>45</v>
      </c>
      <c r="AJ949" s="3" t="s">
        <v>79</v>
      </c>
      <c r="AK949" s="3" t="s">
        <v>46</v>
      </c>
      <c r="AL949" s="3" t="s">
        <v>81</v>
      </c>
      <c r="AM949" s="3" t="s">
        <v>82</v>
      </c>
    </row>
    <row r="950" spans="1:39" ht="21" customHeight="1">
      <c r="A950" s="4">
        <v>43358</v>
      </c>
      <c r="B950" s="3" t="s">
        <v>78</v>
      </c>
      <c r="C950" s="3" t="s">
        <v>79</v>
      </c>
      <c r="D950" s="4">
        <v>43159</v>
      </c>
      <c r="E950" s="3">
        <f t="shared" si="188"/>
        <v>199</v>
      </c>
      <c r="F950" s="3" t="str">
        <f t="shared" si="189"/>
        <v>개봉후</v>
      </c>
      <c r="G950" s="3" t="str">
        <f t="shared" si="190"/>
        <v>토</v>
      </c>
      <c r="H950" s="3">
        <f t="shared" si="191"/>
        <v>1</v>
      </c>
      <c r="I950" s="3">
        <v>34370</v>
      </c>
      <c r="J950" s="3">
        <v>26540</v>
      </c>
      <c r="K950" s="3">
        <v>7830</v>
      </c>
      <c r="L950" s="12">
        <f t="shared" si="192"/>
        <v>0.77218504509746877</v>
      </c>
      <c r="M950" s="12">
        <f t="shared" si="193"/>
        <v>0.23057644110275688</v>
      </c>
      <c r="N950" s="11">
        <f t="shared" si="195"/>
        <v>28105.714285714286</v>
      </c>
      <c r="O950" s="11">
        <f t="shared" si="197"/>
        <v>25508.785714285714</v>
      </c>
      <c r="P950" s="11">
        <f t="shared" si="198"/>
        <v>1.3473789142676333</v>
      </c>
      <c r="Q950" s="7"/>
      <c r="R950" s="7"/>
      <c r="S950" s="7"/>
      <c r="T950" s="7"/>
      <c r="U950" s="7"/>
      <c r="V950" s="7"/>
      <c r="W950" s="7"/>
      <c r="X950" s="3" t="s">
        <v>85</v>
      </c>
      <c r="Y950" s="3"/>
      <c r="Z950" s="9"/>
      <c r="AA950" s="12" t="str">
        <f t="shared" si="194"/>
        <v/>
      </c>
      <c r="AB950" s="9" t="str">
        <f t="shared" si="196"/>
        <v/>
      </c>
      <c r="AC950" s="9" t="str">
        <f t="shared" si="199"/>
        <v/>
      </c>
      <c r="AD950" s="9" t="str">
        <f t="shared" si="200"/>
        <v/>
      </c>
      <c r="AE950" s="3"/>
      <c r="AF950" s="11">
        <f t="shared" si="201"/>
        <v>25135.5</v>
      </c>
      <c r="AG950" s="11">
        <f t="shared" si="202"/>
        <v>1.0558771458693879</v>
      </c>
      <c r="AH950" s="11" t="str">
        <f t="shared" si="203"/>
        <v/>
      </c>
      <c r="AI950" s="3" t="s">
        <v>45</v>
      </c>
      <c r="AJ950" s="3" t="s">
        <v>79</v>
      </c>
      <c r="AK950" s="3" t="s">
        <v>46</v>
      </c>
      <c r="AL950" s="3" t="s">
        <v>81</v>
      </c>
      <c r="AM950" s="3" t="s">
        <v>82</v>
      </c>
    </row>
    <row r="951" spans="1:39" ht="21" customHeight="1">
      <c r="A951" s="4">
        <v>43359</v>
      </c>
      <c r="B951" s="3" t="s">
        <v>78</v>
      </c>
      <c r="C951" s="3" t="s">
        <v>79</v>
      </c>
      <c r="D951" s="4">
        <v>43159</v>
      </c>
      <c r="E951" s="3">
        <f t="shared" si="188"/>
        <v>200</v>
      </c>
      <c r="F951" s="3" t="str">
        <f t="shared" si="189"/>
        <v>개봉후</v>
      </c>
      <c r="G951" s="3" t="str">
        <f t="shared" si="190"/>
        <v>일</v>
      </c>
      <c r="H951" s="3">
        <f t="shared" si="191"/>
        <v>1</v>
      </c>
      <c r="I951" s="3">
        <v>42238</v>
      </c>
      <c r="J951" s="3">
        <v>34716</v>
      </c>
      <c r="K951" s="3">
        <v>7522</v>
      </c>
      <c r="L951" s="12">
        <f t="shared" si="192"/>
        <v>0.82191391637861644</v>
      </c>
      <c r="M951" s="12">
        <f t="shared" si="193"/>
        <v>0.22892057026476587</v>
      </c>
      <c r="N951" s="11">
        <f t="shared" si="195"/>
        <v>27808.285714285714</v>
      </c>
      <c r="O951" s="11">
        <f t="shared" si="197"/>
        <v>25482.285714285714</v>
      </c>
      <c r="P951" s="11">
        <f t="shared" si="198"/>
        <v>1.6575436157330583</v>
      </c>
      <c r="Q951" s="7"/>
      <c r="R951" s="7"/>
      <c r="S951" s="7"/>
      <c r="T951" s="7"/>
      <c r="U951" s="7"/>
      <c r="V951" s="7"/>
      <c r="W951" s="7"/>
      <c r="X951" s="3" t="s">
        <v>85</v>
      </c>
      <c r="Y951" s="3"/>
      <c r="Z951" s="9"/>
      <c r="AA951" s="12" t="str">
        <f t="shared" si="194"/>
        <v/>
      </c>
      <c r="AB951" s="9" t="str">
        <f t="shared" si="196"/>
        <v/>
      </c>
      <c r="AC951" s="9" t="str">
        <f t="shared" si="199"/>
        <v/>
      </c>
      <c r="AD951" s="9" t="str">
        <f t="shared" si="200"/>
        <v/>
      </c>
      <c r="AE951" s="3"/>
      <c r="AF951" s="11">
        <f t="shared" si="201"/>
        <v>29107</v>
      </c>
      <c r="AG951" s="11">
        <f t="shared" si="202"/>
        <v>1.1927027862713437</v>
      </c>
      <c r="AH951" s="11" t="str">
        <f t="shared" si="203"/>
        <v/>
      </c>
      <c r="AI951" s="3" t="s">
        <v>45</v>
      </c>
      <c r="AJ951" s="3" t="s">
        <v>79</v>
      </c>
      <c r="AK951" s="3" t="s">
        <v>46</v>
      </c>
      <c r="AL951" s="3" t="s">
        <v>81</v>
      </c>
      <c r="AM951" s="3" t="s">
        <v>82</v>
      </c>
    </row>
    <row r="952" spans="1:39" ht="21" customHeight="1">
      <c r="A952" s="4">
        <v>43360</v>
      </c>
      <c r="B952" s="3" t="s">
        <v>78</v>
      </c>
      <c r="C952" s="3" t="s">
        <v>79</v>
      </c>
      <c r="D952" s="4">
        <v>43159</v>
      </c>
      <c r="E952" s="3">
        <f t="shared" si="188"/>
        <v>201</v>
      </c>
      <c r="F952" s="3" t="str">
        <f t="shared" si="189"/>
        <v>개봉후</v>
      </c>
      <c r="G952" s="3" t="str">
        <f t="shared" si="190"/>
        <v>월</v>
      </c>
      <c r="H952" s="3">
        <f t="shared" si="191"/>
        <v>0</v>
      </c>
      <c r="I952" s="3">
        <v>26740</v>
      </c>
      <c r="J952" s="3">
        <v>17224</v>
      </c>
      <c r="K952" s="3">
        <v>9516</v>
      </c>
      <c r="L952" s="12">
        <f t="shared" si="192"/>
        <v>0.64412864622288701</v>
      </c>
      <c r="M952" s="12">
        <f t="shared" si="193"/>
        <v>-0.36692078223400726</v>
      </c>
      <c r="N952" s="11">
        <f t="shared" si="195"/>
        <v>28588.857142857141</v>
      </c>
      <c r="O952" s="11">
        <f t="shared" si="197"/>
        <v>25675.928571428572</v>
      </c>
      <c r="P952" s="11">
        <f t="shared" si="198"/>
        <v>1.0414423737630853</v>
      </c>
      <c r="Q952" s="7">
        <v>1</v>
      </c>
      <c r="R952" s="7">
        <v>1</v>
      </c>
      <c r="S952" s="7">
        <v>160</v>
      </c>
      <c r="T952" s="7">
        <v>972000</v>
      </c>
      <c r="U952" s="7">
        <v>162</v>
      </c>
      <c r="V952" s="7">
        <v>1505722</v>
      </c>
      <c r="W952" s="7">
        <v>34</v>
      </c>
      <c r="X952" s="3" t="s">
        <v>85</v>
      </c>
      <c r="Y952" s="3" t="s">
        <v>83</v>
      </c>
      <c r="Z952" s="9"/>
      <c r="AA952" s="12" t="str">
        <f t="shared" si="194"/>
        <v/>
      </c>
      <c r="AB952" s="9" t="str">
        <f t="shared" si="196"/>
        <v/>
      </c>
      <c r="AC952" s="9" t="str">
        <f t="shared" si="199"/>
        <v/>
      </c>
      <c r="AD952" s="9" t="str">
        <f t="shared" si="200"/>
        <v/>
      </c>
      <c r="AE952" s="3"/>
      <c r="AF952" s="11">
        <f t="shared" si="201"/>
        <v>11934</v>
      </c>
      <c r="AG952" s="11">
        <f t="shared" si="202"/>
        <v>1.4432713256242669</v>
      </c>
      <c r="AH952" s="11" t="str">
        <f t="shared" si="203"/>
        <v/>
      </c>
      <c r="AI952" s="3" t="s">
        <v>45</v>
      </c>
      <c r="AJ952" s="3" t="s">
        <v>79</v>
      </c>
      <c r="AK952" s="3" t="s">
        <v>46</v>
      </c>
      <c r="AL952" s="3" t="s">
        <v>81</v>
      </c>
      <c r="AM952" s="3" t="s">
        <v>82</v>
      </c>
    </row>
    <row r="953" spans="1:39" ht="21" customHeight="1">
      <c r="A953" s="4">
        <v>43361</v>
      </c>
      <c r="B953" s="3" t="s">
        <v>78</v>
      </c>
      <c r="C953" s="3" t="s">
        <v>79</v>
      </c>
      <c r="D953" s="4">
        <v>43159</v>
      </c>
      <c r="E953" s="3">
        <f t="shared" si="188"/>
        <v>202</v>
      </c>
      <c r="F953" s="3" t="str">
        <f t="shared" si="189"/>
        <v>개봉후</v>
      </c>
      <c r="G953" s="3" t="str">
        <f t="shared" si="190"/>
        <v>화</v>
      </c>
      <c r="H953" s="3">
        <f t="shared" si="191"/>
        <v>0</v>
      </c>
      <c r="I953" s="3">
        <v>28354</v>
      </c>
      <c r="J953" s="3">
        <v>18588</v>
      </c>
      <c r="K953" s="3">
        <v>9765</v>
      </c>
      <c r="L953" s="12">
        <f t="shared" si="192"/>
        <v>0.65556887917048745</v>
      </c>
      <c r="M953" s="12">
        <f t="shared" si="193"/>
        <v>6.0359012715033744E-2</v>
      </c>
      <c r="N953" s="11">
        <f t="shared" si="195"/>
        <v>29426</v>
      </c>
      <c r="O953" s="11">
        <f t="shared" si="197"/>
        <v>25885.678571428572</v>
      </c>
      <c r="P953" s="11">
        <f t="shared" si="198"/>
        <v>1.0953547121339846</v>
      </c>
      <c r="Q953" s="7"/>
      <c r="R953" s="7"/>
      <c r="S953" s="7"/>
      <c r="T953" s="7"/>
      <c r="U953" s="7"/>
      <c r="V953" s="7"/>
      <c r="W953" s="7"/>
      <c r="X953" s="3" t="s">
        <v>85</v>
      </c>
      <c r="Y953" s="3"/>
      <c r="Z953" s="9"/>
      <c r="AA953" s="12" t="str">
        <f t="shared" si="194"/>
        <v/>
      </c>
      <c r="AB953" s="9" t="str">
        <f t="shared" si="196"/>
        <v/>
      </c>
      <c r="AC953" s="9" t="str">
        <f t="shared" si="199"/>
        <v/>
      </c>
      <c r="AD953" s="9" t="str">
        <f t="shared" si="200"/>
        <v/>
      </c>
      <c r="AE953" s="3"/>
      <c r="AF953" s="11">
        <f t="shared" si="201"/>
        <v>13351.25</v>
      </c>
      <c r="AG953" s="11">
        <f t="shared" si="202"/>
        <v>1.3922291920232188</v>
      </c>
      <c r="AH953" s="11" t="str">
        <f t="shared" si="203"/>
        <v/>
      </c>
      <c r="AI953" s="3" t="s">
        <v>45</v>
      </c>
      <c r="AJ953" s="3" t="s">
        <v>79</v>
      </c>
      <c r="AK953" s="3" t="s">
        <v>46</v>
      </c>
      <c r="AL953" s="3" t="s">
        <v>81</v>
      </c>
      <c r="AM953" s="3" t="s">
        <v>82</v>
      </c>
    </row>
    <row r="954" spans="1:39" ht="21" customHeight="1">
      <c r="A954" s="4">
        <v>43362</v>
      </c>
      <c r="B954" s="3" t="s">
        <v>78</v>
      </c>
      <c r="C954" s="3" t="s">
        <v>79</v>
      </c>
      <c r="D954" s="4">
        <v>43159</v>
      </c>
      <c r="E954" s="3">
        <f t="shared" si="188"/>
        <v>203</v>
      </c>
      <c r="F954" s="3" t="str">
        <f t="shared" si="189"/>
        <v>개봉후</v>
      </c>
      <c r="G954" s="3" t="str">
        <f t="shared" si="190"/>
        <v>수</v>
      </c>
      <c r="H954" s="3">
        <f t="shared" si="191"/>
        <v>0</v>
      </c>
      <c r="I954" s="3">
        <v>23716</v>
      </c>
      <c r="J954" s="3">
        <v>14200</v>
      </c>
      <c r="K954" s="3">
        <v>9516</v>
      </c>
      <c r="L954" s="12">
        <f t="shared" si="192"/>
        <v>0.59875189745319612</v>
      </c>
      <c r="M954" s="12">
        <f t="shared" si="193"/>
        <v>-0.16357480426042181</v>
      </c>
      <c r="N954" s="11">
        <f t="shared" si="195"/>
        <v>29516.571428571428</v>
      </c>
      <c r="O954" s="11">
        <f t="shared" si="197"/>
        <v>25925.464285714286</v>
      </c>
      <c r="P954" s="11">
        <f t="shared" si="198"/>
        <v>0.9147762886186086</v>
      </c>
      <c r="Q954" s="7"/>
      <c r="R954" s="7"/>
      <c r="S954" s="7"/>
      <c r="T954" s="7"/>
      <c r="U954" s="7"/>
      <c r="V954" s="7"/>
      <c r="W954" s="7"/>
      <c r="X954" s="3" t="s">
        <v>85</v>
      </c>
      <c r="Y954" s="3"/>
      <c r="Z954" s="9"/>
      <c r="AA954" s="12" t="str">
        <f t="shared" si="194"/>
        <v/>
      </c>
      <c r="AB954" s="9" t="str">
        <f t="shared" si="196"/>
        <v/>
      </c>
      <c r="AC954" s="9" t="str">
        <f t="shared" si="199"/>
        <v/>
      </c>
      <c r="AD954" s="9" t="str">
        <f t="shared" si="200"/>
        <v/>
      </c>
      <c r="AE954" s="3"/>
      <c r="AF954" s="11">
        <f t="shared" si="201"/>
        <v>12850</v>
      </c>
      <c r="AG954" s="11">
        <f t="shared" si="202"/>
        <v>1.1050583657587549</v>
      </c>
      <c r="AH954" s="11" t="str">
        <f t="shared" si="203"/>
        <v/>
      </c>
      <c r="AI954" s="3" t="s">
        <v>45</v>
      </c>
      <c r="AJ954" s="3" t="s">
        <v>79</v>
      </c>
      <c r="AK954" s="3" t="s">
        <v>46</v>
      </c>
      <c r="AL954" s="3" t="s">
        <v>81</v>
      </c>
      <c r="AM954" s="3" t="s">
        <v>82</v>
      </c>
    </row>
    <row r="955" spans="1:39" ht="21" customHeight="1">
      <c r="A955" s="4">
        <v>43363</v>
      </c>
      <c r="B955" s="3" t="s">
        <v>78</v>
      </c>
      <c r="C955" s="3" t="s">
        <v>79</v>
      </c>
      <c r="D955" s="4">
        <v>43159</v>
      </c>
      <c r="E955" s="3">
        <f t="shared" ref="E955:E1018" si="204">A955-D955</f>
        <v>204</v>
      </c>
      <c r="F955" s="3" t="str">
        <f t="shared" ref="F955:F1018" si="205">IF(E955&lt;0,"개봉전","개봉후")</f>
        <v>개봉후</v>
      </c>
      <c r="G955" s="3" t="str">
        <f t="shared" ref="G955:G1018" si="206">CHOOSE(WEEKDAY(A955,2),"월","화","수","목","금","토","일")</f>
        <v>목</v>
      </c>
      <c r="H955" s="3">
        <f t="shared" ref="H955:H1018" si="207">IF(WEEKDAY(A955,2)&gt;5,1,0)</f>
        <v>0</v>
      </c>
      <c r="I955" s="3">
        <v>25994</v>
      </c>
      <c r="J955" s="3">
        <v>16552</v>
      </c>
      <c r="K955" s="3">
        <v>9443</v>
      </c>
      <c r="L955" s="12">
        <f t="shared" ref="L955:L1018" si="208">IF(COUNT(I955:J955)=2,IFERROR(J955/I955,""),"")</f>
        <v>0.63676232976840808</v>
      </c>
      <c r="M955" s="12">
        <f t="shared" si="193"/>
        <v>9.6053297351998745E-2</v>
      </c>
      <c r="N955" s="11">
        <f t="shared" si="195"/>
        <v>29906</v>
      </c>
      <c r="O955" s="11">
        <f t="shared" si="197"/>
        <v>25997.321428571428</v>
      </c>
      <c r="P955" s="11">
        <f t="shared" si="198"/>
        <v>0.99987223958512217</v>
      </c>
      <c r="Q955" s="7"/>
      <c r="R955" s="7"/>
      <c r="S955" s="7"/>
      <c r="T955" s="7"/>
      <c r="U955" s="7"/>
      <c r="V955" s="7"/>
      <c r="W955" s="7"/>
      <c r="X955" s="3" t="s">
        <v>85</v>
      </c>
      <c r="Y955" s="3"/>
      <c r="Z955" s="9"/>
      <c r="AA955" s="12" t="str">
        <f t="shared" si="194"/>
        <v/>
      </c>
      <c r="AB955" s="9" t="str">
        <f t="shared" si="196"/>
        <v/>
      </c>
      <c r="AC955" s="9" t="str">
        <f t="shared" si="199"/>
        <v/>
      </c>
      <c r="AD955" s="9" t="str">
        <f t="shared" si="200"/>
        <v/>
      </c>
      <c r="AE955" s="3"/>
      <c r="AF955" s="11">
        <f t="shared" si="201"/>
        <v>11772</v>
      </c>
      <c r="AG955" s="11">
        <f t="shared" si="202"/>
        <v>1.4060482500849474</v>
      </c>
      <c r="AH955" s="11" t="str">
        <f t="shared" si="203"/>
        <v/>
      </c>
      <c r="AI955" s="3" t="s">
        <v>45</v>
      </c>
      <c r="AJ955" s="3" t="s">
        <v>79</v>
      </c>
      <c r="AK955" s="3" t="s">
        <v>46</v>
      </c>
      <c r="AL955" s="3" t="s">
        <v>81</v>
      </c>
      <c r="AM955" s="3" t="s">
        <v>82</v>
      </c>
    </row>
    <row r="956" spans="1:39" ht="21" customHeight="1">
      <c r="A956" s="4">
        <v>43364</v>
      </c>
      <c r="B956" s="3" t="s">
        <v>78</v>
      </c>
      <c r="C956" s="3" t="s">
        <v>79</v>
      </c>
      <c r="D956" s="4">
        <v>43159</v>
      </c>
      <c r="E956" s="3">
        <f t="shared" si="204"/>
        <v>205</v>
      </c>
      <c r="F956" s="3" t="str">
        <f t="shared" si="205"/>
        <v>개봉후</v>
      </c>
      <c r="G956" s="3" t="str">
        <f t="shared" si="206"/>
        <v>금</v>
      </c>
      <c r="H956" s="3">
        <f t="shared" si="207"/>
        <v>0</v>
      </c>
      <c r="I956" s="3">
        <v>29806</v>
      </c>
      <c r="J956" s="3">
        <v>20699</v>
      </c>
      <c r="K956" s="3">
        <v>9107</v>
      </c>
      <c r="L956" s="12">
        <f t="shared" si="208"/>
        <v>0.69445749178017846</v>
      </c>
      <c r="M956" s="12">
        <f t="shared" ref="M956:M1019" si="209">IF(AND(COUNT(I955:I956)=2,A956=A955+1),IFERROR(I956/I955-1,""),"")</f>
        <v>0.14664922674463332</v>
      </c>
      <c r="N956" s="11">
        <f t="shared" si="195"/>
        <v>30174</v>
      </c>
      <c r="O956" s="11">
        <f t="shared" si="197"/>
        <v>26286.821428571428</v>
      </c>
      <c r="P956" s="11">
        <f t="shared" si="198"/>
        <v>1.1338761546728331</v>
      </c>
      <c r="Q956" s="7"/>
      <c r="R956" s="7"/>
      <c r="S956" s="7"/>
      <c r="T956" s="7"/>
      <c r="U956" s="7"/>
      <c r="V956" s="7"/>
      <c r="W956" s="7"/>
      <c r="X956" s="3" t="s">
        <v>85</v>
      </c>
      <c r="Y956" s="3"/>
      <c r="Z956" s="9"/>
      <c r="AA956" s="12" t="str">
        <f t="shared" ref="AA956:AA1019" si="210">IF(AND(COUNT(Z955:Z956)=2,A956=A955+1),IFERROR(Z956/Z955-1,""),"")</f>
        <v/>
      </c>
      <c r="AB956" s="9" t="str">
        <f t="shared" si="196"/>
        <v/>
      </c>
      <c r="AC956" s="9" t="str">
        <f t="shared" si="199"/>
        <v/>
      </c>
      <c r="AD956" s="9" t="str">
        <f t="shared" si="200"/>
        <v/>
      </c>
      <c r="AE956" s="3"/>
      <c r="AF956" s="11">
        <f t="shared" si="201"/>
        <v>14080.75</v>
      </c>
      <c r="AG956" s="11">
        <f t="shared" si="202"/>
        <v>1.4700211281359303</v>
      </c>
      <c r="AH956" s="11" t="str">
        <f t="shared" si="203"/>
        <v/>
      </c>
      <c r="AI956" s="3" t="s">
        <v>45</v>
      </c>
      <c r="AJ956" s="3" t="s">
        <v>79</v>
      </c>
      <c r="AK956" s="3" t="s">
        <v>46</v>
      </c>
      <c r="AL956" s="3" t="s">
        <v>81</v>
      </c>
      <c r="AM956" s="3" t="s">
        <v>82</v>
      </c>
    </row>
    <row r="957" spans="1:39" ht="21" customHeight="1">
      <c r="A957" s="4">
        <v>43365</v>
      </c>
      <c r="B957" s="3" t="s">
        <v>78</v>
      </c>
      <c r="C957" s="3" t="s">
        <v>79</v>
      </c>
      <c r="D957" s="4">
        <v>43159</v>
      </c>
      <c r="E957" s="3">
        <f t="shared" si="204"/>
        <v>206</v>
      </c>
      <c r="F957" s="3" t="str">
        <f t="shared" si="205"/>
        <v>개봉후</v>
      </c>
      <c r="G957" s="3" t="str">
        <f t="shared" si="206"/>
        <v>토</v>
      </c>
      <c r="H957" s="3">
        <f t="shared" si="207"/>
        <v>1</v>
      </c>
      <c r="I957" s="3">
        <v>49637</v>
      </c>
      <c r="J957" s="3">
        <v>41388</v>
      </c>
      <c r="K957" s="3">
        <v>8250</v>
      </c>
      <c r="L957" s="12">
        <f t="shared" si="208"/>
        <v>0.83381348590768978</v>
      </c>
      <c r="M957" s="12">
        <f t="shared" si="209"/>
        <v>0.66533583842179422</v>
      </c>
      <c r="N957" s="11">
        <f t="shared" si="195"/>
        <v>32355</v>
      </c>
      <c r="O957" s="11">
        <f t="shared" si="197"/>
        <v>26612.321428571428</v>
      </c>
      <c r="P957" s="11">
        <f t="shared" si="198"/>
        <v>1.8651886545571668</v>
      </c>
      <c r="Q957" s="7"/>
      <c r="R957" s="7"/>
      <c r="S957" s="7"/>
      <c r="T957" s="7"/>
      <c r="U957" s="7"/>
      <c r="V957" s="7"/>
      <c r="W957" s="7"/>
      <c r="X957" s="3" t="s">
        <v>85</v>
      </c>
      <c r="Y957" s="3"/>
      <c r="Z957" s="9"/>
      <c r="AA957" s="12" t="str">
        <f t="shared" si="210"/>
        <v/>
      </c>
      <c r="AB957" s="9" t="str">
        <f t="shared" si="196"/>
        <v/>
      </c>
      <c r="AC957" s="9" t="str">
        <f t="shared" si="199"/>
        <v/>
      </c>
      <c r="AD957" s="9" t="str">
        <f t="shared" si="200"/>
        <v/>
      </c>
      <c r="AE957" s="3"/>
      <c r="AF957" s="11">
        <f t="shared" si="201"/>
        <v>25083.75</v>
      </c>
      <c r="AG957" s="11">
        <f t="shared" si="202"/>
        <v>1.6499925250411123</v>
      </c>
      <c r="AH957" s="11" t="str">
        <f t="shared" si="203"/>
        <v/>
      </c>
      <c r="AI957" s="3" t="s">
        <v>45</v>
      </c>
      <c r="AJ957" s="3" t="s">
        <v>79</v>
      </c>
      <c r="AK957" s="3" t="s">
        <v>46</v>
      </c>
      <c r="AL957" s="3" t="s">
        <v>81</v>
      </c>
      <c r="AM957" s="3" t="s">
        <v>82</v>
      </c>
    </row>
    <row r="958" spans="1:39" ht="21" customHeight="1">
      <c r="A958" s="4">
        <v>43366</v>
      </c>
      <c r="B958" s="3" t="s">
        <v>78</v>
      </c>
      <c r="C958" s="3" t="s">
        <v>79</v>
      </c>
      <c r="D958" s="4">
        <v>43159</v>
      </c>
      <c r="E958" s="3">
        <f t="shared" si="204"/>
        <v>207</v>
      </c>
      <c r="F958" s="3" t="str">
        <f t="shared" si="205"/>
        <v>개봉후</v>
      </c>
      <c r="G958" s="3" t="str">
        <f t="shared" si="206"/>
        <v>일</v>
      </c>
      <c r="H958" s="3">
        <f t="shared" si="207"/>
        <v>1</v>
      </c>
      <c r="I958" s="3">
        <v>57701</v>
      </c>
      <c r="J958" s="3">
        <v>50407</v>
      </c>
      <c r="K958" s="3">
        <v>7294</v>
      </c>
      <c r="L958" s="12">
        <f t="shared" si="208"/>
        <v>0.87358971248331918</v>
      </c>
      <c r="M958" s="12">
        <f t="shared" si="209"/>
        <v>0.16245945564800457</v>
      </c>
      <c r="N958" s="11">
        <f t="shared" si="195"/>
        <v>34564</v>
      </c>
      <c r="O958" s="11">
        <f t="shared" si="197"/>
        <v>27263.714285714286</v>
      </c>
      <c r="P958" s="11">
        <f t="shared" si="198"/>
        <v>2.1164027540530062</v>
      </c>
      <c r="Q958" s="7"/>
      <c r="R958" s="7"/>
      <c r="S958" s="7"/>
      <c r="T958" s="7"/>
      <c r="U958" s="7"/>
      <c r="V958" s="7"/>
      <c r="W958" s="7"/>
      <c r="X958" s="3" t="s">
        <v>85</v>
      </c>
      <c r="Y958" s="3"/>
      <c r="Z958" s="9"/>
      <c r="AA958" s="12" t="str">
        <f t="shared" si="210"/>
        <v/>
      </c>
      <c r="AB958" s="9" t="str">
        <f t="shared" si="196"/>
        <v/>
      </c>
      <c r="AC958" s="9" t="str">
        <f t="shared" si="199"/>
        <v/>
      </c>
      <c r="AD958" s="9" t="str">
        <f t="shared" si="200"/>
        <v/>
      </c>
      <c r="AE958" s="3"/>
      <c r="AF958" s="11">
        <f t="shared" si="201"/>
        <v>30404.5</v>
      </c>
      <c r="AG958" s="11">
        <f t="shared" si="202"/>
        <v>1.6578795901922412</v>
      </c>
      <c r="AH958" s="11" t="str">
        <f t="shared" si="203"/>
        <v/>
      </c>
      <c r="AI958" s="3" t="s">
        <v>45</v>
      </c>
      <c r="AJ958" s="3" t="s">
        <v>79</v>
      </c>
      <c r="AK958" s="3" t="s">
        <v>46</v>
      </c>
      <c r="AL958" s="3" t="s">
        <v>81</v>
      </c>
      <c r="AM958" s="3" t="s">
        <v>82</v>
      </c>
    </row>
    <row r="959" spans="1:39" ht="21" customHeight="1">
      <c r="A959" s="4">
        <v>43367</v>
      </c>
      <c r="B959" s="3" t="s">
        <v>78</v>
      </c>
      <c r="C959" s="3" t="s">
        <v>79</v>
      </c>
      <c r="D959" s="4">
        <v>43159</v>
      </c>
      <c r="E959" s="3">
        <f t="shared" si="204"/>
        <v>208</v>
      </c>
      <c r="F959" s="3" t="str">
        <f t="shared" si="205"/>
        <v>개봉후</v>
      </c>
      <c r="G959" s="3" t="str">
        <f t="shared" si="206"/>
        <v>월</v>
      </c>
      <c r="H959" s="3">
        <f t="shared" si="207"/>
        <v>0</v>
      </c>
      <c r="I959" s="3">
        <v>104853</v>
      </c>
      <c r="J959" s="3">
        <v>98368</v>
      </c>
      <c r="K959" s="3">
        <v>6486</v>
      </c>
      <c r="L959" s="12">
        <f t="shared" si="208"/>
        <v>0.93815150734838293</v>
      </c>
      <c r="M959" s="12">
        <f t="shared" si="209"/>
        <v>0.81717821181608641</v>
      </c>
      <c r="N959" s="11">
        <f t="shared" si="195"/>
        <v>45723</v>
      </c>
      <c r="O959" s="11">
        <f t="shared" si="197"/>
        <v>28319.464285714286</v>
      </c>
      <c r="P959" s="11">
        <f t="shared" si="198"/>
        <v>3.702506479011785</v>
      </c>
      <c r="Q959" s="7"/>
      <c r="R959" s="7"/>
      <c r="S959" s="7"/>
      <c r="T959" s="7"/>
      <c r="U959" s="7"/>
      <c r="V959" s="7"/>
      <c r="W959" s="7"/>
      <c r="X959" s="3" t="s">
        <v>85</v>
      </c>
      <c r="Y959" s="3"/>
      <c r="Z959" s="9"/>
      <c r="AA959" s="12" t="str">
        <f t="shared" si="210"/>
        <v/>
      </c>
      <c r="AB959" s="9" t="str">
        <f t="shared" si="196"/>
        <v/>
      </c>
      <c r="AC959" s="9" t="str">
        <f t="shared" si="199"/>
        <v/>
      </c>
      <c r="AD959" s="9" t="str">
        <f t="shared" si="200"/>
        <v/>
      </c>
      <c r="AE959" s="3"/>
      <c r="AF959" s="11">
        <f t="shared" si="201"/>
        <v>13223</v>
      </c>
      <c r="AG959" s="11">
        <f t="shared" si="202"/>
        <v>7.4391590410648112</v>
      </c>
      <c r="AH959" s="11" t="str">
        <f t="shared" si="203"/>
        <v/>
      </c>
      <c r="AI959" s="3" t="s">
        <v>45</v>
      </c>
      <c r="AJ959" s="3" t="s">
        <v>79</v>
      </c>
      <c r="AK959" s="3" t="s">
        <v>46</v>
      </c>
      <c r="AL959" s="3" t="s">
        <v>81</v>
      </c>
      <c r="AM959" s="3" t="s">
        <v>82</v>
      </c>
    </row>
    <row r="960" spans="1:39" ht="21" customHeight="1">
      <c r="A960" s="4">
        <v>43368</v>
      </c>
      <c r="B960" s="3" t="s">
        <v>78</v>
      </c>
      <c r="C960" s="3" t="s">
        <v>79</v>
      </c>
      <c r="D960" s="4">
        <v>43159</v>
      </c>
      <c r="E960" s="3">
        <f t="shared" si="204"/>
        <v>209</v>
      </c>
      <c r="F960" s="3" t="str">
        <f t="shared" si="205"/>
        <v>개봉후</v>
      </c>
      <c r="G960" s="3" t="str">
        <f t="shared" si="206"/>
        <v>화</v>
      </c>
      <c r="H960" s="3">
        <f t="shared" si="207"/>
        <v>0</v>
      </c>
      <c r="I960" s="3">
        <v>61912</v>
      </c>
      <c r="J960" s="3">
        <v>55514</v>
      </c>
      <c r="K960" s="3">
        <v>6398</v>
      </c>
      <c r="L960" s="12">
        <f t="shared" si="208"/>
        <v>0.89665977516474993</v>
      </c>
      <c r="M960" s="12">
        <f t="shared" si="209"/>
        <v>-0.40953525411766944</v>
      </c>
      <c r="N960" s="11">
        <f t="shared" si="195"/>
        <v>50517</v>
      </c>
      <c r="O960" s="11">
        <f t="shared" si="197"/>
        <v>31271.464285714286</v>
      </c>
      <c r="P960" s="11">
        <f t="shared" si="198"/>
        <v>1.9798241436453361</v>
      </c>
      <c r="Q960" s="7"/>
      <c r="R960" s="7"/>
      <c r="S960" s="7"/>
      <c r="T960" s="7"/>
      <c r="U960" s="7"/>
      <c r="V960" s="7"/>
      <c r="W960" s="7"/>
      <c r="X960" s="3" t="s">
        <v>85</v>
      </c>
      <c r="Y960" s="3"/>
      <c r="Z960" s="9"/>
      <c r="AA960" s="12" t="str">
        <f t="shared" si="210"/>
        <v/>
      </c>
      <c r="AB960" s="9" t="str">
        <f t="shared" si="196"/>
        <v/>
      </c>
      <c r="AC960" s="9" t="str">
        <f t="shared" si="199"/>
        <v/>
      </c>
      <c r="AD960" s="9" t="str">
        <f t="shared" si="200"/>
        <v/>
      </c>
      <c r="AE960" s="3"/>
      <c r="AF960" s="11">
        <f t="shared" si="201"/>
        <v>13394</v>
      </c>
      <c r="AG960" s="11">
        <f t="shared" si="202"/>
        <v>4.1446916529789455</v>
      </c>
      <c r="AH960" s="11" t="str">
        <f t="shared" si="203"/>
        <v/>
      </c>
      <c r="AI960" s="3" t="s">
        <v>45</v>
      </c>
      <c r="AJ960" s="3" t="s">
        <v>79</v>
      </c>
      <c r="AK960" s="3" t="s">
        <v>46</v>
      </c>
      <c r="AL960" s="3" t="s">
        <v>81</v>
      </c>
      <c r="AM960" s="3" t="s">
        <v>82</v>
      </c>
    </row>
    <row r="961" spans="1:39" ht="21" customHeight="1">
      <c r="A961" s="4">
        <v>43369</v>
      </c>
      <c r="B961" s="3" t="s">
        <v>78</v>
      </c>
      <c r="C961" s="3" t="s">
        <v>79</v>
      </c>
      <c r="D961" s="4">
        <v>43159</v>
      </c>
      <c r="E961" s="3">
        <f t="shared" si="204"/>
        <v>210</v>
      </c>
      <c r="F961" s="3" t="str">
        <f t="shared" si="205"/>
        <v>개봉후</v>
      </c>
      <c r="G961" s="3" t="str">
        <f t="shared" si="206"/>
        <v>수</v>
      </c>
      <c r="H961" s="3">
        <f t="shared" si="207"/>
        <v>0</v>
      </c>
      <c r="I961" s="3">
        <v>34296</v>
      </c>
      <c r="J961" s="3">
        <v>27128</v>
      </c>
      <c r="K961" s="3">
        <v>7168</v>
      </c>
      <c r="L961" s="12">
        <f t="shared" si="208"/>
        <v>0.7909960345229764</v>
      </c>
      <c r="M961" s="12">
        <f t="shared" si="209"/>
        <v>-0.44605246155834088</v>
      </c>
      <c r="N961" s="11">
        <f t="shared" ref="N961:N1024" si="211">IF(COUNT(I955:I961)=7,AVERAGE(I955:I961),"")</f>
        <v>52028.428571428572</v>
      </c>
      <c r="O961" s="11">
        <f t="shared" si="197"/>
        <v>32756.857142857141</v>
      </c>
      <c r="P961" s="11">
        <f t="shared" si="198"/>
        <v>1.0469868904220709</v>
      </c>
      <c r="Q961" s="7"/>
      <c r="R961" s="7"/>
      <c r="S961" s="7"/>
      <c r="T961" s="7"/>
      <c r="U961" s="7"/>
      <c r="V961" s="7"/>
      <c r="W961" s="7"/>
      <c r="X961" s="3" t="s">
        <v>85</v>
      </c>
      <c r="Y961" s="3"/>
      <c r="Z961" s="9"/>
      <c r="AA961" s="12" t="str">
        <f t="shared" si="210"/>
        <v/>
      </c>
      <c r="AB961" s="9" t="str">
        <f t="shared" ref="AB961:AB1024" si="212">IF(COUNT(Z955:Z961)=7,AVERAGE(Z955:Z961),"")</f>
        <v/>
      </c>
      <c r="AC961" s="9" t="str">
        <f t="shared" si="199"/>
        <v/>
      </c>
      <c r="AD961" s="9" t="str">
        <f t="shared" si="200"/>
        <v/>
      </c>
      <c r="AE961" s="3"/>
      <c r="AF961" s="11">
        <f t="shared" si="201"/>
        <v>13198.5</v>
      </c>
      <c r="AG961" s="11">
        <f t="shared" si="202"/>
        <v>2.055385081638065</v>
      </c>
      <c r="AH961" s="11" t="str">
        <f t="shared" si="203"/>
        <v/>
      </c>
      <c r="AI961" s="3" t="s">
        <v>45</v>
      </c>
      <c r="AJ961" s="3" t="s">
        <v>79</v>
      </c>
      <c r="AK961" s="3" t="s">
        <v>46</v>
      </c>
      <c r="AL961" s="3" t="s">
        <v>81</v>
      </c>
      <c r="AM961" s="3" t="s">
        <v>82</v>
      </c>
    </row>
    <row r="962" spans="1:39" ht="21" customHeight="1">
      <c r="A962" s="4">
        <v>43370</v>
      </c>
      <c r="B962" s="3" t="s">
        <v>78</v>
      </c>
      <c r="C962" s="3" t="s">
        <v>79</v>
      </c>
      <c r="D962" s="4">
        <v>43159</v>
      </c>
      <c r="E962" s="3">
        <f t="shared" si="204"/>
        <v>211</v>
      </c>
      <c r="F962" s="3" t="str">
        <f t="shared" si="205"/>
        <v>개봉후</v>
      </c>
      <c r="G962" s="3" t="str">
        <f t="shared" si="206"/>
        <v>목</v>
      </c>
      <c r="H962" s="3">
        <f t="shared" si="207"/>
        <v>0</v>
      </c>
      <c r="I962" s="3">
        <v>25480</v>
      </c>
      <c r="J962" s="3">
        <v>16306</v>
      </c>
      <c r="K962" s="3">
        <v>9174</v>
      </c>
      <c r="L962" s="12">
        <f t="shared" si="208"/>
        <v>0.6399529042386185</v>
      </c>
      <c r="M962" s="12">
        <f t="shared" si="209"/>
        <v>-0.25705621646839283</v>
      </c>
      <c r="N962" s="11">
        <f t="shared" si="211"/>
        <v>51955</v>
      </c>
      <c r="O962" s="11">
        <f t="shared" si="197"/>
        <v>33213.857142857145</v>
      </c>
      <c r="P962" s="11">
        <f t="shared" si="198"/>
        <v>0.767149683651832</v>
      </c>
      <c r="Q962" s="7"/>
      <c r="R962" s="7"/>
      <c r="S962" s="7"/>
      <c r="T962" s="7"/>
      <c r="U962" s="7"/>
      <c r="V962" s="7"/>
      <c r="W962" s="7"/>
      <c r="X962" s="3" t="s">
        <v>85</v>
      </c>
      <c r="Y962" s="3"/>
      <c r="Z962" s="9"/>
      <c r="AA962" s="12" t="str">
        <f t="shared" si="210"/>
        <v/>
      </c>
      <c r="AB962" s="9" t="str">
        <f t="shared" si="212"/>
        <v/>
      </c>
      <c r="AC962" s="9" t="str">
        <f t="shared" si="199"/>
        <v/>
      </c>
      <c r="AD962" s="9" t="str">
        <f t="shared" si="200"/>
        <v/>
      </c>
      <c r="AE962" s="3"/>
      <c r="AF962" s="11">
        <f t="shared" si="201"/>
        <v>13660.5</v>
      </c>
      <c r="AG962" s="11">
        <f t="shared" si="202"/>
        <v>1.1936605541524834</v>
      </c>
      <c r="AH962" s="11" t="str">
        <f t="shared" si="203"/>
        <v/>
      </c>
      <c r="AI962" s="3" t="s">
        <v>45</v>
      </c>
      <c r="AJ962" s="3" t="s">
        <v>79</v>
      </c>
      <c r="AK962" s="3" t="s">
        <v>46</v>
      </c>
      <c r="AL962" s="3" t="s">
        <v>81</v>
      </c>
      <c r="AM962" s="3" t="s">
        <v>82</v>
      </c>
    </row>
    <row r="963" spans="1:39" ht="21" customHeight="1">
      <c r="A963" s="4">
        <v>43371</v>
      </c>
      <c r="B963" s="3" t="s">
        <v>78</v>
      </c>
      <c r="C963" s="3" t="s">
        <v>79</v>
      </c>
      <c r="D963" s="4">
        <v>43159</v>
      </c>
      <c r="E963" s="3">
        <f t="shared" si="204"/>
        <v>212</v>
      </c>
      <c r="F963" s="3" t="str">
        <f t="shared" si="205"/>
        <v>개봉후</v>
      </c>
      <c r="G963" s="3" t="str">
        <f t="shared" si="206"/>
        <v>금</v>
      </c>
      <c r="H963" s="3">
        <f t="shared" si="207"/>
        <v>0</v>
      </c>
      <c r="I963" s="3">
        <v>24006</v>
      </c>
      <c r="J963" s="3">
        <v>14564</v>
      </c>
      <c r="K963" s="3">
        <v>9443</v>
      </c>
      <c r="L963" s="12">
        <f t="shared" si="208"/>
        <v>0.60668166291760395</v>
      </c>
      <c r="M963" s="12">
        <f t="shared" si="209"/>
        <v>-5.7849293563579263E-2</v>
      </c>
      <c r="N963" s="11">
        <f t="shared" si="211"/>
        <v>51126.428571428572</v>
      </c>
      <c r="O963" s="11">
        <f t="shared" si="197"/>
        <v>33375.357142857145</v>
      </c>
      <c r="P963" s="11">
        <f t="shared" si="198"/>
        <v>0.71927320199890843</v>
      </c>
      <c r="Q963" s="7"/>
      <c r="R963" s="7"/>
      <c r="S963" s="7"/>
      <c r="T963" s="7"/>
      <c r="U963" s="7"/>
      <c r="V963" s="7"/>
      <c r="W963" s="7"/>
      <c r="X963" s="3" t="s">
        <v>85</v>
      </c>
      <c r="Y963" s="3"/>
      <c r="Z963" s="9"/>
      <c r="AA963" s="12" t="str">
        <f t="shared" si="210"/>
        <v/>
      </c>
      <c r="AB963" s="9" t="str">
        <f t="shared" si="212"/>
        <v/>
      </c>
      <c r="AC963" s="9" t="str">
        <f t="shared" si="199"/>
        <v/>
      </c>
      <c r="AD963" s="9" t="str">
        <f t="shared" si="200"/>
        <v/>
      </c>
      <c r="AE963" s="3"/>
      <c r="AF963" s="11">
        <f t="shared" si="201"/>
        <v>16280.5</v>
      </c>
      <c r="AG963" s="11">
        <f t="shared" si="202"/>
        <v>0.89456712017444184</v>
      </c>
      <c r="AH963" s="11" t="str">
        <f t="shared" si="203"/>
        <v/>
      </c>
      <c r="AI963" s="3" t="s">
        <v>45</v>
      </c>
      <c r="AJ963" s="3" t="s">
        <v>79</v>
      </c>
      <c r="AK963" s="3" t="s">
        <v>46</v>
      </c>
      <c r="AL963" s="3" t="s">
        <v>81</v>
      </c>
      <c r="AM963" s="3" t="s">
        <v>82</v>
      </c>
    </row>
    <row r="964" spans="1:39" ht="21" customHeight="1">
      <c r="A964" s="4">
        <v>43372</v>
      </c>
      <c r="B964" s="3" t="s">
        <v>78</v>
      </c>
      <c r="C964" s="3" t="s">
        <v>79</v>
      </c>
      <c r="D964" s="4">
        <v>43159</v>
      </c>
      <c r="E964" s="3">
        <f t="shared" si="204"/>
        <v>213</v>
      </c>
      <c r="F964" s="3" t="str">
        <f t="shared" si="205"/>
        <v>개봉후</v>
      </c>
      <c r="G964" s="3" t="str">
        <f t="shared" si="206"/>
        <v>토</v>
      </c>
      <c r="H964" s="3">
        <f t="shared" si="207"/>
        <v>1</v>
      </c>
      <c r="I964" s="3">
        <v>29676</v>
      </c>
      <c r="J964" s="3">
        <v>21903</v>
      </c>
      <c r="K964" s="3">
        <v>7774</v>
      </c>
      <c r="L964" s="12">
        <f t="shared" si="208"/>
        <v>0.738071168621108</v>
      </c>
      <c r="M964" s="12">
        <f t="shared" si="209"/>
        <v>0.23619095226193454</v>
      </c>
      <c r="N964" s="11">
        <f t="shared" si="211"/>
        <v>48274.857142857145</v>
      </c>
      <c r="O964" s="11">
        <f t="shared" si="197"/>
        <v>33490.357142857145</v>
      </c>
      <c r="P964" s="11">
        <f t="shared" si="198"/>
        <v>0.8861058087082635</v>
      </c>
      <c r="Q964" s="7"/>
      <c r="R964" s="7"/>
      <c r="S964" s="7"/>
      <c r="T964" s="7"/>
      <c r="U964" s="7"/>
      <c r="V964" s="7"/>
      <c r="W964" s="7"/>
      <c r="X964" s="3" t="s">
        <v>85</v>
      </c>
      <c r="Y964" s="3"/>
      <c r="Z964" s="9"/>
      <c r="AA964" s="12" t="str">
        <f t="shared" si="210"/>
        <v/>
      </c>
      <c r="AB964" s="9" t="str">
        <f t="shared" si="212"/>
        <v/>
      </c>
      <c r="AC964" s="9" t="str">
        <f t="shared" si="199"/>
        <v/>
      </c>
      <c r="AD964" s="9" t="str">
        <f t="shared" si="200"/>
        <v/>
      </c>
      <c r="AE964" s="3"/>
      <c r="AF964" s="11">
        <f t="shared" si="201"/>
        <v>29489.5</v>
      </c>
      <c r="AG964" s="11">
        <f t="shared" si="202"/>
        <v>0.74273894097899251</v>
      </c>
      <c r="AH964" s="11" t="str">
        <f t="shared" si="203"/>
        <v/>
      </c>
      <c r="AI964" s="3" t="s">
        <v>45</v>
      </c>
      <c r="AJ964" s="3" t="s">
        <v>79</v>
      </c>
      <c r="AK964" s="3" t="s">
        <v>46</v>
      </c>
      <c r="AL964" s="3" t="s">
        <v>81</v>
      </c>
      <c r="AM964" s="3" t="s">
        <v>82</v>
      </c>
    </row>
    <row r="965" spans="1:39" ht="21" customHeight="1">
      <c r="A965" s="4">
        <v>43373</v>
      </c>
      <c r="B965" s="3" t="s">
        <v>78</v>
      </c>
      <c r="C965" s="3" t="s">
        <v>79</v>
      </c>
      <c r="D965" s="4">
        <v>43159</v>
      </c>
      <c r="E965" s="3">
        <f t="shared" si="204"/>
        <v>214</v>
      </c>
      <c r="F965" s="3" t="str">
        <f t="shared" si="205"/>
        <v>개봉후</v>
      </c>
      <c r="G965" s="3" t="str">
        <f t="shared" si="206"/>
        <v>일</v>
      </c>
      <c r="H965" s="3">
        <f t="shared" si="207"/>
        <v>1</v>
      </c>
      <c r="I965" s="3">
        <v>33775</v>
      </c>
      <c r="J965" s="3">
        <v>26246</v>
      </c>
      <c r="K965" s="3">
        <v>7528</v>
      </c>
      <c r="L965" s="12">
        <f t="shared" si="208"/>
        <v>0.77708364174685418</v>
      </c>
      <c r="M965" s="12">
        <f t="shared" si="209"/>
        <v>0.13812508424315939</v>
      </c>
      <c r="N965" s="11">
        <f t="shared" si="211"/>
        <v>44856.857142857145</v>
      </c>
      <c r="O965" s="11">
        <f t="shared" si="197"/>
        <v>33480.964285714283</v>
      </c>
      <c r="P965" s="11">
        <f t="shared" si="198"/>
        <v>1.008782175799255</v>
      </c>
      <c r="Q965" s="7"/>
      <c r="R965" s="7"/>
      <c r="S965" s="7"/>
      <c r="T965" s="7"/>
      <c r="U965" s="7"/>
      <c r="V965" s="7"/>
      <c r="W965" s="7"/>
      <c r="X965" s="3" t="s">
        <v>85</v>
      </c>
      <c r="Y965" s="3"/>
      <c r="Z965" s="9"/>
      <c r="AA965" s="12" t="str">
        <f t="shared" si="210"/>
        <v/>
      </c>
      <c r="AB965" s="9" t="str">
        <f t="shared" si="212"/>
        <v/>
      </c>
      <c r="AC965" s="9" t="str">
        <f t="shared" si="199"/>
        <v/>
      </c>
      <c r="AD965" s="9" t="str">
        <f t="shared" si="200"/>
        <v/>
      </c>
      <c r="AE965" s="3"/>
      <c r="AF965" s="11">
        <f t="shared" si="201"/>
        <v>37576.75</v>
      </c>
      <c r="AG965" s="11">
        <f t="shared" si="202"/>
        <v>0.69846381073403097</v>
      </c>
      <c r="AH965" s="11" t="str">
        <f t="shared" si="203"/>
        <v/>
      </c>
      <c r="AI965" s="3" t="s">
        <v>45</v>
      </c>
      <c r="AJ965" s="3" t="s">
        <v>79</v>
      </c>
      <c r="AK965" s="3" t="s">
        <v>46</v>
      </c>
      <c r="AL965" s="3" t="s">
        <v>81</v>
      </c>
      <c r="AM965" s="3" t="s">
        <v>82</v>
      </c>
    </row>
    <row r="966" spans="1:39" ht="21" customHeight="1">
      <c r="A966" s="4">
        <v>43374</v>
      </c>
      <c r="B966" s="3" t="s">
        <v>78</v>
      </c>
      <c r="C966" s="3" t="s">
        <v>79</v>
      </c>
      <c r="D966" s="4">
        <v>43159</v>
      </c>
      <c r="E966" s="3">
        <f t="shared" si="204"/>
        <v>215</v>
      </c>
      <c r="F966" s="3" t="str">
        <f t="shared" si="205"/>
        <v>개봉후</v>
      </c>
      <c r="G966" s="3" t="str">
        <f t="shared" si="206"/>
        <v>월</v>
      </c>
      <c r="H966" s="3">
        <f t="shared" si="207"/>
        <v>0</v>
      </c>
      <c r="I966" s="3">
        <v>23964</v>
      </c>
      <c r="J966" s="3">
        <v>14896</v>
      </c>
      <c r="K966" s="3">
        <v>9068</v>
      </c>
      <c r="L966" s="12">
        <f t="shared" si="208"/>
        <v>0.62159906526456354</v>
      </c>
      <c r="M966" s="12">
        <f t="shared" si="209"/>
        <v>-0.29048112509252411</v>
      </c>
      <c r="N966" s="11">
        <f t="shared" si="211"/>
        <v>33301.285714285717</v>
      </c>
      <c r="O966" s="11">
        <f t="shared" si="197"/>
        <v>33397.214285714283</v>
      </c>
      <c r="P966" s="11">
        <f t="shared" si="198"/>
        <v>0.71754487649739829</v>
      </c>
      <c r="Q966" s="7"/>
      <c r="R966" s="7"/>
      <c r="S966" s="7"/>
      <c r="T966" s="7"/>
      <c r="U966" s="7"/>
      <c r="V966" s="7"/>
      <c r="W966" s="7"/>
      <c r="X966" s="3" t="s">
        <v>86</v>
      </c>
      <c r="Y966" s="3"/>
      <c r="Z966" s="9"/>
      <c r="AA966" s="12" t="str">
        <f t="shared" si="210"/>
        <v/>
      </c>
      <c r="AB966" s="9" t="str">
        <f t="shared" si="212"/>
        <v/>
      </c>
      <c r="AC966" s="9" t="str">
        <f t="shared" si="199"/>
        <v/>
      </c>
      <c r="AD966" s="9" t="str">
        <f t="shared" si="200"/>
        <v/>
      </c>
      <c r="AE966" s="3"/>
      <c r="AF966" s="11">
        <f t="shared" si="201"/>
        <v>34422.5</v>
      </c>
      <c r="AG966" s="11">
        <f t="shared" si="202"/>
        <v>0.43274021352313169</v>
      </c>
      <c r="AH966" s="11" t="str">
        <f t="shared" si="203"/>
        <v/>
      </c>
      <c r="AI966" s="3" t="s">
        <v>45</v>
      </c>
      <c r="AJ966" s="3" t="s">
        <v>79</v>
      </c>
      <c r="AK966" s="3" t="s">
        <v>46</v>
      </c>
      <c r="AL966" s="3" t="s">
        <v>81</v>
      </c>
      <c r="AM966" s="3" t="s">
        <v>82</v>
      </c>
    </row>
    <row r="967" spans="1:39" ht="21" customHeight="1">
      <c r="A967" s="4">
        <v>43375</v>
      </c>
      <c r="B967" s="3" t="s">
        <v>78</v>
      </c>
      <c r="C967" s="3" t="s">
        <v>79</v>
      </c>
      <c r="D967" s="4">
        <v>43159</v>
      </c>
      <c r="E967" s="3">
        <f t="shared" si="204"/>
        <v>216</v>
      </c>
      <c r="F967" s="3" t="str">
        <f t="shared" si="205"/>
        <v>개봉후</v>
      </c>
      <c r="G967" s="3" t="str">
        <f t="shared" si="206"/>
        <v>화</v>
      </c>
      <c r="H967" s="3">
        <f t="shared" si="207"/>
        <v>0</v>
      </c>
      <c r="I967" s="3">
        <v>22516</v>
      </c>
      <c r="J967" s="3">
        <v>13090</v>
      </c>
      <c r="K967" s="3">
        <v>9426</v>
      </c>
      <c r="L967" s="12">
        <f t="shared" si="208"/>
        <v>0.58136436311955941</v>
      </c>
      <c r="M967" s="12">
        <f t="shared" si="209"/>
        <v>-6.0423969287264234E-2</v>
      </c>
      <c r="N967" s="11">
        <f t="shared" si="211"/>
        <v>27673.285714285714</v>
      </c>
      <c r="O967" s="11">
        <f t="shared" si="197"/>
        <v>33546.714285714283</v>
      </c>
      <c r="P967" s="11">
        <f t="shared" si="198"/>
        <v>0.67118346697781772</v>
      </c>
      <c r="Q967" s="7"/>
      <c r="R967" s="7"/>
      <c r="S967" s="7"/>
      <c r="T967" s="7"/>
      <c r="U967" s="7"/>
      <c r="V967" s="7"/>
      <c r="W967" s="7"/>
      <c r="X967" s="3" t="s">
        <v>86</v>
      </c>
      <c r="Y967" s="3"/>
      <c r="Z967" s="9"/>
      <c r="AA967" s="12" t="str">
        <f t="shared" si="210"/>
        <v/>
      </c>
      <c r="AB967" s="9" t="str">
        <f t="shared" si="212"/>
        <v/>
      </c>
      <c r="AC967" s="9" t="str">
        <f t="shared" si="199"/>
        <v/>
      </c>
      <c r="AD967" s="9" t="str">
        <f t="shared" si="200"/>
        <v/>
      </c>
      <c r="AE967" s="3"/>
      <c r="AF967" s="11">
        <f t="shared" si="201"/>
        <v>24372</v>
      </c>
      <c r="AG967" s="11">
        <f t="shared" si="202"/>
        <v>0.53709174462497944</v>
      </c>
      <c r="AH967" s="11" t="str">
        <f t="shared" si="203"/>
        <v/>
      </c>
      <c r="AI967" s="3" t="s">
        <v>45</v>
      </c>
      <c r="AJ967" s="3" t="s">
        <v>79</v>
      </c>
      <c r="AK967" s="3" t="s">
        <v>46</v>
      </c>
      <c r="AL967" s="3" t="s">
        <v>81</v>
      </c>
      <c r="AM967" s="3" t="s">
        <v>82</v>
      </c>
    </row>
    <row r="968" spans="1:39" ht="21" customHeight="1">
      <c r="A968" s="4">
        <v>43376</v>
      </c>
      <c r="B968" s="3" t="s">
        <v>78</v>
      </c>
      <c r="C968" s="3" t="s">
        <v>79</v>
      </c>
      <c r="D968" s="4">
        <v>43159</v>
      </c>
      <c r="E968" s="3">
        <f t="shared" si="204"/>
        <v>217</v>
      </c>
      <c r="F968" s="3" t="str">
        <f t="shared" si="205"/>
        <v>개봉후</v>
      </c>
      <c r="G968" s="3" t="str">
        <f t="shared" si="206"/>
        <v>수</v>
      </c>
      <c r="H968" s="3">
        <f t="shared" si="207"/>
        <v>0</v>
      </c>
      <c r="I968" s="3">
        <v>28413</v>
      </c>
      <c r="J968" s="3">
        <v>20254</v>
      </c>
      <c r="K968" s="3">
        <v>8158</v>
      </c>
      <c r="L968" s="12">
        <f t="shared" si="208"/>
        <v>0.71284271284271283</v>
      </c>
      <c r="M968" s="12">
        <f t="shared" si="209"/>
        <v>0.26190264700657306</v>
      </c>
      <c r="N968" s="11">
        <f t="shared" si="211"/>
        <v>26832.857142857141</v>
      </c>
      <c r="O968" s="11">
        <f t="shared" si="197"/>
        <v>33657</v>
      </c>
      <c r="P968" s="11">
        <f t="shared" si="198"/>
        <v>0.84419288706658346</v>
      </c>
      <c r="Q968" s="7"/>
      <c r="R968" s="7"/>
      <c r="S968" s="7"/>
      <c r="T968" s="7"/>
      <c r="U968" s="7"/>
      <c r="V968" s="7"/>
      <c r="W968" s="7"/>
      <c r="X968" s="3" t="s">
        <v>86</v>
      </c>
      <c r="Y968" s="3"/>
      <c r="Z968" s="9"/>
      <c r="AA968" s="12" t="str">
        <f t="shared" si="210"/>
        <v/>
      </c>
      <c r="AB968" s="9" t="str">
        <f t="shared" si="212"/>
        <v/>
      </c>
      <c r="AC968" s="9" t="str">
        <f t="shared" si="199"/>
        <v/>
      </c>
      <c r="AD968" s="9" t="str">
        <f t="shared" si="200"/>
        <v/>
      </c>
      <c r="AE968" s="3"/>
      <c r="AF968" s="11">
        <f t="shared" si="201"/>
        <v>16764</v>
      </c>
      <c r="AG968" s="11">
        <f t="shared" si="202"/>
        <v>1.2081842042471964</v>
      </c>
      <c r="AH968" s="11" t="str">
        <f t="shared" si="203"/>
        <v/>
      </c>
      <c r="AI968" s="3" t="s">
        <v>45</v>
      </c>
      <c r="AJ968" s="3" t="s">
        <v>79</v>
      </c>
      <c r="AK968" s="3" t="s">
        <v>46</v>
      </c>
      <c r="AL968" s="3" t="s">
        <v>81</v>
      </c>
      <c r="AM968" s="3" t="s">
        <v>82</v>
      </c>
    </row>
    <row r="969" spans="1:39" ht="21" customHeight="1">
      <c r="A969" s="4">
        <v>43377</v>
      </c>
      <c r="B969" s="3" t="s">
        <v>78</v>
      </c>
      <c r="C969" s="3" t="s">
        <v>79</v>
      </c>
      <c r="D969" s="4">
        <v>43159</v>
      </c>
      <c r="E969" s="3">
        <f t="shared" si="204"/>
        <v>218</v>
      </c>
      <c r="F969" s="3" t="str">
        <f t="shared" si="205"/>
        <v>개봉후</v>
      </c>
      <c r="G969" s="3" t="str">
        <f t="shared" si="206"/>
        <v>목</v>
      </c>
      <c r="H969" s="3">
        <f t="shared" si="207"/>
        <v>0</v>
      </c>
      <c r="I969" s="3">
        <v>21346</v>
      </c>
      <c r="J969" s="3">
        <v>12103</v>
      </c>
      <c r="K969" s="3">
        <v>9244</v>
      </c>
      <c r="L969" s="12">
        <f t="shared" si="208"/>
        <v>0.56699147381242387</v>
      </c>
      <c r="M969" s="12">
        <f t="shared" si="209"/>
        <v>-0.24872417555344384</v>
      </c>
      <c r="N969" s="11">
        <f t="shared" si="211"/>
        <v>26242.285714285714</v>
      </c>
      <c r="O969" s="11">
        <f t="shared" si="197"/>
        <v>33911.5</v>
      </c>
      <c r="P969" s="11">
        <f t="shared" si="198"/>
        <v>0.62946198192353631</v>
      </c>
      <c r="Q969" s="7"/>
      <c r="R969" s="7"/>
      <c r="S969" s="7"/>
      <c r="T969" s="7"/>
      <c r="U969" s="7"/>
      <c r="V969" s="7"/>
      <c r="W969" s="7"/>
      <c r="X969" s="3" t="s">
        <v>86</v>
      </c>
      <c r="Y969" s="3"/>
      <c r="Z969" s="9"/>
      <c r="AA969" s="12" t="str">
        <f t="shared" si="210"/>
        <v/>
      </c>
      <c r="AB969" s="9" t="str">
        <f t="shared" si="212"/>
        <v/>
      </c>
      <c r="AC969" s="9" t="str">
        <f t="shared" si="199"/>
        <v/>
      </c>
      <c r="AD969" s="9" t="str">
        <f t="shared" si="200"/>
        <v/>
      </c>
      <c r="AE969" s="3"/>
      <c r="AF969" s="11">
        <f t="shared" si="201"/>
        <v>14679</v>
      </c>
      <c r="AG969" s="11">
        <f t="shared" si="202"/>
        <v>0.82451120648545539</v>
      </c>
      <c r="AH969" s="11" t="str">
        <f t="shared" si="203"/>
        <v/>
      </c>
      <c r="AI969" s="3" t="s">
        <v>45</v>
      </c>
      <c r="AJ969" s="3" t="s">
        <v>79</v>
      </c>
      <c r="AK969" s="3" t="s">
        <v>46</v>
      </c>
      <c r="AL969" s="3" t="s">
        <v>81</v>
      </c>
      <c r="AM969" s="3" t="s">
        <v>82</v>
      </c>
    </row>
    <row r="970" spans="1:39" ht="21" customHeight="1">
      <c r="A970" s="4">
        <v>43378</v>
      </c>
      <c r="B970" s="3" t="s">
        <v>78</v>
      </c>
      <c r="C970" s="3" t="s">
        <v>79</v>
      </c>
      <c r="D970" s="4">
        <v>43159</v>
      </c>
      <c r="E970" s="3">
        <f t="shared" si="204"/>
        <v>219</v>
      </c>
      <c r="F970" s="3" t="str">
        <f t="shared" si="205"/>
        <v>개봉후</v>
      </c>
      <c r="G970" s="3" t="str">
        <f t="shared" si="206"/>
        <v>금</v>
      </c>
      <c r="H970" s="3">
        <f t="shared" si="207"/>
        <v>0</v>
      </c>
      <c r="I970" s="3">
        <v>25032</v>
      </c>
      <c r="J970" s="3">
        <v>16460</v>
      </c>
      <c r="K970" s="3">
        <v>8572</v>
      </c>
      <c r="L970" s="12">
        <f t="shared" si="208"/>
        <v>0.65755832534356029</v>
      </c>
      <c r="M970" s="12">
        <f t="shared" si="209"/>
        <v>0.17267872200880729</v>
      </c>
      <c r="N970" s="11">
        <f t="shared" si="211"/>
        <v>26388.857142857141</v>
      </c>
      <c r="O970" s="11">
        <f t="shared" si="197"/>
        <v>33908.357142857145</v>
      </c>
      <c r="P970" s="11">
        <f t="shared" si="198"/>
        <v>0.73822508989566415</v>
      </c>
      <c r="Q970" s="7"/>
      <c r="R970" s="7"/>
      <c r="S970" s="7"/>
      <c r="T970" s="7"/>
      <c r="U970" s="7"/>
      <c r="V970" s="7"/>
      <c r="W970" s="7"/>
      <c r="X970" s="3" t="s">
        <v>86</v>
      </c>
      <c r="Y970" s="3"/>
      <c r="Z970" s="9"/>
      <c r="AA970" s="12" t="str">
        <f t="shared" si="210"/>
        <v/>
      </c>
      <c r="AB970" s="9" t="str">
        <f t="shared" si="212"/>
        <v/>
      </c>
      <c r="AC970" s="9" t="str">
        <f t="shared" si="199"/>
        <v/>
      </c>
      <c r="AD970" s="9" t="str">
        <f t="shared" si="200"/>
        <v/>
      </c>
      <c r="AE970" s="3"/>
      <c r="AF970" s="11">
        <f t="shared" si="201"/>
        <v>16825.75</v>
      </c>
      <c r="AG970" s="11">
        <f t="shared" si="202"/>
        <v>0.9782624845846396</v>
      </c>
      <c r="AH970" s="11" t="str">
        <f t="shared" si="203"/>
        <v/>
      </c>
      <c r="AI970" s="3" t="s">
        <v>45</v>
      </c>
      <c r="AJ970" s="3" t="s">
        <v>79</v>
      </c>
      <c r="AK970" s="3" t="s">
        <v>46</v>
      </c>
      <c r="AL970" s="3" t="s">
        <v>81</v>
      </c>
      <c r="AM970" s="3" t="s">
        <v>82</v>
      </c>
    </row>
    <row r="971" spans="1:39" ht="21" customHeight="1">
      <c r="A971" s="4">
        <v>43379</v>
      </c>
      <c r="B971" s="3" t="s">
        <v>78</v>
      </c>
      <c r="C971" s="3" t="s">
        <v>79</v>
      </c>
      <c r="D971" s="4">
        <v>43159</v>
      </c>
      <c r="E971" s="3">
        <f t="shared" si="204"/>
        <v>220</v>
      </c>
      <c r="F971" s="3" t="str">
        <f t="shared" si="205"/>
        <v>개봉후</v>
      </c>
      <c r="G971" s="3" t="str">
        <f t="shared" si="206"/>
        <v>토</v>
      </c>
      <c r="H971" s="3">
        <f t="shared" si="207"/>
        <v>1</v>
      </c>
      <c r="I971" s="3">
        <v>27720</v>
      </c>
      <c r="J971" s="3">
        <v>20814</v>
      </c>
      <c r="K971" s="3">
        <v>6906</v>
      </c>
      <c r="L971" s="12">
        <f t="shared" si="208"/>
        <v>0.7508658008658009</v>
      </c>
      <c r="M971" s="12">
        <f t="shared" si="209"/>
        <v>0.10738255033557054</v>
      </c>
      <c r="N971" s="11">
        <f t="shared" si="211"/>
        <v>26109.428571428572</v>
      </c>
      <c r="O971" s="11">
        <f t="shared" si="197"/>
        <v>34010.607142857145</v>
      </c>
      <c r="P971" s="11">
        <f t="shared" si="198"/>
        <v>0.81503984576240396</v>
      </c>
      <c r="Q971" s="7"/>
      <c r="R971" s="7"/>
      <c r="S971" s="7"/>
      <c r="T971" s="7"/>
      <c r="U971" s="7"/>
      <c r="V971" s="7"/>
      <c r="W971" s="7"/>
      <c r="X971" s="3" t="s">
        <v>86</v>
      </c>
      <c r="Y971" s="3"/>
      <c r="Z971" s="9"/>
      <c r="AA971" s="12" t="str">
        <f t="shared" si="210"/>
        <v/>
      </c>
      <c r="AB971" s="9" t="str">
        <f t="shared" si="212"/>
        <v/>
      </c>
      <c r="AC971" s="9" t="str">
        <f t="shared" si="199"/>
        <v/>
      </c>
      <c r="AD971" s="9" t="str">
        <f t="shared" si="200"/>
        <v/>
      </c>
      <c r="AE971" s="3"/>
      <c r="AF971" s="11">
        <f t="shared" si="201"/>
        <v>29385.25</v>
      </c>
      <c r="AG971" s="11">
        <f t="shared" si="202"/>
        <v>0.70831454556282492</v>
      </c>
      <c r="AH971" s="11" t="str">
        <f t="shared" si="203"/>
        <v/>
      </c>
      <c r="AI971" s="3" t="s">
        <v>45</v>
      </c>
      <c r="AJ971" s="3" t="s">
        <v>79</v>
      </c>
      <c r="AK971" s="3" t="s">
        <v>46</v>
      </c>
      <c r="AL971" s="3" t="s">
        <v>81</v>
      </c>
      <c r="AM971" s="3" t="s">
        <v>82</v>
      </c>
    </row>
    <row r="972" spans="1:39" ht="21" customHeight="1">
      <c r="A972" s="4">
        <v>43380</v>
      </c>
      <c r="B972" s="3" t="s">
        <v>78</v>
      </c>
      <c r="C972" s="3" t="s">
        <v>79</v>
      </c>
      <c r="D972" s="4">
        <v>43159</v>
      </c>
      <c r="E972" s="3">
        <f t="shared" si="204"/>
        <v>221</v>
      </c>
      <c r="F972" s="3" t="str">
        <f t="shared" si="205"/>
        <v>개봉후</v>
      </c>
      <c r="G972" s="3" t="str">
        <f t="shared" si="206"/>
        <v>일</v>
      </c>
      <c r="H972" s="3">
        <f t="shared" si="207"/>
        <v>1</v>
      </c>
      <c r="I972" s="3">
        <v>34366</v>
      </c>
      <c r="J972" s="3">
        <v>26656</v>
      </c>
      <c r="K972" s="3">
        <v>7710</v>
      </c>
      <c r="L972" s="12">
        <f t="shared" si="208"/>
        <v>0.77565035209218414</v>
      </c>
      <c r="M972" s="12">
        <f t="shared" si="209"/>
        <v>0.23975468975468983</v>
      </c>
      <c r="N972" s="11">
        <f t="shared" si="211"/>
        <v>26193.857142857141</v>
      </c>
      <c r="O972" s="11">
        <f t="shared" si="197"/>
        <v>33711.25</v>
      </c>
      <c r="P972" s="11">
        <f t="shared" si="198"/>
        <v>1.0194222996774074</v>
      </c>
      <c r="Q972" s="7"/>
      <c r="R972" s="7"/>
      <c r="S972" s="7"/>
      <c r="T972" s="7"/>
      <c r="U972" s="7"/>
      <c r="V972" s="7"/>
      <c r="W972" s="7"/>
      <c r="X972" s="3" t="s">
        <v>86</v>
      </c>
      <c r="Y972" s="3"/>
      <c r="Z972" s="9"/>
      <c r="AA972" s="12" t="str">
        <f t="shared" si="210"/>
        <v/>
      </c>
      <c r="AB972" s="9" t="str">
        <f t="shared" si="212"/>
        <v/>
      </c>
      <c r="AC972" s="9" t="str">
        <f t="shared" si="199"/>
        <v/>
      </c>
      <c r="AD972" s="9" t="str">
        <f t="shared" si="200"/>
        <v/>
      </c>
      <c r="AE972" s="3"/>
      <c r="AF972" s="11">
        <f t="shared" si="201"/>
        <v>37015.75</v>
      </c>
      <c r="AG972" s="11">
        <f t="shared" si="202"/>
        <v>0.72012589235663194</v>
      </c>
      <c r="AH972" s="11" t="str">
        <f t="shared" si="203"/>
        <v/>
      </c>
      <c r="AI972" s="3" t="s">
        <v>45</v>
      </c>
      <c r="AJ972" s="3" t="s">
        <v>79</v>
      </c>
      <c r="AK972" s="3" t="s">
        <v>46</v>
      </c>
      <c r="AL972" s="3" t="s">
        <v>81</v>
      </c>
      <c r="AM972" s="3" t="s">
        <v>82</v>
      </c>
    </row>
    <row r="973" spans="1:39" ht="21" customHeight="1">
      <c r="A973" s="4">
        <v>43381</v>
      </c>
      <c r="B973" s="3" t="s">
        <v>78</v>
      </c>
      <c r="C973" s="3" t="s">
        <v>79</v>
      </c>
      <c r="D973" s="4">
        <v>43159</v>
      </c>
      <c r="E973" s="3">
        <f t="shared" si="204"/>
        <v>222</v>
      </c>
      <c r="F973" s="3" t="str">
        <f t="shared" si="205"/>
        <v>개봉후</v>
      </c>
      <c r="G973" s="3" t="str">
        <f t="shared" si="206"/>
        <v>월</v>
      </c>
      <c r="H973" s="3">
        <f t="shared" si="207"/>
        <v>0</v>
      </c>
      <c r="I973" s="3">
        <v>23856</v>
      </c>
      <c r="J973" s="3">
        <v>14962</v>
      </c>
      <c r="K973" s="3">
        <v>8894</v>
      </c>
      <c r="L973" s="12">
        <f t="shared" si="208"/>
        <v>0.62717974513749164</v>
      </c>
      <c r="M973" s="12">
        <f t="shared" si="209"/>
        <v>-0.30582552522842343</v>
      </c>
      <c r="N973" s="11">
        <f t="shared" si="211"/>
        <v>26178.428571428572</v>
      </c>
      <c r="O973" s="11">
        <f t="shared" si="197"/>
        <v>33355.75</v>
      </c>
      <c r="P973" s="11">
        <f t="shared" si="198"/>
        <v>0.71519902865323071</v>
      </c>
      <c r="Q973" s="7"/>
      <c r="R973" s="7"/>
      <c r="S973" s="7"/>
      <c r="T973" s="7"/>
      <c r="U973" s="7"/>
      <c r="V973" s="7"/>
      <c r="W973" s="7"/>
      <c r="X973" s="3" t="s">
        <v>86</v>
      </c>
      <c r="Y973" s="3"/>
      <c r="Z973" s="9"/>
      <c r="AA973" s="12" t="str">
        <f t="shared" si="210"/>
        <v/>
      </c>
      <c r="AB973" s="9" t="str">
        <f t="shared" si="212"/>
        <v/>
      </c>
      <c r="AC973" s="9" t="str">
        <f t="shared" si="199"/>
        <v/>
      </c>
      <c r="AD973" s="9" t="str">
        <f t="shared" si="200"/>
        <v/>
      </c>
      <c r="AE973" s="3"/>
      <c r="AF973" s="11">
        <f t="shared" si="201"/>
        <v>35610</v>
      </c>
      <c r="AG973" s="11">
        <f t="shared" si="202"/>
        <v>0.42016287559674248</v>
      </c>
      <c r="AH973" s="11" t="str">
        <f t="shared" si="203"/>
        <v/>
      </c>
      <c r="AI973" s="3" t="s">
        <v>45</v>
      </c>
      <c r="AJ973" s="3" t="s">
        <v>79</v>
      </c>
      <c r="AK973" s="3" t="s">
        <v>46</v>
      </c>
      <c r="AL973" s="3" t="s">
        <v>81</v>
      </c>
      <c r="AM973" s="3" t="s">
        <v>82</v>
      </c>
    </row>
    <row r="974" spans="1:39" ht="21" customHeight="1">
      <c r="A974" s="4">
        <v>43382</v>
      </c>
      <c r="B974" s="3" t="s">
        <v>78</v>
      </c>
      <c r="C974" s="3" t="s">
        <v>79</v>
      </c>
      <c r="D974" s="4">
        <v>43159</v>
      </c>
      <c r="E974" s="3">
        <f t="shared" si="204"/>
        <v>223</v>
      </c>
      <c r="F974" s="3" t="str">
        <f t="shared" si="205"/>
        <v>개봉후</v>
      </c>
      <c r="G974" s="3" t="str">
        <f t="shared" si="206"/>
        <v>화</v>
      </c>
      <c r="H974" s="3">
        <f t="shared" si="207"/>
        <v>0</v>
      </c>
      <c r="I974" s="3">
        <v>29782</v>
      </c>
      <c r="J974" s="3">
        <v>21889</v>
      </c>
      <c r="K974" s="3">
        <v>7892</v>
      </c>
      <c r="L974" s="12">
        <f t="shared" si="208"/>
        <v>0.73497414545698747</v>
      </c>
      <c r="M974" s="12">
        <f t="shared" si="209"/>
        <v>0.24840710932260235</v>
      </c>
      <c r="N974" s="11">
        <f t="shared" si="211"/>
        <v>27216.428571428572</v>
      </c>
      <c r="O974" s="11">
        <f t="shared" si="197"/>
        <v>33447.892857142855</v>
      </c>
      <c r="P974" s="11">
        <f t="shared" si="198"/>
        <v>0.89039988639045176</v>
      </c>
      <c r="Q974" s="7"/>
      <c r="R974" s="7"/>
      <c r="S974" s="7"/>
      <c r="T974" s="7"/>
      <c r="U974" s="7"/>
      <c r="V974" s="7"/>
      <c r="W974" s="7"/>
      <c r="X974" s="3" t="s">
        <v>86</v>
      </c>
      <c r="Y974" s="3"/>
      <c r="Z974" s="9"/>
      <c r="AA974" s="12" t="str">
        <f t="shared" si="210"/>
        <v/>
      </c>
      <c r="AB974" s="9" t="str">
        <f t="shared" si="212"/>
        <v/>
      </c>
      <c r="AC974" s="9" t="str">
        <f t="shared" si="199"/>
        <v/>
      </c>
      <c r="AD974" s="9" t="str">
        <f t="shared" si="200"/>
        <v/>
      </c>
      <c r="AE974" s="3"/>
      <c r="AF974" s="11">
        <f t="shared" si="201"/>
        <v>25066</v>
      </c>
      <c r="AG974" s="11">
        <f t="shared" si="202"/>
        <v>0.87325460783531472</v>
      </c>
      <c r="AH974" s="11" t="str">
        <f t="shared" si="203"/>
        <v/>
      </c>
      <c r="AI974" s="3" t="s">
        <v>45</v>
      </c>
      <c r="AJ974" s="3" t="s">
        <v>79</v>
      </c>
      <c r="AK974" s="3" t="s">
        <v>46</v>
      </c>
      <c r="AL974" s="3" t="s">
        <v>81</v>
      </c>
      <c r="AM974" s="3" t="s">
        <v>82</v>
      </c>
    </row>
    <row r="975" spans="1:39" ht="21" customHeight="1">
      <c r="A975" s="4">
        <v>43383</v>
      </c>
      <c r="B975" s="3" t="s">
        <v>78</v>
      </c>
      <c r="C975" s="3" t="s">
        <v>79</v>
      </c>
      <c r="D975" s="4">
        <v>43159</v>
      </c>
      <c r="E975" s="3">
        <f t="shared" si="204"/>
        <v>224</v>
      </c>
      <c r="F975" s="3" t="str">
        <f t="shared" si="205"/>
        <v>개봉후</v>
      </c>
      <c r="G975" s="3" t="str">
        <f t="shared" si="206"/>
        <v>수</v>
      </c>
      <c r="H975" s="3">
        <f t="shared" si="207"/>
        <v>0</v>
      </c>
      <c r="I975" s="3">
        <v>26768</v>
      </c>
      <c r="J975" s="3">
        <v>17322</v>
      </c>
      <c r="K975" s="3">
        <v>9446</v>
      </c>
      <c r="L975" s="12">
        <f t="shared" si="208"/>
        <v>0.6471159593544531</v>
      </c>
      <c r="M975" s="12">
        <f t="shared" si="209"/>
        <v>-0.10120206836344103</v>
      </c>
      <c r="N975" s="11">
        <f t="shared" si="211"/>
        <v>26981.428571428572</v>
      </c>
      <c r="O975" s="11">
        <f t="shared" si="197"/>
        <v>33708.178571428572</v>
      </c>
      <c r="P975" s="11">
        <f t="shared" si="198"/>
        <v>0.79410995000153628</v>
      </c>
      <c r="Q975" s="7"/>
      <c r="R975" s="7"/>
      <c r="S975" s="7"/>
      <c r="T975" s="7"/>
      <c r="U975" s="7"/>
      <c r="V975" s="7"/>
      <c r="W975" s="7"/>
      <c r="X975" s="3" t="s">
        <v>86</v>
      </c>
      <c r="Y975" s="3"/>
      <c r="Z975" s="9"/>
      <c r="AA975" s="12" t="str">
        <f t="shared" si="210"/>
        <v/>
      </c>
      <c r="AB975" s="9" t="str">
        <f t="shared" si="212"/>
        <v/>
      </c>
      <c r="AC975" s="9" t="str">
        <f t="shared" si="199"/>
        <v/>
      </c>
      <c r="AD975" s="9" t="str">
        <f t="shared" si="200"/>
        <v/>
      </c>
      <c r="AE975" s="3"/>
      <c r="AF975" s="11">
        <f t="shared" si="201"/>
        <v>18822</v>
      </c>
      <c r="AG975" s="11">
        <f t="shared" si="202"/>
        <v>0.92030602486452029</v>
      </c>
      <c r="AH975" s="11" t="str">
        <f t="shared" si="203"/>
        <v/>
      </c>
      <c r="AI975" s="3" t="s">
        <v>45</v>
      </c>
      <c r="AJ975" s="3" t="s">
        <v>79</v>
      </c>
      <c r="AK975" s="3" t="s">
        <v>46</v>
      </c>
      <c r="AL975" s="3" t="s">
        <v>81</v>
      </c>
      <c r="AM975" s="3" t="s">
        <v>82</v>
      </c>
    </row>
    <row r="976" spans="1:39" ht="21" customHeight="1">
      <c r="A976" s="4">
        <v>43384</v>
      </c>
      <c r="B976" s="3" t="s">
        <v>78</v>
      </c>
      <c r="C976" s="3" t="s">
        <v>79</v>
      </c>
      <c r="D976" s="4">
        <v>43159</v>
      </c>
      <c r="E976" s="3">
        <f t="shared" si="204"/>
        <v>225</v>
      </c>
      <c r="F976" s="3" t="str">
        <f t="shared" si="205"/>
        <v>개봉후</v>
      </c>
      <c r="G976" s="3" t="str">
        <f t="shared" si="206"/>
        <v>목</v>
      </c>
      <c r="H976" s="3">
        <f t="shared" si="207"/>
        <v>0</v>
      </c>
      <c r="I976" s="3">
        <v>22852</v>
      </c>
      <c r="J976" s="3">
        <v>13024</v>
      </c>
      <c r="K976" s="3">
        <v>9828</v>
      </c>
      <c r="L976" s="12">
        <f t="shared" si="208"/>
        <v>0.56992823385261682</v>
      </c>
      <c r="M976" s="12">
        <f t="shared" si="209"/>
        <v>-0.14629408248655107</v>
      </c>
      <c r="N976" s="11">
        <f t="shared" si="211"/>
        <v>27196.571428571428</v>
      </c>
      <c r="O976" s="11">
        <f t="shared" si="197"/>
        <v>33839.821428571428</v>
      </c>
      <c r="P976" s="11">
        <f t="shared" si="198"/>
        <v>0.67529907178250481</v>
      </c>
      <c r="Q976" s="7"/>
      <c r="R976" s="7"/>
      <c r="S976" s="7"/>
      <c r="T976" s="7"/>
      <c r="U976" s="7"/>
      <c r="V976" s="7"/>
      <c r="W976" s="7"/>
      <c r="X976" s="3" t="s">
        <v>86</v>
      </c>
      <c r="Y976" s="3"/>
      <c r="Z976" s="9"/>
      <c r="AA976" s="12" t="str">
        <f t="shared" si="210"/>
        <v/>
      </c>
      <c r="AB976" s="9" t="str">
        <f t="shared" si="212"/>
        <v/>
      </c>
      <c r="AC976" s="9" t="str">
        <f t="shared" si="199"/>
        <v/>
      </c>
      <c r="AD976" s="9" t="str">
        <f t="shared" si="200"/>
        <v/>
      </c>
      <c r="AE976" s="3"/>
      <c r="AF976" s="11">
        <f t="shared" si="201"/>
        <v>14645.75</v>
      </c>
      <c r="AG976" s="11">
        <f t="shared" si="202"/>
        <v>0.88926821774234843</v>
      </c>
      <c r="AH976" s="11" t="str">
        <f t="shared" si="203"/>
        <v/>
      </c>
      <c r="AI976" s="3" t="s">
        <v>45</v>
      </c>
      <c r="AJ976" s="3" t="s">
        <v>79</v>
      </c>
      <c r="AK976" s="3" t="s">
        <v>46</v>
      </c>
      <c r="AL976" s="3" t="s">
        <v>81</v>
      </c>
      <c r="AM976" s="3" t="s">
        <v>82</v>
      </c>
    </row>
    <row r="977" spans="1:39" ht="21" customHeight="1">
      <c r="A977" s="4">
        <v>43385</v>
      </c>
      <c r="B977" s="3" t="s">
        <v>78</v>
      </c>
      <c r="C977" s="3" t="s">
        <v>79</v>
      </c>
      <c r="D977" s="4">
        <v>43159</v>
      </c>
      <c r="E977" s="3">
        <f t="shared" si="204"/>
        <v>226</v>
      </c>
      <c r="F977" s="3" t="str">
        <f t="shared" si="205"/>
        <v>개봉후</v>
      </c>
      <c r="G977" s="3" t="str">
        <f t="shared" si="206"/>
        <v>금</v>
      </c>
      <c r="H977" s="3">
        <f t="shared" si="207"/>
        <v>0</v>
      </c>
      <c r="I977" s="3">
        <v>26831</v>
      </c>
      <c r="J977" s="3">
        <v>16160</v>
      </c>
      <c r="K977" s="3">
        <v>10672</v>
      </c>
      <c r="L977" s="12">
        <f t="shared" si="208"/>
        <v>0.60228839774887255</v>
      </c>
      <c r="M977" s="12">
        <f t="shared" si="209"/>
        <v>0.17412042709609654</v>
      </c>
      <c r="N977" s="11">
        <f t="shared" si="211"/>
        <v>27453.571428571428</v>
      </c>
      <c r="O977" s="11">
        <f t="shared" si="197"/>
        <v>33824.964285714283</v>
      </c>
      <c r="P977" s="11">
        <f t="shared" si="198"/>
        <v>0.79323069710769423</v>
      </c>
      <c r="Q977" s="7"/>
      <c r="R977" s="7"/>
      <c r="S977" s="7"/>
      <c r="T977" s="7"/>
      <c r="U977" s="7"/>
      <c r="V977" s="7"/>
      <c r="W977" s="7"/>
      <c r="X977" s="3" t="s">
        <v>86</v>
      </c>
      <c r="Y977" s="3"/>
      <c r="Z977" s="9"/>
      <c r="AA977" s="12" t="str">
        <f t="shared" si="210"/>
        <v/>
      </c>
      <c r="AB977" s="9" t="str">
        <f t="shared" si="212"/>
        <v/>
      </c>
      <c r="AC977" s="9" t="str">
        <f t="shared" si="199"/>
        <v/>
      </c>
      <c r="AD977" s="9" t="str">
        <f t="shared" si="200"/>
        <v/>
      </c>
      <c r="AE977" s="3"/>
      <c r="AF977" s="11">
        <f t="shared" si="201"/>
        <v>17684.75</v>
      </c>
      <c r="AG977" s="11">
        <f t="shared" si="202"/>
        <v>0.91378164803008244</v>
      </c>
      <c r="AH977" s="11" t="str">
        <f t="shared" si="203"/>
        <v/>
      </c>
      <c r="AI977" s="3" t="s">
        <v>45</v>
      </c>
      <c r="AJ977" s="3" t="s">
        <v>79</v>
      </c>
      <c r="AK977" s="3" t="s">
        <v>46</v>
      </c>
      <c r="AL977" s="3" t="s">
        <v>81</v>
      </c>
      <c r="AM977" s="3" t="s">
        <v>82</v>
      </c>
    </row>
    <row r="978" spans="1:39" ht="21" customHeight="1">
      <c r="A978" s="4">
        <v>43386</v>
      </c>
      <c r="B978" s="3" t="s">
        <v>78</v>
      </c>
      <c r="C978" s="3" t="s">
        <v>79</v>
      </c>
      <c r="D978" s="4">
        <v>43159</v>
      </c>
      <c r="E978" s="3">
        <f t="shared" si="204"/>
        <v>227</v>
      </c>
      <c r="F978" s="3" t="str">
        <f t="shared" si="205"/>
        <v>개봉후</v>
      </c>
      <c r="G978" s="3" t="str">
        <f t="shared" si="206"/>
        <v>토</v>
      </c>
      <c r="H978" s="3">
        <f t="shared" si="207"/>
        <v>1</v>
      </c>
      <c r="I978" s="3">
        <v>35052</v>
      </c>
      <c r="J978" s="3">
        <v>26338</v>
      </c>
      <c r="K978" s="3">
        <v>8715</v>
      </c>
      <c r="L978" s="12">
        <f t="shared" si="208"/>
        <v>0.75139792308570119</v>
      </c>
      <c r="M978" s="12">
        <f t="shared" si="209"/>
        <v>0.30639931422608169</v>
      </c>
      <c r="N978" s="11">
        <f t="shared" si="211"/>
        <v>28501</v>
      </c>
      <c r="O978" s="11">
        <f t="shared" si="197"/>
        <v>33785.714285714283</v>
      </c>
      <c r="P978" s="11">
        <f t="shared" si="198"/>
        <v>1.037479915433404</v>
      </c>
      <c r="Q978" s="7"/>
      <c r="R978" s="7"/>
      <c r="S978" s="7"/>
      <c r="T978" s="7"/>
      <c r="U978" s="7"/>
      <c r="V978" s="7"/>
      <c r="W978" s="7"/>
      <c r="X978" s="3" t="s">
        <v>86</v>
      </c>
      <c r="Y978" s="3"/>
      <c r="Z978" s="9"/>
      <c r="AA978" s="12" t="str">
        <f t="shared" si="210"/>
        <v/>
      </c>
      <c r="AB978" s="9" t="str">
        <f t="shared" si="212"/>
        <v/>
      </c>
      <c r="AC978" s="9" t="str">
        <f t="shared" si="199"/>
        <v/>
      </c>
      <c r="AD978" s="9" t="str">
        <f t="shared" si="200"/>
        <v/>
      </c>
      <c r="AE978" s="3"/>
      <c r="AF978" s="11">
        <f t="shared" si="201"/>
        <v>27661.25</v>
      </c>
      <c r="AG978" s="11">
        <f t="shared" si="202"/>
        <v>0.95216232093632791</v>
      </c>
      <c r="AH978" s="11" t="str">
        <f t="shared" si="203"/>
        <v/>
      </c>
      <c r="AI978" s="3" t="s">
        <v>45</v>
      </c>
      <c r="AJ978" s="3" t="s">
        <v>79</v>
      </c>
      <c r="AK978" s="3" t="s">
        <v>46</v>
      </c>
      <c r="AL978" s="3" t="s">
        <v>81</v>
      </c>
      <c r="AM978" s="3" t="s">
        <v>82</v>
      </c>
    </row>
    <row r="979" spans="1:39" ht="21" customHeight="1">
      <c r="A979" s="4">
        <v>43387</v>
      </c>
      <c r="B979" s="3" t="s">
        <v>78</v>
      </c>
      <c r="C979" s="3" t="s">
        <v>79</v>
      </c>
      <c r="D979" s="4">
        <v>43159</v>
      </c>
      <c r="E979" s="3">
        <f t="shared" si="204"/>
        <v>228</v>
      </c>
      <c r="F979" s="3" t="str">
        <f t="shared" si="205"/>
        <v>개봉후</v>
      </c>
      <c r="G979" s="3" t="str">
        <f t="shared" si="206"/>
        <v>일</v>
      </c>
      <c r="H979" s="3">
        <f t="shared" si="207"/>
        <v>1</v>
      </c>
      <c r="I979" s="3">
        <v>37866</v>
      </c>
      <c r="J979" s="3">
        <v>30310</v>
      </c>
      <c r="K979" s="3">
        <v>7556</v>
      </c>
      <c r="L979" s="12">
        <f t="shared" si="208"/>
        <v>0.80045423334917865</v>
      </c>
      <c r="M979" s="12">
        <f t="shared" si="209"/>
        <v>8.0280725778842932E-2</v>
      </c>
      <c r="N979" s="11">
        <f t="shared" si="211"/>
        <v>29001</v>
      </c>
      <c r="O979" s="11">
        <f t="shared" si="197"/>
        <v>33810.071428571428</v>
      </c>
      <c r="P979" s="11">
        <f t="shared" si="198"/>
        <v>1.1199621414582721</v>
      </c>
      <c r="Q979" s="7"/>
      <c r="R979" s="7"/>
      <c r="S979" s="7"/>
      <c r="T979" s="7"/>
      <c r="U979" s="7"/>
      <c r="V979" s="7"/>
      <c r="W979" s="7"/>
      <c r="X979" s="3" t="s">
        <v>86</v>
      </c>
      <c r="Y979" s="3"/>
      <c r="Z979" s="9"/>
      <c r="AA979" s="12" t="str">
        <f t="shared" si="210"/>
        <v/>
      </c>
      <c r="AB979" s="9" t="str">
        <f t="shared" si="212"/>
        <v/>
      </c>
      <c r="AC979" s="9" t="str">
        <f t="shared" si="199"/>
        <v/>
      </c>
      <c r="AD979" s="9" t="str">
        <f t="shared" si="200"/>
        <v/>
      </c>
      <c r="AE979" s="3"/>
      <c r="AF979" s="11">
        <f t="shared" si="201"/>
        <v>34506.25</v>
      </c>
      <c r="AG979" s="11">
        <f t="shared" si="202"/>
        <v>0.87839159572541203</v>
      </c>
      <c r="AH979" s="11" t="str">
        <f t="shared" si="203"/>
        <v/>
      </c>
      <c r="AI979" s="3" t="s">
        <v>45</v>
      </c>
      <c r="AJ979" s="3" t="s">
        <v>79</v>
      </c>
      <c r="AK979" s="3" t="s">
        <v>46</v>
      </c>
      <c r="AL979" s="3" t="s">
        <v>81</v>
      </c>
      <c r="AM979" s="3" t="s">
        <v>82</v>
      </c>
    </row>
    <row r="980" spans="1:39" ht="21" customHeight="1">
      <c r="A980" s="4">
        <v>43388</v>
      </c>
      <c r="B980" s="3" t="s">
        <v>78</v>
      </c>
      <c r="C980" s="3" t="s">
        <v>79</v>
      </c>
      <c r="D980" s="4">
        <v>43159</v>
      </c>
      <c r="E980" s="3">
        <f t="shared" si="204"/>
        <v>229</v>
      </c>
      <c r="F980" s="3" t="str">
        <f t="shared" si="205"/>
        <v>개봉후</v>
      </c>
      <c r="G980" s="3" t="str">
        <f t="shared" si="206"/>
        <v>월</v>
      </c>
      <c r="H980" s="3">
        <f t="shared" si="207"/>
        <v>0</v>
      </c>
      <c r="I980" s="3">
        <v>21259</v>
      </c>
      <c r="J980" s="3">
        <v>12302</v>
      </c>
      <c r="K980" s="3">
        <v>8956</v>
      </c>
      <c r="L980" s="12">
        <f t="shared" si="208"/>
        <v>0.57867256220894681</v>
      </c>
      <c r="M980" s="12">
        <f t="shared" si="209"/>
        <v>-0.43857286219827818</v>
      </c>
      <c r="N980" s="11">
        <f t="shared" si="211"/>
        <v>28630</v>
      </c>
      <c r="O980" s="11">
        <f t="shared" si="197"/>
        <v>33653.928571428572</v>
      </c>
      <c r="P980" s="11">
        <f t="shared" si="198"/>
        <v>0.63169445299317628</v>
      </c>
      <c r="Q980" s="7"/>
      <c r="R980" s="7"/>
      <c r="S980" s="7"/>
      <c r="T980" s="7"/>
      <c r="U980" s="7"/>
      <c r="V980" s="7"/>
      <c r="W980" s="7"/>
      <c r="X980" s="3" t="s">
        <v>86</v>
      </c>
      <c r="Y980" s="3"/>
      <c r="Z980" s="9"/>
      <c r="AA980" s="12" t="str">
        <f t="shared" si="210"/>
        <v/>
      </c>
      <c r="AB980" s="9" t="str">
        <f t="shared" si="212"/>
        <v/>
      </c>
      <c r="AC980" s="9" t="str">
        <f t="shared" si="199"/>
        <v/>
      </c>
      <c r="AD980" s="9" t="str">
        <f t="shared" si="200"/>
        <v/>
      </c>
      <c r="AE980" s="3"/>
      <c r="AF980" s="11">
        <f t="shared" si="201"/>
        <v>36362.5</v>
      </c>
      <c r="AG980" s="11">
        <f t="shared" si="202"/>
        <v>0.33831557236163629</v>
      </c>
      <c r="AH980" s="11" t="str">
        <f t="shared" si="203"/>
        <v/>
      </c>
      <c r="AI980" s="3" t="s">
        <v>45</v>
      </c>
      <c r="AJ980" s="3" t="s">
        <v>79</v>
      </c>
      <c r="AK980" s="3" t="s">
        <v>46</v>
      </c>
      <c r="AL980" s="3" t="s">
        <v>81</v>
      </c>
      <c r="AM980" s="3" t="s">
        <v>82</v>
      </c>
    </row>
    <row r="981" spans="1:39" ht="21" customHeight="1">
      <c r="A981" s="4">
        <v>43389</v>
      </c>
      <c r="B981" s="3" t="s">
        <v>78</v>
      </c>
      <c r="C981" s="3" t="s">
        <v>79</v>
      </c>
      <c r="D981" s="4">
        <v>43159</v>
      </c>
      <c r="E981" s="3">
        <f t="shared" si="204"/>
        <v>230</v>
      </c>
      <c r="F981" s="3" t="str">
        <f t="shared" si="205"/>
        <v>개봉후</v>
      </c>
      <c r="G981" s="3" t="str">
        <f t="shared" si="206"/>
        <v>화</v>
      </c>
      <c r="H981" s="3">
        <f t="shared" si="207"/>
        <v>0</v>
      </c>
      <c r="I981" s="3">
        <v>21606</v>
      </c>
      <c r="J981" s="3">
        <v>12726</v>
      </c>
      <c r="K981" s="3">
        <v>8880</v>
      </c>
      <c r="L981" s="12">
        <f t="shared" si="208"/>
        <v>0.58900305470702585</v>
      </c>
      <c r="M981" s="12">
        <f t="shared" si="209"/>
        <v>1.6322498706430322E-2</v>
      </c>
      <c r="N981" s="11">
        <f t="shared" si="211"/>
        <v>27462</v>
      </c>
      <c r="O981" s="11">
        <f t="shared" si="197"/>
        <v>33458.178571428572</v>
      </c>
      <c r="P981" s="11">
        <f t="shared" si="198"/>
        <v>0.64576139295431711</v>
      </c>
      <c r="Q981" s="7"/>
      <c r="R981" s="7"/>
      <c r="S981" s="7"/>
      <c r="T981" s="7"/>
      <c r="U981" s="7"/>
      <c r="V981" s="7"/>
      <c r="W981" s="7"/>
      <c r="X981" s="3" t="s">
        <v>86</v>
      </c>
      <c r="Y981" s="3"/>
      <c r="Z981" s="9"/>
      <c r="AA981" s="12" t="str">
        <f t="shared" si="210"/>
        <v/>
      </c>
      <c r="AB981" s="9" t="str">
        <f t="shared" si="212"/>
        <v/>
      </c>
      <c r="AC981" s="9" t="str">
        <f t="shared" si="199"/>
        <v/>
      </c>
      <c r="AD981" s="9" t="str">
        <f t="shared" si="200"/>
        <v/>
      </c>
      <c r="AE981" s="3"/>
      <c r="AF981" s="11">
        <f t="shared" si="201"/>
        <v>27270.25</v>
      </c>
      <c r="AG981" s="11">
        <f t="shared" si="202"/>
        <v>0.46666238850028879</v>
      </c>
      <c r="AH981" s="11" t="str">
        <f t="shared" si="203"/>
        <v/>
      </c>
      <c r="AI981" s="3" t="s">
        <v>45</v>
      </c>
      <c r="AJ981" s="3" t="s">
        <v>79</v>
      </c>
      <c r="AK981" s="3" t="s">
        <v>46</v>
      </c>
      <c r="AL981" s="3" t="s">
        <v>81</v>
      </c>
      <c r="AM981" s="3" t="s">
        <v>82</v>
      </c>
    </row>
    <row r="982" spans="1:39" ht="21" customHeight="1">
      <c r="A982" s="4">
        <v>43390</v>
      </c>
      <c r="B982" s="3" t="s">
        <v>78</v>
      </c>
      <c r="C982" s="3" t="s">
        <v>79</v>
      </c>
      <c r="D982" s="4">
        <v>43159</v>
      </c>
      <c r="E982" s="3">
        <f t="shared" si="204"/>
        <v>231</v>
      </c>
      <c r="F982" s="3" t="str">
        <f t="shared" si="205"/>
        <v>개봉후</v>
      </c>
      <c r="G982" s="3" t="str">
        <f t="shared" si="206"/>
        <v>수</v>
      </c>
      <c r="H982" s="3">
        <f t="shared" si="207"/>
        <v>0</v>
      </c>
      <c r="I982" s="3">
        <v>22925</v>
      </c>
      <c r="J982" s="3">
        <v>13668</v>
      </c>
      <c r="K982" s="3">
        <v>9258</v>
      </c>
      <c r="L982" s="12">
        <f t="shared" si="208"/>
        <v>0.59620501635768808</v>
      </c>
      <c r="M982" s="12">
        <f t="shared" si="209"/>
        <v>6.1047857076737877E-2</v>
      </c>
      <c r="N982" s="11">
        <f t="shared" si="211"/>
        <v>26913</v>
      </c>
      <c r="O982" s="11">
        <f t="shared" si="197"/>
        <v>33217.178571428572</v>
      </c>
      <c r="P982" s="11">
        <f t="shared" si="198"/>
        <v>0.69015494349416873</v>
      </c>
      <c r="Q982" s="7">
        <v>1</v>
      </c>
      <c r="R982" s="7">
        <v>1</v>
      </c>
      <c r="S982" s="7">
        <v>293</v>
      </c>
      <c r="T982" s="7">
        <v>90000</v>
      </c>
      <c r="U982" s="7">
        <v>10</v>
      </c>
      <c r="V982" s="7">
        <v>1505732</v>
      </c>
      <c r="W982" s="7">
        <v>78</v>
      </c>
      <c r="X982" s="3" t="s">
        <v>86</v>
      </c>
      <c r="Y982" s="3" t="s">
        <v>83</v>
      </c>
      <c r="Z982" s="9"/>
      <c r="AA982" s="12" t="str">
        <f t="shared" si="210"/>
        <v/>
      </c>
      <c r="AB982" s="9" t="str">
        <f t="shared" si="212"/>
        <v/>
      </c>
      <c r="AC982" s="9" t="str">
        <f t="shared" si="199"/>
        <v/>
      </c>
      <c r="AD982" s="9" t="str">
        <f t="shared" si="200"/>
        <v/>
      </c>
      <c r="AE982" s="3"/>
      <c r="AF982" s="11">
        <f t="shared" si="201"/>
        <v>19726</v>
      </c>
      <c r="AG982" s="11">
        <f t="shared" si="202"/>
        <v>0.69289262901754034</v>
      </c>
      <c r="AH982" s="11" t="str">
        <f t="shared" si="203"/>
        <v/>
      </c>
      <c r="AI982" s="3" t="s">
        <v>45</v>
      </c>
      <c r="AJ982" s="3" t="s">
        <v>79</v>
      </c>
      <c r="AK982" s="3" t="s">
        <v>46</v>
      </c>
      <c r="AL982" s="3" t="s">
        <v>81</v>
      </c>
      <c r="AM982" s="3" t="s">
        <v>82</v>
      </c>
    </row>
    <row r="983" spans="1:39" ht="21" customHeight="1">
      <c r="A983" s="4">
        <v>43391</v>
      </c>
      <c r="B983" s="3" t="s">
        <v>78</v>
      </c>
      <c r="C983" s="3" t="s">
        <v>79</v>
      </c>
      <c r="D983" s="4">
        <v>43159</v>
      </c>
      <c r="E983" s="3">
        <f t="shared" si="204"/>
        <v>232</v>
      </c>
      <c r="F983" s="3" t="str">
        <f t="shared" si="205"/>
        <v>개봉후</v>
      </c>
      <c r="G983" s="3" t="str">
        <f t="shared" si="206"/>
        <v>목</v>
      </c>
      <c r="H983" s="3">
        <f t="shared" si="207"/>
        <v>0</v>
      </c>
      <c r="I983" s="3">
        <v>20822</v>
      </c>
      <c r="J983" s="3">
        <v>12156</v>
      </c>
      <c r="K983" s="3">
        <v>8666</v>
      </c>
      <c r="L983" s="12">
        <f t="shared" si="208"/>
        <v>0.58380559024109113</v>
      </c>
      <c r="M983" s="12">
        <f t="shared" si="209"/>
        <v>-9.173391494002181E-2</v>
      </c>
      <c r="N983" s="11">
        <f t="shared" si="211"/>
        <v>26623</v>
      </c>
      <c r="O983" s="11">
        <f t="shared" ref="O983:O1046" si="213">IF(COUNT(I955:I982)=28,AVERAGE(I955:I982),"")</f>
        <v>33188.928571428572</v>
      </c>
      <c r="P983" s="11">
        <f t="shared" ref="P983:P1046" si="214">IF(COUNT(I983,O983)=2,IFERROR(I983/O983,""),"")</f>
        <v>0.62737789064769878</v>
      </c>
      <c r="Q983" s="7"/>
      <c r="R983" s="7"/>
      <c r="S983" s="7"/>
      <c r="T983" s="7"/>
      <c r="U983" s="7"/>
      <c r="V983" s="7"/>
      <c r="W983" s="7"/>
      <c r="X983" s="3" t="s">
        <v>86</v>
      </c>
      <c r="Y983" s="3"/>
      <c r="Z983" s="9"/>
      <c r="AA983" s="12" t="str">
        <f t="shared" si="210"/>
        <v/>
      </c>
      <c r="AB983" s="9" t="str">
        <f t="shared" si="212"/>
        <v/>
      </c>
      <c r="AC983" s="9" t="str">
        <f t="shared" ref="AC983:AC1046" si="215">IF(COUNT(Z955:Z982)=28,AVERAGE(Z955:Z982),"")</f>
        <v/>
      </c>
      <c r="AD983" s="9" t="str">
        <f t="shared" ref="AD983:AD1046" si="216">IF(COUNT(AB983:AC983)=2,IFERROR(AB983/AC983,""),"")</f>
        <v/>
      </c>
      <c r="AE983" s="3"/>
      <c r="AF983" s="11">
        <f t="shared" ref="AF983:AF1046" si="217">IF(COUNT(J976,J969,J962,J955)=4,AVERAGE(J976,J969,J962,J955),"")</f>
        <v>14496.25</v>
      </c>
      <c r="AG983" s="11">
        <f t="shared" ref="AG983:AG1046" si="218">IF(COUNT(J983,AF983)=2,IFERROR(J983/AF983,""),"")</f>
        <v>0.83856169699060101</v>
      </c>
      <c r="AH983" s="11" t="str">
        <f t="shared" ref="AH983:AH1046" si="219">IF(COUNT(Z983,AC983)=2,IFERROR(Z983/AC983,""),"")</f>
        <v/>
      </c>
      <c r="AI983" s="3" t="s">
        <v>45</v>
      </c>
      <c r="AJ983" s="3" t="s">
        <v>79</v>
      </c>
      <c r="AK983" s="3" t="s">
        <v>46</v>
      </c>
      <c r="AL983" s="3" t="s">
        <v>81</v>
      </c>
      <c r="AM983" s="3" t="s">
        <v>82</v>
      </c>
    </row>
    <row r="984" spans="1:39" ht="21" customHeight="1">
      <c r="A984" s="4">
        <v>43392</v>
      </c>
      <c r="B984" s="3" t="s">
        <v>78</v>
      </c>
      <c r="C984" s="3" t="s">
        <v>79</v>
      </c>
      <c r="D984" s="4">
        <v>43159</v>
      </c>
      <c r="E984" s="3">
        <f t="shared" si="204"/>
        <v>233</v>
      </c>
      <c r="F984" s="3" t="str">
        <f t="shared" si="205"/>
        <v>개봉후</v>
      </c>
      <c r="G984" s="3" t="str">
        <f t="shared" si="206"/>
        <v>금</v>
      </c>
      <c r="H984" s="3">
        <f t="shared" si="207"/>
        <v>0</v>
      </c>
      <c r="I984" s="3">
        <v>24871</v>
      </c>
      <c r="J984" s="3">
        <v>15712</v>
      </c>
      <c r="K984" s="3">
        <v>9160</v>
      </c>
      <c r="L984" s="12">
        <f t="shared" si="208"/>
        <v>0.63173977725061314</v>
      </c>
      <c r="M984" s="12">
        <f t="shared" si="209"/>
        <v>0.19445778503505906</v>
      </c>
      <c r="N984" s="11">
        <f t="shared" si="211"/>
        <v>26343</v>
      </c>
      <c r="O984" s="11">
        <f t="shared" si="213"/>
        <v>33004.214285714283</v>
      </c>
      <c r="P984" s="11">
        <f t="shared" si="214"/>
        <v>0.753570431481694</v>
      </c>
      <c r="Q984" s="7"/>
      <c r="R984" s="7"/>
      <c r="S984" s="7"/>
      <c r="T984" s="7"/>
      <c r="U984" s="7"/>
      <c r="V984" s="7"/>
      <c r="W984" s="7"/>
      <c r="X984" s="3" t="s">
        <v>86</v>
      </c>
      <c r="Y984" s="3"/>
      <c r="Z984" s="9"/>
      <c r="AA984" s="12" t="str">
        <f t="shared" si="210"/>
        <v/>
      </c>
      <c r="AB984" s="9" t="str">
        <f t="shared" si="212"/>
        <v/>
      </c>
      <c r="AC984" s="9" t="str">
        <f t="shared" si="215"/>
        <v/>
      </c>
      <c r="AD984" s="9" t="str">
        <f t="shared" si="216"/>
        <v/>
      </c>
      <c r="AE984" s="3"/>
      <c r="AF984" s="11">
        <f t="shared" si="217"/>
        <v>16970.75</v>
      </c>
      <c r="AG984" s="11">
        <f t="shared" si="218"/>
        <v>0.92582826333544477</v>
      </c>
      <c r="AH984" s="11" t="str">
        <f t="shared" si="219"/>
        <v/>
      </c>
      <c r="AI984" s="3" t="s">
        <v>45</v>
      </c>
      <c r="AJ984" s="3" t="s">
        <v>79</v>
      </c>
      <c r="AK984" s="3" t="s">
        <v>46</v>
      </c>
      <c r="AL984" s="3" t="s">
        <v>81</v>
      </c>
      <c r="AM984" s="3" t="s">
        <v>82</v>
      </c>
    </row>
    <row r="985" spans="1:39" ht="21" customHeight="1">
      <c r="A985" s="4">
        <v>43393</v>
      </c>
      <c r="B985" s="3" t="s">
        <v>78</v>
      </c>
      <c r="C985" s="3" t="s">
        <v>79</v>
      </c>
      <c r="D985" s="4">
        <v>43159</v>
      </c>
      <c r="E985" s="3">
        <f t="shared" si="204"/>
        <v>234</v>
      </c>
      <c r="F985" s="3" t="str">
        <f t="shared" si="205"/>
        <v>개봉후</v>
      </c>
      <c r="G985" s="3" t="str">
        <f t="shared" si="206"/>
        <v>토</v>
      </c>
      <c r="H985" s="3">
        <f t="shared" si="207"/>
        <v>1</v>
      </c>
      <c r="I985" s="3">
        <v>34856</v>
      </c>
      <c r="J985" s="3">
        <v>26908</v>
      </c>
      <c r="K985" s="3">
        <v>7948</v>
      </c>
      <c r="L985" s="12">
        <f t="shared" si="208"/>
        <v>0.77197613036492996</v>
      </c>
      <c r="M985" s="12">
        <f t="shared" si="209"/>
        <v>0.40147159342205785</v>
      </c>
      <c r="N985" s="11">
        <f t="shared" si="211"/>
        <v>26315</v>
      </c>
      <c r="O985" s="11">
        <f t="shared" si="213"/>
        <v>32827.964285714283</v>
      </c>
      <c r="P985" s="11">
        <f t="shared" si="214"/>
        <v>1.0617776873593181</v>
      </c>
      <c r="Q985" s="7"/>
      <c r="R985" s="7"/>
      <c r="S985" s="7"/>
      <c r="T985" s="7"/>
      <c r="U985" s="7"/>
      <c r="V985" s="7"/>
      <c r="W985" s="7"/>
      <c r="X985" s="3" t="s">
        <v>86</v>
      </c>
      <c r="Y985" s="3"/>
      <c r="Z985" s="9"/>
      <c r="AA985" s="12" t="str">
        <f t="shared" si="210"/>
        <v/>
      </c>
      <c r="AB985" s="9" t="str">
        <f t="shared" si="212"/>
        <v/>
      </c>
      <c r="AC985" s="9" t="str">
        <f t="shared" si="215"/>
        <v/>
      </c>
      <c r="AD985" s="9" t="str">
        <f t="shared" si="216"/>
        <v/>
      </c>
      <c r="AE985" s="3"/>
      <c r="AF985" s="11">
        <f t="shared" si="217"/>
        <v>27610.75</v>
      </c>
      <c r="AG985" s="11">
        <f t="shared" si="218"/>
        <v>0.97454795686462703</v>
      </c>
      <c r="AH985" s="11" t="str">
        <f t="shared" si="219"/>
        <v/>
      </c>
      <c r="AI985" s="3" t="s">
        <v>45</v>
      </c>
      <c r="AJ985" s="3" t="s">
        <v>79</v>
      </c>
      <c r="AK985" s="3" t="s">
        <v>46</v>
      </c>
      <c r="AL985" s="3" t="s">
        <v>81</v>
      </c>
      <c r="AM985" s="3" t="s">
        <v>82</v>
      </c>
    </row>
    <row r="986" spans="1:39" ht="21" customHeight="1">
      <c r="A986" s="4">
        <v>43394</v>
      </c>
      <c r="B986" s="3" t="s">
        <v>78</v>
      </c>
      <c r="C986" s="3" t="s">
        <v>79</v>
      </c>
      <c r="D986" s="4">
        <v>43159</v>
      </c>
      <c r="E986" s="3">
        <f t="shared" si="204"/>
        <v>235</v>
      </c>
      <c r="F986" s="3" t="str">
        <f t="shared" si="205"/>
        <v>개봉후</v>
      </c>
      <c r="G986" s="3" t="str">
        <f t="shared" si="206"/>
        <v>일</v>
      </c>
      <c r="H986" s="3">
        <f t="shared" si="207"/>
        <v>1</v>
      </c>
      <c r="I986" s="3">
        <v>41636</v>
      </c>
      <c r="J986" s="3">
        <v>34346</v>
      </c>
      <c r="K986" s="3">
        <v>7290</v>
      </c>
      <c r="L986" s="12">
        <f t="shared" si="208"/>
        <v>0.82491113459506193</v>
      </c>
      <c r="M986" s="12">
        <f t="shared" si="209"/>
        <v>0.19451457424833607</v>
      </c>
      <c r="N986" s="11">
        <f t="shared" si="211"/>
        <v>26853.571428571428</v>
      </c>
      <c r="O986" s="11">
        <f t="shared" si="213"/>
        <v>32300.071428571428</v>
      </c>
      <c r="P986" s="11">
        <f t="shared" si="214"/>
        <v>1.2890373970866937</v>
      </c>
      <c r="Q986" s="7"/>
      <c r="R986" s="7"/>
      <c r="S986" s="7"/>
      <c r="T986" s="7"/>
      <c r="U986" s="7"/>
      <c r="V986" s="7"/>
      <c r="W986" s="7"/>
      <c r="X986" s="3" t="s">
        <v>86</v>
      </c>
      <c r="Y986" s="3"/>
      <c r="Z986" s="9"/>
      <c r="AA986" s="12" t="str">
        <f t="shared" si="210"/>
        <v/>
      </c>
      <c r="AB986" s="9" t="str">
        <f t="shared" si="212"/>
        <v/>
      </c>
      <c r="AC986" s="9" t="str">
        <f t="shared" si="215"/>
        <v/>
      </c>
      <c r="AD986" s="9" t="str">
        <f t="shared" si="216"/>
        <v/>
      </c>
      <c r="AE986" s="3"/>
      <c r="AF986" s="11">
        <f t="shared" si="217"/>
        <v>33404.75</v>
      </c>
      <c r="AG986" s="11">
        <f t="shared" si="218"/>
        <v>1.0281771304979082</v>
      </c>
      <c r="AH986" s="11" t="str">
        <f t="shared" si="219"/>
        <v/>
      </c>
      <c r="AI986" s="3" t="s">
        <v>45</v>
      </c>
      <c r="AJ986" s="3" t="s">
        <v>79</v>
      </c>
      <c r="AK986" s="3" t="s">
        <v>46</v>
      </c>
      <c r="AL986" s="3" t="s">
        <v>81</v>
      </c>
      <c r="AM986" s="3" t="s">
        <v>82</v>
      </c>
    </row>
    <row r="987" spans="1:39" ht="21" customHeight="1">
      <c r="A987" s="4">
        <v>43395</v>
      </c>
      <c r="B987" s="3" t="s">
        <v>78</v>
      </c>
      <c r="C987" s="3" t="s">
        <v>79</v>
      </c>
      <c r="D987" s="4">
        <v>43159</v>
      </c>
      <c r="E987" s="3">
        <f t="shared" si="204"/>
        <v>236</v>
      </c>
      <c r="F987" s="3" t="str">
        <f t="shared" si="205"/>
        <v>개봉후</v>
      </c>
      <c r="G987" s="3" t="str">
        <f t="shared" si="206"/>
        <v>월</v>
      </c>
      <c r="H987" s="3">
        <f t="shared" si="207"/>
        <v>0</v>
      </c>
      <c r="I987" s="3">
        <v>26898</v>
      </c>
      <c r="J987" s="3">
        <v>17850</v>
      </c>
      <c r="K987" s="3">
        <v>9048</v>
      </c>
      <c r="L987" s="12">
        <f t="shared" si="208"/>
        <v>0.66361811287084538</v>
      </c>
      <c r="M987" s="12">
        <f t="shared" si="209"/>
        <v>-0.35397252377750021</v>
      </c>
      <c r="N987" s="11">
        <f t="shared" si="211"/>
        <v>27659.142857142859</v>
      </c>
      <c r="O987" s="11">
        <f t="shared" si="213"/>
        <v>31726.321428571428</v>
      </c>
      <c r="P987" s="11">
        <f t="shared" si="214"/>
        <v>0.84781338613611734</v>
      </c>
      <c r="Q987" s="7"/>
      <c r="R987" s="7"/>
      <c r="S987" s="7"/>
      <c r="T987" s="7"/>
      <c r="U987" s="7"/>
      <c r="V987" s="7"/>
      <c r="W987" s="7"/>
      <c r="X987" s="3" t="s">
        <v>86</v>
      </c>
      <c r="Y987" s="3"/>
      <c r="Z987" s="9"/>
      <c r="AA987" s="12" t="str">
        <f t="shared" si="210"/>
        <v/>
      </c>
      <c r="AB987" s="9" t="str">
        <f t="shared" si="212"/>
        <v/>
      </c>
      <c r="AC987" s="9" t="str">
        <f t="shared" si="215"/>
        <v/>
      </c>
      <c r="AD987" s="9" t="str">
        <f t="shared" si="216"/>
        <v/>
      </c>
      <c r="AE987" s="3"/>
      <c r="AF987" s="11">
        <f t="shared" si="217"/>
        <v>35132</v>
      </c>
      <c r="AG987" s="11">
        <f t="shared" si="218"/>
        <v>0.50808379824661276</v>
      </c>
      <c r="AH987" s="11" t="str">
        <f t="shared" si="219"/>
        <v/>
      </c>
      <c r="AI987" s="3" t="s">
        <v>45</v>
      </c>
      <c r="AJ987" s="3" t="s">
        <v>79</v>
      </c>
      <c r="AK987" s="3" t="s">
        <v>46</v>
      </c>
      <c r="AL987" s="3" t="s">
        <v>81</v>
      </c>
      <c r="AM987" s="3" t="s">
        <v>82</v>
      </c>
    </row>
    <row r="988" spans="1:39" ht="21" customHeight="1">
      <c r="A988" s="4">
        <v>43396</v>
      </c>
      <c r="B988" s="3" t="s">
        <v>78</v>
      </c>
      <c r="C988" s="3" t="s">
        <v>79</v>
      </c>
      <c r="D988" s="4">
        <v>43159</v>
      </c>
      <c r="E988" s="3">
        <f t="shared" si="204"/>
        <v>237</v>
      </c>
      <c r="F988" s="3" t="str">
        <f t="shared" si="205"/>
        <v>개봉후</v>
      </c>
      <c r="G988" s="3" t="str">
        <f t="shared" si="206"/>
        <v>화</v>
      </c>
      <c r="H988" s="3">
        <f t="shared" si="207"/>
        <v>0</v>
      </c>
      <c r="I988" s="3">
        <v>23314</v>
      </c>
      <c r="J988" s="3">
        <v>14158</v>
      </c>
      <c r="K988" s="3">
        <v>9156</v>
      </c>
      <c r="L988" s="12">
        <f t="shared" si="208"/>
        <v>0.60727459895341851</v>
      </c>
      <c r="M988" s="12">
        <f t="shared" si="209"/>
        <v>-0.13324410736857761</v>
      </c>
      <c r="N988" s="11">
        <f t="shared" si="211"/>
        <v>27903.142857142859</v>
      </c>
      <c r="O988" s="11">
        <f t="shared" si="213"/>
        <v>28942.214285714286</v>
      </c>
      <c r="P988" s="11">
        <f t="shared" si="214"/>
        <v>0.80553615455427197</v>
      </c>
      <c r="Q988" s="7"/>
      <c r="R988" s="7"/>
      <c r="S988" s="7"/>
      <c r="T988" s="7"/>
      <c r="U988" s="7"/>
      <c r="V988" s="7"/>
      <c r="W988" s="7"/>
      <c r="X988" s="3" t="s">
        <v>86</v>
      </c>
      <c r="Y988" s="3"/>
      <c r="Z988" s="9"/>
      <c r="AA988" s="12" t="str">
        <f t="shared" si="210"/>
        <v/>
      </c>
      <c r="AB988" s="9" t="str">
        <f t="shared" si="212"/>
        <v/>
      </c>
      <c r="AC988" s="9" t="str">
        <f t="shared" si="215"/>
        <v/>
      </c>
      <c r="AD988" s="9" t="str">
        <f t="shared" si="216"/>
        <v/>
      </c>
      <c r="AE988" s="3"/>
      <c r="AF988" s="11">
        <f t="shared" si="217"/>
        <v>25804.75</v>
      </c>
      <c r="AG988" s="11">
        <f t="shared" si="218"/>
        <v>0.54865867718152661</v>
      </c>
      <c r="AH988" s="11" t="str">
        <f t="shared" si="219"/>
        <v/>
      </c>
      <c r="AI988" s="3" t="s">
        <v>45</v>
      </c>
      <c r="AJ988" s="3" t="s">
        <v>79</v>
      </c>
      <c r="AK988" s="3" t="s">
        <v>46</v>
      </c>
      <c r="AL988" s="3" t="s">
        <v>81</v>
      </c>
      <c r="AM988" s="3" t="s">
        <v>82</v>
      </c>
    </row>
    <row r="989" spans="1:39" ht="21" customHeight="1">
      <c r="A989" s="4">
        <v>43397</v>
      </c>
      <c r="B989" s="3" t="s">
        <v>78</v>
      </c>
      <c r="C989" s="3" t="s">
        <v>79</v>
      </c>
      <c r="D989" s="4">
        <v>43159</v>
      </c>
      <c r="E989" s="3">
        <f t="shared" si="204"/>
        <v>238</v>
      </c>
      <c r="F989" s="3" t="str">
        <f t="shared" si="205"/>
        <v>개봉후</v>
      </c>
      <c r="G989" s="3" t="str">
        <f t="shared" si="206"/>
        <v>수</v>
      </c>
      <c r="H989" s="3">
        <f t="shared" si="207"/>
        <v>0</v>
      </c>
      <c r="I989" s="3">
        <v>23569</v>
      </c>
      <c r="J989" s="3">
        <v>14567</v>
      </c>
      <c r="K989" s="3">
        <v>9002</v>
      </c>
      <c r="L989" s="12">
        <f t="shared" si="208"/>
        <v>0.61805761805761805</v>
      </c>
      <c r="M989" s="12">
        <f t="shared" si="209"/>
        <v>1.0937634039632771E-2</v>
      </c>
      <c r="N989" s="11">
        <f t="shared" si="211"/>
        <v>27995.142857142859</v>
      </c>
      <c r="O989" s="11">
        <f t="shared" si="213"/>
        <v>27563.714285714286</v>
      </c>
      <c r="P989" s="11">
        <f t="shared" si="214"/>
        <v>0.85507344023716481</v>
      </c>
      <c r="Q989" s="7">
        <v>1</v>
      </c>
      <c r="R989" s="7">
        <v>1</v>
      </c>
      <c r="S989" s="7">
        <v>106</v>
      </c>
      <c r="T989" s="7">
        <v>700000</v>
      </c>
      <c r="U989" s="7">
        <v>100</v>
      </c>
      <c r="V989" s="7">
        <v>1505832</v>
      </c>
      <c r="W989" s="7">
        <v>48</v>
      </c>
      <c r="X989" s="3" t="s">
        <v>86</v>
      </c>
      <c r="Y989" s="3" t="s">
        <v>83</v>
      </c>
      <c r="Z989" s="9"/>
      <c r="AA989" s="12" t="str">
        <f t="shared" si="210"/>
        <v/>
      </c>
      <c r="AB989" s="9" t="str">
        <f t="shared" si="212"/>
        <v/>
      </c>
      <c r="AC989" s="9" t="str">
        <f t="shared" si="215"/>
        <v/>
      </c>
      <c r="AD989" s="9" t="str">
        <f t="shared" si="216"/>
        <v/>
      </c>
      <c r="AE989" s="3"/>
      <c r="AF989" s="11">
        <f t="shared" si="217"/>
        <v>19593</v>
      </c>
      <c r="AG989" s="11">
        <f t="shared" si="218"/>
        <v>0.74347981421936404</v>
      </c>
      <c r="AH989" s="11" t="str">
        <f t="shared" si="219"/>
        <v/>
      </c>
      <c r="AI989" s="3" t="s">
        <v>45</v>
      </c>
      <c r="AJ989" s="3" t="s">
        <v>79</v>
      </c>
      <c r="AK989" s="3" t="s">
        <v>46</v>
      </c>
      <c r="AL989" s="3" t="s">
        <v>81</v>
      </c>
      <c r="AM989" s="3" t="s">
        <v>82</v>
      </c>
    </row>
    <row r="990" spans="1:39" ht="21" customHeight="1">
      <c r="A990" s="4">
        <v>43398</v>
      </c>
      <c r="B990" s="3" t="s">
        <v>78</v>
      </c>
      <c r="C990" s="3" t="s">
        <v>79</v>
      </c>
      <c r="D990" s="4">
        <v>43159</v>
      </c>
      <c r="E990" s="3">
        <f t="shared" si="204"/>
        <v>239</v>
      </c>
      <c r="F990" s="3" t="str">
        <f t="shared" si="205"/>
        <v>개봉후</v>
      </c>
      <c r="G990" s="3" t="str">
        <f t="shared" si="206"/>
        <v>목</v>
      </c>
      <c r="H990" s="3">
        <f t="shared" si="207"/>
        <v>0</v>
      </c>
      <c r="I990" s="3">
        <v>31364</v>
      </c>
      <c r="J990" s="3">
        <v>22106</v>
      </c>
      <c r="K990" s="3">
        <v>9258</v>
      </c>
      <c r="L990" s="12">
        <f t="shared" si="208"/>
        <v>0.70482081367172555</v>
      </c>
      <c r="M990" s="12">
        <f t="shared" si="209"/>
        <v>0.33073104501675932</v>
      </c>
      <c r="N990" s="11">
        <f t="shared" si="211"/>
        <v>29501.142857142859</v>
      </c>
      <c r="O990" s="11">
        <f t="shared" si="213"/>
        <v>27180.607142857141</v>
      </c>
      <c r="P990" s="11">
        <f t="shared" si="214"/>
        <v>1.1539109422815901</v>
      </c>
      <c r="Q990" s="7"/>
      <c r="R990" s="7"/>
      <c r="S990" s="7"/>
      <c r="T990" s="7"/>
      <c r="U990" s="7"/>
      <c r="V990" s="7"/>
      <c r="W990" s="7"/>
      <c r="X990" s="3" t="s">
        <v>86</v>
      </c>
      <c r="Y990" s="3"/>
      <c r="Z990" s="9"/>
      <c r="AA990" s="12" t="str">
        <f t="shared" si="210"/>
        <v/>
      </c>
      <c r="AB990" s="9" t="str">
        <f t="shared" si="212"/>
        <v/>
      </c>
      <c r="AC990" s="9" t="str">
        <f t="shared" si="215"/>
        <v/>
      </c>
      <c r="AD990" s="9" t="str">
        <f t="shared" si="216"/>
        <v/>
      </c>
      <c r="AE990" s="3"/>
      <c r="AF990" s="11">
        <f t="shared" si="217"/>
        <v>13397.25</v>
      </c>
      <c r="AG990" s="11">
        <f t="shared" si="218"/>
        <v>1.6500401201739163</v>
      </c>
      <c r="AH990" s="11" t="str">
        <f t="shared" si="219"/>
        <v/>
      </c>
      <c r="AI990" s="3" t="s">
        <v>45</v>
      </c>
      <c r="AJ990" s="3" t="s">
        <v>79</v>
      </c>
      <c r="AK990" s="3" t="s">
        <v>46</v>
      </c>
      <c r="AL990" s="3" t="s">
        <v>81</v>
      </c>
      <c r="AM990" s="3" t="s">
        <v>82</v>
      </c>
    </row>
    <row r="991" spans="1:39" ht="21" customHeight="1">
      <c r="A991" s="4">
        <v>43399</v>
      </c>
      <c r="B991" s="3" t="s">
        <v>78</v>
      </c>
      <c r="C991" s="3" t="s">
        <v>79</v>
      </c>
      <c r="D991" s="4">
        <v>43159</v>
      </c>
      <c r="E991" s="3">
        <f t="shared" si="204"/>
        <v>240</v>
      </c>
      <c r="F991" s="3" t="str">
        <f t="shared" si="205"/>
        <v>개봉후</v>
      </c>
      <c r="G991" s="3" t="str">
        <f t="shared" si="206"/>
        <v>금</v>
      </c>
      <c r="H991" s="3">
        <f t="shared" si="207"/>
        <v>0</v>
      </c>
      <c r="I991" s="3">
        <v>24042</v>
      </c>
      <c r="J991" s="3">
        <v>14956</v>
      </c>
      <c r="K991" s="3">
        <v>9086</v>
      </c>
      <c r="L991" s="12">
        <f t="shared" si="208"/>
        <v>0.62207803011396723</v>
      </c>
      <c r="M991" s="12">
        <f t="shared" si="209"/>
        <v>-0.23345236576967221</v>
      </c>
      <c r="N991" s="11">
        <f t="shared" si="211"/>
        <v>29382.714285714286</v>
      </c>
      <c r="O991" s="11">
        <f t="shared" si="213"/>
        <v>27390.75</v>
      </c>
      <c r="P991" s="11">
        <f t="shared" si="214"/>
        <v>0.87774157334136527</v>
      </c>
      <c r="Q991" s="7"/>
      <c r="R991" s="7"/>
      <c r="S991" s="7"/>
      <c r="T991" s="7"/>
      <c r="U991" s="7"/>
      <c r="V991" s="7"/>
      <c r="W991" s="7"/>
      <c r="X991" s="3" t="s">
        <v>86</v>
      </c>
      <c r="Y991" s="3"/>
      <c r="Z991" s="9"/>
      <c r="AA991" s="12" t="str">
        <f t="shared" si="210"/>
        <v/>
      </c>
      <c r="AB991" s="9" t="str">
        <f t="shared" si="212"/>
        <v/>
      </c>
      <c r="AC991" s="9" t="str">
        <f t="shared" si="215"/>
        <v/>
      </c>
      <c r="AD991" s="9" t="str">
        <f t="shared" si="216"/>
        <v/>
      </c>
      <c r="AE991" s="3"/>
      <c r="AF991" s="11">
        <f t="shared" si="217"/>
        <v>15724</v>
      </c>
      <c r="AG991" s="11">
        <f t="shared" si="218"/>
        <v>0.95115746629356401</v>
      </c>
      <c r="AH991" s="11" t="str">
        <f t="shared" si="219"/>
        <v/>
      </c>
      <c r="AI991" s="3" t="s">
        <v>45</v>
      </c>
      <c r="AJ991" s="3" t="s">
        <v>79</v>
      </c>
      <c r="AK991" s="3" t="s">
        <v>46</v>
      </c>
      <c r="AL991" s="3" t="s">
        <v>81</v>
      </c>
      <c r="AM991" s="3" t="s">
        <v>82</v>
      </c>
    </row>
    <row r="992" spans="1:39" ht="21" customHeight="1">
      <c r="A992" s="4">
        <v>43400</v>
      </c>
      <c r="B992" s="3" t="s">
        <v>78</v>
      </c>
      <c r="C992" s="3" t="s">
        <v>79</v>
      </c>
      <c r="D992" s="4">
        <v>43159</v>
      </c>
      <c r="E992" s="3">
        <f t="shared" si="204"/>
        <v>241</v>
      </c>
      <c r="F992" s="3" t="str">
        <f t="shared" si="205"/>
        <v>개봉후</v>
      </c>
      <c r="G992" s="3" t="str">
        <f t="shared" si="206"/>
        <v>토</v>
      </c>
      <c r="H992" s="3">
        <f t="shared" si="207"/>
        <v>1</v>
      </c>
      <c r="I992" s="3">
        <v>33226</v>
      </c>
      <c r="J992" s="3">
        <v>25456</v>
      </c>
      <c r="K992" s="3">
        <v>7770</v>
      </c>
      <c r="L992" s="12">
        <f t="shared" si="208"/>
        <v>0.76614699331848557</v>
      </c>
      <c r="M992" s="12">
        <f t="shared" si="209"/>
        <v>0.38199816986939528</v>
      </c>
      <c r="N992" s="11">
        <f t="shared" si="211"/>
        <v>29149.857142857141</v>
      </c>
      <c r="O992" s="11">
        <f t="shared" si="213"/>
        <v>27392.035714285714</v>
      </c>
      <c r="P992" s="11">
        <f t="shared" si="214"/>
        <v>1.2129803110132378</v>
      </c>
      <c r="Q992" s="7"/>
      <c r="R992" s="7"/>
      <c r="S992" s="7"/>
      <c r="T992" s="7"/>
      <c r="U992" s="7"/>
      <c r="V992" s="7"/>
      <c r="W992" s="7"/>
      <c r="X992" s="3" t="s">
        <v>86</v>
      </c>
      <c r="Y992" s="3"/>
      <c r="Z992" s="9"/>
      <c r="AA992" s="12" t="str">
        <f t="shared" si="210"/>
        <v/>
      </c>
      <c r="AB992" s="9" t="str">
        <f t="shared" si="212"/>
        <v/>
      </c>
      <c r="AC992" s="9" t="str">
        <f t="shared" si="215"/>
        <v/>
      </c>
      <c r="AD992" s="9" t="str">
        <f t="shared" si="216"/>
        <v/>
      </c>
      <c r="AE992" s="3"/>
      <c r="AF992" s="11">
        <f t="shared" si="217"/>
        <v>23990.75</v>
      </c>
      <c r="AG992" s="11">
        <f t="shared" si="218"/>
        <v>1.0610756228963247</v>
      </c>
      <c r="AH992" s="11" t="str">
        <f t="shared" si="219"/>
        <v/>
      </c>
      <c r="AI992" s="3" t="s">
        <v>45</v>
      </c>
      <c r="AJ992" s="3" t="s">
        <v>79</v>
      </c>
      <c r="AK992" s="3" t="s">
        <v>46</v>
      </c>
      <c r="AL992" s="3" t="s">
        <v>81</v>
      </c>
      <c r="AM992" s="3" t="s">
        <v>82</v>
      </c>
    </row>
    <row r="993" spans="1:39" ht="21" customHeight="1">
      <c r="A993" s="4">
        <v>43401</v>
      </c>
      <c r="B993" s="3" t="s">
        <v>78</v>
      </c>
      <c r="C993" s="3" t="s">
        <v>79</v>
      </c>
      <c r="D993" s="4">
        <v>43159</v>
      </c>
      <c r="E993" s="3">
        <f t="shared" si="204"/>
        <v>242</v>
      </c>
      <c r="F993" s="3" t="str">
        <f t="shared" si="205"/>
        <v>개봉후</v>
      </c>
      <c r="G993" s="3" t="str">
        <f t="shared" si="206"/>
        <v>일</v>
      </c>
      <c r="H993" s="3">
        <f t="shared" si="207"/>
        <v>1</v>
      </c>
      <c r="I993" s="3">
        <v>41822</v>
      </c>
      <c r="J993" s="3">
        <v>34360</v>
      </c>
      <c r="K993" s="3">
        <v>7462</v>
      </c>
      <c r="L993" s="12">
        <f t="shared" si="208"/>
        <v>0.8215771603462293</v>
      </c>
      <c r="M993" s="12">
        <f t="shared" si="209"/>
        <v>0.25871305604045025</v>
      </c>
      <c r="N993" s="11">
        <f t="shared" si="211"/>
        <v>29176.428571428572</v>
      </c>
      <c r="O993" s="11">
        <f t="shared" si="213"/>
        <v>27518.821428571428</v>
      </c>
      <c r="P993" s="11">
        <f t="shared" si="214"/>
        <v>1.519759852672262</v>
      </c>
      <c r="Q993" s="7"/>
      <c r="R993" s="7"/>
      <c r="S993" s="7"/>
      <c r="T993" s="7"/>
      <c r="U993" s="7"/>
      <c r="V993" s="7"/>
      <c r="W993" s="7"/>
      <c r="X993" s="3" t="s">
        <v>86</v>
      </c>
      <c r="Y993" s="3"/>
      <c r="Z993" s="9"/>
      <c r="AA993" s="12" t="str">
        <f t="shared" si="210"/>
        <v/>
      </c>
      <c r="AB993" s="9" t="str">
        <f t="shared" si="212"/>
        <v/>
      </c>
      <c r="AC993" s="9" t="str">
        <f t="shared" si="215"/>
        <v/>
      </c>
      <c r="AD993" s="9" t="str">
        <f t="shared" si="216"/>
        <v/>
      </c>
      <c r="AE993" s="3"/>
      <c r="AF993" s="11">
        <f t="shared" si="217"/>
        <v>29389.5</v>
      </c>
      <c r="AG993" s="11">
        <f t="shared" si="218"/>
        <v>1.169125027645928</v>
      </c>
      <c r="AH993" s="11" t="str">
        <f t="shared" si="219"/>
        <v/>
      </c>
      <c r="AI993" s="3" t="s">
        <v>45</v>
      </c>
      <c r="AJ993" s="3" t="s">
        <v>79</v>
      </c>
      <c r="AK993" s="3" t="s">
        <v>46</v>
      </c>
      <c r="AL993" s="3" t="s">
        <v>81</v>
      </c>
      <c r="AM993" s="3" t="s">
        <v>82</v>
      </c>
    </row>
    <row r="994" spans="1:39" ht="21" customHeight="1">
      <c r="A994" s="4">
        <v>43402</v>
      </c>
      <c r="B994" s="3" t="s">
        <v>78</v>
      </c>
      <c r="C994" s="3" t="s">
        <v>79</v>
      </c>
      <c r="D994" s="4">
        <v>43159</v>
      </c>
      <c r="E994" s="3">
        <f t="shared" si="204"/>
        <v>243</v>
      </c>
      <c r="F994" s="3" t="str">
        <f t="shared" si="205"/>
        <v>개봉후</v>
      </c>
      <c r="G994" s="3" t="str">
        <f t="shared" si="206"/>
        <v>월</v>
      </c>
      <c r="H994" s="3">
        <f t="shared" si="207"/>
        <v>0</v>
      </c>
      <c r="I994" s="3">
        <v>21494</v>
      </c>
      <c r="J994" s="3">
        <v>12614</v>
      </c>
      <c r="K994" s="3">
        <v>8880</v>
      </c>
      <c r="L994" s="12">
        <f t="shared" si="208"/>
        <v>0.58686144970689491</v>
      </c>
      <c r="M994" s="12">
        <f t="shared" si="209"/>
        <v>-0.48605996843766441</v>
      </c>
      <c r="N994" s="11">
        <f t="shared" si="211"/>
        <v>28404.428571428572</v>
      </c>
      <c r="O994" s="11">
        <f t="shared" si="213"/>
        <v>27806.214285714286</v>
      </c>
      <c r="P994" s="11">
        <f t="shared" si="214"/>
        <v>0.77299267635446345</v>
      </c>
      <c r="Q994" s="7">
        <v>1</v>
      </c>
      <c r="R994" s="7">
        <v>1</v>
      </c>
      <c r="S994" s="7">
        <v>92</v>
      </c>
      <c r="T994" s="7">
        <v>140000</v>
      </c>
      <c r="U994" s="7">
        <v>20</v>
      </c>
      <c r="V994" s="7">
        <v>1505852</v>
      </c>
      <c r="W994" s="7">
        <v>66</v>
      </c>
      <c r="X994" s="3" t="s">
        <v>86</v>
      </c>
      <c r="Y994" s="3" t="s">
        <v>83</v>
      </c>
      <c r="Z994" s="9"/>
      <c r="AA994" s="12" t="str">
        <f t="shared" si="210"/>
        <v/>
      </c>
      <c r="AB994" s="9" t="str">
        <f t="shared" si="212"/>
        <v/>
      </c>
      <c r="AC994" s="9" t="str">
        <f t="shared" si="215"/>
        <v/>
      </c>
      <c r="AD994" s="9" t="str">
        <f t="shared" si="216"/>
        <v/>
      </c>
      <c r="AE994" s="3"/>
      <c r="AF994" s="11">
        <f t="shared" si="217"/>
        <v>15002.5</v>
      </c>
      <c r="AG994" s="11">
        <f t="shared" si="218"/>
        <v>0.84079320113314449</v>
      </c>
      <c r="AH994" s="11" t="str">
        <f t="shared" si="219"/>
        <v/>
      </c>
      <c r="AI994" s="3" t="s">
        <v>45</v>
      </c>
      <c r="AJ994" s="3" t="s">
        <v>79</v>
      </c>
      <c r="AK994" s="3" t="s">
        <v>46</v>
      </c>
      <c r="AL994" s="3" t="s">
        <v>81</v>
      </c>
      <c r="AM994" s="3" t="s">
        <v>82</v>
      </c>
    </row>
    <row r="995" spans="1:39" ht="21" customHeight="1">
      <c r="A995" s="4">
        <v>43403</v>
      </c>
      <c r="B995" s="3" t="s">
        <v>78</v>
      </c>
      <c r="C995" s="3" t="s">
        <v>79</v>
      </c>
      <c r="D995" s="4">
        <v>43159</v>
      </c>
      <c r="E995" s="3">
        <f t="shared" si="204"/>
        <v>244</v>
      </c>
      <c r="F995" s="3" t="str">
        <f t="shared" si="205"/>
        <v>개봉후</v>
      </c>
      <c r="G995" s="3" t="str">
        <f t="shared" si="206"/>
        <v>화</v>
      </c>
      <c r="H995" s="3">
        <f t="shared" si="207"/>
        <v>0</v>
      </c>
      <c r="I995" s="3">
        <v>23079</v>
      </c>
      <c r="J995" s="3">
        <v>14063</v>
      </c>
      <c r="K995" s="3">
        <v>9016</v>
      </c>
      <c r="L995" s="12">
        <f t="shared" si="208"/>
        <v>0.60934182590233543</v>
      </c>
      <c r="M995" s="12">
        <f t="shared" si="209"/>
        <v>7.3741509258397731E-2</v>
      </c>
      <c r="N995" s="11">
        <f t="shared" si="211"/>
        <v>28370.857142857141</v>
      </c>
      <c r="O995" s="11">
        <f t="shared" si="213"/>
        <v>27718</v>
      </c>
      <c r="P995" s="11">
        <f t="shared" si="214"/>
        <v>0.83263583231113358</v>
      </c>
      <c r="Q995" s="7"/>
      <c r="R995" s="7"/>
      <c r="S995" s="7"/>
      <c r="T995" s="7"/>
      <c r="U995" s="7"/>
      <c r="V995" s="7"/>
      <c r="W995" s="7"/>
      <c r="X995" s="3" t="s">
        <v>86</v>
      </c>
      <c r="Y995" s="3"/>
      <c r="Z995" s="9"/>
      <c r="AA995" s="12" t="str">
        <f t="shared" si="210"/>
        <v/>
      </c>
      <c r="AB995" s="9" t="str">
        <f t="shared" si="212"/>
        <v/>
      </c>
      <c r="AC995" s="9" t="str">
        <f t="shared" si="215"/>
        <v/>
      </c>
      <c r="AD995" s="9" t="str">
        <f t="shared" si="216"/>
        <v/>
      </c>
      <c r="AE995" s="3"/>
      <c r="AF995" s="11">
        <f t="shared" si="217"/>
        <v>15465.75</v>
      </c>
      <c r="AG995" s="11">
        <f t="shared" si="218"/>
        <v>0.90929958133294542</v>
      </c>
      <c r="AH995" s="11" t="str">
        <f t="shared" si="219"/>
        <v/>
      </c>
      <c r="AI995" s="3" t="s">
        <v>45</v>
      </c>
      <c r="AJ995" s="3" t="s">
        <v>79</v>
      </c>
      <c r="AK995" s="3" t="s">
        <v>46</v>
      </c>
      <c r="AL995" s="3" t="s">
        <v>81</v>
      </c>
      <c r="AM995" s="3" t="s">
        <v>82</v>
      </c>
    </row>
    <row r="996" spans="1:39" ht="21" customHeight="1">
      <c r="A996" s="4">
        <v>43404</v>
      </c>
      <c r="B996" s="3" t="s">
        <v>78</v>
      </c>
      <c r="C996" s="3" t="s">
        <v>79</v>
      </c>
      <c r="D996" s="4">
        <v>43159</v>
      </c>
      <c r="E996" s="3">
        <f t="shared" si="204"/>
        <v>245</v>
      </c>
      <c r="F996" s="3" t="str">
        <f t="shared" si="205"/>
        <v>개봉후</v>
      </c>
      <c r="G996" s="3" t="str">
        <f t="shared" si="206"/>
        <v>수</v>
      </c>
      <c r="H996" s="3">
        <f t="shared" si="207"/>
        <v>0</v>
      </c>
      <c r="I996" s="3">
        <v>21892</v>
      </c>
      <c r="J996" s="3">
        <v>13027</v>
      </c>
      <c r="K996" s="3">
        <v>8866</v>
      </c>
      <c r="L996" s="12">
        <f t="shared" si="208"/>
        <v>0.59505755527133197</v>
      </c>
      <c r="M996" s="12">
        <f t="shared" si="209"/>
        <v>-5.1432037783266216E-2</v>
      </c>
      <c r="N996" s="11">
        <f t="shared" si="211"/>
        <v>28131.285714285714</v>
      </c>
      <c r="O996" s="11">
        <f t="shared" si="213"/>
        <v>27738.107142857141</v>
      </c>
      <c r="P996" s="11">
        <f t="shared" si="214"/>
        <v>0.78923914624929348</v>
      </c>
      <c r="Q996" s="7"/>
      <c r="R996" s="7"/>
      <c r="S996" s="7"/>
      <c r="T996" s="7"/>
      <c r="U996" s="7"/>
      <c r="V996" s="7"/>
      <c r="W996" s="7"/>
      <c r="X996" s="3" t="s">
        <v>86</v>
      </c>
      <c r="Y996" s="3"/>
      <c r="Z996" s="9"/>
      <c r="AA996" s="12" t="str">
        <f t="shared" si="210"/>
        <v/>
      </c>
      <c r="AB996" s="9" t="str">
        <f t="shared" si="212"/>
        <v/>
      </c>
      <c r="AC996" s="9" t="str">
        <f t="shared" si="215"/>
        <v/>
      </c>
      <c r="AD996" s="9" t="str">
        <f t="shared" si="216"/>
        <v/>
      </c>
      <c r="AE996" s="3"/>
      <c r="AF996" s="11">
        <f t="shared" si="217"/>
        <v>16452.75</v>
      </c>
      <c r="AG996" s="11">
        <f t="shared" si="218"/>
        <v>0.79178252875659083</v>
      </c>
      <c r="AH996" s="11" t="str">
        <f t="shared" si="219"/>
        <v/>
      </c>
      <c r="AI996" s="3" t="s">
        <v>45</v>
      </c>
      <c r="AJ996" s="3" t="s">
        <v>79</v>
      </c>
      <c r="AK996" s="3" t="s">
        <v>46</v>
      </c>
      <c r="AL996" s="3" t="s">
        <v>81</v>
      </c>
      <c r="AM996" s="3" t="s">
        <v>82</v>
      </c>
    </row>
    <row r="997" spans="1:39" ht="21" customHeight="1">
      <c r="A997" s="4">
        <v>43405</v>
      </c>
      <c r="B997" s="3" t="s">
        <v>78</v>
      </c>
      <c r="C997" s="3" t="s">
        <v>79</v>
      </c>
      <c r="D997" s="4">
        <v>43159</v>
      </c>
      <c r="E997" s="3">
        <f t="shared" si="204"/>
        <v>246</v>
      </c>
      <c r="F997" s="3" t="str">
        <f t="shared" si="205"/>
        <v>개봉후</v>
      </c>
      <c r="G997" s="3" t="str">
        <f t="shared" si="206"/>
        <v>목</v>
      </c>
      <c r="H997" s="3">
        <f t="shared" si="207"/>
        <v>0</v>
      </c>
      <c r="I997" s="3">
        <v>20783</v>
      </c>
      <c r="J997" s="3">
        <v>12092</v>
      </c>
      <c r="K997" s="3">
        <v>8690</v>
      </c>
      <c r="L997" s="12">
        <f t="shared" si="208"/>
        <v>0.58182168118173505</v>
      </c>
      <c r="M997" s="12">
        <f t="shared" si="209"/>
        <v>-5.0657774529508481E-2</v>
      </c>
      <c r="N997" s="11">
        <f t="shared" si="211"/>
        <v>26619.714285714286</v>
      </c>
      <c r="O997" s="11">
        <f t="shared" si="213"/>
        <v>27505.214285714286</v>
      </c>
      <c r="P997" s="11">
        <f t="shared" si="214"/>
        <v>0.75560218452085703</v>
      </c>
      <c r="Q997" s="7"/>
      <c r="R997" s="7"/>
      <c r="S997" s="7"/>
      <c r="T997" s="7"/>
      <c r="U997" s="7"/>
      <c r="V997" s="7"/>
      <c r="W997" s="7"/>
      <c r="X997" s="3" t="s">
        <v>87</v>
      </c>
      <c r="Y997" s="3"/>
      <c r="Z997" s="9"/>
      <c r="AA997" s="12" t="str">
        <f t="shared" si="210"/>
        <v/>
      </c>
      <c r="AB997" s="9" t="str">
        <f t="shared" si="212"/>
        <v/>
      </c>
      <c r="AC997" s="9" t="str">
        <f t="shared" si="215"/>
        <v/>
      </c>
      <c r="AD997" s="9" t="str">
        <f t="shared" si="216"/>
        <v/>
      </c>
      <c r="AE997" s="3"/>
      <c r="AF997" s="11">
        <f t="shared" si="217"/>
        <v>14847.25</v>
      </c>
      <c r="AG997" s="11">
        <f t="shared" si="218"/>
        <v>0.81442691407499701</v>
      </c>
      <c r="AH997" s="11" t="str">
        <f t="shared" si="219"/>
        <v/>
      </c>
      <c r="AI997" s="3" t="s">
        <v>45</v>
      </c>
      <c r="AJ997" s="3" t="s">
        <v>79</v>
      </c>
      <c r="AK997" s="3" t="s">
        <v>46</v>
      </c>
      <c r="AL997" s="3" t="s">
        <v>81</v>
      </c>
      <c r="AM997" s="3" t="s">
        <v>82</v>
      </c>
    </row>
    <row r="998" spans="1:39" ht="21" customHeight="1">
      <c r="A998" s="4">
        <v>43406</v>
      </c>
      <c r="B998" s="3" t="s">
        <v>78</v>
      </c>
      <c r="C998" s="3" t="s">
        <v>79</v>
      </c>
      <c r="D998" s="4">
        <v>43159</v>
      </c>
      <c r="E998" s="3">
        <f t="shared" si="204"/>
        <v>247</v>
      </c>
      <c r="F998" s="3" t="str">
        <f t="shared" si="205"/>
        <v>개봉후</v>
      </c>
      <c r="G998" s="3" t="str">
        <f t="shared" si="206"/>
        <v>금</v>
      </c>
      <c r="H998" s="3">
        <f t="shared" si="207"/>
        <v>0</v>
      </c>
      <c r="I998" s="3">
        <v>31776</v>
      </c>
      <c r="J998" s="3">
        <v>23152</v>
      </c>
      <c r="K998" s="3">
        <v>8624</v>
      </c>
      <c r="L998" s="12">
        <f t="shared" si="208"/>
        <v>0.72860020140986903</v>
      </c>
      <c r="M998" s="12">
        <f t="shared" si="209"/>
        <v>0.52894192368762938</v>
      </c>
      <c r="N998" s="11">
        <f t="shared" si="211"/>
        <v>27724.571428571428</v>
      </c>
      <c r="O998" s="11">
        <f t="shared" si="213"/>
        <v>27485.107142857141</v>
      </c>
      <c r="P998" s="11">
        <f t="shared" si="214"/>
        <v>1.1561170140192807</v>
      </c>
      <c r="Q998" s="7"/>
      <c r="R998" s="7"/>
      <c r="S998" s="7"/>
      <c r="T998" s="7"/>
      <c r="U998" s="7"/>
      <c r="V998" s="7"/>
      <c r="W998" s="7"/>
      <c r="X998" s="3" t="s">
        <v>87</v>
      </c>
      <c r="Y998" s="3"/>
      <c r="Z998" s="9"/>
      <c r="AA998" s="12" t="str">
        <f t="shared" si="210"/>
        <v/>
      </c>
      <c r="AB998" s="9" t="str">
        <f t="shared" si="212"/>
        <v/>
      </c>
      <c r="AC998" s="9" t="str">
        <f t="shared" si="215"/>
        <v/>
      </c>
      <c r="AD998" s="9" t="str">
        <f t="shared" si="216"/>
        <v/>
      </c>
      <c r="AE998" s="3"/>
      <c r="AF998" s="11">
        <f t="shared" si="217"/>
        <v>15822</v>
      </c>
      <c r="AG998" s="11">
        <f t="shared" si="218"/>
        <v>1.4632789786373404</v>
      </c>
      <c r="AH998" s="11" t="str">
        <f t="shared" si="219"/>
        <v/>
      </c>
      <c r="AI998" s="3" t="s">
        <v>45</v>
      </c>
      <c r="AJ998" s="3" t="s">
        <v>79</v>
      </c>
      <c r="AK998" s="3" t="s">
        <v>46</v>
      </c>
      <c r="AL998" s="3" t="s">
        <v>81</v>
      </c>
      <c r="AM998" s="3" t="s">
        <v>82</v>
      </c>
    </row>
    <row r="999" spans="1:39" ht="21" customHeight="1">
      <c r="A999" s="4">
        <v>43407</v>
      </c>
      <c r="B999" s="3" t="s">
        <v>78</v>
      </c>
      <c r="C999" s="3" t="s">
        <v>79</v>
      </c>
      <c r="D999" s="4">
        <v>43159</v>
      </c>
      <c r="E999" s="3">
        <f t="shared" si="204"/>
        <v>248</v>
      </c>
      <c r="F999" s="3" t="str">
        <f t="shared" si="205"/>
        <v>개봉후</v>
      </c>
      <c r="G999" s="3" t="str">
        <f t="shared" si="206"/>
        <v>토</v>
      </c>
      <c r="H999" s="3">
        <f t="shared" si="207"/>
        <v>1</v>
      </c>
      <c r="I999" s="3">
        <v>35038</v>
      </c>
      <c r="J999" s="3">
        <v>27104</v>
      </c>
      <c r="K999" s="3">
        <v>7934</v>
      </c>
      <c r="L999" s="12">
        <f t="shared" si="208"/>
        <v>0.77356013471088536</v>
      </c>
      <c r="M999" s="12">
        <f t="shared" si="209"/>
        <v>0.10265609264853981</v>
      </c>
      <c r="N999" s="11">
        <f t="shared" si="211"/>
        <v>27983.428571428572</v>
      </c>
      <c r="O999" s="11">
        <f t="shared" si="213"/>
        <v>27725.964285714286</v>
      </c>
      <c r="P999" s="11">
        <f t="shared" si="214"/>
        <v>1.2637252085783439</v>
      </c>
      <c r="Q999" s="7"/>
      <c r="R999" s="7"/>
      <c r="S999" s="7"/>
      <c r="T999" s="7"/>
      <c r="U999" s="7"/>
      <c r="V999" s="7"/>
      <c r="W999" s="7"/>
      <c r="X999" s="3" t="s">
        <v>87</v>
      </c>
      <c r="Y999" s="3"/>
      <c r="Z999" s="9"/>
      <c r="AA999" s="12" t="str">
        <f t="shared" si="210"/>
        <v/>
      </c>
      <c r="AB999" s="9" t="str">
        <f t="shared" si="212"/>
        <v/>
      </c>
      <c r="AC999" s="9" t="str">
        <f t="shared" si="215"/>
        <v/>
      </c>
      <c r="AD999" s="9" t="str">
        <f t="shared" si="216"/>
        <v/>
      </c>
      <c r="AE999" s="3"/>
      <c r="AF999" s="11">
        <f t="shared" si="217"/>
        <v>24879</v>
      </c>
      <c r="AG999" s="11">
        <f t="shared" si="218"/>
        <v>1.0894328550182886</v>
      </c>
      <c r="AH999" s="11" t="str">
        <f t="shared" si="219"/>
        <v/>
      </c>
      <c r="AI999" s="3" t="s">
        <v>45</v>
      </c>
      <c r="AJ999" s="3" t="s">
        <v>79</v>
      </c>
      <c r="AK999" s="3" t="s">
        <v>46</v>
      </c>
      <c r="AL999" s="3" t="s">
        <v>81</v>
      </c>
      <c r="AM999" s="3" t="s">
        <v>82</v>
      </c>
    </row>
    <row r="1000" spans="1:39" ht="21" customHeight="1">
      <c r="A1000" s="4">
        <v>43408</v>
      </c>
      <c r="B1000" s="3" t="s">
        <v>78</v>
      </c>
      <c r="C1000" s="3" t="s">
        <v>79</v>
      </c>
      <c r="D1000" s="4">
        <v>43159</v>
      </c>
      <c r="E1000" s="3">
        <f t="shared" si="204"/>
        <v>249</v>
      </c>
      <c r="F1000" s="3" t="str">
        <f t="shared" si="205"/>
        <v>개봉후</v>
      </c>
      <c r="G1000" s="3" t="str">
        <f t="shared" si="206"/>
        <v>일</v>
      </c>
      <c r="H1000" s="3">
        <f t="shared" si="207"/>
        <v>1</v>
      </c>
      <c r="I1000" s="3">
        <v>39322</v>
      </c>
      <c r="J1000" s="3">
        <v>32088</v>
      </c>
      <c r="K1000" s="3">
        <v>7234</v>
      </c>
      <c r="L1000" s="12">
        <f t="shared" si="208"/>
        <v>0.81603173795839479</v>
      </c>
      <c r="M1000" s="12">
        <f t="shared" si="209"/>
        <v>0.12226725269707184</v>
      </c>
      <c r="N1000" s="11">
        <f t="shared" si="211"/>
        <v>27626.285714285714</v>
      </c>
      <c r="O1000" s="11">
        <f t="shared" si="213"/>
        <v>27987.321428571428</v>
      </c>
      <c r="P1000" s="11">
        <f t="shared" si="214"/>
        <v>1.4049933324400719</v>
      </c>
      <c r="Q1000" s="7"/>
      <c r="R1000" s="7"/>
      <c r="S1000" s="7"/>
      <c r="T1000" s="7"/>
      <c r="U1000" s="7"/>
      <c r="V1000" s="7"/>
      <c r="W1000" s="7"/>
      <c r="X1000" s="3" t="s">
        <v>87</v>
      </c>
      <c r="Y1000" s="3"/>
      <c r="Z1000" s="9"/>
      <c r="AA1000" s="12" t="str">
        <f t="shared" si="210"/>
        <v/>
      </c>
      <c r="AB1000" s="9" t="str">
        <f t="shared" si="212"/>
        <v/>
      </c>
      <c r="AC1000" s="9" t="str">
        <f t="shared" si="215"/>
        <v/>
      </c>
      <c r="AD1000" s="9" t="str">
        <f t="shared" si="216"/>
        <v/>
      </c>
      <c r="AE1000" s="3"/>
      <c r="AF1000" s="11">
        <f t="shared" si="217"/>
        <v>31418</v>
      </c>
      <c r="AG1000" s="11">
        <f t="shared" si="218"/>
        <v>1.0213253548921</v>
      </c>
      <c r="AH1000" s="11" t="str">
        <f t="shared" si="219"/>
        <v/>
      </c>
      <c r="AI1000" s="3" t="s">
        <v>45</v>
      </c>
      <c r="AJ1000" s="3" t="s">
        <v>79</v>
      </c>
      <c r="AK1000" s="3" t="s">
        <v>46</v>
      </c>
      <c r="AL1000" s="3" t="s">
        <v>81</v>
      </c>
      <c r="AM1000" s="3" t="s">
        <v>82</v>
      </c>
    </row>
    <row r="1001" spans="1:39" ht="21" customHeight="1">
      <c r="A1001" s="4">
        <v>43409</v>
      </c>
      <c r="B1001" s="3" t="s">
        <v>78</v>
      </c>
      <c r="C1001" s="3" t="s">
        <v>79</v>
      </c>
      <c r="D1001" s="4">
        <v>43159</v>
      </c>
      <c r="E1001" s="3">
        <f t="shared" si="204"/>
        <v>250</v>
      </c>
      <c r="F1001" s="3" t="str">
        <f t="shared" si="205"/>
        <v>개봉후</v>
      </c>
      <c r="G1001" s="3" t="str">
        <f t="shared" si="206"/>
        <v>월</v>
      </c>
      <c r="H1001" s="3">
        <f t="shared" si="207"/>
        <v>0</v>
      </c>
      <c r="I1001" s="3">
        <v>20240</v>
      </c>
      <c r="J1001" s="3">
        <v>11386</v>
      </c>
      <c r="K1001" s="3">
        <v>8855</v>
      </c>
      <c r="L1001" s="12">
        <f t="shared" si="208"/>
        <v>0.56254940711462453</v>
      </c>
      <c r="M1001" s="12">
        <f t="shared" si="209"/>
        <v>-0.48527541834087784</v>
      </c>
      <c r="N1001" s="11">
        <f t="shared" si="211"/>
        <v>27447.142857142859</v>
      </c>
      <c r="O1001" s="11">
        <f t="shared" si="213"/>
        <v>28164.321428571428</v>
      </c>
      <c r="P1001" s="11">
        <f t="shared" si="214"/>
        <v>0.71863971767725376</v>
      </c>
      <c r="Q1001" s="7"/>
      <c r="R1001" s="7"/>
      <c r="S1001" s="7"/>
      <c r="T1001" s="7"/>
      <c r="U1001" s="7"/>
      <c r="V1001" s="7"/>
      <c r="W1001" s="7"/>
      <c r="X1001" s="3" t="s">
        <v>87</v>
      </c>
      <c r="Y1001" s="3"/>
      <c r="Z1001" s="9"/>
      <c r="AA1001" s="12" t="str">
        <f t="shared" si="210"/>
        <v/>
      </c>
      <c r="AB1001" s="9" t="str">
        <f t="shared" si="212"/>
        <v/>
      </c>
      <c r="AC1001" s="9" t="str">
        <f t="shared" si="215"/>
        <v/>
      </c>
      <c r="AD1001" s="9" t="str">
        <f t="shared" si="216"/>
        <v/>
      </c>
      <c r="AE1001" s="3"/>
      <c r="AF1001" s="11">
        <f t="shared" si="217"/>
        <v>14432</v>
      </c>
      <c r="AG1001" s="11">
        <f t="shared" si="218"/>
        <v>0.78894124168514412</v>
      </c>
      <c r="AH1001" s="11" t="str">
        <f t="shared" si="219"/>
        <v/>
      </c>
      <c r="AI1001" s="3" t="s">
        <v>45</v>
      </c>
      <c r="AJ1001" s="3" t="s">
        <v>79</v>
      </c>
      <c r="AK1001" s="3" t="s">
        <v>46</v>
      </c>
      <c r="AL1001" s="3" t="s">
        <v>81</v>
      </c>
      <c r="AM1001" s="3" t="s">
        <v>82</v>
      </c>
    </row>
    <row r="1002" spans="1:39" ht="21" customHeight="1">
      <c r="A1002" s="4">
        <v>43410</v>
      </c>
      <c r="B1002" s="3" t="s">
        <v>78</v>
      </c>
      <c r="C1002" s="3" t="s">
        <v>79</v>
      </c>
      <c r="D1002" s="4">
        <v>43159</v>
      </c>
      <c r="E1002" s="3">
        <f t="shared" si="204"/>
        <v>251</v>
      </c>
      <c r="F1002" s="3" t="str">
        <f t="shared" si="205"/>
        <v>개봉후</v>
      </c>
      <c r="G1002" s="3" t="str">
        <f t="shared" si="206"/>
        <v>화</v>
      </c>
      <c r="H1002" s="3">
        <f t="shared" si="207"/>
        <v>0</v>
      </c>
      <c r="I1002" s="3">
        <v>21077</v>
      </c>
      <c r="J1002" s="3">
        <v>12285</v>
      </c>
      <c r="K1002" s="3">
        <v>8792</v>
      </c>
      <c r="L1002" s="12">
        <f t="shared" si="208"/>
        <v>0.58286283626702096</v>
      </c>
      <c r="M1002" s="12">
        <f t="shared" si="209"/>
        <v>4.1353754940711474E-2</v>
      </c>
      <c r="N1002" s="11">
        <f t="shared" si="211"/>
        <v>27161.142857142859</v>
      </c>
      <c r="O1002" s="11">
        <f t="shared" si="213"/>
        <v>28035.178571428572</v>
      </c>
      <c r="P1002" s="11">
        <f t="shared" si="214"/>
        <v>0.75180544851175501</v>
      </c>
      <c r="Q1002" s="7"/>
      <c r="R1002" s="7"/>
      <c r="S1002" s="7"/>
      <c r="T1002" s="7"/>
      <c r="U1002" s="7"/>
      <c r="V1002" s="7"/>
      <c r="W1002" s="7"/>
      <c r="X1002" s="3" t="s">
        <v>87</v>
      </c>
      <c r="Y1002" s="3"/>
      <c r="Z1002" s="9"/>
      <c r="AA1002" s="12" t="str">
        <f t="shared" si="210"/>
        <v/>
      </c>
      <c r="AB1002" s="9" t="str">
        <f t="shared" si="212"/>
        <v/>
      </c>
      <c r="AC1002" s="9" t="str">
        <f t="shared" si="215"/>
        <v/>
      </c>
      <c r="AD1002" s="9" t="str">
        <f t="shared" si="216"/>
        <v/>
      </c>
      <c r="AE1002" s="3"/>
      <c r="AF1002" s="11">
        <f t="shared" si="217"/>
        <v>15709</v>
      </c>
      <c r="AG1002" s="11">
        <f t="shared" si="218"/>
        <v>0.78203577566999805</v>
      </c>
      <c r="AH1002" s="11" t="str">
        <f t="shared" si="219"/>
        <v/>
      </c>
      <c r="AI1002" s="3" t="s">
        <v>45</v>
      </c>
      <c r="AJ1002" s="3" t="s">
        <v>79</v>
      </c>
      <c r="AK1002" s="3" t="s">
        <v>46</v>
      </c>
      <c r="AL1002" s="3" t="s">
        <v>81</v>
      </c>
      <c r="AM1002" s="3" t="s">
        <v>82</v>
      </c>
    </row>
    <row r="1003" spans="1:39" ht="21" customHeight="1">
      <c r="A1003" s="4">
        <v>43411</v>
      </c>
      <c r="B1003" s="3" t="s">
        <v>78</v>
      </c>
      <c r="C1003" s="3" t="s">
        <v>79</v>
      </c>
      <c r="D1003" s="4">
        <v>43159</v>
      </c>
      <c r="E1003" s="3">
        <f t="shared" si="204"/>
        <v>252</v>
      </c>
      <c r="F1003" s="3" t="str">
        <f t="shared" si="205"/>
        <v>개봉후</v>
      </c>
      <c r="G1003" s="3" t="str">
        <f t="shared" si="206"/>
        <v>수</v>
      </c>
      <c r="H1003" s="3">
        <f t="shared" si="207"/>
        <v>0</v>
      </c>
      <c r="I1003" s="3">
        <v>20664</v>
      </c>
      <c r="J1003" s="3">
        <v>11837</v>
      </c>
      <c r="K1003" s="3">
        <v>8827</v>
      </c>
      <c r="L1003" s="12">
        <f t="shared" si="208"/>
        <v>0.57283197831978316</v>
      </c>
      <c r="M1003" s="12">
        <f t="shared" si="209"/>
        <v>-1.9594818997010988E-2</v>
      </c>
      <c r="N1003" s="11">
        <f t="shared" si="211"/>
        <v>26985.714285714286</v>
      </c>
      <c r="O1003" s="11">
        <f t="shared" si="213"/>
        <v>27724.285714285714</v>
      </c>
      <c r="P1003" s="11">
        <f t="shared" si="214"/>
        <v>0.74533931055804603</v>
      </c>
      <c r="Q1003" s="7"/>
      <c r="R1003" s="7"/>
      <c r="S1003" s="7"/>
      <c r="T1003" s="7"/>
      <c r="U1003" s="7"/>
      <c r="V1003" s="7"/>
      <c r="W1003" s="7"/>
      <c r="X1003" s="3" t="s">
        <v>87</v>
      </c>
      <c r="Y1003" s="3"/>
      <c r="Z1003" s="9"/>
      <c r="AA1003" s="12" t="str">
        <f t="shared" si="210"/>
        <v/>
      </c>
      <c r="AB1003" s="9" t="str">
        <f t="shared" si="212"/>
        <v/>
      </c>
      <c r="AC1003" s="9" t="str">
        <f t="shared" si="215"/>
        <v/>
      </c>
      <c r="AD1003" s="9" t="str">
        <f t="shared" si="216"/>
        <v/>
      </c>
      <c r="AE1003" s="3"/>
      <c r="AF1003" s="11">
        <f t="shared" si="217"/>
        <v>14646</v>
      </c>
      <c r="AG1003" s="11">
        <f t="shared" si="218"/>
        <v>0.80820701898129177</v>
      </c>
      <c r="AH1003" s="11" t="str">
        <f t="shared" si="219"/>
        <v/>
      </c>
      <c r="AI1003" s="3" t="s">
        <v>45</v>
      </c>
      <c r="AJ1003" s="3" t="s">
        <v>79</v>
      </c>
      <c r="AK1003" s="3" t="s">
        <v>46</v>
      </c>
      <c r="AL1003" s="3" t="s">
        <v>81</v>
      </c>
      <c r="AM1003" s="3" t="s">
        <v>82</v>
      </c>
    </row>
    <row r="1004" spans="1:39" ht="21" customHeight="1">
      <c r="A1004" s="4">
        <v>43412</v>
      </c>
      <c r="B1004" s="3" t="s">
        <v>78</v>
      </c>
      <c r="C1004" s="3" t="s">
        <v>79</v>
      </c>
      <c r="D1004" s="4">
        <v>43159</v>
      </c>
      <c r="E1004" s="3">
        <f t="shared" si="204"/>
        <v>253</v>
      </c>
      <c r="F1004" s="3" t="str">
        <f t="shared" si="205"/>
        <v>개봉후</v>
      </c>
      <c r="G1004" s="3" t="str">
        <f t="shared" si="206"/>
        <v>목</v>
      </c>
      <c r="H1004" s="3">
        <f t="shared" si="207"/>
        <v>0</v>
      </c>
      <c r="I1004" s="3">
        <v>18599</v>
      </c>
      <c r="J1004" s="3">
        <v>10234</v>
      </c>
      <c r="K1004" s="3">
        <v>8365</v>
      </c>
      <c r="L1004" s="12">
        <f t="shared" si="208"/>
        <v>0.55024463680843061</v>
      </c>
      <c r="M1004" s="12">
        <f t="shared" si="209"/>
        <v>-9.9932249322493227E-2</v>
      </c>
      <c r="N1004" s="11">
        <f t="shared" si="211"/>
        <v>26673.714285714286</v>
      </c>
      <c r="O1004" s="11">
        <f t="shared" si="213"/>
        <v>27506.285714285714</v>
      </c>
      <c r="P1004" s="11">
        <f t="shared" si="214"/>
        <v>0.6761727189629384</v>
      </c>
      <c r="Q1004" s="7"/>
      <c r="R1004" s="7"/>
      <c r="S1004" s="7"/>
      <c r="T1004" s="7"/>
      <c r="U1004" s="7"/>
      <c r="V1004" s="7"/>
      <c r="W1004" s="7"/>
      <c r="X1004" s="3" t="s">
        <v>87</v>
      </c>
      <c r="Y1004" s="3"/>
      <c r="Z1004" s="9"/>
      <c r="AA1004" s="12" t="str">
        <f t="shared" si="210"/>
        <v/>
      </c>
      <c r="AB1004" s="9" t="str">
        <f t="shared" si="212"/>
        <v/>
      </c>
      <c r="AC1004" s="9" t="str">
        <f t="shared" si="215"/>
        <v/>
      </c>
      <c r="AD1004" s="9" t="str">
        <f t="shared" si="216"/>
        <v/>
      </c>
      <c r="AE1004" s="3"/>
      <c r="AF1004" s="11">
        <f t="shared" si="217"/>
        <v>14844.5</v>
      </c>
      <c r="AG1004" s="11">
        <f t="shared" si="218"/>
        <v>0.68941358752399884</v>
      </c>
      <c r="AH1004" s="11" t="str">
        <f t="shared" si="219"/>
        <v/>
      </c>
      <c r="AI1004" s="3" t="s">
        <v>45</v>
      </c>
      <c r="AJ1004" s="3" t="s">
        <v>79</v>
      </c>
      <c r="AK1004" s="3" t="s">
        <v>46</v>
      </c>
      <c r="AL1004" s="3" t="s">
        <v>81</v>
      </c>
      <c r="AM1004" s="3" t="s">
        <v>82</v>
      </c>
    </row>
    <row r="1005" spans="1:39" ht="21" customHeight="1">
      <c r="A1005" s="4">
        <v>43413</v>
      </c>
      <c r="B1005" s="3" t="s">
        <v>78</v>
      </c>
      <c r="C1005" s="3" t="s">
        <v>79</v>
      </c>
      <c r="D1005" s="4">
        <v>43159</v>
      </c>
      <c r="E1005" s="3">
        <f t="shared" si="204"/>
        <v>254</v>
      </c>
      <c r="F1005" s="3" t="str">
        <f t="shared" si="205"/>
        <v>개봉후</v>
      </c>
      <c r="G1005" s="3" t="str">
        <f t="shared" si="206"/>
        <v>금</v>
      </c>
      <c r="H1005" s="3">
        <f t="shared" si="207"/>
        <v>0</v>
      </c>
      <c r="I1005" s="3">
        <v>21928</v>
      </c>
      <c r="J1005" s="3">
        <v>13184</v>
      </c>
      <c r="K1005" s="3">
        <v>8743</v>
      </c>
      <c r="L1005" s="12">
        <f t="shared" si="208"/>
        <v>0.60124042320321047</v>
      </c>
      <c r="M1005" s="12">
        <f t="shared" si="209"/>
        <v>0.1789881176407333</v>
      </c>
      <c r="N1005" s="11">
        <f t="shared" si="211"/>
        <v>25266.857142857141</v>
      </c>
      <c r="O1005" s="11">
        <f t="shared" si="213"/>
        <v>27354.392857142859</v>
      </c>
      <c r="P1005" s="11">
        <f t="shared" si="214"/>
        <v>0.80162627313711687</v>
      </c>
      <c r="Q1005" s="7"/>
      <c r="R1005" s="7"/>
      <c r="S1005" s="7"/>
      <c r="T1005" s="7"/>
      <c r="U1005" s="7"/>
      <c r="V1005" s="7"/>
      <c r="W1005" s="7"/>
      <c r="X1005" s="3" t="s">
        <v>87</v>
      </c>
      <c r="Y1005" s="3"/>
      <c r="Z1005" s="9"/>
      <c r="AA1005" s="12" t="str">
        <f t="shared" si="210"/>
        <v/>
      </c>
      <c r="AB1005" s="9" t="str">
        <f t="shared" si="212"/>
        <v/>
      </c>
      <c r="AC1005" s="9" t="str">
        <f t="shared" si="215"/>
        <v/>
      </c>
      <c r="AD1005" s="9" t="str">
        <f t="shared" si="216"/>
        <v/>
      </c>
      <c r="AE1005" s="3"/>
      <c r="AF1005" s="11">
        <f t="shared" si="217"/>
        <v>17495</v>
      </c>
      <c r="AG1005" s="11">
        <f t="shared" si="218"/>
        <v>0.7535867390683052</v>
      </c>
      <c r="AH1005" s="11" t="str">
        <f t="shared" si="219"/>
        <v/>
      </c>
      <c r="AI1005" s="3" t="s">
        <v>45</v>
      </c>
      <c r="AJ1005" s="3" t="s">
        <v>79</v>
      </c>
      <c r="AK1005" s="3" t="s">
        <v>46</v>
      </c>
      <c r="AL1005" s="3" t="s">
        <v>81</v>
      </c>
      <c r="AM1005" s="3" t="s">
        <v>82</v>
      </c>
    </row>
    <row r="1006" spans="1:39" ht="21" customHeight="1">
      <c r="A1006" s="4">
        <v>43414</v>
      </c>
      <c r="B1006" s="3" t="s">
        <v>78</v>
      </c>
      <c r="C1006" s="3" t="s">
        <v>79</v>
      </c>
      <c r="D1006" s="4">
        <v>43159</v>
      </c>
      <c r="E1006" s="3">
        <f t="shared" si="204"/>
        <v>255</v>
      </c>
      <c r="F1006" s="3" t="str">
        <f t="shared" si="205"/>
        <v>개봉후</v>
      </c>
      <c r="G1006" s="3" t="str">
        <f t="shared" si="206"/>
        <v>토</v>
      </c>
      <c r="H1006" s="3">
        <f t="shared" si="207"/>
        <v>1</v>
      </c>
      <c r="I1006" s="3">
        <v>33428</v>
      </c>
      <c r="J1006" s="3">
        <v>25924</v>
      </c>
      <c r="K1006" s="3">
        <v>7504</v>
      </c>
      <c r="L1006" s="12">
        <f t="shared" si="208"/>
        <v>0.77551753021419167</v>
      </c>
      <c r="M1006" s="12">
        <f t="shared" si="209"/>
        <v>0.52444363371032465</v>
      </c>
      <c r="N1006" s="11">
        <f t="shared" si="211"/>
        <v>25036.857142857141</v>
      </c>
      <c r="O1006" s="11">
        <f t="shared" si="213"/>
        <v>27179.285714285714</v>
      </c>
      <c r="P1006" s="11">
        <f t="shared" si="214"/>
        <v>1.2299072297705711</v>
      </c>
      <c r="Q1006" s="7"/>
      <c r="R1006" s="7"/>
      <c r="S1006" s="7"/>
      <c r="T1006" s="7"/>
      <c r="U1006" s="7"/>
      <c r="V1006" s="7"/>
      <c r="W1006" s="7"/>
      <c r="X1006" s="3" t="s">
        <v>87</v>
      </c>
      <c r="Y1006" s="3"/>
      <c r="Z1006" s="9"/>
      <c r="AA1006" s="12" t="str">
        <f t="shared" si="210"/>
        <v/>
      </c>
      <c r="AB1006" s="9" t="str">
        <f t="shared" si="212"/>
        <v/>
      </c>
      <c r="AC1006" s="9" t="str">
        <f t="shared" si="215"/>
        <v/>
      </c>
      <c r="AD1006" s="9" t="str">
        <f t="shared" si="216"/>
        <v/>
      </c>
      <c r="AE1006" s="3"/>
      <c r="AF1006" s="11">
        <f t="shared" si="217"/>
        <v>26451.5</v>
      </c>
      <c r="AG1006" s="11">
        <f t="shared" si="218"/>
        <v>0.98005784171029997</v>
      </c>
      <c r="AH1006" s="11" t="str">
        <f t="shared" si="219"/>
        <v/>
      </c>
      <c r="AI1006" s="3" t="s">
        <v>45</v>
      </c>
      <c r="AJ1006" s="3" t="s">
        <v>79</v>
      </c>
      <c r="AK1006" s="3" t="s">
        <v>46</v>
      </c>
      <c r="AL1006" s="3" t="s">
        <v>81</v>
      </c>
      <c r="AM1006" s="3" t="s">
        <v>82</v>
      </c>
    </row>
    <row r="1007" spans="1:39" ht="21" customHeight="1">
      <c r="A1007" s="4">
        <v>43415</v>
      </c>
      <c r="B1007" s="3" t="s">
        <v>78</v>
      </c>
      <c r="C1007" s="3" t="s">
        <v>79</v>
      </c>
      <c r="D1007" s="4">
        <v>43159</v>
      </c>
      <c r="E1007" s="3">
        <f t="shared" si="204"/>
        <v>256</v>
      </c>
      <c r="F1007" s="3" t="str">
        <f t="shared" si="205"/>
        <v>개봉후</v>
      </c>
      <c r="G1007" s="3" t="str">
        <f t="shared" si="206"/>
        <v>일</v>
      </c>
      <c r="H1007" s="3">
        <f t="shared" si="207"/>
        <v>1</v>
      </c>
      <c r="I1007" s="3">
        <v>36592</v>
      </c>
      <c r="J1007" s="3">
        <v>29326</v>
      </c>
      <c r="K1007" s="3">
        <v>7266</v>
      </c>
      <c r="L1007" s="12">
        <f t="shared" si="208"/>
        <v>0.80143200699606476</v>
      </c>
      <c r="M1007" s="12">
        <f t="shared" si="209"/>
        <v>9.4651190618643133E-2</v>
      </c>
      <c r="N1007" s="11">
        <f t="shared" si="211"/>
        <v>24646.857142857141</v>
      </c>
      <c r="O1007" s="11">
        <f t="shared" si="213"/>
        <v>27121.285714285714</v>
      </c>
      <c r="P1007" s="11">
        <f t="shared" si="214"/>
        <v>1.3491985736032321</v>
      </c>
      <c r="Q1007" s="7"/>
      <c r="R1007" s="7"/>
      <c r="S1007" s="7"/>
      <c r="T1007" s="7"/>
      <c r="U1007" s="7"/>
      <c r="V1007" s="7"/>
      <c r="W1007" s="7"/>
      <c r="X1007" s="3" t="s">
        <v>87</v>
      </c>
      <c r="Y1007" s="3"/>
      <c r="Z1007" s="9"/>
      <c r="AA1007" s="12" t="str">
        <f t="shared" si="210"/>
        <v/>
      </c>
      <c r="AB1007" s="9" t="str">
        <f t="shared" si="212"/>
        <v/>
      </c>
      <c r="AC1007" s="9" t="str">
        <f t="shared" si="215"/>
        <v/>
      </c>
      <c r="AD1007" s="9" t="str">
        <f t="shared" si="216"/>
        <v/>
      </c>
      <c r="AE1007" s="3"/>
      <c r="AF1007" s="11">
        <f t="shared" si="217"/>
        <v>32776</v>
      </c>
      <c r="AG1007" s="11">
        <f t="shared" si="218"/>
        <v>0.89474005369782772</v>
      </c>
      <c r="AH1007" s="11" t="str">
        <f t="shared" si="219"/>
        <v/>
      </c>
      <c r="AI1007" s="3" t="s">
        <v>45</v>
      </c>
      <c r="AJ1007" s="3" t="s">
        <v>79</v>
      </c>
      <c r="AK1007" s="3" t="s">
        <v>46</v>
      </c>
      <c r="AL1007" s="3" t="s">
        <v>81</v>
      </c>
      <c r="AM1007" s="3" t="s">
        <v>82</v>
      </c>
    </row>
    <row r="1008" spans="1:39" ht="21" customHeight="1">
      <c r="A1008" s="4">
        <v>43416</v>
      </c>
      <c r="B1008" s="3" t="s">
        <v>78</v>
      </c>
      <c r="C1008" s="3" t="s">
        <v>79</v>
      </c>
      <c r="D1008" s="4">
        <v>43159</v>
      </c>
      <c r="E1008" s="3">
        <f t="shared" si="204"/>
        <v>257</v>
      </c>
      <c r="F1008" s="3" t="str">
        <f t="shared" si="205"/>
        <v>개봉후</v>
      </c>
      <c r="G1008" s="3" t="str">
        <f t="shared" si="206"/>
        <v>월</v>
      </c>
      <c r="H1008" s="3">
        <f t="shared" si="207"/>
        <v>0</v>
      </c>
      <c r="I1008" s="3">
        <v>19450</v>
      </c>
      <c r="J1008" s="3">
        <v>10745</v>
      </c>
      <c r="K1008" s="3">
        <v>8704</v>
      </c>
      <c r="L1008" s="12">
        <f t="shared" si="208"/>
        <v>0.55244215938303343</v>
      </c>
      <c r="M1008" s="12">
        <f t="shared" si="209"/>
        <v>-0.46846305203323135</v>
      </c>
      <c r="N1008" s="11">
        <f t="shared" si="211"/>
        <v>24534</v>
      </c>
      <c r="O1008" s="11">
        <f t="shared" si="213"/>
        <v>27075.785714285714</v>
      </c>
      <c r="P1008" s="11">
        <f t="shared" si="214"/>
        <v>0.71835403800443731</v>
      </c>
      <c r="Q1008" s="7"/>
      <c r="R1008" s="7"/>
      <c r="S1008" s="7"/>
      <c r="T1008" s="7"/>
      <c r="U1008" s="7"/>
      <c r="V1008" s="7"/>
      <c r="W1008" s="7"/>
      <c r="X1008" s="3" t="s">
        <v>87</v>
      </c>
      <c r="Y1008" s="3"/>
      <c r="Z1008" s="9"/>
      <c r="AA1008" s="12" t="str">
        <f t="shared" si="210"/>
        <v/>
      </c>
      <c r="AB1008" s="9" t="str">
        <f t="shared" si="212"/>
        <v/>
      </c>
      <c r="AC1008" s="9" t="str">
        <f t="shared" si="215"/>
        <v/>
      </c>
      <c r="AD1008" s="9" t="str">
        <f t="shared" si="216"/>
        <v/>
      </c>
      <c r="AE1008" s="3"/>
      <c r="AF1008" s="11">
        <f t="shared" si="217"/>
        <v>13538</v>
      </c>
      <c r="AG1008" s="11">
        <f t="shared" si="218"/>
        <v>0.79369183040330915</v>
      </c>
      <c r="AH1008" s="11" t="str">
        <f t="shared" si="219"/>
        <v/>
      </c>
      <c r="AI1008" s="3" t="s">
        <v>45</v>
      </c>
      <c r="AJ1008" s="3" t="s">
        <v>79</v>
      </c>
      <c r="AK1008" s="3" t="s">
        <v>46</v>
      </c>
      <c r="AL1008" s="3" t="s">
        <v>81</v>
      </c>
      <c r="AM1008" s="3" t="s">
        <v>82</v>
      </c>
    </row>
    <row r="1009" spans="1:39" ht="21" customHeight="1">
      <c r="A1009" s="4">
        <v>43417</v>
      </c>
      <c r="B1009" s="3" t="s">
        <v>78</v>
      </c>
      <c r="C1009" s="3" t="s">
        <v>79</v>
      </c>
      <c r="D1009" s="4">
        <v>43159</v>
      </c>
      <c r="E1009" s="3">
        <f t="shared" si="204"/>
        <v>258</v>
      </c>
      <c r="F1009" s="3" t="str">
        <f t="shared" si="205"/>
        <v>개봉후</v>
      </c>
      <c r="G1009" s="3" t="str">
        <f t="shared" si="206"/>
        <v>화</v>
      </c>
      <c r="H1009" s="3">
        <f t="shared" si="207"/>
        <v>0</v>
      </c>
      <c r="I1009" s="3">
        <v>20786</v>
      </c>
      <c r="J1009" s="3">
        <v>11680</v>
      </c>
      <c r="K1009" s="3">
        <v>9107</v>
      </c>
      <c r="L1009" s="12">
        <f t="shared" si="208"/>
        <v>0.56191667468488404</v>
      </c>
      <c r="M1009" s="12">
        <f t="shared" si="209"/>
        <v>6.8688946015424079E-2</v>
      </c>
      <c r="N1009" s="11">
        <f t="shared" si="211"/>
        <v>24492.428571428572</v>
      </c>
      <c r="O1009" s="11">
        <f t="shared" si="213"/>
        <v>27011.178571428572</v>
      </c>
      <c r="P1009" s="11">
        <f t="shared" si="214"/>
        <v>0.7695332488004305</v>
      </c>
      <c r="Q1009" s="7"/>
      <c r="R1009" s="7"/>
      <c r="S1009" s="7"/>
      <c r="T1009" s="7"/>
      <c r="U1009" s="7"/>
      <c r="V1009" s="7"/>
      <c r="W1009" s="7"/>
      <c r="X1009" s="3" t="s">
        <v>87</v>
      </c>
      <c r="Y1009" s="3"/>
      <c r="Z1009" s="9"/>
      <c r="AA1009" s="12" t="str">
        <f t="shared" si="210"/>
        <v/>
      </c>
      <c r="AB1009" s="9" t="str">
        <f t="shared" si="212"/>
        <v/>
      </c>
      <c r="AC1009" s="9" t="str">
        <f t="shared" si="215"/>
        <v/>
      </c>
      <c r="AD1009" s="9" t="str">
        <f t="shared" si="216"/>
        <v/>
      </c>
      <c r="AE1009" s="3"/>
      <c r="AF1009" s="11">
        <f t="shared" si="217"/>
        <v>13308</v>
      </c>
      <c r="AG1009" s="11">
        <f t="shared" si="218"/>
        <v>0.87766756837992188</v>
      </c>
      <c r="AH1009" s="11" t="str">
        <f t="shared" si="219"/>
        <v/>
      </c>
      <c r="AI1009" s="3" t="s">
        <v>45</v>
      </c>
      <c r="AJ1009" s="3" t="s">
        <v>79</v>
      </c>
      <c r="AK1009" s="3" t="s">
        <v>46</v>
      </c>
      <c r="AL1009" s="3" t="s">
        <v>81</v>
      </c>
      <c r="AM1009" s="3" t="s">
        <v>82</v>
      </c>
    </row>
    <row r="1010" spans="1:39" ht="21" customHeight="1">
      <c r="A1010" s="4">
        <v>43418</v>
      </c>
      <c r="B1010" s="3" t="s">
        <v>78</v>
      </c>
      <c r="C1010" s="3" t="s">
        <v>79</v>
      </c>
      <c r="D1010" s="4">
        <v>43159</v>
      </c>
      <c r="E1010" s="3">
        <f t="shared" si="204"/>
        <v>259</v>
      </c>
      <c r="F1010" s="3" t="str">
        <f t="shared" si="205"/>
        <v>개봉후</v>
      </c>
      <c r="G1010" s="3" t="str">
        <f t="shared" si="206"/>
        <v>수</v>
      </c>
      <c r="H1010" s="3">
        <f t="shared" si="207"/>
        <v>0</v>
      </c>
      <c r="I1010" s="3">
        <v>20562</v>
      </c>
      <c r="J1010" s="3">
        <v>11529</v>
      </c>
      <c r="K1010" s="3">
        <v>9034</v>
      </c>
      <c r="L1010" s="12">
        <f t="shared" si="208"/>
        <v>0.56069448497227892</v>
      </c>
      <c r="M1010" s="12">
        <f t="shared" si="209"/>
        <v>-1.0776484172038914E-2</v>
      </c>
      <c r="N1010" s="11">
        <f t="shared" si="211"/>
        <v>24477.857142857141</v>
      </c>
      <c r="O1010" s="11">
        <f t="shared" si="213"/>
        <v>26981.892857142859</v>
      </c>
      <c r="P1010" s="11">
        <f t="shared" si="214"/>
        <v>0.76206662404549075</v>
      </c>
      <c r="Q1010" s="7">
        <v>1</v>
      </c>
      <c r="R1010" s="7">
        <v>1</v>
      </c>
      <c r="S1010" s="7">
        <v>85</v>
      </c>
      <c r="T1010" s="7">
        <v>0</v>
      </c>
      <c r="U1010" s="7">
        <v>0</v>
      </c>
      <c r="V1010" s="7">
        <v>1505852</v>
      </c>
      <c r="W1010" s="7">
        <v>123</v>
      </c>
      <c r="X1010" s="3" t="s">
        <v>87</v>
      </c>
      <c r="Y1010" s="3" t="s">
        <v>83</v>
      </c>
      <c r="Z1010" s="9"/>
      <c r="AA1010" s="12" t="str">
        <f t="shared" si="210"/>
        <v/>
      </c>
      <c r="AB1010" s="9" t="str">
        <f t="shared" si="212"/>
        <v/>
      </c>
      <c r="AC1010" s="9" t="str">
        <f t="shared" si="215"/>
        <v/>
      </c>
      <c r="AD1010" s="9" t="str">
        <f t="shared" si="216"/>
        <v/>
      </c>
      <c r="AE1010" s="3"/>
      <c r="AF1010" s="11">
        <f t="shared" si="217"/>
        <v>13274.75</v>
      </c>
      <c r="AG1010" s="11">
        <f t="shared" si="218"/>
        <v>0.86849093203261829</v>
      </c>
      <c r="AH1010" s="11" t="str">
        <f t="shared" si="219"/>
        <v/>
      </c>
      <c r="AI1010" s="3" t="s">
        <v>45</v>
      </c>
      <c r="AJ1010" s="3" t="s">
        <v>79</v>
      </c>
      <c r="AK1010" s="3" t="s">
        <v>46</v>
      </c>
      <c r="AL1010" s="3" t="s">
        <v>81</v>
      </c>
      <c r="AM1010" s="3" t="s">
        <v>82</v>
      </c>
    </row>
    <row r="1011" spans="1:39" ht="21" customHeight="1">
      <c r="A1011" s="4">
        <v>43419</v>
      </c>
      <c r="B1011" s="3" t="s">
        <v>78</v>
      </c>
      <c r="C1011" s="3" t="s">
        <v>79</v>
      </c>
      <c r="D1011" s="4">
        <v>43159</v>
      </c>
      <c r="E1011" s="3">
        <f t="shared" si="204"/>
        <v>260</v>
      </c>
      <c r="F1011" s="3" t="str">
        <f t="shared" si="205"/>
        <v>개봉후</v>
      </c>
      <c r="G1011" s="3" t="str">
        <f t="shared" si="206"/>
        <v>목</v>
      </c>
      <c r="H1011" s="3">
        <f t="shared" si="207"/>
        <v>0</v>
      </c>
      <c r="I1011" s="3">
        <v>20444</v>
      </c>
      <c r="J1011" s="3">
        <v>11669</v>
      </c>
      <c r="K1011" s="3">
        <v>8774</v>
      </c>
      <c r="L1011" s="12">
        <f t="shared" si="208"/>
        <v>0.57077871258070823</v>
      </c>
      <c r="M1011" s="12">
        <f t="shared" si="209"/>
        <v>-5.7387413675712429E-3</v>
      </c>
      <c r="N1011" s="11">
        <f t="shared" si="211"/>
        <v>24741.428571428572</v>
      </c>
      <c r="O1011" s="11">
        <f t="shared" si="213"/>
        <v>26897.5</v>
      </c>
      <c r="P1011" s="11">
        <f t="shared" si="214"/>
        <v>0.76007063853517987</v>
      </c>
      <c r="Q1011" s="7"/>
      <c r="R1011" s="7"/>
      <c r="S1011" s="7"/>
      <c r="T1011" s="7"/>
      <c r="U1011" s="7"/>
      <c r="V1011" s="7"/>
      <c r="W1011" s="7"/>
      <c r="X1011" s="3" t="s">
        <v>87</v>
      </c>
      <c r="Y1011" s="3"/>
      <c r="Z1011" s="9"/>
      <c r="AA1011" s="12" t="str">
        <f t="shared" si="210"/>
        <v/>
      </c>
      <c r="AB1011" s="9" t="str">
        <f t="shared" si="212"/>
        <v/>
      </c>
      <c r="AC1011" s="9" t="str">
        <f t="shared" si="215"/>
        <v/>
      </c>
      <c r="AD1011" s="9" t="str">
        <f t="shared" si="216"/>
        <v/>
      </c>
      <c r="AE1011" s="3"/>
      <c r="AF1011" s="11">
        <f t="shared" si="217"/>
        <v>14147</v>
      </c>
      <c r="AG1011" s="11">
        <f t="shared" si="218"/>
        <v>0.82483918852053439</v>
      </c>
      <c r="AH1011" s="11" t="str">
        <f t="shared" si="219"/>
        <v/>
      </c>
      <c r="AI1011" s="3" t="s">
        <v>45</v>
      </c>
      <c r="AJ1011" s="3" t="s">
        <v>79</v>
      </c>
      <c r="AK1011" s="3" t="s">
        <v>46</v>
      </c>
      <c r="AL1011" s="3" t="s">
        <v>81</v>
      </c>
      <c r="AM1011" s="3" t="s">
        <v>82</v>
      </c>
    </row>
    <row r="1012" spans="1:39" ht="21" customHeight="1">
      <c r="A1012" s="4">
        <v>43420</v>
      </c>
      <c r="B1012" s="3" t="s">
        <v>78</v>
      </c>
      <c r="C1012" s="3" t="s">
        <v>79</v>
      </c>
      <c r="D1012" s="4">
        <v>43159</v>
      </c>
      <c r="E1012" s="3">
        <f t="shared" si="204"/>
        <v>261</v>
      </c>
      <c r="F1012" s="3" t="str">
        <f t="shared" si="205"/>
        <v>개봉후</v>
      </c>
      <c r="G1012" s="3" t="str">
        <f t="shared" si="206"/>
        <v>금</v>
      </c>
      <c r="H1012" s="3">
        <f t="shared" si="207"/>
        <v>0</v>
      </c>
      <c r="I1012" s="3">
        <v>28004</v>
      </c>
      <c r="J1012" s="3">
        <v>19288</v>
      </c>
      <c r="K1012" s="3">
        <v>8715</v>
      </c>
      <c r="L1012" s="12">
        <f t="shared" si="208"/>
        <v>0.68875874875017851</v>
      </c>
      <c r="M1012" s="12">
        <f t="shared" si="209"/>
        <v>0.36979064762277436</v>
      </c>
      <c r="N1012" s="11">
        <f t="shared" si="211"/>
        <v>25609.428571428572</v>
      </c>
      <c r="O1012" s="11">
        <f t="shared" si="213"/>
        <v>26884</v>
      </c>
      <c r="P1012" s="11">
        <f t="shared" si="214"/>
        <v>1.0416604671923821</v>
      </c>
      <c r="Q1012" s="7"/>
      <c r="R1012" s="7"/>
      <c r="S1012" s="7"/>
      <c r="T1012" s="7"/>
      <c r="U1012" s="7"/>
      <c r="V1012" s="7"/>
      <c r="W1012" s="7"/>
      <c r="X1012" s="3" t="s">
        <v>87</v>
      </c>
      <c r="Y1012" s="3"/>
      <c r="Z1012" s="9"/>
      <c r="AA1012" s="12" t="str">
        <f t="shared" si="210"/>
        <v/>
      </c>
      <c r="AB1012" s="9" t="str">
        <f t="shared" si="212"/>
        <v/>
      </c>
      <c r="AC1012" s="9" t="str">
        <f t="shared" si="215"/>
        <v/>
      </c>
      <c r="AD1012" s="9" t="str">
        <f t="shared" si="216"/>
        <v/>
      </c>
      <c r="AE1012" s="3"/>
      <c r="AF1012" s="11">
        <f t="shared" si="217"/>
        <v>16751</v>
      </c>
      <c r="AG1012" s="11">
        <f t="shared" si="218"/>
        <v>1.1514536445585337</v>
      </c>
      <c r="AH1012" s="11" t="str">
        <f t="shared" si="219"/>
        <v/>
      </c>
      <c r="AI1012" s="3" t="s">
        <v>45</v>
      </c>
      <c r="AJ1012" s="3" t="s">
        <v>79</v>
      </c>
      <c r="AK1012" s="3" t="s">
        <v>46</v>
      </c>
      <c r="AL1012" s="3" t="s">
        <v>81</v>
      </c>
      <c r="AM1012" s="3" t="s">
        <v>82</v>
      </c>
    </row>
    <row r="1013" spans="1:39" ht="21" customHeight="1">
      <c r="A1013" s="4">
        <v>43421</v>
      </c>
      <c r="B1013" s="3" t="s">
        <v>78</v>
      </c>
      <c r="C1013" s="3" t="s">
        <v>79</v>
      </c>
      <c r="D1013" s="4">
        <v>43159</v>
      </c>
      <c r="E1013" s="3">
        <f t="shared" si="204"/>
        <v>262</v>
      </c>
      <c r="F1013" s="3" t="str">
        <f t="shared" si="205"/>
        <v>개봉후</v>
      </c>
      <c r="G1013" s="3" t="str">
        <f t="shared" si="206"/>
        <v>토</v>
      </c>
      <c r="H1013" s="3">
        <f t="shared" si="207"/>
        <v>1</v>
      </c>
      <c r="I1013" s="3">
        <v>31129</v>
      </c>
      <c r="J1013" s="3">
        <v>23667</v>
      </c>
      <c r="K1013" s="3">
        <v>7462</v>
      </c>
      <c r="L1013" s="12">
        <f t="shared" si="208"/>
        <v>0.76028783449516524</v>
      </c>
      <c r="M1013" s="12">
        <f t="shared" si="209"/>
        <v>0.11159120125696331</v>
      </c>
      <c r="N1013" s="11">
        <f t="shared" si="211"/>
        <v>25281</v>
      </c>
      <c r="O1013" s="11">
        <f t="shared" si="213"/>
        <v>26995.892857142859</v>
      </c>
      <c r="P1013" s="11">
        <f t="shared" si="214"/>
        <v>1.1531013315517571</v>
      </c>
      <c r="Q1013" s="7"/>
      <c r="R1013" s="7"/>
      <c r="S1013" s="7"/>
      <c r="T1013" s="7"/>
      <c r="U1013" s="7"/>
      <c r="V1013" s="7"/>
      <c r="W1013" s="7"/>
      <c r="X1013" s="3" t="s">
        <v>87</v>
      </c>
      <c r="Y1013" s="3"/>
      <c r="Z1013" s="9"/>
      <c r="AA1013" s="12" t="str">
        <f t="shared" si="210"/>
        <v/>
      </c>
      <c r="AB1013" s="9" t="str">
        <f t="shared" si="212"/>
        <v/>
      </c>
      <c r="AC1013" s="9" t="str">
        <f t="shared" si="215"/>
        <v/>
      </c>
      <c r="AD1013" s="9" t="str">
        <f t="shared" si="216"/>
        <v/>
      </c>
      <c r="AE1013" s="3"/>
      <c r="AF1013" s="11">
        <f t="shared" si="217"/>
        <v>26348</v>
      </c>
      <c r="AG1013" s="11">
        <f t="shared" si="218"/>
        <v>0.89824654622741762</v>
      </c>
      <c r="AH1013" s="11" t="str">
        <f t="shared" si="219"/>
        <v/>
      </c>
      <c r="AI1013" s="3" t="s">
        <v>45</v>
      </c>
      <c r="AJ1013" s="3" t="s">
        <v>79</v>
      </c>
      <c r="AK1013" s="3" t="s">
        <v>46</v>
      </c>
      <c r="AL1013" s="3" t="s">
        <v>81</v>
      </c>
      <c r="AM1013" s="3" t="s">
        <v>82</v>
      </c>
    </row>
    <row r="1014" spans="1:39" ht="21" customHeight="1">
      <c r="A1014" s="4">
        <v>43422</v>
      </c>
      <c r="B1014" s="3" t="s">
        <v>78</v>
      </c>
      <c r="C1014" s="3" t="s">
        <v>79</v>
      </c>
      <c r="D1014" s="4">
        <v>43159</v>
      </c>
      <c r="E1014" s="3">
        <f t="shared" si="204"/>
        <v>263</v>
      </c>
      <c r="F1014" s="3" t="str">
        <f t="shared" si="205"/>
        <v>개봉후</v>
      </c>
      <c r="G1014" s="3" t="str">
        <f t="shared" si="206"/>
        <v>일</v>
      </c>
      <c r="H1014" s="3">
        <f t="shared" si="207"/>
        <v>1</v>
      </c>
      <c r="I1014" s="3">
        <v>34475</v>
      </c>
      <c r="J1014" s="3">
        <v>27136</v>
      </c>
      <c r="K1014" s="3">
        <v>7340</v>
      </c>
      <c r="L1014" s="12">
        <f t="shared" si="208"/>
        <v>0.7871211022480058</v>
      </c>
      <c r="M1014" s="12">
        <f t="shared" si="209"/>
        <v>0.10748819428828416</v>
      </c>
      <c r="N1014" s="11">
        <f t="shared" si="211"/>
        <v>24978.571428571428</v>
      </c>
      <c r="O1014" s="11">
        <f t="shared" si="213"/>
        <v>26862.785714285714</v>
      </c>
      <c r="P1014" s="11">
        <f t="shared" si="214"/>
        <v>1.2833739719580195</v>
      </c>
      <c r="Q1014" s="7"/>
      <c r="R1014" s="7"/>
      <c r="S1014" s="7"/>
      <c r="T1014" s="7"/>
      <c r="U1014" s="7"/>
      <c r="V1014" s="7"/>
      <c r="W1014" s="7"/>
      <c r="X1014" s="3" t="s">
        <v>87</v>
      </c>
      <c r="Y1014" s="3"/>
      <c r="Z1014" s="9"/>
      <c r="AA1014" s="12" t="str">
        <f t="shared" si="210"/>
        <v/>
      </c>
      <c r="AB1014" s="9" t="str">
        <f t="shared" si="212"/>
        <v/>
      </c>
      <c r="AC1014" s="9" t="str">
        <f t="shared" si="215"/>
        <v/>
      </c>
      <c r="AD1014" s="9" t="str">
        <f t="shared" si="216"/>
        <v/>
      </c>
      <c r="AE1014" s="3"/>
      <c r="AF1014" s="11">
        <f t="shared" si="217"/>
        <v>32530</v>
      </c>
      <c r="AG1014" s="11">
        <f t="shared" si="218"/>
        <v>0.8341838303104826</v>
      </c>
      <c r="AH1014" s="11" t="str">
        <f t="shared" si="219"/>
        <v/>
      </c>
      <c r="AI1014" s="3" t="s">
        <v>45</v>
      </c>
      <c r="AJ1014" s="3" t="s">
        <v>79</v>
      </c>
      <c r="AK1014" s="3" t="s">
        <v>46</v>
      </c>
      <c r="AL1014" s="3" t="s">
        <v>81</v>
      </c>
      <c r="AM1014" s="3" t="s">
        <v>82</v>
      </c>
    </row>
    <row r="1015" spans="1:39" ht="21" customHeight="1">
      <c r="A1015" s="4">
        <v>43423</v>
      </c>
      <c r="B1015" s="3" t="s">
        <v>78</v>
      </c>
      <c r="C1015" s="3" t="s">
        <v>79</v>
      </c>
      <c r="D1015" s="4">
        <v>43159</v>
      </c>
      <c r="E1015" s="3">
        <f t="shared" si="204"/>
        <v>264</v>
      </c>
      <c r="F1015" s="3" t="str">
        <f t="shared" si="205"/>
        <v>개봉후</v>
      </c>
      <c r="G1015" s="3" t="str">
        <f t="shared" si="206"/>
        <v>월</v>
      </c>
      <c r="H1015" s="3">
        <f t="shared" si="207"/>
        <v>0</v>
      </c>
      <c r="I1015" s="3">
        <v>23429</v>
      </c>
      <c r="J1015" s="3">
        <v>14616</v>
      </c>
      <c r="K1015" s="3">
        <v>8813</v>
      </c>
      <c r="L1015" s="12">
        <f t="shared" si="208"/>
        <v>0.62384224678816846</v>
      </c>
      <c r="M1015" s="12">
        <f t="shared" si="209"/>
        <v>-0.32040609137055842</v>
      </c>
      <c r="N1015" s="11">
        <f t="shared" si="211"/>
        <v>25547</v>
      </c>
      <c r="O1015" s="11">
        <f t="shared" si="213"/>
        <v>26607.035714285714</v>
      </c>
      <c r="P1015" s="11">
        <f t="shared" si="214"/>
        <v>0.88055656599959464</v>
      </c>
      <c r="Q1015" s="7"/>
      <c r="R1015" s="7"/>
      <c r="S1015" s="7"/>
      <c r="T1015" s="7"/>
      <c r="U1015" s="7"/>
      <c r="V1015" s="7"/>
      <c r="W1015" s="7"/>
      <c r="X1015" s="3" t="s">
        <v>87</v>
      </c>
      <c r="Y1015" s="3"/>
      <c r="Z1015" s="9"/>
      <c r="AA1015" s="12" t="str">
        <f t="shared" si="210"/>
        <v/>
      </c>
      <c r="AB1015" s="9" t="str">
        <f t="shared" si="212"/>
        <v/>
      </c>
      <c r="AC1015" s="9" t="str">
        <f t="shared" si="215"/>
        <v/>
      </c>
      <c r="AD1015" s="9" t="str">
        <f t="shared" si="216"/>
        <v/>
      </c>
      <c r="AE1015" s="3"/>
      <c r="AF1015" s="11">
        <f t="shared" si="217"/>
        <v>13148.75</v>
      </c>
      <c r="AG1015" s="11">
        <f t="shared" si="218"/>
        <v>1.1115885540450614</v>
      </c>
      <c r="AH1015" s="11" t="str">
        <f t="shared" si="219"/>
        <v/>
      </c>
      <c r="AI1015" s="3" t="s">
        <v>45</v>
      </c>
      <c r="AJ1015" s="3" t="s">
        <v>79</v>
      </c>
      <c r="AK1015" s="3" t="s">
        <v>46</v>
      </c>
      <c r="AL1015" s="3" t="s">
        <v>81</v>
      </c>
      <c r="AM1015" s="3" t="s">
        <v>82</v>
      </c>
    </row>
    <row r="1016" spans="1:39" ht="21" customHeight="1">
      <c r="A1016" s="4">
        <v>43424</v>
      </c>
      <c r="B1016" s="3" t="s">
        <v>78</v>
      </c>
      <c r="C1016" s="3" t="s">
        <v>79</v>
      </c>
      <c r="D1016" s="4">
        <v>43159</v>
      </c>
      <c r="E1016" s="3">
        <f t="shared" si="204"/>
        <v>265</v>
      </c>
      <c r="F1016" s="3" t="str">
        <f t="shared" si="205"/>
        <v>개봉후</v>
      </c>
      <c r="G1016" s="3" t="str">
        <f t="shared" si="206"/>
        <v>화</v>
      </c>
      <c r="H1016" s="3">
        <f t="shared" si="207"/>
        <v>0</v>
      </c>
      <c r="I1016" s="3">
        <v>20150</v>
      </c>
      <c r="J1016" s="3">
        <v>11372</v>
      </c>
      <c r="K1016" s="3">
        <v>8778</v>
      </c>
      <c r="L1016" s="12">
        <f t="shared" si="208"/>
        <v>0.56436724565756824</v>
      </c>
      <c r="M1016" s="12">
        <f t="shared" si="209"/>
        <v>-0.13995475692517823</v>
      </c>
      <c r="N1016" s="11">
        <f t="shared" si="211"/>
        <v>25456.142857142859</v>
      </c>
      <c r="O1016" s="11">
        <f t="shared" si="213"/>
        <v>26483.142857142859</v>
      </c>
      <c r="P1016" s="11">
        <f t="shared" si="214"/>
        <v>0.76086135655025833</v>
      </c>
      <c r="Q1016" s="7"/>
      <c r="R1016" s="7"/>
      <c r="S1016" s="7"/>
      <c r="T1016" s="7"/>
      <c r="U1016" s="7"/>
      <c r="V1016" s="7"/>
      <c r="W1016" s="7"/>
      <c r="X1016" s="3" t="s">
        <v>87</v>
      </c>
      <c r="Y1016" s="3"/>
      <c r="Z1016" s="9"/>
      <c r="AA1016" s="12" t="str">
        <f t="shared" si="210"/>
        <v/>
      </c>
      <c r="AB1016" s="9" t="str">
        <f t="shared" si="212"/>
        <v/>
      </c>
      <c r="AC1016" s="9" t="str">
        <f t="shared" si="215"/>
        <v/>
      </c>
      <c r="AD1016" s="9" t="str">
        <f t="shared" si="216"/>
        <v/>
      </c>
      <c r="AE1016" s="3"/>
      <c r="AF1016" s="11">
        <f t="shared" si="217"/>
        <v>13046.5</v>
      </c>
      <c r="AG1016" s="11">
        <f t="shared" si="218"/>
        <v>0.87165140075882419</v>
      </c>
      <c r="AH1016" s="11" t="str">
        <f t="shared" si="219"/>
        <v/>
      </c>
      <c r="AI1016" s="3" t="s">
        <v>45</v>
      </c>
      <c r="AJ1016" s="3" t="s">
        <v>79</v>
      </c>
      <c r="AK1016" s="3" t="s">
        <v>46</v>
      </c>
      <c r="AL1016" s="3" t="s">
        <v>81</v>
      </c>
      <c r="AM1016" s="3" t="s">
        <v>82</v>
      </c>
    </row>
    <row r="1017" spans="1:39" ht="21" customHeight="1">
      <c r="A1017" s="4">
        <v>43425</v>
      </c>
      <c r="B1017" s="3" t="s">
        <v>78</v>
      </c>
      <c r="C1017" s="3" t="s">
        <v>79</v>
      </c>
      <c r="D1017" s="4">
        <v>43159</v>
      </c>
      <c r="E1017" s="3">
        <f t="shared" si="204"/>
        <v>266</v>
      </c>
      <c r="F1017" s="3" t="str">
        <f t="shared" si="205"/>
        <v>개봉후</v>
      </c>
      <c r="G1017" s="3" t="str">
        <f t="shared" si="206"/>
        <v>수</v>
      </c>
      <c r="H1017" s="3">
        <f t="shared" si="207"/>
        <v>0</v>
      </c>
      <c r="I1017" s="3">
        <v>20125</v>
      </c>
      <c r="J1017" s="3">
        <v>11476</v>
      </c>
      <c r="K1017" s="3">
        <v>8648</v>
      </c>
      <c r="L1017" s="12">
        <f t="shared" si="208"/>
        <v>0.57023602484472047</v>
      </c>
      <c r="M1017" s="12">
        <f t="shared" si="209"/>
        <v>-1.2406947890818421E-3</v>
      </c>
      <c r="N1017" s="11">
        <f t="shared" si="211"/>
        <v>25393.714285714286</v>
      </c>
      <c r="O1017" s="11">
        <f t="shared" si="213"/>
        <v>26370.142857142859</v>
      </c>
      <c r="P1017" s="11">
        <f t="shared" si="214"/>
        <v>0.76317371919541033</v>
      </c>
      <c r="Q1017" s="7"/>
      <c r="R1017" s="7"/>
      <c r="S1017" s="7"/>
      <c r="T1017" s="7"/>
      <c r="U1017" s="7"/>
      <c r="V1017" s="7"/>
      <c r="W1017" s="7"/>
      <c r="X1017" s="3" t="s">
        <v>87</v>
      </c>
      <c r="Y1017" s="3"/>
      <c r="Z1017" s="9"/>
      <c r="AA1017" s="12" t="str">
        <f t="shared" si="210"/>
        <v/>
      </c>
      <c r="AB1017" s="9" t="str">
        <f t="shared" si="212"/>
        <v/>
      </c>
      <c r="AC1017" s="9" t="str">
        <f t="shared" si="215"/>
        <v/>
      </c>
      <c r="AD1017" s="9" t="str">
        <f t="shared" si="216"/>
        <v/>
      </c>
      <c r="AE1017" s="3"/>
      <c r="AF1017" s="11">
        <f t="shared" si="217"/>
        <v>12740</v>
      </c>
      <c r="AG1017" s="11">
        <f t="shared" si="218"/>
        <v>0.9007849293563579</v>
      </c>
      <c r="AH1017" s="11" t="str">
        <f t="shared" si="219"/>
        <v/>
      </c>
      <c r="AI1017" s="3" t="s">
        <v>45</v>
      </c>
      <c r="AJ1017" s="3" t="s">
        <v>79</v>
      </c>
      <c r="AK1017" s="3" t="s">
        <v>46</v>
      </c>
      <c r="AL1017" s="3" t="s">
        <v>81</v>
      </c>
      <c r="AM1017" s="3" t="s">
        <v>82</v>
      </c>
    </row>
    <row r="1018" spans="1:39" ht="21" customHeight="1">
      <c r="A1018" s="4">
        <v>43426</v>
      </c>
      <c r="B1018" s="3" t="s">
        <v>78</v>
      </c>
      <c r="C1018" s="3" t="s">
        <v>79</v>
      </c>
      <c r="D1018" s="4">
        <v>43159</v>
      </c>
      <c r="E1018" s="3">
        <f t="shared" si="204"/>
        <v>267</v>
      </c>
      <c r="F1018" s="3" t="str">
        <f t="shared" si="205"/>
        <v>개봉후</v>
      </c>
      <c r="G1018" s="3" t="str">
        <f t="shared" si="206"/>
        <v>목</v>
      </c>
      <c r="H1018" s="3">
        <f t="shared" si="207"/>
        <v>0</v>
      </c>
      <c r="I1018" s="3">
        <v>20150</v>
      </c>
      <c r="J1018" s="3">
        <v>11305</v>
      </c>
      <c r="K1018" s="3">
        <v>8844</v>
      </c>
      <c r="L1018" s="12">
        <f t="shared" si="208"/>
        <v>0.56104218362282876</v>
      </c>
      <c r="M1018" s="12">
        <f t="shared" si="209"/>
        <v>1.242236024844745E-3</v>
      </c>
      <c r="N1018" s="11">
        <f t="shared" si="211"/>
        <v>25351.714285714286</v>
      </c>
      <c r="O1018" s="11">
        <f t="shared" si="213"/>
        <v>26247.142857142859</v>
      </c>
      <c r="P1018" s="11">
        <f t="shared" si="214"/>
        <v>0.76770260708648552</v>
      </c>
      <c r="Q1018" s="7"/>
      <c r="R1018" s="7"/>
      <c r="S1018" s="7"/>
      <c r="T1018" s="7"/>
      <c r="U1018" s="7"/>
      <c r="V1018" s="7"/>
      <c r="W1018" s="7"/>
      <c r="X1018" s="3" t="s">
        <v>87</v>
      </c>
      <c r="Y1018" s="3"/>
      <c r="Z1018" s="9"/>
      <c r="AA1018" s="12" t="str">
        <f t="shared" si="210"/>
        <v/>
      </c>
      <c r="AB1018" s="9" t="str">
        <f t="shared" si="212"/>
        <v/>
      </c>
      <c r="AC1018" s="9" t="str">
        <f t="shared" si="215"/>
        <v/>
      </c>
      <c r="AD1018" s="9" t="str">
        <f t="shared" si="216"/>
        <v/>
      </c>
      <c r="AE1018" s="3"/>
      <c r="AF1018" s="11">
        <f t="shared" si="217"/>
        <v>14025.25</v>
      </c>
      <c r="AG1018" s="11">
        <f t="shared" si="218"/>
        <v>0.80604623803497266</v>
      </c>
      <c r="AH1018" s="11" t="str">
        <f t="shared" si="219"/>
        <v/>
      </c>
      <c r="AI1018" s="3" t="s">
        <v>45</v>
      </c>
      <c r="AJ1018" s="3" t="s">
        <v>79</v>
      </c>
      <c r="AK1018" s="3" t="s">
        <v>46</v>
      </c>
      <c r="AL1018" s="3" t="s">
        <v>81</v>
      </c>
      <c r="AM1018" s="3" t="s">
        <v>82</v>
      </c>
    </row>
    <row r="1019" spans="1:39" ht="21" customHeight="1">
      <c r="A1019" s="4">
        <v>43427</v>
      </c>
      <c r="B1019" s="3" t="s">
        <v>78</v>
      </c>
      <c r="C1019" s="3" t="s">
        <v>79</v>
      </c>
      <c r="D1019" s="4">
        <v>43159</v>
      </c>
      <c r="E1019" s="3">
        <f t="shared" ref="E1019:E1082" si="220">A1019-D1019</f>
        <v>268</v>
      </c>
      <c r="F1019" s="3" t="str">
        <f t="shared" ref="F1019:F1082" si="221">IF(E1019&lt;0,"개봉전","개봉후")</f>
        <v>개봉후</v>
      </c>
      <c r="G1019" s="3" t="str">
        <f t="shared" ref="G1019:G1082" si="222">CHOOSE(WEEKDAY(A1019,2),"월","화","수","목","금","토","일")</f>
        <v>금</v>
      </c>
      <c r="H1019" s="3">
        <f t="shared" ref="H1019:H1082" si="223">IF(WEEKDAY(A1019,2)&gt;5,1,0)</f>
        <v>0</v>
      </c>
      <c r="I1019" s="3">
        <v>22572</v>
      </c>
      <c r="J1019" s="3">
        <v>13738</v>
      </c>
      <c r="K1019" s="3">
        <v>8834</v>
      </c>
      <c r="L1019" s="12">
        <f t="shared" ref="L1019:L1082" si="224">IF(COUNT(I1019:J1019)=2,IFERROR(J1019/I1019,""),"")</f>
        <v>0.60863016126174019</v>
      </c>
      <c r="M1019" s="12">
        <f t="shared" si="209"/>
        <v>0.12019851116625313</v>
      </c>
      <c r="N1019" s="11">
        <f t="shared" si="211"/>
        <v>24575.714285714286</v>
      </c>
      <c r="O1019" s="11">
        <f t="shared" si="213"/>
        <v>25846.642857142859</v>
      </c>
      <c r="P1019" s="11">
        <f t="shared" si="214"/>
        <v>0.87330490558320639</v>
      </c>
      <c r="Q1019" s="7"/>
      <c r="R1019" s="7"/>
      <c r="S1019" s="7"/>
      <c r="T1019" s="7"/>
      <c r="U1019" s="7"/>
      <c r="V1019" s="7"/>
      <c r="W1019" s="7"/>
      <c r="X1019" s="3" t="s">
        <v>87</v>
      </c>
      <c r="Y1019" s="3"/>
      <c r="Z1019" s="9"/>
      <c r="AA1019" s="12" t="str">
        <f t="shared" si="210"/>
        <v/>
      </c>
      <c r="AB1019" s="9" t="str">
        <f t="shared" si="212"/>
        <v/>
      </c>
      <c r="AC1019" s="9" t="str">
        <f t="shared" si="215"/>
        <v/>
      </c>
      <c r="AD1019" s="9" t="str">
        <f t="shared" si="216"/>
        <v/>
      </c>
      <c r="AE1019" s="3"/>
      <c r="AF1019" s="11">
        <f t="shared" si="217"/>
        <v>17645</v>
      </c>
      <c r="AG1019" s="11">
        <f t="shared" si="218"/>
        <v>0.77857750070841603</v>
      </c>
      <c r="AH1019" s="11" t="str">
        <f t="shared" si="219"/>
        <v/>
      </c>
      <c r="AI1019" s="3" t="s">
        <v>45</v>
      </c>
      <c r="AJ1019" s="3" t="s">
        <v>79</v>
      </c>
      <c r="AK1019" s="3" t="s">
        <v>46</v>
      </c>
      <c r="AL1019" s="3" t="s">
        <v>81</v>
      </c>
      <c r="AM1019" s="3" t="s">
        <v>82</v>
      </c>
    </row>
    <row r="1020" spans="1:39" ht="21" customHeight="1">
      <c r="A1020" s="4">
        <v>43428</v>
      </c>
      <c r="B1020" s="3" t="s">
        <v>78</v>
      </c>
      <c r="C1020" s="3" t="s">
        <v>79</v>
      </c>
      <c r="D1020" s="4">
        <v>43159</v>
      </c>
      <c r="E1020" s="3">
        <f t="shared" si="220"/>
        <v>269</v>
      </c>
      <c r="F1020" s="3" t="str">
        <f t="shared" si="221"/>
        <v>개봉후</v>
      </c>
      <c r="G1020" s="3" t="str">
        <f t="shared" si="222"/>
        <v>토</v>
      </c>
      <c r="H1020" s="3">
        <f t="shared" si="223"/>
        <v>1</v>
      </c>
      <c r="I1020" s="3">
        <v>38500</v>
      </c>
      <c r="J1020" s="3">
        <v>31454</v>
      </c>
      <c r="K1020" s="3">
        <v>7046</v>
      </c>
      <c r="L1020" s="12">
        <f t="shared" si="224"/>
        <v>0.81698701298701304</v>
      </c>
      <c r="M1020" s="12">
        <f t="shared" ref="M1020:M1083" si="225">IF(AND(COUNT(I1019:I1020)=2,A1020=A1019+1),IFERROR(I1020/I1019-1,""),"")</f>
        <v>0.7056530214424952</v>
      </c>
      <c r="N1020" s="11">
        <f t="shared" si="211"/>
        <v>25628.714285714286</v>
      </c>
      <c r="O1020" s="11">
        <f t="shared" si="213"/>
        <v>25794.142857142859</v>
      </c>
      <c r="P1020" s="11">
        <f t="shared" si="214"/>
        <v>1.4925869106497045</v>
      </c>
      <c r="Q1020" s="7"/>
      <c r="R1020" s="7"/>
      <c r="S1020" s="7"/>
      <c r="T1020" s="7"/>
      <c r="U1020" s="7"/>
      <c r="V1020" s="7"/>
      <c r="W1020" s="7"/>
      <c r="X1020" s="3" t="s">
        <v>87</v>
      </c>
      <c r="Y1020" s="3"/>
      <c r="Z1020" s="9"/>
      <c r="AA1020" s="12" t="str">
        <f t="shared" ref="AA1020:AA1083" si="226">IF(AND(COUNT(Z1019:Z1020)=2,A1020=A1019+1),IFERROR(Z1020/Z1019-1,""),"")</f>
        <v/>
      </c>
      <c r="AB1020" s="9" t="str">
        <f t="shared" si="212"/>
        <v/>
      </c>
      <c r="AC1020" s="9" t="str">
        <f t="shared" si="215"/>
        <v/>
      </c>
      <c r="AD1020" s="9" t="str">
        <f t="shared" si="216"/>
        <v/>
      </c>
      <c r="AE1020" s="3"/>
      <c r="AF1020" s="11">
        <f t="shared" si="217"/>
        <v>25537.75</v>
      </c>
      <c r="AG1020" s="11">
        <f t="shared" si="218"/>
        <v>1.2316668461395386</v>
      </c>
      <c r="AH1020" s="11" t="str">
        <f t="shared" si="219"/>
        <v/>
      </c>
      <c r="AI1020" s="3" t="s">
        <v>45</v>
      </c>
      <c r="AJ1020" s="3" t="s">
        <v>79</v>
      </c>
      <c r="AK1020" s="3" t="s">
        <v>46</v>
      </c>
      <c r="AL1020" s="3" t="s">
        <v>81</v>
      </c>
      <c r="AM1020" s="3" t="s">
        <v>82</v>
      </c>
    </row>
    <row r="1021" spans="1:39" ht="21" customHeight="1">
      <c r="A1021" s="4">
        <v>43429</v>
      </c>
      <c r="B1021" s="3" t="s">
        <v>78</v>
      </c>
      <c r="C1021" s="3" t="s">
        <v>79</v>
      </c>
      <c r="D1021" s="4">
        <v>43159</v>
      </c>
      <c r="E1021" s="3">
        <f t="shared" si="220"/>
        <v>270</v>
      </c>
      <c r="F1021" s="3" t="str">
        <f t="shared" si="221"/>
        <v>개봉후</v>
      </c>
      <c r="G1021" s="3" t="str">
        <f t="shared" si="222"/>
        <v>일</v>
      </c>
      <c r="H1021" s="3">
        <f t="shared" si="223"/>
        <v>1</v>
      </c>
      <c r="I1021" s="3">
        <v>32263</v>
      </c>
      <c r="J1021" s="3">
        <v>25532</v>
      </c>
      <c r="K1021" s="3">
        <v>6730</v>
      </c>
      <c r="L1021" s="12">
        <f t="shared" si="224"/>
        <v>0.79137092024920186</v>
      </c>
      <c r="M1021" s="12">
        <f t="shared" si="225"/>
        <v>-0.16200000000000003</v>
      </c>
      <c r="N1021" s="11">
        <f t="shared" si="211"/>
        <v>25312.714285714286</v>
      </c>
      <c r="O1021" s="11">
        <f t="shared" si="213"/>
        <v>25982.5</v>
      </c>
      <c r="P1021" s="11">
        <f t="shared" si="214"/>
        <v>1.2417203887231791</v>
      </c>
      <c r="Q1021" s="7"/>
      <c r="R1021" s="7"/>
      <c r="S1021" s="7"/>
      <c r="T1021" s="7"/>
      <c r="U1021" s="7"/>
      <c r="V1021" s="7"/>
      <c r="W1021" s="7"/>
      <c r="X1021" s="3" t="s">
        <v>87</v>
      </c>
      <c r="Y1021" s="3"/>
      <c r="Z1021" s="9"/>
      <c r="AA1021" s="12" t="str">
        <f t="shared" si="226"/>
        <v/>
      </c>
      <c r="AB1021" s="9" t="str">
        <f t="shared" si="212"/>
        <v/>
      </c>
      <c r="AC1021" s="9" t="str">
        <f t="shared" si="215"/>
        <v/>
      </c>
      <c r="AD1021" s="9" t="str">
        <f t="shared" si="216"/>
        <v/>
      </c>
      <c r="AE1021" s="3"/>
      <c r="AF1021" s="11">
        <f t="shared" si="217"/>
        <v>30727.5</v>
      </c>
      <c r="AG1021" s="11">
        <f t="shared" si="218"/>
        <v>0.83091693108778786</v>
      </c>
      <c r="AH1021" s="11" t="str">
        <f t="shared" si="219"/>
        <v/>
      </c>
      <c r="AI1021" s="3" t="s">
        <v>45</v>
      </c>
      <c r="AJ1021" s="3" t="s">
        <v>79</v>
      </c>
      <c r="AK1021" s="3" t="s">
        <v>46</v>
      </c>
      <c r="AL1021" s="3" t="s">
        <v>81</v>
      </c>
      <c r="AM1021" s="3" t="s">
        <v>82</v>
      </c>
    </row>
    <row r="1022" spans="1:39" ht="21" customHeight="1">
      <c r="A1022" s="4">
        <v>43430</v>
      </c>
      <c r="B1022" s="3" t="s">
        <v>78</v>
      </c>
      <c r="C1022" s="3" t="s">
        <v>79</v>
      </c>
      <c r="D1022" s="4">
        <v>43159</v>
      </c>
      <c r="E1022" s="3">
        <f t="shared" si="220"/>
        <v>271</v>
      </c>
      <c r="F1022" s="3" t="str">
        <f t="shared" si="221"/>
        <v>개봉후</v>
      </c>
      <c r="G1022" s="3" t="str">
        <f t="shared" si="222"/>
        <v>월</v>
      </c>
      <c r="H1022" s="3">
        <f t="shared" si="223"/>
        <v>0</v>
      </c>
      <c r="I1022" s="3">
        <v>18991</v>
      </c>
      <c r="J1022" s="3">
        <v>10490</v>
      </c>
      <c r="K1022" s="3">
        <v>8502</v>
      </c>
      <c r="L1022" s="12">
        <f t="shared" si="224"/>
        <v>0.55236691064188304</v>
      </c>
      <c r="M1022" s="12">
        <f t="shared" si="225"/>
        <v>-0.41136906053373834</v>
      </c>
      <c r="N1022" s="11">
        <f t="shared" si="211"/>
        <v>24678.714285714286</v>
      </c>
      <c r="O1022" s="11">
        <f t="shared" si="213"/>
        <v>25641.107142857141</v>
      </c>
      <c r="P1022" s="11">
        <f t="shared" si="214"/>
        <v>0.74064664580173301</v>
      </c>
      <c r="Q1022" s="7"/>
      <c r="R1022" s="7"/>
      <c r="S1022" s="7"/>
      <c r="T1022" s="7"/>
      <c r="U1022" s="7"/>
      <c r="V1022" s="7"/>
      <c r="W1022" s="7"/>
      <c r="X1022" s="3" t="s">
        <v>87</v>
      </c>
      <c r="Y1022" s="3"/>
      <c r="Z1022" s="9"/>
      <c r="AA1022" s="12" t="str">
        <f t="shared" si="226"/>
        <v/>
      </c>
      <c r="AB1022" s="9" t="str">
        <f t="shared" si="212"/>
        <v/>
      </c>
      <c r="AC1022" s="9" t="str">
        <f t="shared" si="215"/>
        <v/>
      </c>
      <c r="AD1022" s="9" t="str">
        <f t="shared" si="216"/>
        <v/>
      </c>
      <c r="AE1022" s="3"/>
      <c r="AF1022" s="11">
        <f t="shared" si="217"/>
        <v>12340.25</v>
      </c>
      <c r="AG1022" s="11">
        <f t="shared" si="218"/>
        <v>0.85006381556289379</v>
      </c>
      <c r="AH1022" s="11" t="str">
        <f t="shared" si="219"/>
        <v/>
      </c>
      <c r="AI1022" s="3" t="s">
        <v>45</v>
      </c>
      <c r="AJ1022" s="3" t="s">
        <v>79</v>
      </c>
      <c r="AK1022" s="3" t="s">
        <v>46</v>
      </c>
      <c r="AL1022" s="3" t="s">
        <v>81</v>
      </c>
      <c r="AM1022" s="3" t="s">
        <v>82</v>
      </c>
    </row>
    <row r="1023" spans="1:39" ht="21" customHeight="1">
      <c r="A1023" s="4">
        <v>43431</v>
      </c>
      <c r="B1023" s="3" t="s">
        <v>78</v>
      </c>
      <c r="C1023" s="3" t="s">
        <v>79</v>
      </c>
      <c r="D1023" s="4">
        <v>43159</v>
      </c>
      <c r="E1023" s="3">
        <f t="shared" si="220"/>
        <v>272</v>
      </c>
      <c r="F1023" s="3" t="str">
        <f t="shared" si="221"/>
        <v>개봉후</v>
      </c>
      <c r="G1023" s="3" t="str">
        <f t="shared" si="222"/>
        <v>화</v>
      </c>
      <c r="H1023" s="3">
        <f t="shared" si="223"/>
        <v>0</v>
      </c>
      <c r="I1023" s="3">
        <v>19754</v>
      </c>
      <c r="J1023" s="3">
        <v>11252</v>
      </c>
      <c r="K1023" s="3">
        <v>8502</v>
      </c>
      <c r="L1023" s="12">
        <f t="shared" si="224"/>
        <v>0.56960615571529816</v>
      </c>
      <c r="M1023" s="12">
        <f t="shared" si="225"/>
        <v>4.0176925912274175E-2</v>
      </c>
      <c r="N1023" s="11">
        <f t="shared" si="211"/>
        <v>24622.142857142859</v>
      </c>
      <c r="O1023" s="11">
        <f t="shared" si="213"/>
        <v>25551.714285714286</v>
      </c>
      <c r="P1023" s="11">
        <f t="shared" si="214"/>
        <v>0.77309881361049304</v>
      </c>
      <c r="Q1023" s="7"/>
      <c r="R1023" s="7"/>
      <c r="S1023" s="7"/>
      <c r="T1023" s="7"/>
      <c r="U1023" s="7"/>
      <c r="V1023" s="7"/>
      <c r="W1023" s="7"/>
      <c r="X1023" s="3" t="s">
        <v>87</v>
      </c>
      <c r="Y1023" s="3"/>
      <c r="Z1023" s="9"/>
      <c r="AA1023" s="12" t="str">
        <f t="shared" si="226"/>
        <v/>
      </c>
      <c r="AB1023" s="9" t="str">
        <f t="shared" si="212"/>
        <v/>
      </c>
      <c r="AC1023" s="9" t="str">
        <f t="shared" si="215"/>
        <v/>
      </c>
      <c r="AD1023" s="9" t="str">
        <f t="shared" si="216"/>
        <v/>
      </c>
      <c r="AE1023" s="3"/>
      <c r="AF1023" s="11">
        <f t="shared" si="217"/>
        <v>12350</v>
      </c>
      <c r="AG1023" s="11">
        <f t="shared" si="218"/>
        <v>0.91109311740890686</v>
      </c>
      <c r="AH1023" s="11" t="str">
        <f t="shared" si="219"/>
        <v/>
      </c>
      <c r="AI1023" s="3" t="s">
        <v>45</v>
      </c>
      <c r="AJ1023" s="3" t="s">
        <v>79</v>
      </c>
      <c r="AK1023" s="3" t="s">
        <v>46</v>
      </c>
      <c r="AL1023" s="3" t="s">
        <v>81</v>
      </c>
      <c r="AM1023" s="3" t="s">
        <v>82</v>
      </c>
    </row>
    <row r="1024" spans="1:39" ht="21" customHeight="1">
      <c r="A1024" s="4">
        <v>43432</v>
      </c>
      <c r="B1024" s="3" t="s">
        <v>78</v>
      </c>
      <c r="C1024" s="3" t="s">
        <v>79</v>
      </c>
      <c r="D1024" s="4">
        <v>43159</v>
      </c>
      <c r="E1024" s="3">
        <f t="shared" si="220"/>
        <v>273</v>
      </c>
      <c r="F1024" s="3" t="str">
        <f t="shared" si="221"/>
        <v>개봉후</v>
      </c>
      <c r="G1024" s="3" t="str">
        <f t="shared" si="222"/>
        <v>수</v>
      </c>
      <c r="H1024" s="3">
        <f t="shared" si="223"/>
        <v>0</v>
      </c>
      <c r="I1024" s="3">
        <v>24143</v>
      </c>
      <c r="J1024" s="3">
        <v>15228</v>
      </c>
      <c r="K1024" s="3">
        <v>8914</v>
      </c>
      <c r="L1024" s="12">
        <f t="shared" si="224"/>
        <v>0.63074182993000039</v>
      </c>
      <c r="M1024" s="12">
        <f t="shared" si="225"/>
        <v>0.22218284904323182</v>
      </c>
      <c r="N1024" s="11">
        <f t="shared" si="211"/>
        <v>25196.142857142859</v>
      </c>
      <c r="O1024" s="11">
        <f t="shared" si="213"/>
        <v>25432.964285714286</v>
      </c>
      <c r="P1024" s="11">
        <f t="shared" si="214"/>
        <v>0.94927982946766221</v>
      </c>
      <c r="Q1024" s="7"/>
      <c r="R1024" s="7"/>
      <c r="S1024" s="7"/>
      <c r="T1024" s="7"/>
      <c r="U1024" s="7"/>
      <c r="V1024" s="7"/>
      <c r="W1024" s="7"/>
      <c r="X1024" s="3" t="s">
        <v>87</v>
      </c>
      <c r="Y1024" s="3"/>
      <c r="Z1024" s="9"/>
      <c r="AA1024" s="12" t="str">
        <f t="shared" si="226"/>
        <v/>
      </c>
      <c r="AB1024" s="9" t="str">
        <f t="shared" si="212"/>
        <v/>
      </c>
      <c r="AC1024" s="9" t="str">
        <f t="shared" si="215"/>
        <v/>
      </c>
      <c r="AD1024" s="9" t="str">
        <f t="shared" si="216"/>
        <v/>
      </c>
      <c r="AE1024" s="3"/>
      <c r="AF1024" s="11">
        <f t="shared" si="217"/>
        <v>11967.25</v>
      </c>
      <c r="AG1024" s="11">
        <f t="shared" si="218"/>
        <v>1.2724727903235915</v>
      </c>
      <c r="AH1024" s="11" t="str">
        <f t="shared" si="219"/>
        <v/>
      </c>
      <c r="AI1024" s="3" t="s">
        <v>45</v>
      </c>
      <c r="AJ1024" s="3" t="s">
        <v>79</v>
      </c>
      <c r="AK1024" s="3" t="s">
        <v>46</v>
      </c>
      <c r="AL1024" s="3" t="s">
        <v>81</v>
      </c>
      <c r="AM1024" s="3" t="s">
        <v>82</v>
      </c>
    </row>
    <row r="1025" spans="1:39" ht="21" customHeight="1">
      <c r="A1025" s="4">
        <v>43433</v>
      </c>
      <c r="B1025" s="3" t="s">
        <v>78</v>
      </c>
      <c r="C1025" s="3" t="s">
        <v>79</v>
      </c>
      <c r="D1025" s="4">
        <v>43159</v>
      </c>
      <c r="E1025" s="3">
        <f t="shared" si="220"/>
        <v>274</v>
      </c>
      <c r="F1025" s="3" t="str">
        <f t="shared" si="221"/>
        <v>개봉후</v>
      </c>
      <c r="G1025" s="3" t="str">
        <f t="shared" si="222"/>
        <v>목</v>
      </c>
      <c r="H1025" s="3">
        <f t="shared" si="223"/>
        <v>0</v>
      </c>
      <c r="I1025" s="3">
        <v>19414</v>
      </c>
      <c r="J1025" s="3">
        <v>11084</v>
      </c>
      <c r="K1025" s="3">
        <v>8330</v>
      </c>
      <c r="L1025" s="12">
        <f t="shared" si="224"/>
        <v>0.57092819614711032</v>
      </c>
      <c r="M1025" s="12">
        <f t="shared" si="225"/>
        <v>-0.19587458062378327</v>
      </c>
      <c r="N1025" s="11">
        <f t="shared" ref="N1025:N1088" si="227">IF(COUNT(I1019:I1025)=7,AVERAGE(I1019:I1025),"")</f>
        <v>25091</v>
      </c>
      <c r="O1025" s="11">
        <f t="shared" si="213"/>
        <v>25513.357142857141</v>
      </c>
      <c r="P1025" s="11">
        <f t="shared" si="214"/>
        <v>0.76093474846508979</v>
      </c>
      <c r="Q1025" s="7"/>
      <c r="R1025" s="7"/>
      <c r="S1025" s="7"/>
      <c r="T1025" s="7"/>
      <c r="U1025" s="7"/>
      <c r="V1025" s="7"/>
      <c r="W1025" s="7"/>
      <c r="X1025" s="3" t="s">
        <v>87</v>
      </c>
      <c r="Y1025" s="3"/>
      <c r="Z1025" s="9"/>
      <c r="AA1025" s="12" t="str">
        <f t="shared" si="226"/>
        <v/>
      </c>
      <c r="AB1025" s="9" t="str">
        <f t="shared" ref="AB1025:AB1088" si="228">IF(COUNT(Z1019:Z1025)=7,AVERAGE(Z1019:Z1025),"")</f>
        <v/>
      </c>
      <c r="AC1025" s="9" t="str">
        <f t="shared" si="215"/>
        <v/>
      </c>
      <c r="AD1025" s="9" t="str">
        <f t="shared" si="216"/>
        <v/>
      </c>
      <c r="AE1025" s="3"/>
      <c r="AF1025" s="11">
        <f t="shared" si="217"/>
        <v>11325</v>
      </c>
      <c r="AG1025" s="11">
        <f t="shared" si="218"/>
        <v>0.97871964679911705</v>
      </c>
      <c r="AH1025" s="11" t="str">
        <f t="shared" si="219"/>
        <v/>
      </c>
      <c r="AI1025" s="3" t="s">
        <v>45</v>
      </c>
      <c r="AJ1025" s="3" t="s">
        <v>79</v>
      </c>
      <c r="AK1025" s="3" t="s">
        <v>46</v>
      </c>
      <c r="AL1025" s="3" t="s">
        <v>81</v>
      </c>
      <c r="AM1025" s="3" t="s">
        <v>82</v>
      </c>
    </row>
    <row r="1026" spans="1:39" ht="21" customHeight="1">
      <c r="A1026" s="4">
        <v>43434</v>
      </c>
      <c r="B1026" s="3" t="s">
        <v>78</v>
      </c>
      <c r="C1026" s="3" t="s">
        <v>79</v>
      </c>
      <c r="D1026" s="4">
        <v>43159</v>
      </c>
      <c r="E1026" s="3">
        <f t="shared" si="220"/>
        <v>275</v>
      </c>
      <c r="F1026" s="3" t="str">
        <f t="shared" si="221"/>
        <v>개봉후</v>
      </c>
      <c r="G1026" s="3" t="str">
        <f t="shared" si="222"/>
        <v>금</v>
      </c>
      <c r="H1026" s="3">
        <f t="shared" si="223"/>
        <v>0</v>
      </c>
      <c r="I1026" s="3">
        <v>21539</v>
      </c>
      <c r="J1026" s="3">
        <v>12908</v>
      </c>
      <c r="K1026" s="3">
        <v>8631</v>
      </c>
      <c r="L1026" s="12">
        <f t="shared" si="224"/>
        <v>0.59928501787455313</v>
      </c>
      <c r="M1026" s="12">
        <f t="shared" si="225"/>
        <v>0.1094570928196148</v>
      </c>
      <c r="N1026" s="11">
        <f t="shared" si="227"/>
        <v>24943.428571428572</v>
      </c>
      <c r="O1026" s="11">
        <f t="shared" si="213"/>
        <v>25464.464285714286</v>
      </c>
      <c r="P1026" s="11">
        <f t="shared" si="214"/>
        <v>0.8458454008036409</v>
      </c>
      <c r="Q1026" s="7"/>
      <c r="R1026" s="7"/>
      <c r="S1026" s="7"/>
      <c r="T1026" s="7"/>
      <c r="U1026" s="7"/>
      <c r="V1026" s="7"/>
      <c r="W1026" s="7"/>
      <c r="X1026" s="3" t="s">
        <v>87</v>
      </c>
      <c r="Y1026" s="3"/>
      <c r="Z1026" s="9"/>
      <c r="AA1026" s="12" t="str">
        <f t="shared" si="226"/>
        <v/>
      </c>
      <c r="AB1026" s="9" t="str">
        <f t="shared" si="228"/>
        <v/>
      </c>
      <c r="AC1026" s="9" t="str">
        <f t="shared" si="215"/>
        <v/>
      </c>
      <c r="AD1026" s="9" t="str">
        <f t="shared" si="216"/>
        <v/>
      </c>
      <c r="AE1026" s="3"/>
      <c r="AF1026" s="11">
        <f t="shared" si="217"/>
        <v>17340.5</v>
      </c>
      <c r="AG1026" s="11">
        <f t="shared" si="218"/>
        <v>0.74438453331795507</v>
      </c>
      <c r="AH1026" s="11" t="str">
        <f t="shared" si="219"/>
        <v/>
      </c>
      <c r="AI1026" s="3" t="s">
        <v>45</v>
      </c>
      <c r="AJ1026" s="3" t="s">
        <v>79</v>
      </c>
      <c r="AK1026" s="3" t="s">
        <v>46</v>
      </c>
      <c r="AL1026" s="3" t="s">
        <v>81</v>
      </c>
      <c r="AM1026" s="3" t="s">
        <v>82</v>
      </c>
    </row>
    <row r="1027" spans="1:39" ht="21" customHeight="1">
      <c r="A1027" s="4">
        <v>43435</v>
      </c>
      <c r="B1027" s="3" t="s">
        <v>78</v>
      </c>
      <c r="C1027" s="3" t="s">
        <v>79</v>
      </c>
      <c r="D1027" s="4">
        <v>43159</v>
      </c>
      <c r="E1027" s="3">
        <f t="shared" si="220"/>
        <v>276</v>
      </c>
      <c r="F1027" s="3" t="str">
        <f t="shared" si="221"/>
        <v>개봉후</v>
      </c>
      <c r="G1027" s="3" t="str">
        <f t="shared" si="222"/>
        <v>토</v>
      </c>
      <c r="H1027" s="3">
        <f t="shared" si="223"/>
        <v>1</v>
      </c>
      <c r="I1027" s="3">
        <v>37324</v>
      </c>
      <c r="J1027" s="3">
        <v>29732</v>
      </c>
      <c r="K1027" s="3">
        <v>7592</v>
      </c>
      <c r="L1027" s="12">
        <f t="shared" si="224"/>
        <v>0.79659200514414319</v>
      </c>
      <c r="M1027" s="12">
        <f t="shared" si="225"/>
        <v>0.73285667858303549</v>
      </c>
      <c r="N1027" s="11">
        <f t="shared" si="227"/>
        <v>24775.428571428572</v>
      </c>
      <c r="O1027" s="11">
        <f t="shared" si="213"/>
        <v>25098.857142857141</v>
      </c>
      <c r="P1027" s="11">
        <f t="shared" si="214"/>
        <v>1.4870796621360109</v>
      </c>
      <c r="Q1027" s="7"/>
      <c r="R1027" s="7"/>
      <c r="S1027" s="7"/>
      <c r="T1027" s="7"/>
      <c r="U1027" s="7"/>
      <c r="V1027" s="7"/>
      <c r="W1027" s="7"/>
      <c r="X1027" s="3" t="s">
        <v>88</v>
      </c>
      <c r="Y1027" s="3"/>
      <c r="Z1027" s="9"/>
      <c r="AA1027" s="12" t="str">
        <f t="shared" si="226"/>
        <v/>
      </c>
      <c r="AB1027" s="9" t="str">
        <f t="shared" si="228"/>
        <v/>
      </c>
      <c r="AC1027" s="9" t="str">
        <f t="shared" si="215"/>
        <v/>
      </c>
      <c r="AD1027" s="9" t="str">
        <f t="shared" si="216"/>
        <v/>
      </c>
      <c r="AE1027" s="3"/>
      <c r="AF1027" s="11">
        <f t="shared" si="217"/>
        <v>27037.25</v>
      </c>
      <c r="AG1027" s="11">
        <f t="shared" si="218"/>
        <v>1.0996680505598757</v>
      </c>
      <c r="AH1027" s="11" t="str">
        <f t="shared" si="219"/>
        <v/>
      </c>
      <c r="AI1027" s="3" t="s">
        <v>45</v>
      </c>
      <c r="AJ1027" s="3" t="s">
        <v>79</v>
      </c>
      <c r="AK1027" s="3" t="s">
        <v>46</v>
      </c>
      <c r="AL1027" s="3" t="s">
        <v>81</v>
      </c>
      <c r="AM1027" s="3" t="s">
        <v>82</v>
      </c>
    </row>
    <row r="1028" spans="1:39" ht="21" customHeight="1">
      <c r="A1028" s="4">
        <v>43436</v>
      </c>
      <c r="B1028" s="3" t="s">
        <v>78</v>
      </c>
      <c r="C1028" s="3" t="s">
        <v>79</v>
      </c>
      <c r="D1028" s="4">
        <v>43159</v>
      </c>
      <c r="E1028" s="3">
        <f t="shared" si="220"/>
        <v>277</v>
      </c>
      <c r="F1028" s="3" t="str">
        <f t="shared" si="221"/>
        <v>개봉후</v>
      </c>
      <c r="G1028" s="3" t="str">
        <f t="shared" si="222"/>
        <v>일</v>
      </c>
      <c r="H1028" s="3">
        <f t="shared" si="223"/>
        <v>1</v>
      </c>
      <c r="I1028" s="3">
        <v>30534</v>
      </c>
      <c r="J1028" s="3">
        <v>23468</v>
      </c>
      <c r="K1028" s="3">
        <v>7066</v>
      </c>
      <c r="L1028" s="12">
        <f t="shared" si="224"/>
        <v>0.76858583873714548</v>
      </c>
      <c r="M1028" s="12">
        <f t="shared" si="225"/>
        <v>-0.18192048012003004</v>
      </c>
      <c r="N1028" s="11">
        <f t="shared" si="227"/>
        <v>24528.428571428572</v>
      </c>
      <c r="O1028" s="11">
        <f t="shared" si="213"/>
        <v>25180.5</v>
      </c>
      <c r="P1028" s="11">
        <f t="shared" si="214"/>
        <v>1.2126049919580628</v>
      </c>
      <c r="Q1028" s="7"/>
      <c r="R1028" s="7"/>
      <c r="S1028" s="7"/>
      <c r="T1028" s="7"/>
      <c r="U1028" s="7"/>
      <c r="V1028" s="7"/>
      <c r="W1028" s="7"/>
      <c r="X1028" s="3" t="s">
        <v>88</v>
      </c>
      <c r="Y1028" s="3"/>
      <c r="Z1028" s="9"/>
      <c r="AA1028" s="12" t="str">
        <f t="shared" si="226"/>
        <v/>
      </c>
      <c r="AB1028" s="9" t="str">
        <f t="shared" si="228"/>
        <v/>
      </c>
      <c r="AC1028" s="9" t="str">
        <f t="shared" si="215"/>
        <v/>
      </c>
      <c r="AD1028" s="9" t="str">
        <f t="shared" si="216"/>
        <v/>
      </c>
      <c r="AE1028" s="3"/>
      <c r="AF1028" s="11">
        <f t="shared" si="217"/>
        <v>28520.5</v>
      </c>
      <c r="AG1028" s="11">
        <f t="shared" si="218"/>
        <v>0.82284672428603989</v>
      </c>
      <c r="AH1028" s="11" t="str">
        <f t="shared" si="219"/>
        <v/>
      </c>
      <c r="AI1028" s="3" t="s">
        <v>45</v>
      </c>
      <c r="AJ1028" s="3" t="s">
        <v>79</v>
      </c>
      <c r="AK1028" s="3" t="s">
        <v>46</v>
      </c>
      <c r="AL1028" s="3" t="s">
        <v>81</v>
      </c>
      <c r="AM1028" s="3" t="s">
        <v>82</v>
      </c>
    </row>
    <row r="1029" spans="1:39" ht="21" customHeight="1">
      <c r="A1029" s="4">
        <v>43437</v>
      </c>
      <c r="B1029" s="3" t="s">
        <v>78</v>
      </c>
      <c r="C1029" s="3" t="s">
        <v>79</v>
      </c>
      <c r="D1029" s="4">
        <v>43159</v>
      </c>
      <c r="E1029" s="3">
        <f t="shared" si="220"/>
        <v>278</v>
      </c>
      <c r="F1029" s="3" t="str">
        <f t="shared" si="221"/>
        <v>개봉후</v>
      </c>
      <c r="G1029" s="3" t="str">
        <f t="shared" si="222"/>
        <v>월</v>
      </c>
      <c r="H1029" s="3">
        <f t="shared" si="223"/>
        <v>0</v>
      </c>
      <c r="I1029" s="3">
        <v>17686</v>
      </c>
      <c r="J1029" s="3">
        <v>8792</v>
      </c>
      <c r="K1029" s="3">
        <v>8894</v>
      </c>
      <c r="L1029" s="12">
        <f t="shared" si="224"/>
        <v>0.49711636322514985</v>
      </c>
      <c r="M1029" s="12">
        <f t="shared" si="225"/>
        <v>-0.4207768389336477</v>
      </c>
      <c r="N1029" s="11">
        <f t="shared" si="227"/>
        <v>24342</v>
      </c>
      <c r="O1029" s="11">
        <f t="shared" si="213"/>
        <v>24866.642857142859</v>
      </c>
      <c r="P1029" s="11">
        <f t="shared" si="214"/>
        <v>0.71123392496545856</v>
      </c>
      <c r="Q1029" s="7"/>
      <c r="R1029" s="7"/>
      <c r="S1029" s="7"/>
      <c r="T1029" s="7"/>
      <c r="U1029" s="7"/>
      <c r="V1029" s="7"/>
      <c r="W1029" s="7"/>
      <c r="X1029" s="3" t="s">
        <v>88</v>
      </c>
      <c r="Y1029" s="3"/>
      <c r="Z1029" s="9"/>
      <c r="AA1029" s="12" t="str">
        <f t="shared" si="226"/>
        <v/>
      </c>
      <c r="AB1029" s="9" t="str">
        <f t="shared" si="228"/>
        <v/>
      </c>
      <c r="AC1029" s="9" t="str">
        <f t="shared" si="215"/>
        <v/>
      </c>
      <c r="AD1029" s="9" t="str">
        <f t="shared" si="216"/>
        <v/>
      </c>
      <c r="AE1029" s="3"/>
      <c r="AF1029" s="11">
        <f t="shared" si="217"/>
        <v>11809.25</v>
      </c>
      <c r="AG1029" s="11">
        <f t="shared" si="218"/>
        <v>0.74450113258674344</v>
      </c>
      <c r="AH1029" s="11" t="str">
        <f t="shared" si="219"/>
        <v/>
      </c>
      <c r="AI1029" s="3" t="s">
        <v>45</v>
      </c>
      <c r="AJ1029" s="3" t="s">
        <v>79</v>
      </c>
      <c r="AK1029" s="3" t="s">
        <v>46</v>
      </c>
      <c r="AL1029" s="3" t="s">
        <v>81</v>
      </c>
      <c r="AM1029" s="3" t="s">
        <v>82</v>
      </c>
    </row>
    <row r="1030" spans="1:39" ht="21" customHeight="1">
      <c r="A1030" s="4">
        <v>43438</v>
      </c>
      <c r="B1030" s="3" t="s">
        <v>78</v>
      </c>
      <c r="C1030" s="3" t="s">
        <v>79</v>
      </c>
      <c r="D1030" s="4">
        <v>43159</v>
      </c>
      <c r="E1030" s="3">
        <f t="shared" si="220"/>
        <v>279</v>
      </c>
      <c r="F1030" s="3" t="str">
        <f t="shared" si="221"/>
        <v>개봉후</v>
      </c>
      <c r="G1030" s="3" t="str">
        <f t="shared" si="222"/>
        <v>화</v>
      </c>
      <c r="H1030" s="3">
        <f t="shared" si="223"/>
        <v>0</v>
      </c>
      <c r="I1030" s="3">
        <v>16992</v>
      </c>
      <c r="J1030" s="3">
        <v>8351</v>
      </c>
      <c r="K1030" s="3">
        <v>8642</v>
      </c>
      <c r="L1030" s="12">
        <f t="shared" si="224"/>
        <v>0.4914665725047081</v>
      </c>
      <c r="M1030" s="12">
        <f t="shared" si="225"/>
        <v>-3.9240076896980614E-2</v>
      </c>
      <c r="N1030" s="11">
        <f t="shared" si="227"/>
        <v>23947.428571428572</v>
      </c>
      <c r="O1030" s="11">
        <f t="shared" si="213"/>
        <v>24775.428571428572</v>
      </c>
      <c r="P1030" s="11">
        <f t="shared" si="214"/>
        <v>0.68584081001914332</v>
      </c>
      <c r="Q1030" s="7"/>
      <c r="R1030" s="7"/>
      <c r="S1030" s="7"/>
      <c r="T1030" s="7"/>
      <c r="U1030" s="7"/>
      <c r="V1030" s="7"/>
      <c r="W1030" s="7"/>
      <c r="X1030" s="3" t="s">
        <v>88</v>
      </c>
      <c r="Y1030" s="3"/>
      <c r="Z1030" s="9"/>
      <c r="AA1030" s="12" t="str">
        <f t="shared" si="226"/>
        <v/>
      </c>
      <c r="AB1030" s="9" t="str">
        <f t="shared" si="228"/>
        <v/>
      </c>
      <c r="AC1030" s="9" t="str">
        <f t="shared" si="215"/>
        <v/>
      </c>
      <c r="AD1030" s="9" t="str">
        <f t="shared" si="216"/>
        <v/>
      </c>
      <c r="AE1030" s="3"/>
      <c r="AF1030" s="11">
        <f t="shared" si="217"/>
        <v>11647.25</v>
      </c>
      <c r="AG1030" s="11">
        <f t="shared" si="218"/>
        <v>0.71699328167593213</v>
      </c>
      <c r="AH1030" s="11" t="str">
        <f t="shared" si="219"/>
        <v/>
      </c>
      <c r="AI1030" s="3" t="s">
        <v>45</v>
      </c>
      <c r="AJ1030" s="3" t="s">
        <v>79</v>
      </c>
      <c r="AK1030" s="3" t="s">
        <v>46</v>
      </c>
      <c r="AL1030" s="3" t="s">
        <v>81</v>
      </c>
      <c r="AM1030" s="3" t="s">
        <v>82</v>
      </c>
    </row>
    <row r="1031" spans="1:39" ht="21" customHeight="1">
      <c r="A1031" s="4">
        <v>43439</v>
      </c>
      <c r="B1031" s="3" t="s">
        <v>78</v>
      </c>
      <c r="C1031" s="3" t="s">
        <v>79</v>
      </c>
      <c r="D1031" s="4">
        <v>43159</v>
      </c>
      <c r="E1031" s="3">
        <f t="shared" si="220"/>
        <v>280</v>
      </c>
      <c r="F1031" s="3" t="str">
        <f t="shared" si="221"/>
        <v>개봉후</v>
      </c>
      <c r="G1031" s="3" t="str">
        <f t="shared" si="222"/>
        <v>수</v>
      </c>
      <c r="H1031" s="3">
        <f t="shared" si="223"/>
        <v>0</v>
      </c>
      <c r="I1031" s="3">
        <v>22358</v>
      </c>
      <c r="J1031" s="3">
        <v>13559</v>
      </c>
      <c r="K1031" s="3">
        <v>8799</v>
      </c>
      <c r="L1031" s="12">
        <f t="shared" si="224"/>
        <v>0.60644959298685031</v>
      </c>
      <c r="M1031" s="12">
        <f t="shared" si="225"/>
        <v>0.31579566854990593</v>
      </c>
      <c r="N1031" s="11">
        <f t="shared" si="227"/>
        <v>23692.428571428572</v>
      </c>
      <c r="O1031" s="11">
        <f t="shared" si="213"/>
        <v>24629.535714285714</v>
      </c>
      <c r="P1031" s="11">
        <f t="shared" si="214"/>
        <v>0.90777188248139939</v>
      </c>
      <c r="Q1031" s="7"/>
      <c r="R1031" s="7"/>
      <c r="S1031" s="7"/>
      <c r="T1031" s="7"/>
      <c r="U1031" s="7"/>
      <c r="V1031" s="7"/>
      <c r="W1031" s="7"/>
      <c r="X1031" s="3" t="s">
        <v>88</v>
      </c>
      <c r="Y1031" s="3"/>
      <c r="Z1031" s="9"/>
      <c r="AA1031" s="12" t="str">
        <f t="shared" si="226"/>
        <v/>
      </c>
      <c r="AB1031" s="9" t="str">
        <f t="shared" si="228"/>
        <v/>
      </c>
      <c r="AC1031" s="9" t="str">
        <f t="shared" si="215"/>
        <v/>
      </c>
      <c r="AD1031" s="9" t="str">
        <f t="shared" si="216"/>
        <v/>
      </c>
      <c r="AE1031" s="3"/>
      <c r="AF1031" s="11">
        <f t="shared" si="217"/>
        <v>12517.5</v>
      </c>
      <c r="AG1031" s="11">
        <f t="shared" si="218"/>
        <v>1.0832035150788895</v>
      </c>
      <c r="AH1031" s="11" t="str">
        <f t="shared" si="219"/>
        <v/>
      </c>
      <c r="AI1031" s="3" t="s">
        <v>45</v>
      </c>
      <c r="AJ1031" s="3" t="s">
        <v>79</v>
      </c>
      <c r="AK1031" s="3" t="s">
        <v>46</v>
      </c>
      <c r="AL1031" s="3" t="s">
        <v>81</v>
      </c>
      <c r="AM1031" s="3" t="s">
        <v>82</v>
      </c>
    </row>
    <row r="1032" spans="1:39" ht="21" customHeight="1">
      <c r="A1032" s="4">
        <v>43440</v>
      </c>
      <c r="B1032" s="3" t="s">
        <v>78</v>
      </c>
      <c r="C1032" s="3" t="s">
        <v>79</v>
      </c>
      <c r="D1032" s="4">
        <v>43159</v>
      </c>
      <c r="E1032" s="3">
        <f t="shared" si="220"/>
        <v>281</v>
      </c>
      <c r="F1032" s="3" t="str">
        <f t="shared" si="221"/>
        <v>개봉후</v>
      </c>
      <c r="G1032" s="3" t="str">
        <f t="shared" si="222"/>
        <v>목</v>
      </c>
      <c r="H1032" s="3">
        <f t="shared" si="223"/>
        <v>0</v>
      </c>
      <c r="I1032" s="3">
        <v>18802</v>
      </c>
      <c r="J1032" s="3">
        <v>10000</v>
      </c>
      <c r="K1032" s="3">
        <v>8802</v>
      </c>
      <c r="L1032" s="12">
        <f t="shared" si="224"/>
        <v>0.53185831294543129</v>
      </c>
      <c r="M1032" s="12">
        <f t="shared" si="225"/>
        <v>-0.15904821540388225</v>
      </c>
      <c r="N1032" s="11">
        <f t="shared" si="227"/>
        <v>23605</v>
      </c>
      <c r="O1032" s="11">
        <f t="shared" si="213"/>
        <v>24690.035714285714</v>
      </c>
      <c r="P1032" s="11">
        <f t="shared" si="214"/>
        <v>0.76152178221115807</v>
      </c>
      <c r="Q1032" s="7"/>
      <c r="R1032" s="7"/>
      <c r="S1032" s="7"/>
      <c r="T1032" s="7"/>
      <c r="U1032" s="7"/>
      <c r="V1032" s="7"/>
      <c r="W1032" s="7"/>
      <c r="X1032" s="3" t="s">
        <v>88</v>
      </c>
      <c r="Y1032" s="3"/>
      <c r="Z1032" s="9"/>
      <c r="AA1032" s="12" t="str">
        <f t="shared" si="226"/>
        <v/>
      </c>
      <c r="AB1032" s="9" t="str">
        <f t="shared" si="228"/>
        <v/>
      </c>
      <c r="AC1032" s="9" t="str">
        <f t="shared" si="215"/>
        <v/>
      </c>
      <c r="AD1032" s="9" t="str">
        <f t="shared" si="216"/>
        <v/>
      </c>
      <c r="AE1032" s="3"/>
      <c r="AF1032" s="11">
        <f t="shared" si="217"/>
        <v>11073</v>
      </c>
      <c r="AG1032" s="11">
        <f t="shared" si="218"/>
        <v>0.90309762485324663</v>
      </c>
      <c r="AH1032" s="11" t="str">
        <f t="shared" si="219"/>
        <v/>
      </c>
      <c r="AI1032" s="3" t="s">
        <v>45</v>
      </c>
      <c r="AJ1032" s="3" t="s">
        <v>79</v>
      </c>
      <c r="AK1032" s="3" t="s">
        <v>46</v>
      </c>
      <c r="AL1032" s="3" t="s">
        <v>81</v>
      </c>
      <c r="AM1032" s="3" t="s">
        <v>82</v>
      </c>
    </row>
    <row r="1033" spans="1:39" ht="21" customHeight="1">
      <c r="A1033" s="4">
        <v>43441</v>
      </c>
      <c r="B1033" s="3" t="s">
        <v>78</v>
      </c>
      <c r="C1033" s="3" t="s">
        <v>79</v>
      </c>
      <c r="D1033" s="4">
        <v>43159</v>
      </c>
      <c r="E1033" s="3">
        <f t="shared" si="220"/>
        <v>282</v>
      </c>
      <c r="F1033" s="3" t="str">
        <f t="shared" si="221"/>
        <v>개봉후</v>
      </c>
      <c r="G1033" s="3" t="str">
        <f t="shared" si="222"/>
        <v>금</v>
      </c>
      <c r="H1033" s="3">
        <f t="shared" si="223"/>
        <v>0</v>
      </c>
      <c r="I1033" s="3">
        <v>19292</v>
      </c>
      <c r="J1033" s="3">
        <v>10850</v>
      </c>
      <c r="K1033" s="3">
        <v>8442</v>
      </c>
      <c r="L1033" s="12">
        <f t="shared" si="224"/>
        <v>0.56240928882438312</v>
      </c>
      <c r="M1033" s="12">
        <f t="shared" si="225"/>
        <v>2.6061057334326065E-2</v>
      </c>
      <c r="N1033" s="11">
        <f t="shared" si="227"/>
        <v>23284</v>
      </c>
      <c r="O1033" s="11">
        <f t="shared" si="213"/>
        <v>24697.285714285714</v>
      </c>
      <c r="P1033" s="11">
        <f t="shared" si="214"/>
        <v>0.7811384709713618</v>
      </c>
      <c r="Q1033" s="7">
        <v>1</v>
      </c>
      <c r="R1033" s="7">
        <v>2</v>
      </c>
      <c r="S1033" s="7">
        <v>174</v>
      </c>
      <c r="T1033" s="7">
        <v>870000</v>
      </c>
      <c r="U1033" s="7">
        <v>145</v>
      </c>
      <c r="V1033" s="7">
        <v>1505997</v>
      </c>
      <c r="W1033" s="7">
        <v>44</v>
      </c>
      <c r="X1033" s="3" t="s">
        <v>88</v>
      </c>
      <c r="Y1033" s="3" t="s">
        <v>83</v>
      </c>
      <c r="Z1033" s="9"/>
      <c r="AA1033" s="12" t="str">
        <f t="shared" si="226"/>
        <v/>
      </c>
      <c r="AB1033" s="9" t="str">
        <f t="shared" si="228"/>
        <v/>
      </c>
      <c r="AC1033" s="9" t="str">
        <f t="shared" si="215"/>
        <v/>
      </c>
      <c r="AD1033" s="9" t="str">
        <f t="shared" si="216"/>
        <v/>
      </c>
      <c r="AE1033" s="3"/>
      <c r="AF1033" s="11">
        <f t="shared" si="217"/>
        <v>14779.5</v>
      </c>
      <c r="AG1033" s="11">
        <f t="shared" si="218"/>
        <v>0.73412497039818669</v>
      </c>
      <c r="AH1033" s="11" t="str">
        <f t="shared" si="219"/>
        <v/>
      </c>
      <c r="AI1033" s="3" t="s">
        <v>45</v>
      </c>
      <c r="AJ1033" s="3" t="s">
        <v>79</v>
      </c>
      <c r="AK1033" s="3" t="s">
        <v>46</v>
      </c>
      <c r="AL1033" s="3" t="s">
        <v>81</v>
      </c>
      <c r="AM1033" s="3" t="s">
        <v>82</v>
      </c>
    </row>
    <row r="1034" spans="1:39" ht="21" customHeight="1">
      <c r="A1034" s="4">
        <v>43442</v>
      </c>
      <c r="B1034" s="3" t="s">
        <v>78</v>
      </c>
      <c r="C1034" s="3" t="s">
        <v>79</v>
      </c>
      <c r="D1034" s="4">
        <v>43159</v>
      </c>
      <c r="E1034" s="3">
        <f t="shared" si="220"/>
        <v>283</v>
      </c>
      <c r="F1034" s="3" t="str">
        <f t="shared" si="221"/>
        <v>개봉후</v>
      </c>
      <c r="G1034" s="3" t="str">
        <f t="shared" si="222"/>
        <v>토</v>
      </c>
      <c r="H1034" s="3">
        <f t="shared" si="223"/>
        <v>1</v>
      </c>
      <c r="I1034" s="3">
        <v>24056</v>
      </c>
      <c r="J1034" s="3">
        <v>16765</v>
      </c>
      <c r="K1034" s="3">
        <v>7290</v>
      </c>
      <c r="L1034" s="12">
        <f t="shared" si="224"/>
        <v>0.69691553042899901</v>
      </c>
      <c r="M1034" s="12">
        <f t="shared" si="225"/>
        <v>0.24694173750777515</v>
      </c>
      <c r="N1034" s="11">
        <f t="shared" si="227"/>
        <v>21388.571428571428</v>
      </c>
      <c r="O1034" s="11">
        <f t="shared" si="213"/>
        <v>24603.142857142859</v>
      </c>
      <c r="P1034" s="11">
        <f t="shared" si="214"/>
        <v>0.97776126162743426</v>
      </c>
      <c r="Q1034" s="7"/>
      <c r="R1034" s="7"/>
      <c r="S1034" s="7"/>
      <c r="T1034" s="7"/>
      <c r="U1034" s="7"/>
      <c r="V1034" s="7"/>
      <c r="W1034" s="7"/>
      <c r="X1034" s="3" t="s">
        <v>88</v>
      </c>
      <c r="Y1034" s="3"/>
      <c r="Z1034" s="9"/>
      <c r="AA1034" s="12" t="str">
        <f t="shared" si="226"/>
        <v/>
      </c>
      <c r="AB1034" s="9" t="str">
        <f t="shared" si="228"/>
        <v/>
      </c>
      <c r="AC1034" s="9" t="str">
        <f t="shared" si="215"/>
        <v/>
      </c>
      <c r="AD1034" s="9" t="str">
        <f t="shared" si="216"/>
        <v/>
      </c>
      <c r="AE1034" s="3"/>
      <c r="AF1034" s="11">
        <f t="shared" si="217"/>
        <v>27694.25</v>
      </c>
      <c r="AG1034" s="11">
        <f t="shared" si="218"/>
        <v>0.60536031847766236</v>
      </c>
      <c r="AH1034" s="11" t="str">
        <f t="shared" si="219"/>
        <v/>
      </c>
      <c r="AI1034" s="3" t="s">
        <v>45</v>
      </c>
      <c r="AJ1034" s="3" t="s">
        <v>79</v>
      </c>
      <c r="AK1034" s="3" t="s">
        <v>46</v>
      </c>
      <c r="AL1034" s="3" t="s">
        <v>81</v>
      </c>
      <c r="AM1034" s="3" t="s">
        <v>82</v>
      </c>
    </row>
    <row r="1035" spans="1:39" ht="21" customHeight="1">
      <c r="A1035" s="4">
        <v>43443</v>
      </c>
      <c r="B1035" s="3" t="s">
        <v>78</v>
      </c>
      <c r="C1035" s="3" t="s">
        <v>79</v>
      </c>
      <c r="D1035" s="4">
        <v>43159</v>
      </c>
      <c r="E1035" s="3">
        <f t="shared" si="220"/>
        <v>284</v>
      </c>
      <c r="F1035" s="3" t="str">
        <f t="shared" si="221"/>
        <v>개봉후</v>
      </c>
      <c r="G1035" s="3" t="str">
        <f t="shared" si="222"/>
        <v>일</v>
      </c>
      <c r="H1035" s="3">
        <f t="shared" si="223"/>
        <v>1</v>
      </c>
      <c r="I1035" s="3">
        <v>24255</v>
      </c>
      <c r="J1035" s="3">
        <v>17479</v>
      </c>
      <c r="K1035" s="3">
        <v>6776</v>
      </c>
      <c r="L1035" s="12">
        <f t="shared" si="224"/>
        <v>0.72063492063492063</v>
      </c>
      <c r="M1035" s="12">
        <f t="shared" si="225"/>
        <v>8.2723644828732734E-3</v>
      </c>
      <c r="N1035" s="11">
        <f t="shared" si="227"/>
        <v>20491.571428571428</v>
      </c>
      <c r="O1035" s="11">
        <f t="shared" si="213"/>
        <v>24268.428571428572</v>
      </c>
      <c r="P1035" s="11">
        <f t="shared" si="214"/>
        <v>0.99944666497919099</v>
      </c>
      <c r="Q1035" s="7"/>
      <c r="R1035" s="7"/>
      <c r="S1035" s="7"/>
      <c r="T1035" s="7"/>
      <c r="U1035" s="7"/>
      <c r="V1035" s="7"/>
      <c r="W1035" s="7"/>
      <c r="X1035" s="3" t="s">
        <v>88</v>
      </c>
      <c r="Y1035" s="3"/>
      <c r="Z1035" s="9"/>
      <c r="AA1035" s="12" t="str">
        <f t="shared" si="226"/>
        <v/>
      </c>
      <c r="AB1035" s="9" t="str">
        <f t="shared" si="228"/>
        <v/>
      </c>
      <c r="AC1035" s="9" t="str">
        <f t="shared" si="215"/>
        <v/>
      </c>
      <c r="AD1035" s="9" t="str">
        <f t="shared" si="216"/>
        <v/>
      </c>
      <c r="AE1035" s="3"/>
      <c r="AF1035" s="11">
        <f t="shared" si="217"/>
        <v>26365.5</v>
      </c>
      <c r="AG1035" s="11">
        <f t="shared" si="218"/>
        <v>0.66294968803929377</v>
      </c>
      <c r="AH1035" s="11" t="str">
        <f t="shared" si="219"/>
        <v/>
      </c>
      <c r="AI1035" s="3" t="s">
        <v>45</v>
      </c>
      <c r="AJ1035" s="3" t="s">
        <v>79</v>
      </c>
      <c r="AK1035" s="3" t="s">
        <v>46</v>
      </c>
      <c r="AL1035" s="3" t="s">
        <v>81</v>
      </c>
      <c r="AM1035" s="3" t="s">
        <v>82</v>
      </c>
    </row>
    <row r="1036" spans="1:39" ht="21" customHeight="1">
      <c r="A1036" s="4">
        <v>43444</v>
      </c>
      <c r="B1036" s="3" t="s">
        <v>78</v>
      </c>
      <c r="C1036" s="3" t="s">
        <v>79</v>
      </c>
      <c r="D1036" s="4">
        <v>43159</v>
      </c>
      <c r="E1036" s="3">
        <f t="shared" si="220"/>
        <v>285</v>
      </c>
      <c r="F1036" s="3" t="str">
        <f t="shared" si="221"/>
        <v>개봉후</v>
      </c>
      <c r="G1036" s="3" t="str">
        <f t="shared" si="222"/>
        <v>월</v>
      </c>
      <c r="H1036" s="3">
        <f t="shared" si="223"/>
        <v>0</v>
      </c>
      <c r="I1036" s="3">
        <v>17563</v>
      </c>
      <c r="J1036" s="3">
        <v>8771</v>
      </c>
      <c r="K1036" s="3">
        <v>8792</v>
      </c>
      <c r="L1036" s="12">
        <f t="shared" si="224"/>
        <v>0.49940215225189316</v>
      </c>
      <c r="M1036" s="12">
        <f t="shared" si="225"/>
        <v>-0.27590187590187587</v>
      </c>
      <c r="N1036" s="11">
        <f t="shared" si="227"/>
        <v>20474</v>
      </c>
      <c r="O1036" s="11">
        <f t="shared" si="213"/>
        <v>23827.821428571428</v>
      </c>
      <c r="P1036" s="11">
        <f t="shared" si="214"/>
        <v>0.73707955436247252</v>
      </c>
      <c r="Q1036" s="7"/>
      <c r="R1036" s="7"/>
      <c r="S1036" s="7"/>
      <c r="T1036" s="7"/>
      <c r="U1036" s="7"/>
      <c r="V1036" s="7"/>
      <c r="W1036" s="7"/>
      <c r="X1036" s="3" t="s">
        <v>88</v>
      </c>
      <c r="Y1036" s="3"/>
      <c r="Z1036" s="9"/>
      <c r="AA1036" s="12" t="str">
        <f t="shared" si="226"/>
        <v/>
      </c>
      <c r="AB1036" s="9" t="str">
        <f t="shared" si="228"/>
        <v/>
      </c>
      <c r="AC1036" s="9" t="str">
        <f t="shared" si="215"/>
        <v/>
      </c>
      <c r="AD1036" s="9" t="str">
        <f t="shared" si="216"/>
        <v/>
      </c>
      <c r="AE1036" s="3"/>
      <c r="AF1036" s="11">
        <f t="shared" si="217"/>
        <v>11160.75</v>
      </c>
      <c r="AG1036" s="11">
        <f t="shared" si="218"/>
        <v>0.7858790851869274</v>
      </c>
      <c r="AH1036" s="11" t="str">
        <f t="shared" si="219"/>
        <v/>
      </c>
      <c r="AI1036" s="3" t="s">
        <v>45</v>
      </c>
      <c r="AJ1036" s="3" t="s">
        <v>79</v>
      </c>
      <c r="AK1036" s="3" t="s">
        <v>46</v>
      </c>
      <c r="AL1036" s="3" t="s">
        <v>81</v>
      </c>
      <c r="AM1036" s="3" t="s">
        <v>82</v>
      </c>
    </row>
    <row r="1037" spans="1:39" ht="21" customHeight="1">
      <c r="A1037" s="4">
        <v>43445</v>
      </c>
      <c r="B1037" s="3" t="s">
        <v>78</v>
      </c>
      <c r="C1037" s="3" t="s">
        <v>79</v>
      </c>
      <c r="D1037" s="4">
        <v>43159</v>
      </c>
      <c r="E1037" s="3">
        <f t="shared" si="220"/>
        <v>286</v>
      </c>
      <c r="F1037" s="3" t="str">
        <f t="shared" si="221"/>
        <v>개봉후</v>
      </c>
      <c r="G1037" s="3" t="str">
        <f t="shared" si="222"/>
        <v>화</v>
      </c>
      <c r="H1037" s="3">
        <f t="shared" si="223"/>
        <v>0</v>
      </c>
      <c r="I1037" s="3">
        <v>15057</v>
      </c>
      <c r="J1037" s="3">
        <v>7441</v>
      </c>
      <c r="K1037" s="3">
        <v>7616</v>
      </c>
      <c r="L1037" s="12">
        <f t="shared" si="224"/>
        <v>0.49418874941887492</v>
      </c>
      <c r="M1037" s="12">
        <f t="shared" si="225"/>
        <v>-0.1426863292148266</v>
      </c>
      <c r="N1037" s="11">
        <f t="shared" si="227"/>
        <v>20197.571428571428</v>
      </c>
      <c r="O1037" s="11">
        <f t="shared" si="213"/>
        <v>23760.428571428572</v>
      </c>
      <c r="P1037" s="11">
        <f t="shared" si="214"/>
        <v>0.63370069082448</v>
      </c>
      <c r="Q1037" s="7"/>
      <c r="R1037" s="7"/>
      <c r="S1037" s="7"/>
      <c r="T1037" s="7"/>
      <c r="U1037" s="7"/>
      <c r="V1037" s="7"/>
      <c r="W1037" s="7"/>
      <c r="X1037" s="3" t="s">
        <v>88</v>
      </c>
      <c r="Y1037" s="3"/>
      <c r="Z1037" s="9"/>
      <c r="AA1037" s="12" t="str">
        <f t="shared" si="226"/>
        <v/>
      </c>
      <c r="AB1037" s="9" t="str">
        <f t="shared" si="228"/>
        <v/>
      </c>
      <c r="AC1037" s="9" t="str">
        <f t="shared" si="215"/>
        <v/>
      </c>
      <c r="AD1037" s="9" t="str">
        <f t="shared" si="216"/>
        <v/>
      </c>
      <c r="AE1037" s="3"/>
      <c r="AF1037" s="11">
        <f t="shared" si="217"/>
        <v>10663.75</v>
      </c>
      <c r="AG1037" s="11">
        <f t="shared" si="218"/>
        <v>0.69778455046301724</v>
      </c>
      <c r="AH1037" s="11" t="str">
        <f t="shared" si="219"/>
        <v/>
      </c>
      <c r="AI1037" s="3" t="s">
        <v>45</v>
      </c>
      <c r="AJ1037" s="3" t="s">
        <v>79</v>
      </c>
      <c r="AK1037" s="3" t="s">
        <v>46</v>
      </c>
      <c r="AL1037" s="3" t="s">
        <v>81</v>
      </c>
      <c r="AM1037" s="3" t="s">
        <v>82</v>
      </c>
    </row>
    <row r="1038" spans="1:39" ht="21" customHeight="1">
      <c r="A1038" s="4">
        <v>43446</v>
      </c>
      <c r="B1038" s="3" t="s">
        <v>78</v>
      </c>
      <c r="C1038" s="3" t="s">
        <v>79</v>
      </c>
      <c r="D1038" s="4">
        <v>43159</v>
      </c>
      <c r="E1038" s="3">
        <f t="shared" si="220"/>
        <v>287</v>
      </c>
      <c r="F1038" s="3" t="str">
        <f t="shared" si="221"/>
        <v>개봉후</v>
      </c>
      <c r="G1038" s="3" t="str">
        <f t="shared" si="222"/>
        <v>수</v>
      </c>
      <c r="H1038" s="3">
        <f t="shared" si="223"/>
        <v>0</v>
      </c>
      <c r="I1038" s="3">
        <v>19982</v>
      </c>
      <c r="J1038" s="3">
        <v>11802</v>
      </c>
      <c r="K1038" s="3">
        <v>8180</v>
      </c>
      <c r="L1038" s="12">
        <f t="shared" si="224"/>
        <v>0.59063156841157038</v>
      </c>
      <c r="M1038" s="12">
        <f t="shared" si="225"/>
        <v>0.3270903898518962</v>
      </c>
      <c r="N1038" s="11">
        <f t="shared" si="227"/>
        <v>19858.142857142859</v>
      </c>
      <c r="O1038" s="11">
        <f t="shared" si="213"/>
        <v>23555.821428571428</v>
      </c>
      <c r="P1038" s="11">
        <f t="shared" si="214"/>
        <v>0.84828287820875337</v>
      </c>
      <c r="Q1038" s="7"/>
      <c r="R1038" s="7"/>
      <c r="S1038" s="7"/>
      <c r="T1038" s="7"/>
      <c r="U1038" s="7"/>
      <c r="V1038" s="7"/>
      <c r="W1038" s="7"/>
      <c r="X1038" s="3" t="s">
        <v>88</v>
      </c>
      <c r="Y1038" s="3"/>
      <c r="Z1038" s="9"/>
      <c r="AA1038" s="12" t="str">
        <f t="shared" si="226"/>
        <v/>
      </c>
      <c r="AB1038" s="9" t="str">
        <f t="shared" si="228"/>
        <v/>
      </c>
      <c r="AC1038" s="9" t="str">
        <f t="shared" si="215"/>
        <v/>
      </c>
      <c r="AD1038" s="9" t="str">
        <f t="shared" si="216"/>
        <v/>
      </c>
      <c r="AE1038" s="3"/>
      <c r="AF1038" s="11">
        <f t="shared" si="217"/>
        <v>12948</v>
      </c>
      <c r="AG1038" s="11">
        <f t="shared" si="218"/>
        <v>0.91149212233549581</v>
      </c>
      <c r="AH1038" s="11" t="str">
        <f t="shared" si="219"/>
        <v/>
      </c>
      <c r="AI1038" s="3" t="s">
        <v>45</v>
      </c>
      <c r="AJ1038" s="3" t="s">
        <v>79</v>
      </c>
      <c r="AK1038" s="3" t="s">
        <v>46</v>
      </c>
      <c r="AL1038" s="3" t="s">
        <v>81</v>
      </c>
      <c r="AM1038" s="3" t="s">
        <v>82</v>
      </c>
    </row>
    <row r="1039" spans="1:39" ht="21" customHeight="1">
      <c r="A1039" s="4">
        <v>43447</v>
      </c>
      <c r="B1039" s="3" t="s">
        <v>78</v>
      </c>
      <c r="C1039" s="3" t="s">
        <v>79</v>
      </c>
      <c r="D1039" s="4">
        <v>43159</v>
      </c>
      <c r="E1039" s="3">
        <f t="shared" si="220"/>
        <v>288</v>
      </c>
      <c r="F1039" s="3" t="str">
        <f t="shared" si="221"/>
        <v>개봉후</v>
      </c>
      <c r="G1039" s="3" t="str">
        <f t="shared" si="222"/>
        <v>목</v>
      </c>
      <c r="H1039" s="3">
        <f t="shared" si="223"/>
        <v>0</v>
      </c>
      <c r="I1039" s="3">
        <v>22446</v>
      </c>
      <c r="J1039" s="3">
        <v>13629</v>
      </c>
      <c r="K1039" s="3">
        <v>8816</v>
      </c>
      <c r="L1039" s="12">
        <f t="shared" si="224"/>
        <v>0.60719059075113602</v>
      </c>
      <c r="M1039" s="12">
        <f t="shared" si="225"/>
        <v>0.12331097988189366</v>
      </c>
      <c r="N1039" s="11">
        <f t="shared" si="227"/>
        <v>20378.714285714286</v>
      </c>
      <c r="O1039" s="11">
        <f t="shared" si="213"/>
        <v>23535.107142857141</v>
      </c>
      <c r="P1039" s="11">
        <f t="shared" si="214"/>
        <v>0.95372414766390035</v>
      </c>
      <c r="Q1039" s="7">
        <v>1</v>
      </c>
      <c r="R1039" s="7">
        <v>1</v>
      </c>
      <c r="S1039" s="7">
        <v>413</v>
      </c>
      <c r="T1039" s="7">
        <v>80000</v>
      </c>
      <c r="U1039" s="7">
        <v>16</v>
      </c>
      <c r="V1039" s="7">
        <v>1506013</v>
      </c>
      <c r="W1039" s="7">
        <v>84</v>
      </c>
      <c r="X1039" s="3" t="s">
        <v>88</v>
      </c>
      <c r="Y1039" s="3" t="s">
        <v>83</v>
      </c>
      <c r="Z1039" s="9"/>
      <c r="AA1039" s="12" t="str">
        <f t="shared" si="226"/>
        <v/>
      </c>
      <c r="AB1039" s="9" t="str">
        <f t="shared" si="228"/>
        <v/>
      </c>
      <c r="AC1039" s="9" t="str">
        <f t="shared" si="215"/>
        <v/>
      </c>
      <c r="AD1039" s="9" t="str">
        <f t="shared" si="216"/>
        <v/>
      </c>
      <c r="AE1039" s="3"/>
      <c r="AF1039" s="11">
        <f t="shared" si="217"/>
        <v>11014.5</v>
      </c>
      <c r="AG1039" s="11">
        <f t="shared" si="218"/>
        <v>1.2373689227836033</v>
      </c>
      <c r="AH1039" s="11" t="str">
        <f t="shared" si="219"/>
        <v/>
      </c>
      <c r="AI1039" s="3" t="s">
        <v>45</v>
      </c>
      <c r="AJ1039" s="3" t="s">
        <v>79</v>
      </c>
      <c r="AK1039" s="3" t="s">
        <v>46</v>
      </c>
      <c r="AL1039" s="3" t="s">
        <v>81</v>
      </c>
      <c r="AM1039" s="3" t="s">
        <v>82</v>
      </c>
    </row>
    <row r="1040" spans="1:39" ht="21" customHeight="1">
      <c r="A1040" s="4">
        <v>43448</v>
      </c>
      <c r="B1040" s="3" t="s">
        <v>78</v>
      </c>
      <c r="C1040" s="3" t="s">
        <v>79</v>
      </c>
      <c r="D1040" s="4">
        <v>43159</v>
      </c>
      <c r="E1040" s="3">
        <f t="shared" si="220"/>
        <v>289</v>
      </c>
      <c r="F1040" s="3" t="str">
        <f t="shared" si="221"/>
        <v>개봉후</v>
      </c>
      <c r="G1040" s="3" t="str">
        <f t="shared" si="222"/>
        <v>금</v>
      </c>
      <c r="H1040" s="3">
        <f t="shared" si="223"/>
        <v>0</v>
      </c>
      <c r="I1040" s="3">
        <v>24647</v>
      </c>
      <c r="J1040" s="3">
        <v>16100</v>
      </c>
      <c r="K1040" s="3">
        <v>8547</v>
      </c>
      <c r="L1040" s="12">
        <f t="shared" si="224"/>
        <v>0.65322351604657769</v>
      </c>
      <c r="M1040" s="12">
        <f t="shared" si="225"/>
        <v>9.8057560367103225E-2</v>
      </c>
      <c r="N1040" s="11">
        <f t="shared" si="227"/>
        <v>21143.714285714286</v>
      </c>
      <c r="O1040" s="11">
        <f t="shared" si="213"/>
        <v>23606.607142857141</v>
      </c>
      <c r="P1040" s="11">
        <f t="shared" si="214"/>
        <v>1.0440721045106924</v>
      </c>
      <c r="Q1040" s="7">
        <v>1</v>
      </c>
      <c r="R1040" s="7">
        <v>1</v>
      </c>
      <c r="S1040" s="7">
        <v>413</v>
      </c>
      <c r="T1040" s="7">
        <v>1070000</v>
      </c>
      <c r="U1040" s="7">
        <v>214</v>
      </c>
      <c r="V1040" s="7">
        <v>1506227</v>
      </c>
      <c r="W1040" s="7">
        <v>46</v>
      </c>
      <c r="X1040" s="3" t="s">
        <v>88</v>
      </c>
      <c r="Y1040" s="3" t="s">
        <v>83</v>
      </c>
      <c r="Z1040" s="9"/>
      <c r="AA1040" s="12" t="str">
        <f t="shared" si="226"/>
        <v/>
      </c>
      <c r="AB1040" s="9" t="str">
        <f t="shared" si="228"/>
        <v/>
      </c>
      <c r="AC1040" s="9" t="str">
        <f t="shared" si="215"/>
        <v/>
      </c>
      <c r="AD1040" s="9" t="str">
        <f t="shared" si="216"/>
        <v/>
      </c>
      <c r="AE1040" s="3"/>
      <c r="AF1040" s="11">
        <f t="shared" si="217"/>
        <v>14196</v>
      </c>
      <c r="AG1040" s="11">
        <f t="shared" si="218"/>
        <v>1.1341222879684418</v>
      </c>
      <c r="AH1040" s="11" t="str">
        <f t="shared" si="219"/>
        <v/>
      </c>
      <c r="AI1040" s="3" t="s">
        <v>45</v>
      </c>
      <c r="AJ1040" s="3" t="s">
        <v>79</v>
      </c>
      <c r="AK1040" s="3" t="s">
        <v>46</v>
      </c>
      <c r="AL1040" s="3" t="s">
        <v>81</v>
      </c>
      <c r="AM1040" s="3" t="s">
        <v>82</v>
      </c>
    </row>
    <row r="1041" spans="1:39" ht="21" customHeight="1">
      <c r="A1041" s="4">
        <v>43449</v>
      </c>
      <c r="B1041" s="3" t="s">
        <v>78</v>
      </c>
      <c r="C1041" s="3" t="s">
        <v>79</v>
      </c>
      <c r="D1041" s="4">
        <v>43159</v>
      </c>
      <c r="E1041" s="3">
        <f t="shared" si="220"/>
        <v>290</v>
      </c>
      <c r="F1041" s="3" t="str">
        <f t="shared" si="221"/>
        <v>개봉후</v>
      </c>
      <c r="G1041" s="3" t="str">
        <f t="shared" si="222"/>
        <v>토</v>
      </c>
      <c r="H1041" s="3">
        <f t="shared" si="223"/>
        <v>1</v>
      </c>
      <c r="I1041" s="3">
        <v>30628</v>
      </c>
      <c r="J1041" s="3">
        <v>23317</v>
      </c>
      <c r="K1041" s="3">
        <v>7312</v>
      </c>
      <c r="L1041" s="12">
        <f t="shared" si="224"/>
        <v>0.76129685255321933</v>
      </c>
      <c r="M1041" s="12">
        <f t="shared" si="225"/>
        <v>0.24266645027792433</v>
      </c>
      <c r="N1041" s="11">
        <f t="shared" si="227"/>
        <v>22082.571428571428</v>
      </c>
      <c r="O1041" s="11">
        <f t="shared" si="213"/>
        <v>23486.714285714286</v>
      </c>
      <c r="P1041" s="11">
        <f t="shared" si="214"/>
        <v>1.3040563966254477</v>
      </c>
      <c r="Q1041" s="7">
        <v>1</v>
      </c>
      <c r="R1041" s="7">
        <v>1</v>
      </c>
      <c r="S1041" s="7">
        <v>42</v>
      </c>
      <c r="T1041" s="7">
        <v>462000</v>
      </c>
      <c r="U1041" s="7">
        <v>42</v>
      </c>
      <c r="V1041" s="7">
        <v>1506269</v>
      </c>
      <c r="W1041" s="7">
        <v>67</v>
      </c>
      <c r="X1041" s="3" t="s">
        <v>88</v>
      </c>
      <c r="Y1041" s="3" t="s">
        <v>83</v>
      </c>
      <c r="Z1041" s="9"/>
      <c r="AA1041" s="12" t="str">
        <f t="shared" si="226"/>
        <v/>
      </c>
      <c r="AB1041" s="9" t="str">
        <f t="shared" si="228"/>
        <v/>
      </c>
      <c r="AC1041" s="9" t="str">
        <f t="shared" si="215"/>
        <v/>
      </c>
      <c r="AD1041" s="9" t="str">
        <f t="shared" si="216"/>
        <v/>
      </c>
      <c r="AE1041" s="3"/>
      <c r="AF1041" s="11">
        <f t="shared" si="217"/>
        <v>25404.5</v>
      </c>
      <c r="AG1041" s="11">
        <f t="shared" si="218"/>
        <v>0.91782951839241078</v>
      </c>
      <c r="AH1041" s="11" t="str">
        <f t="shared" si="219"/>
        <v/>
      </c>
      <c r="AI1041" s="3" t="s">
        <v>45</v>
      </c>
      <c r="AJ1041" s="3" t="s">
        <v>79</v>
      </c>
      <c r="AK1041" s="3" t="s">
        <v>46</v>
      </c>
      <c r="AL1041" s="3" t="s">
        <v>81</v>
      </c>
      <c r="AM1041" s="3" t="s">
        <v>82</v>
      </c>
    </row>
    <row r="1042" spans="1:39" ht="21" customHeight="1">
      <c r="A1042" s="4">
        <v>43450</v>
      </c>
      <c r="B1042" s="3" t="s">
        <v>78</v>
      </c>
      <c r="C1042" s="3" t="s">
        <v>79</v>
      </c>
      <c r="D1042" s="4">
        <v>43159</v>
      </c>
      <c r="E1042" s="3">
        <f t="shared" si="220"/>
        <v>291</v>
      </c>
      <c r="F1042" s="3" t="str">
        <f t="shared" si="221"/>
        <v>개봉후</v>
      </c>
      <c r="G1042" s="3" t="str">
        <f t="shared" si="222"/>
        <v>일</v>
      </c>
      <c r="H1042" s="3">
        <f t="shared" si="223"/>
        <v>1</v>
      </c>
      <c r="I1042" s="3">
        <v>22442</v>
      </c>
      <c r="J1042" s="3">
        <v>16065</v>
      </c>
      <c r="K1042" s="3">
        <v>6377</v>
      </c>
      <c r="L1042" s="12">
        <f t="shared" si="224"/>
        <v>0.71584529008109798</v>
      </c>
      <c r="M1042" s="12">
        <f t="shared" si="225"/>
        <v>-0.2672717774585347</v>
      </c>
      <c r="N1042" s="11">
        <f t="shared" si="227"/>
        <v>21823.571428571428</v>
      </c>
      <c r="O1042" s="11">
        <f t="shared" si="213"/>
        <v>23468.821428571428</v>
      </c>
      <c r="P1042" s="11">
        <f t="shared" si="214"/>
        <v>0.95624742249215144</v>
      </c>
      <c r="Q1042" s="7"/>
      <c r="R1042" s="7"/>
      <c r="S1042" s="7"/>
      <c r="T1042" s="7"/>
      <c r="U1042" s="7"/>
      <c r="V1042" s="7"/>
      <c r="W1042" s="7"/>
      <c r="X1042" s="3" t="s">
        <v>88</v>
      </c>
      <c r="Y1042" s="3"/>
      <c r="Z1042" s="9"/>
      <c r="AA1042" s="12" t="str">
        <f t="shared" si="226"/>
        <v/>
      </c>
      <c r="AB1042" s="9" t="str">
        <f t="shared" si="228"/>
        <v/>
      </c>
      <c r="AC1042" s="9" t="str">
        <f t="shared" si="215"/>
        <v/>
      </c>
      <c r="AD1042" s="9" t="str">
        <f t="shared" si="216"/>
        <v/>
      </c>
      <c r="AE1042" s="3"/>
      <c r="AF1042" s="11">
        <f t="shared" si="217"/>
        <v>23403.75</v>
      </c>
      <c r="AG1042" s="11">
        <f t="shared" si="218"/>
        <v>0.68642845697804844</v>
      </c>
      <c r="AH1042" s="11" t="str">
        <f t="shared" si="219"/>
        <v/>
      </c>
      <c r="AI1042" s="3" t="s">
        <v>45</v>
      </c>
      <c r="AJ1042" s="3" t="s">
        <v>79</v>
      </c>
      <c r="AK1042" s="3" t="s">
        <v>46</v>
      </c>
      <c r="AL1042" s="3" t="s">
        <v>81</v>
      </c>
      <c r="AM1042" s="3" t="s">
        <v>82</v>
      </c>
    </row>
    <row r="1043" spans="1:39" ht="21" customHeight="1">
      <c r="A1043" s="4">
        <v>43451</v>
      </c>
      <c r="B1043" s="3" t="s">
        <v>78</v>
      </c>
      <c r="C1043" s="3" t="s">
        <v>79</v>
      </c>
      <c r="D1043" s="4">
        <v>43159</v>
      </c>
      <c r="E1043" s="3">
        <f t="shared" si="220"/>
        <v>292</v>
      </c>
      <c r="F1043" s="3" t="str">
        <f t="shared" si="221"/>
        <v>개봉후</v>
      </c>
      <c r="G1043" s="3" t="str">
        <f t="shared" si="222"/>
        <v>월</v>
      </c>
      <c r="H1043" s="3">
        <f t="shared" si="223"/>
        <v>0</v>
      </c>
      <c r="I1043" s="3">
        <v>20850</v>
      </c>
      <c r="J1043" s="3">
        <v>12117</v>
      </c>
      <c r="K1043" s="3">
        <v>8732</v>
      </c>
      <c r="L1043" s="12">
        <f t="shared" si="224"/>
        <v>0.58115107913669062</v>
      </c>
      <c r="M1043" s="12">
        <f t="shared" si="225"/>
        <v>-7.0938419035736611E-2</v>
      </c>
      <c r="N1043" s="11">
        <f t="shared" si="227"/>
        <v>22293.142857142859</v>
      </c>
      <c r="O1043" s="11">
        <f t="shared" si="213"/>
        <v>23039.071428571428</v>
      </c>
      <c r="P1043" s="11">
        <f t="shared" si="214"/>
        <v>0.90498438987186369</v>
      </c>
      <c r="Q1043" s="7"/>
      <c r="R1043" s="7"/>
      <c r="S1043" s="7"/>
      <c r="T1043" s="7"/>
      <c r="U1043" s="7"/>
      <c r="V1043" s="7"/>
      <c r="W1043" s="7"/>
      <c r="X1043" s="3" t="s">
        <v>88</v>
      </c>
      <c r="Y1043" s="3"/>
      <c r="Z1043" s="9"/>
      <c r="AA1043" s="12" t="str">
        <f t="shared" si="226"/>
        <v/>
      </c>
      <c r="AB1043" s="9" t="str">
        <f t="shared" si="228"/>
        <v/>
      </c>
      <c r="AC1043" s="9" t="str">
        <f t="shared" si="215"/>
        <v/>
      </c>
      <c r="AD1043" s="9" t="str">
        <f t="shared" si="216"/>
        <v/>
      </c>
      <c r="AE1043" s="3"/>
      <c r="AF1043" s="11">
        <f t="shared" si="217"/>
        <v>10667.25</v>
      </c>
      <c r="AG1043" s="11">
        <f t="shared" si="218"/>
        <v>1.135906630106166</v>
      </c>
      <c r="AH1043" s="11" t="str">
        <f t="shared" si="219"/>
        <v/>
      </c>
      <c r="AI1043" s="3" t="s">
        <v>45</v>
      </c>
      <c r="AJ1043" s="3" t="s">
        <v>79</v>
      </c>
      <c r="AK1043" s="3" t="s">
        <v>46</v>
      </c>
      <c r="AL1043" s="3" t="s">
        <v>81</v>
      </c>
      <c r="AM1043" s="3" t="s">
        <v>82</v>
      </c>
    </row>
    <row r="1044" spans="1:39" ht="21" customHeight="1">
      <c r="A1044" s="4">
        <v>43452</v>
      </c>
      <c r="B1044" s="3" t="s">
        <v>78</v>
      </c>
      <c r="C1044" s="3" t="s">
        <v>79</v>
      </c>
      <c r="D1044" s="4">
        <v>43159</v>
      </c>
      <c r="E1044" s="3">
        <f t="shared" si="220"/>
        <v>293</v>
      </c>
      <c r="F1044" s="3" t="str">
        <f t="shared" si="221"/>
        <v>개봉후</v>
      </c>
      <c r="G1044" s="3" t="str">
        <f t="shared" si="222"/>
        <v>화</v>
      </c>
      <c r="H1044" s="3">
        <f t="shared" si="223"/>
        <v>0</v>
      </c>
      <c r="I1044" s="3">
        <v>22516</v>
      </c>
      <c r="J1044" s="3">
        <v>13426</v>
      </c>
      <c r="K1044" s="3">
        <v>9090</v>
      </c>
      <c r="L1044" s="12">
        <f t="shared" si="224"/>
        <v>0.59628708473974068</v>
      </c>
      <c r="M1044" s="12">
        <f t="shared" si="225"/>
        <v>7.990407673860922E-2</v>
      </c>
      <c r="N1044" s="11">
        <f t="shared" si="227"/>
        <v>23358.714285714286</v>
      </c>
      <c r="O1044" s="11">
        <f t="shared" si="213"/>
        <v>22946.964285714286</v>
      </c>
      <c r="P1044" s="11">
        <f t="shared" si="214"/>
        <v>0.98121911550703089</v>
      </c>
      <c r="Q1044" s="7"/>
      <c r="R1044" s="7"/>
      <c r="S1044" s="7"/>
      <c r="T1044" s="7"/>
      <c r="U1044" s="7"/>
      <c r="V1044" s="7"/>
      <c r="W1044" s="7"/>
      <c r="X1044" s="3" t="s">
        <v>88</v>
      </c>
      <c r="Y1044" s="3"/>
      <c r="Z1044" s="9"/>
      <c r="AA1044" s="12" t="str">
        <f t="shared" si="226"/>
        <v/>
      </c>
      <c r="AB1044" s="9" t="str">
        <f t="shared" si="228"/>
        <v/>
      </c>
      <c r="AC1044" s="9" t="str">
        <f t="shared" si="215"/>
        <v/>
      </c>
      <c r="AD1044" s="9" t="str">
        <f t="shared" si="216"/>
        <v/>
      </c>
      <c r="AE1044" s="3"/>
      <c r="AF1044" s="11">
        <f t="shared" si="217"/>
        <v>9604</v>
      </c>
      <c r="AG1044" s="11">
        <f t="shared" si="218"/>
        <v>1.3979591836734695</v>
      </c>
      <c r="AH1044" s="11" t="str">
        <f t="shared" si="219"/>
        <v/>
      </c>
      <c r="AI1044" s="3" t="s">
        <v>45</v>
      </c>
      <c r="AJ1044" s="3" t="s">
        <v>79</v>
      </c>
      <c r="AK1044" s="3" t="s">
        <v>46</v>
      </c>
      <c r="AL1044" s="3" t="s">
        <v>81</v>
      </c>
      <c r="AM1044" s="3" t="s">
        <v>82</v>
      </c>
    </row>
    <row r="1045" spans="1:39" ht="21" customHeight="1">
      <c r="A1045" s="4">
        <v>43453</v>
      </c>
      <c r="B1045" s="3" t="s">
        <v>78</v>
      </c>
      <c r="C1045" s="3" t="s">
        <v>79</v>
      </c>
      <c r="D1045" s="4">
        <v>43159</v>
      </c>
      <c r="E1045" s="3">
        <f t="shared" si="220"/>
        <v>294</v>
      </c>
      <c r="F1045" s="3" t="str">
        <f t="shared" si="221"/>
        <v>개봉후</v>
      </c>
      <c r="G1045" s="3" t="str">
        <f t="shared" si="222"/>
        <v>수</v>
      </c>
      <c r="H1045" s="3">
        <f t="shared" si="223"/>
        <v>0</v>
      </c>
      <c r="I1045" s="3">
        <v>22505</v>
      </c>
      <c r="J1045" s="3">
        <v>13556</v>
      </c>
      <c r="K1045" s="3">
        <v>8950</v>
      </c>
      <c r="L1045" s="12">
        <f t="shared" si="224"/>
        <v>0.60235503221506337</v>
      </c>
      <c r="M1045" s="12">
        <f t="shared" si="225"/>
        <v>-4.8854148161303623E-4</v>
      </c>
      <c r="N1045" s="11">
        <f t="shared" si="227"/>
        <v>23719.142857142859</v>
      </c>
      <c r="O1045" s="11">
        <f t="shared" si="213"/>
        <v>23031.464285714286</v>
      </c>
      <c r="P1045" s="11">
        <f t="shared" si="214"/>
        <v>0.9771415191329873</v>
      </c>
      <c r="Q1045" s="7"/>
      <c r="R1045" s="7"/>
      <c r="S1045" s="7"/>
      <c r="T1045" s="7"/>
      <c r="U1045" s="7"/>
      <c r="V1045" s="7"/>
      <c r="W1045" s="7"/>
      <c r="X1045" s="3" t="s">
        <v>88</v>
      </c>
      <c r="Y1045" s="3"/>
      <c r="Z1045" s="9"/>
      <c r="AA1045" s="12" t="str">
        <f t="shared" si="226"/>
        <v/>
      </c>
      <c r="AB1045" s="9" t="str">
        <f t="shared" si="228"/>
        <v/>
      </c>
      <c r="AC1045" s="9" t="str">
        <f t="shared" si="215"/>
        <v/>
      </c>
      <c r="AD1045" s="9" t="str">
        <f t="shared" si="216"/>
        <v/>
      </c>
      <c r="AE1045" s="3"/>
      <c r="AF1045" s="11">
        <f t="shared" si="217"/>
        <v>13016.25</v>
      </c>
      <c r="AG1045" s="11">
        <f t="shared" si="218"/>
        <v>1.0414673965235763</v>
      </c>
      <c r="AH1045" s="11" t="str">
        <f t="shared" si="219"/>
        <v/>
      </c>
      <c r="AI1045" s="3" t="s">
        <v>45</v>
      </c>
      <c r="AJ1045" s="3" t="s">
        <v>79</v>
      </c>
      <c r="AK1045" s="3" t="s">
        <v>46</v>
      </c>
      <c r="AL1045" s="3" t="s">
        <v>81</v>
      </c>
      <c r="AM1045" s="3" t="s">
        <v>82</v>
      </c>
    </row>
    <row r="1046" spans="1:39" ht="21" customHeight="1">
      <c r="A1046" s="4">
        <v>43454</v>
      </c>
      <c r="B1046" s="3" t="s">
        <v>78</v>
      </c>
      <c r="C1046" s="3" t="s">
        <v>79</v>
      </c>
      <c r="D1046" s="4">
        <v>43159</v>
      </c>
      <c r="E1046" s="3">
        <f t="shared" si="220"/>
        <v>295</v>
      </c>
      <c r="F1046" s="3" t="str">
        <f t="shared" si="221"/>
        <v>개봉후</v>
      </c>
      <c r="G1046" s="3" t="str">
        <f t="shared" si="222"/>
        <v>목</v>
      </c>
      <c r="H1046" s="3">
        <f t="shared" si="223"/>
        <v>0</v>
      </c>
      <c r="I1046" s="3">
        <v>19002</v>
      </c>
      <c r="J1046" s="3">
        <v>10280</v>
      </c>
      <c r="K1046" s="3">
        <v>8722</v>
      </c>
      <c r="L1046" s="12">
        <f t="shared" si="224"/>
        <v>0.5409956846647721</v>
      </c>
      <c r="M1046" s="12">
        <f t="shared" si="225"/>
        <v>-0.15565429904465677</v>
      </c>
      <c r="N1046" s="11">
        <f t="shared" si="227"/>
        <v>23227.142857142859</v>
      </c>
      <c r="O1046" s="11">
        <f t="shared" si="213"/>
        <v>23116.464285714286</v>
      </c>
      <c r="P1046" s="11">
        <f t="shared" si="214"/>
        <v>0.82201152239977382</v>
      </c>
      <c r="Q1046" s="7"/>
      <c r="R1046" s="7"/>
      <c r="S1046" s="7"/>
      <c r="T1046" s="7"/>
      <c r="U1046" s="7"/>
      <c r="V1046" s="7"/>
      <c r="W1046" s="7"/>
      <c r="X1046" s="3" t="s">
        <v>88</v>
      </c>
      <c r="Y1046" s="3"/>
      <c r="Z1046" s="9"/>
      <c r="AA1046" s="12" t="str">
        <f t="shared" si="226"/>
        <v/>
      </c>
      <c r="AB1046" s="9" t="str">
        <f t="shared" si="228"/>
        <v/>
      </c>
      <c r="AC1046" s="9" t="str">
        <f t="shared" si="215"/>
        <v/>
      </c>
      <c r="AD1046" s="9" t="str">
        <f t="shared" si="216"/>
        <v/>
      </c>
      <c r="AE1046" s="3"/>
      <c r="AF1046" s="11">
        <f t="shared" si="217"/>
        <v>11504.5</v>
      </c>
      <c r="AG1046" s="11">
        <f t="shared" si="218"/>
        <v>0.89356338823938464</v>
      </c>
      <c r="AH1046" s="11" t="str">
        <f t="shared" si="219"/>
        <v/>
      </c>
      <c r="AI1046" s="3" t="s">
        <v>45</v>
      </c>
      <c r="AJ1046" s="3" t="s">
        <v>79</v>
      </c>
      <c r="AK1046" s="3" t="s">
        <v>46</v>
      </c>
      <c r="AL1046" s="3" t="s">
        <v>81</v>
      </c>
      <c r="AM1046" s="3" t="s">
        <v>82</v>
      </c>
    </row>
    <row r="1047" spans="1:39" ht="21" customHeight="1">
      <c r="A1047" s="4">
        <v>43455</v>
      </c>
      <c r="B1047" s="3" t="s">
        <v>78</v>
      </c>
      <c r="C1047" s="3" t="s">
        <v>79</v>
      </c>
      <c r="D1047" s="4">
        <v>43159</v>
      </c>
      <c r="E1047" s="3">
        <f t="shared" si="220"/>
        <v>296</v>
      </c>
      <c r="F1047" s="3" t="str">
        <f t="shared" si="221"/>
        <v>개봉후</v>
      </c>
      <c r="G1047" s="3" t="str">
        <f t="shared" si="222"/>
        <v>금</v>
      </c>
      <c r="H1047" s="3">
        <f t="shared" si="223"/>
        <v>0</v>
      </c>
      <c r="I1047" s="3">
        <v>20909</v>
      </c>
      <c r="J1047" s="3">
        <v>12008</v>
      </c>
      <c r="K1047" s="3">
        <v>8900</v>
      </c>
      <c r="L1047" s="12">
        <f t="shared" si="224"/>
        <v>0.57429814912238752</v>
      </c>
      <c r="M1047" s="12">
        <f t="shared" si="225"/>
        <v>0.10035785706767708</v>
      </c>
      <c r="N1047" s="11">
        <f t="shared" si="227"/>
        <v>22693.142857142859</v>
      </c>
      <c r="O1047" s="11">
        <f t="shared" ref="O1047:O1110" si="229">IF(COUNT(I1019:I1046)=28,AVERAGE(I1019:I1046),"")</f>
        <v>23075.464285714286</v>
      </c>
      <c r="P1047" s="11">
        <f t="shared" ref="P1047:P1110" si="230">IF(COUNT(I1047,O1047)=2,IFERROR(I1047/O1047,""),"")</f>
        <v>0.90611394601253958</v>
      </c>
      <c r="Q1047" s="7"/>
      <c r="R1047" s="7"/>
      <c r="S1047" s="7"/>
      <c r="T1047" s="7"/>
      <c r="U1047" s="7"/>
      <c r="V1047" s="7"/>
      <c r="W1047" s="7"/>
      <c r="X1047" s="3" t="s">
        <v>88</v>
      </c>
      <c r="Y1047" s="3"/>
      <c r="Z1047" s="9"/>
      <c r="AA1047" s="12" t="str">
        <f t="shared" si="226"/>
        <v/>
      </c>
      <c r="AB1047" s="9" t="str">
        <f t="shared" si="228"/>
        <v/>
      </c>
      <c r="AC1047" s="9" t="str">
        <f t="shared" ref="AC1047:AC1110" si="231">IF(COUNT(Z1019:Z1046)=28,AVERAGE(Z1019:Z1046),"")</f>
        <v/>
      </c>
      <c r="AD1047" s="9" t="str">
        <f t="shared" ref="AD1047:AD1110" si="232">IF(COUNT(AB1047:AC1047)=2,IFERROR(AB1047/AC1047,""),"")</f>
        <v/>
      </c>
      <c r="AE1047" s="3"/>
      <c r="AF1047" s="11">
        <f t="shared" ref="AF1047:AF1110" si="233">IF(COUNT(J1040,J1033,J1026,J1019)=4,AVERAGE(J1040,J1033,J1026,J1019),"")</f>
        <v>13399</v>
      </c>
      <c r="AG1047" s="11">
        <f t="shared" ref="AG1047:AG1110" si="234">IF(COUNT(J1047,AF1047)=2,IFERROR(J1047/AF1047,""),"")</f>
        <v>0.89618628255839983</v>
      </c>
      <c r="AH1047" s="11" t="str">
        <f t="shared" ref="AH1047:AH1110" si="235">IF(COUNT(Z1047,AC1047)=2,IFERROR(Z1047/AC1047,""),"")</f>
        <v/>
      </c>
      <c r="AI1047" s="3" t="s">
        <v>45</v>
      </c>
      <c r="AJ1047" s="3" t="s">
        <v>79</v>
      </c>
      <c r="AK1047" s="3" t="s">
        <v>46</v>
      </c>
      <c r="AL1047" s="3" t="s">
        <v>81</v>
      </c>
      <c r="AM1047" s="3" t="s">
        <v>82</v>
      </c>
    </row>
    <row r="1048" spans="1:39" ht="21" customHeight="1">
      <c r="A1048" s="4">
        <v>43456</v>
      </c>
      <c r="B1048" s="3" t="s">
        <v>78</v>
      </c>
      <c r="C1048" s="3" t="s">
        <v>79</v>
      </c>
      <c r="D1048" s="4">
        <v>43159</v>
      </c>
      <c r="E1048" s="3">
        <f t="shared" si="220"/>
        <v>297</v>
      </c>
      <c r="F1048" s="3" t="str">
        <f t="shared" si="221"/>
        <v>개봉후</v>
      </c>
      <c r="G1048" s="3" t="str">
        <f t="shared" si="222"/>
        <v>토</v>
      </c>
      <c r="H1048" s="3">
        <f t="shared" si="223"/>
        <v>1</v>
      </c>
      <c r="I1048" s="3">
        <v>26159</v>
      </c>
      <c r="J1048" s="3">
        <v>18756</v>
      </c>
      <c r="K1048" s="3">
        <v>7402</v>
      </c>
      <c r="L1048" s="12">
        <f t="shared" si="224"/>
        <v>0.71699988531671699</v>
      </c>
      <c r="M1048" s="12">
        <f t="shared" si="225"/>
        <v>0.25108804820890529</v>
      </c>
      <c r="N1048" s="11">
        <f t="shared" si="227"/>
        <v>22054.714285714286</v>
      </c>
      <c r="O1048" s="11">
        <f t="shared" si="229"/>
        <v>23016.071428571428</v>
      </c>
      <c r="P1048" s="11">
        <f t="shared" si="230"/>
        <v>1.1365536503995655</v>
      </c>
      <c r="Q1048" s="7"/>
      <c r="R1048" s="7"/>
      <c r="S1048" s="7"/>
      <c r="T1048" s="7"/>
      <c r="U1048" s="7"/>
      <c r="V1048" s="7"/>
      <c r="W1048" s="7"/>
      <c r="X1048" s="3" t="s">
        <v>88</v>
      </c>
      <c r="Y1048" s="3"/>
      <c r="Z1048" s="9"/>
      <c r="AA1048" s="12" t="str">
        <f t="shared" si="226"/>
        <v/>
      </c>
      <c r="AB1048" s="9" t="str">
        <f t="shared" si="228"/>
        <v/>
      </c>
      <c r="AC1048" s="9" t="str">
        <f t="shared" si="231"/>
        <v/>
      </c>
      <c r="AD1048" s="9" t="str">
        <f t="shared" si="232"/>
        <v/>
      </c>
      <c r="AE1048" s="3"/>
      <c r="AF1048" s="11">
        <f t="shared" si="233"/>
        <v>25317</v>
      </c>
      <c r="AG1048" s="11">
        <f t="shared" si="234"/>
        <v>0.74084607180945605</v>
      </c>
      <c r="AH1048" s="11" t="str">
        <f t="shared" si="235"/>
        <v/>
      </c>
      <c r="AI1048" s="3" t="s">
        <v>45</v>
      </c>
      <c r="AJ1048" s="3" t="s">
        <v>79</v>
      </c>
      <c r="AK1048" s="3" t="s">
        <v>46</v>
      </c>
      <c r="AL1048" s="3" t="s">
        <v>81</v>
      </c>
      <c r="AM1048" s="3" t="s">
        <v>82</v>
      </c>
    </row>
    <row r="1049" spans="1:39" ht="21" customHeight="1">
      <c r="A1049" s="4">
        <v>43457</v>
      </c>
      <c r="B1049" s="3" t="s">
        <v>78</v>
      </c>
      <c r="C1049" s="3" t="s">
        <v>79</v>
      </c>
      <c r="D1049" s="4">
        <v>43159</v>
      </c>
      <c r="E1049" s="3">
        <f t="shared" si="220"/>
        <v>298</v>
      </c>
      <c r="F1049" s="3" t="str">
        <f t="shared" si="221"/>
        <v>개봉후</v>
      </c>
      <c r="G1049" s="3" t="str">
        <f t="shared" si="222"/>
        <v>일</v>
      </c>
      <c r="H1049" s="3">
        <f t="shared" si="223"/>
        <v>1</v>
      </c>
      <c r="I1049" s="3">
        <v>36624</v>
      </c>
      <c r="J1049" s="3">
        <v>29505</v>
      </c>
      <c r="K1049" s="3">
        <v>7119</v>
      </c>
      <c r="L1049" s="12">
        <f t="shared" si="224"/>
        <v>0.80561926605504586</v>
      </c>
      <c r="M1049" s="12">
        <f t="shared" si="225"/>
        <v>0.40005351886539997</v>
      </c>
      <c r="N1049" s="11">
        <f t="shared" si="227"/>
        <v>24080.714285714286</v>
      </c>
      <c r="O1049" s="11">
        <f t="shared" si="229"/>
        <v>22575.321428571428</v>
      </c>
      <c r="P1049" s="11">
        <f t="shared" si="230"/>
        <v>1.6223024826414432</v>
      </c>
      <c r="Q1049" s="7"/>
      <c r="R1049" s="7"/>
      <c r="S1049" s="7"/>
      <c r="T1049" s="7"/>
      <c r="U1049" s="7"/>
      <c r="V1049" s="7"/>
      <c r="W1049" s="7"/>
      <c r="X1049" s="3" t="s">
        <v>88</v>
      </c>
      <c r="Y1049" s="3"/>
      <c r="Z1049" s="9"/>
      <c r="AA1049" s="12" t="str">
        <f t="shared" si="226"/>
        <v/>
      </c>
      <c r="AB1049" s="9" t="str">
        <f t="shared" si="228"/>
        <v/>
      </c>
      <c r="AC1049" s="9" t="str">
        <f t="shared" si="231"/>
        <v/>
      </c>
      <c r="AD1049" s="9" t="str">
        <f t="shared" si="232"/>
        <v/>
      </c>
      <c r="AE1049" s="3"/>
      <c r="AF1049" s="11">
        <f t="shared" si="233"/>
        <v>20636</v>
      </c>
      <c r="AG1049" s="11">
        <f t="shared" si="234"/>
        <v>1.4297829036635006</v>
      </c>
      <c r="AH1049" s="11" t="str">
        <f t="shared" si="235"/>
        <v/>
      </c>
      <c r="AI1049" s="3" t="s">
        <v>45</v>
      </c>
      <c r="AJ1049" s="3" t="s">
        <v>79</v>
      </c>
      <c r="AK1049" s="3" t="s">
        <v>46</v>
      </c>
      <c r="AL1049" s="3" t="s">
        <v>81</v>
      </c>
      <c r="AM1049" s="3" t="s">
        <v>82</v>
      </c>
    </row>
    <row r="1050" spans="1:39" ht="21" customHeight="1">
      <c r="A1050" s="4">
        <v>43458</v>
      </c>
      <c r="B1050" s="3" t="s">
        <v>78</v>
      </c>
      <c r="C1050" s="3" t="s">
        <v>79</v>
      </c>
      <c r="D1050" s="4">
        <v>43159</v>
      </c>
      <c r="E1050" s="3">
        <f t="shared" si="220"/>
        <v>299</v>
      </c>
      <c r="F1050" s="3" t="str">
        <f t="shared" si="221"/>
        <v>개봉후</v>
      </c>
      <c r="G1050" s="3" t="str">
        <f t="shared" si="222"/>
        <v>월</v>
      </c>
      <c r="H1050" s="3">
        <f t="shared" si="223"/>
        <v>0</v>
      </c>
      <c r="I1050" s="3">
        <v>23342</v>
      </c>
      <c r="J1050" s="3">
        <v>14458</v>
      </c>
      <c r="K1050" s="3">
        <v>8883</v>
      </c>
      <c r="L1050" s="12">
        <f t="shared" si="224"/>
        <v>0.61939850912518213</v>
      </c>
      <c r="M1050" s="12">
        <f t="shared" si="225"/>
        <v>-0.36265836609873303</v>
      </c>
      <c r="N1050" s="11">
        <f t="shared" si="227"/>
        <v>24436.714285714286</v>
      </c>
      <c r="O1050" s="11">
        <f t="shared" si="229"/>
        <v>22731.071428571428</v>
      </c>
      <c r="P1050" s="11">
        <f t="shared" si="230"/>
        <v>1.0268763649504298</v>
      </c>
      <c r="Q1050" s="7"/>
      <c r="R1050" s="7"/>
      <c r="S1050" s="7"/>
      <c r="T1050" s="7"/>
      <c r="U1050" s="7"/>
      <c r="V1050" s="7"/>
      <c r="W1050" s="7"/>
      <c r="X1050" s="3" t="s">
        <v>88</v>
      </c>
      <c r="Y1050" s="3"/>
      <c r="Z1050" s="9"/>
      <c r="AA1050" s="12" t="str">
        <f t="shared" si="226"/>
        <v/>
      </c>
      <c r="AB1050" s="9" t="str">
        <f t="shared" si="228"/>
        <v/>
      </c>
      <c r="AC1050" s="9" t="str">
        <f t="shared" si="231"/>
        <v/>
      </c>
      <c r="AD1050" s="9" t="str">
        <f t="shared" si="232"/>
        <v/>
      </c>
      <c r="AE1050" s="3"/>
      <c r="AF1050" s="11">
        <f t="shared" si="233"/>
        <v>10042.5</v>
      </c>
      <c r="AG1050" s="11">
        <f t="shared" si="234"/>
        <v>1.4396813542444611</v>
      </c>
      <c r="AH1050" s="11" t="str">
        <f t="shared" si="235"/>
        <v/>
      </c>
      <c r="AI1050" s="3" t="s">
        <v>45</v>
      </c>
      <c r="AJ1050" s="3" t="s">
        <v>79</v>
      </c>
      <c r="AK1050" s="3" t="s">
        <v>46</v>
      </c>
      <c r="AL1050" s="3" t="s">
        <v>81</v>
      </c>
      <c r="AM1050" s="3" t="s">
        <v>82</v>
      </c>
    </row>
    <row r="1051" spans="1:39" ht="21" customHeight="1">
      <c r="A1051" s="4">
        <v>43459</v>
      </c>
      <c r="B1051" s="3" t="s">
        <v>78</v>
      </c>
      <c r="C1051" s="3" t="s">
        <v>79</v>
      </c>
      <c r="D1051" s="4">
        <v>43159</v>
      </c>
      <c r="E1051" s="3">
        <f t="shared" si="220"/>
        <v>300</v>
      </c>
      <c r="F1051" s="3" t="str">
        <f t="shared" si="221"/>
        <v>개봉후</v>
      </c>
      <c r="G1051" s="3" t="str">
        <f t="shared" si="222"/>
        <v>화</v>
      </c>
      <c r="H1051" s="3">
        <f t="shared" si="223"/>
        <v>0</v>
      </c>
      <c r="I1051" s="3">
        <v>20160</v>
      </c>
      <c r="J1051" s="3">
        <v>13184</v>
      </c>
      <c r="K1051" s="3">
        <v>6976</v>
      </c>
      <c r="L1051" s="12">
        <f t="shared" si="224"/>
        <v>0.65396825396825398</v>
      </c>
      <c r="M1051" s="12">
        <f t="shared" si="225"/>
        <v>-0.13632079513323625</v>
      </c>
      <c r="N1051" s="11">
        <f t="shared" si="227"/>
        <v>24100.142857142859</v>
      </c>
      <c r="O1051" s="11">
        <f t="shared" si="229"/>
        <v>22886.464285714286</v>
      </c>
      <c r="P1051" s="11">
        <f t="shared" si="230"/>
        <v>0.88087000894165446</v>
      </c>
      <c r="Q1051" s="7"/>
      <c r="R1051" s="7"/>
      <c r="S1051" s="7"/>
      <c r="T1051" s="7"/>
      <c r="U1051" s="7"/>
      <c r="V1051" s="7"/>
      <c r="W1051" s="7"/>
      <c r="X1051" s="3" t="s">
        <v>88</v>
      </c>
      <c r="Y1051" s="3"/>
      <c r="Z1051" s="9"/>
      <c r="AA1051" s="12" t="str">
        <f t="shared" si="226"/>
        <v/>
      </c>
      <c r="AB1051" s="9" t="str">
        <f t="shared" si="228"/>
        <v/>
      </c>
      <c r="AC1051" s="9" t="str">
        <f t="shared" si="231"/>
        <v/>
      </c>
      <c r="AD1051" s="9" t="str">
        <f t="shared" si="232"/>
        <v/>
      </c>
      <c r="AE1051" s="3"/>
      <c r="AF1051" s="11">
        <f t="shared" si="233"/>
        <v>10117.5</v>
      </c>
      <c r="AG1051" s="11">
        <f t="shared" si="234"/>
        <v>1.3030887076847046</v>
      </c>
      <c r="AH1051" s="11" t="str">
        <f t="shared" si="235"/>
        <v/>
      </c>
      <c r="AI1051" s="3" t="s">
        <v>45</v>
      </c>
      <c r="AJ1051" s="3" t="s">
        <v>79</v>
      </c>
      <c r="AK1051" s="3" t="s">
        <v>46</v>
      </c>
      <c r="AL1051" s="3" t="s">
        <v>81</v>
      </c>
      <c r="AM1051" s="3" t="s">
        <v>82</v>
      </c>
    </row>
    <row r="1052" spans="1:39" ht="21" customHeight="1">
      <c r="A1052" s="4">
        <v>43460</v>
      </c>
      <c r="B1052" s="3" t="s">
        <v>78</v>
      </c>
      <c r="C1052" s="3" t="s">
        <v>79</v>
      </c>
      <c r="D1052" s="4">
        <v>43159</v>
      </c>
      <c r="E1052" s="3">
        <f t="shared" si="220"/>
        <v>301</v>
      </c>
      <c r="F1052" s="3" t="str">
        <f t="shared" si="221"/>
        <v>개봉후</v>
      </c>
      <c r="G1052" s="3" t="str">
        <f t="shared" si="222"/>
        <v>수</v>
      </c>
      <c r="H1052" s="3">
        <f t="shared" si="223"/>
        <v>0</v>
      </c>
      <c r="I1052" s="3">
        <v>22393</v>
      </c>
      <c r="J1052" s="3">
        <v>13654</v>
      </c>
      <c r="K1052" s="3">
        <v>8740</v>
      </c>
      <c r="L1052" s="12">
        <f t="shared" si="224"/>
        <v>0.60974411646496673</v>
      </c>
      <c r="M1052" s="12">
        <f t="shared" si="225"/>
        <v>0.11076388888888888</v>
      </c>
      <c r="N1052" s="11">
        <f t="shared" si="227"/>
        <v>24084.142857142859</v>
      </c>
      <c r="O1052" s="11">
        <f t="shared" si="229"/>
        <v>22900.964285714286</v>
      </c>
      <c r="P1052" s="11">
        <f t="shared" si="230"/>
        <v>0.97781908746824442</v>
      </c>
      <c r="Q1052" s="7"/>
      <c r="R1052" s="7"/>
      <c r="S1052" s="7"/>
      <c r="T1052" s="7"/>
      <c r="U1052" s="7"/>
      <c r="V1052" s="7"/>
      <c r="W1052" s="7"/>
      <c r="X1052" s="3" t="s">
        <v>88</v>
      </c>
      <c r="Y1052" s="3"/>
      <c r="Z1052" s="9"/>
      <c r="AA1052" s="12" t="str">
        <f t="shared" si="226"/>
        <v/>
      </c>
      <c r="AB1052" s="9" t="str">
        <f t="shared" si="228"/>
        <v/>
      </c>
      <c r="AC1052" s="9" t="str">
        <f t="shared" si="231"/>
        <v/>
      </c>
      <c r="AD1052" s="9" t="str">
        <f t="shared" si="232"/>
        <v/>
      </c>
      <c r="AE1052" s="3"/>
      <c r="AF1052" s="11">
        <f t="shared" si="233"/>
        <v>13536.25</v>
      </c>
      <c r="AG1052" s="11">
        <f t="shared" si="234"/>
        <v>1.008698864161049</v>
      </c>
      <c r="AH1052" s="11" t="str">
        <f t="shared" si="235"/>
        <v/>
      </c>
      <c r="AI1052" s="3" t="s">
        <v>45</v>
      </c>
      <c r="AJ1052" s="3" t="s">
        <v>79</v>
      </c>
      <c r="AK1052" s="3" t="s">
        <v>46</v>
      </c>
      <c r="AL1052" s="3" t="s">
        <v>81</v>
      </c>
      <c r="AM1052" s="3" t="s">
        <v>82</v>
      </c>
    </row>
    <row r="1053" spans="1:39" ht="21" customHeight="1">
      <c r="A1053" s="4">
        <v>43461</v>
      </c>
      <c r="B1053" s="3" t="s">
        <v>78</v>
      </c>
      <c r="C1053" s="3" t="s">
        <v>79</v>
      </c>
      <c r="D1053" s="4">
        <v>43159</v>
      </c>
      <c r="E1053" s="3">
        <f t="shared" si="220"/>
        <v>302</v>
      </c>
      <c r="F1053" s="3" t="str">
        <f t="shared" si="221"/>
        <v>개봉후</v>
      </c>
      <c r="G1053" s="3" t="str">
        <f t="shared" si="222"/>
        <v>목</v>
      </c>
      <c r="H1053" s="3">
        <f t="shared" si="223"/>
        <v>0</v>
      </c>
      <c r="I1053" s="3">
        <v>22480</v>
      </c>
      <c r="J1053" s="3">
        <v>13755</v>
      </c>
      <c r="K1053" s="3">
        <v>8726</v>
      </c>
      <c r="L1053" s="12">
        <f t="shared" si="224"/>
        <v>0.61187722419928825</v>
      </c>
      <c r="M1053" s="12">
        <f t="shared" si="225"/>
        <v>3.8851426785155851E-3</v>
      </c>
      <c r="N1053" s="11">
        <f t="shared" si="227"/>
        <v>24581</v>
      </c>
      <c r="O1053" s="11">
        <f t="shared" si="229"/>
        <v>22838.464285714286</v>
      </c>
      <c r="P1053" s="11">
        <f t="shared" si="230"/>
        <v>0.98430436122018461</v>
      </c>
      <c r="Q1053" s="7"/>
      <c r="R1053" s="7"/>
      <c r="S1053" s="7"/>
      <c r="T1053" s="7"/>
      <c r="U1053" s="7"/>
      <c r="V1053" s="7"/>
      <c r="W1053" s="7"/>
      <c r="X1053" s="3" t="s">
        <v>88</v>
      </c>
      <c r="Y1053" s="3"/>
      <c r="Z1053" s="9"/>
      <c r="AA1053" s="12" t="str">
        <f t="shared" si="226"/>
        <v/>
      </c>
      <c r="AB1053" s="9" t="str">
        <f t="shared" si="228"/>
        <v/>
      </c>
      <c r="AC1053" s="9" t="str">
        <f t="shared" si="231"/>
        <v/>
      </c>
      <c r="AD1053" s="9" t="str">
        <f t="shared" si="232"/>
        <v/>
      </c>
      <c r="AE1053" s="3"/>
      <c r="AF1053" s="11">
        <f t="shared" si="233"/>
        <v>11248.25</v>
      </c>
      <c r="AG1053" s="11">
        <f t="shared" si="234"/>
        <v>1.2228568888493765</v>
      </c>
      <c r="AH1053" s="11" t="str">
        <f t="shared" si="235"/>
        <v/>
      </c>
      <c r="AI1053" s="3" t="s">
        <v>45</v>
      </c>
      <c r="AJ1053" s="3" t="s">
        <v>79</v>
      </c>
      <c r="AK1053" s="3" t="s">
        <v>46</v>
      </c>
      <c r="AL1053" s="3" t="s">
        <v>81</v>
      </c>
      <c r="AM1053" s="3" t="s">
        <v>82</v>
      </c>
    </row>
    <row r="1054" spans="1:39" ht="21" customHeight="1">
      <c r="A1054" s="4">
        <v>43462</v>
      </c>
      <c r="B1054" s="3" t="s">
        <v>78</v>
      </c>
      <c r="C1054" s="3" t="s">
        <v>79</v>
      </c>
      <c r="D1054" s="4">
        <v>43159</v>
      </c>
      <c r="E1054" s="3">
        <f t="shared" si="220"/>
        <v>303</v>
      </c>
      <c r="F1054" s="3" t="str">
        <f t="shared" si="221"/>
        <v>개봉후</v>
      </c>
      <c r="G1054" s="3" t="str">
        <f t="shared" si="222"/>
        <v>금</v>
      </c>
      <c r="H1054" s="3">
        <f t="shared" si="223"/>
        <v>0</v>
      </c>
      <c r="I1054" s="3">
        <v>20846</v>
      </c>
      <c r="J1054" s="3">
        <v>11830</v>
      </c>
      <c r="K1054" s="3">
        <v>9016</v>
      </c>
      <c r="L1054" s="12">
        <f t="shared" si="224"/>
        <v>0.56749496306245806</v>
      </c>
      <c r="M1054" s="12">
        <f t="shared" si="225"/>
        <v>-7.2686832740213481E-2</v>
      </c>
      <c r="N1054" s="11">
        <f t="shared" si="227"/>
        <v>24572</v>
      </c>
      <c r="O1054" s="11">
        <f t="shared" si="229"/>
        <v>22947.964285714286</v>
      </c>
      <c r="P1054" s="11">
        <f t="shared" si="230"/>
        <v>0.9084030173856068</v>
      </c>
      <c r="Q1054" s="7"/>
      <c r="R1054" s="7"/>
      <c r="S1054" s="7"/>
      <c r="T1054" s="7"/>
      <c r="U1054" s="7"/>
      <c r="V1054" s="7"/>
      <c r="W1054" s="7"/>
      <c r="X1054" s="3" t="s">
        <v>88</v>
      </c>
      <c r="Y1054" s="3"/>
      <c r="Z1054" s="9"/>
      <c r="AA1054" s="12" t="str">
        <f t="shared" si="226"/>
        <v/>
      </c>
      <c r="AB1054" s="9" t="str">
        <f t="shared" si="228"/>
        <v/>
      </c>
      <c r="AC1054" s="9" t="str">
        <f t="shared" si="231"/>
        <v/>
      </c>
      <c r="AD1054" s="9" t="str">
        <f t="shared" si="232"/>
        <v/>
      </c>
      <c r="AE1054" s="3"/>
      <c r="AF1054" s="11">
        <f t="shared" si="233"/>
        <v>12966.5</v>
      </c>
      <c r="AG1054" s="11">
        <f t="shared" si="234"/>
        <v>0.91235105849689579</v>
      </c>
      <c r="AH1054" s="11" t="str">
        <f t="shared" si="235"/>
        <v/>
      </c>
      <c r="AI1054" s="3" t="s">
        <v>45</v>
      </c>
      <c r="AJ1054" s="3" t="s">
        <v>79</v>
      </c>
      <c r="AK1054" s="3" t="s">
        <v>46</v>
      </c>
      <c r="AL1054" s="3" t="s">
        <v>81</v>
      </c>
      <c r="AM1054" s="3" t="s">
        <v>82</v>
      </c>
    </row>
    <row r="1055" spans="1:39" ht="21" customHeight="1">
      <c r="A1055" s="4">
        <v>43463</v>
      </c>
      <c r="B1055" s="3" t="s">
        <v>78</v>
      </c>
      <c r="C1055" s="3" t="s">
        <v>79</v>
      </c>
      <c r="D1055" s="4">
        <v>43159</v>
      </c>
      <c r="E1055" s="3">
        <f t="shared" si="220"/>
        <v>304</v>
      </c>
      <c r="F1055" s="3" t="str">
        <f t="shared" si="221"/>
        <v>개봉후</v>
      </c>
      <c r="G1055" s="3" t="str">
        <f t="shared" si="222"/>
        <v>토</v>
      </c>
      <c r="H1055" s="3">
        <f t="shared" si="223"/>
        <v>1</v>
      </c>
      <c r="I1055" s="3">
        <v>31535</v>
      </c>
      <c r="J1055" s="3">
        <v>24626</v>
      </c>
      <c r="K1055" s="3">
        <v>6909</v>
      </c>
      <c r="L1055" s="12">
        <f t="shared" si="224"/>
        <v>0.78091009988901217</v>
      </c>
      <c r="M1055" s="12">
        <f t="shared" si="225"/>
        <v>0.51276024177300195</v>
      </c>
      <c r="N1055" s="11">
        <f t="shared" si="227"/>
        <v>25340</v>
      </c>
      <c r="O1055" s="11">
        <f t="shared" si="229"/>
        <v>22923.214285714286</v>
      </c>
      <c r="P1055" s="11">
        <f t="shared" si="230"/>
        <v>1.3756796759367453</v>
      </c>
      <c r="Q1055" s="7"/>
      <c r="R1055" s="7"/>
      <c r="S1055" s="7"/>
      <c r="T1055" s="7"/>
      <c r="U1055" s="7"/>
      <c r="V1055" s="7"/>
      <c r="W1055" s="7"/>
      <c r="X1055" s="3" t="s">
        <v>88</v>
      </c>
      <c r="Y1055" s="3"/>
      <c r="Z1055" s="9"/>
      <c r="AA1055" s="12" t="str">
        <f t="shared" si="226"/>
        <v/>
      </c>
      <c r="AB1055" s="9" t="str">
        <f t="shared" si="228"/>
        <v/>
      </c>
      <c r="AC1055" s="9" t="str">
        <f t="shared" si="231"/>
        <v/>
      </c>
      <c r="AD1055" s="9" t="str">
        <f t="shared" si="232"/>
        <v/>
      </c>
      <c r="AE1055" s="3"/>
      <c r="AF1055" s="11">
        <f t="shared" si="233"/>
        <v>22142.5</v>
      </c>
      <c r="AG1055" s="11">
        <f t="shared" si="234"/>
        <v>1.1121598735463476</v>
      </c>
      <c r="AH1055" s="11" t="str">
        <f t="shared" si="235"/>
        <v/>
      </c>
      <c r="AI1055" s="3" t="s">
        <v>45</v>
      </c>
      <c r="AJ1055" s="3" t="s">
        <v>79</v>
      </c>
      <c r="AK1055" s="3" t="s">
        <v>46</v>
      </c>
      <c r="AL1055" s="3" t="s">
        <v>81</v>
      </c>
      <c r="AM1055" s="3" t="s">
        <v>82</v>
      </c>
    </row>
    <row r="1056" spans="1:39" ht="21" customHeight="1">
      <c r="A1056" s="4">
        <v>43464</v>
      </c>
      <c r="B1056" s="3" t="s">
        <v>78</v>
      </c>
      <c r="C1056" s="3" t="s">
        <v>79</v>
      </c>
      <c r="D1056" s="4">
        <v>43159</v>
      </c>
      <c r="E1056" s="3">
        <f t="shared" si="220"/>
        <v>305</v>
      </c>
      <c r="F1056" s="3" t="str">
        <f t="shared" si="221"/>
        <v>개봉후</v>
      </c>
      <c r="G1056" s="3" t="str">
        <f t="shared" si="222"/>
        <v>일</v>
      </c>
      <c r="H1056" s="3">
        <f t="shared" si="223"/>
        <v>1</v>
      </c>
      <c r="I1056" s="3">
        <v>26114</v>
      </c>
      <c r="J1056" s="3">
        <v>19474</v>
      </c>
      <c r="K1056" s="3">
        <v>6640</v>
      </c>
      <c r="L1056" s="12">
        <f t="shared" si="224"/>
        <v>0.74573025963084938</v>
      </c>
      <c r="M1056" s="12">
        <f t="shared" si="225"/>
        <v>-0.17190423339146976</v>
      </c>
      <c r="N1056" s="11">
        <f t="shared" si="227"/>
        <v>23838.571428571428</v>
      </c>
      <c r="O1056" s="11">
        <f t="shared" si="229"/>
        <v>22716.464285714286</v>
      </c>
      <c r="P1056" s="11">
        <f t="shared" si="230"/>
        <v>1.1495626991750791</v>
      </c>
      <c r="Q1056" s="7"/>
      <c r="R1056" s="7"/>
      <c r="S1056" s="7"/>
      <c r="T1056" s="7"/>
      <c r="U1056" s="7"/>
      <c r="V1056" s="7"/>
      <c r="W1056" s="7"/>
      <c r="X1056" s="3" t="s">
        <v>88</v>
      </c>
      <c r="Y1056" s="3"/>
      <c r="Z1056" s="9"/>
      <c r="AA1056" s="12" t="str">
        <f t="shared" si="226"/>
        <v/>
      </c>
      <c r="AB1056" s="9" t="str">
        <f t="shared" si="228"/>
        <v/>
      </c>
      <c r="AC1056" s="9" t="str">
        <f t="shared" si="231"/>
        <v/>
      </c>
      <c r="AD1056" s="9" t="str">
        <f t="shared" si="232"/>
        <v/>
      </c>
      <c r="AE1056" s="3"/>
      <c r="AF1056" s="11">
        <f t="shared" si="233"/>
        <v>21629.25</v>
      </c>
      <c r="AG1056" s="11">
        <f t="shared" si="234"/>
        <v>0.90035484355675766</v>
      </c>
      <c r="AH1056" s="11" t="str">
        <f t="shared" si="235"/>
        <v/>
      </c>
      <c r="AI1056" s="3" t="s">
        <v>45</v>
      </c>
      <c r="AJ1056" s="3" t="s">
        <v>79</v>
      </c>
      <c r="AK1056" s="3" t="s">
        <v>46</v>
      </c>
      <c r="AL1056" s="3" t="s">
        <v>81</v>
      </c>
      <c r="AM1056" s="3" t="s">
        <v>82</v>
      </c>
    </row>
    <row r="1057" spans="1:39" ht="21" customHeight="1">
      <c r="A1057" s="4">
        <v>43465</v>
      </c>
      <c r="B1057" s="3" t="s">
        <v>78</v>
      </c>
      <c r="C1057" s="3" t="s">
        <v>79</v>
      </c>
      <c r="D1057" s="4">
        <v>43159</v>
      </c>
      <c r="E1057" s="3">
        <f t="shared" si="220"/>
        <v>306</v>
      </c>
      <c r="F1057" s="3" t="str">
        <f t="shared" si="221"/>
        <v>개봉후</v>
      </c>
      <c r="G1057" s="3" t="str">
        <f t="shared" si="222"/>
        <v>월</v>
      </c>
      <c r="H1057" s="3">
        <f t="shared" si="223"/>
        <v>0</v>
      </c>
      <c r="I1057" s="3">
        <v>26428</v>
      </c>
      <c r="J1057" s="3">
        <v>18106</v>
      </c>
      <c r="K1057" s="3">
        <v>8323</v>
      </c>
      <c r="L1057" s="12">
        <f t="shared" si="224"/>
        <v>0.68510670500983806</v>
      </c>
      <c r="M1057" s="12">
        <f t="shared" si="225"/>
        <v>1.202420157769768E-2</v>
      </c>
      <c r="N1057" s="11">
        <f t="shared" si="227"/>
        <v>24279.428571428572</v>
      </c>
      <c r="O1057" s="11">
        <f t="shared" si="229"/>
        <v>22558.607142857141</v>
      </c>
      <c r="P1057" s="11">
        <f t="shared" si="230"/>
        <v>1.1715262308811494</v>
      </c>
      <c r="Q1057" s="7"/>
      <c r="R1057" s="7"/>
      <c r="S1057" s="7"/>
      <c r="T1057" s="7"/>
      <c r="U1057" s="7"/>
      <c r="V1057" s="7"/>
      <c r="W1057" s="7"/>
      <c r="X1057" s="3" t="s">
        <v>88</v>
      </c>
      <c r="Y1057" s="3"/>
      <c r="Z1057" s="9"/>
      <c r="AA1057" s="12" t="str">
        <f t="shared" si="226"/>
        <v/>
      </c>
      <c r="AB1057" s="9" t="str">
        <f t="shared" si="228"/>
        <v/>
      </c>
      <c r="AC1057" s="9" t="str">
        <f t="shared" si="231"/>
        <v/>
      </c>
      <c r="AD1057" s="9" t="str">
        <f t="shared" si="232"/>
        <v/>
      </c>
      <c r="AE1057" s="3"/>
      <c r="AF1057" s="11">
        <f t="shared" si="233"/>
        <v>11034.5</v>
      </c>
      <c r="AG1057" s="11">
        <f t="shared" si="234"/>
        <v>1.6408536861661154</v>
      </c>
      <c r="AH1057" s="11" t="str">
        <f t="shared" si="235"/>
        <v/>
      </c>
      <c r="AI1057" s="3" t="s">
        <v>45</v>
      </c>
      <c r="AJ1057" s="3" t="s">
        <v>79</v>
      </c>
      <c r="AK1057" s="3" t="s">
        <v>46</v>
      </c>
      <c r="AL1057" s="3" t="s">
        <v>81</v>
      </c>
      <c r="AM1057" s="3" t="s">
        <v>82</v>
      </c>
    </row>
    <row r="1058" spans="1:39" ht="21" customHeight="1">
      <c r="A1058" s="4">
        <v>43466</v>
      </c>
      <c r="B1058" s="3" t="s">
        <v>78</v>
      </c>
      <c r="C1058" s="3" t="s">
        <v>79</v>
      </c>
      <c r="D1058" s="4">
        <v>43159</v>
      </c>
      <c r="E1058" s="3">
        <f t="shared" si="220"/>
        <v>307</v>
      </c>
      <c r="F1058" s="3" t="str">
        <f t="shared" si="221"/>
        <v>개봉후</v>
      </c>
      <c r="G1058" s="3" t="str">
        <f t="shared" si="222"/>
        <v>화</v>
      </c>
      <c r="H1058" s="3">
        <f t="shared" si="223"/>
        <v>0</v>
      </c>
      <c r="I1058" s="3">
        <v>28508</v>
      </c>
      <c r="J1058" s="3">
        <v>22418</v>
      </c>
      <c r="K1058" s="3">
        <v>6090</v>
      </c>
      <c r="L1058" s="12">
        <f t="shared" si="224"/>
        <v>0.78637575417426686</v>
      </c>
      <c r="M1058" s="12">
        <f t="shared" si="225"/>
        <v>7.8704404419555063E-2</v>
      </c>
      <c r="N1058" s="11">
        <f t="shared" si="227"/>
        <v>25472</v>
      </c>
      <c r="O1058" s="11">
        <f t="shared" si="229"/>
        <v>22870.821428571428</v>
      </c>
      <c r="P1058" s="11">
        <f t="shared" si="230"/>
        <v>1.2464790601874192</v>
      </c>
      <c r="Q1058" s="7"/>
      <c r="R1058" s="7"/>
      <c r="S1058" s="7"/>
      <c r="T1058" s="7"/>
      <c r="U1058" s="7"/>
      <c r="V1058" s="7"/>
      <c r="W1058" s="7"/>
      <c r="X1058" s="3" t="s">
        <v>89</v>
      </c>
      <c r="Y1058" s="3"/>
      <c r="Z1058" s="9"/>
      <c r="AA1058" s="12" t="str">
        <f t="shared" si="226"/>
        <v/>
      </c>
      <c r="AB1058" s="9" t="str">
        <f t="shared" si="228"/>
        <v/>
      </c>
      <c r="AC1058" s="9" t="str">
        <f t="shared" si="231"/>
        <v/>
      </c>
      <c r="AD1058" s="9" t="str">
        <f t="shared" si="232"/>
        <v/>
      </c>
      <c r="AE1058" s="3"/>
      <c r="AF1058" s="11">
        <f t="shared" si="233"/>
        <v>10600.5</v>
      </c>
      <c r="AG1058" s="11">
        <f t="shared" si="234"/>
        <v>2.1148059053818216</v>
      </c>
      <c r="AH1058" s="11" t="str">
        <f t="shared" si="235"/>
        <v/>
      </c>
      <c r="AI1058" s="3" t="s">
        <v>45</v>
      </c>
      <c r="AJ1058" s="3" t="s">
        <v>79</v>
      </c>
      <c r="AK1058" s="3" t="s">
        <v>46</v>
      </c>
      <c r="AL1058" s="3" t="s">
        <v>81</v>
      </c>
      <c r="AM1058" s="3" t="s">
        <v>82</v>
      </c>
    </row>
    <row r="1059" spans="1:39" ht="21" customHeight="1">
      <c r="A1059" s="4">
        <v>43467</v>
      </c>
      <c r="B1059" s="3" t="s">
        <v>78</v>
      </c>
      <c r="C1059" s="3" t="s">
        <v>79</v>
      </c>
      <c r="D1059" s="4">
        <v>43159</v>
      </c>
      <c r="E1059" s="3">
        <f t="shared" si="220"/>
        <v>308</v>
      </c>
      <c r="F1059" s="3" t="str">
        <f t="shared" si="221"/>
        <v>개봉후</v>
      </c>
      <c r="G1059" s="3" t="str">
        <f t="shared" si="222"/>
        <v>수</v>
      </c>
      <c r="H1059" s="3">
        <f t="shared" si="223"/>
        <v>0</v>
      </c>
      <c r="I1059" s="3">
        <v>17602</v>
      </c>
      <c r="J1059" s="3">
        <v>9286</v>
      </c>
      <c r="K1059" s="3">
        <v>8316</v>
      </c>
      <c r="L1059" s="12">
        <f t="shared" si="224"/>
        <v>0.52755368708101347</v>
      </c>
      <c r="M1059" s="12">
        <f t="shared" si="225"/>
        <v>-0.3825592816051635</v>
      </c>
      <c r="N1059" s="11">
        <f t="shared" si="227"/>
        <v>24787.571428571428</v>
      </c>
      <c r="O1059" s="11">
        <f t="shared" si="229"/>
        <v>23282.107142857141</v>
      </c>
      <c r="P1059" s="11">
        <f t="shared" si="230"/>
        <v>0.75603122569600512</v>
      </c>
      <c r="Q1059" s="7"/>
      <c r="R1059" s="7"/>
      <c r="S1059" s="7"/>
      <c r="T1059" s="7"/>
      <c r="U1059" s="7"/>
      <c r="V1059" s="7"/>
      <c r="W1059" s="7"/>
      <c r="X1059" s="3" t="s">
        <v>89</v>
      </c>
      <c r="Y1059" s="3"/>
      <c r="Z1059" s="9"/>
      <c r="AA1059" s="12" t="str">
        <f t="shared" si="226"/>
        <v/>
      </c>
      <c r="AB1059" s="9" t="str">
        <f t="shared" si="228"/>
        <v/>
      </c>
      <c r="AC1059" s="9" t="str">
        <f t="shared" si="231"/>
        <v/>
      </c>
      <c r="AD1059" s="9" t="str">
        <f t="shared" si="232"/>
        <v/>
      </c>
      <c r="AE1059" s="3"/>
      <c r="AF1059" s="11">
        <f t="shared" si="233"/>
        <v>13142.75</v>
      </c>
      <c r="AG1059" s="11">
        <f t="shared" si="234"/>
        <v>0.70654923817313731</v>
      </c>
      <c r="AH1059" s="11" t="str">
        <f t="shared" si="235"/>
        <v/>
      </c>
      <c r="AI1059" s="3" t="s">
        <v>45</v>
      </c>
      <c r="AJ1059" s="3" t="s">
        <v>79</v>
      </c>
      <c r="AK1059" s="3" t="s">
        <v>46</v>
      </c>
      <c r="AL1059" s="3" t="s">
        <v>81</v>
      </c>
      <c r="AM1059" s="3" t="s">
        <v>82</v>
      </c>
    </row>
    <row r="1060" spans="1:39" ht="21" customHeight="1">
      <c r="A1060" s="4">
        <v>43468</v>
      </c>
      <c r="B1060" s="3" t="s">
        <v>78</v>
      </c>
      <c r="C1060" s="3" t="s">
        <v>79</v>
      </c>
      <c r="D1060" s="4">
        <v>43159</v>
      </c>
      <c r="E1060" s="3">
        <f t="shared" si="220"/>
        <v>309</v>
      </c>
      <c r="F1060" s="3" t="str">
        <f t="shared" si="221"/>
        <v>개봉후</v>
      </c>
      <c r="G1060" s="3" t="str">
        <f t="shared" si="222"/>
        <v>목</v>
      </c>
      <c r="H1060" s="3">
        <f t="shared" si="223"/>
        <v>0</v>
      </c>
      <c r="I1060" s="3">
        <v>18025</v>
      </c>
      <c r="J1060" s="3">
        <v>9583</v>
      </c>
      <c r="K1060" s="3">
        <v>8442</v>
      </c>
      <c r="L1060" s="12">
        <f t="shared" si="224"/>
        <v>0.53165048543689319</v>
      </c>
      <c r="M1060" s="12">
        <f t="shared" si="225"/>
        <v>2.403136007271911E-2</v>
      </c>
      <c r="N1060" s="11">
        <f t="shared" si="227"/>
        <v>24151.142857142859</v>
      </c>
      <c r="O1060" s="11">
        <f t="shared" si="229"/>
        <v>23112.25</v>
      </c>
      <c r="P1060" s="11">
        <f t="shared" si="230"/>
        <v>0.77988945256303477</v>
      </c>
      <c r="Q1060" s="7"/>
      <c r="R1060" s="7"/>
      <c r="S1060" s="7"/>
      <c r="T1060" s="7"/>
      <c r="U1060" s="7"/>
      <c r="V1060" s="7"/>
      <c r="W1060" s="7"/>
      <c r="X1060" s="3" t="s">
        <v>89</v>
      </c>
      <c r="Y1060" s="3"/>
      <c r="Z1060" s="9"/>
      <c r="AA1060" s="12" t="str">
        <f t="shared" si="226"/>
        <v/>
      </c>
      <c r="AB1060" s="9" t="str">
        <f t="shared" si="228"/>
        <v/>
      </c>
      <c r="AC1060" s="9" t="str">
        <f t="shared" si="231"/>
        <v/>
      </c>
      <c r="AD1060" s="9" t="str">
        <f t="shared" si="232"/>
        <v/>
      </c>
      <c r="AE1060" s="3"/>
      <c r="AF1060" s="11">
        <f t="shared" si="233"/>
        <v>11916</v>
      </c>
      <c r="AG1060" s="11">
        <f t="shared" si="234"/>
        <v>0.80421282309499831</v>
      </c>
      <c r="AH1060" s="11" t="str">
        <f t="shared" si="235"/>
        <v/>
      </c>
      <c r="AI1060" s="3" t="s">
        <v>45</v>
      </c>
      <c r="AJ1060" s="3" t="s">
        <v>79</v>
      </c>
      <c r="AK1060" s="3" t="s">
        <v>46</v>
      </c>
      <c r="AL1060" s="3" t="s">
        <v>81</v>
      </c>
      <c r="AM1060" s="3" t="s">
        <v>82</v>
      </c>
    </row>
    <row r="1061" spans="1:39" ht="21" customHeight="1">
      <c r="A1061" s="4">
        <v>43469</v>
      </c>
      <c r="B1061" s="3" t="s">
        <v>78</v>
      </c>
      <c r="C1061" s="3" t="s">
        <v>79</v>
      </c>
      <c r="D1061" s="4">
        <v>43159</v>
      </c>
      <c r="E1061" s="3">
        <f t="shared" si="220"/>
        <v>310</v>
      </c>
      <c r="F1061" s="3" t="str">
        <f t="shared" si="221"/>
        <v>개봉후</v>
      </c>
      <c r="G1061" s="3" t="str">
        <f t="shared" si="222"/>
        <v>금</v>
      </c>
      <c r="H1061" s="3">
        <f t="shared" si="223"/>
        <v>0</v>
      </c>
      <c r="I1061" s="3">
        <v>19246</v>
      </c>
      <c r="J1061" s="3">
        <v>10650</v>
      </c>
      <c r="K1061" s="3">
        <v>8596</v>
      </c>
      <c r="L1061" s="12">
        <f t="shared" si="224"/>
        <v>0.55336173750389694</v>
      </c>
      <c r="M1061" s="12">
        <f t="shared" si="225"/>
        <v>6.7739251040221937E-2</v>
      </c>
      <c r="N1061" s="11">
        <f t="shared" si="227"/>
        <v>23922.571428571428</v>
      </c>
      <c r="O1061" s="11">
        <f t="shared" si="229"/>
        <v>23084.5</v>
      </c>
      <c r="P1061" s="11">
        <f t="shared" si="230"/>
        <v>0.83371959539951046</v>
      </c>
      <c r="Q1061" s="7"/>
      <c r="R1061" s="7"/>
      <c r="S1061" s="7"/>
      <c r="T1061" s="7"/>
      <c r="U1061" s="7"/>
      <c r="V1061" s="7"/>
      <c r="W1061" s="7"/>
      <c r="X1061" s="3" t="s">
        <v>89</v>
      </c>
      <c r="Y1061" s="3"/>
      <c r="Z1061" s="9"/>
      <c r="AA1061" s="12" t="str">
        <f t="shared" si="226"/>
        <v/>
      </c>
      <c r="AB1061" s="9" t="str">
        <f t="shared" si="228"/>
        <v/>
      </c>
      <c r="AC1061" s="9" t="str">
        <f t="shared" si="231"/>
        <v/>
      </c>
      <c r="AD1061" s="9" t="str">
        <f t="shared" si="232"/>
        <v/>
      </c>
      <c r="AE1061" s="3"/>
      <c r="AF1061" s="11">
        <f t="shared" si="233"/>
        <v>12697</v>
      </c>
      <c r="AG1061" s="11">
        <f t="shared" si="234"/>
        <v>0.83878081436559815</v>
      </c>
      <c r="AH1061" s="11" t="str">
        <f t="shared" si="235"/>
        <v/>
      </c>
      <c r="AI1061" s="3" t="s">
        <v>45</v>
      </c>
      <c r="AJ1061" s="3" t="s">
        <v>79</v>
      </c>
      <c r="AK1061" s="3" t="s">
        <v>46</v>
      </c>
      <c r="AL1061" s="3" t="s">
        <v>81</v>
      </c>
      <c r="AM1061" s="3" t="s">
        <v>82</v>
      </c>
    </row>
    <row r="1062" spans="1:39" ht="21" customHeight="1">
      <c r="A1062" s="4">
        <v>43470</v>
      </c>
      <c r="B1062" s="3" t="s">
        <v>78</v>
      </c>
      <c r="C1062" s="3" t="s">
        <v>79</v>
      </c>
      <c r="D1062" s="4">
        <v>43159</v>
      </c>
      <c r="E1062" s="3">
        <f t="shared" si="220"/>
        <v>311</v>
      </c>
      <c r="F1062" s="3" t="str">
        <f t="shared" si="221"/>
        <v>개봉후</v>
      </c>
      <c r="G1062" s="3" t="str">
        <f t="shared" si="222"/>
        <v>토</v>
      </c>
      <c r="H1062" s="3">
        <f t="shared" si="223"/>
        <v>1</v>
      </c>
      <c r="I1062" s="3">
        <v>22628</v>
      </c>
      <c r="J1062" s="3">
        <v>15452</v>
      </c>
      <c r="K1062" s="3">
        <v>7175</v>
      </c>
      <c r="L1062" s="12">
        <f t="shared" si="224"/>
        <v>0.68287077956514053</v>
      </c>
      <c r="M1062" s="12">
        <f t="shared" si="225"/>
        <v>0.17572482593785721</v>
      </c>
      <c r="N1062" s="11">
        <f t="shared" si="227"/>
        <v>22650.142857142859</v>
      </c>
      <c r="O1062" s="11">
        <f t="shared" si="229"/>
        <v>23082.857142857141</v>
      </c>
      <c r="P1062" s="11">
        <f t="shared" si="230"/>
        <v>0.98029459091471727</v>
      </c>
      <c r="Q1062" s="7"/>
      <c r="R1062" s="7"/>
      <c r="S1062" s="7"/>
      <c r="T1062" s="7"/>
      <c r="U1062" s="7"/>
      <c r="V1062" s="7"/>
      <c r="W1062" s="7"/>
      <c r="X1062" s="3" t="s">
        <v>89</v>
      </c>
      <c r="Y1062" s="3"/>
      <c r="Z1062" s="9"/>
      <c r="AA1062" s="12" t="str">
        <f t="shared" si="226"/>
        <v/>
      </c>
      <c r="AB1062" s="9" t="str">
        <f t="shared" si="228"/>
        <v/>
      </c>
      <c r="AC1062" s="9" t="str">
        <f t="shared" si="231"/>
        <v/>
      </c>
      <c r="AD1062" s="9" t="str">
        <f t="shared" si="232"/>
        <v/>
      </c>
      <c r="AE1062" s="3"/>
      <c r="AF1062" s="11">
        <f t="shared" si="233"/>
        <v>20866</v>
      </c>
      <c r="AG1062" s="11">
        <f t="shared" si="234"/>
        <v>0.74053484136873382</v>
      </c>
      <c r="AH1062" s="11" t="str">
        <f t="shared" si="235"/>
        <v/>
      </c>
      <c r="AI1062" s="3" t="s">
        <v>45</v>
      </c>
      <c r="AJ1062" s="3" t="s">
        <v>79</v>
      </c>
      <c r="AK1062" s="3" t="s">
        <v>46</v>
      </c>
      <c r="AL1062" s="3" t="s">
        <v>81</v>
      </c>
      <c r="AM1062" s="3" t="s">
        <v>82</v>
      </c>
    </row>
    <row r="1063" spans="1:39" ht="21" customHeight="1">
      <c r="A1063" s="4">
        <v>43471</v>
      </c>
      <c r="B1063" s="3" t="s">
        <v>78</v>
      </c>
      <c r="C1063" s="3" t="s">
        <v>79</v>
      </c>
      <c r="D1063" s="4">
        <v>43159</v>
      </c>
      <c r="E1063" s="3">
        <f t="shared" si="220"/>
        <v>312</v>
      </c>
      <c r="F1063" s="3" t="str">
        <f t="shared" si="221"/>
        <v>개봉후</v>
      </c>
      <c r="G1063" s="3" t="str">
        <f t="shared" si="222"/>
        <v>일</v>
      </c>
      <c r="H1063" s="3">
        <f t="shared" si="223"/>
        <v>1</v>
      </c>
      <c r="I1063" s="3">
        <v>24423</v>
      </c>
      <c r="J1063" s="3">
        <v>17927</v>
      </c>
      <c r="K1063" s="3">
        <v>6496</v>
      </c>
      <c r="L1063" s="12">
        <f t="shared" si="224"/>
        <v>0.73402120951562055</v>
      </c>
      <c r="M1063" s="12">
        <f t="shared" si="225"/>
        <v>7.9326498143892588E-2</v>
      </c>
      <c r="N1063" s="11">
        <f t="shared" si="227"/>
        <v>22408.571428571428</v>
      </c>
      <c r="O1063" s="11">
        <f t="shared" si="229"/>
        <v>23031.857142857141</v>
      </c>
      <c r="P1063" s="11">
        <f t="shared" si="230"/>
        <v>1.0604008112986361</v>
      </c>
      <c r="Q1063" s="7"/>
      <c r="R1063" s="7"/>
      <c r="S1063" s="7"/>
      <c r="T1063" s="7"/>
      <c r="U1063" s="7"/>
      <c r="V1063" s="7"/>
      <c r="W1063" s="7"/>
      <c r="X1063" s="3" t="s">
        <v>89</v>
      </c>
      <c r="Y1063" s="3"/>
      <c r="Z1063" s="9"/>
      <c r="AA1063" s="12" t="str">
        <f t="shared" si="226"/>
        <v/>
      </c>
      <c r="AB1063" s="9" t="str">
        <f t="shared" si="228"/>
        <v/>
      </c>
      <c r="AC1063" s="9" t="str">
        <f t="shared" si="231"/>
        <v/>
      </c>
      <c r="AD1063" s="9" t="str">
        <f t="shared" si="232"/>
        <v/>
      </c>
      <c r="AE1063" s="3"/>
      <c r="AF1063" s="11">
        <f t="shared" si="233"/>
        <v>20630.75</v>
      </c>
      <c r="AG1063" s="11">
        <f t="shared" si="234"/>
        <v>0.86894562727966751</v>
      </c>
      <c r="AH1063" s="11" t="str">
        <f t="shared" si="235"/>
        <v/>
      </c>
      <c r="AI1063" s="3" t="s">
        <v>45</v>
      </c>
      <c r="AJ1063" s="3" t="s">
        <v>79</v>
      </c>
      <c r="AK1063" s="3" t="s">
        <v>46</v>
      </c>
      <c r="AL1063" s="3" t="s">
        <v>81</v>
      </c>
      <c r="AM1063" s="3" t="s">
        <v>82</v>
      </c>
    </row>
    <row r="1064" spans="1:39" ht="21" customHeight="1">
      <c r="A1064" s="4">
        <v>43472</v>
      </c>
      <c r="B1064" s="3" t="s">
        <v>78</v>
      </c>
      <c r="C1064" s="3" t="s">
        <v>79</v>
      </c>
      <c r="D1064" s="4">
        <v>43159</v>
      </c>
      <c r="E1064" s="3">
        <f t="shared" si="220"/>
        <v>313</v>
      </c>
      <c r="F1064" s="3" t="str">
        <f t="shared" si="221"/>
        <v>개봉후</v>
      </c>
      <c r="G1064" s="3" t="str">
        <f t="shared" si="222"/>
        <v>월</v>
      </c>
      <c r="H1064" s="3">
        <f t="shared" si="223"/>
        <v>0</v>
      </c>
      <c r="I1064" s="3">
        <v>17818</v>
      </c>
      <c r="J1064" s="3">
        <v>9177</v>
      </c>
      <c r="K1064" s="3">
        <v>8642</v>
      </c>
      <c r="L1064" s="12">
        <f t="shared" si="224"/>
        <v>0.51504096980581437</v>
      </c>
      <c r="M1064" s="12">
        <f t="shared" si="225"/>
        <v>-0.27044179666707613</v>
      </c>
      <c r="N1064" s="11">
        <f t="shared" si="227"/>
        <v>21178.571428571428</v>
      </c>
      <c r="O1064" s="11">
        <f t="shared" si="229"/>
        <v>23037.857142857141</v>
      </c>
      <c r="P1064" s="11">
        <f t="shared" si="230"/>
        <v>0.77342262735249434</v>
      </c>
      <c r="Q1064" s="7"/>
      <c r="R1064" s="7"/>
      <c r="S1064" s="7"/>
      <c r="T1064" s="7"/>
      <c r="U1064" s="7"/>
      <c r="V1064" s="7"/>
      <c r="W1064" s="7"/>
      <c r="X1064" s="3" t="s">
        <v>89</v>
      </c>
      <c r="Y1064" s="3"/>
      <c r="Z1064" s="9"/>
      <c r="AA1064" s="12" t="str">
        <f t="shared" si="226"/>
        <v/>
      </c>
      <c r="AB1064" s="9" t="str">
        <f t="shared" si="228"/>
        <v/>
      </c>
      <c r="AC1064" s="9" t="str">
        <f t="shared" si="231"/>
        <v/>
      </c>
      <c r="AD1064" s="9" t="str">
        <f t="shared" si="232"/>
        <v/>
      </c>
      <c r="AE1064" s="3"/>
      <c r="AF1064" s="11">
        <f t="shared" si="233"/>
        <v>13363</v>
      </c>
      <c r="AG1064" s="11">
        <f t="shared" si="234"/>
        <v>0.68674698795180722</v>
      </c>
      <c r="AH1064" s="11" t="str">
        <f t="shared" si="235"/>
        <v/>
      </c>
      <c r="AI1064" s="3" t="s">
        <v>45</v>
      </c>
      <c r="AJ1064" s="3" t="s">
        <v>79</v>
      </c>
      <c r="AK1064" s="3" t="s">
        <v>46</v>
      </c>
      <c r="AL1064" s="3" t="s">
        <v>81</v>
      </c>
      <c r="AM1064" s="3" t="s">
        <v>82</v>
      </c>
    </row>
    <row r="1065" spans="1:39" ht="21" customHeight="1">
      <c r="A1065" s="4">
        <v>43473</v>
      </c>
      <c r="B1065" s="3" t="s">
        <v>78</v>
      </c>
      <c r="C1065" s="3" t="s">
        <v>79</v>
      </c>
      <c r="D1065" s="4">
        <v>43159</v>
      </c>
      <c r="E1065" s="3">
        <f t="shared" si="220"/>
        <v>314</v>
      </c>
      <c r="F1065" s="3" t="str">
        <f t="shared" si="221"/>
        <v>개봉후</v>
      </c>
      <c r="G1065" s="3" t="str">
        <f t="shared" si="222"/>
        <v>화</v>
      </c>
      <c r="H1065" s="3">
        <f t="shared" si="223"/>
        <v>0</v>
      </c>
      <c r="I1065" s="3">
        <v>21896</v>
      </c>
      <c r="J1065" s="3">
        <v>13202</v>
      </c>
      <c r="K1065" s="3">
        <v>8694</v>
      </c>
      <c r="L1065" s="12">
        <f t="shared" si="224"/>
        <v>0.6029411764705882</v>
      </c>
      <c r="M1065" s="12">
        <f t="shared" si="225"/>
        <v>0.22886968234369731</v>
      </c>
      <c r="N1065" s="11">
        <f t="shared" si="227"/>
        <v>20234</v>
      </c>
      <c r="O1065" s="11">
        <f t="shared" si="229"/>
        <v>23046.964285714286</v>
      </c>
      <c r="P1065" s="11">
        <f t="shared" si="230"/>
        <v>0.95006004819351786</v>
      </c>
      <c r="Q1065" s="7"/>
      <c r="R1065" s="7"/>
      <c r="S1065" s="7"/>
      <c r="T1065" s="7"/>
      <c r="U1065" s="7"/>
      <c r="V1065" s="7"/>
      <c r="W1065" s="7"/>
      <c r="X1065" s="3" t="s">
        <v>89</v>
      </c>
      <c r="Y1065" s="3"/>
      <c r="Z1065" s="9"/>
      <c r="AA1065" s="12" t="str">
        <f t="shared" si="226"/>
        <v/>
      </c>
      <c r="AB1065" s="9" t="str">
        <f t="shared" si="228"/>
        <v/>
      </c>
      <c r="AC1065" s="9" t="str">
        <f t="shared" si="231"/>
        <v/>
      </c>
      <c r="AD1065" s="9" t="str">
        <f t="shared" si="232"/>
        <v/>
      </c>
      <c r="AE1065" s="3"/>
      <c r="AF1065" s="11">
        <f t="shared" si="233"/>
        <v>14117.25</v>
      </c>
      <c r="AG1065" s="11">
        <f t="shared" si="234"/>
        <v>0.9351679682657742</v>
      </c>
      <c r="AH1065" s="11" t="str">
        <f t="shared" si="235"/>
        <v/>
      </c>
      <c r="AI1065" s="3" t="s">
        <v>45</v>
      </c>
      <c r="AJ1065" s="3" t="s">
        <v>79</v>
      </c>
      <c r="AK1065" s="3" t="s">
        <v>46</v>
      </c>
      <c r="AL1065" s="3" t="s">
        <v>81</v>
      </c>
      <c r="AM1065" s="3" t="s">
        <v>82</v>
      </c>
    </row>
    <row r="1066" spans="1:39" ht="21" customHeight="1">
      <c r="A1066" s="4">
        <v>43474</v>
      </c>
      <c r="B1066" s="3" t="s">
        <v>78</v>
      </c>
      <c r="C1066" s="3" t="s">
        <v>79</v>
      </c>
      <c r="D1066" s="4">
        <v>43159</v>
      </c>
      <c r="E1066" s="3">
        <f t="shared" si="220"/>
        <v>315</v>
      </c>
      <c r="F1066" s="3" t="str">
        <f t="shared" si="221"/>
        <v>개봉후</v>
      </c>
      <c r="G1066" s="3" t="str">
        <f t="shared" si="222"/>
        <v>수</v>
      </c>
      <c r="H1066" s="3">
        <f t="shared" si="223"/>
        <v>0</v>
      </c>
      <c r="I1066" s="3">
        <v>17920</v>
      </c>
      <c r="J1066" s="3">
        <v>9272</v>
      </c>
      <c r="K1066" s="3">
        <v>8648</v>
      </c>
      <c r="L1066" s="12">
        <f t="shared" si="224"/>
        <v>0.51741071428571428</v>
      </c>
      <c r="M1066" s="12">
        <f t="shared" si="225"/>
        <v>-0.18158567774936063</v>
      </c>
      <c r="N1066" s="11">
        <f t="shared" si="227"/>
        <v>20279.428571428572</v>
      </c>
      <c r="O1066" s="11">
        <f t="shared" si="229"/>
        <v>23291.214285714286</v>
      </c>
      <c r="P1066" s="11">
        <f t="shared" si="230"/>
        <v>0.76938882533880038</v>
      </c>
      <c r="Q1066" s="7"/>
      <c r="R1066" s="7"/>
      <c r="S1066" s="7"/>
      <c r="T1066" s="7"/>
      <c r="U1066" s="7"/>
      <c r="V1066" s="7"/>
      <c r="W1066" s="7"/>
      <c r="X1066" s="3" t="s">
        <v>89</v>
      </c>
      <c r="Y1066" s="3"/>
      <c r="Z1066" s="9"/>
      <c r="AA1066" s="12" t="str">
        <f t="shared" si="226"/>
        <v/>
      </c>
      <c r="AB1066" s="9" t="str">
        <f t="shared" si="228"/>
        <v/>
      </c>
      <c r="AC1066" s="9" t="str">
        <f t="shared" si="231"/>
        <v/>
      </c>
      <c r="AD1066" s="9" t="str">
        <f t="shared" si="232"/>
        <v/>
      </c>
      <c r="AE1066" s="3"/>
      <c r="AF1066" s="11">
        <f t="shared" si="233"/>
        <v>12074.5</v>
      </c>
      <c r="AG1066" s="11">
        <f t="shared" si="234"/>
        <v>0.76789929189614481</v>
      </c>
      <c r="AH1066" s="11" t="str">
        <f t="shared" si="235"/>
        <v/>
      </c>
      <c r="AI1066" s="3" t="s">
        <v>45</v>
      </c>
      <c r="AJ1066" s="3" t="s">
        <v>79</v>
      </c>
      <c r="AK1066" s="3" t="s">
        <v>46</v>
      </c>
      <c r="AL1066" s="3" t="s">
        <v>81</v>
      </c>
      <c r="AM1066" s="3" t="s">
        <v>82</v>
      </c>
    </row>
    <row r="1067" spans="1:39" ht="21" customHeight="1">
      <c r="A1067" s="4">
        <v>43475</v>
      </c>
      <c r="B1067" s="3" t="s">
        <v>78</v>
      </c>
      <c r="C1067" s="3" t="s">
        <v>79</v>
      </c>
      <c r="D1067" s="4">
        <v>43159</v>
      </c>
      <c r="E1067" s="3">
        <f t="shared" si="220"/>
        <v>316</v>
      </c>
      <c r="F1067" s="3" t="str">
        <f t="shared" si="221"/>
        <v>개봉후</v>
      </c>
      <c r="G1067" s="3" t="str">
        <f t="shared" si="222"/>
        <v>목</v>
      </c>
      <c r="H1067" s="3">
        <f t="shared" si="223"/>
        <v>0</v>
      </c>
      <c r="I1067" s="3">
        <v>22046</v>
      </c>
      <c r="J1067" s="3">
        <v>13612</v>
      </c>
      <c r="K1067" s="3">
        <v>8435</v>
      </c>
      <c r="L1067" s="12">
        <f t="shared" si="224"/>
        <v>0.6174362696180713</v>
      </c>
      <c r="M1067" s="12">
        <f t="shared" si="225"/>
        <v>0.23024553571428563</v>
      </c>
      <c r="N1067" s="11">
        <f t="shared" si="227"/>
        <v>20853.857142857141</v>
      </c>
      <c r="O1067" s="11">
        <f t="shared" si="229"/>
        <v>23217.571428571428</v>
      </c>
      <c r="P1067" s="11">
        <f t="shared" si="230"/>
        <v>0.94953944980095129</v>
      </c>
      <c r="Q1067" s="7"/>
      <c r="R1067" s="7"/>
      <c r="S1067" s="7"/>
      <c r="T1067" s="7"/>
      <c r="U1067" s="7"/>
      <c r="V1067" s="7"/>
      <c r="W1067" s="7"/>
      <c r="X1067" s="3" t="s">
        <v>89</v>
      </c>
      <c r="Y1067" s="3"/>
      <c r="Z1067" s="9"/>
      <c r="AA1067" s="12" t="str">
        <f t="shared" si="226"/>
        <v/>
      </c>
      <c r="AB1067" s="9" t="str">
        <f t="shared" si="228"/>
        <v/>
      </c>
      <c r="AC1067" s="9" t="str">
        <f t="shared" si="231"/>
        <v/>
      </c>
      <c r="AD1067" s="9" t="str">
        <f t="shared" si="232"/>
        <v/>
      </c>
      <c r="AE1067" s="3"/>
      <c r="AF1067" s="11">
        <f t="shared" si="233"/>
        <v>11811.75</v>
      </c>
      <c r="AG1067" s="11">
        <f t="shared" si="234"/>
        <v>1.1524117933413762</v>
      </c>
      <c r="AH1067" s="11" t="str">
        <f t="shared" si="235"/>
        <v/>
      </c>
      <c r="AI1067" s="3" t="s">
        <v>45</v>
      </c>
      <c r="AJ1067" s="3" t="s">
        <v>79</v>
      </c>
      <c r="AK1067" s="3" t="s">
        <v>46</v>
      </c>
      <c r="AL1067" s="3" t="s">
        <v>81</v>
      </c>
      <c r="AM1067" s="3" t="s">
        <v>82</v>
      </c>
    </row>
    <row r="1068" spans="1:39" ht="21" customHeight="1">
      <c r="A1068" s="4">
        <v>43476</v>
      </c>
      <c r="B1068" s="3" t="s">
        <v>78</v>
      </c>
      <c r="C1068" s="3" t="s">
        <v>79</v>
      </c>
      <c r="D1068" s="4">
        <v>43159</v>
      </c>
      <c r="E1068" s="3">
        <f t="shared" si="220"/>
        <v>317</v>
      </c>
      <c r="F1068" s="3" t="str">
        <f t="shared" si="221"/>
        <v>개봉후</v>
      </c>
      <c r="G1068" s="3" t="str">
        <f t="shared" si="222"/>
        <v>금</v>
      </c>
      <c r="H1068" s="3">
        <f t="shared" si="223"/>
        <v>0</v>
      </c>
      <c r="I1068" s="3">
        <v>20594</v>
      </c>
      <c r="J1068" s="3">
        <v>12036</v>
      </c>
      <c r="K1068" s="3">
        <v>8558</v>
      </c>
      <c r="L1068" s="12">
        <f t="shared" si="224"/>
        <v>0.58444207050597263</v>
      </c>
      <c r="M1068" s="12">
        <f t="shared" si="225"/>
        <v>-6.5862287943391107E-2</v>
      </c>
      <c r="N1068" s="11">
        <f t="shared" si="227"/>
        <v>21046.428571428572</v>
      </c>
      <c r="O1068" s="11">
        <f t="shared" si="229"/>
        <v>23203.285714285714</v>
      </c>
      <c r="P1068" s="11">
        <f t="shared" si="230"/>
        <v>0.88754671444315159</v>
      </c>
      <c r="Q1068" s="7"/>
      <c r="R1068" s="7"/>
      <c r="S1068" s="7"/>
      <c r="T1068" s="7"/>
      <c r="U1068" s="7"/>
      <c r="V1068" s="7"/>
      <c r="W1068" s="7"/>
      <c r="X1068" s="3" t="s">
        <v>89</v>
      </c>
      <c r="Y1068" s="3"/>
      <c r="Z1068" s="9"/>
      <c r="AA1068" s="12" t="str">
        <f t="shared" si="226"/>
        <v/>
      </c>
      <c r="AB1068" s="9" t="str">
        <f t="shared" si="228"/>
        <v/>
      </c>
      <c r="AC1068" s="9" t="str">
        <f t="shared" si="231"/>
        <v/>
      </c>
      <c r="AD1068" s="9" t="str">
        <f t="shared" si="232"/>
        <v/>
      </c>
      <c r="AE1068" s="3"/>
      <c r="AF1068" s="11">
        <f t="shared" si="233"/>
        <v>12647</v>
      </c>
      <c r="AG1068" s="11">
        <f t="shared" si="234"/>
        <v>0.95168814738673202</v>
      </c>
      <c r="AH1068" s="11" t="str">
        <f t="shared" si="235"/>
        <v/>
      </c>
      <c r="AI1068" s="3" t="s">
        <v>45</v>
      </c>
      <c r="AJ1068" s="3" t="s">
        <v>79</v>
      </c>
      <c r="AK1068" s="3" t="s">
        <v>46</v>
      </c>
      <c r="AL1068" s="3" t="s">
        <v>81</v>
      </c>
      <c r="AM1068" s="3" t="s">
        <v>82</v>
      </c>
    </row>
    <row r="1069" spans="1:39" ht="21" customHeight="1">
      <c r="A1069" s="4">
        <v>43477</v>
      </c>
      <c r="B1069" s="3" t="s">
        <v>78</v>
      </c>
      <c r="C1069" s="3" t="s">
        <v>79</v>
      </c>
      <c r="D1069" s="4">
        <v>43159</v>
      </c>
      <c r="E1069" s="3">
        <f t="shared" si="220"/>
        <v>318</v>
      </c>
      <c r="F1069" s="3" t="str">
        <f t="shared" si="221"/>
        <v>개봉후</v>
      </c>
      <c r="G1069" s="3" t="str">
        <f t="shared" si="222"/>
        <v>토</v>
      </c>
      <c r="H1069" s="3">
        <f t="shared" si="223"/>
        <v>1</v>
      </c>
      <c r="I1069" s="3">
        <v>30471</v>
      </c>
      <c r="J1069" s="3">
        <v>23905</v>
      </c>
      <c r="K1069" s="3">
        <v>6566</v>
      </c>
      <c r="L1069" s="12">
        <f t="shared" si="224"/>
        <v>0.78451642545371003</v>
      </c>
      <c r="M1069" s="12">
        <f t="shared" si="225"/>
        <v>0.47960571040108779</v>
      </c>
      <c r="N1069" s="11">
        <f t="shared" si="227"/>
        <v>22166.857142857141</v>
      </c>
      <c r="O1069" s="11">
        <f t="shared" si="229"/>
        <v>23058.535714285714</v>
      </c>
      <c r="P1069" s="11">
        <f t="shared" si="230"/>
        <v>1.3214629227788284</v>
      </c>
      <c r="Q1069" s="7"/>
      <c r="R1069" s="7"/>
      <c r="S1069" s="7"/>
      <c r="T1069" s="7"/>
      <c r="U1069" s="7"/>
      <c r="V1069" s="7"/>
      <c r="W1069" s="7"/>
      <c r="X1069" s="3" t="s">
        <v>89</v>
      </c>
      <c r="Y1069" s="3"/>
      <c r="Z1069" s="9"/>
      <c r="AA1069" s="12" t="str">
        <f t="shared" si="226"/>
        <v/>
      </c>
      <c r="AB1069" s="9" t="str">
        <f t="shared" si="228"/>
        <v/>
      </c>
      <c r="AC1069" s="9" t="str">
        <f t="shared" si="231"/>
        <v/>
      </c>
      <c r="AD1069" s="9" t="str">
        <f t="shared" si="232"/>
        <v/>
      </c>
      <c r="AE1069" s="3"/>
      <c r="AF1069" s="11">
        <f t="shared" si="233"/>
        <v>20537.75</v>
      </c>
      <c r="AG1069" s="11">
        <f t="shared" si="234"/>
        <v>1.1639541819332693</v>
      </c>
      <c r="AH1069" s="11" t="str">
        <f t="shared" si="235"/>
        <v/>
      </c>
      <c r="AI1069" s="3" t="s">
        <v>45</v>
      </c>
      <c r="AJ1069" s="3" t="s">
        <v>79</v>
      </c>
      <c r="AK1069" s="3" t="s">
        <v>46</v>
      </c>
      <c r="AL1069" s="3" t="s">
        <v>81</v>
      </c>
      <c r="AM1069" s="3" t="s">
        <v>82</v>
      </c>
    </row>
    <row r="1070" spans="1:39" ht="21" customHeight="1">
      <c r="A1070" s="4">
        <v>43478</v>
      </c>
      <c r="B1070" s="3" t="s">
        <v>78</v>
      </c>
      <c r="C1070" s="3" t="s">
        <v>79</v>
      </c>
      <c r="D1070" s="4">
        <v>43159</v>
      </c>
      <c r="E1070" s="3">
        <f t="shared" si="220"/>
        <v>319</v>
      </c>
      <c r="F1070" s="3" t="str">
        <f t="shared" si="221"/>
        <v>개봉후</v>
      </c>
      <c r="G1070" s="3" t="str">
        <f t="shared" si="222"/>
        <v>일</v>
      </c>
      <c r="H1070" s="3">
        <f t="shared" si="223"/>
        <v>1</v>
      </c>
      <c r="I1070" s="3">
        <v>29284</v>
      </c>
      <c r="J1070" s="3">
        <v>22334</v>
      </c>
      <c r="K1070" s="3">
        <v>6951</v>
      </c>
      <c r="L1070" s="12">
        <f t="shared" si="224"/>
        <v>0.76266903428493371</v>
      </c>
      <c r="M1070" s="12">
        <f t="shared" si="225"/>
        <v>-3.8955072035706029E-2</v>
      </c>
      <c r="N1070" s="11">
        <f t="shared" si="227"/>
        <v>22861.285714285714</v>
      </c>
      <c r="O1070" s="11">
        <f t="shared" si="229"/>
        <v>23052.928571428572</v>
      </c>
      <c r="P1070" s="11">
        <f t="shared" si="230"/>
        <v>1.2702941367846043</v>
      </c>
      <c r="Q1070" s="7"/>
      <c r="R1070" s="7"/>
      <c r="S1070" s="7"/>
      <c r="T1070" s="7"/>
      <c r="U1070" s="7"/>
      <c r="V1070" s="7"/>
      <c r="W1070" s="7"/>
      <c r="X1070" s="3" t="s">
        <v>89</v>
      </c>
      <c r="Y1070" s="3"/>
      <c r="Z1070" s="9"/>
      <c r="AA1070" s="12" t="str">
        <f t="shared" si="226"/>
        <v/>
      </c>
      <c r="AB1070" s="9" t="str">
        <f t="shared" si="228"/>
        <v/>
      </c>
      <c r="AC1070" s="9" t="str">
        <f t="shared" si="231"/>
        <v/>
      </c>
      <c r="AD1070" s="9" t="str">
        <f t="shared" si="232"/>
        <v/>
      </c>
      <c r="AE1070" s="3"/>
      <c r="AF1070" s="11">
        <f t="shared" si="233"/>
        <v>20742.75</v>
      </c>
      <c r="AG1070" s="11">
        <f t="shared" si="234"/>
        <v>1.0767135505176508</v>
      </c>
      <c r="AH1070" s="11" t="str">
        <f t="shared" si="235"/>
        <v/>
      </c>
      <c r="AI1070" s="3" t="s">
        <v>45</v>
      </c>
      <c r="AJ1070" s="3" t="s">
        <v>79</v>
      </c>
      <c r="AK1070" s="3" t="s">
        <v>46</v>
      </c>
      <c r="AL1070" s="3" t="s">
        <v>81</v>
      </c>
      <c r="AM1070" s="3" t="s">
        <v>82</v>
      </c>
    </row>
    <row r="1071" spans="1:39" ht="21" customHeight="1">
      <c r="A1071" s="4">
        <v>43479</v>
      </c>
      <c r="B1071" s="3" t="s">
        <v>78</v>
      </c>
      <c r="C1071" s="3" t="s">
        <v>79</v>
      </c>
      <c r="D1071" s="4">
        <v>43159</v>
      </c>
      <c r="E1071" s="3">
        <f t="shared" si="220"/>
        <v>320</v>
      </c>
      <c r="F1071" s="3" t="str">
        <f t="shared" si="221"/>
        <v>개봉후</v>
      </c>
      <c r="G1071" s="3" t="str">
        <f t="shared" si="222"/>
        <v>월</v>
      </c>
      <c r="H1071" s="3">
        <f t="shared" si="223"/>
        <v>0</v>
      </c>
      <c r="I1071" s="3">
        <v>19082</v>
      </c>
      <c r="J1071" s="3">
        <v>10350</v>
      </c>
      <c r="K1071" s="3">
        <v>8732</v>
      </c>
      <c r="L1071" s="12">
        <f t="shared" si="224"/>
        <v>0.54239597526464733</v>
      </c>
      <c r="M1071" s="12">
        <f t="shared" si="225"/>
        <v>-0.34838136866548286</v>
      </c>
      <c r="N1071" s="11">
        <f t="shared" si="227"/>
        <v>23041.857142857141</v>
      </c>
      <c r="O1071" s="11">
        <f t="shared" si="229"/>
        <v>23297.285714285714</v>
      </c>
      <c r="P1071" s="11">
        <f t="shared" si="230"/>
        <v>0.81906537242229327</v>
      </c>
      <c r="Q1071" s="7"/>
      <c r="R1071" s="7"/>
      <c r="S1071" s="7"/>
      <c r="T1071" s="7"/>
      <c r="U1071" s="7"/>
      <c r="V1071" s="7"/>
      <c r="W1071" s="7"/>
      <c r="X1071" s="3" t="s">
        <v>89</v>
      </c>
      <c r="Y1071" s="3"/>
      <c r="Z1071" s="9"/>
      <c r="AA1071" s="12" t="str">
        <f t="shared" si="226"/>
        <v/>
      </c>
      <c r="AB1071" s="9" t="str">
        <f t="shared" si="228"/>
        <v/>
      </c>
      <c r="AC1071" s="9" t="str">
        <f t="shared" si="231"/>
        <v/>
      </c>
      <c r="AD1071" s="9" t="str">
        <f t="shared" si="232"/>
        <v/>
      </c>
      <c r="AE1071" s="3"/>
      <c r="AF1071" s="11">
        <f t="shared" si="233"/>
        <v>13464.5</v>
      </c>
      <c r="AG1071" s="11">
        <f t="shared" si="234"/>
        <v>0.76868803149021503</v>
      </c>
      <c r="AH1071" s="11" t="str">
        <f t="shared" si="235"/>
        <v/>
      </c>
      <c r="AI1071" s="3" t="s">
        <v>45</v>
      </c>
      <c r="AJ1071" s="3" t="s">
        <v>79</v>
      </c>
      <c r="AK1071" s="3" t="s">
        <v>46</v>
      </c>
      <c r="AL1071" s="3" t="s">
        <v>81</v>
      </c>
      <c r="AM1071" s="3" t="s">
        <v>82</v>
      </c>
    </row>
    <row r="1072" spans="1:39" ht="21" customHeight="1">
      <c r="A1072" s="4">
        <v>43480</v>
      </c>
      <c r="B1072" s="3" t="s">
        <v>78</v>
      </c>
      <c r="C1072" s="3" t="s">
        <v>79</v>
      </c>
      <c r="D1072" s="4">
        <v>43159</v>
      </c>
      <c r="E1072" s="3">
        <f t="shared" si="220"/>
        <v>321</v>
      </c>
      <c r="F1072" s="3" t="str">
        <f t="shared" si="221"/>
        <v>개봉후</v>
      </c>
      <c r="G1072" s="3" t="str">
        <f t="shared" si="222"/>
        <v>화</v>
      </c>
      <c r="H1072" s="3">
        <f t="shared" si="223"/>
        <v>0</v>
      </c>
      <c r="I1072" s="3">
        <v>18452</v>
      </c>
      <c r="J1072" s="3">
        <v>9933</v>
      </c>
      <c r="K1072" s="3">
        <v>8519</v>
      </c>
      <c r="L1072" s="12">
        <f t="shared" si="224"/>
        <v>0.5383156297420334</v>
      </c>
      <c r="M1072" s="12">
        <f t="shared" si="225"/>
        <v>-3.301540719002205E-2</v>
      </c>
      <c r="N1072" s="11">
        <f t="shared" si="227"/>
        <v>22549.857142857141</v>
      </c>
      <c r="O1072" s="11">
        <f t="shared" si="229"/>
        <v>23234.142857142859</v>
      </c>
      <c r="P1072" s="11">
        <f t="shared" si="230"/>
        <v>0.79417605863292318</v>
      </c>
      <c r="Q1072" s="7"/>
      <c r="R1072" s="7"/>
      <c r="S1072" s="7"/>
      <c r="T1072" s="7"/>
      <c r="U1072" s="7"/>
      <c r="V1072" s="7"/>
      <c r="W1072" s="7"/>
      <c r="X1072" s="3" t="s">
        <v>89</v>
      </c>
      <c r="Y1072" s="3"/>
      <c r="Z1072" s="9"/>
      <c r="AA1072" s="12" t="str">
        <f t="shared" si="226"/>
        <v/>
      </c>
      <c r="AB1072" s="9" t="str">
        <f t="shared" si="228"/>
        <v/>
      </c>
      <c r="AC1072" s="9" t="str">
        <f t="shared" si="231"/>
        <v/>
      </c>
      <c r="AD1072" s="9" t="str">
        <f t="shared" si="232"/>
        <v/>
      </c>
      <c r="AE1072" s="3"/>
      <c r="AF1072" s="11">
        <f t="shared" si="233"/>
        <v>15557.5</v>
      </c>
      <c r="AG1072" s="11">
        <f t="shared" si="234"/>
        <v>0.63847019122609672</v>
      </c>
      <c r="AH1072" s="11" t="str">
        <f t="shared" si="235"/>
        <v/>
      </c>
      <c r="AI1072" s="3" t="s">
        <v>45</v>
      </c>
      <c r="AJ1072" s="3" t="s">
        <v>79</v>
      </c>
      <c r="AK1072" s="3" t="s">
        <v>46</v>
      </c>
      <c r="AL1072" s="3" t="s">
        <v>81</v>
      </c>
      <c r="AM1072" s="3" t="s">
        <v>82</v>
      </c>
    </row>
    <row r="1073" spans="1:39" ht="21" customHeight="1">
      <c r="A1073" s="4">
        <v>43481</v>
      </c>
      <c r="B1073" s="3" t="s">
        <v>78</v>
      </c>
      <c r="C1073" s="3" t="s">
        <v>79</v>
      </c>
      <c r="D1073" s="4">
        <v>43159</v>
      </c>
      <c r="E1073" s="3">
        <f t="shared" si="220"/>
        <v>322</v>
      </c>
      <c r="F1073" s="3" t="str">
        <f t="shared" si="221"/>
        <v>개봉후</v>
      </c>
      <c r="G1073" s="3" t="str">
        <f t="shared" si="222"/>
        <v>수</v>
      </c>
      <c r="H1073" s="3">
        <f t="shared" si="223"/>
        <v>0</v>
      </c>
      <c r="I1073" s="3">
        <v>18837</v>
      </c>
      <c r="J1073" s="3">
        <v>10342</v>
      </c>
      <c r="K1073" s="3">
        <v>8494</v>
      </c>
      <c r="L1073" s="12">
        <f t="shared" si="224"/>
        <v>0.54902585337367948</v>
      </c>
      <c r="M1073" s="12">
        <f t="shared" si="225"/>
        <v>2.0864946889226132E-2</v>
      </c>
      <c r="N1073" s="11">
        <f t="shared" si="227"/>
        <v>22680.857142857141</v>
      </c>
      <c r="O1073" s="11">
        <f t="shared" si="229"/>
        <v>23089</v>
      </c>
      <c r="P1073" s="11">
        <f t="shared" si="230"/>
        <v>0.81584304214127945</v>
      </c>
      <c r="Q1073" s="7"/>
      <c r="R1073" s="7"/>
      <c r="S1073" s="7"/>
      <c r="T1073" s="7"/>
      <c r="U1073" s="7"/>
      <c r="V1073" s="7"/>
      <c r="W1073" s="7"/>
      <c r="X1073" s="3" t="s">
        <v>89</v>
      </c>
      <c r="Y1073" s="3"/>
      <c r="Z1073" s="9"/>
      <c r="AA1073" s="12" t="str">
        <f t="shared" si="226"/>
        <v/>
      </c>
      <c r="AB1073" s="9" t="str">
        <f t="shared" si="228"/>
        <v/>
      </c>
      <c r="AC1073" s="9" t="str">
        <f t="shared" si="231"/>
        <v/>
      </c>
      <c r="AD1073" s="9" t="str">
        <f t="shared" si="232"/>
        <v/>
      </c>
      <c r="AE1073" s="3"/>
      <c r="AF1073" s="11">
        <f t="shared" si="233"/>
        <v>11442</v>
      </c>
      <c r="AG1073" s="11">
        <f t="shared" si="234"/>
        <v>0.90386296102080055</v>
      </c>
      <c r="AH1073" s="11" t="str">
        <f t="shared" si="235"/>
        <v/>
      </c>
      <c r="AI1073" s="3" t="s">
        <v>45</v>
      </c>
      <c r="AJ1073" s="3" t="s">
        <v>79</v>
      </c>
      <c r="AK1073" s="3" t="s">
        <v>46</v>
      </c>
      <c r="AL1073" s="3" t="s">
        <v>81</v>
      </c>
      <c r="AM1073" s="3" t="s">
        <v>82</v>
      </c>
    </row>
    <row r="1074" spans="1:39" ht="21" customHeight="1">
      <c r="A1074" s="4">
        <v>43482</v>
      </c>
      <c r="B1074" s="3" t="s">
        <v>78</v>
      </c>
      <c r="C1074" s="3" t="s">
        <v>79</v>
      </c>
      <c r="D1074" s="4">
        <v>43159</v>
      </c>
      <c r="E1074" s="3">
        <f t="shared" si="220"/>
        <v>323</v>
      </c>
      <c r="F1074" s="3" t="str">
        <f t="shared" si="221"/>
        <v>개봉후</v>
      </c>
      <c r="G1074" s="3" t="str">
        <f t="shared" si="222"/>
        <v>목</v>
      </c>
      <c r="H1074" s="3">
        <f t="shared" si="223"/>
        <v>0</v>
      </c>
      <c r="I1074" s="3">
        <v>18732</v>
      </c>
      <c r="J1074" s="3">
        <v>10132</v>
      </c>
      <c r="K1074" s="3">
        <v>8600</v>
      </c>
      <c r="L1074" s="12">
        <f t="shared" si="224"/>
        <v>0.54089259021994451</v>
      </c>
      <c r="M1074" s="12">
        <f t="shared" si="225"/>
        <v>-5.5741360089186509E-3</v>
      </c>
      <c r="N1074" s="11">
        <f t="shared" si="227"/>
        <v>22207.428571428572</v>
      </c>
      <c r="O1074" s="11">
        <f t="shared" si="229"/>
        <v>22958</v>
      </c>
      <c r="P1074" s="11">
        <f t="shared" si="230"/>
        <v>0.81592473211952266</v>
      </c>
      <c r="Q1074" s="7"/>
      <c r="R1074" s="7"/>
      <c r="S1074" s="7"/>
      <c r="T1074" s="7"/>
      <c r="U1074" s="7"/>
      <c r="V1074" s="7"/>
      <c r="W1074" s="7"/>
      <c r="X1074" s="3" t="s">
        <v>89</v>
      </c>
      <c r="Y1074" s="3"/>
      <c r="Z1074" s="9"/>
      <c r="AA1074" s="12" t="str">
        <f t="shared" si="226"/>
        <v/>
      </c>
      <c r="AB1074" s="9" t="str">
        <f t="shared" si="228"/>
        <v/>
      </c>
      <c r="AC1074" s="9" t="str">
        <f t="shared" si="231"/>
        <v/>
      </c>
      <c r="AD1074" s="9" t="str">
        <f t="shared" si="232"/>
        <v/>
      </c>
      <c r="AE1074" s="3"/>
      <c r="AF1074" s="11">
        <f t="shared" si="233"/>
        <v>11807.5</v>
      </c>
      <c r="AG1074" s="11">
        <f t="shared" si="234"/>
        <v>0.85809866610205376</v>
      </c>
      <c r="AH1074" s="11" t="str">
        <f t="shared" si="235"/>
        <v/>
      </c>
      <c r="AI1074" s="3" t="s">
        <v>45</v>
      </c>
      <c r="AJ1074" s="3" t="s">
        <v>79</v>
      </c>
      <c r="AK1074" s="3" t="s">
        <v>46</v>
      </c>
      <c r="AL1074" s="3" t="s">
        <v>81</v>
      </c>
      <c r="AM1074" s="3" t="s">
        <v>82</v>
      </c>
    </row>
    <row r="1075" spans="1:39" ht="21" customHeight="1">
      <c r="A1075" s="4">
        <v>43483</v>
      </c>
      <c r="B1075" s="3" t="s">
        <v>78</v>
      </c>
      <c r="C1075" s="3" t="s">
        <v>79</v>
      </c>
      <c r="D1075" s="4">
        <v>43159</v>
      </c>
      <c r="E1075" s="3">
        <f t="shared" si="220"/>
        <v>324</v>
      </c>
      <c r="F1075" s="3" t="str">
        <f t="shared" si="221"/>
        <v>개봉후</v>
      </c>
      <c r="G1075" s="3" t="str">
        <f t="shared" si="222"/>
        <v>금</v>
      </c>
      <c r="H1075" s="3">
        <f t="shared" si="223"/>
        <v>0</v>
      </c>
      <c r="I1075" s="3">
        <v>21794</v>
      </c>
      <c r="J1075" s="3">
        <v>12898</v>
      </c>
      <c r="K1075" s="3">
        <v>8897</v>
      </c>
      <c r="L1075" s="12">
        <f t="shared" si="224"/>
        <v>0.5918142608057263</v>
      </c>
      <c r="M1075" s="12">
        <f t="shared" si="225"/>
        <v>0.1634635917147127</v>
      </c>
      <c r="N1075" s="11">
        <f t="shared" si="227"/>
        <v>22378.857142857141</v>
      </c>
      <c r="O1075" s="11">
        <f t="shared" si="229"/>
        <v>22948.357142857141</v>
      </c>
      <c r="P1075" s="11">
        <f t="shared" si="230"/>
        <v>0.94969761296326849</v>
      </c>
      <c r="Q1075" s="7"/>
      <c r="R1075" s="7"/>
      <c r="S1075" s="7"/>
      <c r="T1075" s="7"/>
      <c r="U1075" s="7"/>
      <c r="V1075" s="7"/>
      <c r="W1075" s="7"/>
      <c r="X1075" s="3" t="s">
        <v>89</v>
      </c>
      <c r="Y1075" s="3"/>
      <c r="Z1075" s="9"/>
      <c r="AA1075" s="12" t="str">
        <f t="shared" si="226"/>
        <v/>
      </c>
      <c r="AB1075" s="9" t="str">
        <f t="shared" si="228"/>
        <v/>
      </c>
      <c r="AC1075" s="9" t="str">
        <f t="shared" si="231"/>
        <v/>
      </c>
      <c r="AD1075" s="9" t="str">
        <f t="shared" si="232"/>
        <v/>
      </c>
      <c r="AE1075" s="3"/>
      <c r="AF1075" s="11">
        <f t="shared" si="233"/>
        <v>11631</v>
      </c>
      <c r="AG1075" s="11">
        <f t="shared" si="234"/>
        <v>1.1089330238156649</v>
      </c>
      <c r="AH1075" s="11" t="str">
        <f t="shared" si="235"/>
        <v/>
      </c>
      <c r="AI1075" s="3" t="s">
        <v>45</v>
      </c>
      <c r="AJ1075" s="3" t="s">
        <v>79</v>
      </c>
      <c r="AK1075" s="3" t="s">
        <v>46</v>
      </c>
      <c r="AL1075" s="3" t="s">
        <v>81</v>
      </c>
      <c r="AM1075" s="3" t="s">
        <v>82</v>
      </c>
    </row>
    <row r="1076" spans="1:39" ht="21" customHeight="1">
      <c r="A1076" s="4">
        <v>43484</v>
      </c>
      <c r="B1076" s="3" t="s">
        <v>78</v>
      </c>
      <c r="C1076" s="3" t="s">
        <v>79</v>
      </c>
      <c r="D1076" s="4">
        <v>43159</v>
      </c>
      <c r="E1076" s="3">
        <f t="shared" si="220"/>
        <v>325</v>
      </c>
      <c r="F1076" s="3" t="str">
        <f t="shared" si="221"/>
        <v>개봉후</v>
      </c>
      <c r="G1076" s="3" t="str">
        <f t="shared" si="222"/>
        <v>토</v>
      </c>
      <c r="H1076" s="3">
        <f t="shared" si="223"/>
        <v>1</v>
      </c>
      <c r="I1076" s="3">
        <v>26652</v>
      </c>
      <c r="J1076" s="3">
        <v>19481</v>
      </c>
      <c r="K1076" s="3">
        <v>7172</v>
      </c>
      <c r="L1076" s="12">
        <f t="shared" si="224"/>
        <v>0.73093951673420376</v>
      </c>
      <c r="M1076" s="12">
        <f t="shared" si="225"/>
        <v>0.22290538680370742</v>
      </c>
      <c r="N1076" s="11">
        <f t="shared" si="227"/>
        <v>21833.285714285714</v>
      </c>
      <c r="O1076" s="11">
        <f t="shared" si="229"/>
        <v>22979.964285714286</v>
      </c>
      <c r="P1076" s="11">
        <f t="shared" si="230"/>
        <v>1.1597929252034769</v>
      </c>
      <c r="Q1076" s="7"/>
      <c r="R1076" s="7"/>
      <c r="S1076" s="7"/>
      <c r="T1076" s="7"/>
      <c r="U1076" s="7"/>
      <c r="V1076" s="7"/>
      <c r="W1076" s="7"/>
      <c r="X1076" s="3" t="s">
        <v>89</v>
      </c>
      <c r="Y1076" s="3"/>
      <c r="Z1076" s="9"/>
      <c r="AA1076" s="12" t="str">
        <f t="shared" si="226"/>
        <v/>
      </c>
      <c r="AB1076" s="9" t="str">
        <f t="shared" si="228"/>
        <v/>
      </c>
      <c r="AC1076" s="9" t="str">
        <f t="shared" si="231"/>
        <v/>
      </c>
      <c r="AD1076" s="9" t="str">
        <f t="shared" si="232"/>
        <v/>
      </c>
      <c r="AE1076" s="3"/>
      <c r="AF1076" s="11">
        <f t="shared" si="233"/>
        <v>20684.75</v>
      </c>
      <c r="AG1076" s="11">
        <f t="shared" si="234"/>
        <v>0.94180495292425581</v>
      </c>
      <c r="AH1076" s="11" t="str">
        <f t="shared" si="235"/>
        <v/>
      </c>
      <c r="AI1076" s="3" t="s">
        <v>45</v>
      </c>
      <c r="AJ1076" s="3" t="s">
        <v>79</v>
      </c>
      <c r="AK1076" s="3" t="s">
        <v>46</v>
      </c>
      <c r="AL1076" s="3" t="s">
        <v>81</v>
      </c>
      <c r="AM1076" s="3" t="s">
        <v>82</v>
      </c>
    </row>
    <row r="1077" spans="1:39" ht="21" customHeight="1">
      <c r="A1077" s="4">
        <v>43485</v>
      </c>
      <c r="B1077" s="3" t="s">
        <v>78</v>
      </c>
      <c r="C1077" s="3" t="s">
        <v>79</v>
      </c>
      <c r="D1077" s="4">
        <v>43159</v>
      </c>
      <c r="E1077" s="3">
        <f t="shared" si="220"/>
        <v>326</v>
      </c>
      <c r="F1077" s="3" t="str">
        <f t="shared" si="221"/>
        <v>개봉후</v>
      </c>
      <c r="G1077" s="3" t="str">
        <f t="shared" si="222"/>
        <v>일</v>
      </c>
      <c r="H1077" s="3">
        <f t="shared" si="223"/>
        <v>1</v>
      </c>
      <c r="I1077" s="3">
        <v>28662</v>
      </c>
      <c r="J1077" s="3">
        <v>21970</v>
      </c>
      <c r="K1077" s="3">
        <v>6692</v>
      </c>
      <c r="L1077" s="12">
        <f t="shared" si="224"/>
        <v>0.7665201311841463</v>
      </c>
      <c r="M1077" s="12">
        <f t="shared" si="225"/>
        <v>7.5416479063484809E-2</v>
      </c>
      <c r="N1077" s="11">
        <f t="shared" si="227"/>
        <v>21744.428571428572</v>
      </c>
      <c r="O1077" s="11">
        <f t="shared" si="229"/>
        <v>22997.571428571428</v>
      </c>
      <c r="P1077" s="11">
        <f t="shared" si="230"/>
        <v>1.2463055105197445</v>
      </c>
      <c r="Q1077" s="7"/>
      <c r="R1077" s="7"/>
      <c r="S1077" s="7"/>
      <c r="T1077" s="7"/>
      <c r="U1077" s="7"/>
      <c r="V1077" s="7"/>
      <c r="W1077" s="7"/>
      <c r="X1077" s="3" t="s">
        <v>89</v>
      </c>
      <c r="Y1077" s="3"/>
      <c r="Z1077" s="9"/>
      <c r="AA1077" s="12" t="str">
        <f t="shared" si="226"/>
        <v/>
      </c>
      <c r="AB1077" s="9" t="str">
        <f t="shared" si="228"/>
        <v/>
      </c>
      <c r="AC1077" s="9" t="str">
        <f t="shared" si="231"/>
        <v/>
      </c>
      <c r="AD1077" s="9" t="str">
        <f t="shared" si="232"/>
        <v/>
      </c>
      <c r="AE1077" s="3"/>
      <c r="AF1077" s="11">
        <f t="shared" si="233"/>
        <v>22310</v>
      </c>
      <c r="AG1077" s="11">
        <f t="shared" si="234"/>
        <v>0.98476019722097718</v>
      </c>
      <c r="AH1077" s="11" t="str">
        <f t="shared" si="235"/>
        <v/>
      </c>
      <c r="AI1077" s="3" t="s">
        <v>45</v>
      </c>
      <c r="AJ1077" s="3" t="s">
        <v>79</v>
      </c>
      <c r="AK1077" s="3" t="s">
        <v>46</v>
      </c>
      <c r="AL1077" s="3" t="s">
        <v>81</v>
      </c>
      <c r="AM1077" s="3" t="s">
        <v>82</v>
      </c>
    </row>
    <row r="1078" spans="1:39" ht="21" customHeight="1">
      <c r="A1078" s="4">
        <v>43486</v>
      </c>
      <c r="B1078" s="3" t="s">
        <v>78</v>
      </c>
      <c r="C1078" s="3" t="s">
        <v>79</v>
      </c>
      <c r="D1078" s="4">
        <v>43159</v>
      </c>
      <c r="E1078" s="3">
        <f t="shared" si="220"/>
        <v>327</v>
      </c>
      <c r="F1078" s="3" t="str">
        <f t="shared" si="221"/>
        <v>개봉후</v>
      </c>
      <c r="G1078" s="3" t="str">
        <f t="shared" si="222"/>
        <v>월</v>
      </c>
      <c r="H1078" s="3">
        <f t="shared" si="223"/>
        <v>0</v>
      </c>
      <c r="I1078" s="3">
        <v>18924</v>
      </c>
      <c r="J1078" s="3">
        <v>10252</v>
      </c>
      <c r="K1078" s="3">
        <v>8673</v>
      </c>
      <c r="L1078" s="12">
        <f t="shared" si="224"/>
        <v>0.54174593109279223</v>
      </c>
      <c r="M1078" s="12">
        <f t="shared" si="225"/>
        <v>-0.33975298304375134</v>
      </c>
      <c r="N1078" s="11">
        <f t="shared" si="227"/>
        <v>21721.857142857141</v>
      </c>
      <c r="O1078" s="11">
        <f t="shared" si="229"/>
        <v>22713.214285714286</v>
      </c>
      <c r="P1078" s="11">
        <f t="shared" si="230"/>
        <v>0.83317137600830227</v>
      </c>
      <c r="Q1078" s="7"/>
      <c r="R1078" s="7"/>
      <c r="S1078" s="7"/>
      <c r="T1078" s="7"/>
      <c r="U1078" s="7"/>
      <c r="V1078" s="7"/>
      <c r="W1078" s="7"/>
      <c r="X1078" s="3" t="s">
        <v>89</v>
      </c>
      <c r="Y1078" s="3"/>
      <c r="Z1078" s="9"/>
      <c r="AA1078" s="12" t="str">
        <f t="shared" si="226"/>
        <v/>
      </c>
      <c r="AB1078" s="9" t="str">
        <f t="shared" si="228"/>
        <v/>
      </c>
      <c r="AC1078" s="9" t="str">
        <f t="shared" si="231"/>
        <v/>
      </c>
      <c r="AD1078" s="9" t="str">
        <f t="shared" si="232"/>
        <v/>
      </c>
      <c r="AE1078" s="3"/>
      <c r="AF1078" s="11">
        <f t="shared" si="233"/>
        <v>13022.75</v>
      </c>
      <c r="AG1078" s="11">
        <f t="shared" si="234"/>
        <v>0.78723771860782088</v>
      </c>
      <c r="AH1078" s="11" t="str">
        <f t="shared" si="235"/>
        <v/>
      </c>
      <c r="AI1078" s="3" t="s">
        <v>45</v>
      </c>
      <c r="AJ1078" s="3" t="s">
        <v>79</v>
      </c>
      <c r="AK1078" s="3" t="s">
        <v>46</v>
      </c>
      <c r="AL1078" s="3" t="s">
        <v>81</v>
      </c>
      <c r="AM1078" s="3" t="s">
        <v>82</v>
      </c>
    </row>
    <row r="1079" spans="1:39" ht="21" customHeight="1">
      <c r="A1079" s="4">
        <v>43487</v>
      </c>
      <c r="B1079" s="3" t="s">
        <v>78</v>
      </c>
      <c r="C1079" s="3" t="s">
        <v>79</v>
      </c>
      <c r="D1079" s="4">
        <v>43159</v>
      </c>
      <c r="E1079" s="3">
        <f t="shared" si="220"/>
        <v>328</v>
      </c>
      <c r="F1079" s="3" t="str">
        <f t="shared" si="221"/>
        <v>개봉후</v>
      </c>
      <c r="G1079" s="3" t="str">
        <f t="shared" si="222"/>
        <v>화</v>
      </c>
      <c r="H1079" s="3">
        <f t="shared" si="223"/>
        <v>0</v>
      </c>
      <c r="I1079" s="3">
        <v>23499</v>
      </c>
      <c r="J1079" s="3">
        <v>14878</v>
      </c>
      <c r="K1079" s="3">
        <v>8620</v>
      </c>
      <c r="L1079" s="12">
        <f t="shared" si="224"/>
        <v>0.63313332482233287</v>
      </c>
      <c r="M1079" s="12">
        <f t="shared" si="225"/>
        <v>0.24175649968294222</v>
      </c>
      <c r="N1079" s="11">
        <f t="shared" si="227"/>
        <v>22442.857142857141</v>
      </c>
      <c r="O1079" s="11">
        <f t="shared" si="229"/>
        <v>22555.428571428572</v>
      </c>
      <c r="P1079" s="11">
        <f t="shared" si="230"/>
        <v>1.0418334515605998</v>
      </c>
      <c r="Q1079" s="7">
        <v>4</v>
      </c>
      <c r="R1079" s="7">
        <v>4</v>
      </c>
      <c r="S1079" s="7">
        <v>522</v>
      </c>
      <c r="T1079" s="7">
        <v>1745000</v>
      </c>
      <c r="U1079" s="7">
        <v>240</v>
      </c>
      <c r="V1079" s="7">
        <v>1506509</v>
      </c>
      <c r="W1079" s="7">
        <v>29</v>
      </c>
      <c r="X1079" s="3" t="s">
        <v>89</v>
      </c>
      <c r="Y1079" s="3" t="s">
        <v>83</v>
      </c>
      <c r="Z1079" s="9"/>
      <c r="AA1079" s="12" t="str">
        <f t="shared" si="226"/>
        <v/>
      </c>
      <c r="AB1079" s="9" t="str">
        <f t="shared" si="228"/>
        <v/>
      </c>
      <c r="AC1079" s="9" t="str">
        <f t="shared" si="231"/>
        <v/>
      </c>
      <c r="AD1079" s="9" t="str">
        <f t="shared" si="232"/>
        <v/>
      </c>
      <c r="AE1079" s="3"/>
      <c r="AF1079" s="11">
        <f t="shared" si="233"/>
        <v>14684.25</v>
      </c>
      <c r="AG1079" s="11">
        <f t="shared" si="234"/>
        <v>1.0131944089756031</v>
      </c>
      <c r="AH1079" s="11" t="str">
        <f t="shared" si="235"/>
        <v/>
      </c>
      <c r="AI1079" s="3" t="s">
        <v>45</v>
      </c>
      <c r="AJ1079" s="3" t="s">
        <v>79</v>
      </c>
      <c r="AK1079" s="3" t="s">
        <v>46</v>
      </c>
      <c r="AL1079" s="3" t="s">
        <v>81</v>
      </c>
      <c r="AM1079" s="3" t="s">
        <v>82</v>
      </c>
    </row>
    <row r="1080" spans="1:39" ht="21" customHeight="1">
      <c r="A1080" s="4">
        <v>43488</v>
      </c>
      <c r="B1080" s="3" t="s">
        <v>78</v>
      </c>
      <c r="C1080" s="3" t="s">
        <v>79</v>
      </c>
      <c r="D1080" s="4">
        <v>43159</v>
      </c>
      <c r="E1080" s="3">
        <f t="shared" si="220"/>
        <v>329</v>
      </c>
      <c r="F1080" s="3" t="str">
        <f t="shared" si="221"/>
        <v>개봉후</v>
      </c>
      <c r="G1080" s="3" t="str">
        <f t="shared" si="222"/>
        <v>수</v>
      </c>
      <c r="H1080" s="3">
        <f t="shared" si="223"/>
        <v>0</v>
      </c>
      <c r="I1080" s="3">
        <v>20489</v>
      </c>
      <c r="J1080" s="3">
        <v>11270</v>
      </c>
      <c r="K1080" s="3">
        <v>9219</v>
      </c>
      <c r="L1080" s="12">
        <f t="shared" si="224"/>
        <v>0.55005124701059105</v>
      </c>
      <c r="M1080" s="12">
        <f t="shared" si="225"/>
        <v>-0.12809055704498062</v>
      </c>
      <c r="N1080" s="11">
        <f t="shared" si="227"/>
        <v>22678.857142857141</v>
      </c>
      <c r="O1080" s="11">
        <f t="shared" si="229"/>
        <v>22674.678571428572</v>
      </c>
      <c r="P1080" s="11">
        <f t="shared" si="230"/>
        <v>0.90360707586026578</v>
      </c>
      <c r="Q1080" s="7"/>
      <c r="R1080" s="7"/>
      <c r="S1080" s="7"/>
      <c r="T1080" s="7"/>
      <c r="U1080" s="7"/>
      <c r="V1080" s="7"/>
      <c r="W1080" s="7"/>
      <c r="X1080" s="3" t="s">
        <v>89</v>
      </c>
      <c r="Y1080" s="3"/>
      <c r="Z1080" s="9"/>
      <c r="AA1080" s="12" t="str">
        <f t="shared" si="226"/>
        <v/>
      </c>
      <c r="AB1080" s="9" t="str">
        <f t="shared" si="228"/>
        <v/>
      </c>
      <c r="AC1080" s="9" t="str">
        <f t="shared" si="231"/>
        <v/>
      </c>
      <c r="AD1080" s="9" t="str">
        <f t="shared" si="232"/>
        <v/>
      </c>
      <c r="AE1080" s="3"/>
      <c r="AF1080" s="11">
        <f t="shared" si="233"/>
        <v>10638.5</v>
      </c>
      <c r="AG1080" s="11">
        <f t="shared" si="234"/>
        <v>1.0593598721624289</v>
      </c>
      <c r="AH1080" s="11" t="str">
        <f t="shared" si="235"/>
        <v/>
      </c>
      <c r="AI1080" s="3" t="s">
        <v>45</v>
      </c>
      <c r="AJ1080" s="3" t="s">
        <v>79</v>
      </c>
      <c r="AK1080" s="3" t="s">
        <v>46</v>
      </c>
      <c r="AL1080" s="3" t="s">
        <v>81</v>
      </c>
      <c r="AM1080" s="3" t="s">
        <v>82</v>
      </c>
    </row>
    <row r="1081" spans="1:39" ht="21" customHeight="1">
      <c r="A1081" s="4">
        <v>43489</v>
      </c>
      <c r="B1081" s="3" t="s">
        <v>78</v>
      </c>
      <c r="C1081" s="3" t="s">
        <v>79</v>
      </c>
      <c r="D1081" s="4">
        <v>43159</v>
      </c>
      <c r="E1081" s="3">
        <f t="shared" si="220"/>
        <v>330</v>
      </c>
      <c r="F1081" s="3" t="str">
        <f t="shared" si="221"/>
        <v>개봉후</v>
      </c>
      <c r="G1081" s="3" t="str">
        <f t="shared" si="222"/>
        <v>목</v>
      </c>
      <c r="H1081" s="3">
        <f t="shared" si="223"/>
        <v>0</v>
      </c>
      <c r="I1081" s="3">
        <v>24580</v>
      </c>
      <c r="J1081" s="3">
        <v>15698</v>
      </c>
      <c r="K1081" s="3">
        <v>8883</v>
      </c>
      <c r="L1081" s="12">
        <f t="shared" si="224"/>
        <v>0.63864930838079736</v>
      </c>
      <c r="M1081" s="12">
        <f t="shared" si="225"/>
        <v>0.19966811459807698</v>
      </c>
      <c r="N1081" s="11">
        <f t="shared" si="227"/>
        <v>23514.285714285714</v>
      </c>
      <c r="O1081" s="11">
        <f t="shared" si="229"/>
        <v>22606.678571428572</v>
      </c>
      <c r="P1081" s="11">
        <f t="shared" si="230"/>
        <v>1.0872893124187384</v>
      </c>
      <c r="Q1081" s="7"/>
      <c r="R1081" s="7"/>
      <c r="S1081" s="7"/>
      <c r="T1081" s="7"/>
      <c r="U1081" s="7"/>
      <c r="V1081" s="7"/>
      <c r="W1081" s="7"/>
      <c r="X1081" s="3" t="s">
        <v>89</v>
      </c>
      <c r="Y1081" s="3"/>
      <c r="Z1081" s="9"/>
      <c r="AA1081" s="12" t="str">
        <f t="shared" si="226"/>
        <v/>
      </c>
      <c r="AB1081" s="9" t="str">
        <f t="shared" si="228"/>
        <v/>
      </c>
      <c r="AC1081" s="9" t="str">
        <f t="shared" si="231"/>
        <v/>
      </c>
      <c r="AD1081" s="9" t="str">
        <f t="shared" si="232"/>
        <v/>
      </c>
      <c r="AE1081" s="3"/>
      <c r="AF1081" s="11">
        <f t="shared" si="233"/>
        <v>11770.5</v>
      </c>
      <c r="AG1081" s="11">
        <f t="shared" si="234"/>
        <v>1.3336731659657619</v>
      </c>
      <c r="AH1081" s="11" t="str">
        <f t="shared" si="235"/>
        <v/>
      </c>
      <c r="AI1081" s="3" t="s">
        <v>45</v>
      </c>
      <c r="AJ1081" s="3" t="s">
        <v>79</v>
      </c>
      <c r="AK1081" s="3" t="s">
        <v>46</v>
      </c>
      <c r="AL1081" s="3" t="s">
        <v>81</v>
      </c>
      <c r="AM1081" s="3" t="s">
        <v>82</v>
      </c>
    </row>
    <row r="1082" spans="1:39" ht="21" customHeight="1">
      <c r="A1082" s="4">
        <v>43490</v>
      </c>
      <c r="B1082" s="3" t="s">
        <v>78</v>
      </c>
      <c r="C1082" s="3" t="s">
        <v>79</v>
      </c>
      <c r="D1082" s="4">
        <v>43159</v>
      </c>
      <c r="E1082" s="3">
        <f t="shared" si="220"/>
        <v>331</v>
      </c>
      <c r="F1082" s="3" t="str">
        <f t="shared" si="221"/>
        <v>개봉후</v>
      </c>
      <c r="G1082" s="3" t="str">
        <f t="shared" si="222"/>
        <v>금</v>
      </c>
      <c r="H1082" s="3">
        <f t="shared" si="223"/>
        <v>0</v>
      </c>
      <c r="I1082" s="3">
        <v>25711</v>
      </c>
      <c r="J1082" s="3">
        <v>17090</v>
      </c>
      <c r="K1082" s="3">
        <v>8620</v>
      </c>
      <c r="L1082" s="12">
        <f t="shared" si="224"/>
        <v>0.66469604449457431</v>
      </c>
      <c r="M1082" s="12">
        <f t="shared" si="225"/>
        <v>4.6013018714401888E-2</v>
      </c>
      <c r="N1082" s="11">
        <f t="shared" si="227"/>
        <v>24073.857142857141</v>
      </c>
      <c r="O1082" s="11">
        <f t="shared" si="229"/>
        <v>22681.678571428572</v>
      </c>
      <c r="P1082" s="11">
        <f t="shared" si="230"/>
        <v>1.1335580794442335</v>
      </c>
      <c r="Q1082" s="7"/>
      <c r="R1082" s="7"/>
      <c r="S1082" s="7"/>
      <c r="T1082" s="7"/>
      <c r="U1082" s="7"/>
      <c r="V1082" s="7"/>
      <c r="W1082" s="7"/>
      <c r="X1082" s="3" t="s">
        <v>89</v>
      </c>
      <c r="Y1082" s="3"/>
      <c r="Z1082" s="9"/>
      <c r="AA1082" s="12" t="str">
        <f t="shared" si="226"/>
        <v/>
      </c>
      <c r="AB1082" s="9" t="str">
        <f t="shared" si="228"/>
        <v/>
      </c>
      <c r="AC1082" s="9" t="str">
        <f t="shared" si="231"/>
        <v/>
      </c>
      <c r="AD1082" s="9" t="str">
        <f t="shared" si="232"/>
        <v/>
      </c>
      <c r="AE1082" s="3"/>
      <c r="AF1082" s="11">
        <f t="shared" si="233"/>
        <v>11853.5</v>
      </c>
      <c r="AG1082" s="11">
        <f t="shared" si="234"/>
        <v>1.4417682541021639</v>
      </c>
      <c r="AH1082" s="11" t="str">
        <f t="shared" si="235"/>
        <v/>
      </c>
      <c r="AI1082" s="3" t="s">
        <v>45</v>
      </c>
      <c r="AJ1082" s="3" t="s">
        <v>79</v>
      </c>
      <c r="AK1082" s="3" t="s">
        <v>46</v>
      </c>
      <c r="AL1082" s="3" t="s">
        <v>81</v>
      </c>
      <c r="AM1082" s="3" t="s">
        <v>82</v>
      </c>
    </row>
    <row r="1083" spans="1:39" ht="21" customHeight="1">
      <c r="A1083" s="4">
        <v>43491</v>
      </c>
      <c r="B1083" s="3" t="s">
        <v>78</v>
      </c>
      <c r="C1083" s="3" t="s">
        <v>79</v>
      </c>
      <c r="D1083" s="4">
        <v>43159</v>
      </c>
      <c r="E1083" s="3">
        <f t="shared" ref="E1083:E1146" si="236">A1083-D1083</f>
        <v>332</v>
      </c>
      <c r="F1083" s="3" t="str">
        <f t="shared" ref="F1083:F1146" si="237">IF(E1083&lt;0,"개봉전","개봉후")</f>
        <v>개봉후</v>
      </c>
      <c r="G1083" s="3" t="str">
        <f t="shared" ref="G1083:G1116" si="238">CHOOSE(WEEKDAY(A1083,2),"월","화","수","목","금","토","일")</f>
        <v>토</v>
      </c>
      <c r="H1083" s="3">
        <f t="shared" ref="H1083:H1116" si="239">IF(WEEKDAY(A1083,2)&gt;5,1,0)</f>
        <v>1</v>
      </c>
      <c r="I1083" s="3">
        <v>24448</v>
      </c>
      <c r="J1083" s="3">
        <v>17346</v>
      </c>
      <c r="K1083" s="3">
        <v>7102</v>
      </c>
      <c r="L1083" s="12">
        <f t="shared" ref="L1083:L1116" si="240">IF(COUNT(I1083:J1083)=2,IFERROR(J1083/I1083,""),"")</f>
        <v>0.70950589005235598</v>
      </c>
      <c r="M1083" s="12">
        <f t="shared" si="225"/>
        <v>-4.9122943487223347E-2</v>
      </c>
      <c r="N1083" s="11">
        <f t="shared" si="227"/>
        <v>23759</v>
      </c>
      <c r="O1083" s="11">
        <f t="shared" si="229"/>
        <v>22855.428571428572</v>
      </c>
      <c r="P1083" s="11">
        <f t="shared" si="230"/>
        <v>1.0696802260169511</v>
      </c>
      <c r="Q1083" s="7"/>
      <c r="R1083" s="7"/>
      <c r="S1083" s="7"/>
      <c r="T1083" s="7"/>
      <c r="U1083" s="7"/>
      <c r="V1083" s="7"/>
      <c r="W1083" s="7"/>
      <c r="X1083" s="3" t="s">
        <v>89</v>
      </c>
      <c r="Y1083" s="3"/>
      <c r="Z1083" s="9"/>
      <c r="AA1083" s="12" t="str">
        <f t="shared" si="226"/>
        <v/>
      </c>
      <c r="AB1083" s="9" t="str">
        <f t="shared" si="228"/>
        <v/>
      </c>
      <c r="AC1083" s="9" t="str">
        <f t="shared" si="231"/>
        <v/>
      </c>
      <c r="AD1083" s="9" t="str">
        <f t="shared" si="232"/>
        <v/>
      </c>
      <c r="AE1083" s="3"/>
      <c r="AF1083" s="11">
        <f t="shared" si="233"/>
        <v>20866</v>
      </c>
      <c r="AG1083" s="11">
        <f t="shared" si="234"/>
        <v>0.83130451452123066</v>
      </c>
      <c r="AH1083" s="11" t="str">
        <f t="shared" si="235"/>
        <v/>
      </c>
      <c r="AI1083" s="3" t="s">
        <v>45</v>
      </c>
      <c r="AJ1083" s="3" t="s">
        <v>79</v>
      </c>
      <c r="AK1083" s="3" t="s">
        <v>46</v>
      </c>
      <c r="AL1083" s="3" t="s">
        <v>81</v>
      </c>
      <c r="AM1083" s="3" t="s">
        <v>82</v>
      </c>
    </row>
    <row r="1084" spans="1:39" ht="21" customHeight="1">
      <c r="A1084" s="4">
        <v>43492</v>
      </c>
      <c r="B1084" s="3" t="s">
        <v>78</v>
      </c>
      <c r="C1084" s="3" t="s">
        <v>79</v>
      </c>
      <c r="D1084" s="4">
        <v>43159</v>
      </c>
      <c r="E1084" s="3">
        <f t="shared" si="236"/>
        <v>333</v>
      </c>
      <c r="F1084" s="3" t="str">
        <f t="shared" si="237"/>
        <v>개봉후</v>
      </c>
      <c r="G1084" s="3" t="str">
        <f t="shared" si="238"/>
        <v>일</v>
      </c>
      <c r="H1084" s="3">
        <f t="shared" si="239"/>
        <v>1</v>
      </c>
      <c r="I1084" s="3">
        <v>27874</v>
      </c>
      <c r="J1084" s="3">
        <v>20895</v>
      </c>
      <c r="K1084" s="3">
        <v>6979</v>
      </c>
      <c r="L1084" s="12">
        <f t="shared" si="240"/>
        <v>0.74962330487192363</v>
      </c>
      <c r="M1084" s="12">
        <f t="shared" ref="M1084:M1116" si="241">IF(AND(COUNT(I1083:I1084)=2,A1084=A1083+1),IFERROR(I1084/I1083-1,""),"")</f>
        <v>0.14013416230366493</v>
      </c>
      <c r="N1084" s="11">
        <f t="shared" si="227"/>
        <v>23646.428571428572</v>
      </c>
      <c r="O1084" s="11">
        <f t="shared" si="229"/>
        <v>22602.321428571428</v>
      </c>
      <c r="P1084" s="11">
        <f t="shared" si="230"/>
        <v>1.2332361562102503</v>
      </c>
      <c r="Q1084" s="7"/>
      <c r="R1084" s="7"/>
      <c r="S1084" s="7"/>
      <c r="T1084" s="7"/>
      <c r="U1084" s="7"/>
      <c r="V1084" s="7"/>
      <c r="W1084" s="7"/>
      <c r="X1084" s="3" t="s">
        <v>89</v>
      </c>
      <c r="Y1084" s="3"/>
      <c r="Z1084" s="9"/>
      <c r="AA1084" s="12" t="str">
        <f t="shared" ref="AA1084:AA1147" si="242">IF(AND(COUNT(Z1083:Z1084)=2,A1084=A1083+1),IFERROR(Z1084/Z1083-1,""),"")</f>
        <v/>
      </c>
      <c r="AB1084" s="9" t="str">
        <f t="shared" si="228"/>
        <v/>
      </c>
      <c r="AC1084" s="9" t="str">
        <f t="shared" si="231"/>
        <v/>
      </c>
      <c r="AD1084" s="9" t="str">
        <f t="shared" si="232"/>
        <v/>
      </c>
      <c r="AE1084" s="3"/>
      <c r="AF1084" s="11">
        <f t="shared" si="233"/>
        <v>20426.25</v>
      </c>
      <c r="AG1084" s="11">
        <f t="shared" si="234"/>
        <v>1.0229484119698917</v>
      </c>
      <c r="AH1084" s="11" t="str">
        <f t="shared" si="235"/>
        <v/>
      </c>
      <c r="AI1084" s="3" t="s">
        <v>45</v>
      </c>
      <c r="AJ1084" s="3" t="s">
        <v>79</v>
      </c>
      <c r="AK1084" s="3" t="s">
        <v>46</v>
      </c>
      <c r="AL1084" s="3" t="s">
        <v>81</v>
      </c>
      <c r="AM1084" s="3" t="s">
        <v>82</v>
      </c>
    </row>
    <row r="1085" spans="1:39" ht="21" customHeight="1">
      <c r="A1085" s="4">
        <v>43493</v>
      </c>
      <c r="B1085" s="3" t="s">
        <v>78</v>
      </c>
      <c r="C1085" s="3" t="s">
        <v>79</v>
      </c>
      <c r="D1085" s="4">
        <v>43159</v>
      </c>
      <c r="E1085" s="3">
        <f t="shared" si="236"/>
        <v>334</v>
      </c>
      <c r="F1085" s="3" t="str">
        <f t="shared" si="237"/>
        <v>개봉후</v>
      </c>
      <c r="G1085" s="3" t="str">
        <f t="shared" si="238"/>
        <v>월</v>
      </c>
      <c r="H1085" s="3">
        <f t="shared" si="239"/>
        <v>0</v>
      </c>
      <c r="I1085" s="3">
        <v>19722</v>
      </c>
      <c r="J1085" s="3">
        <v>10818</v>
      </c>
      <c r="K1085" s="3">
        <v>8904</v>
      </c>
      <c r="L1085" s="12">
        <f t="shared" si="240"/>
        <v>0.54852449041679341</v>
      </c>
      <c r="M1085" s="12">
        <f t="shared" si="241"/>
        <v>-0.29245892229317638</v>
      </c>
      <c r="N1085" s="11">
        <f t="shared" si="227"/>
        <v>23760.428571428572</v>
      </c>
      <c r="O1085" s="11">
        <f t="shared" si="229"/>
        <v>22665.178571428572</v>
      </c>
      <c r="P1085" s="11">
        <f t="shared" si="230"/>
        <v>0.87014536143391763</v>
      </c>
      <c r="Q1085" s="7"/>
      <c r="R1085" s="7"/>
      <c r="S1085" s="7"/>
      <c r="T1085" s="7"/>
      <c r="U1085" s="7"/>
      <c r="V1085" s="7"/>
      <c r="W1085" s="7"/>
      <c r="X1085" s="3" t="s">
        <v>89</v>
      </c>
      <c r="Y1085" s="3"/>
      <c r="Z1085" s="9"/>
      <c r="AA1085" s="12" t="str">
        <f t="shared" si="242"/>
        <v/>
      </c>
      <c r="AB1085" s="9" t="str">
        <f t="shared" si="228"/>
        <v/>
      </c>
      <c r="AC1085" s="9" t="str">
        <f t="shared" si="231"/>
        <v/>
      </c>
      <c r="AD1085" s="9" t="str">
        <f t="shared" si="232"/>
        <v/>
      </c>
      <c r="AE1085" s="3"/>
      <c r="AF1085" s="11">
        <f t="shared" si="233"/>
        <v>11971.25</v>
      </c>
      <c r="AG1085" s="11">
        <f t="shared" si="234"/>
        <v>0.90366503080296545</v>
      </c>
      <c r="AH1085" s="11" t="str">
        <f t="shared" si="235"/>
        <v/>
      </c>
      <c r="AI1085" s="3" t="s">
        <v>45</v>
      </c>
      <c r="AJ1085" s="3" t="s">
        <v>79</v>
      </c>
      <c r="AK1085" s="3" t="s">
        <v>46</v>
      </c>
      <c r="AL1085" s="3" t="s">
        <v>81</v>
      </c>
      <c r="AM1085" s="3" t="s">
        <v>82</v>
      </c>
    </row>
    <row r="1086" spans="1:39" ht="21" customHeight="1">
      <c r="A1086" s="4">
        <v>43494</v>
      </c>
      <c r="B1086" s="3" t="s">
        <v>78</v>
      </c>
      <c r="C1086" s="3" t="s">
        <v>79</v>
      </c>
      <c r="D1086" s="4">
        <v>43159</v>
      </c>
      <c r="E1086" s="3">
        <f t="shared" si="236"/>
        <v>335</v>
      </c>
      <c r="F1086" s="3" t="str">
        <f t="shared" si="237"/>
        <v>개봉후</v>
      </c>
      <c r="G1086" s="3" t="str">
        <f t="shared" si="238"/>
        <v>화</v>
      </c>
      <c r="H1086" s="3">
        <f t="shared" si="239"/>
        <v>0</v>
      </c>
      <c r="I1086" s="3">
        <v>19800</v>
      </c>
      <c r="J1086" s="3">
        <v>10969</v>
      </c>
      <c r="K1086" s="3">
        <v>8830</v>
      </c>
      <c r="L1086" s="12">
        <f t="shared" si="240"/>
        <v>0.55398989898989903</v>
      </c>
      <c r="M1086" s="12">
        <f t="shared" si="241"/>
        <v>3.9549741405537908E-3</v>
      </c>
      <c r="N1086" s="11">
        <f t="shared" si="227"/>
        <v>23232</v>
      </c>
      <c r="O1086" s="11">
        <f t="shared" si="229"/>
        <v>22425.678571428572</v>
      </c>
      <c r="P1086" s="11">
        <f t="shared" si="230"/>
        <v>0.88291642711878437</v>
      </c>
      <c r="Q1086" s="7"/>
      <c r="R1086" s="7"/>
      <c r="S1086" s="7"/>
      <c r="T1086" s="7"/>
      <c r="U1086" s="7"/>
      <c r="V1086" s="7"/>
      <c r="W1086" s="7"/>
      <c r="X1086" s="3" t="s">
        <v>89</v>
      </c>
      <c r="Y1086" s="3"/>
      <c r="Z1086" s="9"/>
      <c r="AA1086" s="12" t="str">
        <f t="shared" si="242"/>
        <v/>
      </c>
      <c r="AB1086" s="9" t="str">
        <f t="shared" si="228"/>
        <v/>
      </c>
      <c r="AC1086" s="9" t="str">
        <f t="shared" si="231"/>
        <v/>
      </c>
      <c r="AD1086" s="9" t="str">
        <f t="shared" si="232"/>
        <v/>
      </c>
      <c r="AE1086" s="3"/>
      <c r="AF1086" s="11">
        <f t="shared" si="233"/>
        <v>15107.75</v>
      </c>
      <c r="AG1086" s="11">
        <f t="shared" si="234"/>
        <v>0.72605119888798797</v>
      </c>
      <c r="AH1086" s="11" t="str">
        <f t="shared" si="235"/>
        <v/>
      </c>
      <c r="AI1086" s="3" t="s">
        <v>45</v>
      </c>
      <c r="AJ1086" s="3" t="s">
        <v>79</v>
      </c>
      <c r="AK1086" s="3" t="s">
        <v>46</v>
      </c>
      <c r="AL1086" s="3" t="s">
        <v>81</v>
      </c>
      <c r="AM1086" s="3" t="s">
        <v>82</v>
      </c>
    </row>
    <row r="1087" spans="1:39" ht="21" customHeight="1">
      <c r="A1087" s="4">
        <v>43495</v>
      </c>
      <c r="B1087" s="3" t="s">
        <v>78</v>
      </c>
      <c r="C1087" s="3" t="s">
        <v>79</v>
      </c>
      <c r="D1087" s="4">
        <v>43159</v>
      </c>
      <c r="E1087" s="3">
        <f t="shared" si="236"/>
        <v>336</v>
      </c>
      <c r="F1087" s="3" t="str">
        <f t="shared" si="237"/>
        <v>개봉후</v>
      </c>
      <c r="G1087" s="3" t="str">
        <f t="shared" si="238"/>
        <v>수</v>
      </c>
      <c r="H1087" s="3">
        <f t="shared" si="239"/>
        <v>0</v>
      </c>
      <c r="I1087" s="3">
        <v>20220</v>
      </c>
      <c r="J1087" s="3">
        <v>11417</v>
      </c>
      <c r="K1087" s="3">
        <v>8802</v>
      </c>
      <c r="L1087" s="12">
        <f t="shared" si="240"/>
        <v>0.5646389713155292</v>
      </c>
      <c r="M1087" s="12">
        <f t="shared" si="241"/>
        <v>2.1212121212121238E-2</v>
      </c>
      <c r="N1087" s="11">
        <f t="shared" si="227"/>
        <v>23193.571428571428</v>
      </c>
      <c r="O1087" s="11">
        <f t="shared" si="229"/>
        <v>22114.678571428572</v>
      </c>
      <c r="P1087" s="11">
        <f t="shared" si="230"/>
        <v>0.91432484242043499</v>
      </c>
      <c r="Q1087" s="7"/>
      <c r="R1087" s="7"/>
      <c r="S1087" s="7"/>
      <c r="T1087" s="7"/>
      <c r="U1087" s="7"/>
      <c r="V1087" s="7"/>
      <c r="W1087" s="7"/>
      <c r="X1087" s="3" t="s">
        <v>89</v>
      </c>
      <c r="Y1087" s="3"/>
      <c r="Z1087" s="9"/>
      <c r="AA1087" s="12" t="str">
        <f t="shared" si="242"/>
        <v/>
      </c>
      <c r="AB1087" s="9" t="str">
        <f t="shared" si="228"/>
        <v/>
      </c>
      <c r="AC1087" s="9" t="str">
        <f t="shared" si="231"/>
        <v/>
      </c>
      <c r="AD1087" s="9" t="str">
        <f t="shared" si="232"/>
        <v/>
      </c>
      <c r="AE1087" s="3"/>
      <c r="AF1087" s="11">
        <f t="shared" si="233"/>
        <v>10042.5</v>
      </c>
      <c r="AG1087" s="11">
        <f t="shared" si="234"/>
        <v>1.1368683096838437</v>
      </c>
      <c r="AH1087" s="11" t="str">
        <f t="shared" si="235"/>
        <v/>
      </c>
      <c r="AI1087" s="3" t="s">
        <v>45</v>
      </c>
      <c r="AJ1087" s="3" t="s">
        <v>79</v>
      </c>
      <c r="AK1087" s="3" t="s">
        <v>46</v>
      </c>
      <c r="AL1087" s="3" t="s">
        <v>81</v>
      </c>
      <c r="AM1087" s="3" t="s">
        <v>82</v>
      </c>
    </row>
    <row r="1088" spans="1:39" ht="21" customHeight="1">
      <c r="A1088" s="4">
        <v>43496</v>
      </c>
      <c r="B1088" s="3" t="s">
        <v>78</v>
      </c>
      <c r="C1088" s="3" t="s">
        <v>79</v>
      </c>
      <c r="D1088" s="4">
        <v>43159</v>
      </c>
      <c r="E1088" s="3">
        <f t="shared" si="236"/>
        <v>337</v>
      </c>
      <c r="F1088" s="3" t="str">
        <f t="shared" si="237"/>
        <v>개봉후</v>
      </c>
      <c r="G1088" s="3" t="str">
        <f t="shared" si="238"/>
        <v>목</v>
      </c>
      <c r="H1088" s="3">
        <f t="shared" si="239"/>
        <v>0</v>
      </c>
      <c r="I1088" s="3">
        <v>20027</v>
      </c>
      <c r="J1088" s="3">
        <v>12106</v>
      </c>
      <c r="K1088" s="3">
        <v>7920</v>
      </c>
      <c r="L1088" s="12">
        <f t="shared" si="240"/>
        <v>0.60448394667199279</v>
      </c>
      <c r="M1088" s="12">
        <f t="shared" si="241"/>
        <v>-9.545004945598401E-3</v>
      </c>
      <c r="N1088" s="11">
        <f t="shared" si="227"/>
        <v>22543.142857142859</v>
      </c>
      <c r="O1088" s="11">
        <f t="shared" si="229"/>
        <v>22208.178571428572</v>
      </c>
      <c r="P1088" s="11">
        <f t="shared" si="230"/>
        <v>0.90178489584757215</v>
      </c>
      <c r="Q1088" s="7"/>
      <c r="R1088" s="7"/>
      <c r="S1088" s="7"/>
      <c r="T1088" s="7"/>
      <c r="U1088" s="7"/>
      <c r="V1088" s="7"/>
      <c r="W1088" s="7"/>
      <c r="X1088" s="3" t="s">
        <v>89</v>
      </c>
      <c r="Y1088" s="3"/>
      <c r="Z1088" s="9"/>
      <c r="AA1088" s="12" t="str">
        <f t="shared" si="242"/>
        <v/>
      </c>
      <c r="AB1088" s="9" t="str">
        <f t="shared" si="228"/>
        <v/>
      </c>
      <c r="AC1088" s="9" t="str">
        <f t="shared" si="231"/>
        <v/>
      </c>
      <c r="AD1088" s="9" t="str">
        <f t="shared" si="232"/>
        <v/>
      </c>
      <c r="AE1088" s="3"/>
      <c r="AF1088" s="11">
        <f t="shared" si="233"/>
        <v>12256.25</v>
      </c>
      <c r="AG1088" s="11">
        <f t="shared" si="234"/>
        <v>0.98774094849566552</v>
      </c>
      <c r="AH1088" s="11" t="str">
        <f t="shared" si="235"/>
        <v/>
      </c>
      <c r="AI1088" s="3" t="s">
        <v>45</v>
      </c>
      <c r="AJ1088" s="3" t="s">
        <v>79</v>
      </c>
      <c r="AK1088" s="3" t="s">
        <v>46</v>
      </c>
      <c r="AL1088" s="3" t="s">
        <v>81</v>
      </c>
      <c r="AM1088" s="3" t="s">
        <v>82</v>
      </c>
    </row>
    <row r="1089" spans="1:39" ht="21" customHeight="1">
      <c r="A1089" s="4">
        <v>43497</v>
      </c>
      <c r="B1089" s="3" t="s">
        <v>78</v>
      </c>
      <c r="C1089" s="3" t="s">
        <v>79</v>
      </c>
      <c r="D1089" s="4">
        <v>43159</v>
      </c>
      <c r="E1089" s="3">
        <f t="shared" si="236"/>
        <v>338</v>
      </c>
      <c r="F1089" s="3" t="str">
        <f t="shared" si="237"/>
        <v>개봉후</v>
      </c>
      <c r="G1089" s="3" t="str">
        <f t="shared" si="238"/>
        <v>금</v>
      </c>
      <c r="H1089" s="3">
        <f t="shared" si="239"/>
        <v>0</v>
      </c>
      <c r="I1089" s="3">
        <v>19344</v>
      </c>
      <c r="J1089" s="3">
        <v>10787</v>
      </c>
      <c r="K1089" s="3">
        <v>8558</v>
      </c>
      <c r="L1089" s="12">
        <f t="shared" si="240"/>
        <v>0.55764061207609594</v>
      </c>
      <c r="M1089" s="12">
        <f t="shared" si="241"/>
        <v>-3.4103959654466443E-2</v>
      </c>
      <c r="N1089" s="11">
        <f t="shared" ref="N1089:N1152" si="243">IF(COUNT(I1083:I1089)=7,AVERAGE(I1083:I1089),"")</f>
        <v>21633.571428571428</v>
      </c>
      <c r="O1089" s="11">
        <f t="shared" si="229"/>
        <v>22279.678571428572</v>
      </c>
      <c r="P1089" s="11">
        <f t="shared" si="230"/>
        <v>0.8682351470189843</v>
      </c>
      <c r="Q1089" s="7"/>
      <c r="R1089" s="7"/>
      <c r="S1089" s="7"/>
      <c r="T1089" s="7"/>
      <c r="U1089" s="7"/>
      <c r="V1089" s="7"/>
      <c r="W1089" s="7"/>
      <c r="X1089" s="3" t="s">
        <v>90</v>
      </c>
      <c r="Y1089" s="3"/>
      <c r="Z1089" s="9"/>
      <c r="AA1089" s="12" t="str">
        <f t="shared" si="242"/>
        <v/>
      </c>
      <c r="AB1089" s="9" t="str">
        <f t="shared" ref="AB1089:AB1152" si="244">IF(COUNT(Z1083:Z1089)=7,AVERAGE(Z1083:Z1089),"")</f>
        <v/>
      </c>
      <c r="AC1089" s="9" t="str">
        <f t="shared" si="231"/>
        <v/>
      </c>
      <c r="AD1089" s="9" t="str">
        <f t="shared" si="232"/>
        <v/>
      </c>
      <c r="AE1089" s="3"/>
      <c r="AF1089" s="11">
        <f t="shared" si="233"/>
        <v>13168.5</v>
      </c>
      <c r="AG1089" s="11">
        <f t="shared" si="234"/>
        <v>0.8191517636784752</v>
      </c>
      <c r="AH1089" s="11" t="str">
        <f t="shared" si="235"/>
        <v/>
      </c>
      <c r="AI1089" s="3" t="s">
        <v>45</v>
      </c>
      <c r="AJ1089" s="3" t="s">
        <v>79</v>
      </c>
      <c r="AK1089" s="3" t="s">
        <v>46</v>
      </c>
      <c r="AL1089" s="3" t="s">
        <v>81</v>
      </c>
      <c r="AM1089" s="3" t="s">
        <v>82</v>
      </c>
    </row>
    <row r="1090" spans="1:39" ht="21" customHeight="1">
      <c r="A1090" s="4">
        <v>43498</v>
      </c>
      <c r="B1090" s="3" t="s">
        <v>78</v>
      </c>
      <c r="C1090" s="3" t="s">
        <v>79</v>
      </c>
      <c r="D1090" s="4">
        <v>43159</v>
      </c>
      <c r="E1090" s="3">
        <f t="shared" si="236"/>
        <v>339</v>
      </c>
      <c r="F1090" s="3" t="str">
        <f t="shared" si="237"/>
        <v>개봉후</v>
      </c>
      <c r="G1090" s="3" t="str">
        <f t="shared" si="238"/>
        <v>토</v>
      </c>
      <c r="H1090" s="3">
        <f t="shared" si="239"/>
        <v>1</v>
      </c>
      <c r="I1090" s="3">
        <v>27342</v>
      </c>
      <c r="J1090" s="3">
        <v>19918</v>
      </c>
      <c r="K1090" s="3">
        <v>7424</v>
      </c>
      <c r="L1090" s="12">
        <f t="shared" si="240"/>
        <v>0.72847633677126766</v>
      </c>
      <c r="M1090" s="12">
        <f t="shared" si="241"/>
        <v>0.41346153846153855</v>
      </c>
      <c r="N1090" s="11">
        <f t="shared" si="243"/>
        <v>22047</v>
      </c>
      <c r="O1090" s="11">
        <f t="shared" si="229"/>
        <v>22283.178571428572</v>
      </c>
      <c r="P1090" s="11">
        <f t="shared" si="230"/>
        <v>1.2270242287183317</v>
      </c>
      <c r="Q1090" s="7"/>
      <c r="R1090" s="7"/>
      <c r="S1090" s="7"/>
      <c r="T1090" s="7"/>
      <c r="U1090" s="7"/>
      <c r="V1090" s="7"/>
      <c r="W1090" s="7"/>
      <c r="X1090" s="3" t="s">
        <v>90</v>
      </c>
      <c r="Y1090" s="3"/>
      <c r="Z1090" s="9"/>
      <c r="AA1090" s="12" t="str">
        <f t="shared" si="242"/>
        <v/>
      </c>
      <c r="AB1090" s="9" t="str">
        <f t="shared" si="244"/>
        <v/>
      </c>
      <c r="AC1090" s="9" t="str">
        <f t="shared" si="231"/>
        <v/>
      </c>
      <c r="AD1090" s="9" t="str">
        <f t="shared" si="232"/>
        <v/>
      </c>
      <c r="AE1090" s="3"/>
      <c r="AF1090" s="11">
        <f t="shared" si="233"/>
        <v>19046</v>
      </c>
      <c r="AG1090" s="11">
        <f t="shared" si="234"/>
        <v>1.0457838916307887</v>
      </c>
      <c r="AH1090" s="11" t="str">
        <f t="shared" si="235"/>
        <v/>
      </c>
      <c r="AI1090" s="3" t="s">
        <v>45</v>
      </c>
      <c r="AJ1090" s="3" t="s">
        <v>79</v>
      </c>
      <c r="AK1090" s="3" t="s">
        <v>46</v>
      </c>
      <c r="AL1090" s="3" t="s">
        <v>81</v>
      </c>
      <c r="AM1090" s="3" t="s">
        <v>82</v>
      </c>
    </row>
    <row r="1091" spans="1:39" ht="21" customHeight="1">
      <c r="A1091" s="4">
        <v>43499</v>
      </c>
      <c r="B1091" s="3" t="s">
        <v>78</v>
      </c>
      <c r="C1091" s="3" t="s">
        <v>79</v>
      </c>
      <c r="D1091" s="4">
        <v>43159</v>
      </c>
      <c r="E1091" s="3">
        <f t="shared" si="236"/>
        <v>340</v>
      </c>
      <c r="F1091" s="3" t="str">
        <f t="shared" si="237"/>
        <v>개봉후</v>
      </c>
      <c r="G1091" s="3" t="str">
        <f t="shared" si="238"/>
        <v>일</v>
      </c>
      <c r="H1091" s="3">
        <f t="shared" si="239"/>
        <v>1</v>
      </c>
      <c r="I1091" s="3">
        <v>34226</v>
      </c>
      <c r="J1091" s="3">
        <v>27181</v>
      </c>
      <c r="K1091" s="3">
        <v>7046</v>
      </c>
      <c r="L1091" s="12">
        <f t="shared" si="240"/>
        <v>0.79416233272950387</v>
      </c>
      <c r="M1091" s="12">
        <f t="shared" si="241"/>
        <v>0.25177382781069424</v>
      </c>
      <c r="N1091" s="11">
        <f t="shared" si="243"/>
        <v>22954.428571428572</v>
      </c>
      <c r="O1091" s="11">
        <f t="shared" si="229"/>
        <v>22451.535714285714</v>
      </c>
      <c r="P1091" s="11">
        <f t="shared" si="230"/>
        <v>1.5244391490877971</v>
      </c>
      <c r="Q1091" s="7"/>
      <c r="R1091" s="7"/>
      <c r="S1091" s="7"/>
      <c r="T1091" s="7"/>
      <c r="U1091" s="7"/>
      <c r="V1091" s="7"/>
      <c r="W1091" s="7"/>
      <c r="X1091" s="3" t="s">
        <v>90</v>
      </c>
      <c r="Y1091" s="3"/>
      <c r="Z1091" s="9"/>
      <c r="AA1091" s="12" t="str">
        <f t="shared" si="242"/>
        <v/>
      </c>
      <c r="AB1091" s="9" t="str">
        <f t="shared" si="244"/>
        <v/>
      </c>
      <c r="AC1091" s="9" t="str">
        <f t="shared" si="231"/>
        <v/>
      </c>
      <c r="AD1091" s="9" t="str">
        <f t="shared" si="232"/>
        <v/>
      </c>
      <c r="AE1091" s="3"/>
      <c r="AF1091" s="11">
        <f t="shared" si="233"/>
        <v>20781.5</v>
      </c>
      <c r="AG1091" s="11">
        <f t="shared" si="234"/>
        <v>1.3079421600943146</v>
      </c>
      <c r="AH1091" s="11" t="str">
        <f t="shared" si="235"/>
        <v/>
      </c>
      <c r="AI1091" s="3" t="s">
        <v>45</v>
      </c>
      <c r="AJ1091" s="3" t="s">
        <v>79</v>
      </c>
      <c r="AK1091" s="3" t="s">
        <v>46</v>
      </c>
      <c r="AL1091" s="3" t="s">
        <v>81</v>
      </c>
      <c r="AM1091" s="3" t="s">
        <v>82</v>
      </c>
    </row>
    <row r="1092" spans="1:39" ht="21" customHeight="1">
      <c r="A1092" s="4">
        <v>43500</v>
      </c>
      <c r="B1092" s="3" t="s">
        <v>78</v>
      </c>
      <c r="C1092" s="3" t="s">
        <v>79</v>
      </c>
      <c r="D1092" s="4">
        <v>43159</v>
      </c>
      <c r="E1092" s="3">
        <f t="shared" si="236"/>
        <v>341</v>
      </c>
      <c r="F1092" s="3" t="str">
        <f t="shared" si="237"/>
        <v>개봉후</v>
      </c>
      <c r="G1092" s="3" t="str">
        <f t="shared" si="238"/>
        <v>월</v>
      </c>
      <c r="H1092" s="3">
        <f t="shared" si="239"/>
        <v>0</v>
      </c>
      <c r="I1092" s="3">
        <v>48825</v>
      </c>
      <c r="J1092" s="3">
        <v>42738</v>
      </c>
      <c r="K1092" s="3">
        <v>6086</v>
      </c>
      <c r="L1092" s="12">
        <f t="shared" si="240"/>
        <v>0.87533026113671275</v>
      </c>
      <c r="M1092" s="12">
        <f t="shared" si="241"/>
        <v>0.42654706947934318</v>
      </c>
      <c r="N1092" s="11">
        <f t="shared" si="243"/>
        <v>27112</v>
      </c>
      <c r="O1092" s="11">
        <f t="shared" si="229"/>
        <v>22801.642857142859</v>
      </c>
      <c r="P1092" s="11">
        <f t="shared" si="230"/>
        <v>2.1412930772532053</v>
      </c>
      <c r="Q1092" s="7"/>
      <c r="R1092" s="7"/>
      <c r="S1092" s="7"/>
      <c r="T1092" s="7"/>
      <c r="U1092" s="7"/>
      <c r="V1092" s="7"/>
      <c r="W1092" s="7"/>
      <c r="X1092" s="3" t="s">
        <v>90</v>
      </c>
      <c r="Y1092" s="3"/>
      <c r="Z1092" s="9"/>
      <c r="AA1092" s="12" t="str">
        <f t="shared" si="242"/>
        <v/>
      </c>
      <c r="AB1092" s="9" t="str">
        <f t="shared" si="244"/>
        <v/>
      </c>
      <c r="AC1092" s="9" t="str">
        <f t="shared" si="231"/>
        <v/>
      </c>
      <c r="AD1092" s="9" t="str">
        <f t="shared" si="232"/>
        <v/>
      </c>
      <c r="AE1092" s="3"/>
      <c r="AF1092" s="11">
        <f t="shared" si="233"/>
        <v>10149.25</v>
      </c>
      <c r="AG1092" s="11">
        <f t="shared" si="234"/>
        <v>4.2109515481439512</v>
      </c>
      <c r="AH1092" s="11" t="str">
        <f t="shared" si="235"/>
        <v/>
      </c>
      <c r="AI1092" s="3" t="s">
        <v>45</v>
      </c>
      <c r="AJ1092" s="3" t="s">
        <v>79</v>
      </c>
      <c r="AK1092" s="3" t="s">
        <v>46</v>
      </c>
      <c r="AL1092" s="3" t="s">
        <v>81</v>
      </c>
      <c r="AM1092" s="3" t="s">
        <v>82</v>
      </c>
    </row>
    <row r="1093" spans="1:39" ht="21" customHeight="1">
      <c r="A1093" s="4">
        <v>43501</v>
      </c>
      <c r="B1093" s="3" t="s">
        <v>78</v>
      </c>
      <c r="C1093" s="3" t="s">
        <v>79</v>
      </c>
      <c r="D1093" s="4">
        <v>43159</v>
      </c>
      <c r="E1093" s="3">
        <f t="shared" si="236"/>
        <v>342</v>
      </c>
      <c r="F1093" s="3" t="str">
        <f t="shared" si="237"/>
        <v>개봉후</v>
      </c>
      <c r="G1093" s="3" t="str">
        <f t="shared" si="238"/>
        <v>화</v>
      </c>
      <c r="H1093" s="3">
        <f t="shared" si="239"/>
        <v>0</v>
      </c>
      <c r="I1093" s="3">
        <v>85544</v>
      </c>
      <c r="J1093" s="3">
        <v>79586</v>
      </c>
      <c r="K1093" s="3">
        <v>5957</v>
      </c>
      <c r="L1093" s="12">
        <f t="shared" si="240"/>
        <v>0.93035163190872538</v>
      </c>
      <c r="M1093" s="12">
        <f t="shared" si="241"/>
        <v>0.75205325140809021</v>
      </c>
      <c r="N1093" s="11">
        <f t="shared" si="243"/>
        <v>36504</v>
      </c>
      <c r="O1093" s="11">
        <f t="shared" si="229"/>
        <v>23909.035714285714</v>
      </c>
      <c r="P1093" s="11">
        <f t="shared" si="230"/>
        <v>3.5778941912277635</v>
      </c>
      <c r="Q1093" s="7"/>
      <c r="R1093" s="7"/>
      <c r="S1093" s="7"/>
      <c r="T1093" s="7"/>
      <c r="U1093" s="7"/>
      <c r="V1093" s="7"/>
      <c r="W1093" s="7"/>
      <c r="X1093" s="3" t="s">
        <v>90</v>
      </c>
      <c r="Y1093" s="3"/>
      <c r="Z1093" s="9"/>
      <c r="AA1093" s="12" t="str">
        <f t="shared" si="242"/>
        <v/>
      </c>
      <c r="AB1093" s="9" t="str">
        <f t="shared" si="244"/>
        <v/>
      </c>
      <c r="AC1093" s="9" t="str">
        <f t="shared" si="231"/>
        <v/>
      </c>
      <c r="AD1093" s="9" t="str">
        <f t="shared" si="232"/>
        <v/>
      </c>
      <c r="AE1093" s="3"/>
      <c r="AF1093" s="11">
        <f t="shared" si="233"/>
        <v>12245.5</v>
      </c>
      <c r="AG1093" s="11">
        <f t="shared" si="234"/>
        <v>6.4992037891470336</v>
      </c>
      <c r="AH1093" s="11" t="str">
        <f t="shared" si="235"/>
        <v/>
      </c>
      <c r="AI1093" s="3" t="s">
        <v>45</v>
      </c>
      <c r="AJ1093" s="3" t="s">
        <v>79</v>
      </c>
      <c r="AK1093" s="3" t="s">
        <v>46</v>
      </c>
      <c r="AL1093" s="3" t="s">
        <v>81</v>
      </c>
      <c r="AM1093" s="3" t="s">
        <v>82</v>
      </c>
    </row>
    <row r="1094" spans="1:39" ht="21" customHeight="1">
      <c r="A1094" s="4">
        <v>43502</v>
      </c>
      <c r="B1094" s="3" t="s">
        <v>78</v>
      </c>
      <c r="C1094" s="3" t="s">
        <v>79</v>
      </c>
      <c r="D1094" s="4">
        <v>43159</v>
      </c>
      <c r="E1094" s="3">
        <f t="shared" si="236"/>
        <v>343</v>
      </c>
      <c r="F1094" s="3" t="str">
        <f t="shared" si="237"/>
        <v>개봉후</v>
      </c>
      <c r="G1094" s="3" t="str">
        <f t="shared" si="238"/>
        <v>수</v>
      </c>
      <c r="H1094" s="3">
        <f t="shared" si="239"/>
        <v>0</v>
      </c>
      <c r="I1094" s="3">
        <v>42276</v>
      </c>
      <c r="J1094" s="3">
        <v>36054</v>
      </c>
      <c r="K1094" s="3">
        <v>6223</v>
      </c>
      <c r="L1094" s="12">
        <f t="shared" si="240"/>
        <v>0.852824297473744</v>
      </c>
      <c r="M1094" s="12">
        <f t="shared" si="241"/>
        <v>-0.5057981857289815</v>
      </c>
      <c r="N1094" s="11">
        <f t="shared" si="243"/>
        <v>39654.857142857145</v>
      </c>
      <c r="O1094" s="11">
        <f t="shared" si="229"/>
        <v>26182.178571428572</v>
      </c>
      <c r="P1094" s="11">
        <f t="shared" si="230"/>
        <v>1.6146861073712899</v>
      </c>
      <c r="Q1094" s="7"/>
      <c r="R1094" s="7"/>
      <c r="S1094" s="7"/>
      <c r="T1094" s="7"/>
      <c r="U1094" s="7"/>
      <c r="V1094" s="7"/>
      <c r="W1094" s="7"/>
      <c r="X1094" s="3" t="s">
        <v>90</v>
      </c>
      <c r="Y1094" s="3"/>
      <c r="Z1094" s="9"/>
      <c r="AA1094" s="12" t="str">
        <f t="shared" si="242"/>
        <v/>
      </c>
      <c r="AB1094" s="9" t="str">
        <f t="shared" si="244"/>
        <v/>
      </c>
      <c r="AC1094" s="9" t="str">
        <f t="shared" si="231"/>
        <v/>
      </c>
      <c r="AD1094" s="9" t="str">
        <f t="shared" si="232"/>
        <v/>
      </c>
      <c r="AE1094" s="3"/>
      <c r="AF1094" s="11">
        <f t="shared" si="233"/>
        <v>10575.25</v>
      </c>
      <c r="AG1094" s="11">
        <f t="shared" si="234"/>
        <v>3.4092811044656153</v>
      </c>
      <c r="AH1094" s="11" t="str">
        <f t="shared" si="235"/>
        <v/>
      </c>
      <c r="AI1094" s="3" t="s">
        <v>45</v>
      </c>
      <c r="AJ1094" s="3" t="s">
        <v>79</v>
      </c>
      <c r="AK1094" s="3" t="s">
        <v>46</v>
      </c>
      <c r="AL1094" s="3" t="s">
        <v>81</v>
      </c>
      <c r="AM1094" s="3" t="s">
        <v>82</v>
      </c>
    </row>
    <row r="1095" spans="1:39" ht="21" customHeight="1">
      <c r="A1095" s="4">
        <v>43503</v>
      </c>
      <c r="B1095" s="3" t="s">
        <v>78</v>
      </c>
      <c r="C1095" s="3" t="s">
        <v>79</v>
      </c>
      <c r="D1095" s="4">
        <v>43159</v>
      </c>
      <c r="E1095" s="3">
        <f t="shared" si="236"/>
        <v>344</v>
      </c>
      <c r="F1095" s="3" t="str">
        <f t="shared" si="237"/>
        <v>개봉후</v>
      </c>
      <c r="G1095" s="3" t="str">
        <f t="shared" si="238"/>
        <v>목</v>
      </c>
      <c r="H1095" s="3">
        <f t="shared" si="239"/>
        <v>0</v>
      </c>
      <c r="I1095" s="3">
        <v>19411</v>
      </c>
      <c r="J1095" s="3">
        <v>11378</v>
      </c>
      <c r="K1095" s="3">
        <v>8032</v>
      </c>
      <c r="L1095" s="12">
        <f t="shared" si="240"/>
        <v>0.58616248518881042</v>
      </c>
      <c r="M1095" s="12">
        <f t="shared" si="241"/>
        <v>-0.5408506008137004</v>
      </c>
      <c r="N1095" s="11">
        <f t="shared" si="243"/>
        <v>39566.857142857145</v>
      </c>
      <c r="O1095" s="11">
        <f t="shared" si="229"/>
        <v>27052.035714285714</v>
      </c>
      <c r="P1095" s="11">
        <f t="shared" si="230"/>
        <v>0.71754304204727137</v>
      </c>
      <c r="Q1095" s="7"/>
      <c r="R1095" s="7"/>
      <c r="S1095" s="7"/>
      <c r="T1095" s="7"/>
      <c r="U1095" s="7"/>
      <c r="V1095" s="7"/>
      <c r="W1095" s="7"/>
      <c r="X1095" s="3" t="s">
        <v>90</v>
      </c>
      <c r="Y1095" s="3"/>
      <c r="Z1095" s="9"/>
      <c r="AA1095" s="12" t="str">
        <f t="shared" si="242"/>
        <v/>
      </c>
      <c r="AB1095" s="9" t="str">
        <f t="shared" si="244"/>
        <v/>
      </c>
      <c r="AC1095" s="9" t="str">
        <f t="shared" si="231"/>
        <v/>
      </c>
      <c r="AD1095" s="9" t="str">
        <f t="shared" si="232"/>
        <v/>
      </c>
      <c r="AE1095" s="3"/>
      <c r="AF1095" s="11">
        <f t="shared" si="233"/>
        <v>12887</v>
      </c>
      <c r="AG1095" s="11">
        <f t="shared" si="234"/>
        <v>0.88290525335609527</v>
      </c>
      <c r="AH1095" s="11" t="str">
        <f t="shared" si="235"/>
        <v/>
      </c>
      <c r="AI1095" s="3" t="s">
        <v>45</v>
      </c>
      <c r="AJ1095" s="3" t="s">
        <v>79</v>
      </c>
      <c r="AK1095" s="3" t="s">
        <v>46</v>
      </c>
      <c r="AL1095" s="3" t="s">
        <v>81</v>
      </c>
      <c r="AM1095" s="3" t="s">
        <v>82</v>
      </c>
    </row>
    <row r="1096" spans="1:39" ht="21" customHeight="1">
      <c r="A1096" s="4">
        <v>43504</v>
      </c>
      <c r="B1096" s="3" t="s">
        <v>78</v>
      </c>
      <c r="C1096" s="3" t="s">
        <v>79</v>
      </c>
      <c r="D1096" s="4">
        <v>43159</v>
      </c>
      <c r="E1096" s="3">
        <f t="shared" si="236"/>
        <v>345</v>
      </c>
      <c r="F1096" s="3" t="str">
        <f t="shared" si="237"/>
        <v>개봉후</v>
      </c>
      <c r="G1096" s="3" t="str">
        <f t="shared" si="238"/>
        <v>금</v>
      </c>
      <c r="H1096" s="3">
        <f t="shared" si="239"/>
        <v>0</v>
      </c>
      <c r="I1096" s="3">
        <v>19131</v>
      </c>
      <c r="J1096" s="3">
        <v>10584</v>
      </c>
      <c r="K1096" s="3">
        <v>8547</v>
      </c>
      <c r="L1096" s="12">
        <f t="shared" si="240"/>
        <v>0.55323819978046107</v>
      </c>
      <c r="M1096" s="12">
        <f t="shared" si="241"/>
        <v>-1.4424810674359856E-2</v>
      </c>
      <c r="N1096" s="11">
        <f t="shared" si="243"/>
        <v>39536.428571428572</v>
      </c>
      <c r="O1096" s="11">
        <f t="shared" si="229"/>
        <v>26957.928571428572</v>
      </c>
      <c r="P1096" s="11">
        <f t="shared" si="230"/>
        <v>0.70966135062306079</v>
      </c>
      <c r="Q1096" s="7"/>
      <c r="R1096" s="7"/>
      <c r="S1096" s="7"/>
      <c r="T1096" s="7"/>
      <c r="U1096" s="7"/>
      <c r="V1096" s="7"/>
      <c r="W1096" s="7"/>
      <c r="X1096" s="3" t="s">
        <v>90</v>
      </c>
      <c r="Y1096" s="3"/>
      <c r="Z1096" s="9"/>
      <c r="AA1096" s="12" t="str">
        <f t="shared" si="242"/>
        <v/>
      </c>
      <c r="AB1096" s="9" t="str">
        <f t="shared" si="244"/>
        <v/>
      </c>
      <c r="AC1096" s="9" t="str">
        <f t="shared" si="231"/>
        <v/>
      </c>
      <c r="AD1096" s="9" t="str">
        <f t="shared" si="232"/>
        <v/>
      </c>
      <c r="AE1096" s="3"/>
      <c r="AF1096" s="11">
        <f t="shared" si="233"/>
        <v>13202.75</v>
      </c>
      <c r="AG1096" s="11">
        <f t="shared" si="234"/>
        <v>0.80165117115752405</v>
      </c>
      <c r="AH1096" s="11" t="str">
        <f t="shared" si="235"/>
        <v/>
      </c>
      <c r="AI1096" s="3" t="s">
        <v>45</v>
      </c>
      <c r="AJ1096" s="3" t="s">
        <v>79</v>
      </c>
      <c r="AK1096" s="3" t="s">
        <v>46</v>
      </c>
      <c r="AL1096" s="3" t="s">
        <v>81</v>
      </c>
      <c r="AM1096" s="3" t="s">
        <v>82</v>
      </c>
    </row>
    <row r="1097" spans="1:39" ht="21" customHeight="1">
      <c r="A1097" s="4">
        <v>43505</v>
      </c>
      <c r="B1097" s="3" t="s">
        <v>78</v>
      </c>
      <c r="C1097" s="3" t="s">
        <v>79</v>
      </c>
      <c r="D1097" s="4">
        <v>43159</v>
      </c>
      <c r="E1097" s="3">
        <f t="shared" si="236"/>
        <v>346</v>
      </c>
      <c r="F1097" s="3" t="str">
        <f t="shared" si="237"/>
        <v>개봉후</v>
      </c>
      <c r="G1097" s="3" t="str">
        <f t="shared" si="238"/>
        <v>토</v>
      </c>
      <c r="H1097" s="3">
        <f t="shared" si="239"/>
        <v>1</v>
      </c>
      <c r="I1097" s="3">
        <v>23030</v>
      </c>
      <c r="J1097" s="3">
        <v>15824</v>
      </c>
      <c r="K1097" s="3">
        <v>7206</v>
      </c>
      <c r="L1097" s="12">
        <f t="shared" si="240"/>
        <v>0.68710377768128528</v>
      </c>
      <c r="M1097" s="12">
        <f t="shared" si="241"/>
        <v>0.20380534211489199</v>
      </c>
      <c r="N1097" s="11">
        <f t="shared" si="243"/>
        <v>38920.428571428572</v>
      </c>
      <c r="O1097" s="11">
        <f t="shared" si="229"/>
        <v>26905.678571428572</v>
      </c>
      <c r="P1097" s="11">
        <f t="shared" si="230"/>
        <v>0.85595313787981553</v>
      </c>
      <c r="Q1097" s="7"/>
      <c r="R1097" s="7"/>
      <c r="S1097" s="7"/>
      <c r="T1097" s="7"/>
      <c r="U1097" s="7"/>
      <c r="V1097" s="7"/>
      <c r="W1097" s="7"/>
      <c r="X1097" s="3" t="s">
        <v>90</v>
      </c>
      <c r="Y1097" s="3"/>
      <c r="Z1097" s="9"/>
      <c r="AA1097" s="12" t="str">
        <f t="shared" si="242"/>
        <v/>
      </c>
      <c r="AB1097" s="9" t="str">
        <f t="shared" si="244"/>
        <v/>
      </c>
      <c r="AC1097" s="9" t="str">
        <f t="shared" si="231"/>
        <v/>
      </c>
      <c r="AD1097" s="9" t="str">
        <f t="shared" si="232"/>
        <v/>
      </c>
      <c r="AE1097" s="3"/>
      <c r="AF1097" s="11">
        <f t="shared" si="233"/>
        <v>20162.5</v>
      </c>
      <c r="AG1097" s="11">
        <f t="shared" si="234"/>
        <v>0.7848233106013639</v>
      </c>
      <c r="AH1097" s="11" t="str">
        <f t="shared" si="235"/>
        <v/>
      </c>
      <c r="AI1097" s="3" t="s">
        <v>45</v>
      </c>
      <c r="AJ1097" s="3" t="s">
        <v>79</v>
      </c>
      <c r="AK1097" s="3" t="s">
        <v>46</v>
      </c>
      <c r="AL1097" s="3" t="s">
        <v>81</v>
      </c>
      <c r="AM1097" s="3" t="s">
        <v>82</v>
      </c>
    </row>
    <row r="1098" spans="1:39" ht="21" customHeight="1">
      <c r="A1098" s="4">
        <v>43506</v>
      </c>
      <c r="B1098" s="3" t="s">
        <v>78</v>
      </c>
      <c r="C1098" s="3" t="s">
        <v>79</v>
      </c>
      <c r="D1098" s="4">
        <v>43159</v>
      </c>
      <c r="E1098" s="3">
        <f t="shared" si="236"/>
        <v>347</v>
      </c>
      <c r="F1098" s="3" t="str">
        <f t="shared" si="237"/>
        <v>개봉후</v>
      </c>
      <c r="G1098" s="3" t="str">
        <f t="shared" si="238"/>
        <v>일</v>
      </c>
      <c r="H1098" s="3">
        <f t="shared" si="239"/>
        <v>1</v>
      </c>
      <c r="I1098" s="3">
        <v>24084</v>
      </c>
      <c r="J1098" s="3">
        <v>17280</v>
      </c>
      <c r="K1098" s="3">
        <v>6804</v>
      </c>
      <c r="L1098" s="12">
        <f t="shared" si="240"/>
        <v>0.71748878923766812</v>
      </c>
      <c r="M1098" s="12">
        <f t="shared" si="241"/>
        <v>4.5766391663048189E-2</v>
      </c>
      <c r="N1098" s="11">
        <f t="shared" si="243"/>
        <v>37471.571428571428</v>
      </c>
      <c r="O1098" s="11">
        <f t="shared" si="229"/>
        <v>26639.928571428572</v>
      </c>
      <c r="P1098" s="11">
        <f t="shared" si="230"/>
        <v>0.90405647805790978</v>
      </c>
      <c r="Q1098" s="7"/>
      <c r="R1098" s="7"/>
      <c r="S1098" s="7"/>
      <c r="T1098" s="7"/>
      <c r="U1098" s="7"/>
      <c r="V1098" s="7"/>
      <c r="W1098" s="7"/>
      <c r="X1098" s="3" t="s">
        <v>90</v>
      </c>
      <c r="Y1098" s="3"/>
      <c r="Z1098" s="9"/>
      <c r="AA1098" s="12" t="str">
        <f t="shared" si="242"/>
        <v/>
      </c>
      <c r="AB1098" s="9" t="str">
        <f t="shared" si="244"/>
        <v/>
      </c>
      <c r="AC1098" s="9" t="str">
        <f t="shared" si="231"/>
        <v/>
      </c>
      <c r="AD1098" s="9" t="str">
        <f t="shared" si="232"/>
        <v/>
      </c>
      <c r="AE1098" s="3"/>
      <c r="AF1098" s="11">
        <f t="shared" si="233"/>
        <v>23095</v>
      </c>
      <c r="AG1098" s="11">
        <f t="shared" si="234"/>
        <v>0.74821389911236202</v>
      </c>
      <c r="AH1098" s="11" t="str">
        <f t="shared" si="235"/>
        <v/>
      </c>
      <c r="AI1098" s="3" t="s">
        <v>45</v>
      </c>
      <c r="AJ1098" s="3" t="s">
        <v>79</v>
      </c>
      <c r="AK1098" s="3" t="s">
        <v>46</v>
      </c>
      <c r="AL1098" s="3" t="s">
        <v>81</v>
      </c>
      <c r="AM1098" s="3" t="s">
        <v>82</v>
      </c>
    </row>
    <row r="1099" spans="1:39" ht="21" customHeight="1">
      <c r="A1099" s="4">
        <v>43507</v>
      </c>
      <c r="B1099" s="3" t="s">
        <v>78</v>
      </c>
      <c r="C1099" s="3" t="s">
        <v>79</v>
      </c>
      <c r="D1099" s="4">
        <v>43159</v>
      </c>
      <c r="E1099" s="3">
        <f t="shared" si="236"/>
        <v>348</v>
      </c>
      <c r="F1099" s="3" t="str">
        <f t="shared" si="237"/>
        <v>개봉후</v>
      </c>
      <c r="G1099" s="3" t="str">
        <f t="shared" si="238"/>
        <v>월</v>
      </c>
      <c r="H1099" s="3">
        <f t="shared" si="239"/>
        <v>0</v>
      </c>
      <c r="I1099" s="3">
        <v>18991</v>
      </c>
      <c r="J1099" s="3">
        <v>10028</v>
      </c>
      <c r="K1099" s="3">
        <v>8964</v>
      </c>
      <c r="L1099" s="12">
        <f t="shared" si="240"/>
        <v>0.52803959770417563</v>
      </c>
      <c r="M1099" s="12">
        <f t="shared" si="241"/>
        <v>-0.21146819465205113</v>
      </c>
      <c r="N1099" s="11">
        <f t="shared" si="243"/>
        <v>33209.571428571428</v>
      </c>
      <c r="O1099" s="11">
        <f t="shared" si="229"/>
        <v>26454.214285714286</v>
      </c>
      <c r="P1099" s="11">
        <f t="shared" si="230"/>
        <v>0.71788183897245639</v>
      </c>
      <c r="Q1099" s="7"/>
      <c r="R1099" s="7"/>
      <c r="S1099" s="7"/>
      <c r="T1099" s="7"/>
      <c r="U1099" s="7"/>
      <c r="V1099" s="7"/>
      <c r="W1099" s="7"/>
      <c r="X1099" s="3" t="s">
        <v>90</v>
      </c>
      <c r="Y1099" s="3"/>
      <c r="Z1099" s="9"/>
      <c r="AA1099" s="12" t="str">
        <f t="shared" si="242"/>
        <v/>
      </c>
      <c r="AB1099" s="9" t="str">
        <f t="shared" si="244"/>
        <v/>
      </c>
      <c r="AC1099" s="9" t="str">
        <f t="shared" si="231"/>
        <v/>
      </c>
      <c r="AD1099" s="9" t="str">
        <f t="shared" si="232"/>
        <v/>
      </c>
      <c r="AE1099" s="3"/>
      <c r="AF1099" s="11">
        <f t="shared" si="233"/>
        <v>18539.5</v>
      </c>
      <c r="AG1099" s="11">
        <f t="shared" si="234"/>
        <v>0.54089916125030335</v>
      </c>
      <c r="AH1099" s="11" t="str">
        <f t="shared" si="235"/>
        <v/>
      </c>
      <c r="AI1099" s="3" t="s">
        <v>45</v>
      </c>
      <c r="AJ1099" s="3" t="s">
        <v>79</v>
      </c>
      <c r="AK1099" s="3" t="s">
        <v>46</v>
      </c>
      <c r="AL1099" s="3" t="s">
        <v>81</v>
      </c>
      <c r="AM1099" s="3" t="s">
        <v>82</v>
      </c>
    </row>
    <row r="1100" spans="1:39" ht="21" customHeight="1">
      <c r="A1100" s="4">
        <v>43508</v>
      </c>
      <c r="B1100" s="3" t="s">
        <v>78</v>
      </c>
      <c r="C1100" s="3" t="s">
        <v>79</v>
      </c>
      <c r="D1100" s="4">
        <v>43159</v>
      </c>
      <c r="E1100" s="3">
        <f t="shared" si="236"/>
        <v>349</v>
      </c>
      <c r="F1100" s="3" t="str">
        <f t="shared" si="237"/>
        <v>개봉후</v>
      </c>
      <c r="G1100" s="3" t="str">
        <f t="shared" si="238"/>
        <v>화</v>
      </c>
      <c r="H1100" s="3">
        <f t="shared" si="239"/>
        <v>0</v>
      </c>
      <c r="I1100" s="3">
        <v>19362</v>
      </c>
      <c r="J1100" s="3">
        <v>10272</v>
      </c>
      <c r="K1100" s="3">
        <v>9090</v>
      </c>
      <c r="L1100" s="12">
        <f t="shared" si="240"/>
        <v>0.53052370622869538</v>
      </c>
      <c r="M1100" s="12">
        <f t="shared" si="241"/>
        <v>1.9535569480280124E-2</v>
      </c>
      <c r="N1100" s="11">
        <f t="shared" si="243"/>
        <v>23755</v>
      </c>
      <c r="O1100" s="11">
        <f t="shared" si="229"/>
        <v>26450.964285714286</v>
      </c>
      <c r="P1100" s="11">
        <f t="shared" si="230"/>
        <v>0.73199599798549064</v>
      </c>
      <c r="Q1100" s="7"/>
      <c r="R1100" s="7"/>
      <c r="S1100" s="7"/>
      <c r="T1100" s="7"/>
      <c r="U1100" s="7"/>
      <c r="V1100" s="7"/>
      <c r="W1100" s="7"/>
      <c r="X1100" s="3" t="s">
        <v>90</v>
      </c>
      <c r="Y1100" s="3"/>
      <c r="Z1100" s="9"/>
      <c r="AA1100" s="12" t="str">
        <f t="shared" si="242"/>
        <v/>
      </c>
      <c r="AB1100" s="9" t="str">
        <f t="shared" si="244"/>
        <v/>
      </c>
      <c r="AC1100" s="9" t="str">
        <f t="shared" si="231"/>
        <v/>
      </c>
      <c r="AD1100" s="9" t="str">
        <f t="shared" si="232"/>
        <v/>
      </c>
      <c r="AE1100" s="3"/>
      <c r="AF1100" s="11">
        <f t="shared" si="233"/>
        <v>28841.5</v>
      </c>
      <c r="AG1100" s="11">
        <f t="shared" si="234"/>
        <v>0.35615345942478721</v>
      </c>
      <c r="AH1100" s="11" t="str">
        <f t="shared" si="235"/>
        <v/>
      </c>
      <c r="AI1100" s="3" t="s">
        <v>45</v>
      </c>
      <c r="AJ1100" s="3" t="s">
        <v>79</v>
      </c>
      <c r="AK1100" s="3" t="s">
        <v>46</v>
      </c>
      <c r="AL1100" s="3" t="s">
        <v>81</v>
      </c>
      <c r="AM1100" s="3" t="s">
        <v>82</v>
      </c>
    </row>
    <row r="1101" spans="1:39" ht="21" customHeight="1">
      <c r="A1101" s="4">
        <v>43509</v>
      </c>
      <c r="B1101" s="3" t="s">
        <v>78</v>
      </c>
      <c r="C1101" s="3" t="s">
        <v>79</v>
      </c>
      <c r="D1101" s="4">
        <v>43159</v>
      </c>
      <c r="E1101" s="3">
        <f t="shared" si="236"/>
        <v>350</v>
      </c>
      <c r="F1101" s="3" t="str">
        <f t="shared" si="237"/>
        <v>개봉후</v>
      </c>
      <c r="G1101" s="3" t="str">
        <f t="shared" si="238"/>
        <v>수</v>
      </c>
      <c r="H1101" s="3">
        <f t="shared" si="239"/>
        <v>0</v>
      </c>
      <c r="I1101" s="3">
        <v>19898</v>
      </c>
      <c r="J1101" s="3">
        <v>10801</v>
      </c>
      <c r="K1101" s="3">
        <v>9096</v>
      </c>
      <c r="L1101" s="12">
        <f t="shared" si="240"/>
        <v>0.54281837370590014</v>
      </c>
      <c r="M1101" s="12">
        <f t="shared" si="241"/>
        <v>2.7683090589815107E-2</v>
      </c>
      <c r="N1101" s="11">
        <f t="shared" si="243"/>
        <v>20558.142857142859</v>
      </c>
      <c r="O1101" s="11">
        <f t="shared" si="229"/>
        <v>26483.464285714286</v>
      </c>
      <c r="P1101" s="11">
        <f t="shared" si="230"/>
        <v>0.7513367505599855</v>
      </c>
      <c r="Q1101" s="7"/>
      <c r="R1101" s="7"/>
      <c r="S1101" s="7"/>
      <c r="T1101" s="7"/>
      <c r="U1101" s="7"/>
      <c r="V1101" s="7"/>
      <c r="W1101" s="7"/>
      <c r="X1101" s="3" t="s">
        <v>90</v>
      </c>
      <c r="Y1101" s="3"/>
      <c r="Z1101" s="9"/>
      <c r="AA1101" s="12" t="str">
        <f t="shared" si="242"/>
        <v/>
      </c>
      <c r="AB1101" s="9" t="str">
        <f t="shared" si="244"/>
        <v/>
      </c>
      <c r="AC1101" s="9" t="str">
        <f t="shared" si="231"/>
        <v/>
      </c>
      <c r="AD1101" s="9" t="str">
        <f t="shared" si="232"/>
        <v/>
      </c>
      <c r="AE1101" s="3"/>
      <c r="AF1101" s="11">
        <f t="shared" si="233"/>
        <v>17270.75</v>
      </c>
      <c r="AG1101" s="11">
        <f t="shared" si="234"/>
        <v>0.62539264363157365</v>
      </c>
      <c r="AH1101" s="11" t="str">
        <f t="shared" si="235"/>
        <v/>
      </c>
      <c r="AI1101" s="3" t="s">
        <v>45</v>
      </c>
      <c r="AJ1101" s="3" t="s">
        <v>79</v>
      </c>
      <c r="AK1101" s="3" t="s">
        <v>46</v>
      </c>
      <c r="AL1101" s="3" t="s">
        <v>81</v>
      </c>
      <c r="AM1101" s="3" t="s">
        <v>82</v>
      </c>
    </row>
    <row r="1102" spans="1:39" ht="21" customHeight="1">
      <c r="A1102" s="4">
        <v>43510</v>
      </c>
      <c r="B1102" s="3" t="s">
        <v>78</v>
      </c>
      <c r="C1102" s="3" t="s">
        <v>79</v>
      </c>
      <c r="D1102" s="4">
        <v>43159</v>
      </c>
      <c r="E1102" s="3">
        <f t="shared" si="236"/>
        <v>351</v>
      </c>
      <c r="F1102" s="3" t="str">
        <f t="shared" si="237"/>
        <v>개봉후</v>
      </c>
      <c r="G1102" s="3" t="str">
        <f t="shared" si="238"/>
        <v>목</v>
      </c>
      <c r="H1102" s="3">
        <f t="shared" si="239"/>
        <v>0</v>
      </c>
      <c r="I1102" s="3">
        <v>19894</v>
      </c>
      <c r="J1102" s="3">
        <v>11000</v>
      </c>
      <c r="K1102" s="3">
        <v>8894</v>
      </c>
      <c r="L1102" s="12">
        <f t="shared" si="240"/>
        <v>0.55293053181863883</v>
      </c>
      <c r="M1102" s="12">
        <f t="shared" si="241"/>
        <v>-2.010252286661629E-4</v>
      </c>
      <c r="N1102" s="11">
        <f t="shared" si="243"/>
        <v>20627.142857142859</v>
      </c>
      <c r="O1102" s="11">
        <f t="shared" si="229"/>
        <v>26521.357142857141</v>
      </c>
      <c r="P1102" s="11">
        <f t="shared" si="230"/>
        <v>0.75011244307148695</v>
      </c>
      <c r="Q1102" s="7"/>
      <c r="R1102" s="7"/>
      <c r="S1102" s="7"/>
      <c r="T1102" s="7"/>
      <c r="U1102" s="7"/>
      <c r="V1102" s="7"/>
      <c r="W1102" s="7"/>
      <c r="X1102" s="3" t="s">
        <v>90</v>
      </c>
      <c r="Y1102" s="3"/>
      <c r="Z1102" s="9"/>
      <c r="AA1102" s="12" t="str">
        <f t="shared" si="242"/>
        <v/>
      </c>
      <c r="AB1102" s="9" t="str">
        <f t="shared" si="244"/>
        <v/>
      </c>
      <c r="AC1102" s="9" t="str">
        <f t="shared" si="231"/>
        <v/>
      </c>
      <c r="AD1102" s="9" t="str">
        <f t="shared" si="232"/>
        <v/>
      </c>
      <c r="AE1102" s="3"/>
      <c r="AF1102" s="11">
        <f t="shared" si="233"/>
        <v>12328.5</v>
      </c>
      <c r="AG1102" s="11">
        <f t="shared" si="234"/>
        <v>0.89224155412256156</v>
      </c>
      <c r="AH1102" s="11" t="str">
        <f t="shared" si="235"/>
        <v/>
      </c>
      <c r="AI1102" s="3" t="s">
        <v>45</v>
      </c>
      <c r="AJ1102" s="3" t="s">
        <v>79</v>
      </c>
      <c r="AK1102" s="3" t="s">
        <v>46</v>
      </c>
      <c r="AL1102" s="3" t="s">
        <v>81</v>
      </c>
      <c r="AM1102" s="3" t="s">
        <v>82</v>
      </c>
    </row>
    <row r="1103" spans="1:39" ht="21" customHeight="1">
      <c r="A1103" s="4">
        <v>43511</v>
      </c>
      <c r="B1103" s="3" t="s">
        <v>78</v>
      </c>
      <c r="C1103" s="3" t="s">
        <v>79</v>
      </c>
      <c r="D1103" s="4">
        <v>43159</v>
      </c>
      <c r="E1103" s="3">
        <f t="shared" si="236"/>
        <v>352</v>
      </c>
      <c r="F1103" s="3" t="str">
        <f t="shared" si="237"/>
        <v>개봉후</v>
      </c>
      <c r="G1103" s="3" t="str">
        <f t="shared" si="238"/>
        <v>금</v>
      </c>
      <c r="H1103" s="3">
        <f t="shared" si="239"/>
        <v>0</v>
      </c>
      <c r="I1103" s="3">
        <v>21784</v>
      </c>
      <c r="J1103" s="3">
        <v>12610</v>
      </c>
      <c r="K1103" s="3">
        <v>9174</v>
      </c>
      <c r="L1103" s="12">
        <f t="shared" si="240"/>
        <v>0.57886522218141756</v>
      </c>
      <c r="M1103" s="12">
        <f t="shared" si="241"/>
        <v>9.5003518648838936E-2</v>
      </c>
      <c r="N1103" s="11">
        <f t="shared" si="243"/>
        <v>21006.142857142859</v>
      </c>
      <c r="O1103" s="11">
        <f t="shared" si="229"/>
        <v>26562.857142857141</v>
      </c>
      <c r="P1103" s="11">
        <f t="shared" si="230"/>
        <v>0.82009250295794345</v>
      </c>
      <c r="Q1103" s="7"/>
      <c r="R1103" s="7"/>
      <c r="S1103" s="7"/>
      <c r="T1103" s="7"/>
      <c r="U1103" s="7"/>
      <c r="V1103" s="7"/>
      <c r="W1103" s="7"/>
      <c r="X1103" s="3" t="s">
        <v>90</v>
      </c>
      <c r="Y1103" s="3"/>
      <c r="Z1103" s="9"/>
      <c r="AA1103" s="12" t="str">
        <f t="shared" si="242"/>
        <v/>
      </c>
      <c r="AB1103" s="9" t="str">
        <f t="shared" si="244"/>
        <v/>
      </c>
      <c r="AC1103" s="9" t="str">
        <f t="shared" si="231"/>
        <v/>
      </c>
      <c r="AD1103" s="9" t="str">
        <f t="shared" si="232"/>
        <v/>
      </c>
      <c r="AE1103" s="3"/>
      <c r="AF1103" s="11">
        <f t="shared" si="233"/>
        <v>12839.75</v>
      </c>
      <c r="AG1103" s="11">
        <f t="shared" si="234"/>
        <v>0.98210634942269126</v>
      </c>
      <c r="AH1103" s="11" t="str">
        <f t="shared" si="235"/>
        <v/>
      </c>
      <c r="AI1103" s="3" t="s">
        <v>45</v>
      </c>
      <c r="AJ1103" s="3" t="s">
        <v>79</v>
      </c>
      <c r="AK1103" s="3" t="s">
        <v>46</v>
      </c>
      <c r="AL1103" s="3" t="s">
        <v>81</v>
      </c>
      <c r="AM1103" s="3" t="s">
        <v>82</v>
      </c>
    </row>
    <row r="1104" spans="1:39" ht="21" customHeight="1">
      <c r="A1104" s="4">
        <v>43512</v>
      </c>
      <c r="B1104" s="3" t="s">
        <v>78</v>
      </c>
      <c r="C1104" s="3" t="s">
        <v>79</v>
      </c>
      <c r="D1104" s="4">
        <v>43159</v>
      </c>
      <c r="E1104" s="3">
        <f t="shared" si="236"/>
        <v>353</v>
      </c>
      <c r="F1104" s="3" t="str">
        <f t="shared" si="237"/>
        <v>개봉후</v>
      </c>
      <c r="G1104" s="3" t="str">
        <f t="shared" si="238"/>
        <v>토</v>
      </c>
      <c r="H1104" s="3">
        <f t="shared" si="239"/>
        <v>1</v>
      </c>
      <c r="I1104" s="3">
        <v>24776</v>
      </c>
      <c r="J1104" s="3">
        <v>17482</v>
      </c>
      <c r="K1104" s="3">
        <v>7294</v>
      </c>
      <c r="L1104" s="12">
        <f t="shared" si="240"/>
        <v>0.70560219567323212</v>
      </c>
      <c r="M1104" s="12">
        <f t="shared" si="241"/>
        <v>0.13734851266984949</v>
      </c>
      <c r="N1104" s="11">
        <f t="shared" si="243"/>
        <v>21255.571428571428</v>
      </c>
      <c r="O1104" s="11">
        <f t="shared" si="229"/>
        <v>26562.5</v>
      </c>
      <c r="P1104" s="11">
        <f t="shared" si="230"/>
        <v>0.93274352941176475</v>
      </c>
      <c r="Q1104" s="7"/>
      <c r="R1104" s="7"/>
      <c r="S1104" s="7"/>
      <c r="T1104" s="7"/>
      <c r="U1104" s="7"/>
      <c r="V1104" s="7"/>
      <c r="W1104" s="7"/>
      <c r="X1104" s="3" t="s">
        <v>90</v>
      </c>
      <c r="Y1104" s="3"/>
      <c r="Z1104" s="9"/>
      <c r="AA1104" s="12" t="str">
        <f t="shared" si="242"/>
        <v/>
      </c>
      <c r="AB1104" s="9" t="str">
        <f t="shared" si="244"/>
        <v/>
      </c>
      <c r="AC1104" s="9" t="str">
        <f t="shared" si="231"/>
        <v/>
      </c>
      <c r="AD1104" s="9" t="str">
        <f t="shared" si="232"/>
        <v/>
      </c>
      <c r="AE1104" s="3"/>
      <c r="AF1104" s="11">
        <f t="shared" si="233"/>
        <v>18142.25</v>
      </c>
      <c r="AG1104" s="11">
        <f t="shared" si="234"/>
        <v>0.96360704984221912</v>
      </c>
      <c r="AH1104" s="11" t="str">
        <f t="shared" si="235"/>
        <v/>
      </c>
      <c r="AI1104" s="3" t="s">
        <v>45</v>
      </c>
      <c r="AJ1104" s="3" t="s">
        <v>79</v>
      </c>
      <c r="AK1104" s="3" t="s">
        <v>46</v>
      </c>
      <c r="AL1104" s="3" t="s">
        <v>81</v>
      </c>
      <c r="AM1104" s="3" t="s">
        <v>82</v>
      </c>
    </row>
    <row r="1105" spans="1:39" ht="21" customHeight="1">
      <c r="A1105" s="4">
        <v>43513</v>
      </c>
      <c r="B1105" s="3" t="s">
        <v>78</v>
      </c>
      <c r="C1105" s="3" t="s">
        <v>79</v>
      </c>
      <c r="D1105" s="4">
        <v>43159</v>
      </c>
      <c r="E1105" s="3">
        <f t="shared" si="236"/>
        <v>354</v>
      </c>
      <c r="F1105" s="3" t="str">
        <f t="shared" si="237"/>
        <v>개봉후</v>
      </c>
      <c r="G1105" s="3" t="str">
        <f t="shared" si="238"/>
        <v>일</v>
      </c>
      <c r="H1105" s="3">
        <f t="shared" si="239"/>
        <v>1</v>
      </c>
      <c r="I1105" s="3">
        <v>27349</v>
      </c>
      <c r="J1105" s="3">
        <v>20538</v>
      </c>
      <c r="K1105" s="3">
        <v>6811</v>
      </c>
      <c r="L1105" s="12">
        <f t="shared" si="240"/>
        <v>0.75095981571538262</v>
      </c>
      <c r="M1105" s="12">
        <f t="shared" si="241"/>
        <v>0.10385050048433975</v>
      </c>
      <c r="N1105" s="11">
        <f t="shared" si="243"/>
        <v>21722</v>
      </c>
      <c r="O1105" s="11">
        <f t="shared" si="229"/>
        <v>26495.5</v>
      </c>
      <c r="P1105" s="11">
        <f t="shared" si="230"/>
        <v>1.0322130173048254</v>
      </c>
      <c r="Q1105" s="7"/>
      <c r="R1105" s="7"/>
      <c r="S1105" s="7"/>
      <c r="T1105" s="7"/>
      <c r="U1105" s="7"/>
      <c r="V1105" s="7"/>
      <c r="W1105" s="7"/>
      <c r="X1105" s="3" t="s">
        <v>90</v>
      </c>
      <c r="Y1105" s="3"/>
      <c r="Z1105" s="9"/>
      <c r="AA1105" s="12" t="str">
        <f t="shared" si="242"/>
        <v/>
      </c>
      <c r="AB1105" s="9" t="str">
        <f t="shared" si="244"/>
        <v/>
      </c>
      <c r="AC1105" s="9" t="str">
        <f t="shared" si="231"/>
        <v/>
      </c>
      <c r="AD1105" s="9" t="str">
        <f t="shared" si="232"/>
        <v/>
      </c>
      <c r="AE1105" s="3"/>
      <c r="AF1105" s="11">
        <f t="shared" si="233"/>
        <v>21831.5</v>
      </c>
      <c r="AG1105" s="11">
        <f t="shared" si="234"/>
        <v>0.94075075006298237</v>
      </c>
      <c r="AH1105" s="11" t="str">
        <f t="shared" si="235"/>
        <v/>
      </c>
      <c r="AI1105" s="3" t="s">
        <v>45</v>
      </c>
      <c r="AJ1105" s="3" t="s">
        <v>79</v>
      </c>
      <c r="AK1105" s="3" t="s">
        <v>46</v>
      </c>
      <c r="AL1105" s="3" t="s">
        <v>81</v>
      </c>
      <c r="AM1105" s="3" t="s">
        <v>82</v>
      </c>
    </row>
    <row r="1106" spans="1:39" ht="21" customHeight="1">
      <c r="A1106" s="4">
        <v>43514</v>
      </c>
      <c r="B1106" s="3" t="s">
        <v>78</v>
      </c>
      <c r="C1106" s="3" t="s">
        <v>79</v>
      </c>
      <c r="D1106" s="4">
        <v>43159</v>
      </c>
      <c r="E1106" s="3">
        <f t="shared" si="236"/>
        <v>355</v>
      </c>
      <c r="F1106" s="3" t="str">
        <f t="shared" si="237"/>
        <v>개봉후</v>
      </c>
      <c r="G1106" s="3" t="str">
        <f t="shared" si="238"/>
        <v>월</v>
      </c>
      <c r="H1106" s="3">
        <f t="shared" si="239"/>
        <v>0</v>
      </c>
      <c r="I1106" s="3">
        <v>23660</v>
      </c>
      <c r="J1106" s="3">
        <v>14805</v>
      </c>
      <c r="K1106" s="3">
        <v>8855</v>
      </c>
      <c r="L1106" s="12">
        <f t="shared" si="240"/>
        <v>0.62573964497041423</v>
      </c>
      <c r="M1106" s="12">
        <f t="shared" si="241"/>
        <v>-0.1348861018684413</v>
      </c>
      <c r="N1106" s="11">
        <f t="shared" si="243"/>
        <v>22389</v>
      </c>
      <c r="O1106" s="11">
        <f t="shared" si="229"/>
        <v>26448.607142857141</v>
      </c>
      <c r="P1106" s="11">
        <f t="shared" si="230"/>
        <v>0.89456506621331666</v>
      </c>
      <c r="Q1106" s="7"/>
      <c r="R1106" s="7"/>
      <c r="S1106" s="7"/>
      <c r="T1106" s="7"/>
      <c r="U1106" s="7"/>
      <c r="V1106" s="7"/>
      <c r="W1106" s="7"/>
      <c r="X1106" s="3" t="s">
        <v>90</v>
      </c>
      <c r="Y1106" s="3"/>
      <c r="Z1106" s="9"/>
      <c r="AA1106" s="12" t="str">
        <f t="shared" si="242"/>
        <v/>
      </c>
      <c r="AB1106" s="9" t="str">
        <f t="shared" si="244"/>
        <v/>
      </c>
      <c r="AC1106" s="9" t="str">
        <f t="shared" si="231"/>
        <v/>
      </c>
      <c r="AD1106" s="9" t="str">
        <f t="shared" si="232"/>
        <v/>
      </c>
      <c r="AE1106" s="3"/>
      <c r="AF1106" s="11">
        <f t="shared" si="233"/>
        <v>18459</v>
      </c>
      <c r="AG1106" s="11">
        <f t="shared" si="234"/>
        <v>0.80204778156996592</v>
      </c>
      <c r="AH1106" s="11" t="str">
        <f t="shared" si="235"/>
        <v/>
      </c>
      <c r="AI1106" s="3" t="s">
        <v>45</v>
      </c>
      <c r="AJ1106" s="3" t="s">
        <v>79</v>
      </c>
      <c r="AK1106" s="3" t="s">
        <v>46</v>
      </c>
      <c r="AL1106" s="3" t="s">
        <v>81</v>
      </c>
      <c r="AM1106" s="3" t="s">
        <v>82</v>
      </c>
    </row>
    <row r="1107" spans="1:39" ht="21" customHeight="1">
      <c r="A1107" s="4">
        <v>43515</v>
      </c>
      <c r="B1107" s="3" t="s">
        <v>78</v>
      </c>
      <c r="C1107" s="3" t="s">
        <v>79</v>
      </c>
      <c r="D1107" s="4">
        <v>43159</v>
      </c>
      <c r="E1107" s="3">
        <f t="shared" si="236"/>
        <v>356</v>
      </c>
      <c r="F1107" s="3" t="str">
        <f t="shared" si="237"/>
        <v>개봉후</v>
      </c>
      <c r="G1107" s="3" t="str">
        <f t="shared" si="238"/>
        <v>화</v>
      </c>
      <c r="H1107" s="3">
        <f t="shared" si="239"/>
        <v>0</v>
      </c>
      <c r="I1107" s="3">
        <v>16292</v>
      </c>
      <c r="J1107" s="3">
        <v>8554</v>
      </c>
      <c r="K1107" s="3">
        <v>7738</v>
      </c>
      <c r="L1107" s="12">
        <f t="shared" si="240"/>
        <v>0.52504296587282107</v>
      </c>
      <c r="M1107" s="12">
        <f t="shared" si="241"/>
        <v>-0.31141166525781916</v>
      </c>
      <c r="N1107" s="11">
        <f t="shared" si="243"/>
        <v>21950.428571428572</v>
      </c>
      <c r="O1107" s="11">
        <f t="shared" si="229"/>
        <v>26617.75</v>
      </c>
      <c r="P1107" s="11">
        <f t="shared" si="230"/>
        <v>0.61207277098928348</v>
      </c>
      <c r="Q1107" s="7"/>
      <c r="R1107" s="7"/>
      <c r="S1107" s="7"/>
      <c r="T1107" s="7"/>
      <c r="U1107" s="7"/>
      <c r="V1107" s="7"/>
      <c r="W1107" s="7"/>
      <c r="X1107" s="3" t="s">
        <v>90</v>
      </c>
      <c r="Y1107" s="3"/>
      <c r="Z1107" s="9"/>
      <c r="AA1107" s="12" t="str">
        <f t="shared" si="242"/>
        <v/>
      </c>
      <c r="AB1107" s="9" t="str">
        <f t="shared" si="244"/>
        <v/>
      </c>
      <c r="AC1107" s="9" t="str">
        <f t="shared" si="231"/>
        <v/>
      </c>
      <c r="AD1107" s="9" t="str">
        <f t="shared" si="232"/>
        <v/>
      </c>
      <c r="AE1107" s="3"/>
      <c r="AF1107" s="11">
        <f t="shared" si="233"/>
        <v>28926.25</v>
      </c>
      <c r="AG1107" s="11">
        <f t="shared" si="234"/>
        <v>0.29571755758178125</v>
      </c>
      <c r="AH1107" s="11" t="str">
        <f t="shared" si="235"/>
        <v/>
      </c>
      <c r="AI1107" s="3" t="s">
        <v>45</v>
      </c>
      <c r="AJ1107" s="3" t="s">
        <v>79</v>
      </c>
      <c r="AK1107" s="3" t="s">
        <v>46</v>
      </c>
      <c r="AL1107" s="3" t="s">
        <v>81</v>
      </c>
      <c r="AM1107" s="3" t="s">
        <v>82</v>
      </c>
    </row>
    <row r="1108" spans="1:39" ht="21" customHeight="1">
      <c r="A1108" s="4">
        <v>43516</v>
      </c>
      <c r="B1108" s="3" t="s">
        <v>78</v>
      </c>
      <c r="C1108" s="3" t="s">
        <v>79</v>
      </c>
      <c r="D1108" s="4">
        <v>43159</v>
      </c>
      <c r="E1108" s="3">
        <f t="shared" si="236"/>
        <v>357</v>
      </c>
      <c r="F1108" s="3" t="str">
        <f t="shared" si="237"/>
        <v>개봉후</v>
      </c>
      <c r="G1108" s="3" t="str">
        <f t="shared" si="238"/>
        <v>수</v>
      </c>
      <c r="H1108" s="3">
        <f t="shared" si="239"/>
        <v>0</v>
      </c>
      <c r="I1108" s="3">
        <v>19138</v>
      </c>
      <c r="J1108" s="3">
        <v>10580</v>
      </c>
      <c r="K1108" s="3">
        <v>8558</v>
      </c>
      <c r="L1108" s="12">
        <f t="shared" si="240"/>
        <v>0.55282683666004806</v>
      </c>
      <c r="M1108" s="12">
        <f t="shared" si="241"/>
        <v>0.1746869629265897</v>
      </c>
      <c r="N1108" s="11">
        <f t="shared" si="243"/>
        <v>21841.857142857141</v>
      </c>
      <c r="O1108" s="11">
        <f t="shared" si="229"/>
        <v>26360.357142857141</v>
      </c>
      <c r="P1108" s="11">
        <f t="shared" si="230"/>
        <v>0.72601444268314164</v>
      </c>
      <c r="Q1108" s="7"/>
      <c r="R1108" s="7"/>
      <c r="S1108" s="7"/>
      <c r="T1108" s="7"/>
      <c r="U1108" s="7"/>
      <c r="V1108" s="7"/>
      <c r="W1108" s="7"/>
      <c r="X1108" s="3" t="s">
        <v>90</v>
      </c>
      <c r="Y1108" s="3"/>
      <c r="Z1108" s="9"/>
      <c r="AA1108" s="12" t="str">
        <f t="shared" si="242"/>
        <v/>
      </c>
      <c r="AB1108" s="9" t="str">
        <f t="shared" si="244"/>
        <v/>
      </c>
      <c r="AC1108" s="9" t="str">
        <f t="shared" si="231"/>
        <v/>
      </c>
      <c r="AD1108" s="9" t="str">
        <f t="shared" si="232"/>
        <v/>
      </c>
      <c r="AE1108" s="3"/>
      <c r="AF1108" s="11">
        <f t="shared" si="233"/>
        <v>17385.5</v>
      </c>
      <c r="AG1108" s="11">
        <f t="shared" si="234"/>
        <v>0.60855310459865986</v>
      </c>
      <c r="AH1108" s="11" t="str">
        <f t="shared" si="235"/>
        <v/>
      </c>
      <c r="AI1108" s="3" t="s">
        <v>45</v>
      </c>
      <c r="AJ1108" s="3" t="s">
        <v>79</v>
      </c>
      <c r="AK1108" s="3" t="s">
        <v>46</v>
      </c>
      <c r="AL1108" s="3" t="s">
        <v>81</v>
      </c>
      <c r="AM1108" s="3" t="s">
        <v>82</v>
      </c>
    </row>
    <row r="1109" spans="1:39" ht="21" customHeight="1">
      <c r="A1109" s="4">
        <v>43517</v>
      </c>
      <c r="B1109" s="3" t="s">
        <v>78</v>
      </c>
      <c r="C1109" s="3" t="s">
        <v>79</v>
      </c>
      <c r="D1109" s="4">
        <v>43159</v>
      </c>
      <c r="E1109" s="3">
        <f t="shared" si="236"/>
        <v>358</v>
      </c>
      <c r="F1109" s="3" t="str">
        <f t="shared" si="237"/>
        <v>개봉후</v>
      </c>
      <c r="G1109" s="3" t="str">
        <f t="shared" si="238"/>
        <v>목</v>
      </c>
      <c r="H1109" s="3">
        <f t="shared" si="239"/>
        <v>0</v>
      </c>
      <c r="I1109" s="3">
        <v>20710</v>
      </c>
      <c r="J1109" s="3">
        <v>12075</v>
      </c>
      <c r="K1109" s="3">
        <v>8634</v>
      </c>
      <c r="L1109" s="12">
        <f t="shared" si="240"/>
        <v>0.58305166586190249</v>
      </c>
      <c r="M1109" s="12">
        <f t="shared" si="241"/>
        <v>8.2140244539659291E-2</v>
      </c>
      <c r="N1109" s="11">
        <f t="shared" si="243"/>
        <v>21958.428571428572</v>
      </c>
      <c r="O1109" s="11">
        <f t="shared" si="229"/>
        <v>26312.107142857141</v>
      </c>
      <c r="P1109" s="11">
        <f t="shared" si="230"/>
        <v>0.78709013639837178</v>
      </c>
      <c r="Q1109" s="7"/>
      <c r="R1109" s="7"/>
      <c r="S1109" s="7"/>
      <c r="T1109" s="7"/>
      <c r="U1109" s="7"/>
      <c r="V1109" s="7"/>
      <c r="W1109" s="7"/>
      <c r="X1109" s="3" t="s">
        <v>90</v>
      </c>
      <c r="Y1109" s="3"/>
      <c r="Z1109" s="9"/>
      <c r="AA1109" s="12" t="str">
        <f t="shared" si="242"/>
        <v/>
      </c>
      <c r="AB1109" s="9" t="str">
        <f t="shared" si="244"/>
        <v/>
      </c>
      <c r="AC1109" s="9" t="str">
        <f t="shared" si="231"/>
        <v/>
      </c>
      <c r="AD1109" s="9" t="str">
        <f t="shared" si="232"/>
        <v/>
      </c>
      <c r="AE1109" s="3"/>
      <c r="AF1109" s="11">
        <f t="shared" si="233"/>
        <v>12545.5</v>
      </c>
      <c r="AG1109" s="11">
        <f t="shared" si="234"/>
        <v>0.96249651269379455</v>
      </c>
      <c r="AH1109" s="11" t="str">
        <f t="shared" si="235"/>
        <v/>
      </c>
      <c r="AI1109" s="3" t="s">
        <v>45</v>
      </c>
      <c r="AJ1109" s="3" t="s">
        <v>79</v>
      </c>
      <c r="AK1109" s="3" t="s">
        <v>46</v>
      </c>
      <c r="AL1109" s="3" t="s">
        <v>81</v>
      </c>
      <c r="AM1109" s="3" t="s">
        <v>82</v>
      </c>
    </row>
    <row r="1110" spans="1:39" ht="21" customHeight="1">
      <c r="A1110" s="4">
        <v>43518</v>
      </c>
      <c r="B1110" s="3" t="s">
        <v>78</v>
      </c>
      <c r="C1110" s="3" t="s">
        <v>79</v>
      </c>
      <c r="D1110" s="4">
        <v>43159</v>
      </c>
      <c r="E1110" s="3">
        <f t="shared" si="236"/>
        <v>359</v>
      </c>
      <c r="F1110" s="3" t="str">
        <f t="shared" si="237"/>
        <v>개봉후</v>
      </c>
      <c r="G1110" s="3" t="str">
        <f t="shared" si="238"/>
        <v>금</v>
      </c>
      <c r="H1110" s="3">
        <f t="shared" si="239"/>
        <v>0</v>
      </c>
      <c r="I1110" s="3">
        <v>21682</v>
      </c>
      <c r="J1110" s="3">
        <v>13090</v>
      </c>
      <c r="K1110" s="3">
        <v>8592</v>
      </c>
      <c r="L1110" s="12">
        <f t="shared" si="240"/>
        <v>0.60372659348768565</v>
      </c>
      <c r="M1110" s="12">
        <f t="shared" si="241"/>
        <v>4.6933848382423982E-2</v>
      </c>
      <c r="N1110" s="11">
        <f t="shared" si="243"/>
        <v>21943.857142857141</v>
      </c>
      <c r="O1110" s="11">
        <f t="shared" si="229"/>
        <v>26173.892857142859</v>
      </c>
      <c r="P1110" s="11">
        <f t="shared" si="230"/>
        <v>0.82838269868148329</v>
      </c>
      <c r="Q1110" s="7"/>
      <c r="R1110" s="7"/>
      <c r="S1110" s="7"/>
      <c r="T1110" s="7"/>
      <c r="U1110" s="7"/>
      <c r="V1110" s="7"/>
      <c r="W1110" s="7"/>
      <c r="X1110" s="3" t="s">
        <v>90</v>
      </c>
      <c r="Y1110" s="3"/>
      <c r="Z1110" s="9"/>
      <c r="AA1110" s="12" t="str">
        <f t="shared" si="242"/>
        <v/>
      </c>
      <c r="AB1110" s="9" t="str">
        <f t="shared" si="244"/>
        <v/>
      </c>
      <c r="AC1110" s="9" t="str">
        <f t="shared" si="231"/>
        <v/>
      </c>
      <c r="AD1110" s="9" t="str">
        <f t="shared" si="232"/>
        <v/>
      </c>
      <c r="AE1110" s="3"/>
      <c r="AF1110" s="11">
        <f t="shared" si="233"/>
        <v>12767.75</v>
      </c>
      <c r="AG1110" s="11">
        <f t="shared" si="234"/>
        <v>1.0252393726380922</v>
      </c>
      <c r="AH1110" s="11" t="str">
        <f t="shared" si="235"/>
        <v/>
      </c>
      <c r="AI1110" s="3" t="s">
        <v>45</v>
      </c>
      <c r="AJ1110" s="3" t="s">
        <v>79</v>
      </c>
      <c r="AK1110" s="3" t="s">
        <v>46</v>
      </c>
      <c r="AL1110" s="3" t="s">
        <v>81</v>
      </c>
      <c r="AM1110" s="3" t="s">
        <v>82</v>
      </c>
    </row>
    <row r="1111" spans="1:39" ht="21" customHeight="1">
      <c r="A1111" s="4">
        <v>43519</v>
      </c>
      <c r="B1111" s="3" t="s">
        <v>78</v>
      </c>
      <c r="C1111" s="3" t="s">
        <v>79</v>
      </c>
      <c r="D1111" s="4">
        <v>43159</v>
      </c>
      <c r="E1111" s="3">
        <f t="shared" si="236"/>
        <v>360</v>
      </c>
      <c r="F1111" s="3" t="str">
        <f t="shared" si="237"/>
        <v>개봉후</v>
      </c>
      <c r="G1111" s="3" t="str">
        <f t="shared" si="238"/>
        <v>토</v>
      </c>
      <c r="H1111" s="3">
        <f t="shared" si="239"/>
        <v>1</v>
      </c>
      <c r="I1111" s="3">
        <v>26968</v>
      </c>
      <c r="J1111" s="3">
        <v>19470</v>
      </c>
      <c r="K1111" s="3">
        <v>7497</v>
      </c>
      <c r="L1111" s="12">
        <f t="shared" si="240"/>
        <v>0.72196677543755561</v>
      </c>
      <c r="M1111" s="12">
        <f t="shared" si="241"/>
        <v>0.24379669772161239</v>
      </c>
      <c r="N1111" s="11">
        <f t="shared" si="243"/>
        <v>22257</v>
      </c>
      <c r="O1111" s="11">
        <f t="shared" ref="O1111:O1174" si="245">IF(COUNT(I1083:I1110)=28,AVERAGE(I1083:I1110),"")</f>
        <v>26030</v>
      </c>
      <c r="P1111" s="11">
        <f t="shared" ref="P1111:P1174" si="246">IF(COUNT(I1111,O1111)=2,IFERROR(I1111/O1111,""),"")</f>
        <v>1.0360353438340377</v>
      </c>
      <c r="Q1111" s="7"/>
      <c r="R1111" s="7"/>
      <c r="S1111" s="7"/>
      <c r="T1111" s="7"/>
      <c r="U1111" s="7"/>
      <c r="V1111" s="7"/>
      <c r="W1111" s="7"/>
      <c r="X1111" s="3" t="s">
        <v>90</v>
      </c>
      <c r="Y1111" s="3"/>
      <c r="Z1111" s="9"/>
      <c r="AA1111" s="12" t="str">
        <f t="shared" si="242"/>
        <v/>
      </c>
      <c r="AB1111" s="9" t="str">
        <f t="shared" si="244"/>
        <v/>
      </c>
      <c r="AC1111" s="9" t="str">
        <f t="shared" ref="AC1111:AC1174" si="247">IF(COUNT(Z1083:Z1110)=28,AVERAGE(Z1083:Z1110),"")</f>
        <v/>
      </c>
      <c r="AD1111" s="9" t="str">
        <f t="shared" ref="AD1111:AD1174" si="248">IF(COUNT(AB1111:AC1111)=2,IFERROR(AB1111/AC1111,""),"")</f>
        <v/>
      </c>
      <c r="AE1111" s="3"/>
      <c r="AF1111" s="11">
        <f t="shared" ref="AF1111:AF1174" si="249">IF(COUNT(J1104,J1097,J1090,J1083)=4,AVERAGE(J1104,J1097,J1090,J1083),"")</f>
        <v>17642.5</v>
      </c>
      <c r="AG1111" s="11">
        <f t="shared" ref="AG1111:AG1174" si="250">IF(COUNT(J1111,AF1111)=2,IFERROR(J1111/AF1111,""),"")</f>
        <v>1.1035850928156441</v>
      </c>
      <c r="AH1111" s="11" t="str">
        <f t="shared" ref="AH1111:AH1116" si="251">IF(COUNT(Z1111,AC1111)=2,IFERROR(Z1111/AC1111,""),"")</f>
        <v/>
      </c>
      <c r="AI1111" s="3" t="s">
        <v>45</v>
      </c>
      <c r="AJ1111" s="3" t="s">
        <v>79</v>
      </c>
      <c r="AK1111" s="3" t="s">
        <v>46</v>
      </c>
      <c r="AL1111" s="3" t="s">
        <v>81</v>
      </c>
      <c r="AM1111" s="3" t="s">
        <v>82</v>
      </c>
    </row>
    <row r="1112" spans="1:39" ht="21" customHeight="1">
      <c r="A1112" s="4">
        <v>43520</v>
      </c>
      <c r="B1112" s="3" t="s">
        <v>78</v>
      </c>
      <c r="C1112" s="3" t="s">
        <v>79</v>
      </c>
      <c r="D1112" s="4">
        <v>43159</v>
      </c>
      <c r="E1112" s="3">
        <f t="shared" si="236"/>
        <v>361</v>
      </c>
      <c r="F1112" s="3" t="str">
        <f t="shared" si="237"/>
        <v>개봉후</v>
      </c>
      <c r="G1112" s="3" t="str">
        <f t="shared" si="238"/>
        <v>일</v>
      </c>
      <c r="H1112" s="3">
        <f t="shared" si="239"/>
        <v>1</v>
      </c>
      <c r="I1112" s="3">
        <v>31552</v>
      </c>
      <c r="J1112" s="3">
        <v>24594</v>
      </c>
      <c r="K1112" s="3">
        <v>6958</v>
      </c>
      <c r="L1112" s="12">
        <f t="shared" si="240"/>
        <v>0.77947515212981744</v>
      </c>
      <c r="M1112" s="12">
        <f t="shared" si="241"/>
        <v>0.16997923464847231</v>
      </c>
      <c r="N1112" s="11">
        <f t="shared" si="243"/>
        <v>22857.428571428572</v>
      </c>
      <c r="O1112" s="11">
        <f t="shared" si="245"/>
        <v>26120</v>
      </c>
      <c r="P1112" s="11">
        <f t="shared" si="246"/>
        <v>1.2079632465543644</v>
      </c>
      <c r="Q1112" s="7"/>
      <c r="R1112" s="7"/>
      <c r="S1112" s="7"/>
      <c r="T1112" s="7"/>
      <c r="U1112" s="7"/>
      <c r="V1112" s="7"/>
      <c r="W1112" s="7"/>
      <c r="X1112" s="3" t="s">
        <v>90</v>
      </c>
      <c r="Y1112" s="3"/>
      <c r="Z1112" s="9"/>
      <c r="AA1112" s="12" t="str">
        <f t="shared" si="242"/>
        <v/>
      </c>
      <c r="AB1112" s="9" t="str">
        <f t="shared" si="244"/>
        <v/>
      </c>
      <c r="AC1112" s="9" t="str">
        <f t="shared" si="247"/>
        <v/>
      </c>
      <c r="AD1112" s="9" t="str">
        <f t="shared" si="248"/>
        <v/>
      </c>
      <c r="AE1112" s="3"/>
      <c r="AF1112" s="11">
        <f t="shared" si="249"/>
        <v>21473.5</v>
      </c>
      <c r="AG1112" s="11">
        <f t="shared" si="250"/>
        <v>1.1453186485668383</v>
      </c>
      <c r="AH1112" s="11" t="str">
        <f t="shared" si="251"/>
        <v/>
      </c>
      <c r="AI1112" s="3" t="s">
        <v>45</v>
      </c>
      <c r="AJ1112" s="3" t="s">
        <v>79</v>
      </c>
      <c r="AK1112" s="3" t="s">
        <v>46</v>
      </c>
      <c r="AL1112" s="3" t="s">
        <v>81</v>
      </c>
      <c r="AM1112" s="3" t="s">
        <v>82</v>
      </c>
    </row>
    <row r="1113" spans="1:39" ht="21" customHeight="1">
      <c r="A1113" s="4">
        <v>43521</v>
      </c>
      <c r="B1113" s="3" t="s">
        <v>78</v>
      </c>
      <c r="C1113" s="3" t="s">
        <v>79</v>
      </c>
      <c r="D1113" s="4">
        <v>43159</v>
      </c>
      <c r="E1113" s="3">
        <f t="shared" si="236"/>
        <v>362</v>
      </c>
      <c r="F1113" s="3" t="str">
        <f t="shared" si="237"/>
        <v>개봉후</v>
      </c>
      <c r="G1113" s="3" t="str">
        <f t="shared" si="238"/>
        <v>월</v>
      </c>
      <c r="H1113" s="3">
        <f t="shared" si="239"/>
        <v>0</v>
      </c>
      <c r="I1113" s="3">
        <v>20982</v>
      </c>
      <c r="J1113" s="3">
        <v>12187</v>
      </c>
      <c r="K1113" s="3">
        <v>8796</v>
      </c>
      <c r="L1113" s="12">
        <f t="shared" si="240"/>
        <v>0.58083118863788008</v>
      </c>
      <c r="M1113" s="12">
        <f t="shared" si="241"/>
        <v>-0.33500253549695735</v>
      </c>
      <c r="N1113" s="11">
        <f t="shared" si="243"/>
        <v>22474.857142857141</v>
      </c>
      <c r="O1113" s="11">
        <f t="shared" si="245"/>
        <v>26251.357142857141</v>
      </c>
      <c r="P1113" s="11">
        <f t="shared" si="246"/>
        <v>0.79927296275838799</v>
      </c>
      <c r="Q1113" s="7"/>
      <c r="R1113" s="7"/>
      <c r="S1113" s="7"/>
      <c r="T1113" s="7"/>
      <c r="U1113" s="7"/>
      <c r="V1113" s="7"/>
      <c r="W1113" s="7"/>
      <c r="X1113" s="3" t="s">
        <v>90</v>
      </c>
      <c r="Y1113" s="3"/>
      <c r="Z1113" s="9"/>
      <c r="AA1113" s="12" t="str">
        <f t="shared" si="242"/>
        <v/>
      </c>
      <c r="AB1113" s="9" t="str">
        <f t="shared" si="244"/>
        <v/>
      </c>
      <c r="AC1113" s="9" t="str">
        <f t="shared" si="247"/>
        <v/>
      </c>
      <c r="AD1113" s="9" t="str">
        <f t="shared" si="248"/>
        <v/>
      </c>
      <c r="AE1113" s="3"/>
      <c r="AF1113" s="11">
        <f t="shared" si="249"/>
        <v>19597.25</v>
      </c>
      <c r="AG1113" s="11">
        <f t="shared" si="250"/>
        <v>0.62187296687035176</v>
      </c>
      <c r="AH1113" s="11" t="str">
        <f t="shared" si="251"/>
        <v/>
      </c>
      <c r="AI1113" s="3" t="s">
        <v>45</v>
      </c>
      <c r="AJ1113" s="3" t="s">
        <v>79</v>
      </c>
      <c r="AK1113" s="3" t="s">
        <v>46</v>
      </c>
      <c r="AL1113" s="3" t="s">
        <v>81</v>
      </c>
      <c r="AM1113" s="3" t="s">
        <v>82</v>
      </c>
    </row>
    <row r="1114" spans="1:39" ht="21" customHeight="1">
      <c r="A1114" s="4">
        <v>43522</v>
      </c>
      <c r="B1114" s="3" t="s">
        <v>78</v>
      </c>
      <c r="C1114" s="3" t="s">
        <v>79</v>
      </c>
      <c r="D1114" s="4">
        <v>43159</v>
      </c>
      <c r="E1114" s="3">
        <f t="shared" si="236"/>
        <v>363</v>
      </c>
      <c r="F1114" s="3" t="str">
        <f t="shared" si="237"/>
        <v>개봉후</v>
      </c>
      <c r="G1114" s="3" t="str">
        <f t="shared" si="238"/>
        <v>화</v>
      </c>
      <c r="H1114" s="3">
        <f t="shared" si="239"/>
        <v>0</v>
      </c>
      <c r="I1114" s="3">
        <v>25756</v>
      </c>
      <c r="J1114" s="3">
        <v>16905</v>
      </c>
      <c r="K1114" s="3">
        <v>8852</v>
      </c>
      <c r="L1114" s="12">
        <f t="shared" si="240"/>
        <v>0.65635191799968939</v>
      </c>
      <c r="M1114" s="12">
        <f t="shared" si="241"/>
        <v>0.22752835763988188</v>
      </c>
      <c r="N1114" s="11">
        <f t="shared" si="243"/>
        <v>23826.857142857141</v>
      </c>
      <c r="O1114" s="11">
        <f t="shared" si="245"/>
        <v>26296.357142857141</v>
      </c>
      <c r="P1114" s="11">
        <f t="shared" si="246"/>
        <v>0.97945125479085915</v>
      </c>
      <c r="Q1114" s="7"/>
      <c r="R1114" s="7"/>
      <c r="S1114" s="7"/>
      <c r="T1114" s="7"/>
      <c r="U1114" s="7"/>
      <c r="V1114" s="7"/>
      <c r="W1114" s="7"/>
      <c r="X1114" s="3" t="s">
        <v>90</v>
      </c>
      <c r="Y1114" s="3"/>
      <c r="Z1114" s="9"/>
      <c r="AA1114" s="12" t="str">
        <f t="shared" si="242"/>
        <v/>
      </c>
      <c r="AB1114" s="9" t="str">
        <f t="shared" si="244"/>
        <v/>
      </c>
      <c r="AC1114" s="9" t="str">
        <f t="shared" si="247"/>
        <v/>
      </c>
      <c r="AD1114" s="9" t="str">
        <f t="shared" si="248"/>
        <v/>
      </c>
      <c r="AE1114" s="3"/>
      <c r="AF1114" s="11">
        <f t="shared" si="249"/>
        <v>27345.25</v>
      </c>
      <c r="AG1114" s="11">
        <f t="shared" si="250"/>
        <v>0.61820608698037138</v>
      </c>
      <c r="AH1114" s="11" t="str">
        <f t="shared" si="251"/>
        <v/>
      </c>
      <c r="AI1114" s="3" t="s">
        <v>45</v>
      </c>
      <c r="AJ1114" s="3" t="s">
        <v>79</v>
      </c>
      <c r="AK1114" s="3" t="s">
        <v>46</v>
      </c>
      <c r="AL1114" s="3" t="s">
        <v>81</v>
      </c>
      <c r="AM1114" s="3" t="s">
        <v>82</v>
      </c>
    </row>
    <row r="1115" spans="1:39" ht="21" customHeight="1">
      <c r="A1115" s="4">
        <v>43523</v>
      </c>
      <c r="B1115" s="3" t="s">
        <v>78</v>
      </c>
      <c r="C1115" s="3" t="s">
        <v>79</v>
      </c>
      <c r="D1115" s="4">
        <v>43159</v>
      </c>
      <c r="E1115" s="3">
        <f t="shared" si="236"/>
        <v>364</v>
      </c>
      <c r="F1115" s="3" t="str">
        <f t="shared" si="237"/>
        <v>개봉후</v>
      </c>
      <c r="G1115" s="3" t="str">
        <f t="shared" si="238"/>
        <v>수</v>
      </c>
      <c r="H1115" s="3">
        <f t="shared" si="239"/>
        <v>0</v>
      </c>
      <c r="I1115" s="3">
        <v>25064</v>
      </c>
      <c r="J1115" s="3">
        <v>16594</v>
      </c>
      <c r="K1115" s="3">
        <v>8470</v>
      </c>
      <c r="L1115" s="12">
        <f t="shared" si="240"/>
        <v>0.66206511330992657</v>
      </c>
      <c r="M1115" s="12">
        <f t="shared" si="241"/>
        <v>-2.6867526013356069E-2</v>
      </c>
      <c r="N1115" s="11">
        <f t="shared" si="243"/>
        <v>24673.428571428572</v>
      </c>
      <c r="O1115" s="11">
        <f t="shared" si="245"/>
        <v>26509.071428571428</v>
      </c>
      <c r="P1115" s="11">
        <f t="shared" si="246"/>
        <v>0.94548766325274103</v>
      </c>
      <c r="Q1115" s="7"/>
      <c r="R1115" s="7"/>
      <c r="S1115" s="7"/>
      <c r="T1115" s="7"/>
      <c r="U1115" s="7"/>
      <c r="V1115" s="7"/>
      <c r="W1115" s="7"/>
      <c r="X1115" s="3" t="s">
        <v>90</v>
      </c>
      <c r="Y1115" s="3"/>
      <c r="Z1115" s="9"/>
      <c r="AA1115" s="12" t="str">
        <f t="shared" si="242"/>
        <v/>
      </c>
      <c r="AB1115" s="9" t="str">
        <f t="shared" si="244"/>
        <v/>
      </c>
      <c r="AC1115" s="9" t="str">
        <f t="shared" si="247"/>
        <v/>
      </c>
      <c r="AD1115" s="9" t="str">
        <f t="shared" si="248"/>
        <v/>
      </c>
      <c r="AE1115" s="3"/>
      <c r="AF1115" s="11">
        <f t="shared" si="249"/>
        <v>17213</v>
      </c>
      <c r="AG1115" s="11">
        <f t="shared" si="250"/>
        <v>0.96403880787776686</v>
      </c>
      <c r="AH1115" s="11" t="str">
        <f t="shared" si="251"/>
        <v/>
      </c>
      <c r="AI1115" s="3" t="s">
        <v>45</v>
      </c>
      <c r="AJ1115" s="3" t="s">
        <v>79</v>
      </c>
      <c r="AK1115" s="3" t="s">
        <v>46</v>
      </c>
      <c r="AL1115" s="3" t="s">
        <v>81</v>
      </c>
      <c r="AM1115" s="3" t="s">
        <v>82</v>
      </c>
    </row>
    <row r="1116" spans="1:39" ht="21" customHeight="1">
      <c r="A1116" s="4">
        <v>43524</v>
      </c>
      <c r="B1116" s="3" t="s">
        <v>78</v>
      </c>
      <c r="C1116" s="3" t="s">
        <v>79</v>
      </c>
      <c r="D1116" s="4">
        <v>43159</v>
      </c>
      <c r="E1116" s="3">
        <f t="shared" si="236"/>
        <v>365</v>
      </c>
      <c r="F1116" s="3" t="str">
        <f t="shared" si="237"/>
        <v>개봉후</v>
      </c>
      <c r="G1116" s="3" t="str">
        <f t="shared" si="238"/>
        <v>목</v>
      </c>
      <c r="H1116" s="3">
        <f t="shared" si="239"/>
        <v>0</v>
      </c>
      <c r="I1116" s="3">
        <v>23765</v>
      </c>
      <c r="J1116" s="3">
        <v>14756</v>
      </c>
      <c r="K1116" s="3">
        <v>9009</v>
      </c>
      <c r="L1116" s="12">
        <f t="shared" si="240"/>
        <v>0.62091310751104567</v>
      </c>
      <c r="M1116" s="12">
        <f t="shared" si="241"/>
        <v>-5.1827322055537861E-2</v>
      </c>
      <c r="N1116" s="11">
        <f t="shared" si="243"/>
        <v>25109.857142857141</v>
      </c>
      <c r="O1116" s="11">
        <f t="shared" si="245"/>
        <v>26682.071428571428</v>
      </c>
      <c r="P1116" s="11">
        <f t="shared" si="246"/>
        <v>0.89067297730685935</v>
      </c>
      <c r="Q1116" s="7"/>
      <c r="R1116" s="7"/>
      <c r="S1116" s="7"/>
      <c r="T1116" s="7"/>
      <c r="U1116" s="7"/>
      <c r="V1116" s="7"/>
      <c r="W1116" s="7"/>
      <c r="X1116" s="3" t="s">
        <v>90</v>
      </c>
      <c r="Y1116" s="3"/>
      <c r="Z1116" s="9"/>
      <c r="AA1116" s="12" t="str">
        <f t="shared" si="242"/>
        <v/>
      </c>
      <c r="AB1116" s="9" t="str">
        <f t="shared" si="244"/>
        <v/>
      </c>
      <c r="AC1116" s="9" t="str">
        <f t="shared" si="247"/>
        <v/>
      </c>
      <c r="AD1116" s="9" t="str">
        <f t="shared" si="248"/>
        <v/>
      </c>
      <c r="AE1116" s="3"/>
      <c r="AF1116" s="11">
        <f t="shared" si="249"/>
        <v>11639.75</v>
      </c>
      <c r="AG1116" s="11">
        <f t="shared" si="250"/>
        <v>1.2677248222685196</v>
      </c>
      <c r="AH1116" s="11" t="str">
        <f t="shared" si="251"/>
        <v/>
      </c>
      <c r="AI1116" s="3" t="s">
        <v>45</v>
      </c>
      <c r="AJ1116" s="3" t="s">
        <v>79</v>
      </c>
      <c r="AK1116" s="3" t="s">
        <v>46</v>
      </c>
      <c r="AL1116" s="3" t="s">
        <v>81</v>
      </c>
      <c r="AM1116" s="3" t="s">
        <v>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5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2" customWidth="1"/>
    <col min="2" max="6" width="13" style="2" customWidth="1"/>
    <col min="7" max="7" width="60" style="2" customWidth="1"/>
    <col min="8" max="8" width="15" style="2" customWidth="1"/>
    <col min="9" max="16384" width="9" style="2"/>
  </cols>
  <sheetData>
    <row r="1" spans="1:8" ht="36" customHeight="1">
      <c r="A1" s="1" t="s">
        <v>2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34</v>
      </c>
    </row>
    <row r="2" spans="1:8" ht="21" customHeight="1">
      <c r="A2" s="3" t="s">
        <v>66</v>
      </c>
      <c r="B2" s="3" t="s">
        <v>65</v>
      </c>
      <c r="C2" s="4">
        <v>46235</v>
      </c>
      <c r="D2" s="3" t="s">
        <v>96</v>
      </c>
      <c r="E2" s="3" t="s">
        <v>97</v>
      </c>
      <c r="F2" s="7">
        <v>26398668</v>
      </c>
      <c r="G2" s="3" t="s">
        <v>98</v>
      </c>
      <c r="H2" s="3" t="s">
        <v>45</v>
      </c>
    </row>
    <row r="3" spans="1:8" ht="21" customHeight="1">
      <c r="A3" s="3" t="s">
        <v>66</v>
      </c>
      <c r="B3" s="3" t="s">
        <v>65</v>
      </c>
      <c r="C3" s="4">
        <v>46204</v>
      </c>
      <c r="D3" s="3" t="s">
        <v>96</v>
      </c>
      <c r="E3" s="3" t="s">
        <v>97</v>
      </c>
      <c r="F3" s="7">
        <v>25434294</v>
      </c>
      <c r="G3" s="3" t="s">
        <v>98</v>
      </c>
      <c r="H3" s="3" t="s">
        <v>45</v>
      </c>
    </row>
    <row r="4" spans="1:8" ht="21" customHeight="1">
      <c r="A4" s="3" t="s">
        <v>66</v>
      </c>
      <c r="B4" s="3" t="s">
        <v>65</v>
      </c>
      <c r="C4" s="4">
        <v>46174</v>
      </c>
      <c r="D4" s="3" t="s">
        <v>96</v>
      </c>
      <c r="E4" s="3" t="s">
        <v>97</v>
      </c>
      <c r="F4" s="7">
        <v>23227048</v>
      </c>
      <c r="G4" s="3" t="s">
        <v>98</v>
      </c>
      <c r="H4" s="3" t="s">
        <v>45</v>
      </c>
    </row>
    <row r="5" spans="1:8" ht="21" customHeight="1">
      <c r="A5" s="3" t="s">
        <v>66</v>
      </c>
      <c r="B5" s="3" t="s">
        <v>65</v>
      </c>
      <c r="C5" s="4">
        <v>46143</v>
      </c>
      <c r="D5" s="3" t="s">
        <v>96</v>
      </c>
      <c r="E5" s="3" t="s">
        <v>97</v>
      </c>
      <c r="F5" s="7">
        <v>28300403</v>
      </c>
      <c r="G5" s="3" t="s">
        <v>98</v>
      </c>
      <c r="H5" s="3" t="s">
        <v>45</v>
      </c>
    </row>
    <row r="6" spans="1:8" ht="21" customHeight="1">
      <c r="A6" s="3" t="s">
        <v>66</v>
      </c>
      <c r="B6" s="3" t="s">
        <v>65</v>
      </c>
      <c r="C6" s="4">
        <v>46113</v>
      </c>
      <c r="D6" s="3" t="s">
        <v>96</v>
      </c>
      <c r="E6" s="3" t="s">
        <v>97</v>
      </c>
      <c r="F6" s="7">
        <v>22852042</v>
      </c>
      <c r="G6" s="3" t="s">
        <v>98</v>
      </c>
      <c r="H6" s="3" t="s">
        <v>45</v>
      </c>
    </row>
    <row r="7" spans="1:8" ht="21" customHeight="1">
      <c r="A7" s="3" t="s">
        <v>66</v>
      </c>
      <c r="B7" s="3" t="s">
        <v>65</v>
      </c>
      <c r="C7" s="4">
        <v>46082</v>
      </c>
      <c r="D7" s="3" t="s">
        <v>96</v>
      </c>
      <c r="E7" s="3" t="s">
        <v>97</v>
      </c>
      <c r="F7" s="7">
        <v>22226157</v>
      </c>
      <c r="G7" s="3" t="s">
        <v>98</v>
      </c>
      <c r="H7" s="3" t="s">
        <v>45</v>
      </c>
    </row>
    <row r="8" spans="1:8" ht="21" customHeight="1">
      <c r="A8" s="3" t="s">
        <v>66</v>
      </c>
      <c r="B8" s="3" t="s">
        <v>65</v>
      </c>
      <c r="C8" s="4">
        <v>46054</v>
      </c>
      <c r="D8" s="3" t="s">
        <v>96</v>
      </c>
      <c r="E8" s="3" t="s">
        <v>97</v>
      </c>
      <c r="F8" s="7">
        <v>23943302</v>
      </c>
      <c r="G8" s="3" t="s">
        <v>98</v>
      </c>
      <c r="H8" s="3" t="s">
        <v>45</v>
      </c>
    </row>
    <row r="9" spans="1:8" ht="21" customHeight="1">
      <c r="A9" s="3" t="s">
        <v>66</v>
      </c>
      <c r="B9" s="3" t="s">
        <v>65</v>
      </c>
      <c r="C9" s="4">
        <v>46023</v>
      </c>
      <c r="D9" s="3" t="s">
        <v>96</v>
      </c>
      <c r="E9" s="3" t="s">
        <v>97</v>
      </c>
      <c r="F9" s="7">
        <v>22161384</v>
      </c>
      <c r="G9" s="3" t="s">
        <v>98</v>
      </c>
      <c r="H9" s="3" t="s">
        <v>45</v>
      </c>
    </row>
    <row r="10" spans="1:8" ht="21" customHeight="1">
      <c r="A10" s="3" t="s">
        <v>66</v>
      </c>
      <c r="B10" s="3" t="s">
        <v>65</v>
      </c>
      <c r="C10" s="4">
        <v>46204</v>
      </c>
      <c r="D10" s="3" t="s">
        <v>96</v>
      </c>
      <c r="E10" s="3" t="s">
        <v>99</v>
      </c>
      <c r="F10" s="7">
        <v>9074621</v>
      </c>
      <c r="G10" s="3" t="s">
        <v>98</v>
      </c>
      <c r="H10" s="3" t="s">
        <v>45</v>
      </c>
    </row>
    <row r="11" spans="1:8" ht="21" customHeight="1">
      <c r="A11" s="3" t="s">
        <v>66</v>
      </c>
      <c r="B11" s="3" t="s">
        <v>65</v>
      </c>
      <c r="C11" s="4">
        <v>46143</v>
      </c>
      <c r="D11" s="3" t="s">
        <v>96</v>
      </c>
      <c r="E11" s="3" t="s">
        <v>100</v>
      </c>
      <c r="F11" s="7">
        <v>404603</v>
      </c>
      <c r="G11" s="3" t="s">
        <v>98</v>
      </c>
      <c r="H11" s="3" t="s">
        <v>45</v>
      </c>
    </row>
    <row r="12" spans="1:8" ht="21" customHeight="1">
      <c r="A12" s="3" t="s">
        <v>66</v>
      </c>
      <c r="B12" s="3" t="s">
        <v>65</v>
      </c>
      <c r="C12" s="4">
        <v>46204</v>
      </c>
      <c r="D12" s="3" t="s">
        <v>96</v>
      </c>
      <c r="E12" s="3" t="s">
        <v>101</v>
      </c>
      <c r="F12" s="7">
        <v>2486213</v>
      </c>
      <c r="G12" s="3" t="s">
        <v>98</v>
      </c>
      <c r="H12" s="3" t="s">
        <v>45</v>
      </c>
    </row>
    <row r="13" spans="1:8" ht="21" customHeight="1">
      <c r="A13" s="3" t="s">
        <v>66</v>
      </c>
      <c r="B13" s="3" t="s">
        <v>65</v>
      </c>
      <c r="C13" s="4">
        <v>46174</v>
      </c>
      <c r="D13" s="3" t="s">
        <v>96</v>
      </c>
      <c r="E13" s="3" t="s">
        <v>102</v>
      </c>
      <c r="F13" s="7">
        <v>6723377</v>
      </c>
      <c r="G13" s="3" t="s">
        <v>98</v>
      </c>
      <c r="H13" s="3" t="s">
        <v>45</v>
      </c>
    </row>
    <row r="14" spans="1:8" ht="21" customHeight="1">
      <c r="A14" s="3" t="s">
        <v>66</v>
      </c>
      <c r="B14" s="3" t="s">
        <v>65</v>
      </c>
      <c r="C14" s="4">
        <v>46174</v>
      </c>
      <c r="D14" s="3" t="s">
        <v>96</v>
      </c>
      <c r="E14" s="3" t="s">
        <v>100</v>
      </c>
      <c r="F14" s="7">
        <v>303911</v>
      </c>
      <c r="G14" s="3" t="s">
        <v>98</v>
      </c>
      <c r="H14" s="3" t="s">
        <v>45</v>
      </c>
    </row>
    <row r="15" spans="1:8" ht="21" customHeight="1">
      <c r="A15" s="3" t="s">
        <v>66</v>
      </c>
      <c r="B15" s="3" t="s">
        <v>65</v>
      </c>
      <c r="C15" s="4">
        <v>46174</v>
      </c>
      <c r="D15" s="3" t="s">
        <v>96</v>
      </c>
      <c r="E15" s="3" t="s">
        <v>103</v>
      </c>
      <c r="F15" s="7">
        <v>156152</v>
      </c>
      <c r="G15" s="3" t="s">
        <v>98</v>
      </c>
      <c r="H15" s="3" t="s">
        <v>45</v>
      </c>
    </row>
    <row r="16" spans="1:8" ht="21" customHeight="1">
      <c r="A16" s="3" t="s">
        <v>66</v>
      </c>
      <c r="B16" s="3" t="s">
        <v>65</v>
      </c>
      <c r="C16" s="4">
        <v>46174</v>
      </c>
      <c r="D16" s="3" t="s">
        <v>96</v>
      </c>
      <c r="E16" s="3" t="s">
        <v>104</v>
      </c>
      <c r="F16" s="7">
        <v>5924298</v>
      </c>
      <c r="G16" s="3" t="s">
        <v>98</v>
      </c>
      <c r="H16" s="3" t="s">
        <v>45</v>
      </c>
    </row>
    <row r="17" spans="1:8" ht="21" customHeight="1">
      <c r="A17" s="3" t="s">
        <v>66</v>
      </c>
      <c r="B17" s="3" t="s">
        <v>65</v>
      </c>
      <c r="C17" s="4">
        <v>46174</v>
      </c>
      <c r="D17" s="3" t="s">
        <v>96</v>
      </c>
      <c r="E17" s="3" t="s">
        <v>99</v>
      </c>
      <c r="F17" s="7">
        <v>8546774</v>
      </c>
      <c r="G17" s="3" t="s">
        <v>98</v>
      </c>
      <c r="H17" s="3" t="s">
        <v>45</v>
      </c>
    </row>
    <row r="18" spans="1:8" ht="21" customHeight="1">
      <c r="A18" s="3" t="s">
        <v>66</v>
      </c>
      <c r="B18" s="3" t="s">
        <v>65</v>
      </c>
      <c r="C18" s="4">
        <v>46174</v>
      </c>
      <c r="D18" s="3" t="s">
        <v>96</v>
      </c>
      <c r="E18" s="3" t="s">
        <v>101</v>
      </c>
      <c r="F18" s="7">
        <v>1572534</v>
      </c>
      <c r="G18" s="3" t="s">
        <v>98</v>
      </c>
      <c r="H18" s="3" t="s">
        <v>45</v>
      </c>
    </row>
    <row r="19" spans="1:8" ht="21" customHeight="1">
      <c r="A19" s="3" t="s">
        <v>66</v>
      </c>
      <c r="B19" s="3" t="s">
        <v>65</v>
      </c>
      <c r="C19" s="4">
        <v>46143</v>
      </c>
      <c r="D19" s="3" t="s">
        <v>96</v>
      </c>
      <c r="E19" s="3" t="s">
        <v>102</v>
      </c>
      <c r="F19" s="7">
        <v>9070429</v>
      </c>
      <c r="G19" s="3" t="s">
        <v>98</v>
      </c>
      <c r="H19" s="3" t="s">
        <v>45</v>
      </c>
    </row>
    <row r="20" spans="1:8" ht="21" customHeight="1">
      <c r="A20" s="3" t="s">
        <v>66</v>
      </c>
      <c r="B20" s="3" t="s">
        <v>65</v>
      </c>
      <c r="C20" s="4">
        <v>46143</v>
      </c>
      <c r="D20" s="3" t="s">
        <v>96</v>
      </c>
      <c r="E20" s="3" t="s">
        <v>103</v>
      </c>
      <c r="F20" s="7">
        <v>228259</v>
      </c>
      <c r="G20" s="3" t="s">
        <v>98</v>
      </c>
      <c r="H20" s="3" t="s">
        <v>45</v>
      </c>
    </row>
    <row r="21" spans="1:8" ht="21" customHeight="1">
      <c r="A21" s="3" t="s">
        <v>66</v>
      </c>
      <c r="B21" s="3" t="s">
        <v>65</v>
      </c>
      <c r="C21" s="4">
        <v>46204</v>
      </c>
      <c r="D21" s="3" t="s">
        <v>96</v>
      </c>
      <c r="E21" s="3" t="s">
        <v>104</v>
      </c>
      <c r="F21" s="7">
        <v>6152731</v>
      </c>
      <c r="G21" s="3" t="s">
        <v>98</v>
      </c>
      <c r="H21" s="3" t="s">
        <v>45</v>
      </c>
    </row>
    <row r="22" spans="1:8" ht="21" customHeight="1">
      <c r="A22" s="3" t="s">
        <v>66</v>
      </c>
      <c r="B22" s="3" t="s">
        <v>65</v>
      </c>
      <c r="C22" s="4">
        <v>46204</v>
      </c>
      <c r="D22" s="3" t="s">
        <v>96</v>
      </c>
      <c r="E22" s="3" t="s">
        <v>103</v>
      </c>
      <c r="F22" s="7">
        <v>157085</v>
      </c>
      <c r="G22" s="3" t="s">
        <v>98</v>
      </c>
      <c r="H22" s="3" t="s">
        <v>45</v>
      </c>
    </row>
    <row r="23" spans="1:8" ht="21" customHeight="1">
      <c r="A23" s="3" t="s">
        <v>66</v>
      </c>
      <c r="B23" s="3" t="s">
        <v>65</v>
      </c>
      <c r="C23" s="4">
        <v>46204</v>
      </c>
      <c r="D23" s="3" t="s">
        <v>96</v>
      </c>
      <c r="E23" s="3" t="s">
        <v>100</v>
      </c>
      <c r="F23" s="7">
        <v>291517</v>
      </c>
      <c r="G23" s="3" t="s">
        <v>98</v>
      </c>
      <c r="H23" s="3" t="s">
        <v>45</v>
      </c>
    </row>
    <row r="24" spans="1:8" ht="21" customHeight="1">
      <c r="A24" s="3" t="s">
        <v>66</v>
      </c>
      <c r="B24" s="3" t="s">
        <v>65</v>
      </c>
      <c r="C24" s="4">
        <v>46204</v>
      </c>
      <c r="D24" s="3" t="s">
        <v>96</v>
      </c>
      <c r="E24" s="3" t="s">
        <v>102</v>
      </c>
      <c r="F24" s="7">
        <v>7272128</v>
      </c>
      <c r="G24" s="3" t="s">
        <v>98</v>
      </c>
      <c r="H24" s="3" t="s">
        <v>45</v>
      </c>
    </row>
    <row r="25" spans="1:8" ht="21" customHeight="1">
      <c r="A25" s="3" t="s">
        <v>66</v>
      </c>
      <c r="B25" s="3" t="s">
        <v>65</v>
      </c>
      <c r="C25" s="4">
        <v>46235</v>
      </c>
      <c r="D25" s="3" t="s">
        <v>96</v>
      </c>
      <c r="E25" s="3" t="s">
        <v>101</v>
      </c>
      <c r="F25" s="7">
        <v>3008584</v>
      </c>
      <c r="G25" s="3" t="s">
        <v>98</v>
      </c>
      <c r="H25" s="3" t="s">
        <v>45</v>
      </c>
    </row>
    <row r="26" spans="1:8" ht="21" customHeight="1">
      <c r="A26" s="3" t="s">
        <v>66</v>
      </c>
      <c r="B26" s="3" t="s">
        <v>65</v>
      </c>
      <c r="C26" s="4">
        <v>46235</v>
      </c>
      <c r="D26" s="3" t="s">
        <v>96</v>
      </c>
      <c r="E26" s="3" t="s">
        <v>99</v>
      </c>
      <c r="F26" s="7">
        <v>8039307</v>
      </c>
      <c r="G26" s="3" t="s">
        <v>98</v>
      </c>
      <c r="H26" s="3" t="s">
        <v>45</v>
      </c>
    </row>
    <row r="27" spans="1:8" ht="21" customHeight="1">
      <c r="A27" s="3" t="s">
        <v>66</v>
      </c>
      <c r="B27" s="3" t="s">
        <v>65</v>
      </c>
      <c r="C27" s="4">
        <v>46235</v>
      </c>
      <c r="D27" s="3" t="s">
        <v>96</v>
      </c>
      <c r="E27" s="3" t="s">
        <v>104</v>
      </c>
      <c r="F27" s="7">
        <v>6683269</v>
      </c>
      <c r="G27" s="3" t="s">
        <v>98</v>
      </c>
      <c r="H27" s="3" t="s">
        <v>45</v>
      </c>
    </row>
    <row r="28" spans="1:8" ht="21" customHeight="1">
      <c r="A28" s="3" t="s">
        <v>66</v>
      </c>
      <c r="B28" s="3" t="s">
        <v>65</v>
      </c>
      <c r="C28" s="4">
        <v>46235</v>
      </c>
      <c r="D28" s="3" t="s">
        <v>96</v>
      </c>
      <c r="E28" s="3" t="s">
        <v>103</v>
      </c>
      <c r="F28" s="7">
        <v>200252</v>
      </c>
      <c r="G28" s="3" t="s">
        <v>98</v>
      </c>
      <c r="H28" s="3" t="s">
        <v>45</v>
      </c>
    </row>
    <row r="29" spans="1:8" ht="21" customHeight="1">
      <c r="A29" s="3" t="s">
        <v>66</v>
      </c>
      <c r="B29" s="3" t="s">
        <v>65</v>
      </c>
      <c r="C29" s="4">
        <v>46235</v>
      </c>
      <c r="D29" s="3" t="s">
        <v>96</v>
      </c>
      <c r="E29" s="3" t="s">
        <v>100</v>
      </c>
      <c r="F29" s="7">
        <v>353497</v>
      </c>
      <c r="G29" s="3" t="s">
        <v>98</v>
      </c>
      <c r="H29" s="3" t="s">
        <v>45</v>
      </c>
    </row>
    <row r="30" spans="1:8" ht="21" customHeight="1">
      <c r="A30" s="3" t="s">
        <v>66</v>
      </c>
      <c r="B30" s="3" t="s">
        <v>65</v>
      </c>
      <c r="C30" s="4">
        <v>46235</v>
      </c>
      <c r="D30" s="3" t="s">
        <v>96</v>
      </c>
      <c r="E30" s="3" t="s">
        <v>102</v>
      </c>
      <c r="F30" s="7">
        <v>8113760</v>
      </c>
      <c r="G30" s="3" t="s">
        <v>98</v>
      </c>
      <c r="H30" s="3" t="s">
        <v>45</v>
      </c>
    </row>
    <row r="31" spans="1:8" ht="21" customHeight="1">
      <c r="A31" s="3" t="s">
        <v>66</v>
      </c>
      <c r="B31" s="3" t="s">
        <v>65</v>
      </c>
      <c r="C31" s="4">
        <v>46082</v>
      </c>
      <c r="D31" s="3" t="s">
        <v>96</v>
      </c>
      <c r="E31" s="3" t="s">
        <v>99</v>
      </c>
      <c r="F31" s="7">
        <v>8902301</v>
      </c>
      <c r="G31" s="3" t="s">
        <v>98</v>
      </c>
      <c r="H31" s="3" t="s">
        <v>45</v>
      </c>
    </row>
    <row r="32" spans="1:8" ht="21" customHeight="1">
      <c r="A32" s="3" t="s">
        <v>66</v>
      </c>
      <c r="B32" s="3" t="s">
        <v>65</v>
      </c>
      <c r="C32" s="4">
        <v>46023</v>
      </c>
      <c r="D32" s="3" t="s">
        <v>96</v>
      </c>
      <c r="E32" s="3" t="s">
        <v>99</v>
      </c>
      <c r="F32" s="7">
        <v>7423170</v>
      </c>
      <c r="G32" s="3" t="s">
        <v>98</v>
      </c>
      <c r="H32" s="3" t="s">
        <v>45</v>
      </c>
    </row>
    <row r="33" spans="1:8" ht="21" customHeight="1">
      <c r="A33" s="3" t="s">
        <v>66</v>
      </c>
      <c r="B33" s="3" t="s">
        <v>65</v>
      </c>
      <c r="C33" s="4">
        <v>46023</v>
      </c>
      <c r="D33" s="3" t="s">
        <v>96</v>
      </c>
      <c r="E33" s="3" t="s">
        <v>104</v>
      </c>
      <c r="F33" s="7">
        <v>5468457</v>
      </c>
      <c r="G33" s="3" t="s">
        <v>98</v>
      </c>
      <c r="H33" s="3" t="s">
        <v>45</v>
      </c>
    </row>
    <row r="34" spans="1:8" ht="21" customHeight="1">
      <c r="A34" s="3" t="s">
        <v>66</v>
      </c>
      <c r="B34" s="3" t="s">
        <v>65</v>
      </c>
      <c r="C34" s="4">
        <v>46023</v>
      </c>
      <c r="D34" s="3" t="s">
        <v>96</v>
      </c>
      <c r="E34" s="3" t="s">
        <v>103</v>
      </c>
      <c r="F34" s="7">
        <v>163507</v>
      </c>
      <c r="G34" s="3" t="s">
        <v>98</v>
      </c>
      <c r="H34" s="3" t="s">
        <v>45</v>
      </c>
    </row>
    <row r="35" spans="1:8" ht="21" customHeight="1">
      <c r="A35" s="3" t="s">
        <v>66</v>
      </c>
      <c r="B35" s="3" t="s">
        <v>65</v>
      </c>
      <c r="C35" s="4">
        <v>46023</v>
      </c>
      <c r="D35" s="3" t="s">
        <v>96</v>
      </c>
      <c r="E35" s="3" t="s">
        <v>100</v>
      </c>
      <c r="F35" s="7">
        <v>538667</v>
      </c>
      <c r="G35" s="3" t="s">
        <v>98</v>
      </c>
      <c r="H35" s="3" t="s">
        <v>45</v>
      </c>
    </row>
    <row r="36" spans="1:8" ht="21" customHeight="1">
      <c r="A36" s="3" t="s">
        <v>66</v>
      </c>
      <c r="B36" s="3" t="s">
        <v>65</v>
      </c>
      <c r="C36" s="4">
        <v>46023</v>
      </c>
      <c r="D36" s="3" t="s">
        <v>96</v>
      </c>
      <c r="E36" s="3" t="s">
        <v>102</v>
      </c>
      <c r="F36" s="7">
        <v>6691722</v>
      </c>
      <c r="G36" s="3" t="s">
        <v>98</v>
      </c>
      <c r="H36" s="3" t="s">
        <v>45</v>
      </c>
    </row>
    <row r="37" spans="1:8" ht="21" customHeight="1">
      <c r="A37" s="3" t="s">
        <v>66</v>
      </c>
      <c r="B37" s="3" t="s">
        <v>65</v>
      </c>
      <c r="C37" s="4">
        <v>46054</v>
      </c>
      <c r="D37" s="3" t="s">
        <v>96</v>
      </c>
      <c r="E37" s="3" t="s">
        <v>101</v>
      </c>
      <c r="F37" s="7">
        <v>1830804</v>
      </c>
      <c r="G37" s="3" t="s">
        <v>98</v>
      </c>
      <c r="H37" s="3" t="s">
        <v>45</v>
      </c>
    </row>
    <row r="38" spans="1:8" ht="21" customHeight="1">
      <c r="A38" s="3" t="s">
        <v>66</v>
      </c>
      <c r="B38" s="3" t="s">
        <v>65</v>
      </c>
      <c r="C38" s="4">
        <v>46054</v>
      </c>
      <c r="D38" s="3" t="s">
        <v>96</v>
      </c>
      <c r="E38" s="3" t="s">
        <v>105</v>
      </c>
      <c r="F38" s="7">
        <v>62703</v>
      </c>
      <c r="G38" s="3" t="s">
        <v>98</v>
      </c>
      <c r="H38" s="3" t="s">
        <v>45</v>
      </c>
    </row>
    <row r="39" spans="1:8" ht="21" customHeight="1">
      <c r="A39" s="3" t="s">
        <v>66</v>
      </c>
      <c r="B39" s="3" t="s">
        <v>65</v>
      </c>
      <c r="C39" s="4">
        <v>46054</v>
      </c>
      <c r="D39" s="3" t="s">
        <v>96</v>
      </c>
      <c r="E39" s="3" t="s">
        <v>99</v>
      </c>
      <c r="F39" s="7">
        <v>7019528</v>
      </c>
      <c r="G39" s="3" t="s">
        <v>98</v>
      </c>
      <c r="H39" s="3" t="s">
        <v>45</v>
      </c>
    </row>
    <row r="40" spans="1:8" ht="21" customHeight="1">
      <c r="A40" s="3" t="s">
        <v>66</v>
      </c>
      <c r="B40" s="3" t="s">
        <v>65</v>
      </c>
      <c r="C40" s="4">
        <v>46054</v>
      </c>
      <c r="D40" s="3" t="s">
        <v>96</v>
      </c>
      <c r="E40" s="3" t="s">
        <v>104</v>
      </c>
      <c r="F40" s="7">
        <v>7304187</v>
      </c>
      <c r="G40" s="3" t="s">
        <v>98</v>
      </c>
      <c r="H40" s="3" t="s">
        <v>45</v>
      </c>
    </row>
    <row r="41" spans="1:8" ht="21" customHeight="1">
      <c r="A41" s="3" t="s">
        <v>66</v>
      </c>
      <c r="B41" s="3" t="s">
        <v>65</v>
      </c>
      <c r="C41" s="4">
        <v>46054</v>
      </c>
      <c r="D41" s="3" t="s">
        <v>96</v>
      </c>
      <c r="E41" s="3" t="s">
        <v>103</v>
      </c>
      <c r="F41" s="7">
        <v>193201</v>
      </c>
      <c r="G41" s="3" t="s">
        <v>98</v>
      </c>
      <c r="H41" s="3" t="s">
        <v>45</v>
      </c>
    </row>
    <row r="42" spans="1:8" ht="21" customHeight="1">
      <c r="A42" s="3" t="s">
        <v>66</v>
      </c>
      <c r="B42" s="3" t="s">
        <v>65</v>
      </c>
      <c r="C42" s="4">
        <v>46054</v>
      </c>
      <c r="D42" s="3" t="s">
        <v>96</v>
      </c>
      <c r="E42" s="3" t="s">
        <v>100</v>
      </c>
      <c r="F42" s="7">
        <v>513791</v>
      </c>
      <c r="G42" s="3" t="s">
        <v>98</v>
      </c>
      <c r="H42" s="3" t="s">
        <v>45</v>
      </c>
    </row>
    <row r="43" spans="1:8" ht="21" customHeight="1">
      <c r="A43" s="3" t="s">
        <v>66</v>
      </c>
      <c r="B43" s="3" t="s">
        <v>65</v>
      </c>
      <c r="C43" s="4">
        <v>46054</v>
      </c>
      <c r="D43" s="3" t="s">
        <v>96</v>
      </c>
      <c r="E43" s="3" t="s">
        <v>102</v>
      </c>
      <c r="F43" s="7">
        <v>7019088</v>
      </c>
      <c r="G43" s="3" t="s">
        <v>98</v>
      </c>
      <c r="H43" s="3" t="s">
        <v>45</v>
      </c>
    </row>
    <row r="44" spans="1:8" ht="21" customHeight="1">
      <c r="A44" s="3" t="s">
        <v>66</v>
      </c>
      <c r="B44" s="3" t="s">
        <v>65</v>
      </c>
      <c r="C44" s="4">
        <v>46082</v>
      </c>
      <c r="D44" s="3" t="s">
        <v>96</v>
      </c>
      <c r="E44" s="3" t="s">
        <v>101</v>
      </c>
      <c r="F44" s="7">
        <v>870255</v>
      </c>
      <c r="G44" s="3" t="s">
        <v>98</v>
      </c>
      <c r="H44" s="3" t="s">
        <v>45</v>
      </c>
    </row>
    <row r="45" spans="1:8" ht="21" customHeight="1">
      <c r="A45" s="3" t="s">
        <v>66</v>
      </c>
      <c r="B45" s="3" t="s">
        <v>65</v>
      </c>
      <c r="C45" s="4">
        <v>46023</v>
      </c>
      <c r="D45" s="3" t="s">
        <v>96</v>
      </c>
      <c r="E45" s="3" t="s">
        <v>101</v>
      </c>
      <c r="F45" s="7">
        <v>1875861</v>
      </c>
      <c r="G45" s="3" t="s">
        <v>98</v>
      </c>
      <c r="H45" s="3" t="s">
        <v>45</v>
      </c>
    </row>
    <row r="46" spans="1:8" ht="21" customHeight="1">
      <c r="A46" s="3" t="s">
        <v>66</v>
      </c>
      <c r="B46" s="3" t="s">
        <v>65</v>
      </c>
      <c r="C46" s="4">
        <v>46082</v>
      </c>
      <c r="D46" s="3" t="s">
        <v>96</v>
      </c>
      <c r="E46" s="3" t="s">
        <v>104</v>
      </c>
      <c r="F46" s="7">
        <v>5354330</v>
      </c>
      <c r="G46" s="3" t="s">
        <v>98</v>
      </c>
      <c r="H46" s="3" t="s">
        <v>45</v>
      </c>
    </row>
    <row r="47" spans="1:8" ht="21" customHeight="1">
      <c r="A47" s="3" t="s">
        <v>66</v>
      </c>
      <c r="B47" s="3" t="s">
        <v>65</v>
      </c>
      <c r="C47" s="4">
        <v>46082</v>
      </c>
      <c r="D47" s="3" t="s">
        <v>96</v>
      </c>
      <c r="E47" s="3" t="s">
        <v>103</v>
      </c>
      <c r="F47" s="7">
        <v>171710</v>
      </c>
      <c r="G47" s="3" t="s">
        <v>98</v>
      </c>
      <c r="H47" s="3" t="s">
        <v>45</v>
      </c>
    </row>
    <row r="48" spans="1:8" ht="21" customHeight="1">
      <c r="A48" s="3" t="s">
        <v>66</v>
      </c>
      <c r="B48" s="3" t="s">
        <v>65</v>
      </c>
      <c r="C48" s="4">
        <v>46082</v>
      </c>
      <c r="D48" s="3" t="s">
        <v>96</v>
      </c>
      <c r="E48" s="3" t="s">
        <v>100</v>
      </c>
      <c r="F48" s="7">
        <v>459788</v>
      </c>
      <c r="G48" s="3" t="s">
        <v>98</v>
      </c>
      <c r="H48" s="3" t="s">
        <v>45</v>
      </c>
    </row>
    <row r="49" spans="1:8" ht="21" customHeight="1">
      <c r="A49" s="3" t="s">
        <v>66</v>
      </c>
      <c r="B49" s="3" t="s">
        <v>65</v>
      </c>
      <c r="C49" s="4">
        <v>46082</v>
      </c>
      <c r="D49" s="3" t="s">
        <v>96</v>
      </c>
      <c r="E49" s="3" t="s">
        <v>102</v>
      </c>
      <c r="F49" s="7">
        <v>6467773</v>
      </c>
      <c r="G49" s="3" t="s">
        <v>98</v>
      </c>
      <c r="H49" s="3" t="s">
        <v>45</v>
      </c>
    </row>
    <row r="50" spans="1:8" ht="21" customHeight="1">
      <c r="A50" s="3" t="s">
        <v>66</v>
      </c>
      <c r="B50" s="3" t="s">
        <v>65</v>
      </c>
      <c r="C50" s="4">
        <v>46113</v>
      </c>
      <c r="D50" s="3" t="s">
        <v>96</v>
      </c>
      <c r="E50" s="3" t="s">
        <v>101</v>
      </c>
      <c r="F50" s="7">
        <v>1141242</v>
      </c>
      <c r="G50" s="3" t="s">
        <v>98</v>
      </c>
      <c r="H50" s="3" t="s">
        <v>45</v>
      </c>
    </row>
    <row r="51" spans="1:8" ht="21" customHeight="1">
      <c r="A51" s="3" t="s">
        <v>66</v>
      </c>
      <c r="B51" s="3" t="s">
        <v>65</v>
      </c>
      <c r="C51" s="4">
        <v>46113</v>
      </c>
      <c r="D51" s="3" t="s">
        <v>96</v>
      </c>
      <c r="E51" s="3" t="s">
        <v>99</v>
      </c>
      <c r="F51" s="7">
        <v>8048023</v>
      </c>
      <c r="G51" s="3" t="s">
        <v>98</v>
      </c>
      <c r="H51" s="3" t="s">
        <v>45</v>
      </c>
    </row>
    <row r="52" spans="1:8" ht="21" customHeight="1">
      <c r="A52" s="3" t="s">
        <v>66</v>
      </c>
      <c r="B52" s="3" t="s">
        <v>65</v>
      </c>
      <c r="C52" s="4">
        <v>46113</v>
      </c>
      <c r="D52" s="3" t="s">
        <v>96</v>
      </c>
      <c r="E52" s="3" t="s">
        <v>104</v>
      </c>
      <c r="F52" s="7">
        <v>5972393</v>
      </c>
      <c r="G52" s="3" t="s">
        <v>98</v>
      </c>
      <c r="H52" s="3" t="s">
        <v>45</v>
      </c>
    </row>
    <row r="53" spans="1:8" ht="21" customHeight="1">
      <c r="A53" s="3" t="s">
        <v>66</v>
      </c>
      <c r="B53" s="3" t="s">
        <v>65</v>
      </c>
      <c r="C53" s="4">
        <v>46113</v>
      </c>
      <c r="D53" s="3" t="s">
        <v>96</v>
      </c>
      <c r="E53" s="3" t="s">
        <v>103</v>
      </c>
      <c r="F53" s="7">
        <v>202530</v>
      </c>
      <c r="G53" s="3" t="s">
        <v>98</v>
      </c>
      <c r="H53" s="3" t="s">
        <v>45</v>
      </c>
    </row>
    <row r="54" spans="1:8" ht="21" customHeight="1">
      <c r="A54" s="3" t="s">
        <v>66</v>
      </c>
      <c r="B54" s="3" t="s">
        <v>65</v>
      </c>
      <c r="C54" s="4">
        <v>46113</v>
      </c>
      <c r="D54" s="3" t="s">
        <v>96</v>
      </c>
      <c r="E54" s="3" t="s">
        <v>100</v>
      </c>
      <c r="F54" s="7">
        <v>377502</v>
      </c>
      <c r="G54" s="3" t="s">
        <v>98</v>
      </c>
      <c r="H54" s="3" t="s">
        <v>45</v>
      </c>
    </row>
    <row r="55" spans="1:8" ht="21" customHeight="1">
      <c r="A55" s="3" t="s">
        <v>66</v>
      </c>
      <c r="B55" s="3" t="s">
        <v>65</v>
      </c>
      <c r="C55" s="4">
        <v>46113</v>
      </c>
      <c r="D55" s="3" t="s">
        <v>96</v>
      </c>
      <c r="E55" s="3" t="s">
        <v>102</v>
      </c>
      <c r="F55" s="7">
        <v>7110353</v>
      </c>
      <c r="G55" s="3" t="s">
        <v>98</v>
      </c>
      <c r="H55" s="3" t="s">
        <v>45</v>
      </c>
    </row>
    <row r="56" spans="1:8" ht="21" customHeight="1">
      <c r="A56" s="3" t="s">
        <v>66</v>
      </c>
      <c r="B56" s="3" t="s">
        <v>65</v>
      </c>
      <c r="C56" s="4">
        <v>46143</v>
      </c>
      <c r="D56" s="3" t="s">
        <v>96</v>
      </c>
      <c r="E56" s="3" t="s">
        <v>101</v>
      </c>
      <c r="F56" s="7">
        <v>1840026</v>
      </c>
      <c r="G56" s="3" t="s">
        <v>98</v>
      </c>
      <c r="H56" s="3" t="s">
        <v>45</v>
      </c>
    </row>
    <row r="57" spans="1:8" ht="21" customHeight="1">
      <c r="A57" s="3" t="s">
        <v>66</v>
      </c>
      <c r="B57" s="3" t="s">
        <v>65</v>
      </c>
      <c r="C57" s="4">
        <v>46143</v>
      </c>
      <c r="D57" s="3" t="s">
        <v>96</v>
      </c>
      <c r="E57" s="3" t="s">
        <v>99</v>
      </c>
      <c r="F57" s="7">
        <v>9137112</v>
      </c>
      <c r="G57" s="3" t="s">
        <v>98</v>
      </c>
      <c r="H57" s="3" t="s">
        <v>45</v>
      </c>
    </row>
    <row r="58" spans="1:8" ht="21" customHeight="1">
      <c r="A58" s="3" t="s">
        <v>66</v>
      </c>
      <c r="B58" s="3" t="s">
        <v>65</v>
      </c>
      <c r="C58" s="4">
        <v>46143</v>
      </c>
      <c r="D58" s="3" t="s">
        <v>96</v>
      </c>
      <c r="E58" s="3" t="s">
        <v>104</v>
      </c>
      <c r="F58" s="7">
        <v>7619974</v>
      </c>
      <c r="G58" s="3" t="s">
        <v>98</v>
      </c>
      <c r="H58" s="3" t="s">
        <v>45</v>
      </c>
    </row>
    <row r="59" spans="1:8" ht="21" customHeight="1">
      <c r="A59" s="3" t="s">
        <v>66</v>
      </c>
      <c r="B59" s="3" t="s">
        <v>65</v>
      </c>
      <c r="C59" s="4">
        <v>46235</v>
      </c>
      <c r="D59" s="3" t="s">
        <v>106</v>
      </c>
      <c r="E59" s="3" t="s">
        <v>97</v>
      </c>
      <c r="F59" s="7">
        <v>122772</v>
      </c>
      <c r="G59" s="3" t="s">
        <v>98</v>
      </c>
      <c r="H59" s="3" t="s">
        <v>45</v>
      </c>
    </row>
    <row r="60" spans="1:8" ht="21" customHeight="1">
      <c r="A60" s="3" t="s">
        <v>66</v>
      </c>
      <c r="B60" s="3" t="s">
        <v>65</v>
      </c>
      <c r="C60" s="4">
        <v>46023</v>
      </c>
      <c r="D60" s="3" t="s">
        <v>106</v>
      </c>
      <c r="E60" s="3" t="s">
        <v>97</v>
      </c>
      <c r="F60" s="7">
        <v>130066</v>
      </c>
      <c r="G60" s="3" t="s">
        <v>98</v>
      </c>
      <c r="H60" s="3" t="s">
        <v>45</v>
      </c>
    </row>
    <row r="61" spans="1:8" ht="21" customHeight="1">
      <c r="A61" s="3" t="s">
        <v>66</v>
      </c>
      <c r="B61" s="3" t="s">
        <v>65</v>
      </c>
      <c r="C61" s="4">
        <v>46054</v>
      </c>
      <c r="D61" s="3" t="s">
        <v>106</v>
      </c>
      <c r="E61" s="3" t="s">
        <v>97</v>
      </c>
      <c r="F61" s="7">
        <v>185319</v>
      </c>
      <c r="G61" s="3" t="s">
        <v>98</v>
      </c>
      <c r="H61" s="3" t="s">
        <v>45</v>
      </c>
    </row>
    <row r="62" spans="1:8" ht="21" customHeight="1">
      <c r="A62" s="3" t="s">
        <v>66</v>
      </c>
      <c r="B62" s="3" t="s">
        <v>65</v>
      </c>
      <c r="C62" s="4">
        <v>46082</v>
      </c>
      <c r="D62" s="3" t="s">
        <v>106</v>
      </c>
      <c r="E62" s="3" t="s">
        <v>97</v>
      </c>
      <c r="F62" s="7">
        <v>137559</v>
      </c>
      <c r="G62" s="3" t="s">
        <v>98</v>
      </c>
      <c r="H62" s="3" t="s">
        <v>45</v>
      </c>
    </row>
    <row r="63" spans="1:8" ht="21" customHeight="1">
      <c r="A63" s="3" t="s">
        <v>66</v>
      </c>
      <c r="B63" s="3" t="s">
        <v>65</v>
      </c>
      <c r="C63" s="4">
        <v>46113</v>
      </c>
      <c r="D63" s="3" t="s">
        <v>106</v>
      </c>
      <c r="E63" s="3" t="s">
        <v>97</v>
      </c>
      <c r="F63" s="7">
        <v>163326</v>
      </c>
      <c r="G63" s="3" t="s">
        <v>98</v>
      </c>
      <c r="H63" s="3" t="s">
        <v>45</v>
      </c>
    </row>
    <row r="64" spans="1:8" ht="21" customHeight="1">
      <c r="A64" s="3" t="s">
        <v>66</v>
      </c>
      <c r="B64" s="3" t="s">
        <v>65</v>
      </c>
      <c r="C64" s="4">
        <v>46143</v>
      </c>
      <c r="D64" s="3" t="s">
        <v>106</v>
      </c>
      <c r="E64" s="3" t="s">
        <v>97</v>
      </c>
      <c r="F64" s="7">
        <v>165833</v>
      </c>
      <c r="G64" s="3" t="s">
        <v>98</v>
      </c>
      <c r="H64" s="3" t="s">
        <v>45</v>
      </c>
    </row>
    <row r="65" spans="1:8" ht="21" customHeight="1">
      <c r="A65" s="3" t="s">
        <v>66</v>
      </c>
      <c r="B65" s="3" t="s">
        <v>65</v>
      </c>
      <c r="C65" s="4">
        <v>46174</v>
      </c>
      <c r="D65" s="3" t="s">
        <v>106</v>
      </c>
      <c r="E65" s="3" t="s">
        <v>97</v>
      </c>
      <c r="F65" s="7">
        <v>107493</v>
      </c>
      <c r="G65" s="3" t="s">
        <v>98</v>
      </c>
      <c r="H65" s="3" t="s">
        <v>45</v>
      </c>
    </row>
    <row r="66" spans="1:8" ht="21" customHeight="1">
      <c r="A66" s="3" t="s">
        <v>66</v>
      </c>
      <c r="B66" s="3" t="s">
        <v>65</v>
      </c>
      <c r="C66" s="4">
        <v>46204</v>
      </c>
      <c r="D66" s="3" t="s">
        <v>106</v>
      </c>
      <c r="E66" s="3" t="s">
        <v>97</v>
      </c>
      <c r="F66" s="7">
        <v>136001</v>
      </c>
      <c r="G66" s="3" t="s">
        <v>98</v>
      </c>
      <c r="H66" s="3" t="s">
        <v>45</v>
      </c>
    </row>
    <row r="67" spans="1:8" ht="21" customHeight="1">
      <c r="A67" s="3" t="s">
        <v>66</v>
      </c>
      <c r="B67" s="3" t="s">
        <v>65</v>
      </c>
      <c r="C67" s="4">
        <v>46143</v>
      </c>
      <c r="D67" s="3" t="s">
        <v>106</v>
      </c>
      <c r="E67" s="3" t="s">
        <v>100</v>
      </c>
      <c r="F67" s="7">
        <v>24650</v>
      </c>
      <c r="G67" s="3" t="s">
        <v>98</v>
      </c>
      <c r="H67" s="3" t="s">
        <v>45</v>
      </c>
    </row>
    <row r="68" spans="1:8" ht="21" customHeight="1">
      <c r="A68" s="3" t="s">
        <v>66</v>
      </c>
      <c r="B68" s="3" t="s">
        <v>65</v>
      </c>
      <c r="C68" s="4">
        <v>46143</v>
      </c>
      <c r="D68" s="3" t="s">
        <v>106</v>
      </c>
      <c r="E68" s="3" t="s">
        <v>103</v>
      </c>
      <c r="F68" s="7">
        <v>12032</v>
      </c>
      <c r="G68" s="3" t="s">
        <v>98</v>
      </c>
      <c r="H68" s="3" t="s">
        <v>45</v>
      </c>
    </row>
    <row r="69" spans="1:8" ht="21" customHeight="1">
      <c r="A69" s="3" t="s">
        <v>66</v>
      </c>
      <c r="B69" s="3" t="s">
        <v>65</v>
      </c>
      <c r="C69" s="4">
        <v>46174</v>
      </c>
      <c r="D69" s="3" t="s">
        <v>106</v>
      </c>
      <c r="E69" s="3" t="s">
        <v>101</v>
      </c>
      <c r="F69" s="7">
        <v>21286</v>
      </c>
      <c r="G69" s="3" t="s">
        <v>98</v>
      </c>
      <c r="H69" s="3" t="s">
        <v>45</v>
      </c>
    </row>
    <row r="70" spans="1:8" ht="21" customHeight="1">
      <c r="A70" s="3" t="s">
        <v>66</v>
      </c>
      <c r="B70" s="3" t="s">
        <v>65</v>
      </c>
      <c r="C70" s="4">
        <v>46174</v>
      </c>
      <c r="D70" s="3" t="s">
        <v>106</v>
      </c>
      <c r="E70" s="3" t="s">
        <v>99</v>
      </c>
      <c r="F70" s="7">
        <v>45</v>
      </c>
      <c r="G70" s="3" t="s">
        <v>98</v>
      </c>
      <c r="H70" s="3" t="s">
        <v>45</v>
      </c>
    </row>
    <row r="71" spans="1:8" ht="21" customHeight="1">
      <c r="A71" s="3" t="s">
        <v>66</v>
      </c>
      <c r="B71" s="3" t="s">
        <v>65</v>
      </c>
      <c r="C71" s="4">
        <v>46174</v>
      </c>
      <c r="D71" s="3" t="s">
        <v>106</v>
      </c>
      <c r="E71" s="3" t="s">
        <v>104</v>
      </c>
      <c r="F71" s="7">
        <v>57953</v>
      </c>
      <c r="G71" s="3" t="s">
        <v>98</v>
      </c>
      <c r="H71" s="3" t="s">
        <v>45</v>
      </c>
    </row>
    <row r="72" spans="1:8" ht="21" customHeight="1">
      <c r="A72" s="3" t="s">
        <v>66</v>
      </c>
      <c r="B72" s="3" t="s">
        <v>65</v>
      </c>
      <c r="C72" s="4">
        <v>46174</v>
      </c>
      <c r="D72" s="3" t="s">
        <v>106</v>
      </c>
      <c r="E72" s="3" t="s">
        <v>103</v>
      </c>
      <c r="F72" s="7">
        <v>13628</v>
      </c>
      <c r="G72" s="3" t="s">
        <v>98</v>
      </c>
      <c r="H72" s="3" t="s">
        <v>45</v>
      </c>
    </row>
    <row r="73" spans="1:8" ht="21" customHeight="1">
      <c r="A73" s="3" t="s">
        <v>66</v>
      </c>
      <c r="B73" s="3" t="s">
        <v>65</v>
      </c>
      <c r="C73" s="4">
        <v>46174</v>
      </c>
      <c r="D73" s="3" t="s">
        <v>106</v>
      </c>
      <c r="E73" s="3" t="s">
        <v>100</v>
      </c>
      <c r="F73" s="7">
        <v>14580</v>
      </c>
      <c r="G73" s="3" t="s">
        <v>98</v>
      </c>
      <c r="H73" s="3" t="s">
        <v>45</v>
      </c>
    </row>
    <row r="74" spans="1:8" ht="21" customHeight="1">
      <c r="A74" s="3" t="s">
        <v>66</v>
      </c>
      <c r="B74" s="3" t="s">
        <v>65</v>
      </c>
      <c r="C74" s="4">
        <v>46204</v>
      </c>
      <c r="D74" s="3" t="s">
        <v>106</v>
      </c>
      <c r="E74" s="3" t="s">
        <v>101</v>
      </c>
      <c r="F74" s="7">
        <v>32274</v>
      </c>
      <c r="G74" s="3" t="s">
        <v>98</v>
      </c>
      <c r="H74" s="3" t="s">
        <v>45</v>
      </c>
    </row>
    <row r="75" spans="1:8" ht="21" customHeight="1">
      <c r="A75" s="3" t="s">
        <v>66</v>
      </c>
      <c r="B75" s="3" t="s">
        <v>65</v>
      </c>
      <c r="C75" s="4">
        <v>46204</v>
      </c>
      <c r="D75" s="3" t="s">
        <v>106</v>
      </c>
      <c r="E75" s="3" t="s">
        <v>99</v>
      </c>
      <c r="F75" s="7">
        <v>40</v>
      </c>
      <c r="G75" s="3" t="s">
        <v>98</v>
      </c>
      <c r="H75" s="3" t="s">
        <v>45</v>
      </c>
    </row>
    <row r="76" spans="1:8" ht="21" customHeight="1">
      <c r="A76" s="3" t="s">
        <v>66</v>
      </c>
      <c r="B76" s="3" t="s">
        <v>65</v>
      </c>
      <c r="C76" s="4">
        <v>46204</v>
      </c>
      <c r="D76" s="3" t="s">
        <v>106</v>
      </c>
      <c r="E76" s="3" t="s">
        <v>104</v>
      </c>
      <c r="F76" s="7">
        <v>69547</v>
      </c>
      <c r="G76" s="3" t="s">
        <v>98</v>
      </c>
      <c r="H76" s="3" t="s">
        <v>45</v>
      </c>
    </row>
    <row r="77" spans="1:8" ht="21" customHeight="1">
      <c r="A77" s="3" t="s">
        <v>66</v>
      </c>
      <c r="B77" s="3" t="s">
        <v>65</v>
      </c>
      <c r="C77" s="4">
        <v>46204</v>
      </c>
      <c r="D77" s="3" t="s">
        <v>106</v>
      </c>
      <c r="E77" s="3" t="s">
        <v>103</v>
      </c>
      <c r="F77" s="7">
        <v>12125</v>
      </c>
      <c r="G77" s="3" t="s">
        <v>98</v>
      </c>
      <c r="H77" s="3" t="s">
        <v>45</v>
      </c>
    </row>
    <row r="78" spans="1:8" ht="21" customHeight="1">
      <c r="A78" s="3" t="s">
        <v>66</v>
      </c>
      <c r="B78" s="3" t="s">
        <v>65</v>
      </c>
      <c r="C78" s="4">
        <v>46204</v>
      </c>
      <c r="D78" s="3" t="s">
        <v>106</v>
      </c>
      <c r="E78" s="3" t="s">
        <v>100</v>
      </c>
      <c r="F78" s="7">
        <v>22016</v>
      </c>
      <c r="G78" s="3" t="s">
        <v>98</v>
      </c>
      <c r="H78" s="3" t="s">
        <v>45</v>
      </c>
    </row>
    <row r="79" spans="1:8" ht="21" customHeight="1">
      <c r="A79" s="3" t="s">
        <v>66</v>
      </c>
      <c r="B79" s="3" t="s">
        <v>65</v>
      </c>
      <c r="C79" s="4">
        <v>46235</v>
      </c>
      <c r="D79" s="3" t="s">
        <v>106</v>
      </c>
      <c r="E79" s="3" t="s">
        <v>101</v>
      </c>
      <c r="F79" s="7">
        <v>42724</v>
      </c>
      <c r="G79" s="3" t="s">
        <v>98</v>
      </c>
      <c r="H79" s="3" t="s">
        <v>45</v>
      </c>
    </row>
    <row r="80" spans="1:8" ht="21" customHeight="1">
      <c r="A80" s="3" t="s">
        <v>66</v>
      </c>
      <c r="B80" s="3" t="s">
        <v>65</v>
      </c>
      <c r="C80" s="4">
        <v>46235</v>
      </c>
      <c r="D80" s="3" t="s">
        <v>106</v>
      </c>
      <c r="E80" s="3" t="s">
        <v>99</v>
      </c>
      <c r="F80" s="7">
        <v>93</v>
      </c>
      <c r="G80" s="3" t="s">
        <v>98</v>
      </c>
      <c r="H80" s="3" t="s">
        <v>45</v>
      </c>
    </row>
    <row r="81" spans="1:8" ht="21" customHeight="1">
      <c r="A81" s="3" t="s">
        <v>66</v>
      </c>
      <c r="B81" s="3" t="s">
        <v>65</v>
      </c>
      <c r="C81" s="4">
        <v>46235</v>
      </c>
      <c r="D81" s="3" t="s">
        <v>106</v>
      </c>
      <c r="E81" s="3" t="s">
        <v>104</v>
      </c>
      <c r="F81" s="7">
        <v>44640</v>
      </c>
      <c r="G81" s="3" t="s">
        <v>98</v>
      </c>
      <c r="H81" s="3" t="s">
        <v>45</v>
      </c>
    </row>
    <row r="82" spans="1:8" ht="21" customHeight="1">
      <c r="A82" s="3" t="s">
        <v>66</v>
      </c>
      <c r="B82" s="3" t="s">
        <v>65</v>
      </c>
      <c r="C82" s="4">
        <v>46235</v>
      </c>
      <c r="D82" s="3" t="s">
        <v>106</v>
      </c>
      <c r="E82" s="3" t="s">
        <v>103</v>
      </c>
      <c r="F82" s="7">
        <v>13811</v>
      </c>
      <c r="G82" s="3" t="s">
        <v>98</v>
      </c>
      <c r="H82" s="3" t="s">
        <v>45</v>
      </c>
    </row>
    <row r="83" spans="1:8" ht="21" customHeight="1">
      <c r="A83" s="3" t="s">
        <v>66</v>
      </c>
      <c r="B83" s="3" t="s">
        <v>65</v>
      </c>
      <c r="C83" s="4">
        <v>46235</v>
      </c>
      <c r="D83" s="3" t="s">
        <v>106</v>
      </c>
      <c r="E83" s="3" t="s">
        <v>100</v>
      </c>
      <c r="F83" s="7">
        <v>21505</v>
      </c>
      <c r="G83" s="3" t="s">
        <v>98</v>
      </c>
      <c r="H83" s="3" t="s">
        <v>45</v>
      </c>
    </row>
    <row r="84" spans="1:8" ht="21" customHeight="1">
      <c r="A84" s="3" t="s">
        <v>66</v>
      </c>
      <c r="B84" s="3" t="s">
        <v>65</v>
      </c>
      <c r="C84" s="4">
        <v>46082</v>
      </c>
      <c r="D84" s="3" t="s">
        <v>106</v>
      </c>
      <c r="E84" s="3" t="s">
        <v>99</v>
      </c>
      <c r="F84" s="7">
        <v>164</v>
      </c>
      <c r="G84" s="3" t="s">
        <v>98</v>
      </c>
      <c r="H84" s="3" t="s">
        <v>45</v>
      </c>
    </row>
    <row r="85" spans="1:8" ht="21" customHeight="1">
      <c r="A85" s="3" t="s">
        <v>66</v>
      </c>
      <c r="B85" s="3" t="s">
        <v>65</v>
      </c>
      <c r="C85" s="4">
        <v>46023</v>
      </c>
      <c r="D85" s="3" t="s">
        <v>106</v>
      </c>
      <c r="E85" s="3" t="s">
        <v>99</v>
      </c>
      <c r="F85" s="7">
        <v>4</v>
      </c>
      <c r="G85" s="3" t="s">
        <v>98</v>
      </c>
      <c r="H85" s="3" t="s">
        <v>45</v>
      </c>
    </row>
    <row r="86" spans="1:8" ht="21" customHeight="1">
      <c r="A86" s="3" t="s">
        <v>66</v>
      </c>
      <c r="B86" s="3" t="s">
        <v>65</v>
      </c>
      <c r="C86" s="4">
        <v>46023</v>
      </c>
      <c r="D86" s="3" t="s">
        <v>106</v>
      </c>
      <c r="E86" s="3" t="s">
        <v>104</v>
      </c>
      <c r="F86" s="7">
        <v>62995</v>
      </c>
      <c r="G86" s="3" t="s">
        <v>98</v>
      </c>
      <c r="H86" s="3" t="s">
        <v>45</v>
      </c>
    </row>
    <row r="87" spans="1:8" ht="21" customHeight="1">
      <c r="A87" s="3" t="s">
        <v>66</v>
      </c>
      <c r="B87" s="3" t="s">
        <v>65</v>
      </c>
      <c r="C87" s="4">
        <v>46023</v>
      </c>
      <c r="D87" s="3" t="s">
        <v>106</v>
      </c>
      <c r="E87" s="3" t="s">
        <v>103</v>
      </c>
      <c r="F87" s="7">
        <v>7049</v>
      </c>
      <c r="G87" s="3" t="s">
        <v>98</v>
      </c>
      <c r="H87" s="3" t="s">
        <v>45</v>
      </c>
    </row>
    <row r="88" spans="1:8" ht="21" customHeight="1">
      <c r="A88" s="3" t="s">
        <v>66</v>
      </c>
      <c r="B88" s="3" t="s">
        <v>65</v>
      </c>
      <c r="C88" s="4">
        <v>46023</v>
      </c>
      <c r="D88" s="3" t="s">
        <v>106</v>
      </c>
      <c r="E88" s="3" t="s">
        <v>100</v>
      </c>
      <c r="F88" s="7">
        <v>36056</v>
      </c>
      <c r="G88" s="3" t="s">
        <v>98</v>
      </c>
      <c r="H88" s="3" t="s">
        <v>45</v>
      </c>
    </row>
    <row r="89" spans="1:8" ht="21" customHeight="1">
      <c r="A89" s="3" t="s">
        <v>66</v>
      </c>
      <c r="B89" s="3" t="s">
        <v>65</v>
      </c>
      <c r="C89" s="4">
        <v>46054</v>
      </c>
      <c r="D89" s="3" t="s">
        <v>106</v>
      </c>
      <c r="E89" s="3" t="s">
        <v>101</v>
      </c>
      <c r="F89" s="7">
        <v>45424</v>
      </c>
      <c r="G89" s="3" t="s">
        <v>98</v>
      </c>
      <c r="H89" s="3" t="s">
        <v>45</v>
      </c>
    </row>
    <row r="90" spans="1:8" ht="21" customHeight="1">
      <c r="A90" s="3" t="s">
        <v>66</v>
      </c>
      <c r="B90" s="3" t="s">
        <v>65</v>
      </c>
      <c r="C90" s="4">
        <v>46054</v>
      </c>
      <c r="D90" s="3" t="s">
        <v>106</v>
      </c>
      <c r="E90" s="3" t="s">
        <v>105</v>
      </c>
      <c r="F90" s="7">
        <v>62703</v>
      </c>
      <c r="G90" s="3" t="s">
        <v>98</v>
      </c>
      <c r="H90" s="3" t="s">
        <v>45</v>
      </c>
    </row>
    <row r="91" spans="1:8" ht="21" customHeight="1">
      <c r="A91" s="3" t="s">
        <v>66</v>
      </c>
      <c r="B91" s="3" t="s">
        <v>65</v>
      </c>
      <c r="C91" s="4">
        <v>46054</v>
      </c>
      <c r="D91" s="3" t="s">
        <v>106</v>
      </c>
      <c r="E91" s="3" t="s">
        <v>99</v>
      </c>
      <c r="F91" s="7">
        <v>62</v>
      </c>
      <c r="G91" s="3" t="s">
        <v>98</v>
      </c>
      <c r="H91" s="3" t="s">
        <v>45</v>
      </c>
    </row>
    <row r="92" spans="1:8" ht="21" customHeight="1">
      <c r="A92" s="3" t="s">
        <v>66</v>
      </c>
      <c r="B92" s="3" t="s">
        <v>65</v>
      </c>
      <c r="C92" s="4">
        <v>46054</v>
      </c>
      <c r="D92" s="3" t="s">
        <v>106</v>
      </c>
      <c r="E92" s="3" t="s">
        <v>104</v>
      </c>
      <c r="F92" s="7">
        <v>33861</v>
      </c>
      <c r="G92" s="3" t="s">
        <v>98</v>
      </c>
      <c r="H92" s="3" t="s">
        <v>45</v>
      </c>
    </row>
    <row r="93" spans="1:8" ht="21" customHeight="1">
      <c r="A93" s="3" t="s">
        <v>66</v>
      </c>
      <c r="B93" s="3" t="s">
        <v>65</v>
      </c>
      <c r="C93" s="4">
        <v>46054</v>
      </c>
      <c r="D93" s="3" t="s">
        <v>106</v>
      </c>
      <c r="E93" s="3" t="s">
        <v>103</v>
      </c>
      <c r="F93" s="7">
        <v>7435</v>
      </c>
      <c r="G93" s="3" t="s">
        <v>98</v>
      </c>
      <c r="H93" s="3" t="s">
        <v>45</v>
      </c>
    </row>
    <row r="94" spans="1:8" ht="21" customHeight="1">
      <c r="A94" s="3" t="s">
        <v>66</v>
      </c>
      <c r="B94" s="3" t="s">
        <v>65</v>
      </c>
      <c r="C94" s="4">
        <v>46054</v>
      </c>
      <c r="D94" s="3" t="s">
        <v>106</v>
      </c>
      <c r="E94" s="3" t="s">
        <v>100</v>
      </c>
      <c r="F94" s="7">
        <v>35833</v>
      </c>
      <c r="G94" s="3" t="s">
        <v>98</v>
      </c>
      <c r="H94" s="3" t="s">
        <v>45</v>
      </c>
    </row>
    <row r="95" spans="1:8" ht="21" customHeight="1">
      <c r="A95" s="3" t="s">
        <v>66</v>
      </c>
      <c r="B95" s="3" t="s">
        <v>65</v>
      </c>
      <c r="C95" s="4">
        <v>46082</v>
      </c>
      <c r="D95" s="3" t="s">
        <v>106</v>
      </c>
      <c r="E95" s="3" t="s">
        <v>101</v>
      </c>
      <c r="F95" s="7">
        <v>27713</v>
      </c>
      <c r="G95" s="3" t="s">
        <v>98</v>
      </c>
      <c r="H95" s="3" t="s">
        <v>45</v>
      </c>
    </row>
    <row r="96" spans="1:8" ht="21" customHeight="1">
      <c r="A96" s="3" t="s">
        <v>66</v>
      </c>
      <c r="B96" s="3" t="s">
        <v>65</v>
      </c>
      <c r="C96" s="4">
        <v>46023</v>
      </c>
      <c r="D96" s="3" t="s">
        <v>106</v>
      </c>
      <c r="E96" s="3" t="s">
        <v>101</v>
      </c>
      <c r="F96" s="7">
        <v>23962</v>
      </c>
      <c r="G96" s="3" t="s">
        <v>98</v>
      </c>
      <c r="H96" s="3" t="s">
        <v>45</v>
      </c>
    </row>
    <row r="97" spans="1:8" ht="21" customHeight="1">
      <c r="A97" s="3" t="s">
        <v>66</v>
      </c>
      <c r="B97" s="3" t="s">
        <v>65</v>
      </c>
      <c r="C97" s="4">
        <v>46082</v>
      </c>
      <c r="D97" s="3" t="s">
        <v>106</v>
      </c>
      <c r="E97" s="3" t="s">
        <v>104</v>
      </c>
      <c r="F97" s="7">
        <v>59587</v>
      </c>
      <c r="G97" s="3" t="s">
        <v>98</v>
      </c>
      <c r="H97" s="3" t="s">
        <v>45</v>
      </c>
    </row>
    <row r="98" spans="1:8" ht="21" customHeight="1">
      <c r="A98" s="3" t="s">
        <v>66</v>
      </c>
      <c r="B98" s="3" t="s">
        <v>65</v>
      </c>
      <c r="C98" s="4">
        <v>46082</v>
      </c>
      <c r="D98" s="3" t="s">
        <v>106</v>
      </c>
      <c r="E98" s="3" t="s">
        <v>103</v>
      </c>
      <c r="F98" s="7">
        <v>23045</v>
      </c>
      <c r="G98" s="3" t="s">
        <v>98</v>
      </c>
      <c r="H98" s="3" t="s">
        <v>45</v>
      </c>
    </row>
    <row r="99" spans="1:8" ht="21" customHeight="1">
      <c r="A99" s="3" t="s">
        <v>66</v>
      </c>
      <c r="B99" s="3" t="s">
        <v>65</v>
      </c>
      <c r="C99" s="4">
        <v>46082</v>
      </c>
      <c r="D99" s="3" t="s">
        <v>106</v>
      </c>
      <c r="E99" s="3" t="s">
        <v>100</v>
      </c>
      <c r="F99" s="7">
        <v>27050</v>
      </c>
      <c r="G99" s="3" t="s">
        <v>98</v>
      </c>
      <c r="H99" s="3" t="s">
        <v>45</v>
      </c>
    </row>
    <row r="100" spans="1:8" ht="21" customHeight="1">
      <c r="A100" s="3" t="s">
        <v>66</v>
      </c>
      <c r="B100" s="3" t="s">
        <v>65</v>
      </c>
      <c r="C100" s="4">
        <v>46113</v>
      </c>
      <c r="D100" s="3" t="s">
        <v>106</v>
      </c>
      <c r="E100" s="3" t="s">
        <v>101</v>
      </c>
      <c r="F100" s="7">
        <v>26145</v>
      </c>
      <c r="G100" s="3" t="s">
        <v>98</v>
      </c>
      <c r="H100" s="3" t="s">
        <v>45</v>
      </c>
    </row>
    <row r="101" spans="1:8" ht="21" customHeight="1">
      <c r="A101" s="3" t="s">
        <v>66</v>
      </c>
      <c r="B101" s="3" t="s">
        <v>65</v>
      </c>
      <c r="C101" s="4">
        <v>46113</v>
      </c>
      <c r="D101" s="3" t="s">
        <v>106</v>
      </c>
      <c r="E101" s="3" t="s">
        <v>99</v>
      </c>
      <c r="F101" s="7">
        <v>94</v>
      </c>
      <c r="G101" s="3" t="s">
        <v>98</v>
      </c>
      <c r="H101" s="3" t="s">
        <v>45</v>
      </c>
    </row>
    <row r="102" spans="1:8" ht="21" customHeight="1">
      <c r="A102" s="3" t="s">
        <v>66</v>
      </c>
      <c r="B102" s="3" t="s">
        <v>65</v>
      </c>
      <c r="C102" s="4">
        <v>46113</v>
      </c>
      <c r="D102" s="3" t="s">
        <v>106</v>
      </c>
      <c r="E102" s="3" t="s">
        <v>104</v>
      </c>
      <c r="F102" s="7">
        <v>81206</v>
      </c>
      <c r="G102" s="3" t="s">
        <v>98</v>
      </c>
      <c r="H102" s="3" t="s">
        <v>45</v>
      </c>
    </row>
    <row r="103" spans="1:8" ht="21" customHeight="1">
      <c r="A103" s="3" t="s">
        <v>66</v>
      </c>
      <c r="B103" s="3" t="s">
        <v>65</v>
      </c>
      <c r="C103" s="4">
        <v>46113</v>
      </c>
      <c r="D103" s="3" t="s">
        <v>106</v>
      </c>
      <c r="E103" s="3" t="s">
        <v>103</v>
      </c>
      <c r="F103" s="7">
        <v>9052</v>
      </c>
      <c r="G103" s="3" t="s">
        <v>98</v>
      </c>
      <c r="H103" s="3" t="s">
        <v>45</v>
      </c>
    </row>
    <row r="104" spans="1:8" ht="21" customHeight="1">
      <c r="A104" s="3" t="s">
        <v>66</v>
      </c>
      <c r="B104" s="3" t="s">
        <v>65</v>
      </c>
      <c r="C104" s="4">
        <v>46113</v>
      </c>
      <c r="D104" s="3" t="s">
        <v>106</v>
      </c>
      <c r="E104" s="3" t="s">
        <v>100</v>
      </c>
      <c r="F104" s="7">
        <v>46829</v>
      </c>
      <c r="G104" s="3" t="s">
        <v>98</v>
      </c>
      <c r="H104" s="3" t="s">
        <v>45</v>
      </c>
    </row>
    <row r="105" spans="1:8" ht="21" customHeight="1">
      <c r="A105" s="3" t="s">
        <v>66</v>
      </c>
      <c r="B105" s="3" t="s">
        <v>65</v>
      </c>
      <c r="C105" s="4">
        <v>46143</v>
      </c>
      <c r="D105" s="3" t="s">
        <v>106</v>
      </c>
      <c r="E105" s="3" t="s">
        <v>101</v>
      </c>
      <c r="F105" s="7">
        <v>62436</v>
      </c>
      <c r="G105" s="3" t="s">
        <v>98</v>
      </c>
      <c r="H105" s="3" t="s">
        <v>45</v>
      </c>
    </row>
    <row r="106" spans="1:8" ht="21" customHeight="1">
      <c r="A106" s="3" t="s">
        <v>66</v>
      </c>
      <c r="B106" s="3" t="s">
        <v>65</v>
      </c>
      <c r="C106" s="4">
        <v>46143</v>
      </c>
      <c r="D106" s="3" t="s">
        <v>106</v>
      </c>
      <c r="E106" s="3" t="s">
        <v>99</v>
      </c>
      <c r="F106" s="7">
        <v>45</v>
      </c>
      <c r="G106" s="3" t="s">
        <v>98</v>
      </c>
      <c r="H106" s="3" t="s">
        <v>45</v>
      </c>
    </row>
    <row r="107" spans="1:8" ht="21" customHeight="1">
      <c r="A107" s="3" t="s">
        <v>66</v>
      </c>
      <c r="B107" s="3" t="s">
        <v>65</v>
      </c>
      <c r="C107" s="4">
        <v>46143</v>
      </c>
      <c r="D107" s="3" t="s">
        <v>106</v>
      </c>
      <c r="E107" s="3" t="s">
        <v>104</v>
      </c>
      <c r="F107" s="7">
        <v>66670</v>
      </c>
      <c r="G107" s="3" t="s">
        <v>98</v>
      </c>
      <c r="H107" s="3" t="s">
        <v>45</v>
      </c>
    </row>
    <row r="108" spans="1:8" ht="21" customHeight="1">
      <c r="A108" s="3" t="s">
        <v>66</v>
      </c>
      <c r="B108" s="3" t="s">
        <v>65</v>
      </c>
      <c r="C108" s="4">
        <v>46235</v>
      </c>
      <c r="D108" s="3" t="s">
        <v>107</v>
      </c>
      <c r="E108" s="3" t="s">
        <v>97</v>
      </c>
      <c r="F108" s="7">
        <v>26275896</v>
      </c>
      <c r="G108" s="3" t="s">
        <v>98</v>
      </c>
      <c r="H108" s="3" t="s">
        <v>45</v>
      </c>
    </row>
    <row r="109" spans="1:8" ht="21" customHeight="1">
      <c r="A109" s="3" t="s">
        <v>66</v>
      </c>
      <c r="B109" s="3" t="s">
        <v>65</v>
      </c>
      <c r="C109" s="4">
        <v>46204</v>
      </c>
      <c r="D109" s="3" t="s">
        <v>107</v>
      </c>
      <c r="E109" s="3" t="s">
        <v>97</v>
      </c>
      <c r="F109" s="7">
        <v>25298294</v>
      </c>
      <c r="G109" s="3" t="s">
        <v>98</v>
      </c>
      <c r="H109" s="3" t="s">
        <v>45</v>
      </c>
    </row>
    <row r="110" spans="1:8" ht="21" customHeight="1">
      <c r="A110" s="3" t="s">
        <v>66</v>
      </c>
      <c r="B110" s="3" t="s">
        <v>65</v>
      </c>
      <c r="C110" s="4">
        <v>46174</v>
      </c>
      <c r="D110" s="3" t="s">
        <v>107</v>
      </c>
      <c r="E110" s="3" t="s">
        <v>97</v>
      </c>
      <c r="F110" s="7">
        <v>23119555</v>
      </c>
      <c r="G110" s="3" t="s">
        <v>98</v>
      </c>
      <c r="H110" s="3" t="s">
        <v>45</v>
      </c>
    </row>
    <row r="111" spans="1:8" ht="21" customHeight="1">
      <c r="A111" s="3" t="s">
        <v>66</v>
      </c>
      <c r="B111" s="3" t="s">
        <v>65</v>
      </c>
      <c r="C111" s="4">
        <v>46143</v>
      </c>
      <c r="D111" s="3" t="s">
        <v>107</v>
      </c>
      <c r="E111" s="3" t="s">
        <v>97</v>
      </c>
      <c r="F111" s="7">
        <v>28134570</v>
      </c>
      <c r="G111" s="3" t="s">
        <v>98</v>
      </c>
      <c r="H111" s="3" t="s">
        <v>45</v>
      </c>
    </row>
    <row r="112" spans="1:8" ht="21" customHeight="1">
      <c r="A112" s="3" t="s">
        <v>66</v>
      </c>
      <c r="B112" s="3" t="s">
        <v>65</v>
      </c>
      <c r="C112" s="4">
        <v>46113</v>
      </c>
      <c r="D112" s="3" t="s">
        <v>107</v>
      </c>
      <c r="E112" s="3" t="s">
        <v>97</v>
      </c>
      <c r="F112" s="7">
        <v>22688716</v>
      </c>
      <c r="G112" s="3" t="s">
        <v>98</v>
      </c>
      <c r="H112" s="3" t="s">
        <v>45</v>
      </c>
    </row>
    <row r="113" spans="1:8" ht="21" customHeight="1">
      <c r="A113" s="3" t="s">
        <v>66</v>
      </c>
      <c r="B113" s="3" t="s">
        <v>65</v>
      </c>
      <c r="C113" s="4">
        <v>46082</v>
      </c>
      <c r="D113" s="3" t="s">
        <v>107</v>
      </c>
      <c r="E113" s="3" t="s">
        <v>97</v>
      </c>
      <c r="F113" s="7">
        <v>22088598</v>
      </c>
      <c r="G113" s="3" t="s">
        <v>98</v>
      </c>
      <c r="H113" s="3" t="s">
        <v>45</v>
      </c>
    </row>
    <row r="114" spans="1:8" ht="21" customHeight="1">
      <c r="A114" s="3" t="s">
        <v>66</v>
      </c>
      <c r="B114" s="3" t="s">
        <v>65</v>
      </c>
      <c r="C114" s="4">
        <v>46054</v>
      </c>
      <c r="D114" s="3" t="s">
        <v>107</v>
      </c>
      <c r="E114" s="3" t="s">
        <v>97</v>
      </c>
      <c r="F114" s="7">
        <v>23757984</v>
      </c>
      <c r="G114" s="3" t="s">
        <v>98</v>
      </c>
      <c r="H114" s="3" t="s">
        <v>45</v>
      </c>
    </row>
    <row r="115" spans="1:8" ht="21" customHeight="1">
      <c r="A115" s="3" t="s">
        <v>66</v>
      </c>
      <c r="B115" s="3" t="s">
        <v>65</v>
      </c>
      <c r="C115" s="4">
        <v>46023</v>
      </c>
      <c r="D115" s="3" t="s">
        <v>107</v>
      </c>
      <c r="E115" s="3" t="s">
        <v>97</v>
      </c>
      <c r="F115" s="7">
        <v>22031318</v>
      </c>
      <c r="G115" s="3" t="s">
        <v>98</v>
      </c>
      <c r="H115" s="3" t="s">
        <v>45</v>
      </c>
    </row>
    <row r="116" spans="1:8" ht="21" customHeight="1">
      <c r="A116" s="3" t="s">
        <v>66</v>
      </c>
      <c r="B116" s="3" t="s">
        <v>65</v>
      </c>
      <c r="C116" s="4">
        <v>46204</v>
      </c>
      <c r="D116" s="3" t="s">
        <v>107</v>
      </c>
      <c r="E116" s="3" t="s">
        <v>99</v>
      </c>
      <c r="F116" s="7">
        <v>9074581</v>
      </c>
      <c r="G116" s="3" t="s">
        <v>98</v>
      </c>
      <c r="H116" s="3" t="s">
        <v>45</v>
      </c>
    </row>
    <row r="117" spans="1:8" ht="21" customHeight="1">
      <c r="A117" s="3" t="s">
        <v>66</v>
      </c>
      <c r="B117" s="3" t="s">
        <v>65</v>
      </c>
      <c r="C117" s="4">
        <v>46143</v>
      </c>
      <c r="D117" s="3" t="s">
        <v>107</v>
      </c>
      <c r="E117" s="3" t="s">
        <v>102</v>
      </c>
      <c r="F117" s="7">
        <v>9070429</v>
      </c>
      <c r="G117" s="3" t="s">
        <v>98</v>
      </c>
      <c r="H117" s="3" t="s">
        <v>45</v>
      </c>
    </row>
    <row r="118" spans="1:8" ht="21" customHeight="1">
      <c r="A118" s="3" t="s">
        <v>66</v>
      </c>
      <c r="B118" s="3" t="s">
        <v>65</v>
      </c>
      <c r="C118" s="4">
        <v>46204</v>
      </c>
      <c r="D118" s="3" t="s">
        <v>107</v>
      </c>
      <c r="E118" s="3" t="s">
        <v>101</v>
      </c>
      <c r="F118" s="7">
        <v>2453939</v>
      </c>
      <c r="G118" s="3" t="s">
        <v>98</v>
      </c>
      <c r="H118" s="3" t="s">
        <v>45</v>
      </c>
    </row>
    <row r="119" spans="1:8" ht="21" customHeight="1">
      <c r="A119" s="3" t="s">
        <v>66</v>
      </c>
      <c r="B119" s="3" t="s">
        <v>65</v>
      </c>
      <c r="C119" s="4">
        <v>46174</v>
      </c>
      <c r="D119" s="3" t="s">
        <v>107</v>
      </c>
      <c r="E119" s="3" t="s">
        <v>102</v>
      </c>
      <c r="F119" s="7">
        <v>6723377</v>
      </c>
      <c r="G119" s="3" t="s">
        <v>98</v>
      </c>
      <c r="H119" s="3" t="s">
        <v>45</v>
      </c>
    </row>
    <row r="120" spans="1:8" ht="21" customHeight="1">
      <c r="A120" s="3" t="s">
        <v>66</v>
      </c>
      <c r="B120" s="3" t="s">
        <v>65</v>
      </c>
      <c r="C120" s="4">
        <v>46174</v>
      </c>
      <c r="D120" s="3" t="s">
        <v>107</v>
      </c>
      <c r="E120" s="3" t="s">
        <v>100</v>
      </c>
      <c r="F120" s="7">
        <v>289331</v>
      </c>
      <c r="G120" s="3" t="s">
        <v>98</v>
      </c>
      <c r="H120" s="3" t="s">
        <v>45</v>
      </c>
    </row>
    <row r="121" spans="1:8" ht="21" customHeight="1">
      <c r="A121" s="3" t="s">
        <v>66</v>
      </c>
      <c r="B121" s="3" t="s">
        <v>65</v>
      </c>
      <c r="C121" s="4">
        <v>46174</v>
      </c>
      <c r="D121" s="3" t="s">
        <v>107</v>
      </c>
      <c r="E121" s="3" t="s">
        <v>103</v>
      </c>
      <c r="F121" s="7">
        <v>142524</v>
      </c>
      <c r="G121" s="3" t="s">
        <v>98</v>
      </c>
      <c r="H121" s="3" t="s">
        <v>45</v>
      </c>
    </row>
    <row r="122" spans="1:8" ht="21" customHeight="1">
      <c r="A122" s="3" t="s">
        <v>66</v>
      </c>
      <c r="B122" s="3" t="s">
        <v>65</v>
      </c>
      <c r="C122" s="4">
        <v>46174</v>
      </c>
      <c r="D122" s="3" t="s">
        <v>107</v>
      </c>
      <c r="E122" s="3" t="s">
        <v>104</v>
      </c>
      <c r="F122" s="7">
        <v>5866344</v>
      </c>
      <c r="G122" s="3" t="s">
        <v>98</v>
      </c>
      <c r="H122" s="3" t="s">
        <v>45</v>
      </c>
    </row>
    <row r="123" spans="1:8" ht="21" customHeight="1">
      <c r="A123" s="3" t="s">
        <v>66</v>
      </c>
      <c r="B123" s="3" t="s">
        <v>65</v>
      </c>
      <c r="C123" s="4">
        <v>46174</v>
      </c>
      <c r="D123" s="3" t="s">
        <v>107</v>
      </c>
      <c r="E123" s="3" t="s">
        <v>99</v>
      </c>
      <c r="F123" s="7">
        <v>8546729</v>
      </c>
      <c r="G123" s="3" t="s">
        <v>98</v>
      </c>
      <c r="H123" s="3" t="s">
        <v>45</v>
      </c>
    </row>
    <row r="124" spans="1:8" ht="21" customHeight="1">
      <c r="A124" s="3" t="s">
        <v>66</v>
      </c>
      <c r="B124" s="3" t="s">
        <v>65</v>
      </c>
      <c r="C124" s="4">
        <v>46174</v>
      </c>
      <c r="D124" s="3" t="s">
        <v>107</v>
      </c>
      <c r="E124" s="3" t="s">
        <v>101</v>
      </c>
      <c r="F124" s="7">
        <v>1551248</v>
      </c>
      <c r="G124" s="3" t="s">
        <v>98</v>
      </c>
      <c r="H124" s="3" t="s">
        <v>45</v>
      </c>
    </row>
    <row r="125" spans="1:8" ht="21" customHeight="1">
      <c r="A125" s="3" t="s">
        <v>66</v>
      </c>
      <c r="B125" s="3" t="s">
        <v>65</v>
      </c>
      <c r="C125" s="4">
        <v>46143</v>
      </c>
      <c r="D125" s="3" t="s">
        <v>107</v>
      </c>
      <c r="E125" s="3" t="s">
        <v>100</v>
      </c>
      <c r="F125" s="7">
        <v>379953</v>
      </c>
      <c r="G125" s="3" t="s">
        <v>98</v>
      </c>
      <c r="H125" s="3" t="s">
        <v>45</v>
      </c>
    </row>
    <row r="126" spans="1:8" ht="21" customHeight="1">
      <c r="A126" s="3" t="s">
        <v>66</v>
      </c>
      <c r="B126" s="3" t="s">
        <v>65</v>
      </c>
      <c r="C126" s="4">
        <v>46204</v>
      </c>
      <c r="D126" s="3" t="s">
        <v>107</v>
      </c>
      <c r="E126" s="3" t="s">
        <v>104</v>
      </c>
      <c r="F126" s="7">
        <v>6083184</v>
      </c>
      <c r="G126" s="3" t="s">
        <v>98</v>
      </c>
      <c r="H126" s="3" t="s">
        <v>45</v>
      </c>
    </row>
    <row r="127" spans="1:8" ht="21" customHeight="1">
      <c r="A127" s="3" t="s">
        <v>66</v>
      </c>
      <c r="B127" s="3" t="s">
        <v>65</v>
      </c>
      <c r="C127" s="4">
        <v>46204</v>
      </c>
      <c r="D127" s="3" t="s">
        <v>107</v>
      </c>
      <c r="E127" s="3" t="s">
        <v>103</v>
      </c>
      <c r="F127" s="7">
        <v>144960</v>
      </c>
      <c r="G127" s="3" t="s">
        <v>98</v>
      </c>
      <c r="H127" s="3" t="s">
        <v>45</v>
      </c>
    </row>
    <row r="128" spans="1:8" ht="21" customHeight="1">
      <c r="A128" s="3" t="s">
        <v>66</v>
      </c>
      <c r="B128" s="3" t="s">
        <v>65</v>
      </c>
      <c r="C128" s="4">
        <v>46204</v>
      </c>
      <c r="D128" s="3" t="s">
        <v>107</v>
      </c>
      <c r="E128" s="3" t="s">
        <v>100</v>
      </c>
      <c r="F128" s="7">
        <v>269501</v>
      </c>
      <c r="G128" s="3" t="s">
        <v>98</v>
      </c>
      <c r="H128" s="3" t="s">
        <v>45</v>
      </c>
    </row>
    <row r="129" spans="1:8" ht="21" customHeight="1">
      <c r="A129" s="3" t="s">
        <v>66</v>
      </c>
      <c r="B129" s="3" t="s">
        <v>65</v>
      </c>
      <c r="C129" s="4">
        <v>46204</v>
      </c>
      <c r="D129" s="3" t="s">
        <v>107</v>
      </c>
      <c r="E129" s="3" t="s">
        <v>102</v>
      </c>
      <c r="F129" s="7">
        <v>7272128</v>
      </c>
      <c r="G129" s="3" t="s">
        <v>98</v>
      </c>
      <c r="H129" s="3" t="s">
        <v>45</v>
      </c>
    </row>
    <row r="130" spans="1:8" ht="21" customHeight="1">
      <c r="A130" s="3" t="s">
        <v>66</v>
      </c>
      <c r="B130" s="3" t="s">
        <v>65</v>
      </c>
      <c r="C130" s="4">
        <v>46235</v>
      </c>
      <c r="D130" s="3" t="s">
        <v>107</v>
      </c>
      <c r="E130" s="3" t="s">
        <v>101</v>
      </c>
      <c r="F130" s="7">
        <v>2965860</v>
      </c>
      <c r="G130" s="3" t="s">
        <v>98</v>
      </c>
      <c r="H130" s="3" t="s">
        <v>45</v>
      </c>
    </row>
    <row r="131" spans="1:8" ht="21" customHeight="1">
      <c r="A131" s="3" t="s">
        <v>66</v>
      </c>
      <c r="B131" s="3" t="s">
        <v>65</v>
      </c>
      <c r="C131" s="4">
        <v>46235</v>
      </c>
      <c r="D131" s="3" t="s">
        <v>107</v>
      </c>
      <c r="E131" s="3" t="s">
        <v>99</v>
      </c>
      <c r="F131" s="7">
        <v>8039214</v>
      </c>
      <c r="G131" s="3" t="s">
        <v>98</v>
      </c>
      <c r="H131" s="3" t="s">
        <v>45</v>
      </c>
    </row>
    <row r="132" spans="1:8" ht="21" customHeight="1">
      <c r="A132" s="3" t="s">
        <v>66</v>
      </c>
      <c r="B132" s="3" t="s">
        <v>65</v>
      </c>
      <c r="C132" s="4">
        <v>46235</v>
      </c>
      <c r="D132" s="3" t="s">
        <v>107</v>
      </c>
      <c r="E132" s="3" t="s">
        <v>104</v>
      </c>
      <c r="F132" s="7">
        <v>6638629</v>
      </c>
      <c r="G132" s="3" t="s">
        <v>98</v>
      </c>
      <c r="H132" s="3" t="s">
        <v>45</v>
      </c>
    </row>
    <row r="133" spans="1:8" ht="21" customHeight="1">
      <c r="A133" s="3" t="s">
        <v>66</v>
      </c>
      <c r="B133" s="3" t="s">
        <v>65</v>
      </c>
      <c r="C133" s="4">
        <v>46235</v>
      </c>
      <c r="D133" s="3" t="s">
        <v>107</v>
      </c>
      <c r="E133" s="3" t="s">
        <v>103</v>
      </c>
      <c r="F133" s="7">
        <v>186441</v>
      </c>
      <c r="G133" s="3" t="s">
        <v>98</v>
      </c>
      <c r="H133" s="3" t="s">
        <v>45</v>
      </c>
    </row>
    <row r="134" spans="1:8" ht="21" customHeight="1">
      <c r="A134" s="3" t="s">
        <v>66</v>
      </c>
      <c r="B134" s="3" t="s">
        <v>65</v>
      </c>
      <c r="C134" s="4">
        <v>46235</v>
      </c>
      <c r="D134" s="3" t="s">
        <v>107</v>
      </c>
      <c r="E134" s="3" t="s">
        <v>100</v>
      </c>
      <c r="F134" s="7">
        <v>331993</v>
      </c>
      <c r="G134" s="3" t="s">
        <v>98</v>
      </c>
      <c r="H134" s="3" t="s">
        <v>45</v>
      </c>
    </row>
    <row r="135" spans="1:8" ht="21" customHeight="1">
      <c r="A135" s="3" t="s">
        <v>66</v>
      </c>
      <c r="B135" s="3" t="s">
        <v>65</v>
      </c>
      <c r="C135" s="4">
        <v>46235</v>
      </c>
      <c r="D135" s="3" t="s">
        <v>107</v>
      </c>
      <c r="E135" s="3" t="s">
        <v>102</v>
      </c>
      <c r="F135" s="7">
        <v>8113760</v>
      </c>
      <c r="G135" s="3" t="s">
        <v>98</v>
      </c>
      <c r="H135" s="3" t="s">
        <v>45</v>
      </c>
    </row>
    <row r="136" spans="1:8" ht="21" customHeight="1">
      <c r="A136" s="3" t="s">
        <v>66</v>
      </c>
      <c r="B136" s="3" t="s">
        <v>65</v>
      </c>
      <c r="C136" s="4">
        <v>46082</v>
      </c>
      <c r="D136" s="3" t="s">
        <v>107</v>
      </c>
      <c r="E136" s="3" t="s">
        <v>104</v>
      </c>
      <c r="F136" s="7">
        <v>5294743</v>
      </c>
      <c r="G136" s="3" t="s">
        <v>98</v>
      </c>
      <c r="H136" s="3" t="s">
        <v>45</v>
      </c>
    </row>
    <row r="137" spans="1:8" ht="21" customHeight="1">
      <c r="A137" s="3" t="s">
        <v>66</v>
      </c>
      <c r="B137" s="3" t="s">
        <v>65</v>
      </c>
      <c r="C137" s="4">
        <v>46023</v>
      </c>
      <c r="D137" s="3" t="s">
        <v>107</v>
      </c>
      <c r="E137" s="3" t="s">
        <v>99</v>
      </c>
      <c r="F137" s="7">
        <v>7423166</v>
      </c>
      <c r="G137" s="3" t="s">
        <v>98</v>
      </c>
      <c r="H137" s="3" t="s">
        <v>45</v>
      </c>
    </row>
    <row r="138" spans="1:8" ht="21" customHeight="1">
      <c r="A138" s="3" t="s">
        <v>66</v>
      </c>
      <c r="B138" s="3" t="s">
        <v>65</v>
      </c>
      <c r="C138" s="4">
        <v>46023</v>
      </c>
      <c r="D138" s="3" t="s">
        <v>107</v>
      </c>
      <c r="E138" s="3" t="s">
        <v>104</v>
      </c>
      <c r="F138" s="7">
        <v>5405461</v>
      </c>
      <c r="G138" s="3" t="s">
        <v>98</v>
      </c>
      <c r="H138" s="3" t="s">
        <v>45</v>
      </c>
    </row>
    <row r="139" spans="1:8" ht="21" customHeight="1">
      <c r="A139" s="3" t="s">
        <v>66</v>
      </c>
      <c r="B139" s="3" t="s">
        <v>65</v>
      </c>
      <c r="C139" s="4">
        <v>46023</v>
      </c>
      <c r="D139" s="3" t="s">
        <v>107</v>
      </c>
      <c r="E139" s="3" t="s">
        <v>103</v>
      </c>
      <c r="F139" s="7">
        <v>156458</v>
      </c>
      <c r="G139" s="3" t="s">
        <v>98</v>
      </c>
      <c r="H139" s="3" t="s">
        <v>45</v>
      </c>
    </row>
    <row r="140" spans="1:8" ht="21" customHeight="1">
      <c r="A140" s="3" t="s">
        <v>66</v>
      </c>
      <c r="B140" s="3" t="s">
        <v>65</v>
      </c>
      <c r="C140" s="4">
        <v>46023</v>
      </c>
      <c r="D140" s="3" t="s">
        <v>107</v>
      </c>
      <c r="E140" s="3" t="s">
        <v>100</v>
      </c>
      <c r="F140" s="7">
        <v>502611</v>
      </c>
      <c r="G140" s="3" t="s">
        <v>98</v>
      </c>
      <c r="H140" s="3" t="s">
        <v>45</v>
      </c>
    </row>
    <row r="141" spans="1:8" ht="21" customHeight="1">
      <c r="A141" s="3" t="s">
        <v>66</v>
      </c>
      <c r="B141" s="3" t="s">
        <v>65</v>
      </c>
      <c r="C141" s="4">
        <v>46023</v>
      </c>
      <c r="D141" s="3" t="s">
        <v>107</v>
      </c>
      <c r="E141" s="3" t="s">
        <v>102</v>
      </c>
      <c r="F141" s="7">
        <v>6691722</v>
      </c>
      <c r="G141" s="3" t="s">
        <v>98</v>
      </c>
      <c r="H141" s="3" t="s">
        <v>45</v>
      </c>
    </row>
    <row r="142" spans="1:8" ht="21" customHeight="1">
      <c r="A142" s="3" t="s">
        <v>66</v>
      </c>
      <c r="B142" s="3" t="s">
        <v>65</v>
      </c>
      <c r="C142" s="4">
        <v>46054</v>
      </c>
      <c r="D142" s="3" t="s">
        <v>107</v>
      </c>
      <c r="E142" s="3" t="s">
        <v>101</v>
      </c>
      <c r="F142" s="7">
        <v>1785380</v>
      </c>
      <c r="G142" s="3" t="s">
        <v>98</v>
      </c>
      <c r="H142" s="3" t="s">
        <v>45</v>
      </c>
    </row>
    <row r="143" spans="1:8" ht="21" customHeight="1">
      <c r="A143" s="3" t="s">
        <v>66</v>
      </c>
      <c r="B143" s="3" t="s">
        <v>65</v>
      </c>
      <c r="C143" s="4">
        <v>46054</v>
      </c>
      <c r="D143" s="3" t="s">
        <v>107</v>
      </c>
      <c r="E143" s="3" t="s">
        <v>99</v>
      </c>
      <c r="F143" s="7">
        <v>7019466</v>
      </c>
      <c r="G143" s="3" t="s">
        <v>98</v>
      </c>
      <c r="H143" s="3" t="s">
        <v>45</v>
      </c>
    </row>
    <row r="144" spans="1:8" ht="21" customHeight="1">
      <c r="A144" s="3" t="s">
        <v>66</v>
      </c>
      <c r="B144" s="3" t="s">
        <v>65</v>
      </c>
      <c r="C144" s="4">
        <v>46054</v>
      </c>
      <c r="D144" s="3" t="s">
        <v>107</v>
      </c>
      <c r="E144" s="3" t="s">
        <v>104</v>
      </c>
      <c r="F144" s="7">
        <v>7270326</v>
      </c>
      <c r="G144" s="3" t="s">
        <v>98</v>
      </c>
      <c r="H144" s="3" t="s">
        <v>45</v>
      </c>
    </row>
    <row r="145" spans="1:8" ht="21" customHeight="1">
      <c r="A145" s="3" t="s">
        <v>66</v>
      </c>
      <c r="B145" s="3" t="s">
        <v>65</v>
      </c>
      <c r="C145" s="4">
        <v>46054</v>
      </c>
      <c r="D145" s="3" t="s">
        <v>107</v>
      </c>
      <c r="E145" s="3" t="s">
        <v>103</v>
      </c>
      <c r="F145" s="7">
        <v>185766</v>
      </c>
      <c r="G145" s="3" t="s">
        <v>98</v>
      </c>
      <c r="H145" s="3" t="s">
        <v>45</v>
      </c>
    </row>
    <row r="146" spans="1:8" ht="21" customHeight="1">
      <c r="A146" s="3" t="s">
        <v>66</v>
      </c>
      <c r="B146" s="3" t="s">
        <v>65</v>
      </c>
      <c r="C146" s="4">
        <v>46054</v>
      </c>
      <c r="D146" s="3" t="s">
        <v>107</v>
      </c>
      <c r="E146" s="3" t="s">
        <v>100</v>
      </c>
      <c r="F146" s="7">
        <v>477958</v>
      </c>
      <c r="G146" s="3" t="s">
        <v>98</v>
      </c>
      <c r="H146" s="3" t="s">
        <v>45</v>
      </c>
    </row>
    <row r="147" spans="1:8" ht="21" customHeight="1">
      <c r="A147" s="3" t="s">
        <v>66</v>
      </c>
      <c r="B147" s="3" t="s">
        <v>65</v>
      </c>
      <c r="C147" s="4">
        <v>46054</v>
      </c>
      <c r="D147" s="3" t="s">
        <v>107</v>
      </c>
      <c r="E147" s="3" t="s">
        <v>102</v>
      </c>
      <c r="F147" s="7">
        <v>7019088</v>
      </c>
      <c r="G147" s="3" t="s">
        <v>98</v>
      </c>
      <c r="H147" s="3" t="s">
        <v>45</v>
      </c>
    </row>
    <row r="148" spans="1:8" ht="21" customHeight="1">
      <c r="A148" s="3" t="s">
        <v>66</v>
      </c>
      <c r="B148" s="3" t="s">
        <v>65</v>
      </c>
      <c r="C148" s="4">
        <v>46082</v>
      </c>
      <c r="D148" s="3" t="s">
        <v>107</v>
      </c>
      <c r="E148" s="3" t="s">
        <v>101</v>
      </c>
      <c r="F148" s="7">
        <v>842542</v>
      </c>
      <c r="G148" s="3" t="s">
        <v>98</v>
      </c>
      <c r="H148" s="3" t="s">
        <v>45</v>
      </c>
    </row>
    <row r="149" spans="1:8" ht="21" customHeight="1">
      <c r="A149" s="3" t="s">
        <v>66</v>
      </c>
      <c r="B149" s="3" t="s">
        <v>65</v>
      </c>
      <c r="C149" s="4">
        <v>46082</v>
      </c>
      <c r="D149" s="3" t="s">
        <v>107</v>
      </c>
      <c r="E149" s="3" t="s">
        <v>99</v>
      </c>
      <c r="F149" s="7">
        <v>8902137</v>
      </c>
      <c r="G149" s="3" t="s">
        <v>98</v>
      </c>
      <c r="H149" s="3" t="s">
        <v>45</v>
      </c>
    </row>
    <row r="150" spans="1:8" ht="21" customHeight="1">
      <c r="A150" s="3" t="s">
        <v>66</v>
      </c>
      <c r="B150" s="3" t="s">
        <v>65</v>
      </c>
      <c r="C150" s="4">
        <v>46023</v>
      </c>
      <c r="D150" s="3" t="s">
        <v>107</v>
      </c>
      <c r="E150" s="3" t="s">
        <v>101</v>
      </c>
      <c r="F150" s="7">
        <v>1851900</v>
      </c>
      <c r="G150" s="3" t="s">
        <v>98</v>
      </c>
      <c r="H150" s="3" t="s">
        <v>45</v>
      </c>
    </row>
    <row r="151" spans="1:8" ht="21" customHeight="1">
      <c r="A151" s="3" t="s">
        <v>66</v>
      </c>
      <c r="B151" s="3" t="s">
        <v>65</v>
      </c>
      <c r="C151" s="4">
        <v>46082</v>
      </c>
      <c r="D151" s="3" t="s">
        <v>107</v>
      </c>
      <c r="E151" s="3" t="s">
        <v>103</v>
      </c>
      <c r="F151" s="7">
        <v>148664</v>
      </c>
      <c r="G151" s="3" t="s">
        <v>98</v>
      </c>
      <c r="H151" s="3" t="s">
        <v>45</v>
      </c>
    </row>
    <row r="152" spans="1:8" ht="21" customHeight="1">
      <c r="A152" s="3" t="s">
        <v>66</v>
      </c>
      <c r="B152" s="3" t="s">
        <v>65</v>
      </c>
      <c r="C152" s="4">
        <v>46082</v>
      </c>
      <c r="D152" s="3" t="s">
        <v>107</v>
      </c>
      <c r="E152" s="3" t="s">
        <v>100</v>
      </c>
      <c r="F152" s="7">
        <v>432738</v>
      </c>
      <c r="G152" s="3" t="s">
        <v>98</v>
      </c>
      <c r="H152" s="3" t="s">
        <v>45</v>
      </c>
    </row>
    <row r="153" spans="1:8" ht="21" customHeight="1">
      <c r="A153" s="3" t="s">
        <v>66</v>
      </c>
      <c r="B153" s="3" t="s">
        <v>65</v>
      </c>
      <c r="C153" s="4">
        <v>46082</v>
      </c>
      <c r="D153" s="3" t="s">
        <v>107</v>
      </c>
      <c r="E153" s="3" t="s">
        <v>102</v>
      </c>
      <c r="F153" s="7">
        <v>6467773</v>
      </c>
      <c r="G153" s="3" t="s">
        <v>98</v>
      </c>
      <c r="H153" s="3" t="s">
        <v>45</v>
      </c>
    </row>
    <row r="154" spans="1:8" ht="21" customHeight="1">
      <c r="A154" s="3" t="s">
        <v>66</v>
      </c>
      <c r="B154" s="3" t="s">
        <v>65</v>
      </c>
      <c r="C154" s="4">
        <v>46113</v>
      </c>
      <c r="D154" s="3" t="s">
        <v>107</v>
      </c>
      <c r="E154" s="3" t="s">
        <v>101</v>
      </c>
      <c r="F154" s="7">
        <v>1115096</v>
      </c>
      <c r="G154" s="3" t="s">
        <v>98</v>
      </c>
      <c r="H154" s="3" t="s">
        <v>45</v>
      </c>
    </row>
    <row r="155" spans="1:8" ht="21" customHeight="1">
      <c r="A155" s="3" t="s">
        <v>66</v>
      </c>
      <c r="B155" s="3" t="s">
        <v>65</v>
      </c>
      <c r="C155" s="4">
        <v>46113</v>
      </c>
      <c r="D155" s="3" t="s">
        <v>107</v>
      </c>
      <c r="E155" s="3" t="s">
        <v>99</v>
      </c>
      <c r="F155" s="7">
        <v>8047929</v>
      </c>
      <c r="G155" s="3" t="s">
        <v>98</v>
      </c>
      <c r="H155" s="3" t="s">
        <v>45</v>
      </c>
    </row>
    <row r="156" spans="1:8" ht="21" customHeight="1">
      <c r="A156" s="3" t="s">
        <v>66</v>
      </c>
      <c r="B156" s="3" t="s">
        <v>65</v>
      </c>
      <c r="C156" s="4">
        <v>46113</v>
      </c>
      <c r="D156" s="3" t="s">
        <v>107</v>
      </c>
      <c r="E156" s="3" t="s">
        <v>104</v>
      </c>
      <c r="F156" s="7">
        <v>5891187</v>
      </c>
      <c r="G156" s="3" t="s">
        <v>98</v>
      </c>
      <c r="H156" s="3" t="s">
        <v>45</v>
      </c>
    </row>
    <row r="157" spans="1:8" ht="21" customHeight="1">
      <c r="A157" s="3" t="s">
        <v>66</v>
      </c>
      <c r="B157" s="3" t="s">
        <v>65</v>
      </c>
      <c r="C157" s="4">
        <v>46113</v>
      </c>
      <c r="D157" s="3" t="s">
        <v>107</v>
      </c>
      <c r="E157" s="3" t="s">
        <v>103</v>
      </c>
      <c r="F157" s="7">
        <v>193478</v>
      </c>
      <c r="G157" s="3" t="s">
        <v>98</v>
      </c>
      <c r="H157" s="3" t="s">
        <v>45</v>
      </c>
    </row>
    <row r="158" spans="1:8" ht="21" customHeight="1">
      <c r="A158" s="3" t="s">
        <v>66</v>
      </c>
      <c r="B158" s="3" t="s">
        <v>65</v>
      </c>
      <c r="C158" s="4">
        <v>46113</v>
      </c>
      <c r="D158" s="3" t="s">
        <v>107</v>
      </c>
      <c r="E158" s="3" t="s">
        <v>100</v>
      </c>
      <c r="F158" s="7">
        <v>330673</v>
      </c>
      <c r="G158" s="3" t="s">
        <v>98</v>
      </c>
      <c r="H158" s="3" t="s">
        <v>45</v>
      </c>
    </row>
    <row r="159" spans="1:8" ht="21" customHeight="1">
      <c r="A159" s="3" t="s">
        <v>66</v>
      </c>
      <c r="B159" s="3" t="s">
        <v>65</v>
      </c>
      <c r="C159" s="4">
        <v>46113</v>
      </c>
      <c r="D159" s="3" t="s">
        <v>107</v>
      </c>
      <c r="E159" s="3" t="s">
        <v>102</v>
      </c>
      <c r="F159" s="7">
        <v>7110353</v>
      </c>
      <c r="G159" s="3" t="s">
        <v>98</v>
      </c>
      <c r="H159" s="3" t="s">
        <v>45</v>
      </c>
    </row>
    <row r="160" spans="1:8" ht="21" customHeight="1">
      <c r="A160" s="3" t="s">
        <v>66</v>
      </c>
      <c r="B160" s="3" t="s">
        <v>65</v>
      </c>
      <c r="C160" s="4">
        <v>46143</v>
      </c>
      <c r="D160" s="3" t="s">
        <v>107</v>
      </c>
      <c r="E160" s="3" t="s">
        <v>101</v>
      </c>
      <c r="F160" s="7">
        <v>1777590</v>
      </c>
      <c r="G160" s="3" t="s">
        <v>98</v>
      </c>
      <c r="H160" s="3" t="s">
        <v>45</v>
      </c>
    </row>
    <row r="161" spans="1:8" ht="21" customHeight="1">
      <c r="A161" s="3" t="s">
        <v>66</v>
      </c>
      <c r="B161" s="3" t="s">
        <v>65</v>
      </c>
      <c r="C161" s="4">
        <v>46143</v>
      </c>
      <c r="D161" s="3" t="s">
        <v>107</v>
      </c>
      <c r="E161" s="3" t="s">
        <v>99</v>
      </c>
      <c r="F161" s="7">
        <v>9137067</v>
      </c>
      <c r="G161" s="3" t="s">
        <v>98</v>
      </c>
      <c r="H161" s="3" t="s">
        <v>45</v>
      </c>
    </row>
    <row r="162" spans="1:8" ht="21" customHeight="1">
      <c r="A162" s="3" t="s">
        <v>66</v>
      </c>
      <c r="B162" s="3" t="s">
        <v>65</v>
      </c>
      <c r="C162" s="4">
        <v>46143</v>
      </c>
      <c r="D162" s="3" t="s">
        <v>107</v>
      </c>
      <c r="E162" s="3" t="s">
        <v>104</v>
      </c>
      <c r="F162" s="7">
        <v>7553304</v>
      </c>
      <c r="G162" s="3" t="s">
        <v>98</v>
      </c>
      <c r="H162" s="3" t="s">
        <v>45</v>
      </c>
    </row>
    <row r="163" spans="1:8" ht="21" customHeight="1">
      <c r="A163" s="3" t="s">
        <v>66</v>
      </c>
      <c r="B163" s="3" t="s">
        <v>65</v>
      </c>
      <c r="C163" s="4">
        <v>46143</v>
      </c>
      <c r="D163" s="3" t="s">
        <v>107</v>
      </c>
      <c r="E163" s="3" t="s">
        <v>103</v>
      </c>
      <c r="F163" s="7">
        <v>216227</v>
      </c>
      <c r="G163" s="3" t="s">
        <v>98</v>
      </c>
      <c r="H163" s="3" t="s">
        <v>45</v>
      </c>
    </row>
    <row r="164" spans="1:8" ht="21" customHeight="1">
      <c r="A164" s="3" t="s">
        <v>40</v>
      </c>
      <c r="B164" s="3" t="s">
        <v>39</v>
      </c>
      <c r="C164" s="4">
        <v>46235</v>
      </c>
      <c r="D164" s="3" t="s">
        <v>96</v>
      </c>
      <c r="E164" s="3" t="s">
        <v>97</v>
      </c>
      <c r="F164" s="7">
        <v>14239299</v>
      </c>
      <c r="G164" s="3" t="s">
        <v>108</v>
      </c>
      <c r="H164" s="3" t="s">
        <v>45</v>
      </c>
    </row>
    <row r="165" spans="1:8" ht="21" customHeight="1">
      <c r="A165" s="3" t="s">
        <v>40</v>
      </c>
      <c r="B165" s="3" t="s">
        <v>39</v>
      </c>
      <c r="C165" s="4">
        <v>45962</v>
      </c>
      <c r="D165" s="3" t="s">
        <v>96</v>
      </c>
      <c r="E165" s="3" t="s">
        <v>97</v>
      </c>
      <c r="F165" s="7">
        <v>8005853</v>
      </c>
      <c r="G165" s="3" t="s">
        <v>108</v>
      </c>
      <c r="H165" s="3" t="s">
        <v>45</v>
      </c>
    </row>
    <row r="166" spans="1:8" ht="21" customHeight="1">
      <c r="A166" s="3" t="s">
        <v>40</v>
      </c>
      <c r="B166" s="3" t="s">
        <v>39</v>
      </c>
      <c r="C166" s="4">
        <v>45992</v>
      </c>
      <c r="D166" s="3" t="s">
        <v>96</v>
      </c>
      <c r="E166" s="3" t="s">
        <v>97</v>
      </c>
      <c r="F166" s="7">
        <v>6688059</v>
      </c>
      <c r="G166" s="3" t="s">
        <v>108</v>
      </c>
      <c r="H166" s="3" t="s">
        <v>45</v>
      </c>
    </row>
    <row r="167" spans="1:8" ht="21" customHeight="1">
      <c r="A167" s="3" t="s">
        <v>40</v>
      </c>
      <c r="B167" s="3" t="s">
        <v>39</v>
      </c>
      <c r="C167" s="4">
        <v>46023</v>
      </c>
      <c r="D167" s="3" t="s">
        <v>96</v>
      </c>
      <c r="E167" s="3" t="s">
        <v>97</v>
      </c>
      <c r="F167" s="7">
        <v>6059136</v>
      </c>
      <c r="G167" s="3" t="s">
        <v>108</v>
      </c>
      <c r="H167" s="3" t="s">
        <v>45</v>
      </c>
    </row>
    <row r="168" spans="1:8" ht="21" customHeight="1">
      <c r="A168" s="3" t="s">
        <v>40</v>
      </c>
      <c r="B168" s="3" t="s">
        <v>39</v>
      </c>
      <c r="C168" s="4">
        <v>46054</v>
      </c>
      <c r="D168" s="3" t="s">
        <v>96</v>
      </c>
      <c r="E168" s="3" t="s">
        <v>97</v>
      </c>
      <c r="F168" s="7">
        <v>7010551</v>
      </c>
      <c r="G168" s="3" t="s">
        <v>108</v>
      </c>
      <c r="H168" s="3" t="s">
        <v>45</v>
      </c>
    </row>
    <row r="169" spans="1:8" ht="21" customHeight="1">
      <c r="A169" s="3" t="s">
        <v>40</v>
      </c>
      <c r="B169" s="3" t="s">
        <v>39</v>
      </c>
      <c r="C169" s="4">
        <v>46082</v>
      </c>
      <c r="D169" s="3" t="s">
        <v>96</v>
      </c>
      <c r="E169" s="3" t="s">
        <v>97</v>
      </c>
      <c r="F169" s="7">
        <v>8028274</v>
      </c>
      <c r="G169" s="3" t="s">
        <v>108</v>
      </c>
      <c r="H169" s="3" t="s">
        <v>45</v>
      </c>
    </row>
    <row r="170" spans="1:8" ht="21" customHeight="1">
      <c r="A170" s="3" t="s">
        <v>40</v>
      </c>
      <c r="B170" s="3" t="s">
        <v>39</v>
      </c>
      <c r="C170" s="4">
        <v>46113</v>
      </c>
      <c r="D170" s="3" t="s">
        <v>96</v>
      </c>
      <c r="E170" s="3" t="s">
        <v>97</v>
      </c>
      <c r="F170" s="7">
        <v>9513618</v>
      </c>
      <c r="G170" s="3" t="s">
        <v>108</v>
      </c>
      <c r="H170" s="3" t="s">
        <v>45</v>
      </c>
    </row>
    <row r="171" spans="1:8" ht="21" customHeight="1">
      <c r="A171" s="3" t="s">
        <v>40</v>
      </c>
      <c r="B171" s="3" t="s">
        <v>39</v>
      </c>
      <c r="C171" s="4">
        <v>46143</v>
      </c>
      <c r="D171" s="3" t="s">
        <v>96</v>
      </c>
      <c r="E171" s="3" t="s">
        <v>97</v>
      </c>
      <c r="F171" s="7">
        <v>11897707</v>
      </c>
      <c r="G171" s="3" t="s">
        <v>108</v>
      </c>
      <c r="H171" s="3" t="s">
        <v>45</v>
      </c>
    </row>
    <row r="172" spans="1:8" ht="21" customHeight="1">
      <c r="A172" s="3" t="s">
        <v>40</v>
      </c>
      <c r="B172" s="3" t="s">
        <v>39</v>
      </c>
      <c r="C172" s="4">
        <v>46174</v>
      </c>
      <c r="D172" s="3" t="s">
        <v>96</v>
      </c>
      <c r="E172" s="3" t="s">
        <v>97</v>
      </c>
      <c r="F172" s="7">
        <v>9738701</v>
      </c>
      <c r="G172" s="3" t="s">
        <v>108</v>
      </c>
      <c r="H172" s="3" t="s">
        <v>45</v>
      </c>
    </row>
    <row r="173" spans="1:8" ht="21" customHeight="1">
      <c r="A173" s="3" t="s">
        <v>40</v>
      </c>
      <c r="B173" s="3" t="s">
        <v>39</v>
      </c>
      <c r="C173" s="4">
        <v>46204</v>
      </c>
      <c r="D173" s="3" t="s">
        <v>96</v>
      </c>
      <c r="E173" s="3" t="s">
        <v>97</v>
      </c>
      <c r="F173" s="7">
        <v>11127960</v>
      </c>
      <c r="G173" s="3" t="s">
        <v>108</v>
      </c>
      <c r="H173" s="3" t="s">
        <v>45</v>
      </c>
    </row>
    <row r="174" spans="1:8" ht="21" customHeight="1">
      <c r="A174" s="3" t="s">
        <v>40</v>
      </c>
      <c r="B174" s="3" t="s">
        <v>39</v>
      </c>
      <c r="C174" s="4">
        <v>46174</v>
      </c>
      <c r="D174" s="3" t="s">
        <v>96</v>
      </c>
      <c r="E174" s="3" t="s">
        <v>100</v>
      </c>
      <c r="F174" s="7">
        <v>42946</v>
      </c>
      <c r="G174" s="3" t="s">
        <v>108</v>
      </c>
      <c r="H174" s="3" t="s">
        <v>45</v>
      </c>
    </row>
    <row r="175" spans="1:8" ht="21" customHeight="1">
      <c r="A175" s="3" t="s">
        <v>40</v>
      </c>
      <c r="B175" s="3" t="s">
        <v>39</v>
      </c>
      <c r="C175" s="4">
        <v>46113</v>
      </c>
      <c r="D175" s="3" t="s">
        <v>96</v>
      </c>
      <c r="E175" s="3" t="s">
        <v>102</v>
      </c>
      <c r="F175" s="7">
        <v>3637435</v>
      </c>
      <c r="G175" s="3" t="s">
        <v>108</v>
      </c>
      <c r="H175" s="3" t="s">
        <v>45</v>
      </c>
    </row>
    <row r="176" spans="1:8" ht="21" customHeight="1">
      <c r="A176" s="3" t="s">
        <v>40</v>
      </c>
      <c r="B176" s="3" t="s">
        <v>39</v>
      </c>
      <c r="C176" s="4">
        <v>46174</v>
      </c>
      <c r="D176" s="3" t="s">
        <v>96</v>
      </c>
      <c r="E176" s="3" t="s">
        <v>105</v>
      </c>
      <c r="F176" s="7">
        <v>872</v>
      </c>
      <c r="G176" s="3" t="s">
        <v>108</v>
      </c>
      <c r="H176" s="3" t="s">
        <v>45</v>
      </c>
    </row>
    <row r="177" spans="1:8" ht="21" customHeight="1">
      <c r="A177" s="3" t="s">
        <v>40</v>
      </c>
      <c r="B177" s="3" t="s">
        <v>39</v>
      </c>
      <c r="C177" s="4">
        <v>46174</v>
      </c>
      <c r="D177" s="3" t="s">
        <v>96</v>
      </c>
      <c r="E177" s="3" t="s">
        <v>103</v>
      </c>
      <c r="F177" s="7">
        <v>719231</v>
      </c>
      <c r="G177" s="3" t="s">
        <v>108</v>
      </c>
      <c r="H177" s="3" t="s">
        <v>45</v>
      </c>
    </row>
    <row r="178" spans="1:8" ht="21" customHeight="1">
      <c r="A178" s="3" t="s">
        <v>40</v>
      </c>
      <c r="B178" s="3" t="s">
        <v>39</v>
      </c>
      <c r="C178" s="4">
        <v>46174</v>
      </c>
      <c r="D178" s="3" t="s">
        <v>96</v>
      </c>
      <c r="E178" s="3" t="s">
        <v>104</v>
      </c>
      <c r="F178" s="7">
        <v>2477515</v>
      </c>
      <c r="G178" s="3" t="s">
        <v>108</v>
      </c>
      <c r="H178" s="3" t="s">
        <v>45</v>
      </c>
    </row>
    <row r="179" spans="1:8" ht="21" customHeight="1">
      <c r="A179" s="3" t="s">
        <v>40</v>
      </c>
      <c r="B179" s="3" t="s">
        <v>39</v>
      </c>
      <c r="C179" s="4">
        <v>46174</v>
      </c>
      <c r="D179" s="3" t="s">
        <v>96</v>
      </c>
      <c r="E179" s="3" t="s">
        <v>99</v>
      </c>
      <c r="F179" s="7">
        <v>2578931</v>
      </c>
      <c r="G179" s="3" t="s">
        <v>108</v>
      </c>
      <c r="H179" s="3" t="s">
        <v>45</v>
      </c>
    </row>
    <row r="180" spans="1:8" ht="21" customHeight="1">
      <c r="A180" s="3" t="s">
        <v>40</v>
      </c>
      <c r="B180" s="3" t="s">
        <v>39</v>
      </c>
      <c r="C180" s="4">
        <v>46174</v>
      </c>
      <c r="D180" s="3" t="s">
        <v>96</v>
      </c>
      <c r="E180" s="3" t="s">
        <v>101</v>
      </c>
      <c r="F180" s="7">
        <v>405481</v>
      </c>
      <c r="G180" s="3" t="s">
        <v>108</v>
      </c>
      <c r="H180" s="3" t="s">
        <v>45</v>
      </c>
    </row>
    <row r="181" spans="1:8" ht="21" customHeight="1">
      <c r="A181" s="3" t="s">
        <v>40</v>
      </c>
      <c r="B181" s="3" t="s">
        <v>39</v>
      </c>
      <c r="C181" s="4">
        <v>46143</v>
      </c>
      <c r="D181" s="3" t="s">
        <v>96</v>
      </c>
      <c r="E181" s="3" t="s">
        <v>102</v>
      </c>
      <c r="F181" s="7">
        <v>4774472</v>
      </c>
      <c r="G181" s="3" t="s">
        <v>108</v>
      </c>
      <c r="H181" s="3" t="s">
        <v>45</v>
      </c>
    </row>
    <row r="182" spans="1:8" ht="21" customHeight="1">
      <c r="A182" s="3" t="s">
        <v>40</v>
      </c>
      <c r="B182" s="3" t="s">
        <v>39</v>
      </c>
      <c r="C182" s="4">
        <v>46143</v>
      </c>
      <c r="D182" s="3" t="s">
        <v>96</v>
      </c>
      <c r="E182" s="3" t="s">
        <v>100</v>
      </c>
      <c r="F182" s="7">
        <v>56780</v>
      </c>
      <c r="G182" s="3" t="s">
        <v>108</v>
      </c>
      <c r="H182" s="3" t="s">
        <v>45</v>
      </c>
    </row>
    <row r="183" spans="1:8" ht="21" customHeight="1">
      <c r="A183" s="3" t="s">
        <v>40</v>
      </c>
      <c r="B183" s="3" t="s">
        <v>39</v>
      </c>
      <c r="C183" s="4">
        <v>46143</v>
      </c>
      <c r="D183" s="3" t="s">
        <v>96</v>
      </c>
      <c r="E183" s="3" t="s">
        <v>103</v>
      </c>
      <c r="F183" s="7">
        <v>832324</v>
      </c>
      <c r="G183" s="3" t="s">
        <v>108</v>
      </c>
      <c r="H183" s="3" t="s">
        <v>45</v>
      </c>
    </row>
    <row r="184" spans="1:8" ht="21" customHeight="1">
      <c r="A184" s="3" t="s">
        <v>40</v>
      </c>
      <c r="B184" s="3" t="s">
        <v>39</v>
      </c>
      <c r="C184" s="4">
        <v>46143</v>
      </c>
      <c r="D184" s="3" t="s">
        <v>96</v>
      </c>
      <c r="E184" s="3" t="s">
        <v>104</v>
      </c>
      <c r="F184" s="7">
        <v>3091810</v>
      </c>
      <c r="G184" s="3" t="s">
        <v>108</v>
      </c>
      <c r="H184" s="3" t="s">
        <v>45</v>
      </c>
    </row>
    <row r="185" spans="1:8" ht="21" customHeight="1">
      <c r="A185" s="3" t="s">
        <v>40</v>
      </c>
      <c r="B185" s="3" t="s">
        <v>39</v>
      </c>
      <c r="C185" s="4">
        <v>46143</v>
      </c>
      <c r="D185" s="3" t="s">
        <v>96</v>
      </c>
      <c r="E185" s="3" t="s">
        <v>99</v>
      </c>
      <c r="F185" s="7">
        <v>2669797</v>
      </c>
      <c r="G185" s="3" t="s">
        <v>108</v>
      </c>
      <c r="H185" s="3" t="s">
        <v>45</v>
      </c>
    </row>
    <row r="186" spans="1:8" ht="21" customHeight="1">
      <c r="A186" s="3" t="s">
        <v>40</v>
      </c>
      <c r="B186" s="3" t="s">
        <v>39</v>
      </c>
      <c r="C186" s="4">
        <v>46143</v>
      </c>
      <c r="D186" s="3" t="s">
        <v>96</v>
      </c>
      <c r="E186" s="3" t="s">
        <v>105</v>
      </c>
      <c r="F186" s="7">
        <v>4551</v>
      </c>
      <c r="G186" s="3" t="s">
        <v>108</v>
      </c>
      <c r="H186" s="3" t="s">
        <v>45</v>
      </c>
    </row>
    <row r="187" spans="1:8" ht="21" customHeight="1">
      <c r="A187" s="3" t="s">
        <v>40</v>
      </c>
      <c r="B187" s="3" t="s">
        <v>39</v>
      </c>
      <c r="C187" s="4">
        <v>46143</v>
      </c>
      <c r="D187" s="3" t="s">
        <v>96</v>
      </c>
      <c r="E187" s="3" t="s">
        <v>101</v>
      </c>
      <c r="F187" s="7">
        <v>467973</v>
      </c>
      <c r="G187" s="3" t="s">
        <v>108</v>
      </c>
      <c r="H187" s="3" t="s">
        <v>45</v>
      </c>
    </row>
    <row r="188" spans="1:8" ht="21" customHeight="1">
      <c r="A188" s="3" t="s">
        <v>40</v>
      </c>
      <c r="B188" s="3" t="s">
        <v>39</v>
      </c>
      <c r="C188" s="4">
        <v>46113</v>
      </c>
      <c r="D188" s="3" t="s">
        <v>96</v>
      </c>
      <c r="E188" s="3" t="s">
        <v>100</v>
      </c>
      <c r="F188" s="7">
        <v>47255</v>
      </c>
      <c r="G188" s="3" t="s">
        <v>108</v>
      </c>
      <c r="H188" s="3" t="s">
        <v>45</v>
      </c>
    </row>
    <row r="189" spans="1:8" ht="21" customHeight="1">
      <c r="A189" s="3" t="s">
        <v>40</v>
      </c>
      <c r="B189" s="3" t="s">
        <v>39</v>
      </c>
      <c r="C189" s="4">
        <v>46174</v>
      </c>
      <c r="D189" s="3" t="s">
        <v>96</v>
      </c>
      <c r="E189" s="3" t="s">
        <v>102</v>
      </c>
      <c r="F189" s="7">
        <v>3513724</v>
      </c>
      <c r="G189" s="3" t="s">
        <v>108</v>
      </c>
      <c r="H189" s="3" t="s">
        <v>45</v>
      </c>
    </row>
    <row r="190" spans="1:8" ht="21" customHeight="1">
      <c r="A190" s="3" t="s">
        <v>40</v>
      </c>
      <c r="B190" s="3" t="s">
        <v>39</v>
      </c>
      <c r="C190" s="4">
        <v>46204</v>
      </c>
      <c r="D190" s="3" t="s">
        <v>96</v>
      </c>
      <c r="E190" s="3" t="s">
        <v>101</v>
      </c>
      <c r="F190" s="7">
        <v>509279</v>
      </c>
      <c r="G190" s="3" t="s">
        <v>108</v>
      </c>
      <c r="H190" s="3" t="s">
        <v>45</v>
      </c>
    </row>
    <row r="191" spans="1:8" ht="21" customHeight="1">
      <c r="A191" s="3" t="s">
        <v>40</v>
      </c>
      <c r="B191" s="3" t="s">
        <v>39</v>
      </c>
      <c r="C191" s="4">
        <v>46204</v>
      </c>
      <c r="D191" s="3" t="s">
        <v>96</v>
      </c>
      <c r="E191" s="3" t="s">
        <v>105</v>
      </c>
      <c r="F191" s="7">
        <v>2922</v>
      </c>
      <c r="G191" s="3" t="s">
        <v>108</v>
      </c>
      <c r="H191" s="3" t="s">
        <v>45</v>
      </c>
    </row>
    <row r="192" spans="1:8" ht="21" customHeight="1">
      <c r="A192" s="3" t="s">
        <v>40</v>
      </c>
      <c r="B192" s="3" t="s">
        <v>39</v>
      </c>
      <c r="C192" s="4">
        <v>46204</v>
      </c>
      <c r="D192" s="3" t="s">
        <v>96</v>
      </c>
      <c r="E192" s="3" t="s">
        <v>99</v>
      </c>
      <c r="F192" s="7">
        <v>2575673</v>
      </c>
      <c r="G192" s="3" t="s">
        <v>108</v>
      </c>
      <c r="H192" s="3" t="s">
        <v>45</v>
      </c>
    </row>
    <row r="193" spans="1:8" ht="21" customHeight="1">
      <c r="A193" s="3" t="s">
        <v>40</v>
      </c>
      <c r="B193" s="3" t="s">
        <v>39</v>
      </c>
      <c r="C193" s="4">
        <v>46204</v>
      </c>
      <c r="D193" s="3" t="s">
        <v>96</v>
      </c>
      <c r="E193" s="3" t="s">
        <v>104</v>
      </c>
      <c r="F193" s="7">
        <v>3048152</v>
      </c>
      <c r="G193" s="3" t="s">
        <v>108</v>
      </c>
      <c r="H193" s="3" t="s">
        <v>45</v>
      </c>
    </row>
    <row r="194" spans="1:8" ht="21" customHeight="1">
      <c r="A194" s="3" t="s">
        <v>40</v>
      </c>
      <c r="B194" s="3" t="s">
        <v>39</v>
      </c>
      <c r="C194" s="4">
        <v>46204</v>
      </c>
      <c r="D194" s="3" t="s">
        <v>96</v>
      </c>
      <c r="E194" s="3" t="s">
        <v>103</v>
      </c>
      <c r="F194" s="7">
        <v>850560</v>
      </c>
      <c r="G194" s="3" t="s">
        <v>108</v>
      </c>
      <c r="H194" s="3" t="s">
        <v>45</v>
      </c>
    </row>
    <row r="195" spans="1:8" ht="21" customHeight="1">
      <c r="A195" s="3" t="s">
        <v>40</v>
      </c>
      <c r="B195" s="3" t="s">
        <v>39</v>
      </c>
      <c r="C195" s="4">
        <v>46204</v>
      </c>
      <c r="D195" s="3" t="s">
        <v>96</v>
      </c>
      <c r="E195" s="3" t="s">
        <v>100</v>
      </c>
      <c r="F195" s="7">
        <v>44902</v>
      </c>
      <c r="G195" s="3" t="s">
        <v>108</v>
      </c>
      <c r="H195" s="3" t="s">
        <v>45</v>
      </c>
    </row>
    <row r="196" spans="1:8" ht="21" customHeight="1">
      <c r="A196" s="3" t="s">
        <v>40</v>
      </c>
      <c r="B196" s="3" t="s">
        <v>39</v>
      </c>
      <c r="C196" s="4">
        <v>46204</v>
      </c>
      <c r="D196" s="3" t="s">
        <v>96</v>
      </c>
      <c r="E196" s="3" t="s">
        <v>102</v>
      </c>
      <c r="F196" s="7">
        <v>4096471</v>
      </c>
      <c r="G196" s="3" t="s">
        <v>108</v>
      </c>
      <c r="H196" s="3" t="s">
        <v>45</v>
      </c>
    </row>
    <row r="197" spans="1:8" ht="21" customHeight="1">
      <c r="A197" s="3" t="s">
        <v>40</v>
      </c>
      <c r="B197" s="3" t="s">
        <v>39</v>
      </c>
      <c r="C197" s="4">
        <v>46235</v>
      </c>
      <c r="D197" s="3" t="s">
        <v>96</v>
      </c>
      <c r="E197" s="3" t="s">
        <v>101</v>
      </c>
      <c r="F197" s="7">
        <v>657034</v>
      </c>
      <c r="G197" s="3" t="s">
        <v>108</v>
      </c>
      <c r="H197" s="3" t="s">
        <v>45</v>
      </c>
    </row>
    <row r="198" spans="1:8" ht="21" customHeight="1">
      <c r="A198" s="3" t="s">
        <v>40</v>
      </c>
      <c r="B198" s="3" t="s">
        <v>39</v>
      </c>
      <c r="C198" s="4">
        <v>46235</v>
      </c>
      <c r="D198" s="3" t="s">
        <v>96</v>
      </c>
      <c r="E198" s="3" t="s">
        <v>105</v>
      </c>
      <c r="F198" s="7">
        <v>3467</v>
      </c>
      <c r="G198" s="3" t="s">
        <v>108</v>
      </c>
      <c r="H198" s="3" t="s">
        <v>45</v>
      </c>
    </row>
    <row r="199" spans="1:8" ht="21" customHeight="1">
      <c r="A199" s="3" t="s">
        <v>40</v>
      </c>
      <c r="B199" s="3" t="s">
        <v>39</v>
      </c>
      <c r="C199" s="4">
        <v>46235</v>
      </c>
      <c r="D199" s="3" t="s">
        <v>96</v>
      </c>
      <c r="E199" s="3" t="s">
        <v>99</v>
      </c>
      <c r="F199" s="7">
        <v>2797138</v>
      </c>
      <c r="G199" s="3" t="s">
        <v>108</v>
      </c>
      <c r="H199" s="3" t="s">
        <v>45</v>
      </c>
    </row>
    <row r="200" spans="1:8" ht="21" customHeight="1">
      <c r="A200" s="3" t="s">
        <v>40</v>
      </c>
      <c r="B200" s="3" t="s">
        <v>39</v>
      </c>
      <c r="C200" s="4">
        <v>46235</v>
      </c>
      <c r="D200" s="3" t="s">
        <v>96</v>
      </c>
      <c r="E200" s="3" t="s">
        <v>104</v>
      </c>
      <c r="F200" s="7">
        <v>4113525</v>
      </c>
      <c r="G200" s="3" t="s">
        <v>108</v>
      </c>
      <c r="H200" s="3" t="s">
        <v>45</v>
      </c>
    </row>
    <row r="201" spans="1:8" ht="21" customHeight="1">
      <c r="A201" s="3" t="s">
        <v>40</v>
      </c>
      <c r="B201" s="3" t="s">
        <v>39</v>
      </c>
      <c r="C201" s="4">
        <v>46235</v>
      </c>
      <c r="D201" s="3" t="s">
        <v>96</v>
      </c>
      <c r="E201" s="3" t="s">
        <v>103</v>
      </c>
      <c r="F201" s="7">
        <v>1048190</v>
      </c>
      <c r="G201" s="3" t="s">
        <v>108</v>
      </c>
      <c r="H201" s="3" t="s">
        <v>45</v>
      </c>
    </row>
    <row r="202" spans="1:8" ht="21" customHeight="1">
      <c r="A202" s="3" t="s">
        <v>40</v>
      </c>
      <c r="B202" s="3" t="s">
        <v>39</v>
      </c>
      <c r="C202" s="4">
        <v>46235</v>
      </c>
      <c r="D202" s="3" t="s">
        <v>96</v>
      </c>
      <c r="E202" s="3" t="s">
        <v>100</v>
      </c>
      <c r="F202" s="7">
        <v>87018</v>
      </c>
      <c r="G202" s="3" t="s">
        <v>108</v>
      </c>
      <c r="H202" s="3" t="s">
        <v>45</v>
      </c>
    </row>
    <row r="203" spans="1:8" ht="21" customHeight="1">
      <c r="A203" s="3" t="s">
        <v>40</v>
      </c>
      <c r="B203" s="3" t="s">
        <v>39</v>
      </c>
      <c r="C203" s="4">
        <v>46235</v>
      </c>
      <c r="D203" s="3" t="s">
        <v>96</v>
      </c>
      <c r="E203" s="3" t="s">
        <v>102</v>
      </c>
      <c r="F203" s="7">
        <v>5532928</v>
      </c>
      <c r="G203" s="3" t="s">
        <v>108</v>
      </c>
      <c r="H203" s="3" t="s">
        <v>45</v>
      </c>
    </row>
    <row r="204" spans="1:8" ht="21" customHeight="1">
      <c r="A204" s="3" t="s">
        <v>40</v>
      </c>
      <c r="B204" s="3" t="s">
        <v>39</v>
      </c>
      <c r="C204" s="4">
        <v>45992</v>
      </c>
      <c r="D204" s="3" t="s">
        <v>96</v>
      </c>
      <c r="E204" s="3" t="s">
        <v>103</v>
      </c>
      <c r="F204" s="7">
        <v>147652</v>
      </c>
      <c r="G204" s="3" t="s">
        <v>108</v>
      </c>
      <c r="H204" s="3" t="s">
        <v>45</v>
      </c>
    </row>
    <row r="205" spans="1:8" ht="21" customHeight="1">
      <c r="A205" s="3" t="s">
        <v>40</v>
      </c>
      <c r="B205" s="3" t="s">
        <v>39</v>
      </c>
      <c r="C205" s="4">
        <v>46023</v>
      </c>
      <c r="D205" s="3" t="s">
        <v>96</v>
      </c>
      <c r="E205" s="3" t="s">
        <v>102</v>
      </c>
      <c r="F205" s="7">
        <v>2056719</v>
      </c>
      <c r="G205" s="3" t="s">
        <v>108</v>
      </c>
      <c r="H205" s="3" t="s">
        <v>45</v>
      </c>
    </row>
    <row r="206" spans="1:8" ht="21" customHeight="1">
      <c r="A206" s="3" t="s">
        <v>40</v>
      </c>
      <c r="B206" s="3" t="s">
        <v>39</v>
      </c>
      <c r="C206" s="4">
        <v>46023</v>
      </c>
      <c r="D206" s="3" t="s">
        <v>96</v>
      </c>
      <c r="E206" s="3" t="s">
        <v>100</v>
      </c>
      <c r="F206" s="7">
        <v>49398</v>
      </c>
      <c r="G206" s="3" t="s">
        <v>108</v>
      </c>
      <c r="H206" s="3" t="s">
        <v>45</v>
      </c>
    </row>
    <row r="207" spans="1:8" ht="21" customHeight="1">
      <c r="A207" s="3" t="s">
        <v>40</v>
      </c>
      <c r="B207" s="3" t="s">
        <v>39</v>
      </c>
      <c r="C207" s="4">
        <v>46023</v>
      </c>
      <c r="D207" s="3" t="s">
        <v>96</v>
      </c>
      <c r="E207" s="3" t="s">
        <v>99</v>
      </c>
      <c r="F207" s="7">
        <v>2206627</v>
      </c>
      <c r="G207" s="3" t="s">
        <v>108</v>
      </c>
      <c r="H207" s="3" t="s">
        <v>45</v>
      </c>
    </row>
    <row r="208" spans="1:8" ht="21" customHeight="1">
      <c r="A208" s="3" t="s">
        <v>40</v>
      </c>
      <c r="B208" s="3" t="s">
        <v>39</v>
      </c>
      <c r="C208" s="4">
        <v>46023</v>
      </c>
      <c r="D208" s="3" t="s">
        <v>96</v>
      </c>
      <c r="E208" s="3" t="s">
        <v>103</v>
      </c>
      <c r="F208" s="7">
        <v>110367</v>
      </c>
      <c r="G208" s="3" t="s">
        <v>108</v>
      </c>
      <c r="H208" s="3" t="s">
        <v>45</v>
      </c>
    </row>
    <row r="209" spans="1:8" ht="21" customHeight="1">
      <c r="A209" s="3" t="s">
        <v>40</v>
      </c>
      <c r="B209" s="3" t="s">
        <v>39</v>
      </c>
      <c r="C209" s="4">
        <v>46023</v>
      </c>
      <c r="D209" s="3" t="s">
        <v>96</v>
      </c>
      <c r="E209" s="3" t="s">
        <v>104</v>
      </c>
      <c r="F209" s="7">
        <v>1484957</v>
      </c>
      <c r="G209" s="3" t="s">
        <v>108</v>
      </c>
      <c r="H209" s="3" t="s">
        <v>45</v>
      </c>
    </row>
    <row r="210" spans="1:8" ht="21" customHeight="1">
      <c r="A210" s="3" t="s">
        <v>40</v>
      </c>
      <c r="B210" s="3" t="s">
        <v>39</v>
      </c>
      <c r="C210" s="4">
        <v>46023</v>
      </c>
      <c r="D210" s="3" t="s">
        <v>96</v>
      </c>
      <c r="E210" s="3" t="s">
        <v>105</v>
      </c>
      <c r="F210" s="7">
        <v>376</v>
      </c>
      <c r="G210" s="3" t="s">
        <v>108</v>
      </c>
      <c r="H210" s="3" t="s">
        <v>45</v>
      </c>
    </row>
    <row r="211" spans="1:8" ht="21" customHeight="1">
      <c r="A211" s="3" t="s">
        <v>40</v>
      </c>
      <c r="B211" s="3" t="s">
        <v>39</v>
      </c>
      <c r="C211" s="4">
        <v>46023</v>
      </c>
      <c r="D211" s="3" t="s">
        <v>96</v>
      </c>
      <c r="E211" s="3" t="s">
        <v>101</v>
      </c>
      <c r="F211" s="7">
        <v>150691</v>
      </c>
      <c r="G211" s="3" t="s">
        <v>108</v>
      </c>
      <c r="H211" s="3" t="s">
        <v>45</v>
      </c>
    </row>
    <row r="212" spans="1:8" ht="21" customHeight="1">
      <c r="A212" s="3" t="s">
        <v>40</v>
      </c>
      <c r="B212" s="3" t="s">
        <v>39</v>
      </c>
      <c r="C212" s="4">
        <v>45992</v>
      </c>
      <c r="D212" s="3" t="s">
        <v>96</v>
      </c>
      <c r="E212" s="3" t="s">
        <v>102</v>
      </c>
      <c r="F212" s="7">
        <v>2063613</v>
      </c>
      <c r="G212" s="3" t="s">
        <v>108</v>
      </c>
      <c r="H212" s="3" t="s">
        <v>45</v>
      </c>
    </row>
    <row r="213" spans="1:8" ht="21" customHeight="1">
      <c r="A213" s="3" t="s">
        <v>40</v>
      </c>
      <c r="B213" s="3" t="s">
        <v>39</v>
      </c>
      <c r="C213" s="4">
        <v>45992</v>
      </c>
      <c r="D213" s="3" t="s">
        <v>96</v>
      </c>
      <c r="E213" s="3" t="s">
        <v>100</v>
      </c>
      <c r="F213" s="7">
        <v>43471</v>
      </c>
      <c r="G213" s="3" t="s">
        <v>108</v>
      </c>
      <c r="H213" s="3" t="s">
        <v>45</v>
      </c>
    </row>
    <row r="214" spans="1:8" ht="21" customHeight="1">
      <c r="A214" s="3" t="s">
        <v>40</v>
      </c>
      <c r="B214" s="3" t="s">
        <v>39</v>
      </c>
      <c r="C214" s="4">
        <v>46054</v>
      </c>
      <c r="D214" s="3" t="s">
        <v>96</v>
      </c>
      <c r="E214" s="3" t="s">
        <v>101</v>
      </c>
      <c r="F214" s="7">
        <v>187624</v>
      </c>
      <c r="G214" s="3" t="s">
        <v>108</v>
      </c>
      <c r="H214" s="3" t="s">
        <v>45</v>
      </c>
    </row>
    <row r="215" spans="1:8" ht="21" customHeight="1">
      <c r="A215" s="3" t="s">
        <v>40</v>
      </c>
      <c r="B215" s="3" t="s">
        <v>39</v>
      </c>
      <c r="C215" s="4">
        <v>45992</v>
      </c>
      <c r="D215" s="3" t="s">
        <v>96</v>
      </c>
      <c r="E215" s="3" t="s">
        <v>104</v>
      </c>
      <c r="F215" s="7">
        <v>1526605</v>
      </c>
      <c r="G215" s="3" t="s">
        <v>108</v>
      </c>
      <c r="H215" s="3" t="s">
        <v>45</v>
      </c>
    </row>
    <row r="216" spans="1:8" ht="21" customHeight="1">
      <c r="A216" s="3" t="s">
        <v>40</v>
      </c>
      <c r="B216" s="3" t="s">
        <v>39</v>
      </c>
      <c r="C216" s="4">
        <v>45992</v>
      </c>
      <c r="D216" s="3" t="s">
        <v>96</v>
      </c>
      <c r="E216" s="3" t="s">
        <v>99</v>
      </c>
      <c r="F216" s="7">
        <v>2681716</v>
      </c>
      <c r="G216" s="3" t="s">
        <v>108</v>
      </c>
      <c r="H216" s="3" t="s">
        <v>45</v>
      </c>
    </row>
    <row r="217" spans="1:8" ht="21" customHeight="1">
      <c r="A217" s="3" t="s">
        <v>40</v>
      </c>
      <c r="B217" s="3" t="s">
        <v>39</v>
      </c>
      <c r="C217" s="4">
        <v>45992</v>
      </c>
      <c r="D217" s="3" t="s">
        <v>96</v>
      </c>
      <c r="E217" s="3" t="s">
        <v>105</v>
      </c>
      <c r="F217" s="7">
        <v>804</v>
      </c>
      <c r="G217" s="3" t="s">
        <v>108</v>
      </c>
      <c r="H217" s="3" t="s">
        <v>45</v>
      </c>
    </row>
    <row r="218" spans="1:8" ht="21" customHeight="1">
      <c r="A218" s="3" t="s">
        <v>40</v>
      </c>
      <c r="B218" s="3" t="s">
        <v>39</v>
      </c>
      <c r="C218" s="4">
        <v>45992</v>
      </c>
      <c r="D218" s="3" t="s">
        <v>96</v>
      </c>
      <c r="E218" s="3" t="s">
        <v>101</v>
      </c>
      <c r="F218" s="7">
        <v>224197</v>
      </c>
      <c r="G218" s="3" t="s">
        <v>108</v>
      </c>
      <c r="H218" s="3" t="s">
        <v>45</v>
      </c>
    </row>
    <row r="219" spans="1:8" ht="21" customHeight="1">
      <c r="A219" s="3" t="s">
        <v>40</v>
      </c>
      <c r="B219" s="3" t="s">
        <v>39</v>
      </c>
      <c r="C219" s="4">
        <v>45962</v>
      </c>
      <c r="D219" s="3" t="s">
        <v>96</v>
      </c>
      <c r="E219" s="3" t="s">
        <v>102</v>
      </c>
      <c r="F219" s="7">
        <v>2715516</v>
      </c>
      <c r="G219" s="3" t="s">
        <v>108</v>
      </c>
      <c r="H219" s="3" t="s">
        <v>45</v>
      </c>
    </row>
    <row r="220" spans="1:8" ht="21" customHeight="1">
      <c r="A220" s="3" t="s">
        <v>40</v>
      </c>
      <c r="B220" s="3" t="s">
        <v>39</v>
      </c>
      <c r="C220" s="4">
        <v>45962</v>
      </c>
      <c r="D220" s="3" t="s">
        <v>96</v>
      </c>
      <c r="E220" s="3" t="s">
        <v>100</v>
      </c>
      <c r="F220" s="7">
        <v>37737</v>
      </c>
      <c r="G220" s="3" t="s">
        <v>108</v>
      </c>
      <c r="H220" s="3" t="s">
        <v>45</v>
      </c>
    </row>
    <row r="221" spans="1:8" ht="21" customHeight="1">
      <c r="A221" s="3" t="s">
        <v>40</v>
      </c>
      <c r="B221" s="3" t="s">
        <v>39</v>
      </c>
      <c r="C221" s="4">
        <v>45962</v>
      </c>
      <c r="D221" s="3" t="s">
        <v>96</v>
      </c>
      <c r="E221" s="3" t="s">
        <v>99</v>
      </c>
      <c r="F221" s="7">
        <v>2322665</v>
      </c>
      <c r="G221" s="3" t="s">
        <v>108</v>
      </c>
      <c r="H221" s="3" t="s">
        <v>45</v>
      </c>
    </row>
    <row r="222" spans="1:8" ht="21" customHeight="1">
      <c r="A222" s="3" t="s">
        <v>40</v>
      </c>
      <c r="B222" s="3" t="s">
        <v>39</v>
      </c>
      <c r="C222" s="4">
        <v>45962</v>
      </c>
      <c r="D222" s="3" t="s">
        <v>96</v>
      </c>
      <c r="E222" s="3" t="s">
        <v>103</v>
      </c>
      <c r="F222" s="7">
        <v>576854</v>
      </c>
      <c r="G222" s="3" t="s">
        <v>108</v>
      </c>
      <c r="H222" s="3" t="s">
        <v>45</v>
      </c>
    </row>
    <row r="223" spans="1:8" ht="21" customHeight="1">
      <c r="A223" s="3" t="s">
        <v>40</v>
      </c>
      <c r="B223" s="3" t="s">
        <v>39</v>
      </c>
      <c r="C223" s="4">
        <v>45962</v>
      </c>
      <c r="D223" s="3" t="s">
        <v>96</v>
      </c>
      <c r="E223" s="3" t="s">
        <v>104</v>
      </c>
      <c r="F223" s="7">
        <v>2011675</v>
      </c>
      <c r="G223" s="3" t="s">
        <v>108</v>
      </c>
      <c r="H223" s="3" t="s">
        <v>45</v>
      </c>
    </row>
    <row r="224" spans="1:8" ht="21" customHeight="1">
      <c r="A224" s="3" t="s">
        <v>40</v>
      </c>
      <c r="B224" s="3" t="s">
        <v>39</v>
      </c>
      <c r="C224" s="4">
        <v>46082</v>
      </c>
      <c r="D224" s="3" t="s">
        <v>96</v>
      </c>
      <c r="E224" s="3" t="s">
        <v>104</v>
      </c>
      <c r="F224" s="7">
        <v>1882703</v>
      </c>
      <c r="G224" s="3" t="s">
        <v>108</v>
      </c>
      <c r="H224" s="3" t="s">
        <v>45</v>
      </c>
    </row>
    <row r="225" spans="1:8" ht="21" customHeight="1">
      <c r="A225" s="3" t="s">
        <v>40</v>
      </c>
      <c r="B225" s="3" t="s">
        <v>39</v>
      </c>
      <c r="C225" s="4">
        <v>46113</v>
      </c>
      <c r="D225" s="3" t="s">
        <v>96</v>
      </c>
      <c r="E225" s="3" t="s">
        <v>103</v>
      </c>
      <c r="F225" s="7">
        <v>626207</v>
      </c>
      <c r="G225" s="3" t="s">
        <v>108</v>
      </c>
      <c r="H225" s="3" t="s">
        <v>45</v>
      </c>
    </row>
    <row r="226" spans="1:8" ht="21" customHeight="1">
      <c r="A226" s="3" t="s">
        <v>40</v>
      </c>
      <c r="B226" s="3" t="s">
        <v>39</v>
      </c>
      <c r="C226" s="4">
        <v>46113</v>
      </c>
      <c r="D226" s="3" t="s">
        <v>96</v>
      </c>
      <c r="E226" s="3" t="s">
        <v>104</v>
      </c>
      <c r="F226" s="7">
        <v>2266808</v>
      </c>
      <c r="G226" s="3" t="s">
        <v>108</v>
      </c>
      <c r="H226" s="3" t="s">
        <v>45</v>
      </c>
    </row>
    <row r="227" spans="1:8" ht="21" customHeight="1">
      <c r="A227" s="3" t="s">
        <v>40</v>
      </c>
      <c r="B227" s="3" t="s">
        <v>39</v>
      </c>
      <c r="C227" s="4">
        <v>46113</v>
      </c>
      <c r="D227" s="3" t="s">
        <v>96</v>
      </c>
      <c r="E227" s="3" t="s">
        <v>99</v>
      </c>
      <c r="F227" s="7">
        <v>2603875</v>
      </c>
      <c r="G227" s="3" t="s">
        <v>108</v>
      </c>
      <c r="H227" s="3" t="s">
        <v>45</v>
      </c>
    </row>
    <row r="228" spans="1:8" ht="21" customHeight="1">
      <c r="A228" s="3" t="s">
        <v>40</v>
      </c>
      <c r="B228" s="3" t="s">
        <v>39</v>
      </c>
      <c r="C228" s="4">
        <v>46113</v>
      </c>
      <c r="D228" s="3" t="s">
        <v>96</v>
      </c>
      <c r="E228" s="3" t="s">
        <v>105</v>
      </c>
      <c r="F228" s="7">
        <v>6240</v>
      </c>
      <c r="G228" s="3" t="s">
        <v>108</v>
      </c>
      <c r="H228" s="3" t="s">
        <v>45</v>
      </c>
    </row>
    <row r="229" spans="1:8" ht="21" customHeight="1">
      <c r="A229" s="3" t="s">
        <v>40</v>
      </c>
      <c r="B229" s="3" t="s">
        <v>39</v>
      </c>
      <c r="C229" s="4">
        <v>46113</v>
      </c>
      <c r="D229" s="3" t="s">
        <v>96</v>
      </c>
      <c r="E229" s="3" t="s">
        <v>101</v>
      </c>
      <c r="F229" s="7">
        <v>325797</v>
      </c>
      <c r="G229" s="3" t="s">
        <v>108</v>
      </c>
      <c r="H229" s="3" t="s">
        <v>45</v>
      </c>
    </row>
    <row r="230" spans="1:8" ht="21" customHeight="1">
      <c r="A230" s="3" t="s">
        <v>40</v>
      </c>
      <c r="B230" s="3" t="s">
        <v>39</v>
      </c>
      <c r="C230" s="4">
        <v>46082</v>
      </c>
      <c r="D230" s="3" t="s">
        <v>96</v>
      </c>
      <c r="E230" s="3" t="s">
        <v>102</v>
      </c>
      <c r="F230" s="7">
        <v>3113105</v>
      </c>
      <c r="G230" s="3" t="s">
        <v>108</v>
      </c>
      <c r="H230" s="3" t="s">
        <v>45</v>
      </c>
    </row>
    <row r="231" spans="1:8" ht="21" customHeight="1">
      <c r="A231" s="3" t="s">
        <v>40</v>
      </c>
      <c r="B231" s="3" t="s">
        <v>39</v>
      </c>
      <c r="C231" s="4">
        <v>46082</v>
      </c>
      <c r="D231" s="3" t="s">
        <v>96</v>
      </c>
      <c r="E231" s="3" t="s">
        <v>100</v>
      </c>
      <c r="F231" s="7">
        <v>57288</v>
      </c>
      <c r="G231" s="3" t="s">
        <v>108</v>
      </c>
      <c r="H231" s="3" t="s">
        <v>45</v>
      </c>
    </row>
    <row r="232" spans="1:8" ht="21" customHeight="1">
      <c r="A232" s="3" t="s">
        <v>40</v>
      </c>
      <c r="B232" s="3" t="s">
        <v>39</v>
      </c>
      <c r="C232" s="4">
        <v>46082</v>
      </c>
      <c r="D232" s="3" t="s">
        <v>96</v>
      </c>
      <c r="E232" s="3" t="s">
        <v>99</v>
      </c>
      <c r="F232" s="7">
        <v>2381257</v>
      </c>
      <c r="G232" s="3" t="s">
        <v>108</v>
      </c>
      <c r="H232" s="3" t="s">
        <v>45</v>
      </c>
    </row>
    <row r="233" spans="1:8" ht="21" customHeight="1">
      <c r="A233" s="3" t="s">
        <v>40</v>
      </c>
      <c r="B233" s="3" t="s">
        <v>39</v>
      </c>
      <c r="C233" s="4">
        <v>46082</v>
      </c>
      <c r="D233" s="3" t="s">
        <v>96</v>
      </c>
      <c r="E233" s="3" t="s">
        <v>103</v>
      </c>
      <c r="F233" s="7">
        <v>362475</v>
      </c>
      <c r="G233" s="3" t="s">
        <v>108</v>
      </c>
      <c r="H233" s="3" t="s">
        <v>45</v>
      </c>
    </row>
    <row r="234" spans="1:8" ht="21" customHeight="1">
      <c r="A234" s="3" t="s">
        <v>40</v>
      </c>
      <c r="B234" s="3" t="s">
        <v>39</v>
      </c>
      <c r="C234" s="4">
        <v>45962</v>
      </c>
      <c r="D234" s="3" t="s">
        <v>96</v>
      </c>
      <c r="E234" s="3" t="s">
        <v>101</v>
      </c>
      <c r="F234" s="7">
        <v>341406</v>
      </c>
      <c r="G234" s="3" t="s">
        <v>108</v>
      </c>
      <c r="H234" s="3" t="s">
        <v>45</v>
      </c>
    </row>
    <row r="235" spans="1:8" ht="21" customHeight="1">
      <c r="A235" s="3" t="s">
        <v>40</v>
      </c>
      <c r="B235" s="3" t="s">
        <v>39</v>
      </c>
      <c r="C235" s="4">
        <v>46082</v>
      </c>
      <c r="D235" s="3" t="s">
        <v>96</v>
      </c>
      <c r="E235" s="3" t="s">
        <v>105</v>
      </c>
      <c r="F235" s="7">
        <v>868</v>
      </c>
      <c r="G235" s="3" t="s">
        <v>108</v>
      </c>
      <c r="H235" s="3" t="s">
        <v>45</v>
      </c>
    </row>
    <row r="236" spans="1:8" ht="21" customHeight="1">
      <c r="A236" s="3" t="s">
        <v>40</v>
      </c>
      <c r="B236" s="3" t="s">
        <v>39</v>
      </c>
      <c r="C236" s="4">
        <v>46082</v>
      </c>
      <c r="D236" s="3" t="s">
        <v>96</v>
      </c>
      <c r="E236" s="3" t="s">
        <v>101</v>
      </c>
      <c r="F236" s="7">
        <v>230577</v>
      </c>
      <c r="G236" s="3" t="s">
        <v>108</v>
      </c>
      <c r="H236" s="3" t="s">
        <v>45</v>
      </c>
    </row>
    <row r="237" spans="1:8" ht="21" customHeight="1">
      <c r="A237" s="3" t="s">
        <v>40</v>
      </c>
      <c r="B237" s="3" t="s">
        <v>39</v>
      </c>
      <c r="C237" s="4">
        <v>46054</v>
      </c>
      <c r="D237" s="3" t="s">
        <v>96</v>
      </c>
      <c r="E237" s="3" t="s">
        <v>102</v>
      </c>
      <c r="F237" s="7">
        <v>2736972</v>
      </c>
      <c r="G237" s="3" t="s">
        <v>108</v>
      </c>
      <c r="H237" s="3" t="s">
        <v>45</v>
      </c>
    </row>
    <row r="238" spans="1:8" ht="21" customHeight="1">
      <c r="A238" s="3" t="s">
        <v>40</v>
      </c>
      <c r="B238" s="3" t="s">
        <v>39</v>
      </c>
      <c r="C238" s="4">
        <v>46054</v>
      </c>
      <c r="D238" s="3" t="s">
        <v>96</v>
      </c>
      <c r="E238" s="3" t="s">
        <v>100</v>
      </c>
      <c r="F238" s="7">
        <v>62250</v>
      </c>
      <c r="G238" s="3" t="s">
        <v>108</v>
      </c>
      <c r="H238" s="3" t="s">
        <v>45</v>
      </c>
    </row>
    <row r="239" spans="1:8" ht="21" customHeight="1">
      <c r="A239" s="3" t="s">
        <v>40</v>
      </c>
      <c r="B239" s="3" t="s">
        <v>39</v>
      </c>
      <c r="C239" s="4">
        <v>46054</v>
      </c>
      <c r="D239" s="3" t="s">
        <v>96</v>
      </c>
      <c r="E239" s="3" t="s">
        <v>99</v>
      </c>
      <c r="F239" s="7">
        <v>1864748</v>
      </c>
      <c r="G239" s="3" t="s">
        <v>108</v>
      </c>
      <c r="H239" s="3" t="s">
        <v>45</v>
      </c>
    </row>
    <row r="240" spans="1:8" ht="21" customHeight="1">
      <c r="A240" s="3" t="s">
        <v>40</v>
      </c>
      <c r="B240" s="3" t="s">
        <v>39</v>
      </c>
      <c r="C240" s="4">
        <v>46054</v>
      </c>
      <c r="D240" s="3" t="s">
        <v>96</v>
      </c>
      <c r="E240" s="3" t="s">
        <v>103</v>
      </c>
      <c r="F240" s="7">
        <v>213469</v>
      </c>
      <c r="G240" s="3" t="s">
        <v>108</v>
      </c>
      <c r="H240" s="3" t="s">
        <v>45</v>
      </c>
    </row>
    <row r="241" spans="1:8" ht="21" customHeight="1">
      <c r="A241" s="3" t="s">
        <v>40</v>
      </c>
      <c r="B241" s="3" t="s">
        <v>39</v>
      </c>
      <c r="C241" s="4">
        <v>46054</v>
      </c>
      <c r="D241" s="3" t="s">
        <v>96</v>
      </c>
      <c r="E241" s="3" t="s">
        <v>104</v>
      </c>
      <c r="F241" s="7">
        <v>1944805</v>
      </c>
      <c r="G241" s="3" t="s">
        <v>108</v>
      </c>
      <c r="H241" s="3" t="s">
        <v>45</v>
      </c>
    </row>
    <row r="242" spans="1:8" ht="21" customHeight="1">
      <c r="A242" s="3" t="s">
        <v>40</v>
      </c>
      <c r="B242" s="3" t="s">
        <v>39</v>
      </c>
      <c r="C242" s="4">
        <v>46054</v>
      </c>
      <c r="D242" s="3" t="s">
        <v>96</v>
      </c>
      <c r="E242" s="3" t="s">
        <v>105</v>
      </c>
      <c r="F242" s="7">
        <v>683</v>
      </c>
      <c r="G242" s="3" t="s">
        <v>108</v>
      </c>
      <c r="H242" s="3" t="s">
        <v>45</v>
      </c>
    </row>
    <row r="243" spans="1:8" ht="21" customHeight="1">
      <c r="A243" s="3" t="s">
        <v>40</v>
      </c>
      <c r="B243" s="3" t="s">
        <v>39</v>
      </c>
      <c r="C243" s="4">
        <v>46235</v>
      </c>
      <c r="D243" s="3" t="s">
        <v>106</v>
      </c>
      <c r="E243" s="3" t="s">
        <v>97</v>
      </c>
      <c r="F243" s="7">
        <v>119243</v>
      </c>
      <c r="G243" s="3" t="s">
        <v>108</v>
      </c>
      <c r="H243" s="3" t="s">
        <v>45</v>
      </c>
    </row>
    <row r="244" spans="1:8" ht="21" customHeight="1">
      <c r="A244" s="3" t="s">
        <v>40</v>
      </c>
      <c r="B244" s="3" t="s">
        <v>39</v>
      </c>
      <c r="C244" s="4">
        <v>45962</v>
      </c>
      <c r="D244" s="3" t="s">
        <v>106</v>
      </c>
      <c r="E244" s="3" t="s">
        <v>97</v>
      </c>
      <c r="F244" s="7">
        <v>97236</v>
      </c>
      <c r="G244" s="3" t="s">
        <v>108</v>
      </c>
      <c r="H244" s="3" t="s">
        <v>45</v>
      </c>
    </row>
    <row r="245" spans="1:8" ht="21" customHeight="1">
      <c r="A245" s="3" t="s">
        <v>40</v>
      </c>
      <c r="B245" s="3" t="s">
        <v>39</v>
      </c>
      <c r="C245" s="4">
        <v>45992</v>
      </c>
      <c r="D245" s="3" t="s">
        <v>106</v>
      </c>
      <c r="E245" s="3" t="s">
        <v>97</v>
      </c>
      <c r="F245" s="7">
        <v>79759</v>
      </c>
      <c r="G245" s="3" t="s">
        <v>108</v>
      </c>
      <c r="H245" s="3" t="s">
        <v>45</v>
      </c>
    </row>
    <row r="246" spans="1:8" ht="21" customHeight="1">
      <c r="A246" s="3" t="s">
        <v>40</v>
      </c>
      <c r="B246" s="3" t="s">
        <v>39</v>
      </c>
      <c r="C246" s="4">
        <v>46023</v>
      </c>
      <c r="D246" s="3" t="s">
        <v>106</v>
      </c>
      <c r="E246" s="3" t="s">
        <v>97</v>
      </c>
      <c r="F246" s="7">
        <v>69791</v>
      </c>
      <c r="G246" s="3" t="s">
        <v>108</v>
      </c>
      <c r="H246" s="3" t="s">
        <v>45</v>
      </c>
    </row>
    <row r="247" spans="1:8" ht="21" customHeight="1">
      <c r="A247" s="3" t="s">
        <v>40</v>
      </c>
      <c r="B247" s="3" t="s">
        <v>39</v>
      </c>
      <c r="C247" s="4">
        <v>46054</v>
      </c>
      <c r="D247" s="3" t="s">
        <v>106</v>
      </c>
      <c r="E247" s="3" t="s">
        <v>97</v>
      </c>
      <c r="F247" s="7">
        <v>59819</v>
      </c>
      <c r="G247" s="3" t="s">
        <v>108</v>
      </c>
      <c r="H247" s="3" t="s">
        <v>45</v>
      </c>
    </row>
    <row r="248" spans="1:8" ht="21" customHeight="1">
      <c r="A248" s="3" t="s">
        <v>40</v>
      </c>
      <c r="B248" s="3" t="s">
        <v>39</v>
      </c>
      <c r="C248" s="4">
        <v>46082</v>
      </c>
      <c r="D248" s="3" t="s">
        <v>106</v>
      </c>
      <c r="E248" s="3" t="s">
        <v>97</v>
      </c>
      <c r="F248" s="7">
        <v>77937</v>
      </c>
      <c r="G248" s="3" t="s">
        <v>108</v>
      </c>
      <c r="H248" s="3" t="s">
        <v>45</v>
      </c>
    </row>
    <row r="249" spans="1:8" ht="21" customHeight="1">
      <c r="A249" s="3" t="s">
        <v>40</v>
      </c>
      <c r="B249" s="3" t="s">
        <v>39</v>
      </c>
      <c r="C249" s="4">
        <v>46113</v>
      </c>
      <c r="D249" s="3" t="s">
        <v>106</v>
      </c>
      <c r="E249" s="3" t="s">
        <v>97</v>
      </c>
      <c r="F249" s="7">
        <v>78766</v>
      </c>
      <c r="G249" s="3" t="s">
        <v>108</v>
      </c>
      <c r="H249" s="3" t="s">
        <v>45</v>
      </c>
    </row>
    <row r="250" spans="1:8" ht="21" customHeight="1">
      <c r="A250" s="3" t="s">
        <v>40</v>
      </c>
      <c r="B250" s="3" t="s">
        <v>39</v>
      </c>
      <c r="C250" s="4">
        <v>46143</v>
      </c>
      <c r="D250" s="3" t="s">
        <v>106</v>
      </c>
      <c r="E250" s="3" t="s">
        <v>97</v>
      </c>
      <c r="F250" s="7">
        <v>106931</v>
      </c>
      <c r="G250" s="3" t="s">
        <v>108</v>
      </c>
      <c r="H250" s="3" t="s">
        <v>45</v>
      </c>
    </row>
    <row r="251" spans="1:8" ht="21" customHeight="1">
      <c r="A251" s="3" t="s">
        <v>40</v>
      </c>
      <c r="B251" s="3" t="s">
        <v>39</v>
      </c>
      <c r="C251" s="4">
        <v>46174</v>
      </c>
      <c r="D251" s="3" t="s">
        <v>106</v>
      </c>
      <c r="E251" s="3" t="s">
        <v>97</v>
      </c>
      <c r="F251" s="7">
        <v>105019</v>
      </c>
      <c r="G251" s="3" t="s">
        <v>108</v>
      </c>
      <c r="H251" s="3" t="s">
        <v>45</v>
      </c>
    </row>
    <row r="252" spans="1:8" ht="21" customHeight="1">
      <c r="A252" s="3" t="s">
        <v>40</v>
      </c>
      <c r="B252" s="3" t="s">
        <v>39</v>
      </c>
      <c r="C252" s="4">
        <v>46204</v>
      </c>
      <c r="D252" s="3" t="s">
        <v>106</v>
      </c>
      <c r="E252" s="3" t="s">
        <v>97</v>
      </c>
      <c r="F252" s="7">
        <v>107645</v>
      </c>
      <c r="G252" s="3" t="s">
        <v>108</v>
      </c>
      <c r="H252" s="3" t="s">
        <v>45</v>
      </c>
    </row>
    <row r="253" spans="1:8" ht="21" customHeight="1">
      <c r="A253" s="3" t="s">
        <v>40</v>
      </c>
      <c r="B253" s="3" t="s">
        <v>39</v>
      </c>
      <c r="C253" s="4">
        <v>46143</v>
      </c>
      <c r="D253" s="3" t="s">
        <v>106</v>
      </c>
      <c r="E253" s="3" t="s">
        <v>104</v>
      </c>
      <c r="F253" s="7">
        <v>52318</v>
      </c>
      <c r="G253" s="3" t="s">
        <v>108</v>
      </c>
      <c r="H253" s="3" t="s">
        <v>45</v>
      </c>
    </row>
    <row r="254" spans="1:8" ht="21" customHeight="1">
      <c r="A254" s="3" t="s">
        <v>40</v>
      </c>
      <c r="B254" s="3" t="s">
        <v>39</v>
      </c>
      <c r="C254" s="4">
        <v>46143</v>
      </c>
      <c r="D254" s="3" t="s">
        <v>106</v>
      </c>
      <c r="E254" s="3" t="s">
        <v>99</v>
      </c>
      <c r="F254" s="7">
        <v>2401</v>
      </c>
      <c r="G254" s="3" t="s">
        <v>108</v>
      </c>
      <c r="H254" s="3" t="s">
        <v>45</v>
      </c>
    </row>
    <row r="255" spans="1:8" ht="21" customHeight="1">
      <c r="A255" s="3" t="s">
        <v>40</v>
      </c>
      <c r="B255" s="3" t="s">
        <v>39</v>
      </c>
      <c r="C255" s="4">
        <v>46143</v>
      </c>
      <c r="D255" s="3" t="s">
        <v>106</v>
      </c>
      <c r="E255" s="3" t="s">
        <v>103</v>
      </c>
      <c r="F255" s="7">
        <v>11798</v>
      </c>
      <c r="G255" s="3" t="s">
        <v>108</v>
      </c>
      <c r="H255" s="3" t="s">
        <v>45</v>
      </c>
    </row>
    <row r="256" spans="1:8" ht="21" customHeight="1">
      <c r="A256" s="3" t="s">
        <v>40</v>
      </c>
      <c r="B256" s="3" t="s">
        <v>39</v>
      </c>
      <c r="C256" s="4">
        <v>46174</v>
      </c>
      <c r="D256" s="3" t="s">
        <v>106</v>
      </c>
      <c r="E256" s="3" t="s">
        <v>101</v>
      </c>
      <c r="F256" s="7">
        <v>41309</v>
      </c>
      <c r="G256" s="3" t="s">
        <v>108</v>
      </c>
      <c r="H256" s="3" t="s">
        <v>45</v>
      </c>
    </row>
    <row r="257" spans="1:8" ht="21" customHeight="1">
      <c r="A257" s="3" t="s">
        <v>40</v>
      </c>
      <c r="B257" s="3" t="s">
        <v>39</v>
      </c>
      <c r="C257" s="4">
        <v>46174</v>
      </c>
      <c r="D257" s="3" t="s">
        <v>106</v>
      </c>
      <c r="E257" s="3" t="s">
        <v>99</v>
      </c>
      <c r="F257" s="7">
        <v>1391</v>
      </c>
      <c r="G257" s="3" t="s">
        <v>108</v>
      </c>
      <c r="H257" s="3" t="s">
        <v>45</v>
      </c>
    </row>
    <row r="258" spans="1:8" ht="21" customHeight="1">
      <c r="A258" s="3" t="s">
        <v>40</v>
      </c>
      <c r="B258" s="3" t="s">
        <v>39</v>
      </c>
      <c r="C258" s="4">
        <v>46174</v>
      </c>
      <c r="D258" s="3" t="s">
        <v>106</v>
      </c>
      <c r="E258" s="3" t="s">
        <v>104</v>
      </c>
      <c r="F258" s="7">
        <v>47713</v>
      </c>
      <c r="G258" s="3" t="s">
        <v>108</v>
      </c>
      <c r="H258" s="3" t="s">
        <v>45</v>
      </c>
    </row>
    <row r="259" spans="1:8" ht="21" customHeight="1">
      <c r="A259" s="3" t="s">
        <v>40</v>
      </c>
      <c r="B259" s="3" t="s">
        <v>39</v>
      </c>
      <c r="C259" s="4">
        <v>46174</v>
      </c>
      <c r="D259" s="3" t="s">
        <v>106</v>
      </c>
      <c r="E259" s="3" t="s">
        <v>103</v>
      </c>
      <c r="F259" s="7">
        <v>14606</v>
      </c>
      <c r="G259" s="3" t="s">
        <v>108</v>
      </c>
      <c r="H259" s="3" t="s">
        <v>45</v>
      </c>
    </row>
    <row r="260" spans="1:8" ht="21" customHeight="1">
      <c r="A260" s="3" t="s">
        <v>40</v>
      </c>
      <c r="B260" s="3" t="s">
        <v>39</v>
      </c>
      <c r="C260" s="4">
        <v>46204</v>
      </c>
      <c r="D260" s="3" t="s">
        <v>106</v>
      </c>
      <c r="E260" s="3" t="s">
        <v>101</v>
      </c>
      <c r="F260" s="7">
        <v>32385</v>
      </c>
      <c r="G260" s="3" t="s">
        <v>108</v>
      </c>
      <c r="H260" s="3" t="s">
        <v>45</v>
      </c>
    </row>
    <row r="261" spans="1:8" ht="21" customHeight="1">
      <c r="A261" s="3" t="s">
        <v>40</v>
      </c>
      <c r="B261" s="3" t="s">
        <v>39</v>
      </c>
      <c r="C261" s="4">
        <v>46204</v>
      </c>
      <c r="D261" s="3" t="s">
        <v>106</v>
      </c>
      <c r="E261" s="3" t="s">
        <v>105</v>
      </c>
      <c r="F261" s="7">
        <v>51</v>
      </c>
      <c r="G261" s="3" t="s">
        <v>108</v>
      </c>
      <c r="H261" s="3" t="s">
        <v>45</v>
      </c>
    </row>
    <row r="262" spans="1:8" ht="21" customHeight="1">
      <c r="A262" s="3" t="s">
        <v>40</v>
      </c>
      <c r="B262" s="3" t="s">
        <v>39</v>
      </c>
      <c r="C262" s="4">
        <v>46204</v>
      </c>
      <c r="D262" s="3" t="s">
        <v>106</v>
      </c>
      <c r="E262" s="3" t="s">
        <v>99</v>
      </c>
      <c r="F262" s="7">
        <v>1512</v>
      </c>
      <c r="G262" s="3" t="s">
        <v>108</v>
      </c>
      <c r="H262" s="3" t="s">
        <v>45</v>
      </c>
    </row>
    <row r="263" spans="1:8" ht="21" customHeight="1">
      <c r="A263" s="3" t="s">
        <v>40</v>
      </c>
      <c r="B263" s="3" t="s">
        <v>39</v>
      </c>
      <c r="C263" s="4">
        <v>46204</v>
      </c>
      <c r="D263" s="3" t="s">
        <v>106</v>
      </c>
      <c r="E263" s="3" t="s">
        <v>104</v>
      </c>
      <c r="F263" s="7">
        <v>38655</v>
      </c>
      <c r="G263" s="3" t="s">
        <v>108</v>
      </c>
      <c r="H263" s="3" t="s">
        <v>45</v>
      </c>
    </row>
    <row r="264" spans="1:8" ht="21" customHeight="1">
      <c r="A264" s="3" t="s">
        <v>40</v>
      </c>
      <c r="B264" s="3" t="s">
        <v>39</v>
      </c>
      <c r="C264" s="4">
        <v>46204</v>
      </c>
      <c r="D264" s="3" t="s">
        <v>106</v>
      </c>
      <c r="E264" s="3" t="s">
        <v>103</v>
      </c>
      <c r="F264" s="7">
        <v>35041</v>
      </c>
      <c r="G264" s="3" t="s">
        <v>108</v>
      </c>
      <c r="H264" s="3" t="s">
        <v>45</v>
      </c>
    </row>
    <row r="265" spans="1:8" ht="21" customHeight="1">
      <c r="A265" s="3" t="s">
        <v>40</v>
      </c>
      <c r="B265" s="3" t="s">
        <v>39</v>
      </c>
      <c r="C265" s="4">
        <v>46235</v>
      </c>
      <c r="D265" s="3" t="s">
        <v>106</v>
      </c>
      <c r="E265" s="3" t="s">
        <v>101</v>
      </c>
      <c r="F265" s="7">
        <v>28635</v>
      </c>
      <c r="G265" s="3" t="s">
        <v>108</v>
      </c>
      <c r="H265" s="3" t="s">
        <v>45</v>
      </c>
    </row>
    <row r="266" spans="1:8" ht="21" customHeight="1">
      <c r="A266" s="3" t="s">
        <v>40</v>
      </c>
      <c r="B266" s="3" t="s">
        <v>39</v>
      </c>
      <c r="C266" s="4">
        <v>46235</v>
      </c>
      <c r="D266" s="3" t="s">
        <v>106</v>
      </c>
      <c r="E266" s="3" t="s">
        <v>105</v>
      </c>
      <c r="F266" s="7">
        <v>173</v>
      </c>
      <c r="G266" s="3" t="s">
        <v>108</v>
      </c>
      <c r="H266" s="3" t="s">
        <v>45</v>
      </c>
    </row>
    <row r="267" spans="1:8" ht="21" customHeight="1">
      <c r="A267" s="3" t="s">
        <v>40</v>
      </c>
      <c r="B267" s="3" t="s">
        <v>39</v>
      </c>
      <c r="C267" s="4">
        <v>46235</v>
      </c>
      <c r="D267" s="3" t="s">
        <v>106</v>
      </c>
      <c r="E267" s="3" t="s">
        <v>99</v>
      </c>
      <c r="F267" s="7">
        <v>1446</v>
      </c>
      <c r="G267" s="3" t="s">
        <v>108</v>
      </c>
      <c r="H267" s="3" t="s">
        <v>45</v>
      </c>
    </row>
    <row r="268" spans="1:8" ht="21" customHeight="1">
      <c r="A268" s="3" t="s">
        <v>40</v>
      </c>
      <c r="B268" s="3" t="s">
        <v>39</v>
      </c>
      <c r="C268" s="4">
        <v>46235</v>
      </c>
      <c r="D268" s="3" t="s">
        <v>106</v>
      </c>
      <c r="E268" s="3" t="s">
        <v>104</v>
      </c>
      <c r="F268" s="7">
        <v>68568</v>
      </c>
      <c r="G268" s="3" t="s">
        <v>108</v>
      </c>
      <c r="H268" s="3" t="s">
        <v>45</v>
      </c>
    </row>
    <row r="269" spans="1:8" ht="21" customHeight="1">
      <c r="A269" s="3" t="s">
        <v>40</v>
      </c>
      <c r="B269" s="3" t="s">
        <v>39</v>
      </c>
      <c r="C269" s="4">
        <v>46235</v>
      </c>
      <c r="D269" s="3" t="s">
        <v>106</v>
      </c>
      <c r="E269" s="3" t="s">
        <v>103</v>
      </c>
      <c r="F269" s="7">
        <v>20421</v>
      </c>
      <c r="G269" s="3" t="s">
        <v>108</v>
      </c>
      <c r="H269" s="3" t="s">
        <v>45</v>
      </c>
    </row>
    <row r="270" spans="1:8" ht="21" customHeight="1">
      <c r="A270" s="3" t="s">
        <v>40</v>
      </c>
      <c r="B270" s="3" t="s">
        <v>39</v>
      </c>
      <c r="C270" s="4">
        <v>46054</v>
      </c>
      <c r="D270" s="3" t="s">
        <v>106</v>
      </c>
      <c r="E270" s="3" t="s">
        <v>104</v>
      </c>
      <c r="F270" s="7">
        <v>19027</v>
      </c>
      <c r="G270" s="3" t="s">
        <v>108</v>
      </c>
      <c r="H270" s="3" t="s">
        <v>45</v>
      </c>
    </row>
    <row r="271" spans="1:8" ht="21" customHeight="1">
      <c r="A271" s="3" t="s">
        <v>40</v>
      </c>
      <c r="B271" s="3" t="s">
        <v>39</v>
      </c>
      <c r="C271" s="4">
        <v>45962</v>
      </c>
      <c r="D271" s="3" t="s">
        <v>106</v>
      </c>
      <c r="E271" s="3" t="s">
        <v>104</v>
      </c>
      <c r="F271" s="7">
        <v>43957</v>
      </c>
      <c r="G271" s="3" t="s">
        <v>108</v>
      </c>
      <c r="H271" s="3" t="s">
        <v>45</v>
      </c>
    </row>
    <row r="272" spans="1:8" ht="21" customHeight="1">
      <c r="A272" s="3" t="s">
        <v>40</v>
      </c>
      <c r="B272" s="3" t="s">
        <v>39</v>
      </c>
      <c r="C272" s="4">
        <v>45962</v>
      </c>
      <c r="D272" s="3" t="s">
        <v>106</v>
      </c>
      <c r="E272" s="3" t="s">
        <v>103</v>
      </c>
      <c r="F272" s="7">
        <v>7898</v>
      </c>
      <c r="G272" s="3" t="s">
        <v>108</v>
      </c>
      <c r="H272" s="3" t="s">
        <v>45</v>
      </c>
    </row>
    <row r="273" spans="1:8" ht="21" customHeight="1">
      <c r="A273" s="3" t="s">
        <v>40</v>
      </c>
      <c r="B273" s="3" t="s">
        <v>39</v>
      </c>
      <c r="C273" s="4">
        <v>45992</v>
      </c>
      <c r="D273" s="3" t="s">
        <v>106</v>
      </c>
      <c r="E273" s="3" t="s">
        <v>101</v>
      </c>
      <c r="F273" s="7">
        <v>22951</v>
      </c>
      <c r="G273" s="3" t="s">
        <v>108</v>
      </c>
      <c r="H273" s="3" t="s">
        <v>45</v>
      </c>
    </row>
    <row r="274" spans="1:8" ht="21" customHeight="1">
      <c r="A274" s="3" t="s">
        <v>40</v>
      </c>
      <c r="B274" s="3" t="s">
        <v>39</v>
      </c>
      <c r="C274" s="4">
        <v>45992</v>
      </c>
      <c r="D274" s="3" t="s">
        <v>106</v>
      </c>
      <c r="E274" s="3" t="s">
        <v>105</v>
      </c>
      <c r="F274" s="7">
        <v>251</v>
      </c>
      <c r="G274" s="3" t="s">
        <v>108</v>
      </c>
      <c r="H274" s="3" t="s">
        <v>45</v>
      </c>
    </row>
    <row r="275" spans="1:8" ht="21" customHeight="1">
      <c r="A275" s="3" t="s">
        <v>40</v>
      </c>
      <c r="B275" s="3" t="s">
        <v>39</v>
      </c>
      <c r="C275" s="4">
        <v>45992</v>
      </c>
      <c r="D275" s="3" t="s">
        <v>106</v>
      </c>
      <c r="E275" s="3" t="s">
        <v>99</v>
      </c>
      <c r="F275" s="7">
        <v>1276</v>
      </c>
      <c r="G275" s="3" t="s">
        <v>108</v>
      </c>
      <c r="H275" s="3" t="s">
        <v>45</v>
      </c>
    </row>
    <row r="276" spans="1:8" ht="21" customHeight="1">
      <c r="A276" s="3" t="s">
        <v>40</v>
      </c>
      <c r="B276" s="3" t="s">
        <v>39</v>
      </c>
      <c r="C276" s="4">
        <v>45992</v>
      </c>
      <c r="D276" s="3" t="s">
        <v>106</v>
      </c>
      <c r="E276" s="3" t="s">
        <v>104</v>
      </c>
      <c r="F276" s="7">
        <v>38278</v>
      </c>
      <c r="G276" s="3" t="s">
        <v>108</v>
      </c>
      <c r="H276" s="3" t="s">
        <v>45</v>
      </c>
    </row>
    <row r="277" spans="1:8" ht="21" customHeight="1">
      <c r="A277" s="3" t="s">
        <v>40</v>
      </c>
      <c r="B277" s="3" t="s">
        <v>39</v>
      </c>
      <c r="C277" s="4">
        <v>45992</v>
      </c>
      <c r="D277" s="3" t="s">
        <v>106</v>
      </c>
      <c r="E277" s="3" t="s">
        <v>103</v>
      </c>
      <c r="F277" s="7">
        <v>17003</v>
      </c>
      <c r="G277" s="3" t="s">
        <v>108</v>
      </c>
      <c r="H277" s="3" t="s">
        <v>45</v>
      </c>
    </row>
    <row r="278" spans="1:8" ht="21" customHeight="1">
      <c r="A278" s="3" t="s">
        <v>40</v>
      </c>
      <c r="B278" s="3" t="s">
        <v>39</v>
      </c>
      <c r="C278" s="4">
        <v>46023</v>
      </c>
      <c r="D278" s="3" t="s">
        <v>106</v>
      </c>
      <c r="E278" s="3" t="s">
        <v>101</v>
      </c>
      <c r="F278" s="7">
        <v>22924</v>
      </c>
      <c r="G278" s="3" t="s">
        <v>108</v>
      </c>
      <c r="H278" s="3" t="s">
        <v>45</v>
      </c>
    </row>
    <row r="279" spans="1:8" ht="21" customHeight="1">
      <c r="A279" s="3" t="s">
        <v>40</v>
      </c>
      <c r="B279" s="3" t="s">
        <v>39</v>
      </c>
      <c r="C279" s="4">
        <v>46023</v>
      </c>
      <c r="D279" s="3" t="s">
        <v>106</v>
      </c>
      <c r="E279" s="3" t="s">
        <v>105</v>
      </c>
      <c r="F279" s="7">
        <v>238</v>
      </c>
      <c r="G279" s="3" t="s">
        <v>108</v>
      </c>
      <c r="H279" s="3" t="s">
        <v>45</v>
      </c>
    </row>
    <row r="280" spans="1:8" ht="21" customHeight="1">
      <c r="A280" s="3" t="s">
        <v>40</v>
      </c>
      <c r="B280" s="3" t="s">
        <v>39</v>
      </c>
      <c r="C280" s="4">
        <v>46023</v>
      </c>
      <c r="D280" s="3" t="s">
        <v>106</v>
      </c>
      <c r="E280" s="3" t="s">
        <v>104</v>
      </c>
      <c r="F280" s="7">
        <v>36086</v>
      </c>
      <c r="G280" s="3" t="s">
        <v>108</v>
      </c>
      <c r="H280" s="3" t="s">
        <v>45</v>
      </c>
    </row>
    <row r="281" spans="1:8" ht="21" customHeight="1">
      <c r="A281" s="3" t="s">
        <v>40</v>
      </c>
      <c r="B281" s="3" t="s">
        <v>39</v>
      </c>
      <c r="C281" s="4">
        <v>46023</v>
      </c>
      <c r="D281" s="3" t="s">
        <v>106</v>
      </c>
      <c r="E281" s="3" t="s">
        <v>103</v>
      </c>
      <c r="F281" s="7">
        <v>10543</v>
      </c>
      <c r="G281" s="3" t="s">
        <v>108</v>
      </c>
      <c r="H281" s="3" t="s">
        <v>45</v>
      </c>
    </row>
    <row r="282" spans="1:8" ht="21" customHeight="1">
      <c r="A282" s="3" t="s">
        <v>40</v>
      </c>
      <c r="B282" s="3" t="s">
        <v>39</v>
      </c>
      <c r="C282" s="4">
        <v>46054</v>
      </c>
      <c r="D282" s="3" t="s">
        <v>106</v>
      </c>
      <c r="E282" s="3" t="s">
        <v>101</v>
      </c>
      <c r="F282" s="7">
        <v>24516</v>
      </c>
      <c r="G282" s="3" t="s">
        <v>108</v>
      </c>
      <c r="H282" s="3" t="s">
        <v>45</v>
      </c>
    </row>
    <row r="283" spans="1:8" ht="21" customHeight="1">
      <c r="A283" s="3" t="s">
        <v>40</v>
      </c>
      <c r="B283" s="3" t="s">
        <v>39</v>
      </c>
      <c r="C283" s="4">
        <v>46054</v>
      </c>
      <c r="D283" s="3" t="s">
        <v>106</v>
      </c>
      <c r="E283" s="3" t="s">
        <v>105</v>
      </c>
      <c r="F283" s="7">
        <v>193</v>
      </c>
      <c r="G283" s="3" t="s">
        <v>108</v>
      </c>
      <c r="H283" s="3" t="s">
        <v>45</v>
      </c>
    </row>
    <row r="284" spans="1:8" ht="21" customHeight="1">
      <c r="A284" s="3" t="s">
        <v>40</v>
      </c>
      <c r="B284" s="3" t="s">
        <v>39</v>
      </c>
      <c r="C284" s="4">
        <v>45962</v>
      </c>
      <c r="D284" s="3" t="s">
        <v>106</v>
      </c>
      <c r="E284" s="3" t="s">
        <v>101</v>
      </c>
      <c r="F284" s="7">
        <v>45381</v>
      </c>
      <c r="G284" s="3" t="s">
        <v>108</v>
      </c>
      <c r="H284" s="3" t="s">
        <v>45</v>
      </c>
    </row>
    <row r="285" spans="1:8" ht="21" customHeight="1">
      <c r="A285" s="3" t="s">
        <v>40</v>
      </c>
      <c r="B285" s="3" t="s">
        <v>39</v>
      </c>
      <c r="C285" s="4">
        <v>46054</v>
      </c>
      <c r="D285" s="3" t="s">
        <v>106</v>
      </c>
      <c r="E285" s="3" t="s">
        <v>103</v>
      </c>
      <c r="F285" s="7">
        <v>16083</v>
      </c>
      <c r="G285" s="3" t="s">
        <v>108</v>
      </c>
      <c r="H285" s="3" t="s">
        <v>45</v>
      </c>
    </row>
    <row r="286" spans="1:8" ht="21" customHeight="1">
      <c r="A286" s="3" t="s">
        <v>40</v>
      </c>
      <c r="B286" s="3" t="s">
        <v>39</v>
      </c>
      <c r="C286" s="4">
        <v>46082</v>
      </c>
      <c r="D286" s="3" t="s">
        <v>106</v>
      </c>
      <c r="E286" s="3" t="s">
        <v>101</v>
      </c>
      <c r="F286" s="7">
        <v>17137</v>
      </c>
      <c r="G286" s="3" t="s">
        <v>108</v>
      </c>
      <c r="H286" s="3" t="s">
        <v>45</v>
      </c>
    </row>
    <row r="287" spans="1:8" ht="21" customHeight="1">
      <c r="A287" s="3" t="s">
        <v>40</v>
      </c>
      <c r="B287" s="3" t="s">
        <v>39</v>
      </c>
      <c r="C287" s="4">
        <v>46082</v>
      </c>
      <c r="D287" s="3" t="s">
        <v>106</v>
      </c>
      <c r="E287" s="3" t="s">
        <v>105</v>
      </c>
      <c r="F287" s="7">
        <v>89</v>
      </c>
      <c r="G287" s="3" t="s">
        <v>108</v>
      </c>
      <c r="H287" s="3" t="s">
        <v>45</v>
      </c>
    </row>
    <row r="288" spans="1:8" ht="21" customHeight="1">
      <c r="A288" s="3" t="s">
        <v>40</v>
      </c>
      <c r="B288" s="3" t="s">
        <v>39</v>
      </c>
      <c r="C288" s="4">
        <v>46082</v>
      </c>
      <c r="D288" s="3" t="s">
        <v>106</v>
      </c>
      <c r="E288" s="3" t="s">
        <v>104</v>
      </c>
      <c r="F288" s="7">
        <v>48547</v>
      </c>
      <c r="G288" s="3" t="s">
        <v>108</v>
      </c>
      <c r="H288" s="3" t="s">
        <v>45</v>
      </c>
    </row>
    <row r="289" spans="1:8" ht="21" customHeight="1">
      <c r="A289" s="3" t="s">
        <v>40</v>
      </c>
      <c r="B289" s="3" t="s">
        <v>39</v>
      </c>
      <c r="C289" s="4">
        <v>46082</v>
      </c>
      <c r="D289" s="3" t="s">
        <v>106</v>
      </c>
      <c r="E289" s="3" t="s">
        <v>103</v>
      </c>
      <c r="F289" s="7">
        <v>12163</v>
      </c>
      <c r="G289" s="3" t="s">
        <v>108</v>
      </c>
      <c r="H289" s="3" t="s">
        <v>45</v>
      </c>
    </row>
    <row r="290" spans="1:8" ht="21" customHeight="1">
      <c r="A290" s="3" t="s">
        <v>40</v>
      </c>
      <c r="B290" s="3" t="s">
        <v>39</v>
      </c>
      <c r="C290" s="4">
        <v>46113</v>
      </c>
      <c r="D290" s="3" t="s">
        <v>106</v>
      </c>
      <c r="E290" s="3" t="s">
        <v>101</v>
      </c>
      <c r="F290" s="7">
        <v>22759</v>
      </c>
      <c r="G290" s="3" t="s">
        <v>108</v>
      </c>
      <c r="H290" s="3" t="s">
        <v>45</v>
      </c>
    </row>
    <row r="291" spans="1:8" ht="21" customHeight="1">
      <c r="A291" s="3" t="s">
        <v>40</v>
      </c>
      <c r="B291" s="3" t="s">
        <v>39</v>
      </c>
      <c r="C291" s="4">
        <v>46113</v>
      </c>
      <c r="D291" s="3" t="s">
        <v>106</v>
      </c>
      <c r="E291" s="3" t="s">
        <v>105</v>
      </c>
      <c r="F291" s="7">
        <v>5644</v>
      </c>
      <c r="G291" s="3" t="s">
        <v>108</v>
      </c>
      <c r="H291" s="3" t="s">
        <v>45</v>
      </c>
    </row>
    <row r="292" spans="1:8" ht="21" customHeight="1">
      <c r="A292" s="3" t="s">
        <v>40</v>
      </c>
      <c r="B292" s="3" t="s">
        <v>39</v>
      </c>
      <c r="C292" s="4">
        <v>46113</v>
      </c>
      <c r="D292" s="3" t="s">
        <v>106</v>
      </c>
      <c r="E292" s="3" t="s">
        <v>99</v>
      </c>
      <c r="F292" s="7">
        <v>1070</v>
      </c>
      <c r="G292" s="3" t="s">
        <v>108</v>
      </c>
      <c r="H292" s="3" t="s">
        <v>45</v>
      </c>
    </row>
    <row r="293" spans="1:8" ht="21" customHeight="1">
      <c r="A293" s="3" t="s">
        <v>40</v>
      </c>
      <c r="B293" s="3" t="s">
        <v>39</v>
      </c>
      <c r="C293" s="4">
        <v>46113</v>
      </c>
      <c r="D293" s="3" t="s">
        <v>106</v>
      </c>
      <c r="E293" s="3" t="s">
        <v>104</v>
      </c>
      <c r="F293" s="7">
        <v>35758</v>
      </c>
      <c r="G293" s="3" t="s">
        <v>108</v>
      </c>
      <c r="H293" s="3" t="s">
        <v>45</v>
      </c>
    </row>
    <row r="294" spans="1:8" ht="21" customHeight="1">
      <c r="A294" s="3" t="s">
        <v>40</v>
      </c>
      <c r="B294" s="3" t="s">
        <v>39</v>
      </c>
      <c r="C294" s="4">
        <v>46113</v>
      </c>
      <c r="D294" s="3" t="s">
        <v>106</v>
      </c>
      <c r="E294" s="3" t="s">
        <v>103</v>
      </c>
      <c r="F294" s="7">
        <v>13535</v>
      </c>
      <c r="G294" s="3" t="s">
        <v>108</v>
      </c>
      <c r="H294" s="3" t="s">
        <v>45</v>
      </c>
    </row>
    <row r="295" spans="1:8" ht="21" customHeight="1">
      <c r="A295" s="3" t="s">
        <v>40</v>
      </c>
      <c r="B295" s="3" t="s">
        <v>39</v>
      </c>
      <c r="C295" s="4">
        <v>46143</v>
      </c>
      <c r="D295" s="3" t="s">
        <v>106</v>
      </c>
      <c r="E295" s="3" t="s">
        <v>101</v>
      </c>
      <c r="F295" s="7">
        <v>36843</v>
      </c>
      <c r="G295" s="3" t="s">
        <v>108</v>
      </c>
      <c r="H295" s="3" t="s">
        <v>45</v>
      </c>
    </row>
    <row r="296" spans="1:8" ht="21" customHeight="1">
      <c r="A296" s="3" t="s">
        <v>40</v>
      </c>
      <c r="B296" s="3" t="s">
        <v>39</v>
      </c>
      <c r="C296" s="4">
        <v>46143</v>
      </c>
      <c r="D296" s="3" t="s">
        <v>106</v>
      </c>
      <c r="E296" s="3" t="s">
        <v>105</v>
      </c>
      <c r="F296" s="7">
        <v>3570</v>
      </c>
      <c r="G296" s="3" t="s">
        <v>108</v>
      </c>
      <c r="H296" s="3" t="s">
        <v>45</v>
      </c>
    </row>
    <row r="297" spans="1:8" ht="21" customHeight="1">
      <c r="A297" s="3" t="s">
        <v>40</v>
      </c>
      <c r="B297" s="3" t="s">
        <v>39</v>
      </c>
      <c r="C297" s="4">
        <v>46235</v>
      </c>
      <c r="D297" s="3" t="s">
        <v>107</v>
      </c>
      <c r="E297" s="3" t="s">
        <v>97</v>
      </c>
      <c r="F297" s="7">
        <v>14120056</v>
      </c>
      <c r="G297" s="3" t="s">
        <v>108</v>
      </c>
      <c r="H297" s="3" t="s">
        <v>45</v>
      </c>
    </row>
    <row r="298" spans="1:8" ht="21" customHeight="1">
      <c r="A298" s="3" t="s">
        <v>40</v>
      </c>
      <c r="B298" s="3" t="s">
        <v>39</v>
      </c>
      <c r="C298" s="4">
        <v>45962</v>
      </c>
      <c r="D298" s="3" t="s">
        <v>107</v>
      </c>
      <c r="E298" s="3" t="s">
        <v>97</v>
      </c>
      <c r="F298" s="7">
        <v>7908617</v>
      </c>
      <c r="G298" s="3" t="s">
        <v>108</v>
      </c>
      <c r="H298" s="3" t="s">
        <v>45</v>
      </c>
    </row>
    <row r="299" spans="1:8" ht="21" customHeight="1">
      <c r="A299" s="3" t="s">
        <v>40</v>
      </c>
      <c r="B299" s="3" t="s">
        <v>39</v>
      </c>
      <c r="C299" s="4">
        <v>45992</v>
      </c>
      <c r="D299" s="3" t="s">
        <v>107</v>
      </c>
      <c r="E299" s="3" t="s">
        <v>97</v>
      </c>
      <c r="F299" s="7">
        <v>6608299</v>
      </c>
      <c r="G299" s="3" t="s">
        <v>108</v>
      </c>
      <c r="H299" s="3" t="s">
        <v>45</v>
      </c>
    </row>
    <row r="300" spans="1:8" ht="21" customHeight="1">
      <c r="A300" s="3" t="s">
        <v>40</v>
      </c>
      <c r="B300" s="3" t="s">
        <v>39</v>
      </c>
      <c r="C300" s="4">
        <v>46023</v>
      </c>
      <c r="D300" s="3" t="s">
        <v>107</v>
      </c>
      <c r="E300" s="3" t="s">
        <v>97</v>
      </c>
      <c r="F300" s="7">
        <v>5989344</v>
      </c>
      <c r="G300" s="3" t="s">
        <v>108</v>
      </c>
      <c r="H300" s="3" t="s">
        <v>45</v>
      </c>
    </row>
    <row r="301" spans="1:8" ht="21" customHeight="1">
      <c r="A301" s="3" t="s">
        <v>40</v>
      </c>
      <c r="B301" s="3" t="s">
        <v>39</v>
      </c>
      <c r="C301" s="4">
        <v>46054</v>
      </c>
      <c r="D301" s="3" t="s">
        <v>107</v>
      </c>
      <c r="E301" s="3" t="s">
        <v>97</v>
      </c>
      <c r="F301" s="7">
        <v>6950732</v>
      </c>
      <c r="G301" s="3" t="s">
        <v>108</v>
      </c>
      <c r="H301" s="3" t="s">
        <v>45</v>
      </c>
    </row>
    <row r="302" spans="1:8" ht="21" customHeight="1">
      <c r="A302" s="3" t="s">
        <v>40</v>
      </c>
      <c r="B302" s="3" t="s">
        <v>39</v>
      </c>
      <c r="C302" s="4">
        <v>46082</v>
      </c>
      <c r="D302" s="3" t="s">
        <v>107</v>
      </c>
      <c r="E302" s="3" t="s">
        <v>97</v>
      </c>
      <c r="F302" s="7">
        <v>7950337</v>
      </c>
      <c r="G302" s="3" t="s">
        <v>108</v>
      </c>
      <c r="H302" s="3" t="s">
        <v>45</v>
      </c>
    </row>
    <row r="303" spans="1:8" ht="21" customHeight="1">
      <c r="A303" s="3" t="s">
        <v>40</v>
      </c>
      <c r="B303" s="3" t="s">
        <v>39</v>
      </c>
      <c r="C303" s="4">
        <v>46113</v>
      </c>
      <c r="D303" s="3" t="s">
        <v>107</v>
      </c>
      <c r="E303" s="3" t="s">
        <v>97</v>
      </c>
      <c r="F303" s="7">
        <v>9434852</v>
      </c>
      <c r="G303" s="3" t="s">
        <v>108</v>
      </c>
      <c r="H303" s="3" t="s">
        <v>45</v>
      </c>
    </row>
    <row r="304" spans="1:8" ht="21" customHeight="1">
      <c r="A304" s="3" t="s">
        <v>40</v>
      </c>
      <c r="B304" s="3" t="s">
        <v>39</v>
      </c>
      <c r="C304" s="4">
        <v>46143</v>
      </c>
      <c r="D304" s="3" t="s">
        <v>107</v>
      </c>
      <c r="E304" s="3" t="s">
        <v>97</v>
      </c>
      <c r="F304" s="7">
        <v>11790777</v>
      </c>
      <c r="G304" s="3" t="s">
        <v>108</v>
      </c>
      <c r="H304" s="3" t="s">
        <v>45</v>
      </c>
    </row>
    <row r="305" spans="1:8" ht="21" customHeight="1">
      <c r="A305" s="3" t="s">
        <v>40</v>
      </c>
      <c r="B305" s="3" t="s">
        <v>39</v>
      </c>
      <c r="C305" s="4">
        <v>46174</v>
      </c>
      <c r="D305" s="3" t="s">
        <v>107</v>
      </c>
      <c r="E305" s="3" t="s">
        <v>97</v>
      </c>
      <c r="F305" s="7">
        <v>9633682</v>
      </c>
      <c r="G305" s="3" t="s">
        <v>108</v>
      </c>
      <c r="H305" s="3" t="s">
        <v>45</v>
      </c>
    </row>
    <row r="306" spans="1:8" ht="21" customHeight="1">
      <c r="A306" s="3" t="s">
        <v>40</v>
      </c>
      <c r="B306" s="3" t="s">
        <v>39</v>
      </c>
      <c r="C306" s="4">
        <v>46204</v>
      </c>
      <c r="D306" s="3" t="s">
        <v>107</v>
      </c>
      <c r="E306" s="3" t="s">
        <v>97</v>
      </c>
      <c r="F306" s="7">
        <v>11020315</v>
      </c>
      <c r="G306" s="3" t="s">
        <v>108</v>
      </c>
      <c r="H306" s="3" t="s">
        <v>45</v>
      </c>
    </row>
    <row r="307" spans="1:8" ht="21" customHeight="1">
      <c r="A307" s="3" t="s">
        <v>40</v>
      </c>
      <c r="B307" s="3" t="s">
        <v>39</v>
      </c>
      <c r="C307" s="4">
        <v>46174</v>
      </c>
      <c r="D307" s="3" t="s">
        <v>107</v>
      </c>
      <c r="E307" s="3" t="s">
        <v>100</v>
      </c>
      <c r="F307" s="7">
        <v>42946</v>
      </c>
      <c r="G307" s="3" t="s">
        <v>108</v>
      </c>
      <c r="H307" s="3" t="s">
        <v>45</v>
      </c>
    </row>
    <row r="308" spans="1:8" ht="21" customHeight="1">
      <c r="A308" s="3" t="s">
        <v>40</v>
      </c>
      <c r="B308" s="3" t="s">
        <v>39</v>
      </c>
      <c r="C308" s="4">
        <v>46113</v>
      </c>
      <c r="D308" s="3" t="s">
        <v>107</v>
      </c>
      <c r="E308" s="3" t="s">
        <v>102</v>
      </c>
      <c r="F308" s="7">
        <v>3637435</v>
      </c>
      <c r="G308" s="3" t="s">
        <v>108</v>
      </c>
      <c r="H308" s="3" t="s">
        <v>45</v>
      </c>
    </row>
    <row r="309" spans="1:8" ht="21" customHeight="1">
      <c r="A309" s="3" t="s">
        <v>40</v>
      </c>
      <c r="B309" s="3" t="s">
        <v>39</v>
      </c>
      <c r="C309" s="4">
        <v>46174</v>
      </c>
      <c r="D309" s="3" t="s">
        <v>107</v>
      </c>
      <c r="E309" s="3" t="s">
        <v>103</v>
      </c>
      <c r="F309" s="7">
        <v>704625</v>
      </c>
      <c r="G309" s="3" t="s">
        <v>108</v>
      </c>
      <c r="H309" s="3" t="s">
        <v>45</v>
      </c>
    </row>
    <row r="310" spans="1:8" ht="21" customHeight="1">
      <c r="A310" s="3" t="s">
        <v>40</v>
      </c>
      <c r="B310" s="3" t="s">
        <v>39</v>
      </c>
      <c r="C310" s="4">
        <v>46174</v>
      </c>
      <c r="D310" s="3" t="s">
        <v>107</v>
      </c>
      <c r="E310" s="3" t="s">
        <v>104</v>
      </c>
      <c r="F310" s="7">
        <v>2429803</v>
      </c>
      <c r="G310" s="3" t="s">
        <v>108</v>
      </c>
      <c r="H310" s="3" t="s">
        <v>45</v>
      </c>
    </row>
    <row r="311" spans="1:8" ht="21" customHeight="1">
      <c r="A311" s="3" t="s">
        <v>40</v>
      </c>
      <c r="B311" s="3" t="s">
        <v>39</v>
      </c>
      <c r="C311" s="4">
        <v>46174</v>
      </c>
      <c r="D311" s="3" t="s">
        <v>107</v>
      </c>
      <c r="E311" s="3" t="s">
        <v>99</v>
      </c>
      <c r="F311" s="7">
        <v>2577540</v>
      </c>
      <c r="G311" s="3" t="s">
        <v>108</v>
      </c>
      <c r="H311" s="3" t="s">
        <v>45</v>
      </c>
    </row>
    <row r="312" spans="1:8" ht="21" customHeight="1">
      <c r="A312" s="3" t="s">
        <v>40</v>
      </c>
      <c r="B312" s="3" t="s">
        <v>39</v>
      </c>
      <c r="C312" s="4">
        <v>46174</v>
      </c>
      <c r="D312" s="3" t="s">
        <v>107</v>
      </c>
      <c r="E312" s="3" t="s">
        <v>105</v>
      </c>
      <c r="F312" s="7">
        <v>872</v>
      </c>
      <c r="G312" s="3" t="s">
        <v>108</v>
      </c>
      <c r="H312" s="3" t="s">
        <v>45</v>
      </c>
    </row>
    <row r="313" spans="1:8" ht="21" customHeight="1">
      <c r="A313" s="3" t="s">
        <v>40</v>
      </c>
      <c r="B313" s="3" t="s">
        <v>39</v>
      </c>
      <c r="C313" s="4">
        <v>46174</v>
      </c>
      <c r="D313" s="3" t="s">
        <v>107</v>
      </c>
      <c r="E313" s="3" t="s">
        <v>101</v>
      </c>
      <c r="F313" s="7">
        <v>364172</v>
      </c>
      <c r="G313" s="3" t="s">
        <v>108</v>
      </c>
      <c r="H313" s="3" t="s">
        <v>45</v>
      </c>
    </row>
    <row r="314" spans="1:8" ht="21" customHeight="1">
      <c r="A314" s="3" t="s">
        <v>40</v>
      </c>
      <c r="B314" s="3" t="s">
        <v>39</v>
      </c>
      <c r="C314" s="4">
        <v>46143</v>
      </c>
      <c r="D314" s="3" t="s">
        <v>107</v>
      </c>
      <c r="E314" s="3" t="s">
        <v>102</v>
      </c>
      <c r="F314" s="7">
        <v>4774472</v>
      </c>
      <c r="G314" s="3" t="s">
        <v>108</v>
      </c>
      <c r="H314" s="3" t="s">
        <v>45</v>
      </c>
    </row>
    <row r="315" spans="1:8" ht="21" customHeight="1">
      <c r="A315" s="3" t="s">
        <v>40</v>
      </c>
      <c r="B315" s="3" t="s">
        <v>39</v>
      </c>
      <c r="C315" s="4">
        <v>46143</v>
      </c>
      <c r="D315" s="3" t="s">
        <v>107</v>
      </c>
      <c r="E315" s="3" t="s">
        <v>100</v>
      </c>
      <c r="F315" s="7">
        <v>56780</v>
      </c>
      <c r="G315" s="3" t="s">
        <v>108</v>
      </c>
      <c r="H315" s="3" t="s">
        <v>45</v>
      </c>
    </row>
    <row r="316" spans="1:8" ht="21" customHeight="1">
      <c r="A316" s="3" t="s">
        <v>40</v>
      </c>
      <c r="B316" s="3" t="s">
        <v>39</v>
      </c>
      <c r="C316" s="4">
        <v>46143</v>
      </c>
      <c r="D316" s="3" t="s">
        <v>107</v>
      </c>
      <c r="E316" s="3" t="s">
        <v>103</v>
      </c>
      <c r="F316" s="7">
        <v>820527</v>
      </c>
      <c r="G316" s="3" t="s">
        <v>108</v>
      </c>
      <c r="H316" s="3" t="s">
        <v>45</v>
      </c>
    </row>
    <row r="317" spans="1:8" ht="21" customHeight="1">
      <c r="A317" s="3" t="s">
        <v>40</v>
      </c>
      <c r="B317" s="3" t="s">
        <v>39</v>
      </c>
      <c r="C317" s="4">
        <v>46143</v>
      </c>
      <c r="D317" s="3" t="s">
        <v>107</v>
      </c>
      <c r="E317" s="3" t="s">
        <v>104</v>
      </c>
      <c r="F317" s="7">
        <v>3039492</v>
      </c>
      <c r="G317" s="3" t="s">
        <v>108</v>
      </c>
      <c r="H317" s="3" t="s">
        <v>45</v>
      </c>
    </row>
    <row r="318" spans="1:8" ht="21" customHeight="1">
      <c r="A318" s="3" t="s">
        <v>40</v>
      </c>
      <c r="B318" s="3" t="s">
        <v>39</v>
      </c>
      <c r="C318" s="4">
        <v>46143</v>
      </c>
      <c r="D318" s="3" t="s">
        <v>107</v>
      </c>
      <c r="E318" s="3" t="s">
        <v>99</v>
      </c>
      <c r="F318" s="7">
        <v>2667396</v>
      </c>
      <c r="G318" s="3" t="s">
        <v>108</v>
      </c>
      <c r="H318" s="3" t="s">
        <v>45</v>
      </c>
    </row>
    <row r="319" spans="1:8" ht="21" customHeight="1">
      <c r="A319" s="3" t="s">
        <v>40</v>
      </c>
      <c r="B319" s="3" t="s">
        <v>39</v>
      </c>
      <c r="C319" s="4">
        <v>46143</v>
      </c>
      <c r="D319" s="3" t="s">
        <v>107</v>
      </c>
      <c r="E319" s="3" t="s">
        <v>105</v>
      </c>
      <c r="F319" s="7">
        <v>981</v>
      </c>
      <c r="G319" s="3" t="s">
        <v>108</v>
      </c>
      <c r="H319" s="3" t="s">
        <v>45</v>
      </c>
    </row>
    <row r="320" spans="1:8" ht="21" customHeight="1">
      <c r="A320" s="3" t="s">
        <v>40</v>
      </c>
      <c r="B320" s="3" t="s">
        <v>39</v>
      </c>
      <c r="C320" s="4">
        <v>46143</v>
      </c>
      <c r="D320" s="3" t="s">
        <v>107</v>
      </c>
      <c r="E320" s="3" t="s">
        <v>101</v>
      </c>
      <c r="F320" s="7">
        <v>431130</v>
      </c>
      <c r="G320" s="3" t="s">
        <v>108</v>
      </c>
      <c r="H320" s="3" t="s">
        <v>45</v>
      </c>
    </row>
    <row r="321" spans="1:8" ht="21" customHeight="1">
      <c r="A321" s="3" t="s">
        <v>40</v>
      </c>
      <c r="B321" s="3" t="s">
        <v>39</v>
      </c>
      <c r="C321" s="4">
        <v>46113</v>
      </c>
      <c r="D321" s="3" t="s">
        <v>107</v>
      </c>
      <c r="E321" s="3" t="s">
        <v>100</v>
      </c>
      <c r="F321" s="7">
        <v>47255</v>
      </c>
      <c r="G321" s="3" t="s">
        <v>108</v>
      </c>
      <c r="H321" s="3" t="s">
        <v>45</v>
      </c>
    </row>
    <row r="322" spans="1:8" ht="21" customHeight="1">
      <c r="A322" s="3" t="s">
        <v>40</v>
      </c>
      <c r="B322" s="3" t="s">
        <v>39</v>
      </c>
      <c r="C322" s="4">
        <v>46174</v>
      </c>
      <c r="D322" s="3" t="s">
        <v>107</v>
      </c>
      <c r="E322" s="3" t="s">
        <v>102</v>
      </c>
      <c r="F322" s="7">
        <v>3513724</v>
      </c>
      <c r="G322" s="3" t="s">
        <v>108</v>
      </c>
      <c r="H322" s="3" t="s">
        <v>45</v>
      </c>
    </row>
    <row r="323" spans="1:8" ht="21" customHeight="1">
      <c r="A323" s="3" t="s">
        <v>40</v>
      </c>
      <c r="B323" s="3" t="s">
        <v>39</v>
      </c>
      <c r="C323" s="4">
        <v>46204</v>
      </c>
      <c r="D323" s="3" t="s">
        <v>107</v>
      </c>
      <c r="E323" s="3" t="s">
        <v>101</v>
      </c>
      <c r="F323" s="7">
        <v>476894</v>
      </c>
      <c r="G323" s="3" t="s">
        <v>108</v>
      </c>
      <c r="H323" s="3" t="s">
        <v>45</v>
      </c>
    </row>
    <row r="324" spans="1:8" ht="21" customHeight="1">
      <c r="A324" s="3" t="s">
        <v>40</v>
      </c>
      <c r="B324" s="3" t="s">
        <v>39</v>
      </c>
      <c r="C324" s="4">
        <v>46204</v>
      </c>
      <c r="D324" s="3" t="s">
        <v>107</v>
      </c>
      <c r="E324" s="3" t="s">
        <v>105</v>
      </c>
      <c r="F324" s="7">
        <v>2871</v>
      </c>
      <c r="G324" s="3" t="s">
        <v>108</v>
      </c>
      <c r="H324" s="3" t="s">
        <v>45</v>
      </c>
    </row>
    <row r="325" spans="1:8" ht="21" customHeight="1">
      <c r="A325" s="3" t="s">
        <v>40</v>
      </c>
      <c r="B325" s="3" t="s">
        <v>39</v>
      </c>
      <c r="C325" s="4">
        <v>46204</v>
      </c>
      <c r="D325" s="3" t="s">
        <v>107</v>
      </c>
      <c r="E325" s="3" t="s">
        <v>99</v>
      </c>
      <c r="F325" s="7">
        <v>2574160</v>
      </c>
      <c r="G325" s="3" t="s">
        <v>108</v>
      </c>
      <c r="H325" s="3" t="s">
        <v>45</v>
      </c>
    </row>
    <row r="326" spans="1:8" ht="21" customHeight="1">
      <c r="A326" s="3" t="s">
        <v>40</v>
      </c>
      <c r="B326" s="3" t="s">
        <v>39</v>
      </c>
      <c r="C326" s="4">
        <v>46204</v>
      </c>
      <c r="D326" s="3" t="s">
        <v>107</v>
      </c>
      <c r="E326" s="3" t="s">
        <v>104</v>
      </c>
      <c r="F326" s="7">
        <v>3009497</v>
      </c>
      <c r="G326" s="3" t="s">
        <v>108</v>
      </c>
      <c r="H326" s="3" t="s">
        <v>45</v>
      </c>
    </row>
    <row r="327" spans="1:8" ht="21" customHeight="1">
      <c r="A327" s="3" t="s">
        <v>40</v>
      </c>
      <c r="B327" s="3" t="s">
        <v>39</v>
      </c>
      <c r="C327" s="4">
        <v>46204</v>
      </c>
      <c r="D327" s="3" t="s">
        <v>107</v>
      </c>
      <c r="E327" s="3" t="s">
        <v>103</v>
      </c>
      <c r="F327" s="7">
        <v>815519</v>
      </c>
      <c r="G327" s="3" t="s">
        <v>108</v>
      </c>
      <c r="H327" s="3" t="s">
        <v>45</v>
      </c>
    </row>
    <row r="328" spans="1:8" ht="21" customHeight="1">
      <c r="A328" s="3" t="s">
        <v>40</v>
      </c>
      <c r="B328" s="3" t="s">
        <v>39</v>
      </c>
      <c r="C328" s="4">
        <v>46204</v>
      </c>
      <c r="D328" s="3" t="s">
        <v>107</v>
      </c>
      <c r="E328" s="3" t="s">
        <v>100</v>
      </c>
      <c r="F328" s="7">
        <v>44902</v>
      </c>
      <c r="G328" s="3" t="s">
        <v>108</v>
      </c>
      <c r="H328" s="3" t="s">
        <v>45</v>
      </c>
    </row>
    <row r="329" spans="1:8" ht="21" customHeight="1">
      <c r="A329" s="3" t="s">
        <v>40</v>
      </c>
      <c r="B329" s="3" t="s">
        <v>39</v>
      </c>
      <c r="C329" s="4">
        <v>46204</v>
      </c>
      <c r="D329" s="3" t="s">
        <v>107</v>
      </c>
      <c r="E329" s="3" t="s">
        <v>102</v>
      </c>
      <c r="F329" s="7">
        <v>4096471</v>
      </c>
      <c r="G329" s="3" t="s">
        <v>108</v>
      </c>
      <c r="H329" s="3" t="s">
        <v>45</v>
      </c>
    </row>
    <row r="330" spans="1:8" ht="21" customHeight="1">
      <c r="A330" s="3" t="s">
        <v>40</v>
      </c>
      <c r="B330" s="3" t="s">
        <v>39</v>
      </c>
      <c r="C330" s="4">
        <v>46235</v>
      </c>
      <c r="D330" s="3" t="s">
        <v>107</v>
      </c>
      <c r="E330" s="3" t="s">
        <v>101</v>
      </c>
      <c r="F330" s="7">
        <v>628399</v>
      </c>
      <c r="G330" s="3" t="s">
        <v>108</v>
      </c>
      <c r="H330" s="3" t="s">
        <v>45</v>
      </c>
    </row>
    <row r="331" spans="1:8" ht="21" customHeight="1">
      <c r="A331" s="3" t="s">
        <v>40</v>
      </c>
      <c r="B331" s="3" t="s">
        <v>39</v>
      </c>
      <c r="C331" s="4">
        <v>46235</v>
      </c>
      <c r="D331" s="3" t="s">
        <v>107</v>
      </c>
      <c r="E331" s="3" t="s">
        <v>105</v>
      </c>
      <c r="F331" s="7">
        <v>3294</v>
      </c>
      <c r="G331" s="3" t="s">
        <v>108</v>
      </c>
      <c r="H331" s="3" t="s">
        <v>45</v>
      </c>
    </row>
    <row r="332" spans="1:8" ht="21" customHeight="1">
      <c r="A332" s="3" t="s">
        <v>40</v>
      </c>
      <c r="B332" s="3" t="s">
        <v>39</v>
      </c>
      <c r="C332" s="4">
        <v>46235</v>
      </c>
      <c r="D332" s="3" t="s">
        <v>107</v>
      </c>
      <c r="E332" s="3" t="s">
        <v>99</v>
      </c>
      <c r="F332" s="7">
        <v>2795692</v>
      </c>
      <c r="G332" s="3" t="s">
        <v>108</v>
      </c>
      <c r="H332" s="3" t="s">
        <v>45</v>
      </c>
    </row>
    <row r="333" spans="1:8" ht="21" customHeight="1">
      <c r="A333" s="3" t="s">
        <v>40</v>
      </c>
      <c r="B333" s="3" t="s">
        <v>39</v>
      </c>
      <c r="C333" s="4">
        <v>46235</v>
      </c>
      <c r="D333" s="3" t="s">
        <v>107</v>
      </c>
      <c r="E333" s="3" t="s">
        <v>104</v>
      </c>
      <c r="F333" s="7">
        <v>4044957</v>
      </c>
      <c r="G333" s="3" t="s">
        <v>108</v>
      </c>
      <c r="H333" s="3" t="s">
        <v>45</v>
      </c>
    </row>
    <row r="334" spans="1:8" ht="21" customHeight="1">
      <c r="A334" s="3" t="s">
        <v>40</v>
      </c>
      <c r="B334" s="3" t="s">
        <v>39</v>
      </c>
      <c r="C334" s="4">
        <v>46235</v>
      </c>
      <c r="D334" s="3" t="s">
        <v>107</v>
      </c>
      <c r="E334" s="3" t="s">
        <v>103</v>
      </c>
      <c r="F334" s="7">
        <v>1027769</v>
      </c>
      <c r="G334" s="3" t="s">
        <v>108</v>
      </c>
      <c r="H334" s="3" t="s">
        <v>45</v>
      </c>
    </row>
    <row r="335" spans="1:8" ht="21" customHeight="1">
      <c r="A335" s="3" t="s">
        <v>40</v>
      </c>
      <c r="B335" s="3" t="s">
        <v>39</v>
      </c>
      <c r="C335" s="4">
        <v>46235</v>
      </c>
      <c r="D335" s="3" t="s">
        <v>107</v>
      </c>
      <c r="E335" s="3" t="s">
        <v>100</v>
      </c>
      <c r="F335" s="7">
        <v>87018</v>
      </c>
      <c r="G335" s="3" t="s">
        <v>108</v>
      </c>
      <c r="H335" s="3" t="s">
        <v>45</v>
      </c>
    </row>
    <row r="336" spans="1:8" ht="21" customHeight="1">
      <c r="A336" s="3" t="s">
        <v>40</v>
      </c>
      <c r="B336" s="3" t="s">
        <v>39</v>
      </c>
      <c r="C336" s="4">
        <v>46235</v>
      </c>
      <c r="D336" s="3" t="s">
        <v>107</v>
      </c>
      <c r="E336" s="3" t="s">
        <v>102</v>
      </c>
      <c r="F336" s="7">
        <v>5532928</v>
      </c>
      <c r="G336" s="3" t="s">
        <v>108</v>
      </c>
      <c r="H336" s="3" t="s">
        <v>45</v>
      </c>
    </row>
    <row r="337" spans="1:8" ht="21" customHeight="1">
      <c r="A337" s="3" t="s">
        <v>40</v>
      </c>
      <c r="B337" s="3" t="s">
        <v>39</v>
      </c>
      <c r="C337" s="4">
        <v>45992</v>
      </c>
      <c r="D337" s="3" t="s">
        <v>107</v>
      </c>
      <c r="E337" s="3" t="s">
        <v>103</v>
      </c>
      <c r="F337" s="7">
        <v>130649</v>
      </c>
      <c r="G337" s="3" t="s">
        <v>108</v>
      </c>
      <c r="H337" s="3" t="s">
        <v>45</v>
      </c>
    </row>
    <row r="338" spans="1:8" ht="21" customHeight="1">
      <c r="A338" s="3" t="s">
        <v>40</v>
      </c>
      <c r="B338" s="3" t="s">
        <v>39</v>
      </c>
      <c r="C338" s="4">
        <v>46023</v>
      </c>
      <c r="D338" s="3" t="s">
        <v>107</v>
      </c>
      <c r="E338" s="3" t="s">
        <v>102</v>
      </c>
      <c r="F338" s="7">
        <v>2056719</v>
      </c>
      <c r="G338" s="3" t="s">
        <v>108</v>
      </c>
      <c r="H338" s="3" t="s">
        <v>45</v>
      </c>
    </row>
    <row r="339" spans="1:8" ht="21" customHeight="1">
      <c r="A339" s="3" t="s">
        <v>40</v>
      </c>
      <c r="B339" s="3" t="s">
        <v>39</v>
      </c>
      <c r="C339" s="4">
        <v>46023</v>
      </c>
      <c r="D339" s="3" t="s">
        <v>107</v>
      </c>
      <c r="E339" s="3" t="s">
        <v>100</v>
      </c>
      <c r="F339" s="7">
        <v>49398</v>
      </c>
      <c r="G339" s="3" t="s">
        <v>108</v>
      </c>
      <c r="H339" s="3" t="s">
        <v>45</v>
      </c>
    </row>
    <row r="340" spans="1:8" ht="21" customHeight="1">
      <c r="A340" s="3" t="s">
        <v>40</v>
      </c>
      <c r="B340" s="3" t="s">
        <v>39</v>
      </c>
      <c r="C340" s="4">
        <v>46023</v>
      </c>
      <c r="D340" s="3" t="s">
        <v>107</v>
      </c>
      <c r="E340" s="3" t="s">
        <v>103</v>
      </c>
      <c r="F340" s="7">
        <v>99824</v>
      </c>
      <c r="G340" s="3" t="s">
        <v>108</v>
      </c>
      <c r="H340" s="3" t="s">
        <v>45</v>
      </c>
    </row>
    <row r="341" spans="1:8" ht="21" customHeight="1">
      <c r="A341" s="3" t="s">
        <v>40</v>
      </c>
      <c r="B341" s="3" t="s">
        <v>39</v>
      </c>
      <c r="C341" s="4">
        <v>46023</v>
      </c>
      <c r="D341" s="3" t="s">
        <v>107</v>
      </c>
      <c r="E341" s="3" t="s">
        <v>104</v>
      </c>
      <c r="F341" s="7">
        <v>1448871</v>
      </c>
      <c r="G341" s="3" t="s">
        <v>108</v>
      </c>
      <c r="H341" s="3" t="s">
        <v>45</v>
      </c>
    </row>
    <row r="342" spans="1:8" ht="21" customHeight="1">
      <c r="A342" s="3" t="s">
        <v>40</v>
      </c>
      <c r="B342" s="3" t="s">
        <v>39</v>
      </c>
      <c r="C342" s="4">
        <v>46023</v>
      </c>
      <c r="D342" s="3" t="s">
        <v>107</v>
      </c>
      <c r="E342" s="3" t="s">
        <v>99</v>
      </c>
      <c r="F342" s="7">
        <v>2206627</v>
      </c>
      <c r="G342" s="3" t="s">
        <v>108</v>
      </c>
      <c r="H342" s="3" t="s">
        <v>45</v>
      </c>
    </row>
    <row r="343" spans="1:8" ht="21" customHeight="1">
      <c r="A343" s="3" t="s">
        <v>40</v>
      </c>
      <c r="B343" s="3" t="s">
        <v>39</v>
      </c>
      <c r="C343" s="4">
        <v>46023</v>
      </c>
      <c r="D343" s="3" t="s">
        <v>107</v>
      </c>
      <c r="E343" s="3" t="s">
        <v>105</v>
      </c>
      <c r="F343" s="7">
        <v>139</v>
      </c>
      <c r="G343" s="3" t="s">
        <v>108</v>
      </c>
      <c r="H343" s="3" t="s">
        <v>45</v>
      </c>
    </row>
    <row r="344" spans="1:8" ht="21" customHeight="1">
      <c r="A344" s="3" t="s">
        <v>40</v>
      </c>
      <c r="B344" s="3" t="s">
        <v>39</v>
      </c>
      <c r="C344" s="4">
        <v>46023</v>
      </c>
      <c r="D344" s="3" t="s">
        <v>107</v>
      </c>
      <c r="E344" s="3" t="s">
        <v>101</v>
      </c>
      <c r="F344" s="7">
        <v>127767</v>
      </c>
      <c r="G344" s="3" t="s">
        <v>108</v>
      </c>
      <c r="H344" s="3" t="s">
        <v>45</v>
      </c>
    </row>
    <row r="345" spans="1:8" ht="21" customHeight="1">
      <c r="A345" s="3" t="s">
        <v>40</v>
      </c>
      <c r="B345" s="3" t="s">
        <v>39</v>
      </c>
      <c r="C345" s="4">
        <v>45992</v>
      </c>
      <c r="D345" s="3" t="s">
        <v>107</v>
      </c>
      <c r="E345" s="3" t="s">
        <v>102</v>
      </c>
      <c r="F345" s="7">
        <v>2063613</v>
      </c>
      <c r="G345" s="3" t="s">
        <v>108</v>
      </c>
      <c r="H345" s="3" t="s">
        <v>45</v>
      </c>
    </row>
    <row r="346" spans="1:8" ht="21" customHeight="1">
      <c r="A346" s="3" t="s">
        <v>40</v>
      </c>
      <c r="B346" s="3" t="s">
        <v>39</v>
      </c>
      <c r="C346" s="4">
        <v>45992</v>
      </c>
      <c r="D346" s="3" t="s">
        <v>107</v>
      </c>
      <c r="E346" s="3" t="s">
        <v>100</v>
      </c>
      <c r="F346" s="7">
        <v>43471</v>
      </c>
      <c r="G346" s="3" t="s">
        <v>108</v>
      </c>
      <c r="H346" s="3" t="s">
        <v>45</v>
      </c>
    </row>
    <row r="347" spans="1:8" ht="21" customHeight="1">
      <c r="A347" s="3" t="s">
        <v>40</v>
      </c>
      <c r="B347" s="3" t="s">
        <v>39</v>
      </c>
      <c r="C347" s="4">
        <v>46054</v>
      </c>
      <c r="D347" s="3" t="s">
        <v>107</v>
      </c>
      <c r="E347" s="3" t="s">
        <v>101</v>
      </c>
      <c r="F347" s="7">
        <v>163108</v>
      </c>
      <c r="G347" s="3" t="s">
        <v>108</v>
      </c>
      <c r="H347" s="3" t="s">
        <v>45</v>
      </c>
    </row>
    <row r="348" spans="1:8" ht="21" customHeight="1">
      <c r="A348" s="3" t="s">
        <v>40</v>
      </c>
      <c r="B348" s="3" t="s">
        <v>39</v>
      </c>
      <c r="C348" s="4">
        <v>45992</v>
      </c>
      <c r="D348" s="3" t="s">
        <v>107</v>
      </c>
      <c r="E348" s="3" t="s">
        <v>104</v>
      </c>
      <c r="F348" s="7">
        <v>1488328</v>
      </c>
      <c r="G348" s="3" t="s">
        <v>108</v>
      </c>
      <c r="H348" s="3" t="s">
        <v>45</v>
      </c>
    </row>
    <row r="349" spans="1:8" ht="21" customHeight="1">
      <c r="A349" s="3" t="s">
        <v>40</v>
      </c>
      <c r="B349" s="3" t="s">
        <v>39</v>
      </c>
      <c r="C349" s="4">
        <v>45992</v>
      </c>
      <c r="D349" s="3" t="s">
        <v>107</v>
      </c>
      <c r="E349" s="3" t="s">
        <v>99</v>
      </c>
      <c r="F349" s="7">
        <v>2680440</v>
      </c>
      <c r="G349" s="3" t="s">
        <v>108</v>
      </c>
      <c r="H349" s="3" t="s">
        <v>45</v>
      </c>
    </row>
    <row r="350" spans="1:8" ht="21" customHeight="1">
      <c r="A350" s="3" t="s">
        <v>40</v>
      </c>
      <c r="B350" s="3" t="s">
        <v>39</v>
      </c>
      <c r="C350" s="4">
        <v>45992</v>
      </c>
      <c r="D350" s="3" t="s">
        <v>107</v>
      </c>
      <c r="E350" s="3" t="s">
        <v>105</v>
      </c>
      <c r="F350" s="7">
        <v>553</v>
      </c>
      <c r="G350" s="3" t="s">
        <v>108</v>
      </c>
      <c r="H350" s="3" t="s">
        <v>45</v>
      </c>
    </row>
    <row r="351" spans="1:8" ht="21" customHeight="1">
      <c r="A351" s="3" t="s">
        <v>40</v>
      </c>
      <c r="B351" s="3" t="s">
        <v>39</v>
      </c>
      <c r="C351" s="4">
        <v>45992</v>
      </c>
      <c r="D351" s="3" t="s">
        <v>107</v>
      </c>
      <c r="E351" s="3" t="s">
        <v>101</v>
      </c>
      <c r="F351" s="7">
        <v>201246</v>
      </c>
      <c r="G351" s="3" t="s">
        <v>108</v>
      </c>
      <c r="H351" s="3" t="s">
        <v>45</v>
      </c>
    </row>
    <row r="352" spans="1:8" ht="21" customHeight="1">
      <c r="A352" s="3" t="s">
        <v>40</v>
      </c>
      <c r="B352" s="3" t="s">
        <v>39</v>
      </c>
      <c r="C352" s="4">
        <v>45962</v>
      </c>
      <c r="D352" s="3" t="s">
        <v>107</v>
      </c>
      <c r="E352" s="3" t="s">
        <v>102</v>
      </c>
      <c r="F352" s="7">
        <v>2715516</v>
      </c>
      <c r="G352" s="3" t="s">
        <v>108</v>
      </c>
      <c r="H352" s="3" t="s">
        <v>45</v>
      </c>
    </row>
    <row r="353" spans="1:8" ht="21" customHeight="1">
      <c r="A353" s="3" t="s">
        <v>40</v>
      </c>
      <c r="B353" s="3" t="s">
        <v>39</v>
      </c>
      <c r="C353" s="4">
        <v>45962</v>
      </c>
      <c r="D353" s="3" t="s">
        <v>107</v>
      </c>
      <c r="E353" s="3" t="s">
        <v>100</v>
      </c>
      <c r="F353" s="7">
        <v>37737</v>
      </c>
      <c r="G353" s="3" t="s">
        <v>108</v>
      </c>
      <c r="H353" s="3" t="s">
        <v>45</v>
      </c>
    </row>
    <row r="354" spans="1:8" ht="21" customHeight="1">
      <c r="A354" s="3" t="s">
        <v>40</v>
      </c>
      <c r="B354" s="3" t="s">
        <v>39</v>
      </c>
      <c r="C354" s="4">
        <v>45962</v>
      </c>
      <c r="D354" s="3" t="s">
        <v>107</v>
      </c>
      <c r="E354" s="3" t="s">
        <v>103</v>
      </c>
      <c r="F354" s="7">
        <v>568956</v>
      </c>
      <c r="G354" s="3" t="s">
        <v>108</v>
      </c>
      <c r="H354" s="3" t="s">
        <v>45</v>
      </c>
    </row>
    <row r="355" spans="1:8" ht="21" customHeight="1">
      <c r="A355" s="3" t="s">
        <v>40</v>
      </c>
      <c r="B355" s="3" t="s">
        <v>39</v>
      </c>
      <c r="C355" s="4">
        <v>45962</v>
      </c>
      <c r="D355" s="3" t="s">
        <v>107</v>
      </c>
      <c r="E355" s="3" t="s">
        <v>104</v>
      </c>
      <c r="F355" s="7">
        <v>1967718</v>
      </c>
      <c r="G355" s="3" t="s">
        <v>108</v>
      </c>
      <c r="H355" s="3" t="s">
        <v>45</v>
      </c>
    </row>
    <row r="356" spans="1:8" ht="21" customHeight="1">
      <c r="A356" s="3" t="s">
        <v>40</v>
      </c>
      <c r="B356" s="3" t="s">
        <v>39</v>
      </c>
      <c r="C356" s="4">
        <v>45962</v>
      </c>
      <c r="D356" s="3" t="s">
        <v>107</v>
      </c>
      <c r="E356" s="3" t="s">
        <v>99</v>
      </c>
      <c r="F356" s="7">
        <v>2322665</v>
      </c>
      <c r="G356" s="3" t="s">
        <v>108</v>
      </c>
      <c r="H356" s="3" t="s">
        <v>45</v>
      </c>
    </row>
    <row r="357" spans="1:8" ht="21" customHeight="1">
      <c r="A357" s="3" t="s">
        <v>40</v>
      </c>
      <c r="B357" s="3" t="s">
        <v>39</v>
      </c>
      <c r="C357" s="4">
        <v>46082</v>
      </c>
      <c r="D357" s="3" t="s">
        <v>107</v>
      </c>
      <c r="E357" s="3" t="s">
        <v>99</v>
      </c>
      <c r="F357" s="7">
        <v>2381257</v>
      </c>
      <c r="G357" s="3" t="s">
        <v>108</v>
      </c>
      <c r="H357" s="3" t="s">
        <v>45</v>
      </c>
    </row>
    <row r="358" spans="1:8" ht="21" customHeight="1">
      <c r="A358" s="3" t="s">
        <v>40</v>
      </c>
      <c r="B358" s="3" t="s">
        <v>39</v>
      </c>
      <c r="C358" s="4">
        <v>46113</v>
      </c>
      <c r="D358" s="3" t="s">
        <v>107</v>
      </c>
      <c r="E358" s="3" t="s">
        <v>103</v>
      </c>
      <c r="F358" s="7">
        <v>612672</v>
      </c>
      <c r="G358" s="3" t="s">
        <v>108</v>
      </c>
      <c r="H358" s="3" t="s">
        <v>45</v>
      </c>
    </row>
    <row r="359" spans="1:8" ht="21" customHeight="1">
      <c r="A359" s="3" t="s">
        <v>40</v>
      </c>
      <c r="B359" s="3" t="s">
        <v>39</v>
      </c>
      <c r="C359" s="4">
        <v>46113</v>
      </c>
      <c r="D359" s="3" t="s">
        <v>107</v>
      </c>
      <c r="E359" s="3" t="s">
        <v>104</v>
      </c>
      <c r="F359" s="7">
        <v>2231050</v>
      </c>
      <c r="G359" s="3" t="s">
        <v>108</v>
      </c>
      <c r="H359" s="3" t="s">
        <v>45</v>
      </c>
    </row>
    <row r="360" spans="1:8" ht="21" customHeight="1">
      <c r="A360" s="3" t="s">
        <v>40</v>
      </c>
      <c r="B360" s="3" t="s">
        <v>39</v>
      </c>
      <c r="C360" s="4">
        <v>46113</v>
      </c>
      <c r="D360" s="3" t="s">
        <v>107</v>
      </c>
      <c r="E360" s="3" t="s">
        <v>99</v>
      </c>
      <c r="F360" s="7">
        <v>2602805</v>
      </c>
      <c r="G360" s="3" t="s">
        <v>108</v>
      </c>
      <c r="H360" s="3" t="s">
        <v>45</v>
      </c>
    </row>
    <row r="361" spans="1:8" ht="21" customHeight="1">
      <c r="A361" s="3" t="s">
        <v>40</v>
      </c>
      <c r="B361" s="3" t="s">
        <v>39</v>
      </c>
      <c r="C361" s="4">
        <v>46113</v>
      </c>
      <c r="D361" s="3" t="s">
        <v>107</v>
      </c>
      <c r="E361" s="3" t="s">
        <v>105</v>
      </c>
      <c r="F361" s="7">
        <v>597</v>
      </c>
      <c r="G361" s="3" t="s">
        <v>108</v>
      </c>
      <c r="H361" s="3" t="s">
        <v>45</v>
      </c>
    </row>
    <row r="362" spans="1:8" ht="21" customHeight="1">
      <c r="A362" s="3" t="s">
        <v>40</v>
      </c>
      <c r="B362" s="3" t="s">
        <v>39</v>
      </c>
      <c r="C362" s="4">
        <v>46113</v>
      </c>
      <c r="D362" s="3" t="s">
        <v>107</v>
      </c>
      <c r="E362" s="3" t="s">
        <v>101</v>
      </c>
      <c r="F362" s="7">
        <v>303038</v>
      </c>
      <c r="G362" s="3" t="s">
        <v>108</v>
      </c>
      <c r="H362" s="3" t="s">
        <v>45</v>
      </c>
    </row>
    <row r="363" spans="1:8" ht="21" customHeight="1">
      <c r="A363" s="3" t="s">
        <v>40</v>
      </c>
      <c r="B363" s="3" t="s">
        <v>39</v>
      </c>
      <c r="C363" s="4">
        <v>46082</v>
      </c>
      <c r="D363" s="3" t="s">
        <v>107</v>
      </c>
      <c r="E363" s="3" t="s">
        <v>102</v>
      </c>
      <c r="F363" s="7">
        <v>3113105</v>
      </c>
      <c r="G363" s="3" t="s">
        <v>108</v>
      </c>
      <c r="H363" s="3" t="s">
        <v>45</v>
      </c>
    </row>
    <row r="364" spans="1:8" ht="21" customHeight="1">
      <c r="A364" s="3" t="s">
        <v>40</v>
      </c>
      <c r="B364" s="3" t="s">
        <v>39</v>
      </c>
      <c r="C364" s="4">
        <v>46082</v>
      </c>
      <c r="D364" s="3" t="s">
        <v>107</v>
      </c>
      <c r="E364" s="3" t="s">
        <v>100</v>
      </c>
      <c r="F364" s="7">
        <v>57288</v>
      </c>
      <c r="G364" s="3" t="s">
        <v>108</v>
      </c>
      <c r="H364" s="3" t="s">
        <v>45</v>
      </c>
    </row>
    <row r="365" spans="1:8" ht="21" customHeight="1">
      <c r="A365" s="3" t="s">
        <v>40</v>
      </c>
      <c r="B365" s="3" t="s">
        <v>39</v>
      </c>
      <c r="C365" s="4">
        <v>46082</v>
      </c>
      <c r="D365" s="3" t="s">
        <v>107</v>
      </c>
      <c r="E365" s="3" t="s">
        <v>103</v>
      </c>
      <c r="F365" s="7">
        <v>350312</v>
      </c>
      <c r="G365" s="3" t="s">
        <v>108</v>
      </c>
      <c r="H365" s="3" t="s">
        <v>45</v>
      </c>
    </row>
    <row r="366" spans="1:8" ht="21" customHeight="1">
      <c r="A366" s="3" t="s">
        <v>40</v>
      </c>
      <c r="B366" s="3" t="s">
        <v>39</v>
      </c>
      <c r="C366" s="4">
        <v>46082</v>
      </c>
      <c r="D366" s="3" t="s">
        <v>107</v>
      </c>
      <c r="E366" s="3" t="s">
        <v>104</v>
      </c>
      <c r="F366" s="7">
        <v>1834155</v>
      </c>
      <c r="G366" s="3" t="s">
        <v>108</v>
      </c>
      <c r="H366" s="3" t="s">
        <v>45</v>
      </c>
    </row>
    <row r="367" spans="1:8" ht="21" customHeight="1">
      <c r="A367" s="3" t="s">
        <v>40</v>
      </c>
      <c r="B367" s="3" t="s">
        <v>39</v>
      </c>
      <c r="C367" s="4">
        <v>45962</v>
      </c>
      <c r="D367" s="3" t="s">
        <v>107</v>
      </c>
      <c r="E367" s="3" t="s">
        <v>101</v>
      </c>
      <c r="F367" s="7">
        <v>296025</v>
      </c>
      <c r="G367" s="3" t="s">
        <v>108</v>
      </c>
      <c r="H367" s="3" t="s">
        <v>45</v>
      </c>
    </row>
    <row r="368" spans="1:8" ht="21" customHeight="1">
      <c r="A368" s="3" t="s">
        <v>40</v>
      </c>
      <c r="B368" s="3" t="s">
        <v>39</v>
      </c>
      <c r="C368" s="4">
        <v>46082</v>
      </c>
      <c r="D368" s="3" t="s">
        <v>107</v>
      </c>
      <c r="E368" s="3" t="s">
        <v>105</v>
      </c>
      <c r="F368" s="7">
        <v>779</v>
      </c>
      <c r="G368" s="3" t="s">
        <v>108</v>
      </c>
      <c r="H368" s="3" t="s">
        <v>45</v>
      </c>
    </row>
    <row r="369" spans="1:8" ht="21" customHeight="1">
      <c r="A369" s="3" t="s">
        <v>40</v>
      </c>
      <c r="B369" s="3" t="s">
        <v>39</v>
      </c>
      <c r="C369" s="4">
        <v>46082</v>
      </c>
      <c r="D369" s="3" t="s">
        <v>107</v>
      </c>
      <c r="E369" s="3" t="s">
        <v>101</v>
      </c>
      <c r="F369" s="7">
        <v>213440</v>
      </c>
      <c r="G369" s="3" t="s">
        <v>108</v>
      </c>
      <c r="H369" s="3" t="s">
        <v>45</v>
      </c>
    </row>
    <row r="370" spans="1:8" ht="21" customHeight="1">
      <c r="A370" s="3" t="s">
        <v>40</v>
      </c>
      <c r="B370" s="3" t="s">
        <v>39</v>
      </c>
      <c r="C370" s="4">
        <v>46054</v>
      </c>
      <c r="D370" s="3" t="s">
        <v>107</v>
      </c>
      <c r="E370" s="3" t="s">
        <v>102</v>
      </c>
      <c r="F370" s="7">
        <v>2736972</v>
      </c>
      <c r="G370" s="3" t="s">
        <v>108</v>
      </c>
      <c r="H370" s="3" t="s">
        <v>45</v>
      </c>
    </row>
    <row r="371" spans="1:8" ht="21" customHeight="1">
      <c r="A371" s="3" t="s">
        <v>40</v>
      </c>
      <c r="B371" s="3" t="s">
        <v>39</v>
      </c>
      <c r="C371" s="4">
        <v>46054</v>
      </c>
      <c r="D371" s="3" t="s">
        <v>107</v>
      </c>
      <c r="E371" s="3" t="s">
        <v>100</v>
      </c>
      <c r="F371" s="7">
        <v>62250</v>
      </c>
      <c r="G371" s="3" t="s">
        <v>108</v>
      </c>
      <c r="H371" s="3" t="s">
        <v>45</v>
      </c>
    </row>
    <row r="372" spans="1:8" ht="21" customHeight="1">
      <c r="A372" s="3" t="s">
        <v>40</v>
      </c>
      <c r="B372" s="3" t="s">
        <v>39</v>
      </c>
      <c r="C372" s="4">
        <v>46054</v>
      </c>
      <c r="D372" s="3" t="s">
        <v>107</v>
      </c>
      <c r="E372" s="3" t="s">
        <v>103</v>
      </c>
      <c r="F372" s="7">
        <v>197386</v>
      </c>
      <c r="G372" s="3" t="s">
        <v>108</v>
      </c>
      <c r="H372" s="3" t="s">
        <v>45</v>
      </c>
    </row>
    <row r="373" spans="1:8" ht="21" customHeight="1">
      <c r="A373" s="3" t="s">
        <v>40</v>
      </c>
      <c r="B373" s="3" t="s">
        <v>39</v>
      </c>
      <c r="C373" s="4">
        <v>46054</v>
      </c>
      <c r="D373" s="3" t="s">
        <v>107</v>
      </c>
      <c r="E373" s="3" t="s">
        <v>104</v>
      </c>
      <c r="F373" s="7">
        <v>1925778</v>
      </c>
      <c r="G373" s="3" t="s">
        <v>108</v>
      </c>
      <c r="H373" s="3" t="s">
        <v>45</v>
      </c>
    </row>
    <row r="374" spans="1:8" ht="21" customHeight="1">
      <c r="A374" s="3" t="s">
        <v>40</v>
      </c>
      <c r="B374" s="3" t="s">
        <v>39</v>
      </c>
      <c r="C374" s="4">
        <v>46054</v>
      </c>
      <c r="D374" s="3" t="s">
        <v>107</v>
      </c>
      <c r="E374" s="3" t="s">
        <v>99</v>
      </c>
      <c r="F374" s="7">
        <v>1864748</v>
      </c>
      <c r="G374" s="3" t="s">
        <v>108</v>
      </c>
      <c r="H374" s="3" t="s">
        <v>45</v>
      </c>
    </row>
    <row r="375" spans="1:8" ht="21" customHeight="1">
      <c r="A375" s="3" t="s">
        <v>40</v>
      </c>
      <c r="B375" s="3" t="s">
        <v>39</v>
      </c>
      <c r="C375" s="4">
        <v>46054</v>
      </c>
      <c r="D375" s="3" t="s">
        <v>107</v>
      </c>
      <c r="E375" s="3" t="s">
        <v>105</v>
      </c>
      <c r="F375" s="7">
        <v>490</v>
      </c>
      <c r="G375" s="3" t="s">
        <v>108</v>
      </c>
      <c r="H375" s="3" t="s">
        <v>45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4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2" customWidth="1"/>
    <col min="2" max="7" width="13" style="2" customWidth="1"/>
    <col min="8" max="8" width="60" style="2" customWidth="1"/>
    <col min="9" max="9" width="15" style="2" customWidth="1"/>
    <col min="10" max="16384" width="9" style="2"/>
  </cols>
  <sheetData>
    <row r="1" spans="1:9" ht="36" customHeight="1">
      <c r="A1" s="1" t="s">
        <v>2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95</v>
      </c>
      <c r="I1" s="1" t="s">
        <v>34</v>
      </c>
    </row>
    <row r="2" spans="1:9" ht="48" customHeight="1">
      <c r="A2" s="3" t="s">
        <v>66</v>
      </c>
      <c r="B2" s="3" t="s">
        <v>65</v>
      </c>
      <c r="C2" s="4">
        <v>46023</v>
      </c>
      <c r="D2" s="4">
        <v>46053</v>
      </c>
      <c r="E2" s="3" t="s">
        <v>114</v>
      </c>
      <c r="F2" s="7">
        <v>51440</v>
      </c>
      <c r="G2" s="5">
        <v>3.5000000000000003E-2</v>
      </c>
      <c r="H2" s="6" t="s">
        <v>67</v>
      </c>
      <c r="I2" s="3" t="s">
        <v>45</v>
      </c>
    </row>
    <row r="3" spans="1:9" ht="48" customHeight="1">
      <c r="A3" s="3" t="s">
        <v>66</v>
      </c>
      <c r="B3" s="3" t="s">
        <v>65</v>
      </c>
      <c r="C3" s="4">
        <v>46023</v>
      </c>
      <c r="D3" s="4">
        <v>46053</v>
      </c>
      <c r="E3" s="3" t="s">
        <v>115</v>
      </c>
      <c r="F3" s="7">
        <v>47355</v>
      </c>
      <c r="G3" s="5">
        <v>3.2000000000000001E-2</v>
      </c>
      <c r="H3" s="6" t="s">
        <v>67</v>
      </c>
      <c r="I3" s="3" t="s">
        <v>45</v>
      </c>
    </row>
    <row r="4" spans="1:9" ht="48" customHeight="1">
      <c r="A4" s="3" t="s">
        <v>66</v>
      </c>
      <c r="B4" s="3" t="s">
        <v>65</v>
      </c>
      <c r="C4" s="4">
        <v>46023</v>
      </c>
      <c r="D4" s="4">
        <v>46053</v>
      </c>
      <c r="E4" s="3" t="s">
        <v>116</v>
      </c>
      <c r="F4" s="7">
        <v>18834</v>
      </c>
      <c r="G4" s="5">
        <v>1.3000000000000001E-2</v>
      </c>
      <c r="H4" s="6" t="s">
        <v>67</v>
      </c>
      <c r="I4" s="3" t="s">
        <v>45</v>
      </c>
    </row>
    <row r="5" spans="1:9" ht="48" customHeight="1">
      <c r="A5" s="3" t="s">
        <v>66</v>
      </c>
      <c r="B5" s="3" t="s">
        <v>65</v>
      </c>
      <c r="C5" s="4">
        <v>46023</v>
      </c>
      <c r="D5" s="4">
        <v>46053</v>
      </c>
      <c r="E5" s="3" t="s">
        <v>117</v>
      </c>
      <c r="F5" s="7">
        <v>43306</v>
      </c>
      <c r="G5" s="5">
        <v>0.03</v>
      </c>
      <c r="H5" s="6" t="s">
        <v>67</v>
      </c>
      <c r="I5" s="3" t="s">
        <v>45</v>
      </c>
    </row>
    <row r="6" spans="1:9" ht="48" customHeight="1">
      <c r="A6" s="3" t="s">
        <v>66</v>
      </c>
      <c r="B6" s="3" t="s">
        <v>65</v>
      </c>
      <c r="C6" s="4">
        <v>46023</v>
      </c>
      <c r="D6" s="4">
        <v>46053</v>
      </c>
      <c r="E6" s="3" t="s">
        <v>118</v>
      </c>
      <c r="F6" s="7">
        <v>326907</v>
      </c>
      <c r="G6" s="5">
        <v>0.223</v>
      </c>
      <c r="H6" s="6" t="s">
        <v>67</v>
      </c>
      <c r="I6" s="3" t="s">
        <v>45</v>
      </c>
    </row>
    <row r="7" spans="1:9" ht="48" customHeight="1">
      <c r="A7" s="3" t="s">
        <v>66</v>
      </c>
      <c r="B7" s="3" t="s">
        <v>65</v>
      </c>
      <c r="C7" s="4">
        <v>46023</v>
      </c>
      <c r="D7" s="4">
        <v>46053</v>
      </c>
      <c r="E7" s="3" t="s">
        <v>119</v>
      </c>
      <c r="F7" s="7">
        <v>16670</v>
      </c>
      <c r="G7" s="5">
        <v>1.1000000000000001E-2</v>
      </c>
      <c r="H7" s="6" t="s">
        <v>67</v>
      </c>
      <c r="I7" s="3" t="s">
        <v>45</v>
      </c>
    </row>
    <row r="8" spans="1:9" ht="48" customHeight="1">
      <c r="A8" s="3" t="s">
        <v>66</v>
      </c>
      <c r="B8" s="3" t="s">
        <v>65</v>
      </c>
      <c r="C8" s="4">
        <v>46023</v>
      </c>
      <c r="D8" s="4">
        <v>46053</v>
      </c>
      <c r="E8" s="3" t="s">
        <v>120</v>
      </c>
      <c r="F8" s="7">
        <v>311160</v>
      </c>
      <c r="G8" s="5">
        <v>0.21199999999999999</v>
      </c>
      <c r="H8" s="6" t="s">
        <v>67</v>
      </c>
      <c r="I8" s="3" t="s">
        <v>45</v>
      </c>
    </row>
    <row r="9" spans="1:9" ht="48" customHeight="1">
      <c r="A9" s="3" t="s">
        <v>66</v>
      </c>
      <c r="B9" s="3" t="s">
        <v>65</v>
      </c>
      <c r="C9" s="4">
        <v>46023</v>
      </c>
      <c r="D9" s="4">
        <v>46053</v>
      </c>
      <c r="E9" s="3" t="s">
        <v>121</v>
      </c>
      <c r="F9" s="7">
        <v>45038</v>
      </c>
      <c r="G9" s="5">
        <v>3.1E-2</v>
      </c>
      <c r="H9" s="6" t="s">
        <v>67</v>
      </c>
      <c r="I9" s="3" t="s">
        <v>45</v>
      </c>
    </row>
    <row r="10" spans="1:9" ht="48" customHeight="1">
      <c r="A10" s="3" t="s">
        <v>66</v>
      </c>
      <c r="B10" s="3" t="s">
        <v>65</v>
      </c>
      <c r="C10" s="4">
        <v>46023</v>
      </c>
      <c r="D10" s="4">
        <v>46053</v>
      </c>
      <c r="E10" s="3" t="s">
        <v>122</v>
      </c>
      <c r="F10" s="7">
        <v>43684</v>
      </c>
      <c r="G10" s="5">
        <v>0.03</v>
      </c>
      <c r="H10" s="6" t="s">
        <v>67</v>
      </c>
      <c r="I10" s="3" t="s">
        <v>45</v>
      </c>
    </row>
    <row r="11" spans="1:9" ht="48" customHeight="1">
      <c r="A11" s="3" t="s">
        <v>66</v>
      </c>
      <c r="B11" s="3" t="s">
        <v>65</v>
      </c>
      <c r="C11" s="4">
        <v>46023</v>
      </c>
      <c r="D11" s="4">
        <v>46053</v>
      </c>
      <c r="E11" s="3" t="s">
        <v>123</v>
      </c>
      <c r="F11" s="7">
        <v>341187</v>
      </c>
      <c r="G11" s="5">
        <v>0.23300000000000001</v>
      </c>
      <c r="H11" s="6" t="s">
        <v>67</v>
      </c>
      <c r="I11" s="3" t="s">
        <v>45</v>
      </c>
    </row>
    <row r="12" spans="1:9" ht="48" customHeight="1">
      <c r="A12" s="3" t="s">
        <v>66</v>
      </c>
      <c r="B12" s="3" t="s">
        <v>65</v>
      </c>
      <c r="C12" s="4">
        <v>46023</v>
      </c>
      <c r="D12" s="4">
        <v>46053</v>
      </c>
      <c r="E12" s="3" t="s">
        <v>124</v>
      </c>
      <c r="F12" s="7">
        <v>59745</v>
      </c>
      <c r="G12" s="5">
        <v>4.0999999999999995E-2</v>
      </c>
      <c r="H12" s="6" t="s">
        <v>67</v>
      </c>
      <c r="I12" s="3" t="s">
        <v>45</v>
      </c>
    </row>
    <row r="13" spans="1:9" ht="48" customHeight="1">
      <c r="A13" s="3" t="s">
        <v>66</v>
      </c>
      <c r="B13" s="3" t="s">
        <v>65</v>
      </c>
      <c r="C13" s="4">
        <v>46023</v>
      </c>
      <c r="D13" s="4">
        <v>46053</v>
      </c>
      <c r="E13" s="3" t="s">
        <v>125</v>
      </c>
      <c r="F13" s="7">
        <v>161938</v>
      </c>
      <c r="G13" s="5">
        <v>0.11</v>
      </c>
      <c r="H13" s="6" t="s">
        <v>67</v>
      </c>
      <c r="I13" s="3" t="s">
        <v>45</v>
      </c>
    </row>
    <row r="14" spans="1:9" ht="48" customHeight="1">
      <c r="A14" s="3" t="s">
        <v>66</v>
      </c>
      <c r="B14" s="3" t="s">
        <v>65</v>
      </c>
      <c r="C14" s="4">
        <v>46054</v>
      </c>
      <c r="D14" s="4">
        <v>46081</v>
      </c>
      <c r="E14" s="3" t="s">
        <v>114</v>
      </c>
      <c r="F14" s="7">
        <v>76010</v>
      </c>
      <c r="G14" s="5">
        <v>4.2999999999999997E-2</v>
      </c>
      <c r="H14" s="6" t="s">
        <v>69</v>
      </c>
      <c r="I14" s="3" t="s">
        <v>45</v>
      </c>
    </row>
    <row r="15" spans="1:9" ht="48" customHeight="1">
      <c r="A15" s="3" t="s">
        <v>66</v>
      </c>
      <c r="B15" s="3" t="s">
        <v>65</v>
      </c>
      <c r="C15" s="4">
        <v>46054</v>
      </c>
      <c r="D15" s="4">
        <v>46081</v>
      </c>
      <c r="E15" s="3" t="s">
        <v>115</v>
      </c>
      <c r="F15" s="7">
        <v>65194</v>
      </c>
      <c r="G15" s="5">
        <v>3.7000000000000005E-2</v>
      </c>
      <c r="H15" s="6" t="s">
        <v>69</v>
      </c>
      <c r="I15" s="3" t="s">
        <v>45</v>
      </c>
    </row>
    <row r="16" spans="1:9" ht="48" customHeight="1">
      <c r="A16" s="3" t="s">
        <v>66</v>
      </c>
      <c r="B16" s="3" t="s">
        <v>65</v>
      </c>
      <c r="C16" s="4">
        <v>46054</v>
      </c>
      <c r="D16" s="4">
        <v>46081</v>
      </c>
      <c r="E16" s="3" t="s">
        <v>116</v>
      </c>
      <c r="F16" s="7">
        <v>31542</v>
      </c>
      <c r="G16" s="5">
        <v>1.8000000000000002E-2</v>
      </c>
      <c r="H16" s="6" t="s">
        <v>69</v>
      </c>
      <c r="I16" s="3" t="s">
        <v>45</v>
      </c>
    </row>
    <row r="17" spans="1:9" ht="48" customHeight="1">
      <c r="A17" s="3" t="s">
        <v>66</v>
      </c>
      <c r="B17" s="3" t="s">
        <v>65</v>
      </c>
      <c r="C17" s="4">
        <v>46054</v>
      </c>
      <c r="D17" s="4">
        <v>46081</v>
      </c>
      <c r="E17" s="3" t="s">
        <v>117</v>
      </c>
      <c r="F17" s="7">
        <v>54520</v>
      </c>
      <c r="G17" s="5">
        <v>3.1E-2</v>
      </c>
      <c r="H17" s="6" t="s">
        <v>69</v>
      </c>
      <c r="I17" s="3" t="s">
        <v>45</v>
      </c>
    </row>
    <row r="18" spans="1:9" ht="48" customHeight="1">
      <c r="A18" s="3" t="s">
        <v>66</v>
      </c>
      <c r="B18" s="3" t="s">
        <v>65</v>
      </c>
      <c r="C18" s="4">
        <v>46054</v>
      </c>
      <c r="D18" s="4">
        <v>46081</v>
      </c>
      <c r="E18" s="3" t="s">
        <v>118</v>
      </c>
      <c r="F18" s="7">
        <v>365939</v>
      </c>
      <c r="G18" s="5">
        <v>0.20800000000000002</v>
      </c>
      <c r="H18" s="6" t="s">
        <v>69</v>
      </c>
      <c r="I18" s="3" t="s">
        <v>45</v>
      </c>
    </row>
    <row r="19" spans="1:9" ht="48" customHeight="1">
      <c r="A19" s="3" t="s">
        <v>66</v>
      </c>
      <c r="B19" s="3" t="s">
        <v>65</v>
      </c>
      <c r="C19" s="4">
        <v>46054</v>
      </c>
      <c r="D19" s="4">
        <v>46081</v>
      </c>
      <c r="E19" s="3" t="s">
        <v>119</v>
      </c>
      <c r="F19" s="7">
        <v>28483</v>
      </c>
      <c r="G19" s="5">
        <v>1.6E-2</v>
      </c>
      <c r="H19" s="6" t="s">
        <v>69</v>
      </c>
      <c r="I19" s="3" t="s">
        <v>45</v>
      </c>
    </row>
    <row r="20" spans="1:9" ht="48" customHeight="1">
      <c r="A20" s="3" t="s">
        <v>66</v>
      </c>
      <c r="B20" s="3" t="s">
        <v>65</v>
      </c>
      <c r="C20" s="4">
        <v>46054</v>
      </c>
      <c r="D20" s="4">
        <v>46081</v>
      </c>
      <c r="E20" s="3" t="s">
        <v>120</v>
      </c>
      <c r="F20" s="7">
        <v>336805</v>
      </c>
      <c r="G20" s="5">
        <v>0.191</v>
      </c>
      <c r="H20" s="6" t="s">
        <v>69</v>
      </c>
      <c r="I20" s="3" t="s">
        <v>45</v>
      </c>
    </row>
    <row r="21" spans="1:9" ht="48" customHeight="1">
      <c r="A21" s="3" t="s">
        <v>66</v>
      </c>
      <c r="B21" s="3" t="s">
        <v>65</v>
      </c>
      <c r="C21" s="4">
        <v>46054</v>
      </c>
      <c r="D21" s="4">
        <v>46081</v>
      </c>
      <c r="E21" s="3" t="s">
        <v>121</v>
      </c>
      <c r="F21" s="7">
        <v>61796</v>
      </c>
      <c r="G21" s="5">
        <v>3.5000000000000003E-2</v>
      </c>
      <c r="H21" s="6" t="s">
        <v>69</v>
      </c>
      <c r="I21" s="3" t="s">
        <v>45</v>
      </c>
    </row>
    <row r="22" spans="1:9" ht="48" customHeight="1">
      <c r="A22" s="3" t="s">
        <v>66</v>
      </c>
      <c r="B22" s="3" t="s">
        <v>65</v>
      </c>
      <c r="C22" s="4">
        <v>46054</v>
      </c>
      <c r="D22" s="4">
        <v>46081</v>
      </c>
      <c r="E22" s="3" t="s">
        <v>122</v>
      </c>
      <c r="F22" s="7">
        <v>61128</v>
      </c>
      <c r="G22" s="5">
        <v>3.5000000000000003E-2</v>
      </c>
      <c r="H22" s="6" t="s">
        <v>69</v>
      </c>
      <c r="I22" s="3" t="s">
        <v>45</v>
      </c>
    </row>
    <row r="23" spans="1:9" ht="48" customHeight="1">
      <c r="A23" s="3" t="s">
        <v>66</v>
      </c>
      <c r="B23" s="3" t="s">
        <v>65</v>
      </c>
      <c r="C23" s="4">
        <v>46054</v>
      </c>
      <c r="D23" s="4">
        <v>46081</v>
      </c>
      <c r="E23" s="3" t="s">
        <v>123</v>
      </c>
      <c r="F23" s="7">
        <v>384248</v>
      </c>
      <c r="G23" s="5">
        <v>0.218</v>
      </c>
      <c r="H23" s="6" t="s">
        <v>69</v>
      </c>
      <c r="I23" s="3" t="s">
        <v>45</v>
      </c>
    </row>
    <row r="24" spans="1:9" ht="48" customHeight="1">
      <c r="A24" s="3" t="s">
        <v>66</v>
      </c>
      <c r="B24" s="3" t="s">
        <v>65</v>
      </c>
      <c r="C24" s="4">
        <v>46054</v>
      </c>
      <c r="D24" s="4">
        <v>46081</v>
      </c>
      <c r="E24" s="3" t="s">
        <v>124</v>
      </c>
      <c r="F24" s="7">
        <v>63294</v>
      </c>
      <c r="G24" s="5">
        <v>3.6000000000000004E-2</v>
      </c>
      <c r="H24" s="6" t="s">
        <v>69</v>
      </c>
      <c r="I24" s="3" t="s">
        <v>45</v>
      </c>
    </row>
    <row r="25" spans="1:9" ht="48" customHeight="1">
      <c r="A25" s="3" t="s">
        <v>66</v>
      </c>
      <c r="B25" s="3" t="s">
        <v>65</v>
      </c>
      <c r="C25" s="4">
        <v>46054</v>
      </c>
      <c r="D25" s="4">
        <v>46081</v>
      </c>
      <c r="E25" s="3" t="s">
        <v>125</v>
      </c>
      <c r="F25" s="7">
        <v>233622</v>
      </c>
      <c r="G25" s="5">
        <v>0.13300000000000001</v>
      </c>
      <c r="H25" s="6" t="s">
        <v>69</v>
      </c>
      <c r="I25" s="3" t="s">
        <v>45</v>
      </c>
    </row>
    <row r="26" spans="1:9" ht="48" customHeight="1">
      <c r="A26" s="3" t="s">
        <v>66</v>
      </c>
      <c r="B26" s="3" t="s">
        <v>65</v>
      </c>
      <c r="C26" s="4">
        <v>46082</v>
      </c>
      <c r="D26" s="4">
        <v>46112</v>
      </c>
      <c r="E26" s="3" t="s">
        <v>114</v>
      </c>
      <c r="F26" s="7">
        <v>65359</v>
      </c>
      <c r="G26" s="5">
        <v>0.04</v>
      </c>
      <c r="H26" s="6" t="s">
        <v>70</v>
      </c>
      <c r="I26" s="3" t="s">
        <v>45</v>
      </c>
    </row>
    <row r="27" spans="1:9" ht="48" customHeight="1">
      <c r="A27" s="3" t="s">
        <v>66</v>
      </c>
      <c r="B27" s="3" t="s">
        <v>65</v>
      </c>
      <c r="C27" s="4">
        <v>46082</v>
      </c>
      <c r="D27" s="4">
        <v>46112</v>
      </c>
      <c r="E27" s="3" t="s">
        <v>115</v>
      </c>
      <c r="F27" s="7">
        <v>63150</v>
      </c>
      <c r="G27" s="5">
        <v>3.9E-2</v>
      </c>
      <c r="H27" s="6" t="s">
        <v>70</v>
      </c>
      <c r="I27" s="3" t="s">
        <v>45</v>
      </c>
    </row>
    <row r="28" spans="1:9" ht="48" customHeight="1">
      <c r="A28" s="3" t="s">
        <v>66</v>
      </c>
      <c r="B28" s="3" t="s">
        <v>65</v>
      </c>
      <c r="C28" s="4">
        <v>46082</v>
      </c>
      <c r="D28" s="4">
        <v>46112</v>
      </c>
      <c r="E28" s="3" t="s">
        <v>116</v>
      </c>
      <c r="F28" s="7">
        <v>27643</v>
      </c>
      <c r="G28" s="5">
        <v>1.7000000000000001E-2</v>
      </c>
      <c r="H28" s="6" t="s">
        <v>70</v>
      </c>
      <c r="I28" s="3" t="s">
        <v>45</v>
      </c>
    </row>
    <row r="29" spans="1:9" ht="48" customHeight="1">
      <c r="A29" s="3" t="s">
        <v>66</v>
      </c>
      <c r="B29" s="3" t="s">
        <v>65</v>
      </c>
      <c r="C29" s="4">
        <v>46082</v>
      </c>
      <c r="D29" s="4">
        <v>46112</v>
      </c>
      <c r="E29" s="3" t="s">
        <v>117</v>
      </c>
      <c r="F29" s="7">
        <v>70168</v>
      </c>
      <c r="G29" s="5">
        <v>4.2999999999999997E-2</v>
      </c>
      <c r="H29" s="6" t="s">
        <v>70</v>
      </c>
      <c r="I29" s="3" t="s">
        <v>45</v>
      </c>
    </row>
    <row r="30" spans="1:9" ht="48" customHeight="1">
      <c r="A30" s="3" t="s">
        <v>66</v>
      </c>
      <c r="B30" s="3" t="s">
        <v>65</v>
      </c>
      <c r="C30" s="4">
        <v>46082</v>
      </c>
      <c r="D30" s="4">
        <v>46112</v>
      </c>
      <c r="E30" s="3" t="s">
        <v>118</v>
      </c>
      <c r="F30" s="7">
        <v>297146</v>
      </c>
      <c r="G30" s="5">
        <v>0.18100000000000002</v>
      </c>
      <c r="H30" s="6" t="s">
        <v>70</v>
      </c>
      <c r="I30" s="3" t="s">
        <v>45</v>
      </c>
    </row>
    <row r="31" spans="1:9" ht="48" customHeight="1">
      <c r="A31" s="3" t="s">
        <v>66</v>
      </c>
      <c r="B31" s="3" t="s">
        <v>65</v>
      </c>
      <c r="C31" s="4">
        <v>46082</v>
      </c>
      <c r="D31" s="4">
        <v>46112</v>
      </c>
      <c r="E31" s="3" t="s">
        <v>119</v>
      </c>
      <c r="F31" s="7">
        <v>22068</v>
      </c>
      <c r="G31" s="5">
        <v>1.3000000000000001E-2</v>
      </c>
      <c r="H31" s="6" t="s">
        <v>70</v>
      </c>
      <c r="I31" s="3" t="s">
        <v>45</v>
      </c>
    </row>
    <row r="32" spans="1:9" ht="48" customHeight="1">
      <c r="A32" s="3" t="s">
        <v>66</v>
      </c>
      <c r="B32" s="3" t="s">
        <v>65</v>
      </c>
      <c r="C32" s="4">
        <v>46082</v>
      </c>
      <c r="D32" s="4">
        <v>46112</v>
      </c>
      <c r="E32" s="3" t="s">
        <v>120</v>
      </c>
      <c r="F32" s="7">
        <v>327061</v>
      </c>
      <c r="G32" s="5">
        <v>0.19899999999999998</v>
      </c>
      <c r="H32" s="6" t="s">
        <v>70</v>
      </c>
      <c r="I32" s="3" t="s">
        <v>45</v>
      </c>
    </row>
    <row r="33" spans="1:9" ht="48" customHeight="1">
      <c r="A33" s="3" t="s">
        <v>66</v>
      </c>
      <c r="B33" s="3" t="s">
        <v>65</v>
      </c>
      <c r="C33" s="4">
        <v>46082</v>
      </c>
      <c r="D33" s="4">
        <v>46112</v>
      </c>
      <c r="E33" s="3" t="s">
        <v>121</v>
      </c>
      <c r="F33" s="7">
        <v>59766</v>
      </c>
      <c r="G33" s="5">
        <v>3.6000000000000004E-2</v>
      </c>
      <c r="H33" s="6" t="s">
        <v>70</v>
      </c>
      <c r="I33" s="3" t="s">
        <v>45</v>
      </c>
    </row>
    <row r="34" spans="1:9" ht="48" customHeight="1">
      <c r="A34" s="3" t="s">
        <v>66</v>
      </c>
      <c r="B34" s="3" t="s">
        <v>65</v>
      </c>
      <c r="C34" s="4">
        <v>46082</v>
      </c>
      <c r="D34" s="4">
        <v>46112</v>
      </c>
      <c r="E34" s="3" t="s">
        <v>122</v>
      </c>
      <c r="F34" s="7">
        <v>61820</v>
      </c>
      <c r="G34" s="5">
        <v>3.7999999999999999E-2</v>
      </c>
      <c r="H34" s="6" t="s">
        <v>70</v>
      </c>
      <c r="I34" s="3" t="s">
        <v>45</v>
      </c>
    </row>
    <row r="35" spans="1:9" ht="48" customHeight="1">
      <c r="A35" s="3" t="s">
        <v>66</v>
      </c>
      <c r="B35" s="3" t="s">
        <v>65</v>
      </c>
      <c r="C35" s="4">
        <v>46082</v>
      </c>
      <c r="D35" s="4">
        <v>46112</v>
      </c>
      <c r="E35" s="3" t="s">
        <v>123</v>
      </c>
      <c r="F35" s="7">
        <v>389162</v>
      </c>
      <c r="G35" s="5">
        <v>0.23699999999999999</v>
      </c>
      <c r="H35" s="6" t="s">
        <v>70</v>
      </c>
      <c r="I35" s="3" t="s">
        <v>45</v>
      </c>
    </row>
    <row r="36" spans="1:9" ht="48" customHeight="1">
      <c r="A36" s="3" t="s">
        <v>66</v>
      </c>
      <c r="B36" s="3" t="s">
        <v>65</v>
      </c>
      <c r="C36" s="4">
        <v>46082</v>
      </c>
      <c r="D36" s="4">
        <v>46112</v>
      </c>
      <c r="E36" s="3" t="s">
        <v>124</v>
      </c>
      <c r="F36" s="7">
        <v>57880</v>
      </c>
      <c r="G36" s="5">
        <v>3.5000000000000003E-2</v>
      </c>
      <c r="H36" s="6" t="s">
        <v>70</v>
      </c>
      <c r="I36" s="3" t="s">
        <v>45</v>
      </c>
    </row>
    <row r="37" spans="1:9" ht="48" customHeight="1">
      <c r="A37" s="3" t="s">
        <v>66</v>
      </c>
      <c r="B37" s="3" t="s">
        <v>65</v>
      </c>
      <c r="C37" s="4">
        <v>46082</v>
      </c>
      <c r="D37" s="4">
        <v>46112</v>
      </c>
      <c r="E37" s="3" t="s">
        <v>125</v>
      </c>
      <c r="F37" s="7">
        <v>198342</v>
      </c>
      <c r="G37" s="5">
        <v>0.121</v>
      </c>
      <c r="H37" s="6" t="s">
        <v>70</v>
      </c>
      <c r="I37" s="3" t="s">
        <v>45</v>
      </c>
    </row>
    <row r="38" spans="1:9" ht="48" customHeight="1">
      <c r="A38" s="3" t="s">
        <v>66</v>
      </c>
      <c r="B38" s="3" t="s">
        <v>65</v>
      </c>
      <c r="C38" s="4">
        <v>46113</v>
      </c>
      <c r="D38" s="4">
        <v>46142</v>
      </c>
      <c r="E38" s="3" t="s">
        <v>114</v>
      </c>
      <c r="F38" s="7">
        <v>63514</v>
      </c>
      <c r="G38" s="5">
        <v>3.9E-2</v>
      </c>
      <c r="H38" s="6" t="s">
        <v>72</v>
      </c>
      <c r="I38" s="3" t="s">
        <v>45</v>
      </c>
    </row>
    <row r="39" spans="1:9" ht="48" customHeight="1">
      <c r="A39" s="3" t="s">
        <v>66</v>
      </c>
      <c r="B39" s="3" t="s">
        <v>65</v>
      </c>
      <c r="C39" s="4">
        <v>46113</v>
      </c>
      <c r="D39" s="4">
        <v>46142</v>
      </c>
      <c r="E39" s="3" t="s">
        <v>115</v>
      </c>
      <c r="F39" s="7">
        <v>78897</v>
      </c>
      <c r="G39" s="5">
        <v>4.8000000000000001E-2</v>
      </c>
      <c r="H39" s="6" t="s">
        <v>72</v>
      </c>
      <c r="I39" s="3" t="s">
        <v>45</v>
      </c>
    </row>
    <row r="40" spans="1:9" ht="48" customHeight="1">
      <c r="A40" s="3" t="s">
        <v>66</v>
      </c>
      <c r="B40" s="3" t="s">
        <v>65</v>
      </c>
      <c r="C40" s="4">
        <v>46113</v>
      </c>
      <c r="D40" s="4">
        <v>46142</v>
      </c>
      <c r="E40" s="3" t="s">
        <v>116</v>
      </c>
      <c r="F40" s="7">
        <v>30404</v>
      </c>
      <c r="G40" s="5">
        <v>1.9E-2</v>
      </c>
      <c r="H40" s="6" t="s">
        <v>72</v>
      </c>
      <c r="I40" s="3" t="s">
        <v>45</v>
      </c>
    </row>
    <row r="41" spans="1:9" ht="48" customHeight="1">
      <c r="A41" s="3" t="s">
        <v>66</v>
      </c>
      <c r="B41" s="3" t="s">
        <v>65</v>
      </c>
      <c r="C41" s="4">
        <v>46113</v>
      </c>
      <c r="D41" s="4">
        <v>46142</v>
      </c>
      <c r="E41" s="3" t="s">
        <v>117</v>
      </c>
      <c r="F41" s="7">
        <v>74291</v>
      </c>
      <c r="G41" s="5">
        <v>4.4999999999999998E-2</v>
      </c>
      <c r="H41" s="6" t="s">
        <v>72</v>
      </c>
      <c r="I41" s="3" t="s">
        <v>45</v>
      </c>
    </row>
    <row r="42" spans="1:9" ht="48" customHeight="1">
      <c r="A42" s="3" t="s">
        <v>66</v>
      </c>
      <c r="B42" s="3" t="s">
        <v>65</v>
      </c>
      <c r="C42" s="4">
        <v>46113</v>
      </c>
      <c r="D42" s="4">
        <v>46142</v>
      </c>
      <c r="E42" s="3" t="s">
        <v>118</v>
      </c>
      <c r="F42" s="7">
        <v>322438</v>
      </c>
      <c r="G42" s="5">
        <v>0.19600000000000001</v>
      </c>
      <c r="H42" s="6" t="s">
        <v>72</v>
      </c>
      <c r="I42" s="3" t="s">
        <v>45</v>
      </c>
    </row>
    <row r="43" spans="1:9" ht="48" customHeight="1">
      <c r="A43" s="3" t="s">
        <v>66</v>
      </c>
      <c r="B43" s="3" t="s">
        <v>65</v>
      </c>
      <c r="C43" s="4">
        <v>46113</v>
      </c>
      <c r="D43" s="4">
        <v>46142</v>
      </c>
      <c r="E43" s="3" t="s">
        <v>119</v>
      </c>
      <c r="F43" s="7">
        <v>28654</v>
      </c>
      <c r="G43" s="5">
        <v>1.7000000000000001E-2</v>
      </c>
      <c r="H43" s="6" t="s">
        <v>72</v>
      </c>
      <c r="I43" s="3" t="s">
        <v>45</v>
      </c>
    </row>
    <row r="44" spans="1:9" ht="48" customHeight="1">
      <c r="A44" s="3" t="s">
        <v>66</v>
      </c>
      <c r="B44" s="3" t="s">
        <v>65</v>
      </c>
      <c r="C44" s="4">
        <v>46113</v>
      </c>
      <c r="D44" s="4">
        <v>46142</v>
      </c>
      <c r="E44" s="3" t="s">
        <v>120</v>
      </c>
      <c r="F44" s="7">
        <v>281858</v>
      </c>
      <c r="G44" s="5">
        <v>0.17199999999999999</v>
      </c>
      <c r="H44" s="6" t="s">
        <v>72</v>
      </c>
      <c r="I44" s="3" t="s">
        <v>45</v>
      </c>
    </row>
    <row r="45" spans="1:9" ht="48" customHeight="1">
      <c r="A45" s="3" t="s">
        <v>66</v>
      </c>
      <c r="B45" s="3" t="s">
        <v>65</v>
      </c>
      <c r="C45" s="4">
        <v>46113</v>
      </c>
      <c r="D45" s="4">
        <v>46142</v>
      </c>
      <c r="E45" s="3" t="s">
        <v>121</v>
      </c>
      <c r="F45" s="7">
        <v>68985</v>
      </c>
      <c r="G45" s="5">
        <v>4.2000000000000003E-2</v>
      </c>
      <c r="H45" s="6" t="s">
        <v>72</v>
      </c>
      <c r="I45" s="3" t="s">
        <v>45</v>
      </c>
    </row>
    <row r="46" spans="1:9" ht="48" customHeight="1">
      <c r="A46" s="3" t="s">
        <v>66</v>
      </c>
      <c r="B46" s="3" t="s">
        <v>65</v>
      </c>
      <c r="C46" s="4">
        <v>46113</v>
      </c>
      <c r="D46" s="4">
        <v>46142</v>
      </c>
      <c r="E46" s="3" t="s">
        <v>122</v>
      </c>
      <c r="F46" s="7">
        <v>60942</v>
      </c>
      <c r="G46" s="5">
        <v>3.7000000000000005E-2</v>
      </c>
      <c r="H46" s="6" t="s">
        <v>72</v>
      </c>
      <c r="I46" s="3" t="s">
        <v>45</v>
      </c>
    </row>
    <row r="47" spans="1:9" ht="48" customHeight="1">
      <c r="A47" s="3" t="s">
        <v>66</v>
      </c>
      <c r="B47" s="3" t="s">
        <v>65</v>
      </c>
      <c r="C47" s="4">
        <v>46113</v>
      </c>
      <c r="D47" s="4">
        <v>46142</v>
      </c>
      <c r="E47" s="3" t="s">
        <v>123</v>
      </c>
      <c r="F47" s="7">
        <v>333823</v>
      </c>
      <c r="G47" s="5">
        <v>0.20300000000000001</v>
      </c>
      <c r="H47" s="6" t="s">
        <v>72</v>
      </c>
      <c r="I47" s="3" t="s">
        <v>45</v>
      </c>
    </row>
    <row r="48" spans="1:9" ht="48" customHeight="1">
      <c r="A48" s="3" t="s">
        <v>66</v>
      </c>
      <c r="B48" s="3" t="s">
        <v>65</v>
      </c>
      <c r="C48" s="4">
        <v>46113</v>
      </c>
      <c r="D48" s="4">
        <v>46142</v>
      </c>
      <c r="E48" s="3" t="s">
        <v>124</v>
      </c>
      <c r="F48" s="7">
        <v>58282</v>
      </c>
      <c r="G48" s="5">
        <v>3.6000000000000004E-2</v>
      </c>
      <c r="H48" s="6" t="s">
        <v>72</v>
      </c>
      <c r="I48" s="3" t="s">
        <v>45</v>
      </c>
    </row>
    <row r="49" spans="1:9" ht="48" customHeight="1">
      <c r="A49" s="3" t="s">
        <v>66</v>
      </c>
      <c r="B49" s="3" t="s">
        <v>65</v>
      </c>
      <c r="C49" s="4">
        <v>46113</v>
      </c>
      <c r="D49" s="4">
        <v>46142</v>
      </c>
      <c r="E49" s="3" t="s">
        <v>125</v>
      </c>
      <c r="F49" s="7">
        <v>239096</v>
      </c>
      <c r="G49" s="5">
        <v>0.14599999999999999</v>
      </c>
      <c r="H49" s="6" t="s">
        <v>72</v>
      </c>
      <c r="I49" s="3" t="s">
        <v>45</v>
      </c>
    </row>
    <row r="50" spans="1:9" ht="48" customHeight="1">
      <c r="A50" s="3" t="s">
        <v>66</v>
      </c>
      <c r="B50" s="3" t="s">
        <v>65</v>
      </c>
      <c r="C50" s="4">
        <v>46143</v>
      </c>
      <c r="D50" s="4">
        <v>46173</v>
      </c>
      <c r="E50" s="3" t="s">
        <v>114</v>
      </c>
      <c r="F50" s="7">
        <v>73980</v>
      </c>
      <c r="G50" s="5">
        <v>3.9E-2</v>
      </c>
      <c r="H50" s="6" t="s">
        <v>73</v>
      </c>
      <c r="I50" s="3" t="s">
        <v>45</v>
      </c>
    </row>
    <row r="51" spans="1:9" ht="48" customHeight="1">
      <c r="A51" s="3" t="s">
        <v>66</v>
      </c>
      <c r="B51" s="3" t="s">
        <v>65</v>
      </c>
      <c r="C51" s="4">
        <v>46143</v>
      </c>
      <c r="D51" s="4">
        <v>46173</v>
      </c>
      <c r="E51" s="3" t="s">
        <v>115</v>
      </c>
      <c r="F51" s="7">
        <v>89369</v>
      </c>
      <c r="G51" s="5">
        <v>4.7E-2</v>
      </c>
      <c r="H51" s="6" t="s">
        <v>73</v>
      </c>
      <c r="I51" s="3" t="s">
        <v>45</v>
      </c>
    </row>
    <row r="52" spans="1:9" ht="48" customHeight="1">
      <c r="A52" s="3" t="s">
        <v>66</v>
      </c>
      <c r="B52" s="3" t="s">
        <v>65</v>
      </c>
      <c r="C52" s="4">
        <v>46143</v>
      </c>
      <c r="D52" s="4">
        <v>46173</v>
      </c>
      <c r="E52" s="3" t="s">
        <v>116</v>
      </c>
      <c r="F52" s="7">
        <v>34632</v>
      </c>
      <c r="G52" s="5">
        <v>1.8000000000000002E-2</v>
      </c>
      <c r="H52" s="6" t="s">
        <v>73</v>
      </c>
      <c r="I52" s="3" t="s">
        <v>45</v>
      </c>
    </row>
    <row r="53" spans="1:9" ht="48" customHeight="1">
      <c r="A53" s="3" t="s">
        <v>66</v>
      </c>
      <c r="B53" s="3" t="s">
        <v>65</v>
      </c>
      <c r="C53" s="4">
        <v>46143</v>
      </c>
      <c r="D53" s="4">
        <v>46173</v>
      </c>
      <c r="E53" s="3" t="s">
        <v>117</v>
      </c>
      <c r="F53" s="7">
        <v>89246</v>
      </c>
      <c r="G53" s="5">
        <v>4.7E-2</v>
      </c>
      <c r="H53" s="6" t="s">
        <v>73</v>
      </c>
      <c r="I53" s="3" t="s">
        <v>45</v>
      </c>
    </row>
    <row r="54" spans="1:9" ht="48" customHeight="1">
      <c r="A54" s="3" t="s">
        <v>66</v>
      </c>
      <c r="B54" s="3" t="s">
        <v>65</v>
      </c>
      <c r="C54" s="4">
        <v>46143</v>
      </c>
      <c r="D54" s="4">
        <v>46173</v>
      </c>
      <c r="E54" s="3" t="s">
        <v>118</v>
      </c>
      <c r="F54" s="7">
        <v>362453</v>
      </c>
      <c r="G54" s="5">
        <v>0.192</v>
      </c>
      <c r="H54" s="6" t="s">
        <v>73</v>
      </c>
      <c r="I54" s="3" t="s">
        <v>45</v>
      </c>
    </row>
    <row r="55" spans="1:9" ht="48" customHeight="1">
      <c r="A55" s="3" t="s">
        <v>66</v>
      </c>
      <c r="B55" s="3" t="s">
        <v>65</v>
      </c>
      <c r="C55" s="4">
        <v>46143</v>
      </c>
      <c r="D55" s="4">
        <v>46173</v>
      </c>
      <c r="E55" s="3" t="s">
        <v>119</v>
      </c>
      <c r="F55" s="7">
        <v>32473</v>
      </c>
      <c r="G55" s="5">
        <v>1.7000000000000001E-2</v>
      </c>
      <c r="H55" s="6" t="s">
        <v>73</v>
      </c>
      <c r="I55" s="3" t="s">
        <v>45</v>
      </c>
    </row>
    <row r="56" spans="1:9" ht="48" customHeight="1">
      <c r="A56" s="3" t="s">
        <v>66</v>
      </c>
      <c r="B56" s="3" t="s">
        <v>65</v>
      </c>
      <c r="C56" s="4">
        <v>46143</v>
      </c>
      <c r="D56" s="4">
        <v>46173</v>
      </c>
      <c r="E56" s="3" t="s">
        <v>120</v>
      </c>
      <c r="F56" s="7">
        <v>318493</v>
      </c>
      <c r="G56" s="5">
        <v>0.16800000000000001</v>
      </c>
      <c r="H56" s="6" t="s">
        <v>73</v>
      </c>
      <c r="I56" s="3" t="s">
        <v>45</v>
      </c>
    </row>
    <row r="57" spans="1:9" ht="48" customHeight="1">
      <c r="A57" s="3" t="s">
        <v>66</v>
      </c>
      <c r="B57" s="3" t="s">
        <v>65</v>
      </c>
      <c r="C57" s="4">
        <v>46143</v>
      </c>
      <c r="D57" s="4">
        <v>46173</v>
      </c>
      <c r="E57" s="3" t="s">
        <v>121</v>
      </c>
      <c r="F57" s="7">
        <v>64004</v>
      </c>
      <c r="G57" s="5">
        <v>3.4000000000000002E-2</v>
      </c>
      <c r="H57" s="6" t="s">
        <v>73</v>
      </c>
      <c r="I57" s="3" t="s">
        <v>45</v>
      </c>
    </row>
    <row r="58" spans="1:9" ht="48" customHeight="1">
      <c r="A58" s="3" t="s">
        <v>66</v>
      </c>
      <c r="B58" s="3" t="s">
        <v>65</v>
      </c>
      <c r="C58" s="4">
        <v>46143</v>
      </c>
      <c r="D58" s="4">
        <v>46173</v>
      </c>
      <c r="E58" s="3" t="s">
        <v>122</v>
      </c>
      <c r="F58" s="7">
        <v>71582</v>
      </c>
      <c r="G58" s="5">
        <v>3.7999999999999999E-2</v>
      </c>
      <c r="H58" s="6" t="s">
        <v>73</v>
      </c>
      <c r="I58" s="3" t="s">
        <v>45</v>
      </c>
    </row>
    <row r="59" spans="1:9" ht="48" customHeight="1">
      <c r="A59" s="3" t="s">
        <v>66</v>
      </c>
      <c r="B59" s="3" t="s">
        <v>65</v>
      </c>
      <c r="C59" s="4">
        <v>46143</v>
      </c>
      <c r="D59" s="4">
        <v>46173</v>
      </c>
      <c r="E59" s="3" t="s">
        <v>123</v>
      </c>
      <c r="F59" s="7">
        <v>397520</v>
      </c>
      <c r="G59" s="5">
        <v>0.21</v>
      </c>
      <c r="H59" s="6" t="s">
        <v>73</v>
      </c>
      <c r="I59" s="3" t="s">
        <v>45</v>
      </c>
    </row>
    <row r="60" spans="1:9" ht="48" customHeight="1">
      <c r="A60" s="3" t="s">
        <v>66</v>
      </c>
      <c r="B60" s="3" t="s">
        <v>65</v>
      </c>
      <c r="C60" s="4">
        <v>46143</v>
      </c>
      <c r="D60" s="4">
        <v>46173</v>
      </c>
      <c r="E60" s="3" t="s">
        <v>124</v>
      </c>
      <c r="F60" s="7">
        <v>66878</v>
      </c>
      <c r="G60" s="5">
        <v>3.5000000000000003E-2</v>
      </c>
      <c r="H60" s="6" t="s">
        <v>73</v>
      </c>
      <c r="I60" s="3" t="s">
        <v>45</v>
      </c>
    </row>
    <row r="61" spans="1:9" ht="48" customHeight="1">
      <c r="A61" s="3" t="s">
        <v>66</v>
      </c>
      <c r="B61" s="3" t="s">
        <v>65</v>
      </c>
      <c r="C61" s="4">
        <v>46143</v>
      </c>
      <c r="D61" s="4">
        <v>46173</v>
      </c>
      <c r="E61" s="3" t="s">
        <v>125</v>
      </c>
      <c r="F61" s="7">
        <v>290832</v>
      </c>
      <c r="G61" s="5">
        <v>0.154</v>
      </c>
      <c r="H61" s="6" t="s">
        <v>73</v>
      </c>
      <c r="I61" s="3" t="s">
        <v>45</v>
      </c>
    </row>
    <row r="62" spans="1:9" ht="48" customHeight="1">
      <c r="A62" s="3" t="s">
        <v>66</v>
      </c>
      <c r="B62" s="3" t="s">
        <v>65</v>
      </c>
      <c r="C62" s="4">
        <v>46174</v>
      </c>
      <c r="D62" s="4">
        <v>46203</v>
      </c>
      <c r="E62" s="3" t="s">
        <v>114</v>
      </c>
      <c r="F62" s="7">
        <v>74498</v>
      </c>
      <c r="G62" s="5">
        <v>4.8000000000000001E-2</v>
      </c>
      <c r="H62" s="6" t="s">
        <v>74</v>
      </c>
      <c r="I62" s="3" t="s">
        <v>45</v>
      </c>
    </row>
    <row r="63" spans="1:9" ht="48" customHeight="1">
      <c r="A63" s="3" t="s">
        <v>66</v>
      </c>
      <c r="B63" s="3" t="s">
        <v>65</v>
      </c>
      <c r="C63" s="4">
        <v>46174</v>
      </c>
      <c r="D63" s="4">
        <v>46203</v>
      </c>
      <c r="E63" s="3" t="s">
        <v>115</v>
      </c>
      <c r="F63" s="7">
        <v>66948</v>
      </c>
      <c r="G63" s="5">
        <v>4.2999999999999997E-2</v>
      </c>
      <c r="H63" s="6" t="s">
        <v>74</v>
      </c>
      <c r="I63" s="3" t="s">
        <v>45</v>
      </c>
    </row>
    <row r="64" spans="1:9" ht="48" customHeight="1">
      <c r="A64" s="3" t="s">
        <v>66</v>
      </c>
      <c r="B64" s="3" t="s">
        <v>65</v>
      </c>
      <c r="C64" s="4">
        <v>46174</v>
      </c>
      <c r="D64" s="4">
        <v>46203</v>
      </c>
      <c r="E64" s="3" t="s">
        <v>116</v>
      </c>
      <c r="F64" s="7">
        <v>27268</v>
      </c>
      <c r="G64" s="5">
        <v>1.7000000000000001E-2</v>
      </c>
      <c r="H64" s="6" t="s">
        <v>74</v>
      </c>
      <c r="I64" s="3" t="s">
        <v>45</v>
      </c>
    </row>
    <row r="65" spans="1:9" ht="48" customHeight="1">
      <c r="A65" s="3" t="s">
        <v>66</v>
      </c>
      <c r="B65" s="3" t="s">
        <v>65</v>
      </c>
      <c r="C65" s="4">
        <v>46174</v>
      </c>
      <c r="D65" s="4">
        <v>46203</v>
      </c>
      <c r="E65" s="3" t="s">
        <v>117</v>
      </c>
      <c r="F65" s="7">
        <v>74532</v>
      </c>
      <c r="G65" s="5">
        <v>4.8000000000000001E-2</v>
      </c>
      <c r="H65" s="6" t="s">
        <v>74</v>
      </c>
      <c r="I65" s="3" t="s">
        <v>45</v>
      </c>
    </row>
    <row r="66" spans="1:9" ht="48" customHeight="1">
      <c r="A66" s="3" t="s">
        <v>66</v>
      </c>
      <c r="B66" s="3" t="s">
        <v>65</v>
      </c>
      <c r="C66" s="4">
        <v>46174</v>
      </c>
      <c r="D66" s="4">
        <v>46203</v>
      </c>
      <c r="E66" s="3" t="s">
        <v>118</v>
      </c>
      <c r="F66" s="7">
        <v>294970</v>
      </c>
      <c r="G66" s="5">
        <v>0.18899999999999997</v>
      </c>
      <c r="H66" s="6" t="s">
        <v>74</v>
      </c>
      <c r="I66" s="3" t="s">
        <v>45</v>
      </c>
    </row>
    <row r="67" spans="1:9" ht="48" customHeight="1">
      <c r="A67" s="3" t="s">
        <v>66</v>
      </c>
      <c r="B67" s="3" t="s">
        <v>65</v>
      </c>
      <c r="C67" s="4">
        <v>46174</v>
      </c>
      <c r="D67" s="4">
        <v>46203</v>
      </c>
      <c r="E67" s="3" t="s">
        <v>119</v>
      </c>
      <c r="F67" s="7">
        <v>26278</v>
      </c>
      <c r="G67" s="5">
        <v>1.7000000000000001E-2</v>
      </c>
      <c r="H67" s="6" t="s">
        <v>74</v>
      </c>
      <c r="I67" s="3" t="s">
        <v>45</v>
      </c>
    </row>
    <row r="68" spans="1:9" ht="48" customHeight="1">
      <c r="A68" s="3" t="s">
        <v>66</v>
      </c>
      <c r="B68" s="3" t="s">
        <v>65</v>
      </c>
      <c r="C68" s="4">
        <v>46174</v>
      </c>
      <c r="D68" s="4">
        <v>46203</v>
      </c>
      <c r="E68" s="3" t="s">
        <v>120</v>
      </c>
      <c r="F68" s="7">
        <v>300562</v>
      </c>
      <c r="G68" s="5">
        <v>0.192</v>
      </c>
      <c r="H68" s="6" t="s">
        <v>74</v>
      </c>
      <c r="I68" s="3" t="s">
        <v>45</v>
      </c>
    </row>
    <row r="69" spans="1:9" ht="48" customHeight="1">
      <c r="A69" s="3" t="s">
        <v>66</v>
      </c>
      <c r="B69" s="3" t="s">
        <v>65</v>
      </c>
      <c r="C69" s="4">
        <v>46174</v>
      </c>
      <c r="D69" s="4">
        <v>46203</v>
      </c>
      <c r="E69" s="3" t="s">
        <v>121</v>
      </c>
      <c r="F69" s="7">
        <v>52262</v>
      </c>
      <c r="G69" s="5">
        <v>3.3000000000000002E-2</v>
      </c>
      <c r="H69" s="6" t="s">
        <v>74</v>
      </c>
      <c r="I69" s="3" t="s">
        <v>45</v>
      </c>
    </row>
    <row r="70" spans="1:9" ht="48" customHeight="1">
      <c r="A70" s="3" t="s">
        <v>66</v>
      </c>
      <c r="B70" s="3" t="s">
        <v>65</v>
      </c>
      <c r="C70" s="4">
        <v>46174</v>
      </c>
      <c r="D70" s="4">
        <v>46203</v>
      </c>
      <c r="E70" s="3" t="s">
        <v>122</v>
      </c>
      <c r="F70" s="7">
        <v>60028</v>
      </c>
      <c r="G70" s="5">
        <v>3.7999999999999999E-2</v>
      </c>
      <c r="H70" s="6" t="s">
        <v>74</v>
      </c>
      <c r="I70" s="3" t="s">
        <v>45</v>
      </c>
    </row>
    <row r="71" spans="1:9" ht="48" customHeight="1">
      <c r="A71" s="3" t="s">
        <v>66</v>
      </c>
      <c r="B71" s="3" t="s">
        <v>65</v>
      </c>
      <c r="C71" s="4">
        <v>46174</v>
      </c>
      <c r="D71" s="4">
        <v>46203</v>
      </c>
      <c r="E71" s="3" t="s">
        <v>123</v>
      </c>
      <c r="F71" s="7">
        <v>331184</v>
      </c>
      <c r="G71" s="5">
        <v>0.21199999999999999</v>
      </c>
      <c r="H71" s="6" t="s">
        <v>74</v>
      </c>
      <c r="I71" s="3" t="s">
        <v>45</v>
      </c>
    </row>
    <row r="72" spans="1:9" ht="48" customHeight="1">
      <c r="A72" s="3" t="s">
        <v>66</v>
      </c>
      <c r="B72" s="3" t="s">
        <v>65</v>
      </c>
      <c r="C72" s="4">
        <v>46174</v>
      </c>
      <c r="D72" s="4">
        <v>46203</v>
      </c>
      <c r="E72" s="3" t="s">
        <v>124</v>
      </c>
      <c r="F72" s="7">
        <v>57337</v>
      </c>
      <c r="G72" s="5">
        <v>3.7000000000000005E-2</v>
      </c>
      <c r="H72" s="6" t="s">
        <v>74</v>
      </c>
      <c r="I72" s="3" t="s">
        <v>45</v>
      </c>
    </row>
    <row r="73" spans="1:9" ht="48" customHeight="1">
      <c r="A73" s="3" t="s">
        <v>66</v>
      </c>
      <c r="B73" s="3" t="s">
        <v>65</v>
      </c>
      <c r="C73" s="4">
        <v>46174</v>
      </c>
      <c r="D73" s="4">
        <v>46203</v>
      </c>
      <c r="E73" s="3" t="s">
        <v>125</v>
      </c>
      <c r="F73" s="7">
        <v>197407</v>
      </c>
      <c r="G73" s="5">
        <v>0.126</v>
      </c>
      <c r="H73" s="6" t="s">
        <v>74</v>
      </c>
      <c r="I73" s="3" t="s">
        <v>45</v>
      </c>
    </row>
    <row r="74" spans="1:9" ht="48" customHeight="1">
      <c r="A74" s="3" t="s">
        <v>66</v>
      </c>
      <c r="B74" s="3" t="s">
        <v>65</v>
      </c>
      <c r="C74" s="4">
        <v>46204</v>
      </c>
      <c r="D74" s="4">
        <v>46234</v>
      </c>
      <c r="E74" s="3" t="s">
        <v>114</v>
      </c>
      <c r="F74" s="7">
        <v>65782</v>
      </c>
      <c r="G74" s="5">
        <v>4.2999999999999997E-2</v>
      </c>
      <c r="H74" s="6" t="s">
        <v>75</v>
      </c>
      <c r="I74" s="3" t="s">
        <v>45</v>
      </c>
    </row>
    <row r="75" spans="1:9" ht="48" customHeight="1">
      <c r="A75" s="3" t="s">
        <v>66</v>
      </c>
      <c r="B75" s="3" t="s">
        <v>65</v>
      </c>
      <c r="C75" s="4">
        <v>46204</v>
      </c>
      <c r="D75" s="4">
        <v>46234</v>
      </c>
      <c r="E75" s="3" t="s">
        <v>115</v>
      </c>
      <c r="F75" s="7">
        <v>61366</v>
      </c>
      <c r="G75" s="5">
        <v>0.04</v>
      </c>
      <c r="H75" s="6" t="s">
        <v>75</v>
      </c>
      <c r="I75" s="3" t="s">
        <v>45</v>
      </c>
    </row>
    <row r="76" spans="1:9" ht="48" customHeight="1">
      <c r="A76" s="3" t="s">
        <v>66</v>
      </c>
      <c r="B76" s="3" t="s">
        <v>65</v>
      </c>
      <c r="C76" s="4">
        <v>46204</v>
      </c>
      <c r="D76" s="4">
        <v>46234</v>
      </c>
      <c r="E76" s="3" t="s">
        <v>116</v>
      </c>
      <c r="F76" s="7">
        <v>21486</v>
      </c>
      <c r="G76" s="5">
        <v>1.3999999999999999E-2</v>
      </c>
      <c r="H76" s="6" t="s">
        <v>75</v>
      </c>
      <c r="I76" s="3" t="s">
        <v>45</v>
      </c>
    </row>
    <row r="77" spans="1:9" ht="48" customHeight="1">
      <c r="A77" s="3" t="s">
        <v>66</v>
      </c>
      <c r="B77" s="3" t="s">
        <v>65</v>
      </c>
      <c r="C77" s="4">
        <v>46204</v>
      </c>
      <c r="D77" s="4">
        <v>46234</v>
      </c>
      <c r="E77" s="3" t="s">
        <v>117</v>
      </c>
      <c r="F77" s="7">
        <v>68607</v>
      </c>
      <c r="G77" s="5">
        <v>4.4999999999999998E-2</v>
      </c>
      <c r="H77" s="6" t="s">
        <v>75</v>
      </c>
      <c r="I77" s="3" t="s">
        <v>45</v>
      </c>
    </row>
    <row r="78" spans="1:9" ht="48" customHeight="1">
      <c r="A78" s="3" t="s">
        <v>66</v>
      </c>
      <c r="B78" s="3" t="s">
        <v>65</v>
      </c>
      <c r="C78" s="4">
        <v>46204</v>
      </c>
      <c r="D78" s="4">
        <v>46234</v>
      </c>
      <c r="E78" s="3" t="s">
        <v>118</v>
      </c>
      <c r="F78" s="7">
        <v>318570</v>
      </c>
      <c r="G78" s="5">
        <v>0.20699999999999999</v>
      </c>
      <c r="H78" s="6" t="s">
        <v>75</v>
      </c>
      <c r="I78" s="3" t="s">
        <v>45</v>
      </c>
    </row>
    <row r="79" spans="1:9" ht="48" customHeight="1">
      <c r="A79" s="3" t="s">
        <v>66</v>
      </c>
      <c r="B79" s="3" t="s">
        <v>65</v>
      </c>
      <c r="C79" s="4">
        <v>46204</v>
      </c>
      <c r="D79" s="4">
        <v>46234</v>
      </c>
      <c r="E79" s="3" t="s">
        <v>119</v>
      </c>
      <c r="F79" s="7">
        <v>22449</v>
      </c>
      <c r="G79" s="5">
        <v>1.4999999999999999E-2</v>
      </c>
      <c r="H79" s="6" t="s">
        <v>75</v>
      </c>
      <c r="I79" s="3" t="s">
        <v>45</v>
      </c>
    </row>
    <row r="80" spans="1:9" ht="48" customHeight="1">
      <c r="A80" s="3" t="s">
        <v>66</v>
      </c>
      <c r="B80" s="3" t="s">
        <v>65</v>
      </c>
      <c r="C80" s="4">
        <v>46204</v>
      </c>
      <c r="D80" s="4">
        <v>46234</v>
      </c>
      <c r="E80" s="3" t="s">
        <v>120</v>
      </c>
      <c r="F80" s="7">
        <v>294298</v>
      </c>
      <c r="G80" s="5">
        <v>0.191</v>
      </c>
      <c r="H80" s="6" t="s">
        <v>75</v>
      </c>
      <c r="I80" s="3" t="s">
        <v>45</v>
      </c>
    </row>
    <row r="81" spans="1:9" ht="48" customHeight="1">
      <c r="A81" s="3" t="s">
        <v>66</v>
      </c>
      <c r="B81" s="3" t="s">
        <v>65</v>
      </c>
      <c r="C81" s="4">
        <v>46204</v>
      </c>
      <c r="D81" s="4">
        <v>46234</v>
      </c>
      <c r="E81" s="3" t="s">
        <v>121</v>
      </c>
      <c r="F81" s="7">
        <v>46137</v>
      </c>
      <c r="G81" s="5">
        <v>0.03</v>
      </c>
      <c r="H81" s="6" t="s">
        <v>75</v>
      </c>
      <c r="I81" s="3" t="s">
        <v>45</v>
      </c>
    </row>
    <row r="82" spans="1:9" ht="48" customHeight="1">
      <c r="A82" s="3" t="s">
        <v>66</v>
      </c>
      <c r="B82" s="3" t="s">
        <v>65</v>
      </c>
      <c r="C82" s="4">
        <v>46204</v>
      </c>
      <c r="D82" s="4">
        <v>46234</v>
      </c>
      <c r="E82" s="3" t="s">
        <v>122</v>
      </c>
      <c r="F82" s="7">
        <v>51418</v>
      </c>
      <c r="G82" s="5">
        <v>3.3000000000000002E-2</v>
      </c>
      <c r="H82" s="6" t="s">
        <v>75</v>
      </c>
      <c r="I82" s="3" t="s">
        <v>45</v>
      </c>
    </row>
    <row r="83" spans="1:9" ht="48" customHeight="1">
      <c r="A83" s="3" t="s">
        <v>66</v>
      </c>
      <c r="B83" s="3" t="s">
        <v>65</v>
      </c>
      <c r="C83" s="4">
        <v>46204</v>
      </c>
      <c r="D83" s="4">
        <v>46234</v>
      </c>
      <c r="E83" s="3" t="s">
        <v>123</v>
      </c>
      <c r="F83" s="7">
        <v>342052</v>
      </c>
      <c r="G83" s="5">
        <v>0.222</v>
      </c>
      <c r="H83" s="6" t="s">
        <v>75</v>
      </c>
      <c r="I83" s="3" t="s">
        <v>45</v>
      </c>
    </row>
    <row r="84" spans="1:9" ht="48" customHeight="1">
      <c r="A84" s="3" t="s">
        <v>66</v>
      </c>
      <c r="B84" s="3" t="s">
        <v>65</v>
      </c>
      <c r="C84" s="4">
        <v>46204</v>
      </c>
      <c r="D84" s="4">
        <v>46234</v>
      </c>
      <c r="E84" s="3" t="s">
        <v>124</v>
      </c>
      <c r="F84" s="7">
        <v>59230</v>
      </c>
      <c r="G84" s="5">
        <v>3.7999999999999999E-2</v>
      </c>
      <c r="H84" s="6" t="s">
        <v>75</v>
      </c>
      <c r="I84" s="3" t="s">
        <v>45</v>
      </c>
    </row>
    <row r="85" spans="1:9" ht="48" customHeight="1">
      <c r="A85" s="3" t="s">
        <v>66</v>
      </c>
      <c r="B85" s="3" t="s">
        <v>65</v>
      </c>
      <c r="C85" s="4">
        <v>46204</v>
      </c>
      <c r="D85" s="4">
        <v>46234</v>
      </c>
      <c r="E85" s="3" t="s">
        <v>125</v>
      </c>
      <c r="F85" s="7">
        <v>189654</v>
      </c>
      <c r="G85" s="5">
        <v>0.12300000000000001</v>
      </c>
      <c r="H85" s="6" t="s">
        <v>75</v>
      </c>
      <c r="I85" s="3" t="s">
        <v>45</v>
      </c>
    </row>
    <row r="86" spans="1:9" ht="48" customHeight="1">
      <c r="A86" s="3" t="s">
        <v>66</v>
      </c>
      <c r="B86" s="3" t="s">
        <v>65</v>
      </c>
      <c r="C86" s="4">
        <v>46235</v>
      </c>
      <c r="D86" s="4">
        <v>46265</v>
      </c>
      <c r="E86" s="3" t="s">
        <v>114</v>
      </c>
      <c r="F86" s="7">
        <v>59448</v>
      </c>
      <c r="G86" s="5">
        <v>3.5000000000000003E-2</v>
      </c>
      <c r="H86" s="6" t="s">
        <v>76</v>
      </c>
      <c r="I86" s="3" t="s">
        <v>45</v>
      </c>
    </row>
    <row r="87" spans="1:9" ht="48" customHeight="1">
      <c r="A87" s="3" t="s">
        <v>66</v>
      </c>
      <c r="B87" s="3" t="s">
        <v>65</v>
      </c>
      <c r="C87" s="4">
        <v>46235</v>
      </c>
      <c r="D87" s="4">
        <v>46265</v>
      </c>
      <c r="E87" s="3" t="s">
        <v>115</v>
      </c>
      <c r="F87" s="7">
        <v>68708</v>
      </c>
      <c r="G87" s="5">
        <v>4.0999999999999995E-2</v>
      </c>
      <c r="H87" s="6" t="s">
        <v>76</v>
      </c>
      <c r="I87" s="3" t="s">
        <v>45</v>
      </c>
    </row>
    <row r="88" spans="1:9" ht="48" customHeight="1">
      <c r="A88" s="3" t="s">
        <v>66</v>
      </c>
      <c r="B88" s="3" t="s">
        <v>65</v>
      </c>
      <c r="C88" s="4">
        <v>46235</v>
      </c>
      <c r="D88" s="4">
        <v>46265</v>
      </c>
      <c r="E88" s="3" t="s">
        <v>116</v>
      </c>
      <c r="F88" s="7">
        <v>23877</v>
      </c>
      <c r="G88" s="5">
        <v>1.3999999999999999E-2</v>
      </c>
      <c r="H88" s="6" t="s">
        <v>76</v>
      </c>
      <c r="I88" s="3" t="s">
        <v>45</v>
      </c>
    </row>
    <row r="89" spans="1:9" ht="48" customHeight="1">
      <c r="A89" s="3" t="s">
        <v>66</v>
      </c>
      <c r="B89" s="3" t="s">
        <v>65</v>
      </c>
      <c r="C89" s="4">
        <v>46235</v>
      </c>
      <c r="D89" s="4">
        <v>46265</v>
      </c>
      <c r="E89" s="3" t="s">
        <v>117</v>
      </c>
      <c r="F89" s="7">
        <v>73314</v>
      </c>
      <c r="G89" s="5">
        <v>4.4000000000000004E-2</v>
      </c>
      <c r="H89" s="6" t="s">
        <v>76</v>
      </c>
      <c r="I89" s="3" t="s">
        <v>45</v>
      </c>
    </row>
    <row r="90" spans="1:9" ht="48" customHeight="1">
      <c r="A90" s="3" t="s">
        <v>66</v>
      </c>
      <c r="B90" s="3" t="s">
        <v>65</v>
      </c>
      <c r="C90" s="4">
        <v>46235</v>
      </c>
      <c r="D90" s="4">
        <v>46265</v>
      </c>
      <c r="E90" s="3" t="s">
        <v>118</v>
      </c>
      <c r="F90" s="7">
        <v>351435</v>
      </c>
      <c r="G90" s="5">
        <v>0.21</v>
      </c>
      <c r="H90" s="6" t="s">
        <v>76</v>
      </c>
      <c r="I90" s="3" t="s">
        <v>45</v>
      </c>
    </row>
    <row r="91" spans="1:9" ht="48" customHeight="1">
      <c r="A91" s="3" t="s">
        <v>66</v>
      </c>
      <c r="B91" s="3" t="s">
        <v>65</v>
      </c>
      <c r="C91" s="4">
        <v>46235</v>
      </c>
      <c r="D91" s="4">
        <v>46265</v>
      </c>
      <c r="E91" s="3" t="s">
        <v>119</v>
      </c>
      <c r="F91" s="7">
        <v>27132</v>
      </c>
      <c r="G91" s="5">
        <v>1.6E-2</v>
      </c>
      <c r="H91" s="6" t="s">
        <v>76</v>
      </c>
      <c r="I91" s="3" t="s">
        <v>45</v>
      </c>
    </row>
    <row r="92" spans="1:9" ht="48" customHeight="1">
      <c r="A92" s="3" t="s">
        <v>66</v>
      </c>
      <c r="B92" s="3" t="s">
        <v>65</v>
      </c>
      <c r="C92" s="4">
        <v>46235</v>
      </c>
      <c r="D92" s="4">
        <v>46265</v>
      </c>
      <c r="E92" s="3" t="s">
        <v>120</v>
      </c>
      <c r="F92" s="7">
        <v>325654</v>
      </c>
      <c r="G92" s="5">
        <v>0.19399999999999998</v>
      </c>
      <c r="H92" s="6" t="s">
        <v>76</v>
      </c>
      <c r="I92" s="3" t="s">
        <v>45</v>
      </c>
    </row>
    <row r="93" spans="1:9" ht="48" customHeight="1">
      <c r="A93" s="3" t="s">
        <v>66</v>
      </c>
      <c r="B93" s="3" t="s">
        <v>65</v>
      </c>
      <c r="C93" s="4">
        <v>46235</v>
      </c>
      <c r="D93" s="4">
        <v>46265</v>
      </c>
      <c r="E93" s="3" t="s">
        <v>121</v>
      </c>
      <c r="F93" s="7">
        <v>47796</v>
      </c>
      <c r="G93" s="5">
        <v>2.8999999999999998E-2</v>
      </c>
      <c r="H93" s="6" t="s">
        <v>76</v>
      </c>
      <c r="I93" s="3" t="s">
        <v>45</v>
      </c>
    </row>
    <row r="94" spans="1:9" ht="48" customHeight="1">
      <c r="A94" s="3" t="s">
        <v>66</v>
      </c>
      <c r="B94" s="3" t="s">
        <v>65</v>
      </c>
      <c r="C94" s="4">
        <v>46235</v>
      </c>
      <c r="D94" s="4">
        <v>46265</v>
      </c>
      <c r="E94" s="3" t="s">
        <v>122</v>
      </c>
      <c r="F94" s="7">
        <v>56088</v>
      </c>
      <c r="G94" s="5">
        <v>3.3000000000000002E-2</v>
      </c>
      <c r="H94" s="6" t="s">
        <v>76</v>
      </c>
      <c r="I94" s="3" t="s">
        <v>45</v>
      </c>
    </row>
    <row r="95" spans="1:9" ht="48" customHeight="1">
      <c r="A95" s="3" t="s">
        <v>66</v>
      </c>
      <c r="B95" s="3" t="s">
        <v>65</v>
      </c>
      <c r="C95" s="4">
        <v>46235</v>
      </c>
      <c r="D95" s="4">
        <v>46265</v>
      </c>
      <c r="E95" s="3" t="s">
        <v>123</v>
      </c>
      <c r="F95" s="7">
        <v>359468</v>
      </c>
      <c r="G95" s="5">
        <v>0.214</v>
      </c>
      <c r="H95" s="6" t="s">
        <v>76</v>
      </c>
      <c r="I95" s="3" t="s">
        <v>45</v>
      </c>
    </row>
    <row r="96" spans="1:9" ht="48" customHeight="1">
      <c r="A96" s="3" t="s">
        <v>66</v>
      </c>
      <c r="B96" s="3" t="s">
        <v>65</v>
      </c>
      <c r="C96" s="4">
        <v>46235</v>
      </c>
      <c r="D96" s="4">
        <v>46265</v>
      </c>
      <c r="E96" s="3" t="s">
        <v>124</v>
      </c>
      <c r="F96" s="7">
        <v>63886</v>
      </c>
      <c r="G96" s="5">
        <v>3.7999999999999999E-2</v>
      </c>
      <c r="H96" s="6" t="s">
        <v>76</v>
      </c>
      <c r="I96" s="3" t="s">
        <v>45</v>
      </c>
    </row>
    <row r="97" spans="1:9" ht="48" customHeight="1">
      <c r="A97" s="3" t="s">
        <v>66</v>
      </c>
      <c r="B97" s="3" t="s">
        <v>65</v>
      </c>
      <c r="C97" s="4">
        <v>46235</v>
      </c>
      <c r="D97" s="4">
        <v>46265</v>
      </c>
      <c r="E97" s="3" t="s">
        <v>125</v>
      </c>
      <c r="F97" s="7">
        <v>219457</v>
      </c>
      <c r="G97" s="5">
        <v>0.13100000000000001</v>
      </c>
      <c r="H97" s="6" t="s">
        <v>76</v>
      </c>
      <c r="I97" s="3" t="s">
        <v>45</v>
      </c>
    </row>
    <row r="98" spans="1:9" ht="48" customHeight="1">
      <c r="A98" s="3" t="s">
        <v>66</v>
      </c>
      <c r="B98" s="3" t="s">
        <v>65</v>
      </c>
      <c r="C98" s="4">
        <v>46266</v>
      </c>
      <c r="D98" s="4">
        <v>46276</v>
      </c>
      <c r="E98" s="3" t="s">
        <v>114</v>
      </c>
      <c r="F98" s="7">
        <v>22508</v>
      </c>
      <c r="G98" s="5">
        <v>4.2000000000000003E-2</v>
      </c>
      <c r="H98" s="6" t="s">
        <v>77</v>
      </c>
      <c r="I98" s="3" t="s">
        <v>45</v>
      </c>
    </row>
    <row r="99" spans="1:9" ht="48" customHeight="1">
      <c r="A99" s="3" t="s">
        <v>66</v>
      </c>
      <c r="B99" s="3" t="s">
        <v>65</v>
      </c>
      <c r="C99" s="4">
        <v>46266</v>
      </c>
      <c r="D99" s="4">
        <v>46276</v>
      </c>
      <c r="E99" s="3" t="s">
        <v>115</v>
      </c>
      <c r="F99" s="7">
        <v>24266</v>
      </c>
      <c r="G99" s="5">
        <v>4.4999999999999998E-2</v>
      </c>
      <c r="H99" s="6" t="s">
        <v>77</v>
      </c>
      <c r="I99" s="3" t="s">
        <v>45</v>
      </c>
    </row>
    <row r="100" spans="1:9" ht="48" customHeight="1">
      <c r="A100" s="3" t="s">
        <v>66</v>
      </c>
      <c r="B100" s="3" t="s">
        <v>65</v>
      </c>
      <c r="C100" s="4">
        <v>46266</v>
      </c>
      <c r="D100" s="4">
        <v>46276</v>
      </c>
      <c r="E100" s="3" t="s">
        <v>116</v>
      </c>
      <c r="F100" s="7">
        <v>8648</v>
      </c>
      <c r="G100" s="5">
        <v>1.6E-2</v>
      </c>
      <c r="H100" s="6" t="s">
        <v>77</v>
      </c>
      <c r="I100" s="3" t="s">
        <v>45</v>
      </c>
    </row>
    <row r="101" spans="1:9" ht="48" customHeight="1">
      <c r="A101" s="3" t="s">
        <v>66</v>
      </c>
      <c r="B101" s="3" t="s">
        <v>65</v>
      </c>
      <c r="C101" s="4">
        <v>46266</v>
      </c>
      <c r="D101" s="4">
        <v>46276</v>
      </c>
      <c r="E101" s="3" t="s">
        <v>117</v>
      </c>
      <c r="F101" s="7">
        <v>23492</v>
      </c>
      <c r="G101" s="5">
        <v>4.4000000000000004E-2</v>
      </c>
      <c r="H101" s="6" t="s">
        <v>77</v>
      </c>
      <c r="I101" s="3" t="s">
        <v>45</v>
      </c>
    </row>
    <row r="102" spans="1:9" ht="48" customHeight="1">
      <c r="A102" s="3" t="s">
        <v>66</v>
      </c>
      <c r="B102" s="3" t="s">
        <v>65</v>
      </c>
      <c r="C102" s="4">
        <v>46266</v>
      </c>
      <c r="D102" s="4">
        <v>46276</v>
      </c>
      <c r="E102" s="3" t="s">
        <v>118</v>
      </c>
      <c r="F102" s="7">
        <v>97164</v>
      </c>
      <c r="G102" s="5">
        <v>0.18100000000000002</v>
      </c>
      <c r="H102" s="6" t="s">
        <v>77</v>
      </c>
      <c r="I102" s="3" t="s">
        <v>45</v>
      </c>
    </row>
    <row r="103" spans="1:9" ht="48" customHeight="1">
      <c r="A103" s="3" t="s">
        <v>66</v>
      </c>
      <c r="B103" s="3" t="s">
        <v>65</v>
      </c>
      <c r="C103" s="4">
        <v>46266</v>
      </c>
      <c r="D103" s="4">
        <v>46276</v>
      </c>
      <c r="E103" s="3" t="s">
        <v>119</v>
      </c>
      <c r="F103" s="7">
        <v>8516</v>
      </c>
      <c r="G103" s="5">
        <v>1.6E-2</v>
      </c>
      <c r="H103" s="6" t="s">
        <v>77</v>
      </c>
      <c r="I103" s="3" t="s">
        <v>45</v>
      </c>
    </row>
    <row r="104" spans="1:9" ht="48" customHeight="1">
      <c r="A104" s="3" t="s">
        <v>66</v>
      </c>
      <c r="B104" s="3" t="s">
        <v>65</v>
      </c>
      <c r="C104" s="4">
        <v>46266</v>
      </c>
      <c r="D104" s="4">
        <v>46276</v>
      </c>
      <c r="E104" s="3" t="s">
        <v>120</v>
      </c>
      <c r="F104" s="7">
        <v>109263</v>
      </c>
      <c r="G104" s="5">
        <v>0.20399999999999999</v>
      </c>
      <c r="H104" s="6" t="s">
        <v>77</v>
      </c>
      <c r="I104" s="3" t="s">
        <v>45</v>
      </c>
    </row>
    <row r="105" spans="1:9" ht="48" customHeight="1">
      <c r="A105" s="3" t="s">
        <v>66</v>
      </c>
      <c r="B105" s="3" t="s">
        <v>65</v>
      </c>
      <c r="C105" s="4">
        <v>46266</v>
      </c>
      <c r="D105" s="4">
        <v>46276</v>
      </c>
      <c r="E105" s="3" t="s">
        <v>121</v>
      </c>
      <c r="F105" s="7">
        <v>17983</v>
      </c>
      <c r="G105" s="5">
        <v>3.4000000000000002E-2</v>
      </c>
      <c r="H105" s="6" t="s">
        <v>77</v>
      </c>
      <c r="I105" s="3" t="s">
        <v>45</v>
      </c>
    </row>
    <row r="106" spans="1:9" ht="48" customHeight="1">
      <c r="A106" s="3" t="s">
        <v>66</v>
      </c>
      <c r="B106" s="3" t="s">
        <v>65</v>
      </c>
      <c r="C106" s="4">
        <v>46266</v>
      </c>
      <c r="D106" s="4">
        <v>46276</v>
      </c>
      <c r="E106" s="3" t="s">
        <v>122</v>
      </c>
      <c r="F106" s="7">
        <v>19159</v>
      </c>
      <c r="G106" s="5">
        <v>3.6000000000000004E-2</v>
      </c>
      <c r="H106" s="6" t="s">
        <v>77</v>
      </c>
      <c r="I106" s="3" t="s">
        <v>45</v>
      </c>
    </row>
    <row r="107" spans="1:9" ht="48" customHeight="1">
      <c r="A107" s="3" t="s">
        <v>66</v>
      </c>
      <c r="B107" s="3" t="s">
        <v>65</v>
      </c>
      <c r="C107" s="4">
        <v>46266</v>
      </c>
      <c r="D107" s="4">
        <v>46276</v>
      </c>
      <c r="E107" s="3" t="s">
        <v>123</v>
      </c>
      <c r="F107" s="7">
        <v>119494</v>
      </c>
      <c r="G107" s="5">
        <v>0.223</v>
      </c>
      <c r="H107" s="6" t="s">
        <v>77</v>
      </c>
      <c r="I107" s="3" t="s">
        <v>45</v>
      </c>
    </row>
    <row r="108" spans="1:9" ht="48" customHeight="1">
      <c r="A108" s="3" t="s">
        <v>66</v>
      </c>
      <c r="B108" s="3" t="s">
        <v>65</v>
      </c>
      <c r="C108" s="4">
        <v>46266</v>
      </c>
      <c r="D108" s="4">
        <v>46276</v>
      </c>
      <c r="E108" s="3" t="s">
        <v>124</v>
      </c>
      <c r="F108" s="7">
        <v>21304</v>
      </c>
      <c r="G108" s="5">
        <v>0.04</v>
      </c>
      <c r="H108" s="6" t="s">
        <v>77</v>
      </c>
      <c r="I108" s="3" t="s">
        <v>45</v>
      </c>
    </row>
    <row r="109" spans="1:9" ht="48" customHeight="1">
      <c r="A109" s="3" t="s">
        <v>66</v>
      </c>
      <c r="B109" s="3" t="s">
        <v>65</v>
      </c>
      <c r="C109" s="4">
        <v>46266</v>
      </c>
      <c r="D109" s="4">
        <v>46276</v>
      </c>
      <c r="E109" s="3" t="s">
        <v>125</v>
      </c>
      <c r="F109" s="7">
        <v>64096</v>
      </c>
      <c r="G109" s="5">
        <v>0.12</v>
      </c>
      <c r="H109" s="6" t="s">
        <v>77</v>
      </c>
      <c r="I109" s="3" t="s">
        <v>45</v>
      </c>
    </row>
    <row r="110" spans="1:9" ht="48" customHeight="1">
      <c r="A110" s="3" t="s">
        <v>40</v>
      </c>
      <c r="B110" s="3" t="s">
        <v>39</v>
      </c>
      <c r="C110" s="4">
        <v>45962</v>
      </c>
      <c r="D110" s="4">
        <v>45991</v>
      </c>
      <c r="E110" s="3" t="s">
        <v>126</v>
      </c>
      <c r="F110" s="7">
        <v>51317</v>
      </c>
      <c r="G110" s="5">
        <v>8.3000000000000004E-2</v>
      </c>
      <c r="H110" s="6" t="s">
        <v>43</v>
      </c>
      <c r="I110" s="3" t="s">
        <v>45</v>
      </c>
    </row>
    <row r="111" spans="1:9" ht="48" customHeight="1">
      <c r="A111" s="3" t="s">
        <v>40</v>
      </c>
      <c r="B111" s="3" t="s">
        <v>39</v>
      </c>
      <c r="C111" s="4">
        <v>45962</v>
      </c>
      <c r="D111" s="4">
        <v>45991</v>
      </c>
      <c r="E111" s="3" t="s">
        <v>127</v>
      </c>
      <c r="F111" s="7">
        <v>39358</v>
      </c>
      <c r="G111" s="5">
        <v>6.3E-2</v>
      </c>
      <c r="H111" s="6" t="s">
        <v>43</v>
      </c>
      <c r="I111" s="3" t="s">
        <v>45</v>
      </c>
    </row>
    <row r="112" spans="1:9" ht="48" customHeight="1">
      <c r="A112" s="3" t="s">
        <v>40</v>
      </c>
      <c r="B112" s="3" t="s">
        <v>39</v>
      </c>
      <c r="C112" s="4">
        <v>45962</v>
      </c>
      <c r="D112" s="4">
        <v>45991</v>
      </c>
      <c r="E112" s="3" t="s">
        <v>128</v>
      </c>
      <c r="F112" s="7">
        <v>45115</v>
      </c>
      <c r="G112" s="5">
        <v>7.2999999999999995E-2</v>
      </c>
      <c r="H112" s="6" t="s">
        <v>43</v>
      </c>
      <c r="I112" s="3" t="s">
        <v>45</v>
      </c>
    </row>
    <row r="113" spans="1:9" ht="48" customHeight="1">
      <c r="A113" s="3" t="s">
        <v>40</v>
      </c>
      <c r="B113" s="3" t="s">
        <v>39</v>
      </c>
      <c r="C113" s="4">
        <v>45962</v>
      </c>
      <c r="D113" s="4">
        <v>45991</v>
      </c>
      <c r="E113" s="3" t="s">
        <v>129</v>
      </c>
      <c r="F113" s="7">
        <v>23709</v>
      </c>
      <c r="G113" s="5">
        <v>3.7999999999999999E-2</v>
      </c>
      <c r="H113" s="6" t="s">
        <v>43</v>
      </c>
      <c r="I113" s="3" t="s">
        <v>45</v>
      </c>
    </row>
    <row r="114" spans="1:9" ht="48" customHeight="1">
      <c r="A114" s="3" t="s">
        <v>40</v>
      </c>
      <c r="B114" s="3" t="s">
        <v>39</v>
      </c>
      <c r="C114" s="4">
        <v>45962</v>
      </c>
      <c r="D114" s="4">
        <v>45991</v>
      </c>
      <c r="E114" s="3" t="s">
        <v>130</v>
      </c>
      <c r="F114" s="7">
        <v>29270</v>
      </c>
      <c r="G114" s="5">
        <v>4.7E-2</v>
      </c>
      <c r="H114" s="6" t="s">
        <v>43</v>
      </c>
      <c r="I114" s="3" t="s">
        <v>45</v>
      </c>
    </row>
    <row r="115" spans="1:9" ht="48" customHeight="1">
      <c r="A115" s="3" t="s">
        <v>40</v>
      </c>
      <c r="B115" s="3" t="s">
        <v>39</v>
      </c>
      <c r="C115" s="4">
        <v>45962</v>
      </c>
      <c r="D115" s="4">
        <v>45991</v>
      </c>
      <c r="E115" s="3" t="s">
        <v>131</v>
      </c>
      <c r="F115" s="7">
        <v>34601</v>
      </c>
      <c r="G115" s="5">
        <v>5.5999999999999994E-2</v>
      </c>
      <c r="H115" s="6" t="s">
        <v>43</v>
      </c>
      <c r="I115" s="3" t="s">
        <v>45</v>
      </c>
    </row>
    <row r="116" spans="1:9" ht="48" customHeight="1">
      <c r="A116" s="3" t="s">
        <v>40</v>
      </c>
      <c r="B116" s="3" t="s">
        <v>39</v>
      </c>
      <c r="C116" s="4">
        <v>45962</v>
      </c>
      <c r="D116" s="4">
        <v>45991</v>
      </c>
      <c r="E116" s="3" t="s">
        <v>132</v>
      </c>
      <c r="F116" s="7">
        <v>275240</v>
      </c>
      <c r="G116" s="5">
        <v>0.44299999999999995</v>
      </c>
      <c r="H116" s="6" t="s">
        <v>43</v>
      </c>
      <c r="I116" s="3" t="s">
        <v>45</v>
      </c>
    </row>
    <row r="117" spans="1:9" ht="48" customHeight="1">
      <c r="A117" s="3" t="s">
        <v>40</v>
      </c>
      <c r="B117" s="3" t="s">
        <v>39</v>
      </c>
      <c r="C117" s="4">
        <v>45962</v>
      </c>
      <c r="D117" s="4">
        <v>45991</v>
      </c>
      <c r="E117" s="3" t="s">
        <v>133</v>
      </c>
      <c r="F117" s="7">
        <v>69818</v>
      </c>
      <c r="G117" s="5">
        <v>0.11199999999999999</v>
      </c>
      <c r="H117" s="6" t="s">
        <v>43</v>
      </c>
      <c r="I117" s="3" t="s">
        <v>45</v>
      </c>
    </row>
    <row r="118" spans="1:9" ht="48" customHeight="1">
      <c r="A118" s="3" t="s">
        <v>40</v>
      </c>
      <c r="B118" s="3" t="s">
        <v>39</v>
      </c>
      <c r="C118" s="4">
        <v>45962</v>
      </c>
      <c r="D118" s="4">
        <v>45991</v>
      </c>
      <c r="E118" s="3" t="s">
        <v>134</v>
      </c>
      <c r="F118" s="7">
        <v>52241</v>
      </c>
      <c r="G118" s="5">
        <v>8.4000000000000005E-2</v>
      </c>
      <c r="H118" s="6" t="s">
        <v>43</v>
      </c>
      <c r="I118" s="3" t="s">
        <v>45</v>
      </c>
    </row>
    <row r="119" spans="1:9" ht="48" customHeight="1">
      <c r="A119" s="3" t="s">
        <v>40</v>
      </c>
      <c r="B119" s="3" t="s">
        <v>39</v>
      </c>
      <c r="C119" s="4">
        <v>45992</v>
      </c>
      <c r="D119" s="4">
        <v>46022</v>
      </c>
      <c r="E119" s="3" t="s">
        <v>126</v>
      </c>
      <c r="F119" s="7">
        <v>31941</v>
      </c>
      <c r="G119" s="5">
        <v>7.0000000000000007E-2</v>
      </c>
      <c r="H119" s="6" t="s">
        <v>54</v>
      </c>
      <c r="I119" s="3" t="s">
        <v>45</v>
      </c>
    </row>
    <row r="120" spans="1:9" ht="48" customHeight="1">
      <c r="A120" s="3" t="s">
        <v>40</v>
      </c>
      <c r="B120" s="3" t="s">
        <v>39</v>
      </c>
      <c r="C120" s="4">
        <v>45992</v>
      </c>
      <c r="D120" s="4">
        <v>46022</v>
      </c>
      <c r="E120" s="3" t="s">
        <v>127</v>
      </c>
      <c r="F120" s="7">
        <v>27142</v>
      </c>
      <c r="G120" s="5">
        <v>5.9000000000000004E-2</v>
      </c>
      <c r="H120" s="6" t="s">
        <v>54</v>
      </c>
      <c r="I120" s="3" t="s">
        <v>45</v>
      </c>
    </row>
    <row r="121" spans="1:9" ht="48" customHeight="1">
      <c r="A121" s="3" t="s">
        <v>40</v>
      </c>
      <c r="B121" s="3" t="s">
        <v>39</v>
      </c>
      <c r="C121" s="4">
        <v>45992</v>
      </c>
      <c r="D121" s="4">
        <v>46022</v>
      </c>
      <c r="E121" s="3" t="s">
        <v>128</v>
      </c>
      <c r="F121" s="7">
        <v>24297</v>
      </c>
      <c r="G121" s="5">
        <v>5.2999999999999999E-2</v>
      </c>
      <c r="H121" s="6" t="s">
        <v>54</v>
      </c>
      <c r="I121" s="3" t="s">
        <v>45</v>
      </c>
    </row>
    <row r="122" spans="1:9" ht="48" customHeight="1">
      <c r="A122" s="3" t="s">
        <v>40</v>
      </c>
      <c r="B122" s="3" t="s">
        <v>39</v>
      </c>
      <c r="C122" s="4">
        <v>45992</v>
      </c>
      <c r="D122" s="4">
        <v>46022</v>
      </c>
      <c r="E122" s="3" t="s">
        <v>129</v>
      </c>
      <c r="F122" s="7">
        <v>19288</v>
      </c>
      <c r="G122" s="5">
        <v>4.2000000000000003E-2</v>
      </c>
      <c r="H122" s="6" t="s">
        <v>54</v>
      </c>
      <c r="I122" s="3" t="s">
        <v>45</v>
      </c>
    </row>
    <row r="123" spans="1:9" ht="48" customHeight="1">
      <c r="A123" s="3" t="s">
        <v>40</v>
      </c>
      <c r="B123" s="3" t="s">
        <v>39</v>
      </c>
      <c r="C123" s="4">
        <v>45992</v>
      </c>
      <c r="D123" s="4">
        <v>46022</v>
      </c>
      <c r="E123" s="3" t="s">
        <v>130</v>
      </c>
      <c r="F123" s="7">
        <v>22214</v>
      </c>
      <c r="G123" s="5">
        <v>4.9000000000000002E-2</v>
      </c>
      <c r="H123" s="6" t="s">
        <v>54</v>
      </c>
      <c r="I123" s="3" t="s">
        <v>45</v>
      </c>
    </row>
    <row r="124" spans="1:9" ht="48" customHeight="1">
      <c r="A124" s="3" t="s">
        <v>40</v>
      </c>
      <c r="B124" s="3" t="s">
        <v>39</v>
      </c>
      <c r="C124" s="4">
        <v>45992</v>
      </c>
      <c r="D124" s="4">
        <v>46022</v>
      </c>
      <c r="E124" s="3" t="s">
        <v>131</v>
      </c>
      <c r="F124" s="7">
        <v>26362</v>
      </c>
      <c r="G124" s="5">
        <v>5.7999999999999996E-2</v>
      </c>
      <c r="H124" s="6" t="s">
        <v>54</v>
      </c>
      <c r="I124" s="3" t="s">
        <v>45</v>
      </c>
    </row>
    <row r="125" spans="1:9" ht="48" customHeight="1">
      <c r="A125" s="3" t="s">
        <v>40</v>
      </c>
      <c r="B125" s="3" t="s">
        <v>39</v>
      </c>
      <c r="C125" s="4">
        <v>45992</v>
      </c>
      <c r="D125" s="4">
        <v>46022</v>
      </c>
      <c r="E125" s="3" t="s">
        <v>132</v>
      </c>
      <c r="F125" s="7">
        <v>222733</v>
      </c>
      <c r="G125" s="5">
        <v>0.48599999999999999</v>
      </c>
      <c r="H125" s="6" t="s">
        <v>54</v>
      </c>
      <c r="I125" s="3" t="s">
        <v>45</v>
      </c>
    </row>
    <row r="126" spans="1:9" ht="48" customHeight="1">
      <c r="A126" s="3" t="s">
        <v>40</v>
      </c>
      <c r="B126" s="3" t="s">
        <v>39</v>
      </c>
      <c r="C126" s="4">
        <v>45992</v>
      </c>
      <c r="D126" s="4">
        <v>46022</v>
      </c>
      <c r="E126" s="3" t="s">
        <v>133</v>
      </c>
      <c r="F126" s="7">
        <v>46228</v>
      </c>
      <c r="G126" s="5">
        <v>0.10099999999999999</v>
      </c>
      <c r="H126" s="6" t="s">
        <v>54</v>
      </c>
      <c r="I126" s="3" t="s">
        <v>45</v>
      </c>
    </row>
    <row r="127" spans="1:9" ht="48" customHeight="1">
      <c r="A127" s="3" t="s">
        <v>40</v>
      </c>
      <c r="B127" s="3" t="s">
        <v>39</v>
      </c>
      <c r="C127" s="4">
        <v>45992</v>
      </c>
      <c r="D127" s="4">
        <v>46022</v>
      </c>
      <c r="E127" s="3" t="s">
        <v>134</v>
      </c>
      <c r="F127" s="7">
        <v>37642</v>
      </c>
      <c r="G127" s="5">
        <v>8.199999999999999E-2</v>
      </c>
      <c r="H127" s="6" t="s">
        <v>54</v>
      </c>
      <c r="I127" s="3" t="s">
        <v>45</v>
      </c>
    </row>
    <row r="128" spans="1:9" ht="48" customHeight="1">
      <c r="A128" s="3" t="s">
        <v>40</v>
      </c>
      <c r="B128" s="3" t="s">
        <v>39</v>
      </c>
      <c r="C128" s="4">
        <v>46023</v>
      </c>
      <c r="D128" s="4">
        <v>46053</v>
      </c>
      <c r="E128" s="3" t="s">
        <v>126</v>
      </c>
      <c r="F128" s="7">
        <v>29232</v>
      </c>
      <c r="G128" s="5">
        <v>6.4000000000000001E-2</v>
      </c>
      <c r="H128" s="6" t="s">
        <v>55</v>
      </c>
      <c r="I128" s="3" t="s">
        <v>45</v>
      </c>
    </row>
    <row r="129" spans="1:9" ht="48" customHeight="1">
      <c r="A129" s="3" t="s">
        <v>40</v>
      </c>
      <c r="B129" s="3" t="s">
        <v>39</v>
      </c>
      <c r="C129" s="4">
        <v>46023</v>
      </c>
      <c r="D129" s="4">
        <v>46053</v>
      </c>
      <c r="E129" s="3" t="s">
        <v>127</v>
      </c>
      <c r="F129" s="7">
        <v>25294</v>
      </c>
      <c r="G129" s="5">
        <v>5.5E-2</v>
      </c>
      <c r="H129" s="6" t="s">
        <v>55</v>
      </c>
      <c r="I129" s="3" t="s">
        <v>45</v>
      </c>
    </row>
    <row r="130" spans="1:9" ht="48" customHeight="1">
      <c r="A130" s="3" t="s">
        <v>40</v>
      </c>
      <c r="B130" s="3" t="s">
        <v>39</v>
      </c>
      <c r="C130" s="4">
        <v>46023</v>
      </c>
      <c r="D130" s="4">
        <v>46053</v>
      </c>
      <c r="E130" s="3" t="s">
        <v>128</v>
      </c>
      <c r="F130" s="7">
        <v>21959</v>
      </c>
      <c r="G130" s="5">
        <v>4.8000000000000001E-2</v>
      </c>
      <c r="H130" s="6" t="s">
        <v>55</v>
      </c>
      <c r="I130" s="3" t="s">
        <v>45</v>
      </c>
    </row>
    <row r="131" spans="1:9" ht="48" customHeight="1">
      <c r="A131" s="3" t="s">
        <v>40</v>
      </c>
      <c r="B131" s="3" t="s">
        <v>39</v>
      </c>
      <c r="C131" s="4">
        <v>46023</v>
      </c>
      <c r="D131" s="4">
        <v>46053</v>
      </c>
      <c r="E131" s="3" t="s">
        <v>129</v>
      </c>
      <c r="F131" s="7">
        <v>17028</v>
      </c>
      <c r="G131" s="5">
        <v>3.7000000000000005E-2</v>
      </c>
      <c r="H131" s="6" t="s">
        <v>55</v>
      </c>
      <c r="I131" s="3" t="s">
        <v>45</v>
      </c>
    </row>
    <row r="132" spans="1:9" ht="48" customHeight="1">
      <c r="A132" s="3" t="s">
        <v>40</v>
      </c>
      <c r="B132" s="3" t="s">
        <v>39</v>
      </c>
      <c r="C132" s="4">
        <v>46023</v>
      </c>
      <c r="D132" s="4">
        <v>46053</v>
      </c>
      <c r="E132" s="3" t="s">
        <v>130</v>
      </c>
      <c r="F132" s="7">
        <v>23398</v>
      </c>
      <c r="G132" s="5">
        <v>5.0999999999999997E-2</v>
      </c>
      <c r="H132" s="6" t="s">
        <v>55</v>
      </c>
      <c r="I132" s="3" t="s">
        <v>45</v>
      </c>
    </row>
    <row r="133" spans="1:9" ht="48" customHeight="1">
      <c r="A133" s="3" t="s">
        <v>40</v>
      </c>
      <c r="B133" s="3" t="s">
        <v>39</v>
      </c>
      <c r="C133" s="4">
        <v>46023</v>
      </c>
      <c r="D133" s="4">
        <v>46053</v>
      </c>
      <c r="E133" s="3" t="s">
        <v>131</v>
      </c>
      <c r="F133" s="7">
        <v>33005</v>
      </c>
      <c r="G133" s="5">
        <v>7.2000000000000008E-2</v>
      </c>
      <c r="H133" s="6" t="s">
        <v>55</v>
      </c>
      <c r="I133" s="3" t="s">
        <v>45</v>
      </c>
    </row>
    <row r="134" spans="1:9" ht="48" customHeight="1">
      <c r="A134" s="3" t="s">
        <v>40</v>
      </c>
      <c r="B134" s="3" t="s">
        <v>39</v>
      </c>
      <c r="C134" s="4">
        <v>46023</v>
      </c>
      <c r="D134" s="4">
        <v>46053</v>
      </c>
      <c r="E134" s="3" t="s">
        <v>132</v>
      </c>
      <c r="F134" s="7">
        <v>224584</v>
      </c>
      <c r="G134" s="5">
        <v>0.49200000000000005</v>
      </c>
      <c r="H134" s="6" t="s">
        <v>55</v>
      </c>
      <c r="I134" s="3" t="s">
        <v>45</v>
      </c>
    </row>
    <row r="135" spans="1:9" ht="48" customHeight="1">
      <c r="A135" s="3" t="s">
        <v>40</v>
      </c>
      <c r="B135" s="3" t="s">
        <v>39</v>
      </c>
      <c r="C135" s="4">
        <v>46023</v>
      </c>
      <c r="D135" s="4">
        <v>46053</v>
      </c>
      <c r="E135" s="3" t="s">
        <v>133</v>
      </c>
      <c r="F135" s="7">
        <v>42654</v>
      </c>
      <c r="G135" s="5">
        <v>9.3000000000000013E-2</v>
      </c>
      <c r="H135" s="6" t="s">
        <v>55</v>
      </c>
      <c r="I135" s="3" t="s">
        <v>45</v>
      </c>
    </row>
    <row r="136" spans="1:9" ht="48" customHeight="1">
      <c r="A136" s="3" t="s">
        <v>40</v>
      </c>
      <c r="B136" s="3" t="s">
        <v>39</v>
      </c>
      <c r="C136" s="4">
        <v>46023</v>
      </c>
      <c r="D136" s="4">
        <v>46053</v>
      </c>
      <c r="E136" s="3" t="s">
        <v>134</v>
      </c>
      <c r="F136" s="7">
        <v>39368</v>
      </c>
      <c r="G136" s="5">
        <v>8.5999999999999993E-2</v>
      </c>
      <c r="H136" s="6" t="s">
        <v>55</v>
      </c>
      <c r="I136" s="3" t="s">
        <v>45</v>
      </c>
    </row>
    <row r="137" spans="1:9" ht="48" customHeight="1">
      <c r="A137" s="3" t="s">
        <v>40</v>
      </c>
      <c r="B137" s="3" t="s">
        <v>39</v>
      </c>
      <c r="C137" s="4">
        <v>46054</v>
      </c>
      <c r="D137" s="4">
        <v>46081</v>
      </c>
      <c r="E137" s="3" t="s">
        <v>126</v>
      </c>
      <c r="F137" s="7">
        <v>39613</v>
      </c>
      <c r="G137" s="5">
        <v>6.5000000000000002E-2</v>
      </c>
      <c r="H137" s="6" t="s">
        <v>56</v>
      </c>
      <c r="I137" s="3" t="s">
        <v>45</v>
      </c>
    </row>
    <row r="138" spans="1:9" ht="48" customHeight="1">
      <c r="A138" s="3" t="s">
        <v>40</v>
      </c>
      <c r="B138" s="3" t="s">
        <v>39</v>
      </c>
      <c r="C138" s="4">
        <v>46054</v>
      </c>
      <c r="D138" s="4">
        <v>46081</v>
      </c>
      <c r="E138" s="3" t="s">
        <v>127</v>
      </c>
      <c r="F138" s="7">
        <v>31780</v>
      </c>
      <c r="G138" s="5">
        <v>5.2000000000000005E-2</v>
      </c>
      <c r="H138" s="6" t="s">
        <v>56</v>
      </c>
      <c r="I138" s="3" t="s">
        <v>45</v>
      </c>
    </row>
    <row r="139" spans="1:9" ht="48" customHeight="1">
      <c r="A139" s="3" t="s">
        <v>40</v>
      </c>
      <c r="B139" s="3" t="s">
        <v>39</v>
      </c>
      <c r="C139" s="4">
        <v>46054</v>
      </c>
      <c r="D139" s="4">
        <v>46081</v>
      </c>
      <c r="E139" s="3" t="s">
        <v>128</v>
      </c>
      <c r="F139" s="7">
        <v>31350</v>
      </c>
      <c r="G139" s="5">
        <v>5.2000000000000005E-2</v>
      </c>
      <c r="H139" s="6" t="s">
        <v>56</v>
      </c>
      <c r="I139" s="3" t="s">
        <v>45</v>
      </c>
    </row>
    <row r="140" spans="1:9" ht="48" customHeight="1">
      <c r="A140" s="3" t="s">
        <v>40</v>
      </c>
      <c r="B140" s="3" t="s">
        <v>39</v>
      </c>
      <c r="C140" s="4">
        <v>46054</v>
      </c>
      <c r="D140" s="4">
        <v>46081</v>
      </c>
      <c r="E140" s="3" t="s">
        <v>129</v>
      </c>
      <c r="F140" s="7">
        <v>24132</v>
      </c>
      <c r="G140" s="5">
        <v>0.04</v>
      </c>
      <c r="H140" s="6" t="s">
        <v>56</v>
      </c>
      <c r="I140" s="3" t="s">
        <v>45</v>
      </c>
    </row>
    <row r="141" spans="1:9" ht="48" customHeight="1">
      <c r="A141" s="3" t="s">
        <v>40</v>
      </c>
      <c r="B141" s="3" t="s">
        <v>39</v>
      </c>
      <c r="C141" s="4">
        <v>46054</v>
      </c>
      <c r="D141" s="4">
        <v>46081</v>
      </c>
      <c r="E141" s="3" t="s">
        <v>130</v>
      </c>
      <c r="F141" s="7">
        <v>26859</v>
      </c>
      <c r="G141" s="5">
        <v>4.4000000000000004E-2</v>
      </c>
      <c r="H141" s="6" t="s">
        <v>56</v>
      </c>
      <c r="I141" s="3" t="s">
        <v>45</v>
      </c>
    </row>
    <row r="142" spans="1:9" ht="48" customHeight="1">
      <c r="A142" s="3" t="s">
        <v>40</v>
      </c>
      <c r="B142" s="3" t="s">
        <v>39</v>
      </c>
      <c r="C142" s="4">
        <v>46054</v>
      </c>
      <c r="D142" s="4">
        <v>46081</v>
      </c>
      <c r="E142" s="3" t="s">
        <v>131</v>
      </c>
      <c r="F142" s="7">
        <v>28850</v>
      </c>
      <c r="G142" s="5">
        <v>4.8000000000000001E-2</v>
      </c>
      <c r="H142" s="6" t="s">
        <v>56</v>
      </c>
      <c r="I142" s="3" t="s">
        <v>45</v>
      </c>
    </row>
    <row r="143" spans="1:9" ht="48" customHeight="1">
      <c r="A143" s="3" t="s">
        <v>40</v>
      </c>
      <c r="B143" s="3" t="s">
        <v>39</v>
      </c>
      <c r="C143" s="4">
        <v>46054</v>
      </c>
      <c r="D143" s="4">
        <v>46081</v>
      </c>
      <c r="E143" s="3" t="s">
        <v>132</v>
      </c>
      <c r="F143" s="7">
        <v>317426</v>
      </c>
      <c r="G143" s="5">
        <v>0.52400000000000002</v>
      </c>
      <c r="H143" s="6" t="s">
        <v>56</v>
      </c>
      <c r="I143" s="3" t="s">
        <v>45</v>
      </c>
    </row>
    <row r="144" spans="1:9" ht="48" customHeight="1">
      <c r="A144" s="3" t="s">
        <v>40</v>
      </c>
      <c r="B144" s="3" t="s">
        <v>39</v>
      </c>
      <c r="C144" s="4">
        <v>46054</v>
      </c>
      <c r="D144" s="4">
        <v>46081</v>
      </c>
      <c r="E144" s="3" t="s">
        <v>133</v>
      </c>
      <c r="F144" s="7">
        <v>60410</v>
      </c>
      <c r="G144" s="5">
        <v>0.1</v>
      </c>
      <c r="H144" s="6" t="s">
        <v>56</v>
      </c>
      <c r="I144" s="3" t="s">
        <v>45</v>
      </c>
    </row>
    <row r="145" spans="1:9" ht="48" customHeight="1">
      <c r="A145" s="3" t="s">
        <v>40</v>
      </c>
      <c r="B145" s="3" t="s">
        <v>39</v>
      </c>
      <c r="C145" s="4">
        <v>46054</v>
      </c>
      <c r="D145" s="4">
        <v>46081</v>
      </c>
      <c r="E145" s="3" t="s">
        <v>134</v>
      </c>
      <c r="F145" s="7">
        <v>45406</v>
      </c>
      <c r="G145" s="5">
        <v>7.4999999999999997E-2</v>
      </c>
      <c r="H145" s="6" t="s">
        <v>56</v>
      </c>
      <c r="I145" s="3" t="s">
        <v>45</v>
      </c>
    </row>
    <row r="146" spans="1:9" ht="48" customHeight="1">
      <c r="A146" s="3" t="s">
        <v>40</v>
      </c>
      <c r="B146" s="3" t="s">
        <v>39</v>
      </c>
      <c r="C146" s="4">
        <v>46082</v>
      </c>
      <c r="D146" s="4">
        <v>46112</v>
      </c>
      <c r="E146" s="3" t="s">
        <v>126</v>
      </c>
      <c r="F146" s="7">
        <v>42231</v>
      </c>
      <c r="G146" s="5">
        <v>0.06</v>
      </c>
      <c r="H146" s="6" t="s">
        <v>58</v>
      </c>
      <c r="I146" s="3" t="s">
        <v>45</v>
      </c>
    </row>
    <row r="147" spans="1:9" ht="48" customHeight="1">
      <c r="A147" s="3" t="s">
        <v>40</v>
      </c>
      <c r="B147" s="3" t="s">
        <v>39</v>
      </c>
      <c r="C147" s="4">
        <v>46082</v>
      </c>
      <c r="D147" s="4">
        <v>46112</v>
      </c>
      <c r="E147" s="3" t="s">
        <v>127</v>
      </c>
      <c r="F147" s="7">
        <v>36925</v>
      </c>
      <c r="G147" s="5">
        <v>5.2999999999999999E-2</v>
      </c>
      <c r="H147" s="6" t="s">
        <v>58</v>
      </c>
      <c r="I147" s="3" t="s">
        <v>45</v>
      </c>
    </row>
    <row r="148" spans="1:9" ht="48" customHeight="1">
      <c r="A148" s="3" t="s">
        <v>40</v>
      </c>
      <c r="B148" s="3" t="s">
        <v>39</v>
      </c>
      <c r="C148" s="4">
        <v>46082</v>
      </c>
      <c r="D148" s="4">
        <v>46112</v>
      </c>
      <c r="E148" s="3" t="s">
        <v>128</v>
      </c>
      <c r="F148" s="7">
        <v>35318</v>
      </c>
      <c r="G148" s="5">
        <v>0.05</v>
      </c>
      <c r="H148" s="6" t="s">
        <v>58</v>
      </c>
      <c r="I148" s="3" t="s">
        <v>45</v>
      </c>
    </row>
    <row r="149" spans="1:9" ht="48" customHeight="1">
      <c r="A149" s="3" t="s">
        <v>40</v>
      </c>
      <c r="B149" s="3" t="s">
        <v>39</v>
      </c>
      <c r="C149" s="4">
        <v>46082</v>
      </c>
      <c r="D149" s="4">
        <v>46112</v>
      </c>
      <c r="E149" s="3" t="s">
        <v>129</v>
      </c>
      <c r="F149" s="7">
        <v>25263</v>
      </c>
      <c r="G149" s="5">
        <v>3.6000000000000004E-2</v>
      </c>
      <c r="H149" s="6" t="s">
        <v>58</v>
      </c>
      <c r="I149" s="3" t="s">
        <v>45</v>
      </c>
    </row>
    <row r="150" spans="1:9" ht="48" customHeight="1">
      <c r="A150" s="3" t="s">
        <v>40</v>
      </c>
      <c r="B150" s="3" t="s">
        <v>39</v>
      </c>
      <c r="C150" s="4">
        <v>46082</v>
      </c>
      <c r="D150" s="4">
        <v>46112</v>
      </c>
      <c r="E150" s="3" t="s">
        <v>130</v>
      </c>
      <c r="F150" s="7">
        <v>25666</v>
      </c>
      <c r="G150" s="5">
        <v>3.7000000000000005E-2</v>
      </c>
      <c r="H150" s="6" t="s">
        <v>58</v>
      </c>
      <c r="I150" s="3" t="s">
        <v>45</v>
      </c>
    </row>
    <row r="151" spans="1:9" ht="48" customHeight="1">
      <c r="A151" s="3" t="s">
        <v>40</v>
      </c>
      <c r="B151" s="3" t="s">
        <v>39</v>
      </c>
      <c r="C151" s="4">
        <v>46082</v>
      </c>
      <c r="D151" s="4">
        <v>46112</v>
      </c>
      <c r="E151" s="3" t="s">
        <v>131</v>
      </c>
      <c r="F151" s="7">
        <v>25039</v>
      </c>
      <c r="G151" s="5">
        <v>3.6000000000000004E-2</v>
      </c>
      <c r="H151" s="6" t="s">
        <v>58</v>
      </c>
      <c r="I151" s="3" t="s">
        <v>45</v>
      </c>
    </row>
    <row r="152" spans="1:9" ht="48" customHeight="1">
      <c r="A152" s="3" t="s">
        <v>40</v>
      </c>
      <c r="B152" s="3" t="s">
        <v>39</v>
      </c>
      <c r="C152" s="4">
        <v>46082</v>
      </c>
      <c r="D152" s="4">
        <v>46112</v>
      </c>
      <c r="E152" s="3" t="s">
        <v>132</v>
      </c>
      <c r="F152" s="7">
        <v>385672</v>
      </c>
      <c r="G152" s="5">
        <v>0.55100000000000005</v>
      </c>
      <c r="H152" s="6" t="s">
        <v>58</v>
      </c>
      <c r="I152" s="3" t="s">
        <v>45</v>
      </c>
    </row>
    <row r="153" spans="1:9" ht="48" customHeight="1">
      <c r="A153" s="3" t="s">
        <v>40</v>
      </c>
      <c r="B153" s="3" t="s">
        <v>39</v>
      </c>
      <c r="C153" s="4">
        <v>46082</v>
      </c>
      <c r="D153" s="4">
        <v>46112</v>
      </c>
      <c r="E153" s="3" t="s">
        <v>133</v>
      </c>
      <c r="F153" s="7">
        <v>64418</v>
      </c>
      <c r="G153" s="5">
        <v>9.1999999999999998E-2</v>
      </c>
      <c r="H153" s="6" t="s">
        <v>58</v>
      </c>
      <c r="I153" s="3" t="s">
        <v>45</v>
      </c>
    </row>
    <row r="154" spans="1:9" ht="48" customHeight="1">
      <c r="A154" s="3" t="s">
        <v>40</v>
      </c>
      <c r="B154" s="3" t="s">
        <v>39</v>
      </c>
      <c r="C154" s="4">
        <v>46082</v>
      </c>
      <c r="D154" s="4">
        <v>46112</v>
      </c>
      <c r="E154" s="3" t="s">
        <v>134</v>
      </c>
      <c r="F154" s="7">
        <v>59482</v>
      </c>
      <c r="G154" s="5">
        <v>8.5000000000000006E-2</v>
      </c>
      <c r="H154" s="6" t="s">
        <v>58</v>
      </c>
      <c r="I154" s="3" t="s">
        <v>45</v>
      </c>
    </row>
    <row r="155" spans="1:9" ht="48" customHeight="1">
      <c r="A155" s="3" t="s">
        <v>40</v>
      </c>
      <c r="B155" s="3" t="s">
        <v>39</v>
      </c>
      <c r="C155" s="4">
        <v>46113</v>
      </c>
      <c r="D155" s="4">
        <v>46142</v>
      </c>
      <c r="E155" s="3" t="s">
        <v>126</v>
      </c>
      <c r="F155" s="7">
        <v>62405</v>
      </c>
      <c r="G155" s="5">
        <v>7.6999999999999999E-2</v>
      </c>
      <c r="H155" s="6" t="s">
        <v>59</v>
      </c>
      <c r="I155" s="3" t="s">
        <v>45</v>
      </c>
    </row>
    <row r="156" spans="1:9" ht="48" customHeight="1">
      <c r="A156" s="3" t="s">
        <v>40</v>
      </c>
      <c r="B156" s="3" t="s">
        <v>39</v>
      </c>
      <c r="C156" s="4">
        <v>46113</v>
      </c>
      <c r="D156" s="4">
        <v>46142</v>
      </c>
      <c r="E156" s="3" t="s">
        <v>127</v>
      </c>
      <c r="F156" s="7">
        <v>40456</v>
      </c>
      <c r="G156" s="5">
        <v>0.05</v>
      </c>
      <c r="H156" s="6" t="s">
        <v>59</v>
      </c>
      <c r="I156" s="3" t="s">
        <v>45</v>
      </c>
    </row>
    <row r="157" spans="1:9" ht="48" customHeight="1">
      <c r="A157" s="3" t="s">
        <v>40</v>
      </c>
      <c r="B157" s="3" t="s">
        <v>39</v>
      </c>
      <c r="C157" s="4">
        <v>46113</v>
      </c>
      <c r="D157" s="4">
        <v>46142</v>
      </c>
      <c r="E157" s="3" t="s">
        <v>128</v>
      </c>
      <c r="F157" s="7">
        <v>46330</v>
      </c>
      <c r="G157" s="5">
        <v>5.7000000000000002E-2</v>
      </c>
      <c r="H157" s="6" t="s">
        <v>59</v>
      </c>
      <c r="I157" s="3" t="s">
        <v>45</v>
      </c>
    </row>
    <row r="158" spans="1:9" ht="48" customHeight="1">
      <c r="A158" s="3" t="s">
        <v>40</v>
      </c>
      <c r="B158" s="3" t="s">
        <v>39</v>
      </c>
      <c r="C158" s="4">
        <v>46113</v>
      </c>
      <c r="D158" s="4">
        <v>46142</v>
      </c>
      <c r="E158" s="3" t="s">
        <v>129</v>
      </c>
      <c r="F158" s="7">
        <v>27038</v>
      </c>
      <c r="G158" s="5">
        <v>3.3000000000000002E-2</v>
      </c>
      <c r="H158" s="6" t="s">
        <v>59</v>
      </c>
      <c r="I158" s="3" t="s">
        <v>45</v>
      </c>
    </row>
    <row r="159" spans="1:9" ht="48" customHeight="1">
      <c r="A159" s="3" t="s">
        <v>40</v>
      </c>
      <c r="B159" s="3" t="s">
        <v>39</v>
      </c>
      <c r="C159" s="4">
        <v>46113</v>
      </c>
      <c r="D159" s="4">
        <v>46142</v>
      </c>
      <c r="E159" s="3" t="s">
        <v>130</v>
      </c>
      <c r="F159" s="7">
        <v>29498</v>
      </c>
      <c r="G159" s="5">
        <v>3.6000000000000004E-2</v>
      </c>
      <c r="H159" s="6" t="s">
        <v>59</v>
      </c>
      <c r="I159" s="3" t="s">
        <v>45</v>
      </c>
    </row>
    <row r="160" spans="1:9" ht="48" customHeight="1">
      <c r="A160" s="3" t="s">
        <v>40</v>
      </c>
      <c r="B160" s="3" t="s">
        <v>39</v>
      </c>
      <c r="C160" s="4">
        <v>46113</v>
      </c>
      <c r="D160" s="4">
        <v>46142</v>
      </c>
      <c r="E160" s="3" t="s">
        <v>131</v>
      </c>
      <c r="F160" s="7">
        <v>34744</v>
      </c>
      <c r="G160" s="5">
        <v>4.2999999999999997E-2</v>
      </c>
      <c r="H160" s="6" t="s">
        <v>59</v>
      </c>
      <c r="I160" s="3" t="s">
        <v>45</v>
      </c>
    </row>
    <row r="161" spans="1:9" ht="48" customHeight="1">
      <c r="A161" s="3" t="s">
        <v>40</v>
      </c>
      <c r="B161" s="3" t="s">
        <v>39</v>
      </c>
      <c r="C161" s="4">
        <v>46113</v>
      </c>
      <c r="D161" s="4">
        <v>46142</v>
      </c>
      <c r="E161" s="3" t="s">
        <v>132</v>
      </c>
      <c r="F161" s="7">
        <v>434830</v>
      </c>
      <c r="G161" s="5">
        <v>0.53500000000000003</v>
      </c>
      <c r="H161" s="6" t="s">
        <v>59</v>
      </c>
      <c r="I161" s="3" t="s">
        <v>45</v>
      </c>
    </row>
    <row r="162" spans="1:9" ht="48" customHeight="1">
      <c r="A162" s="3" t="s">
        <v>40</v>
      </c>
      <c r="B162" s="3" t="s">
        <v>39</v>
      </c>
      <c r="C162" s="4">
        <v>46113</v>
      </c>
      <c r="D162" s="4">
        <v>46142</v>
      </c>
      <c r="E162" s="3" t="s">
        <v>133</v>
      </c>
      <c r="F162" s="7">
        <v>69580</v>
      </c>
      <c r="G162" s="5">
        <v>8.5999999999999993E-2</v>
      </c>
      <c r="H162" s="6" t="s">
        <v>59</v>
      </c>
      <c r="I162" s="3" t="s">
        <v>45</v>
      </c>
    </row>
    <row r="163" spans="1:9" ht="48" customHeight="1">
      <c r="A163" s="3" t="s">
        <v>40</v>
      </c>
      <c r="B163" s="3" t="s">
        <v>39</v>
      </c>
      <c r="C163" s="4">
        <v>46113</v>
      </c>
      <c r="D163" s="4">
        <v>46142</v>
      </c>
      <c r="E163" s="3" t="s">
        <v>134</v>
      </c>
      <c r="F163" s="7">
        <v>67672</v>
      </c>
      <c r="G163" s="5">
        <v>8.3000000000000004E-2</v>
      </c>
      <c r="H163" s="6" t="s">
        <v>59</v>
      </c>
      <c r="I163" s="3" t="s">
        <v>45</v>
      </c>
    </row>
    <row r="164" spans="1:9" ht="48" customHeight="1">
      <c r="A164" s="3" t="s">
        <v>40</v>
      </c>
      <c r="B164" s="3" t="s">
        <v>39</v>
      </c>
      <c r="C164" s="4">
        <v>46143</v>
      </c>
      <c r="D164" s="4">
        <v>46173</v>
      </c>
      <c r="E164" s="3" t="s">
        <v>126</v>
      </c>
      <c r="F164" s="7">
        <v>96971</v>
      </c>
      <c r="G164" s="5">
        <v>0.09</v>
      </c>
      <c r="H164" s="6" t="s">
        <v>60</v>
      </c>
      <c r="I164" s="3" t="s">
        <v>45</v>
      </c>
    </row>
    <row r="165" spans="1:9" ht="48" customHeight="1">
      <c r="A165" s="3" t="s">
        <v>40</v>
      </c>
      <c r="B165" s="3" t="s">
        <v>39</v>
      </c>
      <c r="C165" s="4">
        <v>46143</v>
      </c>
      <c r="D165" s="4">
        <v>46173</v>
      </c>
      <c r="E165" s="3" t="s">
        <v>127</v>
      </c>
      <c r="F165" s="7">
        <v>51832</v>
      </c>
      <c r="G165" s="5">
        <v>4.8000000000000001E-2</v>
      </c>
      <c r="H165" s="6" t="s">
        <v>60</v>
      </c>
      <c r="I165" s="3" t="s">
        <v>45</v>
      </c>
    </row>
    <row r="166" spans="1:9" ht="48" customHeight="1">
      <c r="A166" s="3" t="s">
        <v>40</v>
      </c>
      <c r="B166" s="3" t="s">
        <v>39</v>
      </c>
      <c r="C166" s="4">
        <v>46143</v>
      </c>
      <c r="D166" s="4">
        <v>46173</v>
      </c>
      <c r="E166" s="3" t="s">
        <v>128</v>
      </c>
      <c r="F166" s="7">
        <v>100198</v>
      </c>
      <c r="G166" s="5">
        <v>9.3000000000000013E-2</v>
      </c>
      <c r="H166" s="6" t="s">
        <v>60</v>
      </c>
      <c r="I166" s="3" t="s">
        <v>45</v>
      </c>
    </row>
    <row r="167" spans="1:9" ht="48" customHeight="1">
      <c r="A167" s="3" t="s">
        <v>40</v>
      </c>
      <c r="B167" s="3" t="s">
        <v>39</v>
      </c>
      <c r="C167" s="4">
        <v>46143</v>
      </c>
      <c r="D167" s="4">
        <v>46173</v>
      </c>
      <c r="E167" s="3" t="s">
        <v>129</v>
      </c>
      <c r="F167" s="7">
        <v>34097</v>
      </c>
      <c r="G167" s="5">
        <v>3.2000000000000001E-2</v>
      </c>
      <c r="H167" s="6" t="s">
        <v>60</v>
      </c>
      <c r="I167" s="3" t="s">
        <v>45</v>
      </c>
    </row>
    <row r="168" spans="1:9" ht="48" customHeight="1">
      <c r="A168" s="3" t="s">
        <v>40</v>
      </c>
      <c r="B168" s="3" t="s">
        <v>39</v>
      </c>
      <c r="C168" s="4">
        <v>46143</v>
      </c>
      <c r="D168" s="4">
        <v>46173</v>
      </c>
      <c r="E168" s="3" t="s">
        <v>130</v>
      </c>
      <c r="F168" s="7">
        <v>44342</v>
      </c>
      <c r="G168" s="5">
        <v>4.0999999999999995E-2</v>
      </c>
      <c r="H168" s="6" t="s">
        <v>60</v>
      </c>
      <c r="I168" s="3" t="s">
        <v>45</v>
      </c>
    </row>
    <row r="169" spans="1:9" ht="48" customHeight="1">
      <c r="A169" s="3" t="s">
        <v>40</v>
      </c>
      <c r="B169" s="3" t="s">
        <v>39</v>
      </c>
      <c r="C169" s="4">
        <v>46143</v>
      </c>
      <c r="D169" s="4">
        <v>46173</v>
      </c>
      <c r="E169" s="3" t="s">
        <v>131</v>
      </c>
      <c r="F169" s="7">
        <v>51478</v>
      </c>
      <c r="G169" s="5">
        <v>4.8000000000000001E-2</v>
      </c>
      <c r="H169" s="6" t="s">
        <v>60</v>
      </c>
      <c r="I169" s="3" t="s">
        <v>45</v>
      </c>
    </row>
    <row r="170" spans="1:9" ht="48" customHeight="1">
      <c r="A170" s="3" t="s">
        <v>40</v>
      </c>
      <c r="B170" s="3" t="s">
        <v>39</v>
      </c>
      <c r="C170" s="4">
        <v>46143</v>
      </c>
      <c r="D170" s="4">
        <v>46173</v>
      </c>
      <c r="E170" s="3" t="s">
        <v>132</v>
      </c>
      <c r="F170" s="7">
        <v>505001</v>
      </c>
      <c r="G170" s="5">
        <v>0.46700000000000003</v>
      </c>
      <c r="H170" s="6" t="s">
        <v>60</v>
      </c>
      <c r="I170" s="3" t="s">
        <v>45</v>
      </c>
    </row>
    <row r="171" spans="1:9" ht="48" customHeight="1">
      <c r="A171" s="3" t="s">
        <v>40</v>
      </c>
      <c r="B171" s="3" t="s">
        <v>39</v>
      </c>
      <c r="C171" s="4">
        <v>46143</v>
      </c>
      <c r="D171" s="4">
        <v>46173</v>
      </c>
      <c r="E171" s="3" t="s">
        <v>133</v>
      </c>
      <c r="F171" s="7">
        <v>104328</v>
      </c>
      <c r="G171" s="5">
        <v>9.6000000000000002E-2</v>
      </c>
      <c r="H171" s="6" t="s">
        <v>60</v>
      </c>
      <c r="I171" s="3" t="s">
        <v>45</v>
      </c>
    </row>
    <row r="172" spans="1:9" ht="48" customHeight="1">
      <c r="A172" s="3" t="s">
        <v>40</v>
      </c>
      <c r="B172" s="3" t="s">
        <v>39</v>
      </c>
      <c r="C172" s="4">
        <v>46143</v>
      </c>
      <c r="D172" s="4">
        <v>46173</v>
      </c>
      <c r="E172" s="3" t="s">
        <v>134</v>
      </c>
      <c r="F172" s="7">
        <v>93034</v>
      </c>
      <c r="G172" s="5">
        <v>8.5999999999999993E-2</v>
      </c>
      <c r="H172" s="6" t="s">
        <v>60</v>
      </c>
      <c r="I172" s="3" t="s">
        <v>45</v>
      </c>
    </row>
    <row r="173" spans="1:9" ht="48" customHeight="1">
      <c r="A173" s="3" t="s">
        <v>40</v>
      </c>
      <c r="B173" s="3" t="s">
        <v>39</v>
      </c>
      <c r="C173" s="4">
        <v>46174</v>
      </c>
      <c r="D173" s="4">
        <v>46203</v>
      </c>
      <c r="E173" s="3" t="s">
        <v>126</v>
      </c>
      <c r="F173" s="7">
        <v>79513</v>
      </c>
      <c r="G173" s="5">
        <v>9.3000000000000013E-2</v>
      </c>
      <c r="H173" s="6" t="s">
        <v>61</v>
      </c>
      <c r="I173" s="3" t="s">
        <v>45</v>
      </c>
    </row>
    <row r="174" spans="1:9" ht="48" customHeight="1">
      <c r="A174" s="3" t="s">
        <v>40</v>
      </c>
      <c r="B174" s="3" t="s">
        <v>39</v>
      </c>
      <c r="C174" s="4">
        <v>46174</v>
      </c>
      <c r="D174" s="4">
        <v>46203</v>
      </c>
      <c r="E174" s="3" t="s">
        <v>127</v>
      </c>
      <c r="F174" s="7">
        <v>48744</v>
      </c>
      <c r="G174" s="5">
        <v>5.7000000000000002E-2</v>
      </c>
      <c r="H174" s="6" t="s">
        <v>61</v>
      </c>
      <c r="I174" s="3" t="s">
        <v>45</v>
      </c>
    </row>
    <row r="175" spans="1:9" ht="48" customHeight="1">
      <c r="A175" s="3" t="s">
        <v>40</v>
      </c>
      <c r="B175" s="3" t="s">
        <v>39</v>
      </c>
      <c r="C175" s="4">
        <v>46174</v>
      </c>
      <c r="D175" s="4">
        <v>46203</v>
      </c>
      <c r="E175" s="3" t="s">
        <v>128</v>
      </c>
      <c r="F175" s="7">
        <v>64690</v>
      </c>
      <c r="G175" s="5">
        <v>7.5999999999999998E-2</v>
      </c>
      <c r="H175" s="6" t="s">
        <v>61</v>
      </c>
      <c r="I175" s="3" t="s">
        <v>45</v>
      </c>
    </row>
    <row r="176" spans="1:9" ht="48" customHeight="1">
      <c r="A176" s="3" t="s">
        <v>40</v>
      </c>
      <c r="B176" s="3" t="s">
        <v>39</v>
      </c>
      <c r="C176" s="4">
        <v>46174</v>
      </c>
      <c r="D176" s="4">
        <v>46203</v>
      </c>
      <c r="E176" s="3" t="s">
        <v>129</v>
      </c>
      <c r="F176" s="7">
        <v>27254</v>
      </c>
      <c r="G176" s="5">
        <v>3.2000000000000001E-2</v>
      </c>
      <c r="H176" s="6" t="s">
        <v>61</v>
      </c>
      <c r="I176" s="3" t="s">
        <v>45</v>
      </c>
    </row>
    <row r="177" spans="1:9" ht="48" customHeight="1">
      <c r="A177" s="3" t="s">
        <v>40</v>
      </c>
      <c r="B177" s="3" t="s">
        <v>39</v>
      </c>
      <c r="C177" s="4">
        <v>46174</v>
      </c>
      <c r="D177" s="4">
        <v>46203</v>
      </c>
      <c r="E177" s="3" t="s">
        <v>130</v>
      </c>
      <c r="F177" s="7">
        <v>35024</v>
      </c>
      <c r="G177" s="5">
        <v>4.0999999999999995E-2</v>
      </c>
      <c r="H177" s="6" t="s">
        <v>61</v>
      </c>
      <c r="I177" s="3" t="s">
        <v>45</v>
      </c>
    </row>
    <row r="178" spans="1:9" ht="48" customHeight="1">
      <c r="A178" s="3" t="s">
        <v>40</v>
      </c>
      <c r="B178" s="3" t="s">
        <v>39</v>
      </c>
      <c r="C178" s="4">
        <v>46174</v>
      </c>
      <c r="D178" s="4">
        <v>46203</v>
      </c>
      <c r="E178" s="3" t="s">
        <v>131</v>
      </c>
      <c r="F178" s="7">
        <v>43526</v>
      </c>
      <c r="G178" s="5">
        <v>5.0999999999999997E-2</v>
      </c>
      <c r="H178" s="6" t="s">
        <v>61</v>
      </c>
      <c r="I178" s="3" t="s">
        <v>45</v>
      </c>
    </row>
    <row r="179" spans="1:9" ht="48" customHeight="1">
      <c r="A179" s="3" t="s">
        <v>40</v>
      </c>
      <c r="B179" s="3" t="s">
        <v>39</v>
      </c>
      <c r="C179" s="4">
        <v>46174</v>
      </c>
      <c r="D179" s="4">
        <v>46203</v>
      </c>
      <c r="E179" s="3" t="s">
        <v>132</v>
      </c>
      <c r="F179" s="7">
        <v>403480</v>
      </c>
      <c r="G179" s="5">
        <v>0.47299999999999998</v>
      </c>
      <c r="H179" s="6" t="s">
        <v>61</v>
      </c>
      <c r="I179" s="3" t="s">
        <v>45</v>
      </c>
    </row>
    <row r="180" spans="1:9" ht="48" customHeight="1">
      <c r="A180" s="3" t="s">
        <v>40</v>
      </c>
      <c r="B180" s="3" t="s">
        <v>39</v>
      </c>
      <c r="C180" s="4">
        <v>46174</v>
      </c>
      <c r="D180" s="4">
        <v>46203</v>
      </c>
      <c r="E180" s="3" t="s">
        <v>133</v>
      </c>
      <c r="F180" s="7">
        <v>78435</v>
      </c>
      <c r="G180" s="5">
        <v>9.1999999999999998E-2</v>
      </c>
      <c r="H180" s="6" t="s">
        <v>61</v>
      </c>
      <c r="I180" s="3" t="s">
        <v>45</v>
      </c>
    </row>
    <row r="181" spans="1:9" ht="48" customHeight="1">
      <c r="A181" s="3" t="s">
        <v>40</v>
      </c>
      <c r="B181" s="3" t="s">
        <v>39</v>
      </c>
      <c r="C181" s="4">
        <v>46174</v>
      </c>
      <c r="D181" s="4">
        <v>46203</v>
      </c>
      <c r="E181" s="3" t="s">
        <v>134</v>
      </c>
      <c r="F181" s="7">
        <v>72317</v>
      </c>
      <c r="G181" s="5">
        <v>8.5000000000000006E-2</v>
      </c>
      <c r="H181" s="6" t="s">
        <v>61</v>
      </c>
      <c r="I181" s="3" t="s">
        <v>45</v>
      </c>
    </row>
    <row r="182" spans="1:9" ht="48" customHeight="1">
      <c r="A182" s="3" t="s">
        <v>40</v>
      </c>
      <c r="B182" s="3" t="s">
        <v>39</v>
      </c>
      <c r="C182" s="4">
        <v>46204</v>
      </c>
      <c r="D182" s="4">
        <v>46234</v>
      </c>
      <c r="E182" s="3" t="s">
        <v>126</v>
      </c>
      <c r="F182" s="7">
        <v>107968</v>
      </c>
      <c r="G182" s="5">
        <v>0.11199999999999999</v>
      </c>
      <c r="H182" s="6" t="s">
        <v>62</v>
      </c>
      <c r="I182" s="3" t="s">
        <v>45</v>
      </c>
    </row>
    <row r="183" spans="1:9" ht="48" customHeight="1">
      <c r="A183" s="3" t="s">
        <v>40</v>
      </c>
      <c r="B183" s="3" t="s">
        <v>39</v>
      </c>
      <c r="C183" s="4">
        <v>46204</v>
      </c>
      <c r="D183" s="4">
        <v>46234</v>
      </c>
      <c r="E183" s="3" t="s">
        <v>127</v>
      </c>
      <c r="F183" s="7">
        <v>42088</v>
      </c>
      <c r="G183" s="5">
        <v>4.4000000000000004E-2</v>
      </c>
      <c r="H183" s="6" t="s">
        <v>62</v>
      </c>
      <c r="I183" s="3" t="s">
        <v>45</v>
      </c>
    </row>
    <row r="184" spans="1:9" ht="48" customHeight="1">
      <c r="A184" s="3" t="s">
        <v>40</v>
      </c>
      <c r="B184" s="3" t="s">
        <v>39</v>
      </c>
      <c r="C184" s="4">
        <v>46204</v>
      </c>
      <c r="D184" s="4">
        <v>46234</v>
      </c>
      <c r="E184" s="3" t="s">
        <v>128</v>
      </c>
      <c r="F184" s="7">
        <v>100020</v>
      </c>
      <c r="G184" s="5">
        <v>0.10400000000000001</v>
      </c>
      <c r="H184" s="6" t="s">
        <v>62</v>
      </c>
      <c r="I184" s="3" t="s">
        <v>45</v>
      </c>
    </row>
    <row r="185" spans="1:9" ht="48" customHeight="1">
      <c r="A185" s="3" t="s">
        <v>40</v>
      </c>
      <c r="B185" s="3" t="s">
        <v>39</v>
      </c>
      <c r="C185" s="4">
        <v>46204</v>
      </c>
      <c r="D185" s="4">
        <v>46234</v>
      </c>
      <c r="E185" s="3" t="s">
        <v>129</v>
      </c>
      <c r="F185" s="7">
        <v>28466</v>
      </c>
      <c r="G185" s="5">
        <v>0.03</v>
      </c>
      <c r="H185" s="6" t="s">
        <v>62</v>
      </c>
      <c r="I185" s="3" t="s">
        <v>45</v>
      </c>
    </row>
    <row r="186" spans="1:9" ht="48" customHeight="1">
      <c r="A186" s="3" t="s">
        <v>40</v>
      </c>
      <c r="B186" s="3" t="s">
        <v>39</v>
      </c>
      <c r="C186" s="4">
        <v>46204</v>
      </c>
      <c r="D186" s="4">
        <v>46234</v>
      </c>
      <c r="E186" s="3" t="s">
        <v>130</v>
      </c>
      <c r="F186" s="7">
        <v>37009</v>
      </c>
      <c r="G186" s="5">
        <v>3.9E-2</v>
      </c>
      <c r="H186" s="6" t="s">
        <v>62</v>
      </c>
      <c r="I186" s="3" t="s">
        <v>45</v>
      </c>
    </row>
    <row r="187" spans="1:9" ht="48" customHeight="1">
      <c r="A187" s="3" t="s">
        <v>40</v>
      </c>
      <c r="B187" s="3" t="s">
        <v>39</v>
      </c>
      <c r="C187" s="4">
        <v>46204</v>
      </c>
      <c r="D187" s="4">
        <v>46234</v>
      </c>
      <c r="E187" s="3" t="s">
        <v>131</v>
      </c>
      <c r="F187" s="7">
        <v>51320</v>
      </c>
      <c r="G187" s="5">
        <v>5.2999999999999999E-2</v>
      </c>
      <c r="H187" s="6" t="s">
        <v>62</v>
      </c>
      <c r="I187" s="3" t="s">
        <v>45</v>
      </c>
    </row>
    <row r="188" spans="1:9" ht="48" customHeight="1">
      <c r="A188" s="3" t="s">
        <v>40</v>
      </c>
      <c r="B188" s="3" t="s">
        <v>39</v>
      </c>
      <c r="C188" s="4">
        <v>46204</v>
      </c>
      <c r="D188" s="4">
        <v>46234</v>
      </c>
      <c r="E188" s="3" t="s">
        <v>132</v>
      </c>
      <c r="F188" s="7">
        <v>438417</v>
      </c>
      <c r="G188" s="5">
        <v>0.45600000000000002</v>
      </c>
      <c r="H188" s="6" t="s">
        <v>62</v>
      </c>
      <c r="I188" s="3" t="s">
        <v>45</v>
      </c>
    </row>
    <row r="189" spans="1:9" ht="48" customHeight="1">
      <c r="A189" s="3" t="s">
        <v>40</v>
      </c>
      <c r="B189" s="3" t="s">
        <v>39</v>
      </c>
      <c r="C189" s="4">
        <v>46204</v>
      </c>
      <c r="D189" s="4">
        <v>46234</v>
      </c>
      <c r="E189" s="3" t="s">
        <v>133</v>
      </c>
      <c r="F189" s="7">
        <v>89548</v>
      </c>
      <c r="G189" s="5">
        <v>9.3000000000000013E-2</v>
      </c>
      <c r="H189" s="6" t="s">
        <v>62</v>
      </c>
      <c r="I189" s="3" t="s">
        <v>45</v>
      </c>
    </row>
    <row r="190" spans="1:9" ht="48" customHeight="1">
      <c r="A190" s="3" t="s">
        <v>40</v>
      </c>
      <c r="B190" s="3" t="s">
        <v>39</v>
      </c>
      <c r="C190" s="4">
        <v>46204</v>
      </c>
      <c r="D190" s="4">
        <v>46234</v>
      </c>
      <c r="E190" s="3" t="s">
        <v>134</v>
      </c>
      <c r="F190" s="7">
        <v>66364</v>
      </c>
      <c r="G190" s="5">
        <v>6.9000000000000006E-2</v>
      </c>
      <c r="H190" s="6" t="s">
        <v>62</v>
      </c>
      <c r="I190" s="3" t="s">
        <v>45</v>
      </c>
    </row>
    <row r="191" spans="1:9" ht="48" customHeight="1">
      <c r="A191" s="3" t="s">
        <v>40</v>
      </c>
      <c r="B191" s="3" t="s">
        <v>39</v>
      </c>
      <c r="C191" s="4">
        <v>46235</v>
      </c>
      <c r="D191" s="4">
        <v>46265</v>
      </c>
      <c r="E191" s="3" t="s">
        <v>126</v>
      </c>
      <c r="F191" s="7">
        <v>159789</v>
      </c>
      <c r="G191" s="5">
        <v>0.127</v>
      </c>
      <c r="H191" s="6" t="s">
        <v>63</v>
      </c>
      <c r="I191" s="3" t="s">
        <v>45</v>
      </c>
    </row>
    <row r="192" spans="1:9" ht="48" customHeight="1">
      <c r="A192" s="3" t="s">
        <v>40</v>
      </c>
      <c r="B192" s="3" t="s">
        <v>39</v>
      </c>
      <c r="C192" s="4">
        <v>46235</v>
      </c>
      <c r="D192" s="4">
        <v>46265</v>
      </c>
      <c r="E192" s="3" t="s">
        <v>127</v>
      </c>
      <c r="F192" s="7">
        <v>49826</v>
      </c>
      <c r="G192" s="5">
        <v>0.04</v>
      </c>
      <c r="H192" s="6" t="s">
        <v>63</v>
      </c>
      <c r="I192" s="3" t="s">
        <v>45</v>
      </c>
    </row>
    <row r="193" spans="1:9" ht="48" customHeight="1">
      <c r="A193" s="3" t="s">
        <v>40</v>
      </c>
      <c r="B193" s="3" t="s">
        <v>39</v>
      </c>
      <c r="C193" s="4">
        <v>46235</v>
      </c>
      <c r="D193" s="4">
        <v>46265</v>
      </c>
      <c r="E193" s="3" t="s">
        <v>128</v>
      </c>
      <c r="F193" s="7">
        <v>151718</v>
      </c>
      <c r="G193" s="5">
        <v>0.121</v>
      </c>
      <c r="H193" s="6" t="s">
        <v>63</v>
      </c>
      <c r="I193" s="3" t="s">
        <v>45</v>
      </c>
    </row>
    <row r="194" spans="1:9" ht="48" customHeight="1">
      <c r="A194" s="3" t="s">
        <v>40</v>
      </c>
      <c r="B194" s="3" t="s">
        <v>39</v>
      </c>
      <c r="C194" s="4">
        <v>46235</v>
      </c>
      <c r="D194" s="4">
        <v>46265</v>
      </c>
      <c r="E194" s="3" t="s">
        <v>129</v>
      </c>
      <c r="F194" s="7">
        <v>32778</v>
      </c>
      <c r="G194" s="5">
        <v>2.6000000000000002E-2</v>
      </c>
      <c r="H194" s="6" t="s">
        <v>63</v>
      </c>
      <c r="I194" s="3" t="s">
        <v>45</v>
      </c>
    </row>
    <row r="195" spans="1:9" ht="48" customHeight="1">
      <c r="A195" s="3" t="s">
        <v>40</v>
      </c>
      <c r="B195" s="3" t="s">
        <v>39</v>
      </c>
      <c r="C195" s="4">
        <v>46235</v>
      </c>
      <c r="D195" s="4">
        <v>46265</v>
      </c>
      <c r="E195" s="3" t="s">
        <v>130</v>
      </c>
      <c r="F195" s="7">
        <v>46319</v>
      </c>
      <c r="G195" s="5">
        <v>3.7000000000000005E-2</v>
      </c>
      <c r="H195" s="6" t="s">
        <v>63</v>
      </c>
      <c r="I195" s="3" t="s">
        <v>45</v>
      </c>
    </row>
    <row r="196" spans="1:9" ht="48" customHeight="1">
      <c r="A196" s="3" t="s">
        <v>40</v>
      </c>
      <c r="B196" s="3" t="s">
        <v>39</v>
      </c>
      <c r="C196" s="4">
        <v>46235</v>
      </c>
      <c r="D196" s="4">
        <v>46265</v>
      </c>
      <c r="E196" s="3" t="s">
        <v>131</v>
      </c>
      <c r="F196" s="7">
        <v>59622</v>
      </c>
      <c r="G196" s="5">
        <v>4.8000000000000001E-2</v>
      </c>
      <c r="H196" s="6" t="s">
        <v>63</v>
      </c>
      <c r="I196" s="3" t="s">
        <v>45</v>
      </c>
    </row>
    <row r="197" spans="1:9" ht="48" customHeight="1">
      <c r="A197" s="3" t="s">
        <v>40</v>
      </c>
      <c r="B197" s="3" t="s">
        <v>39</v>
      </c>
      <c r="C197" s="4">
        <v>46235</v>
      </c>
      <c r="D197" s="4">
        <v>46265</v>
      </c>
      <c r="E197" s="3" t="s">
        <v>132</v>
      </c>
      <c r="F197" s="7">
        <v>553217</v>
      </c>
      <c r="G197" s="5">
        <v>0.441</v>
      </c>
      <c r="H197" s="6" t="s">
        <v>63</v>
      </c>
      <c r="I197" s="3" t="s">
        <v>45</v>
      </c>
    </row>
    <row r="198" spans="1:9" ht="48" customHeight="1">
      <c r="A198" s="3" t="s">
        <v>40</v>
      </c>
      <c r="B198" s="3" t="s">
        <v>39</v>
      </c>
      <c r="C198" s="4">
        <v>46235</v>
      </c>
      <c r="D198" s="4">
        <v>46265</v>
      </c>
      <c r="E198" s="3" t="s">
        <v>133</v>
      </c>
      <c r="F198" s="7">
        <v>114611</v>
      </c>
      <c r="G198" s="5">
        <v>9.0999999999999998E-2</v>
      </c>
      <c r="H198" s="6" t="s">
        <v>63</v>
      </c>
      <c r="I198" s="3" t="s">
        <v>45</v>
      </c>
    </row>
    <row r="199" spans="1:9" ht="48" customHeight="1">
      <c r="A199" s="3" t="s">
        <v>40</v>
      </c>
      <c r="B199" s="3" t="s">
        <v>39</v>
      </c>
      <c r="C199" s="4">
        <v>46235</v>
      </c>
      <c r="D199" s="4">
        <v>46265</v>
      </c>
      <c r="E199" s="3" t="s">
        <v>134</v>
      </c>
      <c r="F199" s="7">
        <v>85939</v>
      </c>
      <c r="G199" s="5">
        <v>6.9000000000000006E-2</v>
      </c>
      <c r="H199" s="6" t="s">
        <v>63</v>
      </c>
      <c r="I199" s="3" t="s">
        <v>45</v>
      </c>
    </row>
    <row r="200" spans="1:9" ht="48" customHeight="1">
      <c r="A200" s="3" t="s">
        <v>40</v>
      </c>
      <c r="B200" s="3" t="s">
        <v>39</v>
      </c>
      <c r="C200" s="4">
        <v>46266</v>
      </c>
      <c r="D200" s="4">
        <v>46276</v>
      </c>
      <c r="E200" s="3" t="s">
        <v>126</v>
      </c>
      <c r="F200" s="7">
        <v>22435</v>
      </c>
      <c r="G200" s="5">
        <v>8.6999999999999994E-2</v>
      </c>
      <c r="H200" s="6" t="s">
        <v>64</v>
      </c>
      <c r="I200" s="3" t="s">
        <v>45</v>
      </c>
    </row>
    <row r="201" spans="1:9" ht="48" customHeight="1">
      <c r="A201" s="3" t="s">
        <v>40</v>
      </c>
      <c r="B201" s="3" t="s">
        <v>39</v>
      </c>
      <c r="C201" s="4">
        <v>46266</v>
      </c>
      <c r="D201" s="4">
        <v>46276</v>
      </c>
      <c r="E201" s="3" t="s">
        <v>127</v>
      </c>
      <c r="F201" s="7">
        <v>14378</v>
      </c>
      <c r="G201" s="5">
        <v>5.5999999999999994E-2</v>
      </c>
      <c r="H201" s="6" t="s">
        <v>64</v>
      </c>
      <c r="I201" s="3" t="s">
        <v>45</v>
      </c>
    </row>
    <row r="202" spans="1:9" ht="48" customHeight="1">
      <c r="A202" s="3" t="s">
        <v>40</v>
      </c>
      <c r="B202" s="3" t="s">
        <v>39</v>
      </c>
      <c r="C202" s="4">
        <v>46266</v>
      </c>
      <c r="D202" s="4">
        <v>46276</v>
      </c>
      <c r="E202" s="3" t="s">
        <v>128</v>
      </c>
      <c r="F202" s="7">
        <v>15645</v>
      </c>
      <c r="G202" s="5">
        <v>0.06</v>
      </c>
      <c r="H202" s="6" t="s">
        <v>64</v>
      </c>
      <c r="I202" s="3" t="s">
        <v>45</v>
      </c>
    </row>
    <row r="203" spans="1:9" ht="48" customHeight="1">
      <c r="A203" s="3" t="s">
        <v>40</v>
      </c>
      <c r="B203" s="3" t="s">
        <v>39</v>
      </c>
      <c r="C203" s="4">
        <v>46266</v>
      </c>
      <c r="D203" s="4">
        <v>46276</v>
      </c>
      <c r="E203" s="3" t="s">
        <v>129</v>
      </c>
      <c r="F203" s="7">
        <v>9751</v>
      </c>
      <c r="G203" s="5">
        <v>3.7999999999999999E-2</v>
      </c>
      <c r="H203" s="6" t="s">
        <v>64</v>
      </c>
      <c r="I203" s="3" t="s">
        <v>45</v>
      </c>
    </row>
    <row r="204" spans="1:9" ht="48" customHeight="1">
      <c r="A204" s="3" t="s">
        <v>40</v>
      </c>
      <c r="B204" s="3" t="s">
        <v>39</v>
      </c>
      <c r="C204" s="4">
        <v>46266</v>
      </c>
      <c r="D204" s="4">
        <v>46276</v>
      </c>
      <c r="E204" s="3" t="s">
        <v>130</v>
      </c>
      <c r="F204" s="7">
        <v>12040</v>
      </c>
      <c r="G204" s="5">
        <v>4.7E-2</v>
      </c>
      <c r="H204" s="6" t="s">
        <v>64</v>
      </c>
      <c r="I204" s="3" t="s">
        <v>45</v>
      </c>
    </row>
    <row r="205" spans="1:9" ht="48" customHeight="1">
      <c r="A205" s="3" t="s">
        <v>40</v>
      </c>
      <c r="B205" s="3" t="s">
        <v>39</v>
      </c>
      <c r="C205" s="4">
        <v>46266</v>
      </c>
      <c r="D205" s="4">
        <v>46276</v>
      </c>
      <c r="E205" s="3" t="s">
        <v>131</v>
      </c>
      <c r="F205" s="7">
        <v>15785</v>
      </c>
      <c r="G205" s="5">
        <v>6.0999999999999999E-2</v>
      </c>
      <c r="H205" s="6" t="s">
        <v>64</v>
      </c>
      <c r="I205" s="3" t="s">
        <v>45</v>
      </c>
    </row>
    <row r="206" spans="1:9" ht="48" customHeight="1">
      <c r="A206" s="3" t="s">
        <v>40</v>
      </c>
      <c r="B206" s="3" t="s">
        <v>39</v>
      </c>
      <c r="C206" s="4">
        <v>46266</v>
      </c>
      <c r="D206" s="4">
        <v>46276</v>
      </c>
      <c r="E206" s="3" t="s">
        <v>132</v>
      </c>
      <c r="F206" s="7">
        <v>123249</v>
      </c>
      <c r="G206" s="5">
        <v>0.47700000000000004</v>
      </c>
      <c r="H206" s="6" t="s">
        <v>64</v>
      </c>
      <c r="I206" s="3" t="s">
        <v>45</v>
      </c>
    </row>
    <row r="207" spans="1:9" ht="48" customHeight="1">
      <c r="A207" s="3" t="s">
        <v>40</v>
      </c>
      <c r="B207" s="3" t="s">
        <v>39</v>
      </c>
      <c r="C207" s="4">
        <v>46266</v>
      </c>
      <c r="D207" s="4">
        <v>46276</v>
      </c>
      <c r="E207" s="3" t="s">
        <v>133</v>
      </c>
      <c r="F207" s="7">
        <v>23250</v>
      </c>
      <c r="G207" s="5">
        <v>0.09</v>
      </c>
      <c r="H207" s="6" t="s">
        <v>64</v>
      </c>
      <c r="I207" s="3" t="s">
        <v>45</v>
      </c>
    </row>
    <row r="208" spans="1:9" ht="48" customHeight="1">
      <c r="A208" s="3" t="s">
        <v>40</v>
      </c>
      <c r="B208" s="3" t="s">
        <v>39</v>
      </c>
      <c r="C208" s="4">
        <v>46266</v>
      </c>
      <c r="D208" s="4">
        <v>46276</v>
      </c>
      <c r="E208" s="3" t="s">
        <v>134</v>
      </c>
      <c r="F208" s="7">
        <v>22096</v>
      </c>
      <c r="G208" s="5">
        <v>8.5000000000000006E-2</v>
      </c>
      <c r="H208" s="6" t="s">
        <v>64</v>
      </c>
      <c r="I208" s="3" t="s">
        <v>45</v>
      </c>
    </row>
    <row r="209" spans="1:9" ht="48" customHeight="1">
      <c r="A209" s="3" t="s">
        <v>79</v>
      </c>
      <c r="B209" s="3" t="s">
        <v>78</v>
      </c>
      <c r="C209" s="4">
        <v>43313</v>
      </c>
      <c r="D209" s="4">
        <v>43343</v>
      </c>
      <c r="E209" s="3" t="s">
        <v>135</v>
      </c>
      <c r="F209" s="3">
        <v>205786</v>
      </c>
      <c r="G209" s="5">
        <v>0.313</v>
      </c>
      <c r="H209" s="6" t="s">
        <v>84</v>
      </c>
      <c r="I209" s="3" t="s">
        <v>45</v>
      </c>
    </row>
    <row r="210" spans="1:9" ht="48" customHeight="1">
      <c r="A210" s="3" t="s">
        <v>79</v>
      </c>
      <c r="B210" s="3" t="s">
        <v>78</v>
      </c>
      <c r="C210" s="4">
        <v>43313</v>
      </c>
      <c r="D210" s="4">
        <v>43343</v>
      </c>
      <c r="E210" s="3" t="s">
        <v>136</v>
      </c>
      <c r="F210" s="3">
        <v>231080</v>
      </c>
      <c r="G210" s="5">
        <v>0.35100000000000003</v>
      </c>
      <c r="H210" s="6" t="s">
        <v>84</v>
      </c>
      <c r="I210" s="3" t="s">
        <v>45</v>
      </c>
    </row>
    <row r="211" spans="1:9" ht="48" customHeight="1">
      <c r="A211" s="3" t="s">
        <v>79</v>
      </c>
      <c r="B211" s="3" t="s">
        <v>78</v>
      </c>
      <c r="C211" s="4">
        <v>43313</v>
      </c>
      <c r="D211" s="4">
        <v>43343</v>
      </c>
      <c r="E211" s="3" t="s">
        <v>137</v>
      </c>
      <c r="F211" s="3">
        <v>24647</v>
      </c>
      <c r="G211" s="5">
        <v>3.7000000000000005E-2</v>
      </c>
      <c r="H211" s="6" t="s">
        <v>84</v>
      </c>
      <c r="I211" s="3" t="s">
        <v>45</v>
      </c>
    </row>
    <row r="212" spans="1:9" ht="48" customHeight="1">
      <c r="A212" s="3" t="s">
        <v>79</v>
      </c>
      <c r="B212" s="3" t="s">
        <v>78</v>
      </c>
      <c r="C212" s="4">
        <v>43313</v>
      </c>
      <c r="D212" s="4">
        <v>43343</v>
      </c>
      <c r="E212" s="3" t="s">
        <v>138</v>
      </c>
      <c r="F212" s="3">
        <v>35399</v>
      </c>
      <c r="G212" s="5">
        <v>5.4000000000000006E-2</v>
      </c>
      <c r="H212" s="6" t="s">
        <v>84</v>
      </c>
      <c r="I212" s="3" t="s">
        <v>45</v>
      </c>
    </row>
    <row r="213" spans="1:9" ht="48" customHeight="1">
      <c r="A213" s="3" t="s">
        <v>79</v>
      </c>
      <c r="B213" s="3" t="s">
        <v>78</v>
      </c>
      <c r="C213" s="4">
        <v>43313</v>
      </c>
      <c r="D213" s="4">
        <v>43343</v>
      </c>
      <c r="E213" s="3" t="s">
        <v>139</v>
      </c>
      <c r="F213" s="3">
        <v>27951</v>
      </c>
      <c r="G213" s="5">
        <v>4.2000000000000003E-2</v>
      </c>
      <c r="H213" s="6" t="s">
        <v>84</v>
      </c>
      <c r="I213" s="3" t="s">
        <v>45</v>
      </c>
    </row>
    <row r="214" spans="1:9" ht="48" customHeight="1">
      <c r="A214" s="3" t="s">
        <v>79</v>
      </c>
      <c r="B214" s="3" t="s">
        <v>78</v>
      </c>
      <c r="C214" s="4">
        <v>43313</v>
      </c>
      <c r="D214" s="4">
        <v>43343</v>
      </c>
      <c r="E214" s="3" t="s">
        <v>140</v>
      </c>
      <c r="F214" s="3">
        <v>22802</v>
      </c>
      <c r="G214" s="5">
        <v>3.5000000000000003E-2</v>
      </c>
      <c r="H214" s="6" t="s">
        <v>84</v>
      </c>
      <c r="I214" s="3" t="s">
        <v>45</v>
      </c>
    </row>
    <row r="215" spans="1:9" ht="48" customHeight="1">
      <c r="A215" s="3" t="s">
        <v>79</v>
      </c>
      <c r="B215" s="3" t="s">
        <v>78</v>
      </c>
      <c r="C215" s="4">
        <v>43313</v>
      </c>
      <c r="D215" s="4">
        <v>43343</v>
      </c>
      <c r="E215" s="3" t="s">
        <v>141</v>
      </c>
      <c r="F215" s="3">
        <v>20982</v>
      </c>
      <c r="G215" s="5">
        <v>3.2000000000000001E-2</v>
      </c>
      <c r="H215" s="6" t="s">
        <v>84</v>
      </c>
      <c r="I215" s="3" t="s">
        <v>45</v>
      </c>
    </row>
    <row r="216" spans="1:9" ht="48" customHeight="1">
      <c r="A216" s="3" t="s">
        <v>79</v>
      </c>
      <c r="B216" s="3" t="s">
        <v>78</v>
      </c>
      <c r="C216" s="4">
        <v>43313</v>
      </c>
      <c r="D216" s="4">
        <v>43343</v>
      </c>
      <c r="E216" s="3" t="s">
        <v>142</v>
      </c>
      <c r="F216" s="3">
        <v>89117</v>
      </c>
      <c r="G216" s="5">
        <v>0.13500000000000001</v>
      </c>
      <c r="H216" s="6" t="s">
        <v>84</v>
      </c>
      <c r="I216" s="3" t="s">
        <v>45</v>
      </c>
    </row>
    <row r="217" spans="1:9" ht="48" customHeight="1">
      <c r="A217" s="3" t="s">
        <v>79</v>
      </c>
      <c r="B217" s="3" t="s">
        <v>78</v>
      </c>
      <c r="C217" s="4">
        <v>43344</v>
      </c>
      <c r="D217" s="4">
        <v>43373</v>
      </c>
      <c r="E217" s="3" t="s">
        <v>135</v>
      </c>
      <c r="F217" s="3">
        <v>262560</v>
      </c>
      <c r="G217" s="5">
        <v>0.32400000000000001</v>
      </c>
      <c r="H217" s="6" t="s">
        <v>85</v>
      </c>
      <c r="I217" s="3" t="s">
        <v>45</v>
      </c>
    </row>
    <row r="218" spans="1:9" ht="48" customHeight="1">
      <c r="A218" s="3" t="s">
        <v>79</v>
      </c>
      <c r="B218" s="3" t="s">
        <v>78</v>
      </c>
      <c r="C218" s="4">
        <v>43344</v>
      </c>
      <c r="D218" s="4">
        <v>43373</v>
      </c>
      <c r="E218" s="3" t="s">
        <v>136</v>
      </c>
      <c r="F218" s="3">
        <v>228918</v>
      </c>
      <c r="G218" s="5">
        <v>0.28300000000000003</v>
      </c>
      <c r="H218" s="6" t="s">
        <v>85</v>
      </c>
      <c r="I218" s="3" t="s">
        <v>45</v>
      </c>
    </row>
    <row r="219" spans="1:9" ht="48" customHeight="1">
      <c r="A219" s="3" t="s">
        <v>79</v>
      </c>
      <c r="B219" s="3" t="s">
        <v>78</v>
      </c>
      <c r="C219" s="4">
        <v>43344</v>
      </c>
      <c r="D219" s="4">
        <v>43373</v>
      </c>
      <c r="E219" s="3" t="s">
        <v>137</v>
      </c>
      <c r="F219" s="3">
        <v>37824</v>
      </c>
      <c r="G219" s="5">
        <v>4.7E-2</v>
      </c>
      <c r="H219" s="6" t="s">
        <v>85</v>
      </c>
      <c r="I219" s="3" t="s">
        <v>45</v>
      </c>
    </row>
    <row r="220" spans="1:9" ht="48" customHeight="1">
      <c r="A220" s="3" t="s">
        <v>79</v>
      </c>
      <c r="B220" s="3" t="s">
        <v>78</v>
      </c>
      <c r="C220" s="4">
        <v>43344</v>
      </c>
      <c r="D220" s="4">
        <v>43373</v>
      </c>
      <c r="E220" s="3" t="s">
        <v>138</v>
      </c>
      <c r="F220" s="3">
        <v>46018</v>
      </c>
      <c r="G220" s="5">
        <v>5.7000000000000002E-2</v>
      </c>
      <c r="H220" s="6" t="s">
        <v>85</v>
      </c>
      <c r="I220" s="3" t="s">
        <v>45</v>
      </c>
    </row>
    <row r="221" spans="1:9" ht="48" customHeight="1">
      <c r="A221" s="3" t="s">
        <v>79</v>
      </c>
      <c r="B221" s="3" t="s">
        <v>78</v>
      </c>
      <c r="C221" s="4">
        <v>43344</v>
      </c>
      <c r="D221" s="4">
        <v>43373</v>
      </c>
      <c r="E221" s="3" t="s">
        <v>139</v>
      </c>
      <c r="F221" s="3">
        <v>41898</v>
      </c>
      <c r="G221" s="5">
        <v>5.2000000000000005E-2</v>
      </c>
      <c r="H221" s="6" t="s">
        <v>85</v>
      </c>
      <c r="I221" s="3" t="s">
        <v>45</v>
      </c>
    </row>
    <row r="222" spans="1:9" ht="48" customHeight="1">
      <c r="A222" s="3" t="s">
        <v>79</v>
      </c>
      <c r="B222" s="3" t="s">
        <v>78</v>
      </c>
      <c r="C222" s="4">
        <v>43344</v>
      </c>
      <c r="D222" s="4">
        <v>43373</v>
      </c>
      <c r="E222" s="3" t="s">
        <v>140</v>
      </c>
      <c r="F222" s="3">
        <v>35147</v>
      </c>
      <c r="G222" s="5">
        <v>4.2999999999999997E-2</v>
      </c>
      <c r="H222" s="6" t="s">
        <v>85</v>
      </c>
      <c r="I222" s="3" t="s">
        <v>45</v>
      </c>
    </row>
    <row r="223" spans="1:9" ht="48" customHeight="1">
      <c r="A223" s="3" t="s">
        <v>79</v>
      </c>
      <c r="B223" s="3" t="s">
        <v>78</v>
      </c>
      <c r="C223" s="4">
        <v>43344</v>
      </c>
      <c r="D223" s="4">
        <v>43373</v>
      </c>
      <c r="E223" s="3" t="s">
        <v>141</v>
      </c>
      <c r="F223" s="3">
        <v>35802</v>
      </c>
      <c r="G223" s="5">
        <v>4.4000000000000004E-2</v>
      </c>
      <c r="H223" s="6" t="s">
        <v>85</v>
      </c>
      <c r="I223" s="3" t="s">
        <v>45</v>
      </c>
    </row>
    <row r="224" spans="1:9" ht="48" customHeight="1">
      <c r="A224" s="3" t="s">
        <v>79</v>
      </c>
      <c r="B224" s="3" t="s">
        <v>78</v>
      </c>
      <c r="C224" s="4">
        <v>43344</v>
      </c>
      <c r="D224" s="4">
        <v>43373</v>
      </c>
      <c r="E224" s="3" t="s">
        <v>142</v>
      </c>
      <c r="F224" s="3">
        <v>121366</v>
      </c>
      <c r="G224" s="5">
        <v>0.15</v>
      </c>
      <c r="H224" s="6" t="s">
        <v>85</v>
      </c>
      <c r="I224" s="3" t="s">
        <v>45</v>
      </c>
    </row>
    <row r="225" spans="1:9" ht="48" customHeight="1">
      <c r="A225" s="3" t="s">
        <v>79</v>
      </c>
      <c r="B225" s="3" t="s">
        <v>78</v>
      </c>
      <c r="C225" s="4">
        <v>43374</v>
      </c>
      <c r="D225" s="4">
        <v>43404</v>
      </c>
      <c r="E225" s="3" t="s">
        <v>135</v>
      </c>
      <c r="F225" s="3">
        <v>215926</v>
      </c>
      <c r="G225" s="5">
        <v>0.34399999999999997</v>
      </c>
      <c r="H225" s="6" t="s">
        <v>86</v>
      </c>
      <c r="I225" s="3" t="s">
        <v>45</v>
      </c>
    </row>
    <row r="226" spans="1:9" ht="48" customHeight="1">
      <c r="A226" s="3" t="s">
        <v>79</v>
      </c>
      <c r="B226" s="3" t="s">
        <v>78</v>
      </c>
      <c r="C226" s="4">
        <v>43374</v>
      </c>
      <c r="D226" s="4">
        <v>43404</v>
      </c>
      <c r="E226" s="3" t="s">
        <v>136</v>
      </c>
      <c r="F226" s="3">
        <v>187383</v>
      </c>
      <c r="G226" s="5">
        <v>0.29899999999999999</v>
      </c>
      <c r="H226" s="6" t="s">
        <v>86</v>
      </c>
      <c r="I226" s="3" t="s">
        <v>45</v>
      </c>
    </row>
    <row r="227" spans="1:9" ht="48" customHeight="1">
      <c r="A227" s="3" t="s">
        <v>79</v>
      </c>
      <c r="B227" s="3" t="s">
        <v>78</v>
      </c>
      <c r="C227" s="4">
        <v>43374</v>
      </c>
      <c r="D227" s="4">
        <v>43404</v>
      </c>
      <c r="E227" s="3" t="s">
        <v>137</v>
      </c>
      <c r="F227" s="3">
        <v>35276</v>
      </c>
      <c r="G227" s="5">
        <v>5.5999999999999994E-2</v>
      </c>
      <c r="H227" s="6" t="s">
        <v>86</v>
      </c>
      <c r="I227" s="3" t="s">
        <v>45</v>
      </c>
    </row>
    <row r="228" spans="1:9" ht="48" customHeight="1">
      <c r="A228" s="3" t="s">
        <v>79</v>
      </c>
      <c r="B228" s="3" t="s">
        <v>78</v>
      </c>
      <c r="C228" s="4">
        <v>43374</v>
      </c>
      <c r="D228" s="4">
        <v>43404</v>
      </c>
      <c r="E228" s="3" t="s">
        <v>138</v>
      </c>
      <c r="F228" s="3">
        <v>31899</v>
      </c>
      <c r="G228" s="5">
        <v>5.0999999999999997E-2</v>
      </c>
      <c r="H228" s="6" t="s">
        <v>86</v>
      </c>
      <c r="I228" s="3" t="s">
        <v>45</v>
      </c>
    </row>
    <row r="229" spans="1:9" ht="48" customHeight="1">
      <c r="A229" s="3" t="s">
        <v>79</v>
      </c>
      <c r="B229" s="3" t="s">
        <v>78</v>
      </c>
      <c r="C229" s="4">
        <v>43374</v>
      </c>
      <c r="D229" s="4">
        <v>43404</v>
      </c>
      <c r="E229" s="3" t="s">
        <v>139</v>
      </c>
      <c r="F229" s="3">
        <v>25417</v>
      </c>
      <c r="G229" s="5">
        <v>4.0999999999999995E-2</v>
      </c>
      <c r="H229" s="6" t="s">
        <v>86</v>
      </c>
      <c r="I229" s="3" t="s">
        <v>45</v>
      </c>
    </row>
    <row r="230" spans="1:9" ht="48" customHeight="1">
      <c r="A230" s="3" t="s">
        <v>79</v>
      </c>
      <c r="B230" s="3" t="s">
        <v>78</v>
      </c>
      <c r="C230" s="4">
        <v>43374</v>
      </c>
      <c r="D230" s="4">
        <v>43404</v>
      </c>
      <c r="E230" s="3" t="s">
        <v>140</v>
      </c>
      <c r="F230" s="3">
        <v>24938</v>
      </c>
      <c r="G230" s="5">
        <v>0.04</v>
      </c>
      <c r="H230" s="6" t="s">
        <v>86</v>
      </c>
      <c r="I230" s="3" t="s">
        <v>45</v>
      </c>
    </row>
    <row r="231" spans="1:9" ht="48" customHeight="1">
      <c r="A231" s="3" t="s">
        <v>79</v>
      </c>
      <c r="B231" s="3" t="s">
        <v>78</v>
      </c>
      <c r="C231" s="4">
        <v>43374</v>
      </c>
      <c r="D231" s="4">
        <v>43404</v>
      </c>
      <c r="E231" s="3" t="s">
        <v>141</v>
      </c>
      <c r="F231" s="3">
        <v>20982</v>
      </c>
      <c r="G231" s="5">
        <v>3.3000000000000002E-2</v>
      </c>
      <c r="H231" s="6" t="s">
        <v>86</v>
      </c>
      <c r="I231" s="3" t="s">
        <v>45</v>
      </c>
    </row>
    <row r="232" spans="1:9" ht="48" customHeight="1">
      <c r="A232" s="3" t="s">
        <v>79</v>
      </c>
      <c r="B232" s="3" t="s">
        <v>78</v>
      </c>
      <c r="C232" s="4">
        <v>43374</v>
      </c>
      <c r="D232" s="4">
        <v>43404</v>
      </c>
      <c r="E232" s="3" t="s">
        <v>142</v>
      </c>
      <c r="F232" s="3">
        <v>85578</v>
      </c>
      <c r="G232" s="5">
        <v>0.13600000000000001</v>
      </c>
      <c r="H232" s="6" t="s">
        <v>86</v>
      </c>
      <c r="I232" s="3" t="s">
        <v>45</v>
      </c>
    </row>
    <row r="233" spans="1:9" ht="48" customHeight="1">
      <c r="A233" s="3" t="s">
        <v>79</v>
      </c>
      <c r="B233" s="3" t="s">
        <v>78</v>
      </c>
      <c r="C233" s="4">
        <v>43405</v>
      </c>
      <c r="D233" s="4">
        <v>43434</v>
      </c>
      <c r="E233" s="3" t="s">
        <v>135</v>
      </c>
      <c r="F233" s="3">
        <v>180110</v>
      </c>
      <c r="G233" s="5">
        <v>0.32899999999999996</v>
      </c>
      <c r="H233" s="6" t="s">
        <v>87</v>
      </c>
      <c r="I233" s="3" t="s">
        <v>45</v>
      </c>
    </row>
    <row r="234" spans="1:9" ht="48" customHeight="1">
      <c r="A234" s="3" t="s">
        <v>79</v>
      </c>
      <c r="B234" s="3" t="s">
        <v>78</v>
      </c>
      <c r="C234" s="4">
        <v>43405</v>
      </c>
      <c r="D234" s="4">
        <v>43434</v>
      </c>
      <c r="E234" s="3" t="s">
        <v>136</v>
      </c>
      <c r="F234" s="3">
        <v>168322</v>
      </c>
      <c r="G234" s="5">
        <v>0.308</v>
      </c>
      <c r="H234" s="6" t="s">
        <v>87</v>
      </c>
      <c r="I234" s="3" t="s">
        <v>45</v>
      </c>
    </row>
    <row r="235" spans="1:9" ht="48" customHeight="1">
      <c r="A235" s="3" t="s">
        <v>79</v>
      </c>
      <c r="B235" s="3" t="s">
        <v>78</v>
      </c>
      <c r="C235" s="4">
        <v>43405</v>
      </c>
      <c r="D235" s="4">
        <v>43434</v>
      </c>
      <c r="E235" s="3" t="s">
        <v>137</v>
      </c>
      <c r="F235" s="3">
        <v>27433</v>
      </c>
      <c r="G235" s="5">
        <v>0.05</v>
      </c>
      <c r="H235" s="6" t="s">
        <v>87</v>
      </c>
      <c r="I235" s="3" t="s">
        <v>45</v>
      </c>
    </row>
    <row r="236" spans="1:9" ht="48" customHeight="1">
      <c r="A236" s="3" t="s">
        <v>79</v>
      </c>
      <c r="B236" s="3" t="s">
        <v>78</v>
      </c>
      <c r="C236" s="4">
        <v>43405</v>
      </c>
      <c r="D236" s="4">
        <v>43434</v>
      </c>
      <c r="E236" s="3" t="s">
        <v>138</v>
      </c>
      <c r="F236" s="3">
        <v>24594</v>
      </c>
      <c r="G236" s="5">
        <v>4.4999999999999998E-2</v>
      </c>
      <c r="H236" s="6" t="s">
        <v>87</v>
      </c>
      <c r="I236" s="3" t="s">
        <v>45</v>
      </c>
    </row>
    <row r="237" spans="1:9" ht="48" customHeight="1">
      <c r="A237" s="3" t="s">
        <v>79</v>
      </c>
      <c r="B237" s="3" t="s">
        <v>78</v>
      </c>
      <c r="C237" s="4">
        <v>43405</v>
      </c>
      <c r="D237" s="4">
        <v>43434</v>
      </c>
      <c r="E237" s="3" t="s">
        <v>139</v>
      </c>
      <c r="F237" s="3">
        <v>24720</v>
      </c>
      <c r="G237" s="5">
        <v>4.4999999999999998E-2</v>
      </c>
      <c r="H237" s="6" t="s">
        <v>87</v>
      </c>
      <c r="I237" s="3" t="s">
        <v>45</v>
      </c>
    </row>
    <row r="238" spans="1:9" ht="48" customHeight="1">
      <c r="A238" s="3" t="s">
        <v>79</v>
      </c>
      <c r="B238" s="3" t="s">
        <v>78</v>
      </c>
      <c r="C238" s="4">
        <v>43405</v>
      </c>
      <c r="D238" s="4">
        <v>43434</v>
      </c>
      <c r="E238" s="3" t="s">
        <v>140</v>
      </c>
      <c r="F238" s="3">
        <v>23040</v>
      </c>
      <c r="G238" s="5">
        <v>4.2000000000000003E-2</v>
      </c>
      <c r="H238" s="6" t="s">
        <v>87</v>
      </c>
      <c r="I238" s="3" t="s">
        <v>45</v>
      </c>
    </row>
    <row r="239" spans="1:9" ht="48" customHeight="1">
      <c r="A239" s="3" t="s">
        <v>79</v>
      </c>
      <c r="B239" s="3" t="s">
        <v>78</v>
      </c>
      <c r="C239" s="4">
        <v>43405</v>
      </c>
      <c r="D239" s="4">
        <v>43434</v>
      </c>
      <c r="E239" s="3" t="s">
        <v>141</v>
      </c>
      <c r="F239" s="3">
        <v>20811</v>
      </c>
      <c r="G239" s="5">
        <v>3.7999999999999999E-2</v>
      </c>
      <c r="H239" s="6" t="s">
        <v>87</v>
      </c>
      <c r="I239" s="3" t="s">
        <v>45</v>
      </c>
    </row>
    <row r="240" spans="1:9" ht="48" customHeight="1">
      <c r="A240" s="3" t="s">
        <v>79</v>
      </c>
      <c r="B240" s="3" t="s">
        <v>78</v>
      </c>
      <c r="C240" s="4">
        <v>43405</v>
      </c>
      <c r="D240" s="4">
        <v>43434</v>
      </c>
      <c r="E240" s="3" t="s">
        <v>142</v>
      </c>
      <c r="F240" s="3">
        <v>78176</v>
      </c>
      <c r="G240" s="5">
        <v>0.14300000000000002</v>
      </c>
      <c r="H240" s="6" t="s">
        <v>87</v>
      </c>
      <c r="I240" s="3" t="s">
        <v>45</v>
      </c>
    </row>
    <row r="241" spans="1:9" ht="48" customHeight="1">
      <c r="A241" s="3" t="s">
        <v>79</v>
      </c>
      <c r="B241" s="3" t="s">
        <v>78</v>
      </c>
      <c r="C241" s="4">
        <v>43435</v>
      </c>
      <c r="D241" s="4">
        <v>43465</v>
      </c>
      <c r="E241" s="3" t="s">
        <v>135</v>
      </c>
      <c r="F241" s="3">
        <v>196525</v>
      </c>
      <c r="G241" s="5">
        <v>0.39</v>
      </c>
      <c r="H241" s="6" t="s">
        <v>88</v>
      </c>
      <c r="I241" s="3" t="s">
        <v>45</v>
      </c>
    </row>
    <row r="242" spans="1:9" ht="48" customHeight="1">
      <c r="A242" s="3" t="s">
        <v>79</v>
      </c>
      <c r="B242" s="3" t="s">
        <v>78</v>
      </c>
      <c r="C242" s="4">
        <v>43435</v>
      </c>
      <c r="D242" s="4">
        <v>43465</v>
      </c>
      <c r="E242" s="3" t="s">
        <v>136</v>
      </c>
      <c r="F242" s="3">
        <v>149268</v>
      </c>
      <c r="G242" s="5">
        <v>0.29699999999999999</v>
      </c>
      <c r="H242" s="6" t="s">
        <v>88</v>
      </c>
      <c r="I242" s="3" t="s">
        <v>45</v>
      </c>
    </row>
    <row r="243" spans="1:9" ht="48" customHeight="1">
      <c r="A243" s="3" t="s">
        <v>79</v>
      </c>
      <c r="B243" s="3" t="s">
        <v>78</v>
      </c>
      <c r="C243" s="4">
        <v>43435</v>
      </c>
      <c r="D243" s="4">
        <v>43465</v>
      </c>
      <c r="E243" s="3" t="s">
        <v>137</v>
      </c>
      <c r="F243" s="3">
        <v>16408</v>
      </c>
      <c r="G243" s="5">
        <v>3.3000000000000002E-2</v>
      </c>
      <c r="H243" s="6" t="s">
        <v>88</v>
      </c>
      <c r="I243" s="3" t="s">
        <v>45</v>
      </c>
    </row>
    <row r="244" spans="1:9" ht="48" customHeight="1">
      <c r="A244" s="3" t="s">
        <v>79</v>
      </c>
      <c r="B244" s="3" t="s">
        <v>78</v>
      </c>
      <c r="C244" s="4">
        <v>43435</v>
      </c>
      <c r="D244" s="4">
        <v>43465</v>
      </c>
      <c r="E244" s="3" t="s">
        <v>138</v>
      </c>
      <c r="F244" s="3">
        <v>17444</v>
      </c>
      <c r="G244" s="5">
        <v>3.5000000000000003E-2</v>
      </c>
      <c r="H244" s="6" t="s">
        <v>88</v>
      </c>
      <c r="I244" s="3" t="s">
        <v>45</v>
      </c>
    </row>
    <row r="245" spans="1:9" ht="48" customHeight="1">
      <c r="A245" s="3" t="s">
        <v>79</v>
      </c>
      <c r="B245" s="3" t="s">
        <v>78</v>
      </c>
      <c r="C245" s="4">
        <v>43435</v>
      </c>
      <c r="D245" s="4">
        <v>43465</v>
      </c>
      <c r="E245" s="3" t="s">
        <v>139</v>
      </c>
      <c r="F245" s="3">
        <v>19348</v>
      </c>
      <c r="G245" s="5">
        <v>3.7999999999999999E-2</v>
      </c>
      <c r="H245" s="6" t="s">
        <v>88</v>
      </c>
      <c r="I245" s="3" t="s">
        <v>45</v>
      </c>
    </row>
    <row r="246" spans="1:9" ht="48" customHeight="1">
      <c r="A246" s="3" t="s">
        <v>79</v>
      </c>
      <c r="B246" s="3" t="s">
        <v>78</v>
      </c>
      <c r="C246" s="4">
        <v>43435</v>
      </c>
      <c r="D246" s="4">
        <v>43465</v>
      </c>
      <c r="E246" s="3" t="s">
        <v>140</v>
      </c>
      <c r="F246" s="3">
        <v>13422</v>
      </c>
      <c r="G246" s="5">
        <v>2.7000000000000003E-2</v>
      </c>
      <c r="H246" s="6" t="s">
        <v>88</v>
      </c>
      <c r="I246" s="3" t="s">
        <v>45</v>
      </c>
    </row>
    <row r="247" spans="1:9" ht="48" customHeight="1">
      <c r="A247" s="3" t="s">
        <v>79</v>
      </c>
      <c r="B247" s="3" t="s">
        <v>78</v>
      </c>
      <c r="C247" s="4">
        <v>43435</v>
      </c>
      <c r="D247" s="4">
        <v>43465</v>
      </c>
      <c r="E247" s="3" t="s">
        <v>141</v>
      </c>
      <c r="F247" s="3">
        <v>17868</v>
      </c>
      <c r="G247" s="5">
        <v>3.5000000000000003E-2</v>
      </c>
      <c r="H247" s="6" t="s">
        <v>88</v>
      </c>
      <c r="I247" s="3" t="s">
        <v>45</v>
      </c>
    </row>
    <row r="248" spans="1:9" ht="48" customHeight="1">
      <c r="A248" s="3" t="s">
        <v>79</v>
      </c>
      <c r="B248" s="3" t="s">
        <v>78</v>
      </c>
      <c r="C248" s="4">
        <v>43435</v>
      </c>
      <c r="D248" s="4">
        <v>43465</v>
      </c>
      <c r="E248" s="3" t="s">
        <v>142</v>
      </c>
      <c r="F248" s="3">
        <v>73028</v>
      </c>
      <c r="G248" s="5">
        <v>0.14499999999999999</v>
      </c>
      <c r="H248" s="6" t="s">
        <v>88</v>
      </c>
      <c r="I248" s="3" t="s">
        <v>45</v>
      </c>
    </row>
    <row r="249" spans="1:9" ht="48" customHeight="1">
      <c r="A249" s="3" t="s">
        <v>79</v>
      </c>
      <c r="B249" s="3" t="s">
        <v>78</v>
      </c>
      <c r="C249" s="4">
        <v>43466</v>
      </c>
      <c r="D249" s="4">
        <v>43496</v>
      </c>
      <c r="E249" s="3" t="s">
        <v>135</v>
      </c>
      <c r="F249" s="3">
        <v>168840</v>
      </c>
      <c r="G249" s="5">
        <v>0.36399999999999999</v>
      </c>
      <c r="H249" s="6" t="s">
        <v>89</v>
      </c>
      <c r="I249" s="3" t="s">
        <v>45</v>
      </c>
    </row>
    <row r="250" spans="1:9" ht="48" customHeight="1">
      <c r="A250" s="3" t="s">
        <v>79</v>
      </c>
      <c r="B250" s="3" t="s">
        <v>78</v>
      </c>
      <c r="C250" s="4">
        <v>43466</v>
      </c>
      <c r="D250" s="4">
        <v>43496</v>
      </c>
      <c r="E250" s="3" t="s">
        <v>136</v>
      </c>
      <c r="F250" s="3">
        <v>142104</v>
      </c>
      <c r="G250" s="5">
        <v>0.30599999999999999</v>
      </c>
      <c r="H250" s="6" t="s">
        <v>89</v>
      </c>
      <c r="I250" s="3" t="s">
        <v>45</v>
      </c>
    </row>
    <row r="251" spans="1:9" ht="48" customHeight="1">
      <c r="A251" s="3" t="s">
        <v>79</v>
      </c>
      <c r="B251" s="3" t="s">
        <v>78</v>
      </c>
      <c r="C251" s="4">
        <v>43466</v>
      </c>
      <c r="D251" s="4">
        <v>43496</v>
      </c>
      <c r="E251" s="3" t="s">
        <v>137</v>
      </c>
      <c r="F251" s="3">
        <v>15533</v>
      </c>
      <c r="G251" s="5">
        <v>3.3000000000000002E-2</v>
      </c>
      <c r="H251" s="6" t="s">
        <v>89</v>
      </c>
      <c r="I251" s="3" t="s">
        <v>45</v>
      </c>
    </row>
    <row r="252" spans="1:9" ht="48" customHeight="1">
      <c r="A252" s="3" t="s">
        <v>79</v>
      </c>
      <c r="B252" s="3" t="s">
        <v>78</v>
      </c>
      <c r="C252" s="4">
        <v>43466</v>
      </c>
      <c r="D252" s="4">
        <v>43496</v>
      </c>
      <c r="E252" s="3" t="s">
        <v>138</v>
      </c>
      <c r="F252" s="3">
        <v>15494</v>
      </c>
      <c r="G252" s="5">
        <v>3.3000000000000002E-2</v>
      </c>
      <c r="H252" s="6" t="s">
        <v>89</v>
      </c>
      <c r="I252" s="3" t="s">
        <v>45</v>
      </c>
    </row>
    <row r="253" spans="1:9" ht="48" customHeight="1">
      <c r="A253" s="3" t="s">
        <v>79</v>
      </c>
      <c r="B253" s="3" t="s">
        <v>78</v>
      </c>
      <c r="C253" s="4">
        <v>43466</v>
      </c>
      <c r="D253" s="4">
        <v>43496</v>
      </c>
      <c r="E253" s="3" t="s">
        <v>139</v>
      </c>
      <c r="F253" s="3">
        <v>21584</v>
      </c>
      <c r="G253" s="5">
        <v>4.5999999999999999E-2</v>
      </c>
      <c r="H253" s="6" t="s">
        <v>89</v>
      </c>
      <c r="I253" s="3" t="s">
        <v>45</v>
      </c>
    </row>
    <row r="254" spans="1:9" ht="48" customHeight="1">
      <c r="A254" s="3" t="s">
        <v>79</v>
      </c>
      <c r="B254" s="3" t="s">
        <v>78</v>
      </c>
      <c r="C254" s="4">
        <v>43466</v>
      </c>
      <c r="D254" s="4">
        <v>43496</v>
      </c>
      <c r="E254" s="3" t="s">
        <v>140</v>
      </c>
      <c r="F254" s="3">
        <v>12005</v>
      </c>
      <c r="G254" s="5">
        <v>2.6000000000000002E-2</v>
      </c>
      <c r="H254" s="6" t="s">
        <v>89</v>
      </c>
      <c r="I254" s="3" t="s">
        <v>45</v>
      </c>
    </row>
    <row r="255" spans="1:9" ht="48" customHeight="1">
      <c r="A255" s="3" t="s">
        <v>79</v>
      </c>
      <c r="B255" s="3" t="s">
        <v>78</v>
      </c>
      <c r="C255" s="4">
        <v>43466</v>
      </c>
      <c r="D255" s="4">
        <v>43496</v>
      </c>
      <c r="E255" s="3" t="s">
        <v>141</v>
      </c>
      <c r="F255" s="3">
        <v>16034</v>
      </c>
      <c r="G255" s="5">
        <v>3.5000000000000003E-2</v>
      </c>
      <c r="H255" s="6" t="s">
        <v>89</v>
      </c>
      <c r="I255" s="3" t="s">
        <v>45</v>
      </c>
    </row>
    <row r="256" spans="1:9" ht="48" customHeight="1">
      <c r="A256" s="3" t="s">
        <v>79</v>
      </c>
      <c r="B256" s="3" t="s">
        <v>78</v>
      </c>
      <c r="C256" s="4">
        <v>43466</v>
      </c>
      <c r="D256" s="4">
        <v>43496</v>
      </c>
      <c r="E256" s="3" t="s">
        <v>142</v>
      </c>
      <c r="F256" s="3">
        <v>72748</v>
      </c>
      <c r="G256" s="5">
        <v>0.157</v>
      </c>
      <c r="H256" s="6" t="s">
        <v>89</v>
      </c>
      <c r="I256" s="3" t="s">
        <v>45</v>
      </c>
    </row>
    <row r="257" spans="1:9" ht="48" customHeight="1">
      <c r="A257" s="3" t="s">
        <v>79</v>
      </c>
      <c r="B257" s="3" t="s">
        <v>78</v>
      </c>
      <c r="C257" s="4">
        <v>43497</v>
      </c>
      <c r="D257" s="4">
        <v>43524</v>
      </c>
      <c r="E257" s="3" t="s">
        <v>135</v>
      </c>
      <c r="F257" s="3">
        <v>169232</v>
      </c>
      <c r="G257" s="5">
        <v>0.3</v>
      </c>
      <c r="H257" s="6" t="s">
        <v>90</v>
      </c>
      <c r="I257" s="3" t="s">
        <v>45</v>
      </c>
    </row>
    <row r="258" spans="1:9" ht="48" customHeight="1">
      <c r="A258" s="3" t="s">
        <v>79</v>
      </c>
      <c r="B258" s="3" t="s">
        <v>78</v>
      </c>
      <c r="C258" s="4">
        <v>43497</v>
      </c>
      <c r="D258" s="4">
        <v>43524</v>
      </c>
      <c r="E258" s="3" t="s">
        <v>136</v>
      </c>
      <c r="F258" s="3">
        <v>182329</v>
      </c>
      <c r="G258" s="5">
        <v>0.32299999999999995</v>
      </c>
      <c r="H258" s="6" t="s">
        <v>90</v>
      </c>
      <c r="I258" s="3" t="s">
        <v>45</v>
      </c>
    </row>
    <row r="259" spans="1:9" ht="48" customHeight="1">
      <c r="A259" s="3" t="s">
        <v>79</v>
      </c>
      <c r="B259" s="3" t="s">
        <v>78</v>
      </c>
      <c r="C259" s="4">
        <v>43497</v>
      </c>
      <c r="D259" s="4">
        <v>43524</v>
      </c>
      <c r="E259" s="3" t="s">
        <v>137</v>
      </c>
      <c r="F259" s="3">
        <v>23674</v>
      </c>
      <c r="G259" s="5">
        <v>4.2000000000000003E-2</v>
      </c>
      <c r="H259" s="6" t="s">
        <v>90</v>
      </c>
      <c r="I259" s="3" t="s">
        <v>45</v>
      </c>
    </row>
    <row r="260" spans="1:9" ht="48" customHeight="1">
      <c r="A260" s="3" t="s">
        <v>79</v>
      </c>
      <c r="B260" s="3" t="s">
        <v>78</v>
      </c>
      <c r="C260" s="4">
        <v>43497</v>
      </c>
      <c r="D260" s="4">
        <v>43524</v>
      </c>
      <c r="E260" s="3" t="s">
        <v>138</v>
      </c>
      <c r="F260" s="3">
        <v>23482</v>
      </c>
      <c r="G260" s="5">
        <v>4.2000000000000003E-2</v>
      </c>
      <c r="H260" s="6" t="s">
        <v>90</v>
      </c>
      <c r="I260" s="3" t="s">
        <v>45</v>
      </c>
    </row>
    <row r="261" spans="1:9" ht="48" customHeight="1">
      <c r="A261" s="3" t="s">
        <v>79</v>
      </c>
      <c r="B261" s="3" t="s">
        <v>78</v>
      </c>
      <c r="C261" s="4">
        <v>43497</v>
      </c>
      <c r="D261" s="4">
        <v>43524</v>
      </c>
      <c r="E261" s="3" t="s">
        <v>139</v>
      </c>
      <c r="F261" s="3">
        <v>28256</v>
      </c>
      <c r="G261" s="5">
        <v>0.05</v>
      </c>
      <c r="H261" s="6" t="s">
        <v>90</v>
      </c>
      <c r="I261" s="3" t="s">
        <v>45</v>
      </c>
    </row>
    <row r="262" spans="1:9" ht="48" customHeight="1">
      <c r="A262" s="3" t="s">
        <v>79</v>
      </c>
      <c r="B262" s="3" t="s">
        <v>78</v>
      </c>
      <c r="C262" s="4">
        <v>43497</v>
      </c>
      <c r="D262" s="4">
        <v>43524</v>
      </c>
      <c r="E262" s="3" t="s">
        <v>140</v>
      </c>
      <c r="F262" s="3">
        <v>20832</v>
      </c>
      <c r="G262" s="5">
        <v>3.7000000000000005E-2</v>
      </c>
      <c r="H262" s="6" t="s">
        <v>90</v>
      </c>
      <c r="I262" s="3" t="s">
        <v>45</v>
      </c>
    </row>
    <row r="263" spans="1:9" ht="48" customHeight="1">
      <c r="A263" s="3" t="s">
        <v>79</v>
      </c>
      <c r="B263" s="3" t="s">
        <v>78</v>
      </c>
      <c r="C263" s="4">
        <v>43497</v>
      </c>
      <c r="D263" s="4">
        <v>43524</v>
      </c>
      <c r="E263" s="3" t="s">
        <v>141</v>
      </c>
      <c r="F263" s="3">
        <v>26002</v>
      </c>
      <c r="G263" s="5">
        <v>4.5999999999999999E-2</v>
      </c>
      <c r="H263" s="6" t="s">
        <v>90</v>
      </c>
      <c r="I263" s="3" t="s">
        <v>45</v>
      </c>
    </row>
    <row r="264" spans="1:9" ht="48" customHeight="1">
      <c r="A264" s="3" t="s">
        <v>79</v>
      </c>
      <c r="B264" s="3" t="s">
        <v>78</v>
      </c>
      <c r="C264" s="4">
        <v>43497</v>
      </c>
      <c r="D264" s="4">
        <v>43524</v>
      </c>
      <c r="E264" s="3" t="s">
        <v>142</v>
      </c>
      <c r="F264" s="3">
        <v>90034</v>
      </c>
      <c r="G264" s="5">
        <v>0.16</v>
      </c>
      <c r="H264" s="6" t="s">
        <v>90</v>
      </c>
      <c r="I264" s="3" t="s">
        <v>45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796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2" customWidth="1"/>
    <col min="2" max="7" width="13" style="2" customWidth="1"/>
    <col min="8" max="8" width="60" style="2" customWidth="1"/>
    <col min="9" max="9" width="15" style="2" customWidth="1"/>
    <col min="10" max="16384" width="9" style="2"/>
  </cols>
  <sheetData>
    <row r="1" spans="1:9" ht="36" customHeight="1">
      <c r="A1" s="1" t="s">
        <v>2</v>
      </c>
      <c r="B1" s="1" t="s">
        <v>1</v>
      </c>
      <c r="C1" s="1" t="s">
        <v>109</v>
      </c>
      <c r="D1" s="1" t="s">
        <v>110</v>
      </c>
      <c r="E1" s="1" t="s">
        <v>143</v>
      </c>
      <c r="F1" s="1" t="s">
        <v>144</v>
      </c>
      <c r="G1" s="1" t="s">
        <v>145</v>
      </c>
      <c r="H1" s="1" t="s">
        <v>95</v>
      </c>
      <c r="I1" s="1" t="s">
        <v>34</v>
      </c>
    </row>
    <row r="2" spans="1:9" ht="48" customHeight="1">
      <c r="A2" s="3" t="s">
        <v>66</v>
      </c>
      <c r="B2" s="3" t="s">
        <v>65</v>
      </c>
      <c r="C2" s="4">
        <v>46023</v>
      </c>
      <c r="D2" s="4">
        <v>46053</v>
      </c>
      <c r="E2" s="3" t="s">
        <v>68</v>
      </c>
      <c r="F2" s="3" t="s">
        <v>146</v>
      </c>
      <c r="G2" s="5">
        <v>0.184</v>
      </c>
      <c r="H2" s="6" t="s">
        <v>67</v>
      </c>
      <c r="I2" s="3" t="s">
        <v>45</v>
      </c>
    </row>
    <row r="3" spans="1:9" ht="48" customHeight="1">
      <c r="A3" s="3" t="s">
        <v>66</v>
      </c>
      <c r="B3" s="3" t="s">
        <v>65</v>
      </c>
      <c r="C3" s="4">
        <v>46023</v>
      </c>
      <c r="D3" s="4">
        <v>46053</v>
      </c>
      <c r="E3" s="3" t="s">
        <v>68</v>
      </c>
      <c r="F3" s="3" t="s">
        <v>147</v>
      </c>
      <c r="G3" s="5">
        <v>7.5999999999999998E-2</v>
      </c>
      <c r="H3" s="6" t="s">
        <v>67</v>
      </c>
      <c r="I3" s="3" t="s">
        <v>45</v>
      </c>
    </row>
    <row r="4" spans="1:9" ht="48" customHeight="1">
      <c r="A4" s="3" t="s">
        <v>66</v>
      </c>
      <c r="B4" s="3" t="s">
        <v>65</v>
      </c>
      <c r="C4" s="4">
        <v>46023</v>
      </c>
      <c r="D4" s="4">
        <v>46053</v>
      </c>
      <c r="E4" s="3" t="s">
        <v>68</v>
      </c>
      <c r="F4" s="3" t="s">
        <v>148</v>
      </c>
      <c r="G4" s="5">
        <v>7.0999999999999994E-2</v>
      </c>
      <c r="H4" s="6" t="s">
        <v>67</v>
      </c>
      <c r="I4" s="3" t="s">
        <v>45</v>
      </c>
    </row>
    <row r="5" spans="1:9" ht="48" customHeight="1">
      <c r="A5" s="3" t="s">
        <v>66</v>
      </c>
      <c r="B5" s="3" t="s">
        <v>65</v>
      </c>
      <c r="C5" s="4">
        <v>46023</v>
      </c>
      <c r="D5" s="4">
        <v>46053</v>
      </c>
      <c r="E5" s="3" t="s">
        <v>68</v>
      </c>
      <c r="F5" s="3" t="s">
        <v>149</v>
      </c>
      <c r="G5" s="5">
        <v>5.0999999999999997E-2</v>
      </c>
      <c r="H5" s="6" t="s">
        <v>67</v>
      </c>
      <c r="I5" s="3" t="s">
        <v>45</v>
      </c>
    </row>
    <row r="6" spans="1:9" ht="48" customHeight="1">
      <c r="A6" s="3" t="s">
        <v>66</v>
      </c>
      <c r="B6" s="3" t="s">
        <v>65</v>
      </c>
      <c r="C6" s="4">
        <v>46023</v>
      </c>
      <c r="D6" s="4">
        <v>46053</v>
      </c>
      <c r="E6" s="3" t="s">
        <v>68</v>
      </c>
      <c r="F6" s="3" t="s">
        <v>150</v>
      </c>
      <c r="G6" s="5">
        <v>3.1E-2</v>
      </c>
      <c r="H6" s="6" t="s">
        <v>67</v>
      </c>
      <c r="I6" s="3" t="s">
        <v>45</v>
      </c>
    </row>
    <row r="7" spans="1:9" ht="48" customHeight="1">
      <c r="A7" s="3" t="s">
        <v>66</v>
      </c>
      <c r="B7" s="3" t="s">
        <v>65</v>
      </c>
      <c r="C7" s="4">
        <v>46023</v>
      </c>
      <c r="D7" s="4">
        <v>46053</v>
      </c>
      <c r="E7" s="3" t="s">
        <v>68</v>
      </c>
      <c r="F7" s="3" t="s">
        <v>151</v>
      </c>
      <c r="G7" s="5">
        <v>2.6000000000000002E-2</v>
      </c>
      <c r="H7" s="6" t="s">
        <v>67</v>
      </c>
      <c r="I7" s="3" t="s">
        <v>45</v>
      </c>
    </row>
    <row r="8" spans="1:9" ht="48" customHeight="1">
      <c r="A8" s="3" t="s">
        <v>66</v>
      </c>
      <c r="B8" s="3" t="s">
        <v>65</v>
      </c>
      <c r="C8" s="4">
        <v>46023</v>
      </c>
      <c r="D8" s="4">
        <v>46053</v>
      </c>
      <c r="E8" s="3" t="s">
        <v>68</v>
      </c>
      <c r="F8" s="3" t="s">
        <v>152</v>
      </c>
      <c r="G8" s="5">
        <v>2.1000000000000001E-2</v>
      </c>
      <c r="H8" s="6" t="s">
        <v>67</v>
      </c>
      <c r="I8" s="3" t="s">
        <v>45</v>
      </c>
    </row>
    <row r="9" spans="1:9" ht="48" customHeight="1">
      <c r="A9" s="3" t="s">
        <v>66</v>
      </c>
      <c r="B9" s="3" t="s">
        <v>65</v>
      </c>
      <c r="C9" s="4">
        <v>46023</v>
      </c>
      <c r="D9" s="4">
        <v>46053</v>
      </c>
      <c r="E9" s="3" t="s">
        <v>68</v>
      </c>
      <c r="F9" s="3" t="s">
        <v>153</v>
      </c>
      <c r="G9" s="5">
        <v>1.9E-2</v>
      </c>
      <c r="H9" s="6" t="s">
        <v>67</v>
      </c>
      <c r="I9" s="3" t="s">
        <v>45</v>
      </c>
    </row>
    <row r="10" spans="1:9" ht="48" customHeight="1">
      <c r="A10" s="3" t="s">
        <v>66</v>
      </c>
      <c r="B10" s="3" t="s">
        <v>65</v>
      </c>
      <c r="C10" s="4">
        <v>46023</v>
      </c>
      <c r="D10" s="4">
        <v>46053</v>
      </c>
      <c r="E10" s="3" t="s">
        <v>68</v>
      </c>
      <c r="F10" s="3" t="s">
        <v>154</v>
      </c>
      <c r="G10" s="5">
        <v>1.3999999999999999E-2</v>
      </c>
      <c r="H10" s="6" t="s">
        <v>67</v>
      </c>
      <c r="I10" s="3" t="s">
        <v>45</v>
      </c>
    </row>
    <row r="11" spans="1:9" ht="48" customHeight="1">
      <c r="A11" s="3" t="s">
        <v>66</v>
      </c>
      <c r="B11" s="3" t="s">
        <v>65</v>
      </c>
      <c r="C11" s="4">
        <v>46023</v>
      </c>
      <c r="D11" s="4">
        <v>46053</v>
      </c>
      <c r="E11" s="3" t="s">
        <v>68</v>
      </c>
      <c r="F11" s="3" t="s">
        <v>155</v>
      </c>
      <c r="G11" s="5">
        <v>1.3000000000000001E-2</v>
      </c>
      <c r="H11" s="6" t="s">
        <v>67</v>
      </c>
      <c r="I11" s="3" t="s">
        <v>45</v>
      </c>
    </row>
    <row r="12" spans="1:9" ht="48" customHeight="1">
      <c r="A12" s="3" t="s">
        <v>66</v>
      </c>
      <c r="B12" s="3" t="s">
        <v>65</v>
      </c>
      <c r="C12" s="4">
        <v>46023</v>
      </c>
      <c r="D12" s="4">
        <v>46053</v>
      </c>
      <c r="E12" s="3" t="s">
        <v>68</v>
      </c>
      <c r="F12" s="3" t="s">
        <v>156</v>
      </c>
      <c r="G12" s="5">
        <v>6.0000000000000001E-3</v>
      </c>
      <c r="H12" s="6" t="s">
        <v>67</v>
      </c>
      <c r="I12" s="3" t="s">
        <v>45</v>
      </c>
    </row>
    <row r="13" spans="1:9" ht="48" customHeight="1">
      <c r="A13" s="3" t="s">
        <v>66</v>
      </c>
      <c r="B13" s="3" t="s">
        <v>65</v>
      </c>
      <c r="C13" s="4">
        <v>46023</v>
      </c>
      <c r="D13" s="4">
        <v>46053</v>
      </c>
      <c r="E13" s="3" t="s">
        <v>68</v>
      </c>
      <c r="F13" s="3" t="s">
        <v>157</v>
      </c>
      <c r="G13" s="5">
        <v>5.0000000000000001E-3</v>
      </c>
      <c r="H13" s="6" t="s">
        <v>67</v>
      </c>
      <c r="I13" s="3" t="s">
        <v>45</v>
      </c>
    </row>
    <row r="14" spans="1:9" ht="48" customHeight="1">
      <c r="A14" s="3" t="s">
        <v>66</v>
      </c>
      <c r="B14" s="3" t="s">
        <v>65</v>
      </c>
      <c r="C14" s="4">
        <v>46023</v>
      </c>
      <c r="D14" s="4">
        <v>46053</v>
      </c>
      <c r="E14" s="3" t="s">
        <v>68</v>
      </c>
      <c r="F14" s="3" t="s">
        <v>158</v>
      </c>
      <c r="G14" s="5">
        <v>3.0000000000000001E-3</v>
      </c>
      <c r="H14" s="6" t="s">
        <v>67</v>
      </c>
      <c r="I14" s="3" t="s">
        <v>45</v>
      </c>
    </row>
    <row r="15" spans="1:9" ht="48" customHeight="1">
      <c r="A15" s="3" t="s">
        <v>66</v>
      </c>
      <c r="B15" s="3" t="s">
        <v>65</v>
      </c>
      <c r="C15" s="4">
        <v>46023</v>
      </c>
      <c r="D15" s="4">
        <v>46053</v>
      </c>
      <c r="E15" s="3" t="s">
        <v>68</v>
      </c>
      <c r="F15" s="3" t="s">
        <v>159</v>
      </c>
      <c r="G15" s="5">
        <v>2E-3</v>
      </c>
      <c r="H15" s="6" t="s">
        <v>67</v>
      </c>
      <c r="I15" s="3" t="s">
        <v>45</v>
      </c>
    </row>
    <row r="16" spans="1:9" ht="48" customHeight="1">
      <c r="A16" s="3" t="s">
        <v>66</v>
      </c>
      <c r="B16" s="3" t="s">
        <v>65</v>
      </c>
      <c r="C16" s="4">
        <v>46023</v>
      </c>
      <c r="D16" s="4">
        <v>46053</v>
      </c>
      <c r="E16" s="3" t="s">
        <v>68</v>
      </c>
      <c r="F16" s="3" t="s">
        <v>160</v>
      </c>
      <c r="G16" s="5">
        <v>2E-3</v>
      </c>
      <c r="H16" s="6" t="s">
        <v>67</v>
      </c>
      <c r="I16" s="3" t="s">
        <v>45</v>
      </c>
    </row>
    <row r="17" spans="1:9" ht="48" customHeight="1">
      <c r="A17" s="3" t="s">
        <v>66</v>
      </c>
      <c r="B17" s="3" t="s">
        <v>65</v>
      </c>
      <c r="C17" s="4">
        <v>46023</v>
      </c>
      <c r="D17" s="4">
        <v>46053</v>
      </c>
      <c r="E17" s="3" t="s">
        <v>161</v>
      </c>
      <c r="F17" s="3" t="s">
        <v>162</v>
      </c>
      <c r="G17" s="5">
        <v>1.8000000000000002E-2</v>
      </c>
      <c r="H17" s="6" t="s">
        <v>67</v>
      </c>
      <c r="I17" s="3" t="s">
        <v>45</v>
      </c>
    </row>
    <row r="18" spans="1:9" ht="48" customHeight="1">
      <c r="A18" s="3" t="s">
        <v>66</v>
      </c>
      <c r="B18" s="3" t="s">
        <v>65</v>
      </c>
      <c r="C18" s="4">
        <v>46023</v>
      </c>
      <c r="D18" s="4">
        <v>46053</v>
      </c>
      <c r="E18" s="3" t="s">
        <v>161</v>
      </c>
      <c r="F18" s="3" t="s">
        <v>163</v>
      </c>
      <c r="G18" s="5">
        <v>9.0000000000000011E-3</v>
      </c>
      <c r="H18" s="6" t="s">
        <v>67</v>
      </c>
      <c r="I18" s="3" t="s">
        <v>45</v>
      </c>
    </row>
    <row r="19" spans="1:9" ht="48" customHeight="1">
      <c r="A19" s="3" t="s">
        <v>66</v>
      </c>
      <c r="B19" s="3" t="s">
        <v>65</v>
      </c>
      <c r="C19" s="4">
        <v>46023</v>
      </c>
      <c r="D19" s="4">
        <v>46053</v>
      </c>
      <c r="E19" s="3" t="s">
        <v>161</v>
      </c>
      <c r="F19" s="3" t="s">
        <v>164</v>
      </c>
      <c r="G19" s="5">
        <v>6.9999999999999993E-3</v>
      </c>
      <c r="H19" s="6" t="s">
        <v>67</v>
      </c>
      <c r="I19" s="3" t="s">
        <v>45</v>
      </c>
    </row>
    <row r="20" spans="1:9" ht="48" customHeight="1">
      <c r="A20" s="3" t="s">
        <v>66</v>
      </c>
      <c r="B20" s="3" t="s">
        <v>65</v>
      </c>
      <c r="C20" s="4">
        <v>46023</v>
      </c>
      <c r="D20" s="4">
        <v>46053</v>
      </c>
      <c r="E20" s="3" t="s">
        <v>161</v>
      </c>
      <c r="F20" s="3" t="s">
        <v>165</v>
      </c>
      <c r="G20" s="5">
        <v>6.0000000000000001E-3</v>
      </c>
      <c r="H20" s="6" t="s">
        <v>67</v>
      </c>
      <c r="I20" s="3" t="s">
        <v>45</v>
      </c>
    </row>
    <row r="21" spans="1:9" ht="48" customHeight="1">
      <c r="A21" s="3" t="s">
        <v>66</v>
      </c>
      <c r="B21" s="3" t="s">
        <v>65</v>
      </c>
      <c r="C21" s="4">
        <v>46023</v>
      </c>
      <c r="D21" s="4">
        <v>46053</v>
      </c>
      <c r="E21" s="3" t="s">
        <v>161</v>
      </c>
      <c r="F21" s="3" t="s">
        <v>166</v>
      </c>
      <c r="G21" s="5">
        <v>6.0000000000000001E-3</v>
      </c>
      <c r="H21" s="6" t="s">
        <v>67</v>
      </c>
      <c r="I21" s="3" t="s">
        <v>45</v>
      </c>
    </row>
    <row r="22" spans="1:9" ht="48" customHeight="1">
      <c r="A22" s="3" t="s">
        <v>66</v>
      </c>
      <c r="B22" s="3" t="s">
        <v>65</v>
      </c>
      <c r="C22" s="4">
        <v>46023</v>
      </c>
      <c r="D22" s="4">
        <v>46053</v>
      </c>
      <c r="E22" s="3" t="s">
        <v>161</v>
      </c>
      <c r="F22" s="3" t="s">
        <v>167</v>
      </c>
      <c r="G22" s="5">
        <v>5.0000000000000001E-3</v>
      </c>
      <c r="H22" s="6" t="s">
        <v>67</v>
      </c>
      <c r="I22" s="3" t="s">
        <v>45</v>
      </c>
    </row>
    <row r="23" spans="1:9" ht="48" customHeight="1">
      <c r="A23" s="3" t="s">
        <v>66</v>
      </c>
      <c r="B23" s="3" t="s">
        <v>65</v>
      </c>
      <c r="C23" s="4">
        <v>46023</v>
      </c>
      <c r="D23" s="4">
        <v>46053</v>
      </c>
      <c r="E23" s="3" t="s">
        <v>161</v>
      </c>
      <c r="F23" s="3" t="s">
        <v>168</v>
      </c>
      <c r="G23" s="5">
        <v>5.0000000000000001E-3</v>
      </c>
      <c r="H23" s="6" t="s">
        <v>67</v>
      </c>
      <c r="I23" s="3" t="s">
        <v>45</v>
      </c>
    </row>
    <row r="24" spans="1:9" ht="48" customHeight="1">
      <c r="A24" s="3" t="s">
        <v>66</v>
      </c>
      <c r="B24" s="3" t="s">
        <v>65</v>
      </c>
      <c r="C24" s="4">
        <v>46023</v>
      </c>
      <c r="D24" s="4">
        <v>46053</v>
      </c>
      <c r="E24" s="3" t="s">
        <v>161</v>
      </c>
      <c r="F24" s="3" t="s">
        <v>169</v>
      </c>
      <c r="G24" s="5">
        <v>5.0000000000000001E-3</v>
      </c>
      <c r="H24" s="6" t="s">
        <v>67</v>
      </c>
      <c r="I24" s="3" t="s">
        <v>45</v>
      </c>
    </row>
    <row r="25" spans="1:9" ht="48" customHeight="1">
      <c r="A25" s="3" t="s">
        <v>66</v>
      </c>
      <c r="B25" s="3" t="s">
        <v>65</v>
      </c>
      <c r="C25" s="4">
        <v>46023</v>
      </c>
      <c r="D25" s="4">
        <v>46053</v>
      </c>
      <c r="E25" s="3" t="s">
        <v>161</v>
      </c>
      <c r="F25" s="3" t="s">
        <v>170</v>
      </c>
      <c r="G25" s="5">
        <v>5.0000000000000001E-3</v>
      </c>
      <c r="H25" s="6" t="s">
        <v>67</v>
      </c>
      <c r="I25" s="3" t="s">
        <v>45</v>
      </c>
    </row>
    <row r="26" spans="1:9" ht="48" customHeight="1">
      <c r="A26" s="3" t="s">
        <v>66</v>
      </c>
      <c r="B26" s="3" t="s">
        <v>65</v>
      </c>
      <c r="C26" s="4">
        <v>46023</v>
      </c>
      <c r="D26" s="4">
        <v>46053</v>
      </c>
      <c r="E26" s="3" t="s">
        <v>161</v>
      </c>
      <c r="F26" s="3" t="s">
        <v>171</v>
      </c>
      <c r="G26" s="5">
        <v>5.0000000000000001E-3</v>
      </c>
      <c r="H26" s="6" t="s">
        <v>67</v>
      </c>
      <c r="I26" s="3" t="s">
        <v>45</v>
      </c>
    </row>
    <row r="27" spans="1:9" ht="48" customHeight="1">
      <c r="A27" s="3" t="s">
        <v>66</v>
      </c>
      <c r="B27" s="3" t="s">
        <v>65</v>
      </c>
      <c r="C27" s="4">
        <v>46023</v>
      </c>
      <c r="D27" s="4">
        <v>46053</v>
      </c>
      <c r="E27" s="3" t="s">
        <v>161</v>
      </c>
      <c r="F27" s="3" t="s">
        <v>172</v>
      </c>
      <c r="G27" s="5">
        <v>5.0000000000000001E-3</v>
      </c>
      <c r="H27" s="6" t="s">
        <v>67</v>
      </c>
      <c r="I27" s="3" t="s">
        <v>45</v>
      </c>
    </row>
    <row r="28" spans="1:9" ht="48" customHeight="1">
      <c r="A28" s="3" t="s">
        <v>66</v>
      </c>
      <c r="B28" s="3" t="s">
        <v>65</v>
      </c>
      <c r="C28" s="4">
        <v>46023</v>
      </c>
      <c r="D28" s="4">
        <v>46053</v>
      </c>
      <c r="E28" s="3" t="s">
        <v>161</v>
      </c>
      <c r="F28" s="3" t="s">
        <v>173</v>
      </c>
      <c r="G28" s="5">
        <v>5.0000000000000001E-3</v>
      </c>
      <c r="H28" s="6" t="s">
        <v>67</v>
      </c>
      <c r="I28" s="3" t="s">
        <v>45</v>
      </c>
    </row>
    <row r="29" spans="1:9" ht="48" customHeight="1">
      <c r="A29" s="3" t="s">
        <v>66</v>
      </c>
      <c r="B29" s="3" t="s">
        <v>65</v>
      </c>
      <c r="C29" s="4">
        <v>46023</v>
      </c>
      <c r="D29" s="4">
        <v>46053</v>
      </c>
      <c r="E29" s="3" t="s">
        <v>161</v>
      </c>
      <c r="F29" s="3" t="s">
        <v>174</v>
      </c>
      <c r="G29" s="5">
        <v>4.0000000000000001E-3</v>
      </c>
      <c r="H29" s="6" t="s">
        <v>67</v>
      </c>
      <c r="I29" s="3" t="s">
        <v>45</v>
      </c>
    </row>
    <row r="30" spans="1:9" ht="48" customHeight="1">
      <c r="A30" s="3" t="s">
        <v>66</v>
      </c>
      <c r="B30" s="3" t="s">
        <v>65</v>
      </c>
      <c r="C30" s="4">
        <v>46023</v>
      </c>
      <c r="D30" s="4">
        <v>46053</v>
      </c>
      <c r="E30" s="3" t="s">
        <v>161</v>
      </c>
      <c r="F30" s="3" t="s">
        <v>175</v>
      </c>
      <c r="G30" s="5">
        <v>4.0000000000000001E-3</v>
      </c>
      <c r="H30" s="6" t="s">
        <v>67</v>
      </c>
      <c r="I30" s="3" t="s">
        <v>45</v>
      </c>
    </row>
    <row r="31" spans="1:9" ht="48" customHeight="1">
      <c r="A31" s="3" t="s">
        <v>66</v>
      </c>
      <c r="B31" s="3" t="s">
        <v>65</v>
      </c>
      <c r="C31" s="4">
        <v>46023</v>
      </c>
      <c r="D31" s="4">
        <v>46053</v>
      </c>
      <c r="E31" s="3" t="s">
        <v>161</v>
      </c>
      <c r="F31" s="3" t="s">
        <v>176</v>
      </c>
      <c r="G31" s="5">
        <v>4.0000000000000001E-3</v>
      </c>
      <c r="H31" s="6" t="s">
        <v>67</v>
      </c>
      <c r="I31" s="3" t="s">
        <v>45</v>
      </c>
    </row>
    <row r="32" spans="1:9" ht="48" customHeight="1">
      <c r="A32" s="3" t="s">
        <v>66</v>
      </c>
      <c r="B32" s="3" t="s">
        <v>65</v>
      </c>
      <c r="C32" s="4">
        <v>46023</v>
      </c>
      <c r="D32" s="4">
        <v>46053</v>
      </c>
      <c r="E32" s="3" t="s">
        <v>161</v>
      </c>
      <c r="F32" s="3" t="s">
        <v>177</v>
      </c>
      <c r="G32" s="5">
        <v>4.0000000000000001E-3</v>
      </c>
      <c r="H32" s="6" t="s">
        <v>67</v>
      </c>
      <c r="I32" s="3" t="s">
        <v>45</v>
      </c>
    </row>
    <row r="33" spans="1:9" ht="48" customHeight="1">
      <c r="A33" s="3" t="s">
        <v>66</v>
      </c>
      <c r="B33" s="3" t="s">
        <v>65</v>
      </c>
      <c r="C33" s="4">
        <v>46023</v>
      </c>
      <c r="D33" s="4">
        <v>46053</v>
      </c>
      <c r="E33" s="3" t="s">
        <v>161</v>
      </c>
      <c r="F33" s="3" t="s">
        <v>178</v>
      </c>
      <c r="G33" s="5">
        <v>4.0000000000000001E-3</v>
      </c>
      <c r="H33" s="6" t="s">
        <v>67</v>
      </c>
      <c r="I33" s="3" t="s">
        <v>45</v>
      </c>
    </row>
    <row r="34" spans="1:9" ht="48" customHeight="1">
      <c r="A34" s="3" t="s">
        <v>66</v>
      </c>
      <c r="B34" s="3" t="s">
        <v>65</v>
      </c>
      <c r="C34" s="4">
        <v>46023</v>
      </c>
      <c r="D34" s="4">
        <v>46053</v>
      </c>
      <c r="E34" s="3" t="s">
        <v>161</v>
      </c>
      <c r="F34" s="3" t="s">
        <v>179</v>
      </c>
      <c r="G34" s="5">
        <v>4.0000000000000001E-3</v>
      </c>
      <c r="H34" s="6" t="s">
        <v>67</v>
      </c>
      <c r="I34" s="3" t="s">
        <v>45</v>
      </c>
    </row>
    <row r="35" spans="1:9" ht="48" customHeight="1">
      <c r="A35" s="3" t="s">
        <v>66</v>
      </c>
      <c r="B35" s="3" t="s">
        <v>65</v>
      </c>
      <c r="C35" s="4">
        <v>46023</v>
      </c>
      <c r="D35" s="4">
        <v>46053</v>
      </c>
      <c r="E35" s="3" t="s">
        <v>161</v>
      </c>
      <c r="F35" s="3" t="s">
        <v>180</v>
      </c>
      <c r="G35" s="5">
        <v>4.0000000000000001E-3</v>
      </c>
      <c r="H35" s="6" t="s">
        <v>67</v>
      </c>
      <c r="I35" s="3" t="s">
        <v>45</v>
      </c>
    </row>
    <row r="36" spans="1:9" ht="48" customHeight="1">
      <c r="A36" s="3" t="s">
        <v>66</v>
      </c>
      <c r="B36" s="3" t="s">
        <v>65</v>
      </c>
      <c r="C36" s="4">
        <v>46023</v>
      </c>
      <c r="D36" s="4">
        <v>46053</v>
      </c>
      <c r="E36" s="3" t="s">
        <v>161</v>
      </c>
      <c r="F36" s="3" t="s">
        <v>181</v>
      </c>
      <c r="G36" s="5">
        <v>4.0000000000000001E-3</v>
      </c>
      <c r="H36" s="6" t="s">
        <v>67</v>
      </c>
      <c r="I36" s="3" t="s">
        <v>45</v>
      </c>
    </row>
    <row r="37" spans="1:9" ht="48" customHeight="1">
      <c r="A37" s="3" t="s">
        <v>66</v>
      </c>
      <c r="B37" s="3" t="s">
        <v>65</v>
      </c>
      <c r="C37" s="4">
        <v>46023</v>
      </c>
      <c r="D37" s="4">
        <v>46053</v>
      </c>
      <c r="E37" s="3" t="s">
        <v>161</v>
      </c>
      <c r="F37" s="3" t="s">
        <v>182</v>
      </c>
      <c r="G37" s="5">
        <v>4.0000000000000001E-3</v>
      </c>
      <c r="H37" s="6" t="s">
        <v>67</v>
      </c>
      <c r="I37" s="3" t="s">
        <v>45</v>
      </c>
    </row>
    <row r="38" spans="1:9" ht="48" customHeight="1">
      <c r="A38" s="3" t="s">
        <v>66</v>
      </c>
      <c r="B38" s="3" t="s">
        <v>65</v>
      </c>
      <c r="C38" s="4">
        <v>46023</v>
      </c>
      <c r="D38" s="4">
        <v>46053</v>
      </c>
      <c r="E38" s="3" t="s">
        <v>161</v>
      </c>
      <c r="F38" s="3" t="s">
        <v>183</v>
      </c>
      <c r="G38" s="5">
        <v>4.0000000000000001E-3</v>
      </c>
      <c r="H38" s="6" t="s">
        <v>67</v>
      </c>
      <c r="I38" s="3" t="s">
        <v>45</v>
      </c>
    </row>
    <row r="39" spans="1:9" ht="48" customHeight="1">
      <c r="A39" s="3" t="s">
        <v>66</v>
      </c>
      <c r="B39" s="3" t="s">
        <v>65</v>
      </c>
      <c r="C39" s="4">
        <v>46023</v>
      </c>
      <c r="D39" s="4">
        <v>46053</v>
      </c>
      <c r="E39" s="3" t="s">
        <v>161</v>
      </c>
      <c r="F39" s="3" t="s">
        <v>184</v>
      </c>
      <c r="G39" s="5">
        <v>4.0000000000000001E-3</v>
      </c>
      <c r="H39" s="6" t="s">
        <v>67</v>
      </c>
      <c r="I39" s="3" t="s">
        <v>45</v>
      </c>
    </row>
    <row r="40" spans="1:9" ht="48" customHeight="1">
      <c r="A40" s="3" t="s">
        <v>66</v>
      </c>
      <c r="B40" s="3" t="s">
        <v>65</v>
      </c>
      <c r="C40" s="4">
        <v>46023</v>
      </c>
      <c r="D40" s="4">
        <v>46053</v>
      </c>
      <c r="E40" s="3" t="s">
        <v>161</v>
      </c>
      <c r="F40" s="3" t="s">
        <v>185</v>
      </c>
      <c r="G40" s="5">
        <v>3.0000000000000001E-3</v>
      </c>
      <c r="H40" s="6" t="s">
        <v>67</v>
      </c>
      <c r="I40" s="3" t="s">
        <v>45</v>
      </c>
    </row>
    <row r="41" spans="1:9" ht="48" customHeight="1">
      <c r="A41" s="3" t="s">
        <v>66</v>
      </c>
      <c r="B41" s="3" t="s">
        <v>65</v>
      </c>
      <c r="C41" s="4">
        <v>46023</v>
      </c>
      <c r="D41" s="4">
        <v>46053</v>
      </c>
      <c r="E41" s="3" t="s">
        <v>161</v>
      </c>
      <c r="F41" s="3" t="s">
        <v>186</v>
      </c>
      <c r="G41" s="5">
        <v>3.0000000000000001E-3</v>
      </c>
      <c r="H41" s="6" t="s">
        <v>67</v>
      </c>
      <c r="I41" s="3" t="s">
        <v>45</v>
      </c>
    </row>
    <row r="42" spans="1:9" ht="48" customHeight="1">
      <c r="A42" s="3" t="s">
        <v>66</v>
      </c>
      <c r="B42" s="3" t="s">
        <v>65</v>
      </c>
      <c r="C42" s="4">
        <v>46023</v>
      </c>
      <c r="D42" s="4">
        <v>46053</v>
      </c>
      <c r="E42" s="3" t="s">
        <v>161</v>
      </c>
      <c r="F42" s="3" t="s">
        <v>187</v>
      </c>
      <c r="G42" s="5">
        <v>3.0000000000000001E-3</v>
      </c>
      <c r="H42" s="6" t="s">
        <v>67</v>
      </c>
      <c r="I42" s="3" t="s">
        <v>45</v>
      </c>
    </row>
    <row r="43" spans="1:9" ht="48" customHeight="1">
      <c r="A43" s="3" t="s">
        <v>66</v>
      </c>
      <c r="B43" s="3" t="s">
        <v>65</v>
      </c>
      <c r="C43" s="4">
        <v>46023</v>
      </c>
      <c r="D43" s="4">
        <v>46053</v>
      </c>
      <c r="E43" s="3" t="s">
        <v>161</v>
      </c>
      <c r="F43" s="3" t="s">
        <v>188</v>
      </c>
      <c r="G43" s="5">
        <v>3.0000000000000001E-3</v>
      </c>
      <c r="H43" s="6" t="s">
        <v>67</v>
      </c>
      <c r="I43" s="3" t="s">
        <v>45</v>
      </c>
    </row>
    <row r="44" spans="1:9" ht="48" customHeight="1">
      <c r="A44" s="3" t="s">
        <v>66</v>
      </c>
      <c r="B44" s="3" t="s">
        <v>65</v>
      </c>
      <c r="C44" s="4">
        <v>46023</v>
      </c>
      <c r="D44" s="4">
        <v>46053</v>
      </c>
      <c r="E44" s="3" t="s">
        <v>161</v>
      </c>
      <c r="F44" s="3" t="s">
        <v>189</v>
      </c>
      <c r="G44" s="5">
        <v>2E-3</v>
      </c>
      <c r="H44" s="6" t="s">
        <v>67</v>
      </c>
      <c r="I44" s="3" t="s">
        <v>45</v>
      </c>
    </row>
    <row r="45" spans="1:9" ht="48" customHeight="1">
      <c r="A45" s="3" t="s">
        <v>66</v>
      </c>
      <c r="B45" s="3" t="s">
        <v>65</v>
      </c>
      <c r="C45" s="4">
        <v>46023</v>
      </c>
      <c r="D45" s="4">
        <v>46053</v>
      </c>
      <c r="E45" s="3" t="s">
        <v>161</v>
      </c>
      <c r="F45" s="3" t="s">
        <v>190</v>
      </c>
      <c r="G45" s="5">
        <v>2E-3</v>
      </c>
      <c r="H45" s="6" t="s">
        <v>67</v>
      </c>
      <c r="I45" s="3" t="s">
        <v>45</v>
      </c>
    </row>
    <row r="46" spans="1:9" ht="48" customHeight="1">
      <c r="A46" s="3" t="s">
        <v>66</v>
      </c>
      <c r="B46" s="3" t="s">
        <v>65</v>
      </c>
      <c r="C46" s="4">
        <v>46023</v>
      </c>
      <c r="D46" s="4">
        <v>46053</v>
      </c>
      <c r="E46" s="3" t="s">
        <v>161</v>
      </c>
      <c r="F46" s="3" t="s">
        <v>191</v>
      </c>
      <c r="G46" s="5">
        <v>2E-3</v>
      </c>
      <c r="H46" s="6" t="s">
        <v>67</v>
      </c>
      <c r="I46" s="3" t="s">
        <v>45</v>
      </c>
    </row>
    <row r="47" spans="1:9" ht="48" customHeight="1">
      <c r="A47" s="3" t="s">
        <v>66</v>
      </c>
      <c r="B47" s="3" t="s">
        <v>65</v>
      </c>
      <c r="C47" s="4">
        <v>46023</v>
      </c>
      <c r="D47" s="4">
        <v>46053</v>
      </c>
      <c r="E47" s="3" t="s">
        <v>161</v>
      </c>
      <c r="F47" s="3" t="s">
        <v>192</v>
      </c>
      <c r="G47" s="5">
        <v>2E-3</v>
      </c>
      <c r="H47" s="6" t="s">
        <v>67</v>
      </c>
      <c r="I47" s="3" t="s">
        <v>45</v>
      </c>
    </row>
    <row r="48" spans="1:9" ht="48" customHeight="1">
      <c r="A48" s="3" t="s">
        <v>66</v>
      </c>
      <c r="B48" s="3" t="s">
        <v>65</v>
      </c>
      <c r="C48" s="4">
        <v>46023</v>
      </c>
      <c r="D48" s="4">
        <v>46053</v>
      </c>
      <c r="E48" s="3" t="s">
        <v>161</v>
      </c>
      <c r="F48" s="3" t="s">
        <v>193</v>
      </c>
      <c r="G48" s="5">
        <v>2E-3</v>
      </c>
      <c r="H48" s="6" t="s">
        <v>67</v>
      </c>
      <c r="I48" s="3" t="s">
        <v>45</v>
      </c>
    </row>
    <row r="49" spans="1:9" ht="48" customHeight="1">
      <c r="A49" s="3" t="s">
        <v>66</v>
      </c>
      <c r="B49" s="3" t="s">
        <v>65</v>
      </c>
      <c r="C49" s="4">
        <v>46023</v>
      </c>
      <c r="D49" s="4">
        <v>46053</v>
      </c>
      <c r="E49" s="3" t="s">
        <v>161</v>
      </c>
      <c r="F49" s="3" t="s">
        <v>194</v>
      </c>
      <c r="G49" s="5">
        <v>2E-3</v>
      </c>
      <c r="H49" s="6" t="s">
        <v>67</v>
      </c>
      <c r="I49" s="3" t="s">
        <v>45</v>
      </c>
    </row>
    <row r="50" spans="1:9" ht="48" customHeight="1">
      <c r="A50" s="3" t="s">
        <v>66</v>
      </c>
      <c r="B50" s="3" t="s">
        <v>65</v>
      </c>
      <c r="C50" s="4">
        <v>46023</v>
      </c>
      <c r="D50" s="4">
        <v>46053</v>
      </c>
      <c r="E50" s="3" t="s">
        <v>161</v>
      </c>
      <c r="F50" s="3" t="s">
        <v>195</v>
      </c>
      <c r="G50" s="5">
        <v>2E-3</v>
      </c>
      <c r="H50" s="6" t="s">
        <v>67</v>
      </c>
      <c r="I50" s="3" t="s">
        <v>45</v>
      </c>
    </row>
    <row r="51" spans="1:9" ht="48" customHeight="1">
      <c r="A51" s="3" t="s">
        <v>66</v>
      </c>
      <c r="B51" s="3" t="s">
        <v>65</v>
      </c>
      <c r="C51" s="4">
        <v>46023</v>
      </c>
      <c r="D51" s="4">
        <v>46053</v>
      </c>
      <c r="E51" s="3" t="s">
        <v>161</v>
      </c>
      <c r="F51" s="3" t="s">
        <v>196</v>
      </c>
      <c r="G51" s="5">
        <v>2E-3</v>
      </c>
      <c r="H51" s="6" t="s">
        <v>67</v>
      </c>
      <c r="I51" s="3" t="s">
        <v>45</v>
      </c>
    </row>
    <row r="52" spans="1:9" ht="48" customHeight="1">
      <c r="A52" s="3" t="s">
        <v>66</v>
      </c>
      <c r="B52" s="3" t="s">
        <v>65</v>
      </c>
      <c r="C52" s="4">
        <v>46023</v>
      </c>
      <c r="D52" s="4">
        <v>46053</v>
      </c>
      <c r="E52" s="3" t="s">
        <v>161</v>
      </c>
      <c r="F52" s="3" t="s">
        <v>197</v>
      </c>
      <c r="G52" s="5">
        <v>1E-3</v>
      </c>
      <c r="H52" s="6" t="s">
        <v>67</v>
      </c>
      <c r="I52" s="3" t="s">
        <v>45</v>
      </c>
    </row>
    <row r="53" spans="1:9" ht="48" customHeight="1">
      <c r="A53" s="3" t="s">
        <v>66</v>
      </c>
      <c r="B53" s="3" t="s">
        <v>65</v>
      </c>
      <c r="C53" s="4">
        <v>46023</v>
      </c>
      <c r="D53" s="4">
        <v>46053</v>
      </c>
      <c r="E53" s="3" t="s">
        <v>161</v>
      </c>
      <c r="F53" s="3" t="s">
        <v>198</v>
      </c>
      <c r="G53" s="5">
        <v>1E-3</v>
      </c>
      <c r="H53" s="6" t="s">
        <v>67</v>
      </c>
      <c r="I53" s="3" t="s">
        <v>45</v>
      </c>
    </row>
    <row r="54" spans="1:9" ht="48" customHeight="1">
      <c r="A54" s="3" t="s">
        <v>66</v>
      </c>
      <c r="B54" s="3" t="s">
        <v>65</v>
      </c>
      <c r="C54" s="4">
        <v>46023</v>
      </c>
      <c r="D54" s="4">
        <v>46053</v>
      </c>
      <c r="E54" s="3" t="s">
        <v>161</v>
      </c>
      <c r="F54" s="3" t="s">
        <v>199</v>
      </c>
      <c r="G54" s="5">
        <v>1E-3</v>
      </c>
      <c r="H54" s="6" t="s">
        <v>67</v>
      </c>
      <c r="I54" s="3" t="s">
        <v>45</v>
      </c>
    </row>
    <row r="55" spans="1:9" ht="48" customHeight="1">
      <c r="A55" s="3" t="s">
        <v>66</v>
      </c>
      <c r="B55" s="3" t="s">
        <v>65</v>
      </c>
      <c r="C55" s="4">
        <v>46023</v>
      </c>
      <c r="D55" s="4">
        <v>46053</v>
      </c>
      <c r="E55" s="3" t="s">
        <v>161</v>
      </c>
      <c r="F55" s="3" t="s">
        <v>200</v>
      </c>
      <c r="G55" s="5">
        <v>1E-3</v>
      </c>
      <c r="H55" s="6" t="s">
        <v>67</v>
      </c>
      <c r="I55" s="3" t="s">
        <v>45</v>
      </c>
    </row>
    <row r="56" spans="1:9" ht="48" customHeight="1">
      <c r="A56" s="3" t="s">
        <v>66</v>
      </c>
      <c r="B56" s="3" t="s">
        <v>65</v>
      </c>
      <c r="C56" s="4">
        <v>46023</v>
      </c>
      <c r="D56" s="4">
        <v>46053</v>
      </c>
      <c r="E56" s="3" t="s">
        <v>161</v>
      </c>
      <c r="F56" s="3" t="s">
        <v>201</v>
      </c>
      <c r="G56" s="5">
        <v>1E-3</v>
      </c>
      <c r="H56" s="6" t="s">
        <v>67</v>
      </c>
      <c r="I56" s="3" t="s">
        <v>45</v>
      </c>
    </row>
    <row r="57" spans="1:9" ht="48" customHeight="1">
      <c r="A57" s="3" t="s">
        <v>66</v>
      </c>
      <c r="B57" s="3" t="s">
        <v>65</v>
      </c>
      <c r="C57" s="4">
        <v>46023</v>
      </c>
      <c r="D57" s="4">
        <v>46053</v>
      </c>
      <c r="E57" s="3" t="s">
        <v>161</v>
      </c>
      <c r="F57" s="3" t="s">
        <v>202</v>
      </c>
      <c r="G57" s="5">
        <v>0</v>
      </c>
      <c r="H57" s="6" t="s">
        <v>67</v>
      </c>
      <c r="I57" s="3" t="s">
        <v>45</v>
      </c>
    </row>
    <row r="58" spans="1:9" ht="48" customHeight="1">
      <c r="A58" s="3" t="s">
        <v>66</v>
      </c>
      <c r="B58" s="3" t="s">
        <v>65</v>
      </c>
      <c r="C58" s="4">
        <v>46023</v>
      </c>
      <c r="D58" s="4">
        <v>46053</v>
      </c>
      <c r="E58" s="3" t="s">
        <v>161</v>
      </c>
      <c r="F58" s="3" t="s">
        <v>203</v>
      </c>
      <c r="G58" s="5">
        <v>0</v>
      </c>
      <c r="H58" s="6" t="s">
        <v>67</v>
      </c>
      <c r="I58" s="3" t="s">
        <v>45</v>
      </c>
    </row>
    <row r="59" spans="1:9" ht="48" customHeight="1">
      <c r="A59" s="3" t="s">
        <v>66</v>
      </c>
      <c r="B59" s="3" t="s">
        <v>65</v>
      </c>
      <c r="C59" s="4">
        <v>46023</v>
      </c>
      <c r="D59" s="4">
        <v>46053</v>
      </c>
      <c r="E59" s="3" t="s">
        <v>161</v>
      </c>
      <c r="F59" s="3" t="s">
        <v>204</v>
      </c>
      <c r="G59" s="5">
        <v>0</v>
      </c>
      <c r="H59" s="6" t="s">
        <v>67</v>
      </c>
      <c r="I59" s="3" t="s">
        <v>45</v>
      </c>
    </row>
    <row r="60" spans="1:9" ht="48" customHeight="1">
      <c r="A60" s="3" t="s">
        <v>66</v>
      </c>
      <c r="B60" s="3" t="s">
        <v>65</v>
      </c>
      <c r="C60" s="4">
        <v>46023</v>
      </c>
      <c r="D60" s="4">
        <v>46053</v>
      </c>
      <c r="E60" s="3" t="s">
        <v>205</v>
      </c>
      <c r="F60" s="3" t="s">
        <v>206</v>
      </c>
      <c r="G60" s="5">
        <v>6.0000000000000001E-3</v>
      </c>
      <c r="H60" s="6" t="s">
        <v>67</v>
      </c>
      <c r="I60" s="3" t="s">
        <v>45</v>
      </c>
    </row>
    <row r="61" spans="1:9" ht="48" customHeight="1">
      <c r="A61" s="3" t="s">
        <v>66</v>
      </c>
      <c r="B61" s="3" t="s">
        <v>65</v>
      </c>
      <c r="C61" s="4">
        <v>46023</v>
      </c>
      <c r="D61" s="4">
        <v>46053</v>
      </c>
      <c r="E61" s="3" t="s">
        <v>205</v>
      </c>
      <c r="F61" s="3" t="s">
        <v>207</v>
      </c>
      <c r="G61" s="5">
        <v>5.0000000000000001E-3</v>
      </c>
      <c r="H61" s="6" t="s">
        <v>67</v>
      </c>
      <c r="I61" s="3" t="s">
        <v>45</v>
      </c>
    </row>
    <row r="62" spans="1:9" ht="48" customHeight="1">
      <c r="A62" s="3" t="s">
        <v>66</v>
      </c>
      <c r="B62" s="3" t="s">
        <v>65</v>
      </c>
      <c r="C62" s="4">
        <v>46023</v>
      </c>
      <c r="D62" s="4">
        <v>46053</v>
      </c>
      <c r="E62" s="3" t="s">
        <v>205</v>
      </c>
      <c r="F62" s="3" t="s">
        <v>208</v>
      </c>
      <c r="G62" s="5">
        <v>5.0000000000000001E-3</v>
      </c>
      <c r="H62" s="6" t="s">
        <v>67</v>
      </c>
      <c r="I62" s="3" t="s">
        <v>45</v>
      </c>
    </row>
    <row r="63" spans="1:9" ht="48" customHeight="1">
      <c r="A63" s="3" t="s">
        <v>66</v>
      </c>
      <c r="B63" s="3" t="s">
        <v>65</v>
      </c>
      <c r="C63" s="4">
        <v>46023</v>
      </c>
      <c r="D63" s="4">
        <v>46053</v>
      </c>
      <c r="E63" s="3" t="s">
        <v>205</v>
      </c>
      <c r="F63" s="3" t="s">
        <v>209</v>
      </c>
      <c r="G63" s="5">
        <v>5.0000000000000001E-3</v>
      </c>
      <c r="H63" s="6" t="s">
        <v>67</v>
      </c>
      <c r="I63" s="3" t="s">
        <v>45</v>
      </c>
    </row>
    <row r="64" spans="1:9" ht="48" customHeight="1">
      <c r="A64" s="3" t="s">
        <v>66</v>
      </c>
      <c r="B64" s="3" t="s">
        <v>65</v>
      </c>
      <c r="C64" s="4">
        <v>46023</v>
      </c>
      <c r="D64" s="4">
        <v>46053</v>
      </c>
      <c r="E64" s="3" t="s">
        <v>205</v>
      </c>
      <c r="F64" s="3" t="s">
        <v>210</v>
      </c>
      <c r="G64" s="5">
        <v>5.0000000000000001E-3</v>
      </c>
      <c r="H64" s="6" t="s">
        <v>67</v>
      </c>
      <c r="I64" s="3" t="s">
        <v>45</v>
      </c>
    </row>
    <row r="65" spans="1:9" ht="48" customHeight="1">
      <c r="A65" s="3" t="s">
        <v>66</v>
      </c>
      <c r="B65" s="3" t="s">
        <v>65</v>
      </c>
      <c r="C65" s="4">
        <v>46023</v>
      </c>
      <c r="D65" s="4">
        <v>46053</v>
      </c>
      <c r="E65" s="3" t="s">
        <v>205</v>
      </c>
      <c r="F65" s="3" t="s">
        <v>211</v>
      </c>
      <c r="G65" s="5">
        <v>4.0000000000000001E-3</v>
      </c>
      <c r="H65" s="6" t="s">
        <v>67</v>
      </c>
      <c r="I65" s="3" t="s">
        <v>45</v>
      </c>
    </row>
    <row r="66" spans="1:9" ht="48" customHeight="1">
      <c r="A66" s="3" t="s">
        <v>66</v>
      </c>
      <c r="B66" s="3" t="s">
        <v>65</v>
      </c>
      <c r="C66" s="4">
        <v>46023</v>
      </c>
      <c r="D66" s="4">
        <v>46053</v>
      </c>
      <c r="E66" s="3" t="s">
        <v>205</v>
      </c>
      <c r="F66" s="3" t="s">
        <v>212</v>
      </c>
      <c r="G66" s="5">
        <v>4.0000000000000001E-3</v>
      </c>
      <c r="H66" s="6" t="s">
        <v>67</v>
      </c>
      <c r="I66" s="3" t="s">
        <v>45</v>
      </c>
    </row>
    <row r="67" spans="1:9" ht="48" customHeight="1">
      <c r="A67" s="3" t="s">
        <v>66</v>
      </c>
      <c r="B67" s="3" t="s">
        <v>65</v>
      </c>
      <c r="C67" s="4">
        <v>46023</v>
      </c>
      <c r="D67" s="4">
        <v>46053</v>
      </c>
      <c r="E67" s="3" t="s">
        <v>205</v>
      </c>
      <c r="F67" s="3" t="s">
        <v>213</v>
      </c>
      <c r="G67" s="5">
        <v>4.0000000000000001E-3</v>
      </c>
      <c r="H67" s="6" t="s">
        <v>67</v>
      </c>
      <c r="I67" s="3" t="s">
        <v>45</v>
      </c>
    </row>
    <row r="68" spans="1:9" ht="48" customHeight="1">
      <c r="A68" s="3" t="s">
        <v>66</v>
      </c>
      <c r="B68" s="3" t="s">
        <v>65</v>
      </c>
      <c r="C68" s="4">
        <v>46023</v>
      </c>
      <c r="D68" s="4">
        <v>46053</v>
      </c>
      <c r="E68" s="3" t="s">
        <v>205</v>
      </c>
      <c r="F68" s="3" t="s">
        <v>214</v>
      </c>
      <c r="G68" s="5">
        <v>4.0000000000000001E-3</v>
      </c>
      <c r="H68" s="6" t="s">
        <v>67</v>
      </c>
      <c r="I68" s="3" t="s">
        <v>45</v>
      </c>
    </row>
    <row r="69" spans="1:9" ht="48" customHeight="1">
      <c r="A69" s="3" t="s">
        <v>66</v>
      </c>
      <c r="B69" s="3" t="s">
        <v>65</v>
      </c>
      <c r="C69" s="4">
        <v>46023</v>
      </c>
      <c r="D69" s="4">
        <v>46053</v>
      </c>
      <c r="E69" s="3" t="s">
        <v>205</v>
      </c>
      <c r="F69" s="3" t="s">
        <v>215</v>
      </c>
      <c r="G69" s="5">
        <v>4.0000000000000001E-3</v>
      </c>
      <c r="H69" s="6" t="s">
        <v>67</v>
      </c>
      <c r="I69" s="3" t="s">
        <v>45</v>
      </c>
    </row>
    <row r="70" spans="1:9" ht="48" customHeight="1">
      <c r="A70" s="3" t="s">
        <v>66</v>
      </c>
      <c r="B70" s="3" t="s">
        <v>65</v>
      </c>
      <c r="C70" s="4">
        <v>46023</v>
      </c>
      <c r="D70" s="4">
        <v>46053</v>
      </c>
      <c r="E70" s="3" t="s">
        <v>205</v>
      </c>
      <c r="F70" s="3" t="s">
        <v>216</v>
      </c>
      <c r="G70" s="5">
        <v>4.0000000000000001E-3</v>
      </c>
      <c r="H70" s="6" t="s">
        <v>67</v>
      </c>
      <c r="I70" s="3" t="s">
        <v>45</v>
      </c>
    </row>
    <row r="71" spans="1:9" ht="48" customHeight="1">
      <c r="A71" s="3" t="s">
        <v>66</v>
      </c>
      <c r="B71" s="3" t="s">
        <v>65</v>
      </c>
      <c r="C71" s="4">
        <v>46023</v>
      </c>
      <c r="D71" s="4">
        <v>46053</v>
      </c>
      <c r="E71" s="3" t="s">
        <v>205</v>
      </c>
      <c r="F71" s="3" t="s">
        <v>217</v>
      </c>
      <c r="G71" s="5">
        <v>3.0000000000000001E-3</v>
      </c>
      <c r="H71" s="6" t="s">
        <v>67</v>
      </c>
      <c r="I71" s="3" t="s">
        <v>45</v>
      </c>
    </row>
    <row r="72" spans="1:9" ht="48" customHeight="1">
      <c r="A72" s="3" t="s">
        <v>66</v>
      </c>
      <c r="B72" s="3" t="s">
        <v>65</v>
      </c>
      <c r="C72" s="4">
        <v>46023</v>
      </c>
      <c r="D72" s="4">
        <v>46053</v>
      </c>
      <c r="E72" s="3" t="s">
        <v>205</v>
      </c>
      <c r="F72" s="3" t="s">
        <v>218</v>
      </c>
      <c r="G72" s="5">
        <v>3.0000000000000001E-3</v>
      </c>
      <c r="H72" s="6" t="s">
        <v>67</v>
      </c>
      <c r="I72" s="3" t="s">
        <v>45</v>
      </c>
    </row>
    <row r="73" spans="1:9" ht="48" customHeight="1">
      <c r="A73" s="3" t="s">
        <v>66</v>
      </c>
      <c r="B73" s="3" t="s">
        <v>65</v>
      </c>
      <c r="C73" s="4">
        <v>46023</v>
      </c>
      <c r="D73" s="4">
        <v>46053</v>
      </c>
      <c r="E73" s="3" t="s">
        <v>205</v>
      </c>
      <c r="F73" s="3" t="s">
        <v>219</v>
      </c>
      <c r="G73" s="5">
        <v>3.0000000000000001E-3</v>
      </c>
      <c r="H73" s="6" t="s">
        <v>67</v>
      </c>
      <c r="I73" s="3" t="s">
        <v>45</v>
      </c>
    </row>
    <row r="74" spans="1:9" ht="48" customHeight="1">
      <c r="A74" s="3" t="s">
        <v>66</v>
      </c>
      <c r="B74" s="3" t="s">
        <v>65</v>
      </c>
      <c r="C74" s="4">
        <v>46023</v>
      </c>
      <c r="D74" s="4">
        <v>46053</v>
      </c>
      <c r="E74" s="3" t="s">
        <v>205</v>
      </c>
      <c r="F74" s="3" t="s">
        <v>220</v>
      </c>
      <c r="G74" s="5">
        <v>3.0000000000000001E-3</v>
      </c>
      <c r="H74" s="6" t="s">
        <v>67</v>
      </c>
      <c r="I74" s="3" t="s">
        <v>45</v>
      </c>
    </row>
    <row r="75" spans="1:9" ht="48" customHeight="1">
      <c r="A75" s="3" t="s">
        <v>66</v>
      </c>
      <c r="B75" s="3" t="s">
        <v>65</v>
      </c>
      <c r="C75" s="4">
        <v>46023</v>
      </c>
      <c r="D75" s="4">
        <v>46053</v>
      </c>
      <c r="E75" s="3" t="s">
        <v>205</v>
      </c>
      <c r="F75" s="3" t="s">
        <v>221</v>
      </c>
      <c r="G75" s="5">
        <v>3.0000000000000001E-3</v>
      </c>
      <c r="H75" s="6" t="s">
        <v>67</v>
      </c>
      <c r="I75" s="3" t="s">
        <v>45</v>
      </c>
    </row>
    <row r="76" spans="1:9" ht="48" customHeight="1">
      <c r="A76" s="3" t="s">
        <v>66</v>
      </c>
      <c r="B76" s="3" t="s">
        <v>65</v>
      </c>
      <c r="C76" s="4">
        <v>46023</v>
      </c>
      <c r="D76" s="4">
        <v>46053</v>
      </c>
      <c r="E76" s="3" t="s">
        <v>205</v>
      </c>
      <c r="F76" s="3" t="s">
        <v>222</v>
      </c>
      <c r="G76" s="5">
        <v>3.0000000000000001E-3</v>
      </c>
      <c r="H76" s="6" t="s">
        <v>67</v>
      </c>
      <c r="I76" s="3" t="s">
        <v>45</v>
      </c>
    </row>
    <row r="77" spans="1:9" ht="48" customHeight="1">
      <c r="A77" s="3" t="s">
        <v>66</v>
      </c>
      <c r="B77" s="3" t="s">
        <v>65</v>
      </c>
      <c r="C77" s="4">
        <v>46023</v>
      </c>
      <c r="D77" s="4">
        <v>46053</v>
      </c>
      <c r="E77" s="3" t="s">
        <v>205</v>
      </c>
      <c r="F77" s="3" t="s">
        <v>223</v>
      </c>
      <c r="G77" s="5">
        <v>2E-3</v>
      </c>
      <c r="H77" s="6" t="s">
        <v>67</v>
      </c>
      <c r="I77" s="3" t="s">
        <v>45</v>
      </c>
    </row>
    <row r="78" spans="1:9" ht="48" customHeight="1">
      <c r="A78" s="3" t="s">
        <v>66</v>
      </c>
      <c r="B78" s="3" t="s">
        <v>65</v>
      </c>
      <c r="C78" s="4">
        <v>46023</v>
      </c>
      <c r="D78" s="4">
        <v>46053</v>
      </c>
      <c r="E78" s="3" t="s">
        <v>205</v>
      </c>
      <c r="F78" s="3" t="s">
        <v>224</v>
      </c>
      <c r="G78" s="5">
        <v>2E-3</v>
      </c>
      <c r="H78" s="6" t="s">
        <v>67</v>
      </c>
      <c r="I78" s="3" t="s">
        <v>45</v>
      </c>
    </row>
    <row r="79" spans="1:9" ht="48" customHeight="1">
      <c r="A79" s="3" t="s">
        <v>66</v>
      </c>
      <c r="B79" s="3" t="s">
        <v>65</v>
      </c>
      <c r="C79" s="4">
        <v>46023</v>
      </c>
      <c r="D79" s="4">
        <v>46053</v>
      </c>
      <c r="E79" s="3" t="s">
        <v>205</v>
      </c>
      <c r="F79" s="3" t="s">
        <v>225</v>
      </c>
      <c r="G79" s="5">
        <v>2E-3</v>
      </c>
      <c r="H79" s="6" t="s">
        <v>67</v>
      </c>
      <c r="I79" s="3" t="s">
        <v>45</v>
      </c>
    </row>
    <row r="80" spans="1:9" ht="48" customHeight="1">
      <c r="A80" s="3" t="s">
        <v>66</v>
      </c>
      <c r="B80" s="3" t="s">
        <v>65</v>
      </c>
      <c r="C80" s="4">
        <v>46023</v>
      </c>
      <c r="D80" s="4">
        <v>46053</v>
      </c>
      <c r="E80" s="3" t="s">
        <v>205</v>
      </c>
      <c r="F80" s="3" t="s">
        <v>226</v>
      </c>
      <c r="G80" s="5">
        <v>2E-3</v>
      </c>
      <c r="H80" s="6" t="s">
        <v>67</v>
      </c>
      <c r="I80" s="3" t="s">
        <v>45</v>
      </c>
    </row>
    <row r="81" spans="1:9" ht="48" customHeight="1">
      <c r="A81" s="3" t="s">
        <v>66</v>
      </c>
      <c r="B81" s="3" t="s">
        <v>65</v>
      </c>
      <c r="C81" s="4">
        <v>46023</v>
      </c>
      <c r="D81" s="4">
        <v>46053</v>
      </c>
      <c r="E81" s="3" t="s">
        <v>205</v>
      </c>
      <c r="F81" s="3" t="s">
        <v>227</v>
      </c>
      <c r="G81" s="5">
        <v>2E-3</v>
      </c>
      <c r="H81" s="6" t="s">
        <v>67</v>
      </c>
      <c r="I81" s="3" t="s">
        <v>45</v>
      </c>
    </row>
    <row r="82" spans="1:9" ht="48" customHeight="1">
      <c r="A82" s="3" t="s">
        <v>66</v>
      </c>
      <c r="B82" s="3" t="s">
        <v>65</v>
      </c>
      <c r="C82" s="4">
        <v>46023</v>
      </c>
      <c r="D82" s="4">
        <v>46053</v>
      </c>
      <c r="E82" s="3" t="s">
        <v>205</v>
      </c>
      <c r="F82" s="3" t="s">
        <v>228</v>
      </c>
      <c r="G82" s="5">
        <v>2E-3</v>
      </c>
      <c r="H82" s="6" t="s">
        <v>67</v>
      </c>
      <c r="I82" s="3" t="s">
        <v>45</v>
      </c>
    </row>
    <row r="83" spans="1:9" ht="48" customHeight="1">
      <c r="A83" s="3" t="s">
        <v>66</v>
      </c>
      <c r="B83" s="3" t="s">
        <v>65</v>
      </c>
      <c r="C83" s="4">
        <v>46023</v>
      </c>
      <c r="D83" s="4">
        <v>46053</v>
      </c>
      <c r="E83" s="3" t="s">
        <v>205</v>
      </c>
      <c r="F83" s="3" t="s">
        <v>229</v>
      </c>
      <c r="G83" s="5">
        <v>1E-3</v>
      </c>
      <c r="H83" s="6" t="s">
        <v>67</v>
      </c>
      <c r="I83" s="3" t="s">
        <v>45</v>
      </c>
    </row>
    <row r="84" spans="1:9" ht="48" customHeight="1">
      <c r="A84" s="3" t="s">
        <v>66</v>
      </c>
      <c r="B84" s="3" t="s">
        <v>65</v>
      </c>
      <c r="C84" s="4">
        <v>46023</v>
      </c>
      <c r="D84" s="4">
        <v>46053</v>
      </c>
      <c r="E84" s="3" t="s">
        <v>205</v>
      </c>
      <c r="F84" s="3" t="s">
        <v>230</v>
      </c>
      <c r="G84" s="5">
        <v>1E-3</v>
      </c>
      <c r="H84" s="6" t="s">
        <v>67</v>
      </c>
      <c r="I84" s="3" t="s">
        <v>45</v>
      </c>
    </row>
    <row r="85" spans="1:9" ht="48" customHeight="1">
      <c r="A85" s="3" t="s">
        <v>66</v>
      </c>
      <c r="B85" s="3" t="s">
        <v>65</v>
      </c>
      <c r="C85" s="4">
        <v>46023</v>
      </c>
      <c r="D85" s="4">
        <v>46053</v>
      </c>
      <c r="E85" s="3" t="s">
        <v>231</v>
      </c>
      <c r="F85" s="3" t="s">
        <v>232</v>
      </c>
      <c r="G85" s="5">
        <v>1.8000000000000002E-2</v>
      </c>
      <c r="H85" s="6" t="s">
        <v>67</v>
      </c>
      <c r="I85" s="3" t="s">
        <v>45</v>
      </c>
    </row>
    <row r="86" spans="1:9" ht="48" customHeight="1">
      <c r="A86" s="3" t="s">
        <v>66</v>
      </c>
      <c r="B86" s="3" t="s">
        <v>65</v>
      </c>
      <c r="C86" s="4">
        <v>46023</v>
      </c>
      <c r="D86" s="4">
        <v>46053</v>
      </c>
      <c r="E86" s="3" t="s">
        <v>231</v>
      </c>
      <c r="F86" s="3" t="s">
        <v>233</v>
      </c>
      <c r="G86" s="5">
        <v>1.7000000000000001E-2</v>
      </c>
      <c r="H86" s="6" t="s">
        <v>67</v>
      </c>
      <c r="I86" s="3" t="s">
        <v>45</v>
      </c>
    </row>
    <row r="87" spans="1:9" ht="48" customHeight="1">
      <c r="A87" s="3" t="s">
        <v>66</v>
      </c>
      <c r="B87" s="3" t="s">
        <v>65</v>
      </c>
      <c r="C87" s="4">
        <v>46023</v>
      </c>
      <c r="D87" s="4">
        <v>46053</v>
      </c>
      <c r="E87" s="3" t="s">
        <v>231</v>
      </c>
      <c r="F87" s="3" t="s">
        <v>230</v>
      </c>
      <c r="G87" s="5">
        <v>9.0000000000000011E-3</v>
      </c>
      <c r="H87" s="6" t="s">
        <v>67</v>
      </c>
      <c r="I87" s="3" t="s">
        <v>45</v>
      </c>
    </row>
    <row r="88" spans="1:9" ht="48" customHeight="1">
      <c r="A88" s="3" t="s">
        <v>66</v>
      </c>
      <c r="B88" s="3" t="s">
        <v>65</v>
      </c>
      <c r="C88" s="4">
        <v>46023</v>
      </c>
      <c r="D88" s="4">
        <v>46053</v>
      </c>
      <c r="E88" s="3" t="s">
        <v>231</v>
      </c>
      <c r="F88" s="3" t="s">
        <v>234</v>
      </c>
      <c r="G88" s="5">
        <v>8.0000000000000002E-3</v>
      </c>
      <c r="H88" s="6" t="s">
        <v>67</v>
      </c>
      <c r="I88" s="3" t="s">
        <v>45</v>
      </c>
    </row>
    <row r="89" spans="1:9" ht="48" customHeight="1">
      <c r="A89" s="3" t="s">
        <v>66</v>
      </c>
      <c r="B89" s="3" t="s">
        <v>65</v>
      </c>
      <c r="C89" s="4">
        <v>46023</v>
      </c>
      <c r="D89" s="4">
        <v>46053</v>
      </c>
      <c r="E89" s="3" t="s">
        <v>231</v>
      </c>
      <c r="F89" s="3" t="s">
        <v>235</v>
      </c>
      <c r="G89" s="5">
        <v>5.0000000000000001E-3</v>
      </c>
      <c r="H89" s="6" t="s">
        <v>67</v>
      </c>
      <c r="I89" s="3" t="s">
        <v>45</v>
      </c>
    </row>
    <row r="90" spans="1:9" ht="48" customHeight="1">
      <c r="A90" s="3" t="s">
        <v>66</v>
      </c>
      <c r="B90" s="3" t="s">
        <v>65</v>
      </c>
      <c r="C90" s="4">
        <v>46023</v>
      </c>
      <c r="D90" s="4">
        <v>46053</v>
      </c>
      <c r="E90" s="3" t="s">
        <v>236</v>
      </c>
      <c r="F90" s="3" t="s">
        <v>232</v>
      </c>
      <c r="G90" s="5">
        <v>8.0000000000000002E-3</v>
      </c>
      <c r="H90" s="6" t="s">
        <v>67</v>
      </c>
      <c r="I90" s="3" t="s">
        <v>45</v>
      </c>
    </row>
    <row r="91" spans="1:9" ht="48" customHeight="1">
      <c r="A91" s="3" t="s">
        <v>66</v>
      </c>
      <c r="B91" s="3" t="s">
        <v>65</v>
      </c>
      <c r="C91" s="4">
        <v>46023</v>
      </c>
      <c r="D91" s="4">
        <v>46053</v>
      </c>
      <c r="E91" s="3" t="s">
        <v>236</v>
      </c>
      <c r="F91" s="3" t="s">
        <v>237</v>
      </c>
      <c r="G91" s="5">
        <v>6.0000000000000001E-3</v>
      </c>
      <c r="H91" s="6" t="s">
        <v>67</v>
      </c>
      <c r="I91" s="3" t="s">
        <v>45</v>
      </c>
    </row>
    <row r="92" spans="1:9" ht="48" customHeight="1">
      <c r="A92" s="3" t="s">
        <v>66</v>
      </c>
      <c r="B92" s="3" t="s">
        <v>65</v>
      </c>
      <c r="C92" s="4">
        <v>46023</v>
      </c>
      <c r="D92" s="4">
        <v>46053</v>
      </c>
      <c r="E92" s="3" t="s">
        <v>236</v>
      </c>
      <c r="F92" s="3" t="s">
        <v>238</v>
      </c>
      <c r="G92" s="5">
        <v>6.0000000000000001E-3</v>
      </c>
      <c r="H92" s="6" t="s">
        <v>67</v>
      </c>
      <c r="I92" s="3" t="s">
        <v>45</v>
      </c>
    </row>
    <row r="93" spans="1:9" ht="48" customHeight="1">
      <c r="A93" s="3" t="s">
        <v>66</v>
      </c>
      <c r="B93" s="3" t="s">
        <v>65</v>
      </c>
      <c r="C93" s="4">
        <v>46023</v>
      </c>
      <c r="D93" s="4">
        <v>46053</v>
      </c>
      <c r="E93" s="3" t="s">
        <v>236</v>
      </c>
      <c r="F93" s="3" t="s">
        <v>239</v>
      </c>
      <c r="G93" s="5">
        <v>6.0000000000000001E-3</v>
      </c>
      <c r="H93" s="6" t="s">
        <v>67</v>
      </c>
      <c r="I93" s="3" t="s">
        <v>45</v>
      </c>
    </row>
    <row r="94" spans="1:9" ht="48" customHeight="1">
      <c r="A94" s="3" t="s">
        <v>66</v>
      </c>
      <c r="B94" s="3" t="s">
        <v>65</v>
      </c>
      <c r="C94" s="4">
        <v>46023</v>
      </c>
      <c r="D94" s="4">
        <v>46053</v>
      </c>
      <c r="E94" s="3" t="s">
        <v>236</v>
      </c>
      <c r="F94" s="3" t="s">
        <v>240</v>
      </c>
      <c r="G94" s="5">
        <v>5.0000000000000001E-3</v>
      </c>
      <c r="H94" s="6" t="s">
        <v>67</v>
      </c>
      <c r="I94" s="3" t="s">
        <v>45</v>
      </c>
    </row>
    <row r="95" spans="1:9" ht="48" customHeight="1">
      <c r="A95" s="3" t="s">
        <v>66</v>
      </c>
      <c r="B95" s="3" t="s">
        <v>65</v>
      </c>
      <c r="C95" s="4">
        <v>46023</v>
      </c>
      <c r="D95" s="4">
        <v>46053</v>
      </c>
      <c r="E95" s="3" t="s">
        <v>236</v>
      </c>
      <c r="F95" s="3" t="s">
        <v>241</v>
      </c>
      <c r="G95" s="5">
        <v>3.0000000000000001E-3</v>
      </c>
      <c r="H95" s="6" t="s">
        <v>67</v>
      </c>
      <c r="I95" s="3" t="s">
        <v>45</v>
      </c>
    </row>
    <row r="96" spans="1:9" ht="48" customHeight="1">
      <c r="A96" s="3" t="s">
        <v>66</v>
      </c>
      <c r="B96" s="3" t="s">
        <v>65</v>
      </c>
      <c r="C96" s="4">
        <v>46023</v>
      </c>
      <c r="D96" s="4">
        <v>46053</v>
      </c>
      <c r="E96" s="3" t="s">
        <v>236</v>
      </c>
      <c r="F96" s="3" t="s">
        <v>230</v>
      </c>
      <c r="G96" s="5">
        <v>2E-3</v>
      </c>
      <c r="H96" s="6" t="s">
        <v>67</v>
      </c>
      <c r="I96" s="3" t="s">
        <v>45</v>
      </c>
    </row>
    <row r="97" spans="1:9" ht="48" customHeight="1">
      <c r="A97" s="3" t="s">
        <v>66</v>
      </c>
      <c r="B97" s="3" t="s">
        <v>65</v>
      </c>
      <c r="C97" s="4">
        <v>46023</v>
      </c>
      <c r="D97" s="4">
        <v>46053</v>
      </c>
      <c r="E97" s="3" t="s">
        <v>236</v>
      </c>
      <c r="F97" s="3" t="s">
        <v>242</v>
      </c>
      <c r="G97" s="5">
        <v>1E-3</v>
      </c>
      <c r="H97" s="6" t="s">
        <v>67</v>
      </c>
      <c r="I97" s="3" t="s">
        <v>45</v>
      </c>
    </row>
    <row r="98" spans="1:9" ht="48" customHeight="1">
      <c r="A98" s="3" t="s">
        <v>66</v>
      </c>
      <c r="B98" s="3" t="s">
        <v>65</v>
      </c>
      <c r="C98" s="4">
        <v>46023</v>
      </c>
      <c r="D98" s="4">
        <v>46053</v>
      </c>
      <c r="E98" s="3" t="s">
        <v>236</v>
      </c>
      <c r="F98" s="3" t="s">
        <v>234</v>
      </c>
      <c r="G98" s="5">
        <v>0</v>
      </c>
      <c r="H98" s="6" t="s">
        <v>67</v>
      </c>
      <c r="I98" s="3" t="s">
        <v>45</v>
      </c>
    </row>
    <row r="99" spans="1:9" ht="48" customHeight="1">
      <c r="A99" s="3" t="s">
        <v>66</v>
      </c>
      <c r="B99" s="3" t="s">
        <v>65</v>
      </c>
      <c r="C99" s="4">
        <v>46023</v>
      </c>
      <c r="D99" s="4">
        <v>46053</v>
      </c>
      <c r="E99" s="3" t="s">
        <v>236</v>
      </c>
      <c r="F99" s="3" t="s">
        <v>243</v>
      </c>
      <c r="G99" s="5">
        <v>0</v>
      </c>
      <c r="H99" s="6" t="s">
        <v>67</v>
      </c>
      <c r="I99" s="3" t="s">
        <v>45</v>
      </c>
    </row>
    <row r="100" spans="1:9" ht="48" customHeight="1">
      <c r="A100" s="3" t="s">
        <v>66</v>
      </c>
      <c r="B100" s="3" t="s">
        <v>65</v>
      </c>
      <c r="C100" s="4">
        <v>46023</v>
      </c>
      <c r="D100" s="4">
        <v>46053</v>
      </c>
      <c r="E100" s="3" t="s">
        <v>244</v>
      </c>
      <c r="F100" s="3" t="s">
        <v>245</v>
      </c>
      <c r="G100" s="5">
        <v>6.9999999999999993E-3</v>
      </c>
      <c r="H100" s="6" t="s">
        <v>67</v>
      </c>
      <c r="I100" s="3" t="s">
        <v>45</v>
      </c>
    </row>
    <row r="101" spans="1:9" ht="48" customHeight="1">
      <c r="A101" s="3" t="s">
        <v>66</v>
      </c>
      <c r="B101" s="3" t="s">
        <v>65</v>
      </c>
      <c r="C101" s="4">
        <v>46023</v>
      </c>
      <c r="D101" s="4">
        <v>46053</v>
      </c>
      <c r="E101" s="3" t="s">
        <v>244</v>
      </c>
      <c r="F101" s="3" t="s">
        <v>246</v>
      </c>
      <c r="G101" s="5">
        <v>5.0000000000000001E-3</v>
      </c>
      <c r="H101" s="6" t="s">
        <v>67</v>
      </c>
      <c r="I101" s="3" t="s">
        <v>45</v>
      </c>
    </row>
    <row r="102" spans="1:9" ht="48" customHeight="1">
      <c r="A102" s="3" t="s">
        <v>66</v>
      </c>
      <c r="B102" s="3" t="s">
        <v>65</v>
      </c>
      <c r="C102" s="4">
        <v>46023</v>
      </c>
      <c r="D102" s="4">
        <v>46053</v>
      </c>
      <c r="E102" s="3" t="s">
        <v>244</v>
      </c>
      <c r="F102" s="3" t="s">
        <v>247</v>
      </c>
      <c r="G102" s="5">
        <v>4.0000000000000001E-3</v>
      </c>
      <c r="H102" s="6" t="s">
        <v>67</v>
      </c>
      <c r="I102" s="3" t="s">
        <v>45</v>
      </c>
    </row>
    <row r="103" spans="1:9" ht="48" customHeight="1">
      <c r="A103" s="3" t="s">
        <v>66</v>
      </c>
      <c r="B103" s="3" t="s">
        <v>65</v>
      </c>
      <c r="C103" s="4">
        <v>46023</v>
      </c>
      <c r="D103" s="4">
        <v>46053</v>
      </c>
      <c r="E103" s="3" t="s">
        <v>244</v>
      </c>
      <c r="F103" s="3" t="s">
        <v>248</v>
      </c>
      <c r="G103" s="5">
        <v>3.0000000000000001E-3</v>
      </c>
      <c r="H103" s="6" t="s">
        <v>67</v>
      </c>
      <c r="I103" s="3" t="s">
        <v>45</v>
      </c>
    </row>
    <row r="104" spans="1:9" ht="48" customHeight="1">
      <c r="A104" s="3" t="s">
        <v>66</v>
      </c>
      <c r="B104" s="3" t="s">
        <v>65</v>
      </c>
      <c r="C104" s="4">
        <v>46023</v>
      </c>
      <c r="D104" s="4">
        <v>46053</v>
      </c>
      <c r="E104" s="3" t="s">
        <v>244</v>
      </c>
      <c r="F104" s="3" t="s">
        <v>249</v>
      </c>
      <c r="G104" s="5">
        <v>2E-3</v>
      </c>
      <c r="H104" s="6" t="s">
        <v>67</v>
      </c>
      <c r="I104" s="3" t="s">
        <v>45</v>
      </c>
    </row>
    <row r="105" spans="1:9" ht="48" customHeight="1">
      <c r="A105" s="3" t="s">
        <v>66</v>
      </c>
      <c r="B105" s="3" t="s">
        <v>65</v>
      </c>
      <c r="C105" s="4">
        <v>46023</v>
      </c>
      <c r="D105" s="4">
        <v>46053</v>
      </c>
      <c r="E105" s="3" t="s">
        <v>244</v>
      </c>
      <c r="F105" s="3" t="s">
        <v>250</v>
      </c>
      <c r="G105" s="5">
        <v>1E-3</v>
      </c>
      <c r="H105" s="6" t="s">
        <v>67</v>
      </c>
      <c r="I105" s="3" t="s">
        <v>45</v>
      </c>
    </row>
    <row r="106" spans="1:9" ht="48" customHeight="1">
      <c r="A106" s="3" t="s">
        <v>66</v>
      </c>
      <c r="B106" s="3" t="s">
        <v>65</v>
      </c>
      <c r="C106" s="4">
        <v>46023</v>
      </c>
      <c r="D106" s="4">
        <v>46053</v>
      </c>
      <c r="E106" s="3" t="s">
        <v>244</v>
      </c>
      <c r="F106" s="3" t="s">
        <v>251</v>
      </c>
      <c r="G106" s="5">
        <v>1E-3</v>
      </c>
      <c r="H106" s="6" t="s">
        <v>67</v>
      </c>
      <c r="I106" s="3" t="s">
        <v>45</v>
      </c>
    </row>
    <row r="107" spans="1:9" ht="48" customHeight="1">
      <c r="A107" s="3" t="s">
        <v>66</v>
      </c>
      <c r="B107" s="3" t="s">
        <v>65</v>
      </c>
      <c r="C107" s="4">
        <v>46023</v>
      </c>
      <c r="D107" s="4">
        <v>46053</v>
      </c>
      <c r="E107" s="3" t="s">
        <v>244</v>
      </c>
      <c r="F107" s="3" t="s">
        <v>252</v>
      </c>
      <c r="G107" s="5">
        <v>1E-3</v>
      </c>
      <c r="H107" s="6" t="s">
        <v>67</v>
      </c>
      <c r="I107" s="3" t="s">
        <v>45</v>
      </c>
    </row>
    <row r="108" spans="1:9" ht="48" customHeight="1">
      <c r="A108" s="3" t="s">
        <v>66</v>
      </c>
      <c r="B108" s="3" t="s">
        <v>65</v>
      </c>
      <c r="C108" s="4">
        <v>46023</v>
      </c>
      <c r="D108" s="4">
        <v>46053</v>
      </c>
      <c r="E108" s="3" t="s">
        <v>244</v>
      </c>
      <c r="F108" s="3" t="s">
        <v>253</v>
      </c>
      <c r="G108" s="5">
        <v>1E-3</v>
      </c>
      <c r="H108" s="6" t="s">
        <v>67</v>
      </c>
      <c r="I108" s="3" t="s">
        <v>45</v>
      </c>
    </row>
    <row r="109" spans="1:9" ht="48" customHeight="1">
      <c r="A109" s="3" t="s">
        <v>66</v>
      </c>
      <c r="B109" s="3" t="s">
        <v>65</v>
      </c>
      <c r="C109" s="4">
        <v>46023</v>
      </c>
      <c r="D109" s="4">
        <v>46053</v>
      </c>
      <c r="E109" s="3" t="s">
        <v>244</v>
      </c>
      <c r="F109" s="3" t="s">
        <v>254</v>
      </c>
      <c r="G109" s="5">
        <v>1E-3</v>
      </c>
      <c r="H109" s="6" t="s">
        <v>67</v>
      </c>
      <c r="I109" s="3" t="s">
        <v>45</v>
      </c>
    </row>
    <row r="110" spans="1:9" ht="48" customHeight="1">
      <c r="A110" s="3" t="s">
        <v>66</v>
      </c>
      <c r="B110" s="3" t="s">
        <v>65</v>
      </c>
      <c r="C110" s="4">
        <v>46023</v>
      </c>
      <c r="D110" s="4">
        <v>46053</v>
      </c>
      <c r="E110" s="3" t="s">
        <v>244</v>
      </c>
      <c r="F110" s="3" t="s">
        <v>255</v>
      </c>
      <c r="G110" s="5">
        <v>0</v>
      </c>
      <c r="H110" s="6" t="s">
        <v>67</v>
      </c>
      <c r="I110" s="3" t="s">
        <v>45</v>
      </c>
    </row>
    <row r="111" spans="1:9" ht="48" customHeight="1">
      <c r="A111" s="3" t="s">
        <v>66</v>
      </c>
      <c r="B111" s="3" t="s">
        <v>65</v>
      </c>
      <c r="C111" s="4">
        <v>46023</v>
      </c>
      <c r="D111" s="4">
        <v>46053</v>
      </c>
      <c r="E111" s="3" t="s">
        <v>244</v>
      </c>
      <c r="F111" s="3" t="s">
        <v>256</v>
      </c>
      <c r="G111" s="5">
        <v>0</v>
      </c>
      <c r="H111" s="6" t="s">
        <v>67</v>
      </c>
      <c r="I111" s="3" t="s">
        <v>45</v>
      </c>
    </row>
    <row r="112" spans="1:9" ht="48" customHeight="1">
      <c r="A112" s="3" t="s">
        <v>66</v>
      </c>
      <c r="B112" s="3" t="s">
        <v>65</v>
      </c>
      <c r="C112" s="4">
        <v>46023</v>
      </c>
      <c r="D112" s="4">
        <v>46053</v>
      </c>
      <c r="E112" s="3" t="s">
        <v>244</v>
      </c>
      <c r="F112" s="3" t="s">
        <v>257</v>
      </c>
      <c r="G112" s="5">
        <v>0</v>
      </c>
      <c r="H112" s="6" t="s">
        <v>67</v>
      </c>
      <c r="I112" s="3" t="s">
        <v>45</v>
      </c>
    </row>
    <row r="113" spans="1:9" ht="48" customHeight="1">
      <c r="A113" s="3" t="s">
        <v>66</v>
      </c>
      <c r="B113" s="3" t="s">
        <v>65</v>
      </c>
      <c r="C113" s="4">
        <v>46023</v>
      </c>
      <c r="D113" s="4">
        <v>46053</v>
      </c>
      <c r="E113" s="3" t="s">
        <v>244</v>
      </c>
      <c r="F113" s="3" t="s">
        <v>258</v>
      </c>
      <c r="G113" s="5">
        <v>0</v>
      </c>
      <c r="H113" s="6" t="s">
        <v>67</v>
      </c>
      <c r="I113" s="3" t="s">
        <v>45</v>
      </c>
    </row>
    <row r="114" spans="1:9" ht="48" customHeight="1">
      <c r="A114" s="3" t="s">
        <v>66</v>
      </c>
      <c r="B114" s="3" t="s">
        <v>65</v>
      </c>
      <c r="C114" s="4">
        <v>46023</v>
      </c>
      <c r="D114" s="4">
        <v>46053</v>
      </c>
      <c r="E114" s="3" t="s">
        <v>244</v>
      </c>
      <c r="F114" s="3" t="s">
        <v>259</v>
      </c>
      <c r="G114" s="5">
        <v>0</v>
      </c>
      <c r="H114" s="6" t="s">
        <v>67</v>
      </c>
      <c r="I114" s="3" t="s">
        <v>45</v>
      </c>
    </row>
    <row r="115" spans="1:9" ht="48" customHeight="1">
      <c r="A115" s="3" t="s">
        <v>66</v>
      </c>
      <c r="B115" s="3" t="s">
        <v>65</v>
      </c>
      <c r="C115" s="4">
        <v>46023</v>
      </c>
      <c r="D115" s="4">
        <v>46053</v>
      </c>
      <c r="E115" s="3" t="s">
        <v>260</v>
      </c>
      <c r="F115" s="3" t="s">
        <v>261</v>
      </c>
      <c r="G115" s="5">
        <v>4.0000000000000001E-3</v>
      </c>
      <c r="H115" s="6" t="s">
        <v>67</v>
      </c>
      <c r="I115" s="3" t="s">
        <v>45</v>
      </c>
    </row>
    <row r="116" spans="1:9" ht="48" customHeight="1">
      <c r="A116" s="3" t="s">
        <v>66</v>
      </c>
      <c r="B116" s="3" t="s">
        <v>65</v>
      </c>
      <c r="C116" s="4">
        <v>46023</v>
      </c>
      <c r="D116" s="4">
        <v>46053</v>
      </c>
      <c r="E116" s="3" t="s">
        <v>260</v>
      </c>
      <c r="F116" s="3" t="s">
        <v>262</v>
      </c>
      <c r="G116" s="5">
        <v>3.0000000000000001E-3</v>
      </c>
      <c r="H116" s="6" t="s">
        <v>67</v>
      </c>
      <c r="I116" s="3" t="s">
        <v>45</v>
      </c>
    </row>
    <row r="117" spans="1:9" ht="48" customHeight="1">
      <c r="A117" s="3" t="s">
        <v>66</v>
      </c>
      <c r="B117" s="3" t="s">
        <v>65</v>
      </c>
      <c r="C117" s="4">
        <v>46023</v>
      </c>
      <c r="D117" s="4">
        <v>46053</v>
      </c>
      <c r="E117" s="3" t="s">
        <v>260</v>
      </c>
      <c r="F117" s="3" t="s">
        <v>232</v>
      </c>
      <c r="G117" s="5">
        <v>2E-3</v>
      </c>
      <c r="H117" s="6" t="s">
        <v>67</v>
      </c>
      <c r="I117" s="3" t="s">
        <v>45</v>
      </c>
    </row>
    <row r="118" spans="1:9" ht="48" customHeight="1">
      <c r="A118" s="3" t="s">
        <v>66</v>
      </c>
      <c r="B118" s="3" t="s">
        <v>65</v>
      </c>
      <c r="C118" s="4">
        <v>46023</v>
      </c>
      <c r="D118" s="4">
        <v>46053</v>
      </c>
      <c r="E118" s="3" t="s">
        <v>260</v>
      </c>
      <c r="F118" s="3" t="s">
        <v>263</v>
      </c>
      <c r="G118" s="5">
        <v>2E-3</v>
      </c>
      <c r="H118" s="6" t="s">
        <v>67</v>
      </c>
      <c r="I118" s="3" t="s">
        <v>45</v>
      </c>
    </row>
    <row r="119" spans="1:9" ht="48" customHeight="1">
      <c r="A119" s="3" t="s">
        <v>66</v>
      </c>
      <c r="B119" s="3" t="s">
        <v>65</v>
      </c>
      <c r="C119" s="4">
        <v>46023</v>
      </c>
      <c r="D119" s="4">
        <v>46053</v>
      </c>
      <c r="E119" s="3" t="s">
        <v>260</v>
      </c>
      <c r="F119" s="3" t="s">
        <v>264</v>
      </c>
      <c r="G119" s="5">
        <v>2E-3</v>
      </c>
      <c r="H119" s="6" t="s">
        <v>67</v>
      </c>
      <c r="I119" s="3" t="s">
        <v>45</v>
      </c>
    </row>
    <row r="120" spans="1:9" ht="48" customHeight="1">
      <c r="A120" s="3" t="s">
        <v>66</v>
      </c>
      <c r="B120" s="3" t="s">
        <v>65</v>
      </c>
      <c r="C120" s="4">
        <v>46023</v>
      </c>
      <c r="D120" s="4">
        <v>46053</v>
      </c>
      <c r="E120" s="3" t="s">
        <v>260</v>
      </c>
      <c r="F120" s="3" t="s">
        <v>234</v>
      </c>
      <c r="G120" s="5">
        <v>1E-3</v>
      </c>
      <c r="H120" s="6" t="s">
        <v>67</v>
      </c>
      <c r="I120" s="3" t="s">
        <v>45</v>
      </c>
    </row>
    <row r="121" spans="1:9" ht="48" customHeight="1">
      <c r="A121" s="3" t="s">
        <v>66</v>
      </c>
      <c r="B121" s="3" t="s">
        <v>65</v>
      </c>
      <c r="C121" s="4">
        <v>46023</v>
      </c>
      <c r="D121" s="4">
        <v>46053</v>
      </c>
      <c r="E121" s="3" t="s">
        <v>260</v>
      </c>
      <c r="F121" s="3" t="s">
        <v>265</v>
      </c>
      <c r="G121" s="5">
        <v>1E-3</v>
      </c>
      <c r="H121" s="6" t="s">
        <v>67</v>
      </c>
      <c r="I121" s="3" t="s">
        <v>45</v>
      </c>
    </row>
    <row r="122" spans="1:9" ht="48" customHeight="1">
      <c r="A122" s="3" t="s">
        <v>66</v>
      </c>
      <c r="B122" s="3" t="s">
        <v>65</v>
      </c>
      <c r="C122" s="4">
        <v>46023</v>
      </c>
      <c r="D122" s="4">
        <v>46053</v>
      </c>
      <c r="E122" s="3" t="s">
        <v>260</v>
      </c>
      <c r="F122" s="3" t="s">
        <v>266</v>
      </c>
      <c r="G122" s="5">
        <v>1E-3</v>
      </c>
      <c r="H122" s="6" t="s">
        <v>67</v>
      </c>
      <c r="I122" s="3" t="s">
        <v>45</v>
      </c>
    </row>
    <row r="123" spans="1:9" ht="48" customHeight="1">
      <c r="A123" s="3" t="s">
        <v>66</v>
      </c>
      <c r="B123" s="3" t="s">
        <v>65</v>
      </c>
      <c r="C123" s="4">
        <v>46023</v>
      </c>
      <c r="D123" s="4">
        <v>46053</v>
      </c>
      <c r="E123" s="3" t="s">
        <v>260</v>
      </c>
      <c r="F123" s="3" t="s">
        <v>267</v>
      </c>
      <c r="G123" s="5">
        <v>1E-3</v>
      </c>
      <c r="H123" s="6" t="s">
        <v>67</v>
      </c>
      <c r="I123" s="3" t="s">
        <v>45</v>
      </c>
    </row>
    <row r="124" spans="1:9" ht="48" customHeight="1">
      <c r="A124" s="3" t="s">
        <v>66</v>
      </c>
      <c r="B124" s="3" t="s">
        <v>65</v>
      </c>
      <c r="C124" s="4">
        <v>46023</v>
      </c>
      <c r="D124" s="4">
        <v>46053</v>
      </c>
      <c r="E124" s="3" t="s">
        <v>260</v>
      </c>
      <c r="F124" s="3" t="s">
        <v>268</v>
      </c>
      <c r="G124" s="5">
        <v>1E-3</v>
      </c>
      <c r="H124" s="6" t="s">
        <v>67</v>
      </c>
      <c r="I124" s="3" t="s">
        <v>45</v>
      </c>
    </row>
    <row r="125" spans="1:9" ht="48" customHeight="1">
      <c r="A125" s="3" t="s">
        <v>66</v>
      </c>
      <c r="B125" s="3" t="s">
        <v>65</v>
      </c>
      <c r="C125" s="4">
        <v>46023</v>
      </c>
      <c r="D125" s="4">
        <v>46053</v>
      </c>
      <c r="E125" s="3" t="s">
        <v>260</v>
      </c>
      <c r="F125" s="3" t="s">
        <v>269</v>
      </c>
      <c r="G125" s="5">
        <v>1E-3</v>
      </c>
      <c r="H125" s="6" t="s">
        <v>67</v>
      </c>
      <c r="I125" s="3" t="s">
        <v>45</v>
      </c>
    </row>
    <row r="126" spans="1:9" ht="48" customHeight="1">
      <c r="A126" s="3" t="s">
        <v>66</v>
      </c>
      <c r="B126" s="3" t="s">
        <v>65</v>
      </c>
      <c r="C126" s="4">
        <v>46023</v>
      </c>
      <c r="D126" s="4">
        <v>46053</v>
      </c>
      <c r="E126" s="3" t="s">
        <v>260</v>
      </c>
      <c r="F126" s="3" t="s">
        <v>270</v>
      </c>
      <c r="G126" s="5">
        <v>1E-3</v>
      </c>
      <c r="H126" s="6" t="s">
        <v>67</v>
      </c>
      <c r="I126" s="3" t="s">
        <v>45</v>
      </c>
    </row>
    <row r="127" spans="1:9" ht="48" customHeight="1">
      <c r="A127" s="3" t="s">
        <v>66</v>
      </c>
      <c r="B127" s="3" t="s">
        <v>65</v>
      </c>
      <c r="C127" s="4">
        <v>46023</v>
      </c>
      <c r="D127" s="4">
        <v>46053</v>
      </c>
      <c r="E127" s="3" t="s">
        <v>260</v>
      </c>
      <c r="F127" s="3" t="s">
        <v>271</v>
      </c>
      <c r="G127" s="5">
        <v>1E-3</v>
      </c>
      <c r="H127" s="6" t="s">
        <v>67</v>
      </c>
      <c r="I127" s="3" t="s">
        <v>45</v>
      </c>
    </row>
    <row r="128" spans="1:9" ht="48" customHeight="1">
      <c r="A128" s="3" t="s">
        <v>66</v>
      </c>
      <c r="B128" s="3" t="s">
        <v>65</v>
      </c>
      <c r="C128" s="4">
        <v>46023</v>
      </c>
      <c r="D128" s="4">
        <v>46053</v>
      </c>
      <c r="E128" s="3" t="s">
        <v>260</v>
      </c>
      <c r="F128" s="3" t="s">
        <v>272</v>
      </c>
      <c r="G128" s="5">
        <v>1E-3</v>
      </c>
      <c r="H128" s="6" t="s">
        <v>67</v>
      </c>
      <c r="I128" s="3" t="s">
        <v>45</v>
      </c>
    </row>
    <row r="129" spans="1:9" ht="48" customHeight="1">
      <c r="A129" s="3" t="s">
        <v>66</v>
      </c>
      <c r="B129" s="3" t="s">
        <v>65</v>
      </c>
      <c r="C129" s="4">
        <v>46023</v>
      </c>
      <c r="D129" s="4">
        <v>46053</v>
      </c>
      <c r="E129" s="3" t="s">
        <v>260</v>
      </c>
      <c r="F129" s="3" t="s">
        <v>273</v>
      </c>
      <c r="G129" s="5">
        <v>0</v>
      </c>
      <c r="H129" s="6" t="s">
        <v>67</v>
      </c>
      <c r="I129" s="3" t="s">
        <v>45</v>
      </c>
    </row>
    <row r="130" spans="1:9" ht="48" customHeight="1">
      <c r="A130" s="3" t="s">
        <v>66</v>
      </c>
      <c r="B130" s="3" t="s">
        <v>65</v>
      </c>
      <c r="C130" s="4">
        <v>46023</v>
      </c>
      <c r="D130" s="4">
        <v>46053</v>
      </c>
      <c r="E130" s="3" t="s">
        <v>260</v>
      </c>
      <c r="F130" s="3" t="s">
        <v>274</v>
      </c>
      <c r="G130" s="5">
        <v>0</v>
      </c>
      <c r="H130" s="6" t="s">
        <v>67</v>
      </c>
      <c r="I130" s="3" t="s">
        <v>45</v>
      </c>
    </row>
    <row r="131" spans="1:9" ht="48" customHeight="1">
      <c r="A131" s="3" t="s">
        <v>66</v>
      </c>
      <c r="B131" s="3" t="s">
        <v>65</v>
      </c>
      <c r="C131" s="4">
        <v>46023</v>
      </c>
      <c r="D131" s="4">
        <v>46053</v>
      </c>
      <c r="E131" s="3" t="s">
        <v>260</v>
      </c>
      <c r="F131" s="3" t="s">
        <v>275</v>
      </c>
      <c r="G131" s="5">
        <v>0</v>
      </c>
      <c r="H131" s="6" t="s">
        <v>67</v>
      </c>
      <c r="I131" s="3" t="s">
        <v>45</v>
      </c>
    </row>
    <row r="132" spans="1:9" ht="48" customHeight="1">
      <c r="A132" s="3" t="s">
        <v>66</v>
      </c>
      <c r="B132" s="3" t="s">
        <v>65</v>
      </c>
      <c r="C132" s="4">
        <v>46023</v>
      </c>
      <c r="D132" s="4">
        <v>46053</v>
      </c>
      <c r="E132" s="3" t="s">
        <v>260</v>
      </c>
      <c r="F132" s="3" t="s">
        <v>276</v>
      </c>
      <c r="G132" s="5">
        <v>0</v>
      </c>
      <c r="H132" s="6" t="s">
        <v>67</v>
      </c>
      <c r="I132" s="3" t="s">
        <v>45</v>
      </c>
    </row>
    <row r="133" spans="1:9" ht="48" customHeight="1">
      <c r="A133" s="3" t="s">
        <v>66</v>
      </c>
      <c r="B133" s="3" t="s">
        <v>65</v>
      </c>
      <c r="C133" s="4">
        <v>46023</v>
      </c>
      <c r="D133" s="4">
        <v>46053</v>
      </c>
      <c r="E133" s="3" t="s">
        <v>260</v>
      </c>
      <c r="F133" s="3" t="s">
        <v>277</v>
      </c>
      <c r="G133" s="5">
        <v>0</v>
      </c>
      <c r="H133" s="6" t="s">
        <v>67</v>
      </c>
      <c r="I133" s="3" t="s">
        <v>45</v>
      </c>
    </row>
    <row r="134" spans="1:9" ht="48" customHeight="1">
      <c r="A134" s="3" t="s">
        <v>66</v>
      </c>
      <c r="B134" s="3" t="s">
        <v>65</v>
      </c>
      <c r="C134" s="4">
        <v>46023</v>
      </c>
      <c r="D134" s="4">
        <v>46053</v>
      </c>
      <c r="E134" s="3" t="s">
        <v>260</v>
      </c>
      <c r="F134" s="3" t="s">
        <v>278</v>
      </c>
      <c r="G134" s="5">
        <v>0</v>
      </c>
      <c r="H134" s="6" t="s">
        <v>67</v>
      </c>
      <c r="I134" s="3" t="s">
        <v>45</v>
      </c>
    </row>
    <row r="135" spans="1:9" ht="48" customHeight="1">
      <c r="A135" s="3" t="s">
        <v>66</v>
      </c>
      <c r="B135" s="3" t="s">
        <v>65</v>
      </c>
      <c r="C135" s="4">
        <v>46023</v>
      </c>
      <c r="D135" s="4">
        <v>46053</v>
      </c>
      <c r="E135" s="3" t="s">
        <v>260</v>
      </c>
      <c r="F135" s="3" t="s">
        <v>279</v>
      </c>
      <c r="G135" s="5">
        <v>0</v>
      </c>
      <c r="H135" s="6" t="s">
        <v>67</v>
      </c>
      <c r="I135" s="3" t="s">
        <v>45</v>
      </c>
    </row>
    <row r="136" spans="1:9" ht="48" customHeight="1">
      <c r="A136" s="3" t="s">
        <v>66</v>
      </c>
      <c r="B136" s="3" t="s">
        <v>65</v>
      </c>
      <c r="C136" s="4">
        <v>46023</v>
      </c>
      <c r="D136" s="4">
        <v>46053</v>
      </c>
      <c r="E136" s="3" t="s">
        <v>260</v>
      </c>
      <c r="F136" s="3" t="s">
        <v>280</v>
      </c>
      <c r="G136" s="5">
        <v>0</v>
      </c>
      <c r="H136" s="6" t="s">
        <v>67</v>
      </c>
      <c r="I136" s="3" t="s">
        <v>45</v>
      </c>
    </row>
    <row r="137" spans="1:9" ht="48" customHeight="1">
      <c r="A137" s="3" t="s">
        <v>66</v>
      </c>
      <c r="B137" s="3" t="s">
        <v>65</v>
      </c>
      <c r="C137" s="4">
        <v>46023</v>
      </c>
      <c r="D137" s="4">
        <v>46053</v>
      </c>
      <c r="E137" s="3" t="s">
        <v>260</v>
      </c>
      <c r="F137" s="3" t="s">
        <v>281</v>
      </c>
      <c r="G137" s="5">
        <v>0</v>
      </c>
      <c r="H137" s="6" t="s">
        <v>67</v>
      </c>
      <c r="I137" s="3" t="s">
        <v>45</v>
      </c>
    </row>
    <row r="138" spans="1:9" ht="48" customHeight="1">
      <c r="A138" s="3" t="s">
        <v>66</v>
      </c>
      <c r="B138" s="3" t="s">
        <v>65</v>
      </c>
      <c r="C138" s="4">
        <v>46023</v>
      </c>
      <c r="D138" s="4">
        <v>46053</v>
      </c>
      <c r="E138" s="3" t="s">
        <v>260</v>
      </c>
      <c r="F138" s="3" t="s">
        <v>282</v>
      </c>
      <c r="G138" s="5">
        <v>0</v>
      </c>
      <c r="H138" s="6" t="s">
        <v>67</v>
      </c>
      <c r="I138" s="3" t="s">
        <v>45</v>
      </c>
    </row>
    <row r="139" spans="1:9" ht="48" customHeight="1">
      <c r="A139" s="3" t="s">
        <v>66</v>
      </c>
      <c r="B139" s="3" t="s">
        <v>65</v>
      </c>
      <c r="C139" s="4">
        <v>46023</v>
      </c>
      <c r="D139" s="4">
        <v>46053</v>
      </c>
      <c r="E139" s="3" t="s">
        <v>260</v>
      </c>
      <c r="F139" s="3" t="s">
        <v>283</v>
      </c>
      <c r="G139" s="5">
        <v>0</v>
      </c>
      <c r="H139" s="6" t="s">
        <v>67</v>
      </c>
      <c r="I139" s="3" t="s">
        <v>45</v>
      </c>
    </row>
    <row r="140" spans="1:9" ht="48" customHeight="1">
      <c r="A140" s="3" t="s">
        <v>66</v>
      </c>
      <c r="B140" s="3" t="s">
        <v>65</v>
      </c>
      <c r="C140" s="4">
        <v>46023</v>
      </c>
      <c r="D140" s="4">
        <v>46053</v>
      </c>
      <c r="E140" s="3" t="s">
        <v>260</v>
      </c>
      <c r="F140" s="3" t="s">
        <v>284</v>
      </c>
      <c r="G140" s="5">
        <v>0</v>
      </c>
      <c r="H140" s="6" t="s">
        <v>67</v>
      </c>
      <c r="I140" s="3" t="s">
        <v>45</v>
      </c>
    </row>
    <row r="141" spans="1:9" ht="48" customHeight="1">
      <c r="A141" s="3" t="s">
        <v>66</v>
      </c>
      <c r="B141" s="3" t="s">
        <v>65</v>
      </c>
      <c r="C141" s="4">
        <v>46023</v>
      </c>
      <c r="D141" s="4">
        <v>46053</v>
      </c>
      <c r="E141" s="3" t="s">
        <v>260</v>
      </c>
      <c r="F141" s="3" t="s">
        <v>285</v>
      </c>
      <c r="G141" s="5">
        <v>0</v>
      </c>
      <c r="H141" s="6" t="s">
        <v>67</v>
      </c>
      <c r="I141" s="3" t="s">
        <v>45</v>
      </c>
    </row>
    <row r="142" spans="1:9" ht="48" customHeight="1">
      <c r="A142" s="3" t="s">
        <v>66</v>
      </c>
      <c r="B142" s="3" t="s">
        <v>65</v>
      </c>
      <c r="C142" s="4">
        <v>46023</v>
      </c>
      <c r="D142" s="4">
        <v>46053</v>
      </c>
      <c r="E142" s="3" t="s">
        <v>286</v>
      </c>
      <c r="F142" s="3" t="s">
        <v>287</v>
      </c>
      <c r="G142" s="5">
        <v>5.0000000000000001E-3</v>
      </c>
      <c r="H142" s="6" t="s">
        <v>67</v>
      </c>
      <c r="I142" s="3" t="s">
        <v>45</v>
      </c>
    </row>
    <row r="143" spans="1:9" ht="48" customHeight="1">
      <c r="A143" s="3" t="s">
        <v>66</v>
      </c>
      <c r="B143" s="3" t="s">
        <v>65</v>
      </c>
      <c r="C143" s="4">
        <v>46023</v>
      </c>
      <c r="D143" s="4">
        <v>46053</v>
      </c>
      <c r="E143" s="3" t="s">
        <v>286</v>
      </c>
      <c r="F143" s="3" t="s">
        <v>288</v>
      </c>
      <c r="G143" s="5">
        <v>3.0000000000000001E-3</v>
      </c>
      <c r="H143" s="6" t="s">
        <v>67</v>
      </c>
      <c r="I143" s="3" t="s">
        <v>45</v>
      </c>
    </row>
    <row r="144" spans="1:9" ht="48" customHeight="1">
      <c r="A144" s="3" t="s">
        <v>66</v>
      </c>
      <c r="B144" s="3" t="s">
        <v>65</v>
      </c>
      <c r="C144" s="4">
        <v>46023</v>
      </c>
      <c r="D144" s="4">
        <v>46053</v>
      </c>
      <c r="E144" s="3" t="s">
        <v>286</v>
      </c>
      <c r="F144" s="3" t="s">
        <v>289</v>
      </c>
      <c r="G144" s="5">
        <v>3.0000000000000001E-3</v>
      </c>
      <c r="H144" s="6" t="s">
        <v>67</v>
      </c>
      <c r="I144" s="3" t="s">
        <v>45</v>
      </c>
    </row>
    <row r="145" spans="1:9" ht="48" customHeight="1">
      <c r="A145" s="3" t="s">
        <v>66</v>
      </c>
      <c r="B145" s="3" t="s">
        <v>65</v>
      </c>
      <c r="C145" s="4">
        <v>46023</v>
      </c>
      <c r="D145" s="4">
        <v>46053</v>
      </c>
      <c r="E145" s="3" t="s">
        <v>286</v>
      </c>
      <c r="F145" s="3" t="s">
        <v>290</v>
      </c>
      <c r="G145" s="5">
        <v>2E-3</v>
      </c>
      <c r="H145" s="6" t="s">
        <v>67</v>
      </c>
      <c r="I145" s="3" t="s">
        <v>45</v>
      </c>
    </row>
    <row r="146" spans="1:9" ht="48" customHeight="1">
      <c r="A146" s="3" t="s">
        <v>66</v>
      </c>
      <c r="B146" s="3" t="s">
        <v>65</v>
      </c>
      <c r="C146" s="4">
        <v>46023</v>
      </c>
      <c r="D146" s="4">
        <v>46053</v>
      </c>
      <c r="E146" s="3" t="s">
        <v>286</v>
      </c>
      <c r="F146" s="3" t="s">
        <v>291</v>
      </c>
      <c r="G146" s="5">
        <v>2E-3</v>
      </c>
      <c r="H146" s="6" t="s">
        <v>67</v>
      </c>
      <c r="I146" s="3" t="s">
        <v>45</v>
      </c>
    </row>
    <row r="147" spans="1:9" ht="48" customHeight="1">
      <c r="A147" s="3" t="s">
        <v>66</v>
      </c>
      <c r="B147" s="3" t="s">
        <v>65</v>
      </c>
      <c r="C147" s="4">
        <v>46023</v>
      </c>
      <c r="D147" s="4">
        <v>46053</v>
      </c>
      <c r="E147" s="3" t="s">
        <v>286</v>
      </c>
      <c r="F147" s="3" t="s">
        <v>292</v>
      </c>
      <c r="G147" s="5">
        <v>2E-3</v>
      </c>
      <c r="H147" s="6" t="s">
        <v>67</v>
      </c>
      <c r="I147" s="3" t="s">
        <v>45</v>
      </c>
    </row>
    <row r="148" spans="1:9" ht="48" customHeight="1">
      <c r="A148" s="3" t="s">
        <v>66</v>
      </c>
      <c r="B148" s="3" t="s">
        <v>65</v>
      </c>
      <c r="C148" s="4">
        <v>46023</v>
      </c>
      <c r="D148" s="4">
        <v>46053</v>
      </c>
      <c r="E148" s="3" t="s">
        <v>286</v>
      </c>
      <c r="F148" s="3" t="s">
        <v>293</v>
      </c>
      <c r="G148" s="5">
        <v>1E-3</v>
      </c>
      <c r="H148" s="6" t="s">
        <v>67</v>
      </c>
      <c r="I148" s="3" t="s">
        <v>45</v>
      </c>
    </row>
    <row r="149" spans="1:9" ht="48" customHeight="1">
      <c r="A149" s="3" t="s">
        <v>66</v>
      </c>
      <c r="B149" s="3" t="s">
        <v>65</v>
      </c>
      <c r="C149" s="4">
        <v>46023</v>
      </c>
      <c r="D149" s="4">
        <v>46053</v>
      </c>
      <c r="E149" s="3" t="s">
        <v>286</v>
      </c>
      <c r="F149" s="3" t="s">
        <v>294</v>
      </c>
      <c r="G149" s="5">
        <v>1E-3</v>
      </c>
      <c r="H149" s="6" t="s">
        <v>67</v>
      </c>
      <c r="I149" s="3" t="s">
        <v>45</v>
      </c>
    </row>
    <row r="150" spans="1:9" ht="48" customHeight="1">
      <c r="A150" s="3" t="s">
        <v>66</v>
      </c>
      <c r="B150" s="3" t="s">
        <v>65</v>
      </c>
      <c r="C150" s="4">
        <v>46023</v>
      </c>
      <c r="D150" s="4">
        <v>46053</v>
      </c>
      <c r="E150" s="3" t="s">
        <v>286</v>
      </c>
      <c r="F150" s="3" t="s">
        <v>295</v>
      </c>
      <c r="G150" s="5">
        <v>1E-3</v>
      </c>
      <c r="H150" s="6" t="s">
        <v>67</v>
      </c>
      <c r="I150" s="3" t="s">
        <v>45</v>
      </c>
    </row>
    <row r="151" spans="1:9" ht="48" customHeight="1">
      <c r="A151" s="3" t="s">
        <v>66</v>
      </c>
      <c r="B151" s="3" t="s">
        <v>65</v>
      </c>
      <c r="C151" s="4">
        <v>46023</v>
      </c>
      <c r="D151" s="4">
        <v>46053</v>
      </c>
      <c r="E151" s="3" t="s">
        <v>286</v>
      </c>
      <c r="F151" s="3" t="s">
        <v>296</v>
      </c>
      <c r="G151" s="5">
        <v>1E-3</v>
      </c>
      <c r="H151" s="6" t="s">
        <v>67</v>
      </c>
      <c r="I151" s="3" t="s">
        <v>45</v>
      </c>
    </row>
    <row r="152" spans="1:9" ht="48" customHeight="1">
      <c r="A152" s="3" t="s">
        <v>66</v>
      </c>
      <c r="B152" s="3" t="s">
        <v>65</v>
      </c>
      <c r="C152" s="4">
        <v>46023</v>
      </c>
      <c r="D152" s="4">
        <v>46053</v>
      </c>
      <c r="E152" s="3" t="s">
        <v>286</v>
      </c>
      <c r="F152" s="3" t="s">
        <v>297</v>
      </c>
      <c r="G152" s="5">
        <v>1E-3</v>
      </c>
      <c r="H152" s="6" t="s">
        <v>67</v>
      </c>
      <c r="I152" s="3" t="s">
        <v>45</v>
      </c>
    </row>
    <row r="153" spans="1:9" ht="48" customHeight="1">
      <c r="A153" s="3" t="s">
        <v>66</v>
      </c>
      <c r="B153" s="3" t="s">
        <v>65</v>
      </c>
      <c r="C153" s="4">
        <v>46023</v>
      </c>
      <c r="D153" s="4">
        <v>46053</v>
      </c>
      <c r="E153" s="3" t="s">
        <v>286</v>
      </c>
      <c r="F153" s="3" t="s">
        <v>298</v>
      </c>
      <c r="G153" s="5">
        <v>0</v>
      </c>
      <c r="H153" s="6" t="s">
        <v>67</v>
      </c>
      <c r="I153" s="3" t="s">
        <v>45</v>
      </c>
    </row>
    <row r="154" spans="1:9" ht="48" customHeight="1">
      <c r="A154" s="3" t="s">
        <v>66</v>
      </c>
      <c r="B154" s="3" t="s">
        <v>65</v>
      </c>
      <c r="C154" s="4">
        <v>46023</v>
      </c>
      <c r="D154" s="4">
        <v>46053</v>
      </c>
      <c r="E154" s="3" t="s">
        <v>286</v>
      </c>
      <c r="F154" s="3" t="s">
        <v>299</v>
      </c>
      <c r="G154" s="5">
        <v>0</v>
      </c>
      <c r="H154" s="6" t="s">
        <v>67</v>
      </c>
      <c r="I154" s="3" t="s">
        <v>45</v>
      </c>
    </row>
    <row r="155" spans="1:9" ht="48" customHeight="1">
      <c r="A155" s="3" t="s">
        <v>66</v>
      </c>
      <c r="B155" s="3" t="s">
        <v>65</v>
      </c>
      <c r="C155" s="4">
        <v>46023</v>
      </c>
      <c r="D155" s="4">
        <v>46053</v>
      </c>
      <c r="E155" s="3" t="s">
        <v>286</v>
      </c>
      <c r="F155" s="3" t="s">
        <v>300</v>
      </c>
      <c r="G155" s="5">
        <v>0</v>
      </c>
      <c r="H155" s="6" t="s">
        <v>67</v>
      </c>
      <c r="I155" s="3" t="s">
        <v>45</v>
      </c>
    </row>
    <row r="156" spans="1:9" ht="48" customHeight="1">
      <c r="A156" s="3" t="s">
        <v>66</v>
      </c>
      <c r="B156" s="3" t="s">
        <v>65</v>
      </c>
      <c r="C156" s="4">
        <v>46023</v>
      </c>
      <c r="D156" s="4">
        <v>46053</v>
      </c>
      <c r="E156" s="3" t="s">
        <v>301</v>
      </c>
      <c r="F156" s="3" t="s">
        <v>301</v>
      </c>
      <c r="G156" s="5">
        <v>1.8000000000000002E-2</v>
      </c>
      <c r="H156" s="6" t="s">
        <v>67</v>
      </c>
      <c r="I156" s="3" t="s">
        <v>45</v>
      </c>
    </row>
    <row r="157" spans="1:9" ht="48" customHeight="1">
      <c r="A157" s="3" t="s">
        <v>66</v>
      </c>
      <c r="B157" s="3" t="s">
        <v>65</v>
      </c>
      <c r="C157" s="4">
        <v>46023</v>
      </c>
      <c r="D157" s="4">
        <v>46053</v>
      </c>
      <c r="E157" s="3" t="s">
        <v>302</v>
      </c>
      <c r="F157" s="3" t="s">
        <v>303</v>
      </c>
      <c r="G157" s="5">
        <v>1E-3</v>
      </c>
      <c r="H157" s="6" t="s">
        <v>67</v>
      </c>
      <c r="I157" s="3" t="s">
        <v>45</v>
      </c>
    </row>
    <row r="158" spans="1:9" ht="48" customHeight="1">
      <c r="A158" s="3" t="s">
        <v>66</v>
      </c>
      <c r="B158" s="3" t="s">
        <v>65</v>
      </c>
      <c r="C158" s="4">
        <v>46023</v>
      </c>
      <c r="D158" s="4">
        <v>46053</v>
      </c>
      <c r="E158" s="3" t="s">
        <v>302</v>
      </c>
      <c r="F158" s="3" t="s">
        <v>304</v>
      </c>
      <c r="G158" s="5">
        <v>1E-3</v>
      </c>
      <c r="H158" s="6" t="s">
        <v>67</v>
      </c>
      <c r="I158" s="3" t="s">
        <v>45</v>
      </c>
    </row>
    <row r="159" spans="1:9" ht="48" customHeight="1">
      <c r="A159" s="3" t="s">
        <v>66</v>
      </c>
      <c r="B159" s="3" t="s">
        <v>65</v>
      </c>
      <c r="C159" s="4">
        <v>46023</v>
      </c>
      <c r="D159" s="4">
        <v>46053</v>
      </c>
      <c r="E159" s="3" t="s">
        <v>302</v>
      </c>
      <c r="F159" s="3" t="s">
        <v>305</v>
      </c>
      <c r="G159" s="5">
        <v>1E-3</v>
      </c>
      <c r="H159" s="6" t="s">
        <v>67</v>
      </c>
      <c r="I159" s="3" t="s">
        <v>45</v>
      </c>
    </row>
    <row r="160" spans="1:9" ht="48" customHeight="1">
      <c r="A160" s="3" t="s">
        <v>66</v>
      </c>
      <c r="B160" s="3" t="s">
        <v>65</v>
      </c>
      <c r="C160" s="4">
        <v>46023</v>
      </c>
      <c r="D160" s="4">
        <v>46053</v>
      </c>
      <c r="E160" s="3" t="s">
        <v>302</v>
      </c>
      <c r="F160" s="3" t="s">
        <v>306</v>
      </c>
      <c r="G160" s="5">
        <v>1E-3</v>
      </c>
      <c r="H160" s="6" t="s">
        <v>67</v>
      </c>
      <c r="I160" s="3" t="s">
        <v>45</v>
      </c>
    </row>
    <row r="161" spans="1:9" ht="48" customHeight="1">
      <c r="A161" s="3" t="s">
        <v>66</v>
      </c>
      <c r="B161" s="3" t="s">
        <v>65</v>
      </c>
      <c r="C161" s="4">
        <v>46023</v>
      </c>
      <c r="D161" s="4">
        <v>46053</v>
      </c>
      <c r="E161" s="3" t="s">
        <v>302</v>
      </c>
      <c r="F161" s="3" t="s">
        <v>307</v>
      </c>
      <c r="G161" s="5">
        <v>1E-3</v>
      </c>
      <c r="H161" s="6" t="s">
        <v>67</v>
      </c>
      <c r="I161" s="3" t="s">
        <v>45</v>
      </c>
    </row>
    <row r="162" spans="1:9" ht="48" customHeight="1">
      <c r="A162" s="3" t="s">
        <v>66</v>
      </c>
      <c r="B162" s="3" t="s">
        <v>65</v>
      </c>
      <c r="C162" s="4">
        <v>46023</v>
      </c>
      <c r="D162" s="4">
        <v>46053</v>
      </c>
      <c r="E162" s="3" t="s">
        <v>302</v>
      </c>
      <c r="F162" s="3" t="s">
        <v>308</v>
      </c>
      <c r="G162" s="5">
        <v>1E-3</v>
      </c>
      <c r="H162" s="6" t="s">
        <v>67</v>
      </c>
      <c r="I162" s="3" t="s">
        <v>45</v>
      </c>
    </row>
    <row r="163" spans="1:9" ht="48" customHeight="1">
      <c r="A163" s="3" t="s">
        <v>66</v>
      </c>
      <c r="B163" s="3" t="s">
        <v>65</v>
      </c>
      <c r="C163" s="4">
        <v>46023</v>
      </c>
      <c r="D163" s="4">
        <v>46053</v>
      </c>
      <c r="E163" s="3" t="s">
        <v>302</v>
      </c>
      <c r="F163" s="3" t="s">
        <v>309</v>
      </c>
      <c r="G163" s="5">
        <v>1E-3</v>
      </c>
      <c r="H163" s="6" t="s">
        <v>67</v>
      </c>
      <c r="I163" s="3" t="s">
        <v>45</v>
      </c>
    </row>
    <row r="164" spans="1:9" ht="48" customHeight="1">
      <c r="A164" s="3" t="s">
        <v>66</v>
      </c>
      <c r="B164" s="3" t="s">
        <v>65</v>
      </c>
      <c r="C164" s="4">
        <v>46023</v>
      </c>
      <c r="D164" s="4">
        <v>46053</v>
      </c>
      <c r="E164" s="3" t="s">
        <v>302</v>
      </c>
      <c r="F164" s="3" t="s">
        <v>310</v>
      </c>
      <c r="G164" s="5">
        <v>0</v>
      </c>
      <c r="H164" s="6" t="s">
        <v>67</v>
      </c>
      <c r="I164" s="3" t="s">
        <v>45</v>
      </c>
    </row>
    <row r="165" spans="1:9" ht="48" customHeight="1">
      <c r="A165" s="3" t="s">
        <v>66</v>
      </c>
      <c r="B165" s="3" t="s">
        <v>65</v>
      </c>
      <c r="C165" s="4">
        <v>46023</v>
      </c>
      <c r="D165" s="4">
        <v>46053</v>
      </c>
      <c r="E165" s="3" t="s">
        <v>302</v>
      </c>
      <c r="F165" s="3" t="s">
        <v>311</v>
      </c>
      <c r="G165" s="5">
        <v>0</v>
      </c>
      <c r="H165" s="6" t="s">
        <v>67</v>
      </c>
      <c r="I165" s="3" t="s">
        <v>45</v>
      </c>
    </row>
    <row r="166" spans="1:9" ht="48" customHeight="1">
      <c r="A166" s="3" t="s">
        <v>66</v>
      </c>
      <c r="B166" s="3" t="s">
        <v>65</v>
      </c>
      <c r="C166" s="4">
        <v>46023</v>
      </c>
      <c r="D166" s="4">
        <v>46053</v>
      </c>
      <c r="E166" s="3" t="s">
        <v>302</v>
      </c>
      <c r="F166" s="3" t="s">
        <v>312</v>
      </c>
      <c r="G166" s="5">
        <v>0</v>
      </c>
      <c r="H166" s="6" t="s">
        <v>67</v>
      </c>
      <c r="I166" s="3" t="s">
        <v>45</v>
      </c>
    </row>
    <row r="167" spans="1:9" ht="48" customHeight="1">
      <c r="A167" s="3" t="s">
        <v>66</v>
      </c>
      <c r="B167" s="3" t="s">
        <v>65</v>
      </c>
      <c r="C167" s="4">
        <v>46023</v>
      </c>
      <c r="D167" s="4">
        <v>46053</v>
      </c>
      <c r="E167" s="3" t="s">
        <v>302</v>
      </c>
      <c r="F167" s="3" t="s">
        <v>313</v>
      </c>
      <c r="G167" s="5">
        <v>0</v>
      </c>
      <c r="H167" s="6" t="s">
        <v>67</v>
      </c>
      <c r="I167" s="3" t="s">
        <v>45</v>
      </c>
    </row>
    <row r="168" spans="1:9" ht="48" customHeight="1">
      <c r="A168" s="3" t="s">
        <v>66</v>
      </c>
      <c r="B168" s="3" t="s">
        <v>65</v>
      </c>
      <c r="C168" s="4">
        <v>46023</v>
      </c>
      <c r="D168" s="4">
        <v>46053</v>
      </c>
      <c r="E168" s="3" t="s">
        <v>302</v>
      </c>
      <c r="F168" s="3" t="s">
        <v>314</v>
      </c>
      <c r="G168" s="5">
        <v>0</v>
      </c>
      <c r="H168" s="6" t="s">
        <v>67</v>
      </c>
      <c r="I168" s="3" t="s">
        <v>45</v>
      </c>
    </row>
    <row r="169" spans="1:9" ht="48" customHeight="1">
      <c r="A169" s="3" t="s">
        <v>66</v>
      </c>
      <c r="B169" s="3" t="s">
        <v>65</v>
      </c>
      <c r="C169" s="4">
        <v>46023</v>
      </c>
      <c r="D169" s="4">
        <v>46053</v>
      </c>
      <c r="E169" s="3" t="s">
        <v>302</v>
      </c>
      <c r="F169" s="3" t="s">
        <v>315</v>
      </c>
      <c r="G169" s="5">
        <v>0</v>
      </c>
      <c r="H169" s="6" t="s">
        <v>67</v>
      </c>
      <c r="I169" s="3" t="s">
        <v>45</v>
      </c>
    </row>
    <row r="170" spans="1:9" ht="48" customHeight="1">
      <c r="A170" s="3" t="s">
        <v>66</v>
      </c>
      <c r="B170" s="3" t="s">
        <v>65</v>
      </c>
      <c r="C170" s="4">
        <v>46023</v>
      </c>
      <c r="D170" s="4">
        <v>46053</v>
      </c>
      <c r="E170" s="3" t="s">
        <v>302</v>
      </c>
      <c r="F170" s="3" t="s">
        <v>316</v>
      </c>
      <c r="G170" s="5">
        <v>0</v>
      </c>
      <c r="H170" s="6" t="s">
        <v>67</v>
      </c>
      <c r="I170" s="3" t="s">
        <v>45</v>
      </c>
    </row>
    <row r="171" spans="1:9" ht="48" customHeight="1">
      <c r="A171" s="3" t="s">
        <v>66</v>
      </c>
      <c r="B171" s="3" t="s">
        <v>65</v>
      </c>
      <c r="C171" s="4">
        <v>46023</v>
      </c>
      <c r="D171" s="4">
        <v>46053</v>
      </c>
      <c r="E171" s="3" t="s">
        <v>302</v>
      </c>
      <c r="F171" s="3" t="s">
        <v>317</v>
      </c>
      <c r="G171" s="5">
        <v>0</v>
      </c>
      <c r="H171" s="6" t="s">
        <v>67</v>
      </c>
      <c r="I171" s="3" t="s">
        <v>45</v>
      </c>
    </row>
    <row r="172" spans="1:9" ht="48" customHeight="1">
      <c r="A172" s="3" t="s">
        <v>66</v>
      </c>
      <c r="B172" s="3" t="s">
        <v>65</v>
      </c>
      <c r="C172" s="4">
        <v>46023</v>
      </c>
      <c r="D172" s="4">
        <v>46053</v>
      </c>
      <c r="E172" s="3" t="s">
        <v>302</v>
      </c>
      <c r="F172" s="3" t="s">
        <v>318</v>
      </c>
      <c r="G172" s="5">
        <v>0</v>
      </c>
      <c r="H172" s="6" t="s">
        <v>67</v>
      </c>
      <c r="I172" s="3" t="s">
        <v>45</v>
      </c>
    </row>
    <row r="173" spans="1:9" ht="48" customHeight="1">
      <c r="A173" s="3" t="s">
        <v>66</v>
      </c>
      <c r="B173" s="3" t="s">
        <v>65</v>
      </c>
      <c r="C173" s="4">
        <v>46023</v>
      </c>
      <c r="D173" s="4">
        <v>46053</v>
      </c>
      <c r="E173" s="3" t="s">
        <v>302</v>
      </c>
      <c r="F173" s="3" t="s">
        <v>319</v>
      </c>
      <c r="G173" s="5">
        <v>0</v>
      </c>
      <c r="H173" s="6" t="s">
        <v>67</v>
      </c>
      <c r="I173" s="3" t="s">
        <v>45</v>
      </c>
    </row>
    <row r="174" spans="1:9" ht="48" customHeight="1">
      <c r="A174" s="3" t="s">
        <v>66</v>
      </c>
      <c r="B174" s="3" t="s">
        <v>65</v>
      </c>
      <c r="C174" s="4">
        <v>46023</v>
      </c>
      <c r="D174" s="4">
        <v>46053</v>
      </c>
      <c r="E174" s="3" t="s">
        <v>302</v>
      </c>
      <c r="F174" s="3" t="s">
        <v>320</v>
      </c>
      <c r="G174" s="5">
        <v>0</v>
      </c>
      <c r="H174" s="6" t="s">
        <v>67</v>
      </c>
      <c r="I174" s="3" t="s">
        <v>45</v>
      </c>
    </row>
    <row r="175" spans="1:9" ht="48" customHeight="1">
      <c r="A175" s="3" t="s">
        <v>66</v>
      </c>
      <c r="B175" s="3" t="s">
        <v>65</v>
      </c>
      <c r="C175" s="4">
        <v>46023</v>
      </c>
      <c r="D175" s="4">
        <v>46053</v>
      </c>
      <c r="E175" s="3" t="s">
        <v>302</v>
      </c>
      <c r="F175" s="3" t="s">
        <v>321</v>
      </c>
      <c r="G175" s="5">
        <v>0</v>
      </c>
      <c r="H175" s="6" t="s">
        <v>67</v>
      </c>
      <c r="I175" s="3" t="s">
        <v>45</v>
      </c>
    </row>
    <row r="176" spans="1:9" ht="48" customHeight="1">
      <c r="A176" s="3" t="s">
        <v>66</v>
      </c>
      <c r="B176" s="3" t="s">
        <v>65</v>
      </c>
      <c r="C176" s="4">
        <v>46023</v>
      </c>
      <c r="D176" s="4">
        <v>46053</v>
      </c>
      <c r="E176" s="3" t="s">
        <v>302</v>
      </c>
      <c r="F176" s="3" t="s">
        <v>322</v>
      </c>
      <c r="G176" s="5">
        <v>0</v>
      </c>
      <c r="H176" s="6" t="s">
        <v>67</v>
      </c>
      <c r="I176" s="3" t="s">
        <v>45</v>
      </c>
    </row>
    <row r="177" spans="1:9" ht="48" customHeight="1">
      <c r="A177" s="3" t="s">
        <v>66</v>
      </c>
      <c r="B177" s="3" t="s">
        <v>65</v>
      </c>
      <c r="C177" s="4">
        <v>46023</v>
      </c>
      <c r="D177" s="4">
        <v>46053</v>
      </c>
      <c r="E177" s="3" t="s">
        <v>302</v>
      </c>
      <c r="F177" s="3" t="s">
        <v>323</v>
      </c>
      <c r="G177" s="5">
        <v>0</v>
      </c>
      <c r="H177" s="6" t="s">
        <v>67</v>
      </c>
      <c r="I177" s="3" t="s">
        <v>45</v>
      </c>
    </row>
    <row r="178" spans="1:9" ht="48" customHeight="1">
      <c r="A178" s="3" t="s">
        <v>66</v>
      </c>
      <c r="B178" s="3" t="s">
        <v>65</v>
      </c>
      <c r="C178" s="4">
        <v>46023</v>
      </c>
      <c r="D178" s="4">
        <v>46053</v>
      </c>
      <c r="E178" s="3" t="s">
        <v>302</v>
      </c>
      <c r="F178" s="3" t="s">
        <v>324</v>
      </c>
      <c r="G178" s="5">
        <v>0</v>
      </c>
      <c r="H178" s="6" t="s">
        <v>67</v>
      </c>
      <c r="I178" s="3" t="s">
        <v>45</v>
      </c>
    </row>
    <row r="179" spans="1:9" ht="48" customHeight="1">
      <c r="A179" s="3" t="s">
        <v>66</v>
      </c>
      <c r="B179" s="3" t="s">
        <v>65</v>
      </c>
      <c r="C179" s="4">
        <v>46023</v>
      </c>
      <c r="D179" s="4">
        <v>46053</v>
      </c>
      <c r="E179" s="3" t="s">
        <v>81</v>
      </c>
      <c r="F179" s="3" t="s">
        <v>325</v>
      </c>
      <c r="G179" s="5">
        <v>2E-3</v>
      </c>
      <c r="H179" s="6" t="s">
        <v>67</v>
      </c>
      <c r="I179" s="3" t="s">
        <v>45</v>
      </c>
    </row>
    <row r="180" spans="1:9" ht="48" customHeight="1">
      <c r="A180" s="3" t="s">
        <v>66</v>
      </c>
      <c r="B180" s="3" t="s">
        <v>65</v>
      </c>
      <c r="C180" s="4">
        <v>46023</v>
      </c>
      <c r="D180" s="4">
        <v>46053</v>
      </c>
      <c r="E180" s="3" t="s">
        <v>81</v>
      </c>
      <c r="F180" s="3" t="s">
        <v>326</v>
      </c>
      <c r="G180" s="5">
        <v>1E-3</v>
      </c>
      <c r="H180" s="6" t="s">
        <v>67</v>
      </c>
      <c r="I180" s="3" t="s">
        <v>45</v>
      </c>
    </row>
    <row r="181" spans="1:9" ht="48" customHeight="1">
      <c r="A181" s="3" t="s">
        <v>66</v>
      </c>
      <c r="B181" s="3" t="s">
        <v>65</v>
      </c>
      <c r="C181" s="4">
        <v>46023</v>
      </c>
      <c r="D181" s="4">
        <v>46053</v>
      </c>
      <c r="E181" s="3" t="s">
        <v>81</v>
      </c>
      <c r="F181" s="3" t="s">
        <v>327</v>
      </c>
      <c r="G181" s="5">
        <v>1E-3</v>
      </c>
      <c r="H181" s="6" t="s">
        <v>67</v>
      </c>
      <c r="I181" s="3" t="s">
        <v>45</v>
      </c>
    </row>
    <row r="182" spans="1:9" ht="48" customHeight="1">
      <c r="A182" s="3" t="s">
        <v>66</v>
      </c>
      <c r="B182" s="3" t="s">
        <v>65</v>
      </c>
      <c r="C182" s="4">
        <v>46023</v>
      </c>
      <c r="D182" s="4">
        <v>46053</v>
      </c>
      <c r="E182" s="3" t="s">
        <v>81</v>
      </c>
      <c r="F182" s="3" t="s">
        <v>328</v>
      </c>
      <c r="G182" s="5">
        <v>1E-3</v>
      </c>
      <c r="H182" s="6" t="s">
        <v>67</v>
      </c>
      <c r="I182" s="3" t="s">
        <v>45</v>
      </c>
    </row>
    <row r="183" spans="1:9" ht="48" customHeight="1">
      <c r="A183" s="3" t="s">
        <v>66</v>
      </c>
      <c r="B183" s="3" t="s">
        <v>65</v>
      </c>
      <c r="C183" s="4">
        <v>46023</v>
      </c>
      <c r="D183" s="4">
        <v>46053</v>
      </c>
      <c r="E183" s="3" t="s">
        <v>81</v>
      </c>
      <c r="F183" s="3" t="s">
        <v>329</v>
      </c>
      <c r="G183" s="5">
        <v>1E-3</v>
      </c>
      <c r="H183" s="6" t="s">
        <v>67</v>
      </c>
      <c r="I183" s="3" t="s">
        <v>45</v>
      </c>
    </row>
    <row r="184" spans="1:9" ht="48" customHeight="1">
      <c r="A184" s="3" t="s">
        <v>66</v>
      </c>
      <c r="B184" s="3" t="s">
        <v>65</v>
      </c>
      <c r="C184" s="4">
        <v>46023</v>
      </c>
      <c r="D184" s="4">
        <v>46053</v>
      </c>
      <c r="E184" s="3" t="s">
        <v>81</v>
      </c>
      <c r="F184" s="3" t="s">
        <v>330</v>
      </c>
      <c r="G184" s="5">
        <v>1E-3</v>
      </c>
      <c r="H184" s="6" t="s">
        <v>67</v>
      </c>
      <c r="I184" s="3" t="s">
        <v>45</v>
      </c>
    </row>
    <row r="185" spans="1:9" ht="48" customHeight="1">
      <c r="A185" s="3" t="s">
        <v>66</v>
      </c>
      <c r="B185" s="3" t="s">
        <v>65</v>
      </c>
      <c r="C185" s="4">
        <v>46023</v>
      </c>
      <c r="D185" s="4">
        <v>46053</v>
      </c>
      <c r="E185" s="3" t="s">
        <v>81</v>
      </c>
      <c r="F185" s="3" t="s">
        <v>331</v>
      </c>
      <c r="G185" s="5">
        <v>1E-3</v>
      </c>
      <c r="H185" s="6" t="s">
        <v>67</v>
      </c>
      <c r="I185" s="3" t="s">
        <v>45</v>
      </c>
    </row>
    <row r="186" spans="1:9" ht="48" customHeight="1">
      <c r="A186" s="3" t="s">
        <v>66</v>
      </c>
      <c r="B186" s="3" t="s">
        <v>65</v>
      </c>
      <c r="C186" s="4">
        <v>46023</v>
      </c>
      <c r="D186" s="4">
        <v>46053</v>
      </c>
      <c r="E186" s="3" t="s">
        <v>81</v>
      </c>
      <c r="F186" s="3" t="s">
        <v>332</v>
      </c>
      <c r="G186" s="5">
        <v>1E-3</v>
      </c>
      <c r="H186" s="6" t="s">
        <v>67</v>
      </c>
      <c r="I186" s="3" t="s">
        <v>45</v>
      </c>
    </row>
    <row r="187" spans="1:9" ht="48" customHeight="1">
      <c r="A187" s="3" t="s">
        <v>66</v>
      </c>
      <c r="B187" s="3" t="s">
        <v>65</v>
      </c>
      <c r="C187" s="4">
        <v>46023</v>
      </c>
      <c r="D187" s="4">
        <v>46053</v>
      </c>
      <c r="E187" s="3" t="s">
        <v>81</v>
      </c>
      <c r="F187" s="3" t="s">
        <v>333</v>
      </c>
      <c r="G187" s="5">
        <v>0</v>
      </c>
      <c r="H187" s="6" t="s">
        <v>67</v>
      </c>
      <c r="I187" s="3" t="s">
        <v>45</v>
      </c>
    </row>
    <row r="188" spans="1:9" ht="48" customHeight="1">
      <c r="A188" s="3" t="s">
        <v>66</v>
      </c>
      <c r="B188" s="3" t="s">
        <v>65</v>
      </c>
      <c r="C188" s="4">
        <v>46023</v>
      </c>
      <c r="D188" s="4">
        <v>46053</v>
      </c>
      <c r="E188" s="3" t="s">
        <v>81</v>
      </c>
      <c r="F188" s="3" t="s">
        <v>334</v>
      </c>
      <c r="G188" s="5">
        <v>0</v>
      </c>
      <c r="H188" s="6" t="s">
        <v>67</v>
      </c>
      <c r="I188" s="3" t="s">
        <v>45</v>
      </c>
    </row>
    <row r="189" spans="1:9" ht="48" customHeight="1">
      <c r="A189" s="3" t="s">
        <v>66</v>
      </c>
      <c r="B189" s="3" t="s">
        <v>65</v>
      </c>
      <c r="C189" s="4">
        <v>46023</v>
      </c>
      <c r="D189" s="4">
        <v>46053</v>
      </c>
      <c r="E189" s="3" t="s">
        <v>81</v>
      </c>
      <c r="F189" s="3" t="s">
        <v>335</v>
      </c>
      <c r="G189" s="5">
        <v>0</v>
      </c>
      <c r="H189" s="6" t="s">
        <v>67</v>
      </c>
      <c r="I189" s="3" t="s">
        <v>45</v>
      </c>
    </row>
    <row r="190" spans="1:9" ht="48" customHeight="1">
      <c r="A190" s="3" t="s">
        <v>66</v>
      </c>
      <c r="B190" s="3" t="s">
        <v>65</v>
      </c>
      <c r="C190" s="4">
        <v>46023</v>
      </c>
      <c r="D190" s="4">
        <v>46053</v>
      </c>
      <c r="E190" s="3" t="s">
        <v>81</v>
      </c>
      <c r="F190" s="3" t="s">
        <v>336</v>
      </c>
      <c r="G190" s="5">
        <v>0</v>
      </c>
      <c r="H190" s="6" t="s">
        <v>67</v>
      </c>
      <c r="I190" s="3" t="s">
        <v>45</v>
      </c>
    </row>
    <row r="191" spans="1:9" ht="48" customHeight="1">
      <c r="A191" s="3" t="s">
        <v>66</v>
      </c>
      <c r="B191" s="3" t="s">
        <v>65</v>
      </c>
      <c r="C191" s="4">
        <v>46023</v>
      </c>
      <c r="D191" s="4">
        <v>46053</v>
      </c>
      <c r="E191" s="3" t="s">
        <v>81</v>
      </c>
      <c r="F191" s="3" t="s">
        <v>337</v>
      </c>
      <c r="G191" s="5">
        <v>0</v>
      </c>
      <c r="H191" s="6" t="s">
        <v>67</v>
      </c>
      <c r="I191" s="3" t="s">
        <v>45</v>
      </c>
    </row>
    <row r="192" spans="1:9" ht="48" customHeight="1">
      <c r="A192" s="3" t="s">
        <v>66</v>
      </c>
      <c r="B192" s="3" t="s">
        <v>65</v>
      </c>
      <c r="C192" s="4">
        <v>46023</v>
      </c>
      <c r="D192" s="4">
        <v>46053</v>
      </c>
      <c r="E192" s="3" t="s">
        <v>81</v>
      </c>
      <c r="F192" s="3" t="s">
        <v>338</v>
      </c>
      <c r="G192" s="5">
        <v>0</v>
      </c>
      <c r="H192" s="6" t="s">
        <v>67</v>
      </c>
      <c r="I192" s="3" t="s">
        <v>45</v>
      </c>
    </row>
    <row r="193" spans="1:9" ht="48" customHeight="1">
      <c r="A193" s="3" t="s">
        <v>66</v>
      </c>
      <c r="B193" s="3" t="s">
        <v>65</v>
      </c>
      <c r="C193" s="4">
        <v>46023</v>
      </c>
      <c r="D193" s="4">
        <v>46053</v>
      </c>
      <c r="E193" s="3" t="s">
        <v>81</v>
      </c>
      <c r="F193" s="3" t="s">
        <v>339</v>
      </c>
      <c r="G193" s="5">
        <v>0</v>
      </c>
      <c r="H193" s="6" t="s">
        <v>67</v>
      </c>
      <c r="I193" s="3" t="s">
        <v>45</v>
      </c>
    </row>
    <row r="194" spans="1:9" ht="48" customHeight="1">
      <c r="A194" s="3" t="s">
        <v>66</v>
      </c>
      <c r="B194" s="3" t="s">
        <v>65</v>
      </c>
      <c r="C194" s="4">
        <v>46023</v>
      </c>
      <c r="D194" s="4">
        <v>46053</v>
      </c>
      <c r="E194" s="3" t="s">
        <v>81</v>
      </c>
      <c r="F194" s="3" t="s">
        <v>340</v>
      </c>
      <c r="G194" s="5">
        <v>0</v>
      </c>
      <c r="H194" s="6" t="s">
        <v>67</v>
      </c>
      <c r="I194" s="3" t="s">
        <v>45</v>
      </c>
    </row>
    <row r="195" spans="1:9" ht="48" customHeight="1">
      <c r="A195" s="3" t="s">
        <v>66</v>
      </c>
      <c r="B195" s="3" t="s">
        <v>65</v>
      </c>
      <c r="C195" s="4">
        <v>46023</v>
      </c>
      <c r="D195" s="4">
        <v>46053</v>
      </c>
      <c r="E195" s="3" t="s">
        <v>81</v>
      </c>
      <c r="F195" s="3" t="s">
        <v>341</v>
      </c>
      <c r="G195" s="5">
        <v>0</v>
      </c>
      <c r="H195" s="6" t="s">
        <v>67</v>
      </c>
      <c r="I195" s="3" t="s">
        <v>45</v>
      </c>
    </row>
    <row r="196" spans="1:9" ht="48" customHeight="1">
      <c r="A196" s="3" t="s">
        <v>66</v>
      </c>
      <c r="B196" s="3" t="s">
        <v>65</v>
      </c>
      <c r="C196" s="4">
        <v>46023</v>
      </c>
      <c r="D196" s="4">
        <v>46053</v>
      </c>
      <c r="E196" s="3" t="s">
        <v>81</v>
      </c>
      <c r="F196" s="3" t="s">
        <v>342</v>
      </c>
      <c r="G196" s="5">
        <v>0</v>
      </c>
      <c r="H196" s="6" t="s">
        <v>67</v>
      </c>
      <c r="I196" s="3" t="s">
        <v>45</v>
      </c>
    </row>
    <row r="197" spans="1:9" ht="48" customHeight="1">
      <c r="A197" s="3" t="s">
        <v>66</v>
      </c>
      <c r="B197" s="3" t="s">
        <v>65</v>
      </c>
      <c r="C197" s="4">
        <v>46023</v>
      </c>
      <c r="D197" s="4">
        <v>46053</v>
      </c>
      <c r="E197" s="3" t="s">
        <v>81</v>
      </c>
      <c r="F197" s="3" t="s">
        <v>343</v>
      </c>
      <c r="G197" s="5">
        <v>0</v>
      </c>
      <c r="H197" s="6" t="s">
        <v>67</v>
      </c>
      <c r="I197" s="3" t="s">
        <v>45</v>
      </c>
    </row>
    <row r="198" spans="1:9" ht="48" customHeight="1">
      <c r="A198" s="3" t="s">
        <v>66</v>
      </c>
      <c r="B198" s="3" t="s">
        <v>65</v>
      </c>
      <c r="C198" s="4">
        <v>46023</v>
      </c>
      <c r="D198" s="4">
        <v>46053</v>
      </c>
      <c r="E198" s="3" t="s">
        <v>81</v>
      </c>
      <c r="F198" s="3" t="s">
        <v>344</v>
      </c>
      <c r="G198" s="5">
        <v>0</v>
      </c>
      <c r="H198" s="6" t="s">
        <v>67</v>
      </c>
      <c r="I198" s="3" t="s">
        <v>45</v>
      </c>
    </row>
    <row r="199" spans="1:9" ht="48" customHeight="1">
      <c r="A199" s="3" t="s">
        <v>66</v>
      </c>
      <c r="B199" s="3" t="s">
        <v>65</v>
      </c>
      <c r="C199" s="4">
        <v>46023</v>
      </c>
      <c r="D199" s="4">
        <v>46053</v>
      </c>
      <c r="E199" s="3" t="s">
        <v>81</v>
      </c>
      <c r="F199" s="3" t="s">
        <v>345</v>
      </c>
      <c r="G199" s="5">
        <v>0</v>
      </c>
      <c r="H199" s="6" t="s">
        <v>67</v>
      </c>
      <c r="I199" s="3" t="s">
        <v>45</v>
      </c>
    </row>
    <row r="200" spans="1:9" ht="48" customHeight="1">
      <c r="A200" s="3" t="s">
        <v>66</v>
      </c>
      <c r="B200" s="3" t="s">
        <v>65</v>
      </c>
      <c r="C200" s="4">
        <v>46023</v>
      </c>
      <c r="D200" s="4">
        <v>46053</v>
      </c>
      <c r="E200" s="3" t="s">
        <v>81</v>
      </c>
      <c r="F200" s="3" t="s">
        <v>346</v>
      </c>
      <c r="G200" s="5">
        <v>0</v>
      </c>
      <c r="H200" s="6" t="s">
        <v>67</v>
      </c>
      <c r="I200" s="3" t="s">
        <v>45</v>
      </c>
    </row>
    <row r="201" spans="1:9" ht="48" customHeight="1">
      <c r="A201" s="3" t="s">
        <v>66</v>
      </c>
      <c r="B201" s="3" t="s">
        <v>65</v>
      </c>
      <c r="C201" s="4">
        <v>46023</v>
      </c>
      <c r="D201" s="4">
        <v>46053</v>
      </c>
      <c r="E201" s="3" t="s">
        <v>81</v>
      </c>
      <c r="F201" s="3" t="s">
        <v>347</v>
      </c>
      <c r="G201" s="5">
        <v>0</v>
      </c>
      <c r="H201" s="6" t="s">
        <v>67</v>
      </c>
      <c r="I201" s="3" t="s">
        <v>45</v>
      </c>
    </row>
    <row r="202" spans="1:9" ht="48" customHeight="1">
      <c r="A202" s="3" t="s">
        <v>66</v>
      </c>
      <c r="B202" s="3" t="s">
        <v>65</v>
      </c>
      <c r="C202" s="4">
        <v>46023</v>
      </c>
      <c r="D202" s="4">
        <v>46053</v>
      </c>
      <c r="E202" s="3" t="s">
        <v>47</v>
      </c>
      <c r="F202" s="3" t="s">
        <v>348</v>
      </c>
      <c r="G202" s="5">
        <v>2E-3</v>
      </c>
      <c r="H202" s="6" t="s">
        <v>67</v>
      </c>
      <c r="I202" s="3" t="s">
        <v>45</v>
      </c>
    </row>
    <row r="203" spans="1:9" ht="48" customHeight="1">
      <c r="A203" s="3" t="s">
        <v>66</v>
      </c>
      <c r="B203" s="3" t="s">
        <v>65</v>
      </c>
      <c r="C203" s="4">
        <v>46023</v>
      </c>
      <c r="D203" s="4">
        <v>46053</v>
      </c>
      <c r="E203" s="3" t="s">
        <v>47</v>
      </c>
      <c r="F203" s="3" t="s">
        <v>349</v>
      </c>
      <c r="G203" s="5">
        <v>1E-3</v>
      </c>
      <c r="H203" s="6" t="s">
        <v>67</v>
      </c>
      <c r="I203" s="3" t="s">
        <v>45</v>
      </c>
    </row>
    <row r="204" spans="1:9" ht="48" customHeight="1">
      <c r="A204" s="3" t="s">
        <v>66</v>
      </c>
      <c r="B204" s="3" t="s">
        <v>65</v>
      </c>
      <c r="C204" s="4">
        <v>46023</v>
      </c>
      <c r="D204" s="4">
        <v>46053</v>
      </c>
      <c r="E204" s="3" t="s">
        <v>47</v>
      </c>
      <c r="F204" s="3" t="s">
        <v>350</v>
      </c>
      <c r="G204" s="5">
        <v>1E-3</v>
      </c>
      <c r="H204" s="6" t="s">
        <v>67</v>
      </c>
      <c r="I204" s="3" t="s">
        <v>45</v>
      </c>
    </row>
    <row r="205" spans="1:9" ht="48" customHeight="1">
      <c r="A205" s="3" t="s">
        <v>66</v>
      </c>
      <c r="B205" s="3" t="s">
        <v>65</v>
      </c>
      <c r="C205" s="4">
        <v>46023</v>
      </c>
      <c r="D205" s="4">
        <v>46053</v>
      </c>
      <c r="E205" s="3" t="s">
        <v>47</v>
      </c>
      <c r="F205" s="3" t="s">
        <v>351</v>
      </c>
      <c r="G205" s="5">
        <v>0</v>
      </c>
      <c r="H205" s="6" t="s">
        <v>67</v>
      </c>
      <c r="I205" s="3" t="s">
        <v>45</v>
      </c>
    </row>
    <row r="206" spans="1:9" ht="48" customHeight="1">
      <c r="A206" s="3" t="s">
        <v>66</v>
      </c>
      <c r="B206" s="3" t="s">
        <v>65</v>
      </c>
      <c r="C206" s="4">
        <v>46023</v>
      </c>
      <c r="D206" s="4">
        <v>46053</v>
      </c>
      <c r="E206" s="3" t="s">
        <v>47</v>
      </c>
      <c r="F206" s="3" t="s">
        <v>352</v>
      </c>
      <c r="G206" s="5">
        <v>0</v>
      </c>
      <c r="H206" s="6" t="s">
        <v>67</v>
      </c>
      <c r="I206" s="3" t="s">
        <v>45</v>
      </c>
    </row>
    <row r="207" spans="1:9" ht="48" customHeight="1">
      <c r="A207" s="3" t="s">
        <v>66</v>
      </c>
      <c r="B207" s="3" t="s">
        <v>65</v>
      </c>
      <c r="C207" s="4">
        <v>46023</v>
      </c>
      <c r="D207" s="4">
        <v>46053</v>
      </c>
      <c r="E207" s="3" t="s">
        <v>47</v>
      </c>
      <c r="F207" s="3" t="s">
        <v>353</v>
      </c>
      <c r="G207" s="5">
        <v>0</v>
      </c>
      <c r="H207" s="6" t="s">
        <v>67</v>
      </c>
      <c r="I207" s="3" t="s">
        <v>45</v>
      </c>
    </row>
    <row r="208" spans="1:9" ht="48" customHeight="1">
      <c r="A208" s="3" t="s">
        <v>66</v>
      </c>
      <c r="B208" s="3" t="s">
        <v>65</v>
      </c>
      <c r="C208" s="4">
        <v>46023</v>
      </c>
      <c r="D208" s="4">
        <v>46053</v>
      </c>
      <c r="E208" s="3" t="s">
        <v>47</v>
      </c>
      <c r="F208" s="3" t="s">
        <v>354</v>
      </c>
      <c r="G208" s="5">
        <v>0</v>
      </c>
      <c r="H208" s="6" t="s">
        <v>67</v>
      </c>
      <c r="I208" s="3" t="s">
        <v>45</v>
      </c>
    </row>
    <row r="209" spans="1:9" ht="48" customHeight="1">
      <c r="A209" s="3" t="s">
        <v>66</v>
      </c>
      <c r="B209" s="3" t="s">
        <v>65</v>
      </c>
      <c r="C209" s="4">
        <v>46023</v>
      </c>
      <c r="D209" s="4">
        <v>46053</v>
      </c>
      <c r="E209" s="3" t="s">
        <v>47</v>
      </c>
      <c r="F209" s="3" t="s">
        <v>355</v>
      </c>
      <c r="G209" s="5">
        <v>0</v>
      </c>
      <c r="H209" s="6" t="s">
        <v>67</v>
      </c>
      <c r="I209" s="3" t="s">
        <v>45</v>
      </c>
    </row>
    <row r="210" spans="1:9" ht="48" customHeight="1">
      <c r="A210" s="3" t="s">
        <v>66</v>
      </c>
      <c r="B210" s="3" t="s">
        <v>65</v>
      </c>
      <c r="C210" s="4">
        <v>46023</v>
      </c>
      <c r="D210" s="4">
        <v>46053</v>
      </c>
      <c r="E210" s="3" t="s">
        <v>47</v>
      </c>
      <c r="F210" s="3" t="s">
        <v>356</v>
      </c>
      <c r="G210" s="5">
        <v>0</v>
      </c>
      <c r="H210" s="6" t="s">
        <v>67</v>
      </c>
      <c r="I210" s="3" t="s">
        <v>45</v>
      </c>
    </row>
    <row r="211" spans="1:9" ht="48" customHeight="1">
      <c r="A211" s="3" t="s">
        <v>66</v>
      </c>
      <c r="B211" s="3" t="s">
        <v>65</v>
      </c>
      <c r="C211" s="4">
        <v>46023</v>
      </c>
      <c r="D211" s="4">
        <v>46053</v>
      </c>
      <c r="E211" s="3" t="s">
        <v>47</v>
      </c>
      <c r="F211" s="3" t="s">
        <v>40</v>
      </c>
      <c r="G211" s="5">
        <v>0</v>
      </c>
      <c r="H211" s="6" t="s">
        <v>67</v>
      </c>
      <c r="I211" s="3" t="s">
        <v>45</v>
      </c>
    </row>
    <row r="212" spans="1:9" ht="48" customHeight="1">
      <c r="A212" s="3" t="s">
        <v>66</v>
      </c>
      <c r="B212" s="3" t="s">
        <v>65</v>
      </c>
      <c r="C212" s="4">
        <v>46023</v>
      </c>
      <c r="D212" s="4">
        <v>46053</v>
      </c>
      <c r="E212" s="3" t="s">
        <v>47</v>
      </c>
      <c r="F212" s="3" t="s">
        <v>357</v>
      </c>
      <c r="G212" s="5">
        <v>0</v>
      </c>
      <c r="H212" s="6" t="s">
        <v>67</v>
      </c>
      <c r="I212" s="3" t="s">
        <v>45</v>
      </c>
    </row>
    <row r="213" spans="1:9" ht="48" customHeight="1">
      <c r="A213" s="3" t="s">
        <v>66</v>
      </c>
      <c r="B213" s="3" t="s">
        <v>65</v>
      </c>
      <c r="C213" s="4">
        <v>46023</v>
      </c>
      <c r="D213" s="4">
        <v>46053</v>
      </c>
      <c r="E213" s="3" t="s">
        <v>47</v>
      </c>
      <c r="F213" s="3" t="s">
        <v>358</v>
      </c>
      <c r="G213" s="5">
        <v>0</v>
      </c>
      <c r="H213" s="6" t="s">
        <v>67</v>
      </c>
      <c r="I213" s="3" t="s">
        <v>45</v>
      </c>
    </row>
    <row r="214" spans="1:9" ht="48" customHeight="1">
      <c r="A214" s="3" t="s">
        <v>66</v>
      </c>
      <c r="B214" s="3" t="s">
        <v>65</v>
      </c>
      <c r="C214" s="4">
        <v>46023</v>
      </c>
      <c r="D214" s="4">
        <v>46053</v>
      </c>
      <c r="E214" s="3" t="s">
        <v>47</v>
      </c>
      <c r="F214" s="3" t="s">
        <v>359</v>
      </c>
      <c r="G214" s="5">
        <v>0</v>
      </c>
      <c r="H214" s="6" t="s">
        <v>67</v>
      </c>
      <c r="I214" s="3" t="s">
        <v>45</v>
      </c>
    </row>
    <row r="215" spans="1:9" ht="48" customHeight="1">
      <c r="A215" s="3" t="s">
        <v>66</v>
      </c>
      <c r="B215" s="3" t="s">
        <v>65</v>
      </c>
      <c r="C215" s="4">
        <v>46023</v>
      </c>
      <c r="D215" s="4">
        <v>46053</v>
      </c>
      <c r="E215" s="3" t="s">
        <v>47</v>
      </c>
      <c r="F215" s="3" t="s">
        <v>360</v>
      </c>
      <c r="G215" s="5">
        <v>0</v>
      </c>
      <c r="H215" s="6" t="s">
        <v>67</v>
      </c>
      <c r="I215" s="3" t="s">
        <v>45</v>
      </c>
    </row>
    <row r="216" spans="1:9" ht="48" customHeight="1">
      <c r="A216" s="3" t="s">
        <v>66</v>
      </c>
      <c r="B216" s="3" t="s">
        <v>65</v>
      </c>
      <c r="C216" s="4">
        <v>46023</v>
      </c>
      <c r="D216" s="4">
        <v>46053</v>
      </c>
      <c r="E216" s="3" t="s">
        <v>47</v>
      </c>
      <c r="F216" s="3" t="s">
        <v>361</v>
      </c>
      <c r="G216" s="5">
        <v>0</v>
      </c>
      <c r="H216" s="6" t="s">
        <v>67</v>
      </c>
      <c r="I216" s="3" t="s">
        <v>45</v>
      </c>
    </row>
    <row r="217" spans="1:9" ht="48" customHeight="1">
      <c r="A217" s="3" t="s">
        <v>66</v>
      </c>
      <c r="B217" s="3" t="s">
        <v>65</v>
      </c>
      <c r="C217" s="4">
        <v>46023</v>
      </c>
      <c r="D217" s="4">
        <v>46053</v>
      </c>
      <c r="E217" s="3" t="s">
        <v>47</v>
      </c>
      <c r="F217" s="3" t="s">
        <v>362</v>
      </c>
      <c r="G217" s="5">
        <v>0</v>
      </c>
      <c r="H217" s="6" t="s">
        <v>67</v>
      </c>
      <c r="I217" s="3" t="s">
        <v>45</v>
      </c>
    </row>
    <row r="218" spans="1:9" ht="48" customHeight="1">
      <c r="A218" s="3" t="s">
        <v>66</v>
      </c>
      <c r="B218" s="3" t="s">
        <v>65</v>
      </c>
      <c r="C218" s="4">
        <v>46023</v>
      </c>
      <c r="D218" s="4">
        <v>46053</v>
      </c>
      <c r="E218" s="3" t="s">
        <v>47</v>
      </c>
      <c r="F218" s="3" t="s">
        <v>318</v>
      </c>
      <c r="G218" s="5">
        <v>0</v>
      </c>
      <c r="H218" s="6" t="s">
        <v>67</v>
      </c>
      <c r="I218" s="3" t="s">
        <v>45</v>
      </c>
    </row>
    <row r="219" spans="1:9" ht="48" customHeight="1">
      <c r="A219" s="3" t="s">
        <v>66</v>
      </c>
      <c r="B219" s="3" t="s">
        <v>65</v>
      </c>
      <c r="C219" s="4">
        <v>46023</v>
      </c>
      <c r="D219" s="4">
        <v>46053</v>
      </c>
      <c r="E219" s="3" t="s">
        <v>47</v>
      </c>
      <c r="F219" s="3" t="s">
        <v>363</v>
      </c>
      <c r="G219" s="5">
        <v>0</v>
      </c>
      <c r="H219" s="6" t="s">
        <v>67</v>
      </c>
      <c r="I219" s="3" t="s">
        <v>45</v>
      </c>
    </row>
    <row r="220" spans="1:9" ht="48" customHeight="1">
      <c r="A220" s="3" t="s">
        <v>66</v>
      </c>
      <c r="B220" s="3" t="s">
        <v>65</v>
      </c>
      <c r="C220" s="4">
        <v>46023</v>
      </c>
      <c r="D220" s="4">
        <v>46053</v>
      </c>
      <c r="E220" s="3" t="s">
        <v>364</v>
      </c>
      <c r="F220" s="3" t="s">
        <v>234</v>
      </c>
      <c r="G220" s="5">
        <v>1E-3</v>
      </c>
      <c r="H220" s="6" t="s">
        <v>67</v>
      </c>
      <c r="I220" s="3" t="s">
        <v>45</v>
      </c>
    </row>
    <row r="221" spans="1:9" ht="48" customHeight="1">
      <c r="A221" s="3" t="s">
        <v>66</v>
      </c>
      <c r="B221" s="3" t="s">
        <v>65</v>
      </c>
      <c r="C221" s="4">
        <v>46023</v>
      </c>
      <c r="D221" s="4">
        <v>46053</v>
      </c>
      <c r="E221" s="3" t="s">
        <v>364</v>
      </c>
      <c r="F221" s="3" t="s">
        <v>262</v>
      </c>
      <c r="G221" s="5">
        <v>1E-3</v>
      </c>
      <c r="H221" s="6" t="s">
        <v>67</v>
      </c>
      <c r="I221" s="3" t="s">
        <v>45</v>
      </c>
    </row>
    <row r="222" spans="1:9" ht="48" customHeight="1">
      <c r="A222" s="3" t="s">
        <v>66</v>
      </c>
      <c r="B222" s="3" t="s">
        <v>65</v>
      </c>
      <c r="C222" s="4">
        <v>46023</v>
      </c>
      <c r="D222" s="4">
        <v>46053</v>
      </c>
      <c r="E222" s="3" t="s">
        <v>364</v>
      </c>
      <c r="F222" s="3" t="s">
        <v>365</v>
      </c>
      <c r="G222" s="5">
        <v>1E-3</v>
      </c>
      <c r="H222" s="6" t="s">
        <v>67</v>
      </c>
      <c r="I222" s="3" t="s">
        <v>45</v>
      </c>
    </row>
    <row r="223" spans="1:9" ht="48" customHeight="1">
      <c r="A223" s="3" t="s">
        <v>66</v>
      </c>
      <c r="B223" s="3" t="s">
        <v>65</v>
      </c>
      <c r="C223" s="4">
        <v>46023</v>
      </c>
      <c r="D223" s="4">
        <v>46053</v>
      </c>
      <c r="E223" s="3" t="s">
        <v>364</v>
      </c>
      <c r="F223" s="3" t="s">
        <v>366</v>
      </c>
      <c r="G223" s="5">
        <v>1E-3</v>
      </c>
      <c r="H223" s="6" t="s">
        <v>67</v>
      </c>
      <c r="I223" s="3" t="s">
        <v>45</v>
      </c>
    </row>
    <row r="224" spans="1:9" ht="48" customHeight="1">
      <c r="A224" s="3" t="s">
        <v>66</v>
      </c>
      <c r="B224" s="3" t="s">
        <v>65</v>
      </c>
      <c r="C224" s="4">
        <v>46023</v>
      </c>
      <c r="D224" s="4">
        <v>46053</v>
      </c>
      <c r="E224" s="3" t="s">
        <v>364</v>
      </c>
      <c r="F224" s="3" t="s">
        <v>367</v>
      </c>
      <c r="G224" s="5">
        <v>1E-3</v>
      </c>
      <c r="H224" s="6" t="s">
        <v>67</v>
      </c>
      <c r="I224" s="3" t="s">
        <v>45</v>
      </c>
    </row>
    <row r="225" spans="1:9" ht="48" customHeight="1">
      <c r="A225" s="3" t="s">
        <v>66</v>
      </c>
      <c r="B225" s="3" t="s">
        <v>65</v>
      </c>
      <c r="C225" s="4">
        <v>46023</v>
      </c>
      <c r="D225" s="4">
        <v>46053</v>
      </c>
      <c r="E225" s="3" t="s">
        <v>364</v>
      </c>
      <c r="F225" s="3" t="s">
        <v>230</v>
      </c>
      <c r="G225" s="5">
        <v>0</v>
      </c>
      <c r="H225" s="6" t="s">
        <v>67</v>
      </c>
      <c r="I225" s="3" t="s">
        <v>45</v>
      </c>
    </row>
    <row r="226" spans="1:9" ht="48" customHeight="1">
      <c r="A226" s="3" t="s">
        <v>66</v>
      </c>
      <c r="B226" s="3" t="s">
        <v>65</v>
      </c>
      <c r="C226" s="4">
        <v>46023</v>
      </c>
      <c r="D226" s="4">
        <v>46053</v>
      </c>
      <c r="E226" s="3" t="s">
        <v>364</v>
      </c>
      <c r="F226" s="3" t="s">
        <v>232</v>
      </c>
      <c r="G226" s="5">
        <v>0</v>
      </c>
      <c r="H226" s="6" t="s">
        <v>67</v>
      </c>
      <c r="I226" s="3" t="s">
        <v>45</v>
      </c>
    </row>
    <row r="227" spans="1:9" ht="48" customHeight="1">
      <c r="A227" s="3" t="s">
        <v>66</v>
      </c>
      <c r="B227" s="3" t="s">
        <v>65</v>
      </c>
      <c r="C227" s="4">
        <v>46023</v>
      </c>
      <c r="D227" s="4">
        <v>46053</v>
      </c>
      <c r="E227" s="3" t="s">
        <v>364</v>
      </c>
      <c r="F227" s="3" t="s">
        <v>265</v>
      </c>
      <c r="G227" s="5">
        <v>0</v>
      </c>
      <c r="H227" s="6" t="s">
        <v>67</v>
      </c>
      <c r="I227" s="3" t="s">
        <v>45</v>
      </c>
    </row>
    <row r="228" spans="1:9" ht="48" customHeight="1">
      <c r="A228" s="3" t="s">
        <v>66</v>
      </c>
      <c r="B228" s="3" t="s">
        <v>65</v>
      </c>
      <c r="C228" s="4">
        <v>46023</v>
      </c>
      <c r="D228" s="4">
        <v>46053</v>
      </c>
      <c r="E228" s="3" t="s">
        <v>364</v>
      </c>
      <c r="F228" s="3" t="s">
        <v>79</v>
      </c>
      <c r="G228" s="5">
        <v>0</v>
      </c>
      <c r="H228" s="6" t="s">
        <v>67</v>
      </c>
      <c r="I228" s="3" t="s">
        <v>45</v>
      </c>
    </row>
    <row r="229" spans="1:9" ht="48" customHeight="1">
      <c r="A229" s="3" t="s">
        <v>66</v>
      </c>
      <c r="B229" s="3" t="s">
        <v>65</v>
      </c>
      <c r="C229" s="4">
        <v>46023</v>
      </c>
      <c r="D229" s="4">
        <v>46053</v>
      </c>
      <c r="E229" s="3" t="s">
        <v>368</v>
      </c>
      <c r="F229" s="3" t="s">
        <v>369</v>
      </c>
      <c r="G229" s="5">
        <v>1E-3</v>
      </c>
      <c r="H229" s="6" t="s">
        <v>67</v>
      </c>
      <c r="I229" s="3" t="s">
        <v>45</v>
      </c>
    </row>
    <row r="230" spans="1:9" ht="48" customHeight="1">
      <c r="A230" s="3" t="s">
        <v>66</v>
      </c>
      <c r="B230" s="3" t="s">
        <v>65</v>
      </c>
      <c r="C230" s="4">
        <v>46023</v>
      </c>
      <c r="D230" s="4">
        <v>46053</v>
      </c>
      <c r="E230" s="3" t="s">
        <v>368</v>
      </c>
      <c r="F230" s="3" t="s">
        <v>265</v>
      </c>
      <c r="G230" s="5">
        <v>1E-3</v>
      </c>
      <c r="H230" s="6" t="s">
        <v>67</v>
      </c>
      <c r="I230" s="3" t="s">
        <v>45</v>
      </c>
    </row>
    <row r="231" spans="1:9" ht="48" customHeight="1">
      <c r="A231" s="3" t="s">
        <v>66</v>
      </c>
      <c r="B231" s="3" t="s">
        <v>65</v>
      </c>
      <c r="C231" s="4">
        <v>46023</v>
      </c>
      <c r="D231" s="4">
        <v>46053</v>
      </c>
      <c r="E231" s="3" t="s">
        <v>368</v>
      </c>
      <c r="F231" s="3" t="s">
        <v>370</v>
      </c>
      <c r="G231" s="5">
        <v>1E-3</v>
      </c>
      <c r="H231" s="6" t="s">
        <v>67</v>
      </c>
      <c r="I231" s="3" t="s">
        <v>45</v>
      </c>
    </row>
    <row r="232" spans="1:9" ht="48" customHeight="1">
      <c r="A232" s="3" t="s">
        <v>66</v>
      </c>
      <c r="B232" s="3" t="s">
        <v>65</v>
      </c>
      <c r="C232" s="4">
        <v>46023</v>
      </c>
      <c r="D232" s="4">
        <v>46053</v>
      </c>
      <c r="E232" s="3" t="s">
        <v>368</v>
      </c>
      <c r="F232" s="3" t="s">
        <v>371</v>
      </c>
      <c r="G232" s="5">
        <v>1E-3</v>
      </c>
      <c r="H232" s="6" t="s">
        <v>67</v>
      </c>
      <c r="I232" s="3" t="s">
        <v>45</v>
      </c>
    </row>
    <row r="233" spans="1:9" ht="48" customHeight="1">
      <c r="A233" s="3" t="s">
        <v>66</v>
      </c>
      <c r="B233" s="3" t="s">
        <v>65</v>
      </c>
      <c r="C233" s="4">
        <v>46023</v>
      </c>
      <c r="D233" s="4">
        <v>46053</v>
      </c>
      <c r="E233" s="3" t="s">
        <v>368</v>
      </c>
      <c r="F233" s="3" t="s">
        <v>207</v>
      </c>
      <c r="G233" s="5">
        <v>1E-3</v>
      </c>
      <c r="H233" s="6" t="s">
        <v>67</v>
      </c>
      <c r="I233" s="3" t="s">
        <v>45</v>
      </c>
    </row>
    <row r="234" spans="1:9" ht="48" customHeight="1">
      <c r="A234" s="3" t="s">
        <v>66</v>
      </c>
      <c r="B234" s="3" t="s">
        <v>65</v>
      </c>
      <c r="C234" s="4">
        <v>46023</v>
      </c>
      <c r="D234" s="4">
        <v>46053</v>
      </c>
      <c r="E234" s="3" t="s">
        <v>368</v>
      </c>
      <c r="F234" s="3" t="s">
        <v>230</v>
      </c>
      <c r="G234" s="5">
        <v>0</v>
      </c>
      <c r="H234" s="6" t="s">
        <v>67</v>
      </c>
      <c r="I234" s="3" t="s">
        <v>45</v>
      </c>
    </row>
    <row r="235" spans="1:9" ht="48" customHeight="1">
      <c r="A235" s="3" t="s">
        <v>66</v>
      </c>
      <c r="B235" s="3" t="s">
        <v>65</v>
      </c>
      <c r="C235" s="4">
        <v>46023</v>
      </c>
      <c r="D235" s="4">
        <v>46053</v>
      </c>
      <c r="E235" s="3" t="s">
        <v>368</v>
      </c>
      <c r="F235" s="3" t="s">
        <v>232</v>
      </c>
      <c r="G235" s="5">
        <v>0</v>
      </c>
      <c r="H235" s="6" t="s">
        <v>67</v>
      </c>
      <c r="I235" s="3" t="s">
        <v>45</v>
      </c>
    </row>
    <row r="236" spans="1:9" ht="48" customHeight="1">
      <c r="A236" s="3" t="s">
        <v>66</v>
      </c>
      <c r="B236" s="3" t="s">
        <v>65</v>
      </c>
      <c r="C236" s="4">
        <v>46023</v>
      </c>
      <c r="D236" s="4">
        <v>46053</v>
      </c>
      <c r="E236" s="3" t="s">
        <v>368</v>
      </c>
      <c r="F236" s="3" t="s">
        <v>234</v>
      </c>
      <c r="G236" s="5">
        <v>0</v>
      </c>
      <c r="H236" s="6" t="s">
        <v>67</v>
      </c>
      <c r="I236" s="3" t="s">
        <v>45</v>
      </c>
    </row>
    <row r="237" spans="1:9" ht="48" customHeight="1">
      <c r="A237" s="3" t="s">
        <v>66</v>
      </c>
      <c r="B237" s="3" t="s">
        <v>65</v>
      </c>
      <c r="C237" s="4">
        <v>46023</v>
      </c>
      <c r="D237" s="4">
        <v>46053</v>
      </c>
      <c r="E237" s="3" t="s">
        <v>368</v>
      </c>
      <c r="F237" s="3" t="s">
        <v>372</v>
      </c>
      <c r="G237" s="5">
        <v>0</v>
      </c>
      <c r="H237" s="6" t="s">
        <v>67</v>
      </c>
      <c r="I237" s="3" t="s">
        <v>45</v>
      </c>
    </row>
    <row r="238" spans="1:9" ht="48" customHeight="1">
      <c r="A238" s="3" t="s">
        <v>66</v>
      </c>
      <c r="B238" s="3" t="s">
        <v>65</v>
      </c>
      <c r="C238" s="4">
        <v>46023</v>
      </c>
      <c r="D238" s="4">
        <v>46053</v>
      </c>
      <c r="E238" s="3" t="s">
        <v>368</v>
      </c>
      <c r="F238" s="3" t="s">
        <v>373</v>
      </c>
      <c r="G238" s="5">
        <v>0</v>
      </c>
      <c r="H238" s="6" t="s">
        <v>67</v>
      </c>
      <c r="I238" s="3" t="s">
        <v>45</v>
      </c>
    </row>
    <row r="239" spans="1:9" ht="48" customHeight="1">
      <c r="A239" s="3" t="s">
        <v>66</v>
      </c>
      <c r="B239" s="3" t="s">
        <v>65</v>
      </c>
      <c r="C239" s="4">
        <v>46023</v>
      </c>
      <c r="D239" s="4">
        <v>46053</v>
      </c>
      <c r="E239" s="3" t="s">
        <v>368</v>
      </c>
      <c r="F239" s="3" t="s">
        <v>262</v>
      </c>
      <c r="G239" s="5">
        <v>0</v>
      </c>
      <c r="H239" s="6" t="s">
        <v>67</v>
      </c>
      <c r="I239" s="3" t="s">
        <v>45</v>
      </c>
    </row>
    <row r="240" spans="1:9" ht="48" customHeight="1">
      <c r="A240" s="3" t="s">
        <v>66</v>
      </c>
      <c r="B240" s="3" t="s">
        <v>65</v>
      </c>
      <c r="C240" s="4">
        <v>46023</v>
      </c>
      <c r="D240" s="4">
        <v>46053</v>
      </c>
      <c r="E240" s="3" t="s">
        <v>368</v>
      </c>
      <c r="F240" s="3" t="s">
        <v>374</v>
      </c>
      <c r="G240" s="5">
        <v>0</v>
      </c>
      <c r="H240" s="6" t="s">
        <v>67</v>
      </c>
      <c r="I240" s="3" t="s">
        <v>45</v>
      </c>
    </row>
    <row r="241" spans="1:9" ht="48" customHeight="1">
      <c r="A241" s="3" t="s">
        <v>66</v>
      </c>
      <c r="B241" s="3" t="s">
        <v>65</v>
      </c>
      <c r="C241" s="4">
        <v>46023</v>
      </c>
      <c r="D241" s="4">
        <v>46053</v>
      </c>
      <c r="E241" s="3" t="s">
        <v>368</v>
      </c>
      <c r="F241" s="3" t="s">
        <v>375</v>
      </c>
      <c r="G241" s="5">
        <v>0</v>
      </c>
      <c r="H241" s="6" t="s">
        <v>67</v>
      </c>
      <c r="I241" s="3" t="s">
        <v>45</v>
      </c>
    </row>
    <row r="242" spans="1:9" ht="48" customHeight="1">
      <c r="A242" s="3" t="s">
        <v>66</v>
      </c>
      <c r="B242" s="3" t="s">
        <v>65</v>
      </c>
      <c r="C242" s="4">
        <v>46023</v>
      </c>
      <c r="D242" s="4">
        <v>46053</v>
      </c>
      <c r="E242" s="3" t="s">
        <v>368</v>
      </c>
      <c r="F242" s="3" t="s">
        <v>376</v>
      </c>
      <c r="G242" s="5">
        <v>0</v>
      </c>
      <c r="H242" s="6" t="s">
        <v>67</v>
      </c>
      <c r="I242" s="3" t="s">
        <v>45</v>
      </c>
    </row>
    <row r="243" spans="1:9" ht="48" customHeight="1">
      <c r="A243" s="3" t="s">
        <v>66</v>
      </c>
      <c r="B243" s="3" t="s">
        <v>65</v>
      </c>
      <c r="C243" s="4">
        <v>46023</v>
      </c>
      <c r="D243" s="4">
        <v>46053</v>
      </c>
      <c r="E243" s="3" t="s">
        <v>368</v>
      </c>
      <c r="F243" s="3" t="s">
        <v>377</v>
      </c>
      <c r="G243" s="5">
        <v>0</v>
      </c>
      <c r="H243" s="6" t="s">
        <v>67</v>
      </c>
      <c r="I243" s="3" t="s">
        <v>45</v>
      </c>
    </row>
    <row r="244" spans="1:9" ht="48" customHeight="1">
      <c r="A244" s="3" t="s">
        <v>66</v>
      </c>
      <c r="B244" s="3" t="s">
        <v>65</v>
      </c>
      <c r="C244" s="4">
        <v>46023</v>
      </c>
      <c r="D244" s="4">
        <v>46053</v>
      </c>
      <c r="E244" s="3" t="s">
        <v>368</v>
      </c>
      <c r="F244" s="3" t="s">
        <v>378</v>
      </c>
      <c r="G244" s="5">
        <v>0</v>
      </c>
      <c r="H244" s="6" t="s">
        <v>67</v>
      </c>
      <c r="I244" s="3" t="s">
        <v>45</v>
      </c>
    </row>
    <row r="245" spans="1:9" ht="48" customHeight="1">
      <c r="A245" s="3" t="s">
        <v>66</v>
      </c>
      <c r="B245" s="3" t="s">
        <v>65</v>
      </c>
      <c r="C245" s="4">
        <v>46023</v>
      </c>
      <c r="D245" s="4">
        <v>46053</v>
      </c>
      <c r="E245" s="3" t="s">
        <v>379</v>
      </c>
      <c r="F245" s="3" t="s">
        <v>265</v>
      </c>
      <c r="G245" s="5">
        <v>1E-3</v>
      </c>
      <c r="H245" s="6" t="s">
        <v>67</v>
      </c>
      <c r="I245" s="3" t="s">
        <v>45</v>
      </c>
    </row>
    <row r="246" spans="1:9" ht="48" customHeight="1">
      <c r="A246" s="3" t="s">
        <v>66</v>
      </c>
      <c r="B246" s="3" t="s">
        <v>65</v>
      </c>
      <c r="C246" s="4">
        <v>46023</v>
      </c>
      <c r="D246" s="4">
        <v>46053</v>
      </c>
      <c r="E246" s="3" t="s">
        <v>379</v>
      </c>
      <c r="F246" s="3" t="s">
        <v>262</v>
      </c>
      <c r="G246" s="5">
        <v>1E-3</v>
      </c>
      <c r="H246" s="6" t="s">
        <v>67</v>
      </c>
      <c r="I246" s="3" t="s">
        <v>45</v>
      </c>
    </row>
    <row r="247" spans="1:9" ht="48" customHeight="1">
      <c r="A247" s="3" t="s">
        <v>66</v>
      </c>
      <c r="B247" s="3" t="s">
        <v>65</v>
      </c>
      <c r="C247" s="4">
        <v>46023</v>
      </c>
      <c r="D247" s="4">
        <v>46053</v>
      </c>
      <c r="E247" s="3" t="s">
        <v>379</v>
      </c>
      <c r="F247" s="3" t="s">
        <v>380</v>
      </c>
      <c r="G247" s="5">
        <v>1E-3</v>
      </c>
      <c r="H247" s="6" t="s">
        <v>67</v>
      </c>
      <c r="I247" s="3" t="s">
        <v>45</v>
      </c>
    </row>
    <row r="248" spans="1:9" ht="48" customHeight="1">
      <c r="A248" s="3" t="s">
        <v>66</v>
      </c>
      <c r="B248" s="3" t="s">
        <v>65</v>
      </c>
      <c r="C248" s="4">
        <v>46023</v>
      </c>
      <c r="D248" s="4">
        <v>46053</v>
      </c>
      <c r="E248" s="3" t="s">
        <v>379</v>
      </c>
      <c r="F248" s="3" t="s">
        <v>230</v>
      </c>
      <c r="G248" s="5">
        <v>0</v>
      </c>
      <c r="H248" s="6" t="s">
        <v>67</v>
      </c>
      <c r="I248" s="3" t="s">
        <v>45</v>
      </c>
    </row>
    <row r="249" spans="1:9" ht="48" customHeight="1">
      <c r="A249" s="3" t="s">
        <v>66</v>
      </c>
      <c r="B249" s="3" t="s">
        <v>65</v>
      </c>
      <c r="C249" s="4">
        <v>46023</v>
      </c>
      <c r="D249" s="4">
        <v>46053</v>
      </c>
      <c r="E249" s="3" t="s">
        <v>379</v>
      </c>
      <c r="F249" s="3" t="s">
        <v>234</v>
      </c>
      <c r="G249" s="5">
        <v>0</v>
      </c>
      <c r="H249" s="6" t="s">
        <v>67</v>
      </c>
      <c r="I249" s="3" t="s">
        <v>45</v>
      </c>
    </row>
    <row r="250" spans="1:9" ht="48" customHeight="1">
      <c r="A250" s="3" t="s">
        <v>66</v>
      </c>
      <c r="B250" s="3" t="s">
        <v>65</v>
      </c>
      <c r="C250" s="4">
        <v>46023</v>
      </c>
      <c r="D250" s="4">
        <v>46053</v>
      </c>
      <c r="E250" s="3" t="s">
        <v>381</v>
      </c>
      <c r="F250" s="3" t="s">
        <v>382</v>
      </c>
      <c r="G250" s="5">
        <v>2E-3</v>
      </c>
      <c r="H250" s="6" t="s">
        <v>67</v>
      </c>
      <c r="I250" s="3" t="s">
        <v>45</v>
      </c>
    </row>
    <row r="251" spans="1:9" ht="48" customHeight="1">
      <c r="A251" s="3" t="s">
        <v>66</v>
      </c>
      <c r="B251" s="3" t="s">
        <v>65</v>
      </c>
      <c r="C251" s="4">
        <v>46023</v>
      </c>
      <c r="D251" s="4">
        <v>46053</v>
      </c>
      <c r="E251" s="3" t="s">
        <v>381</v>
      </c>
      <c r="F251" s="3" t="s">
        <v>383</v>
      </c>
      <c r="G251" s="5">
        <v>1E-3</v>
      </c>
      <c r="H251" s="6" t="s">
        <v>67</v>
      </c>
      <c r="I251" s="3" t="s">
        <v>45</v>
      </c>
    </row>
    <row r="252" spans="1:9" ht="48" customHeight="1">
      <c r="A252" s="3" t="s">
        <v>66</v>
      </c>
      <c r="B252" s="3" t="s">
        <v>65</v>
      </c>
      <c r="C252" s="4">
        <v>46054</v>
      </c>
      <c r="D252" s="4">
        <v>46081</v>
      </c>
      <c r="E252" s="3" t="s">
        <v>68</v>
      </c>
      <c r="F252" s="3" t="s">
        <v>146</v>
      </c>
      <c r="G252" s="5">
        <v>0.156</v>
      </c>
      <c r="H252" s="6" t="s">
        <v>69</v>
      </c>
      <c r="I252" s="3" t="s">
        <v>45</v>
      </c>
    </row>
    <row r="253" spans="1:9" ht="48" customHeight="1">
      <c r="A253" s="3" t="s">
        <v>66</v>
      </c>
      <c r="B253" s="3" t="s">
        <v>65</v>
      </c>
      <c r="C253" s="4">
        <v>46054</v>
      </c>
      <c r="D253" s="4">
        <v>46081</v>
      </c>
      <c r="E253" s="3" t="s">
        <v>68</v>
      </c>
      <c r="F253" s="3" t="s">
        <v>147</v>
      </c>
      <c r="G253" s="5">
        <v>6.9000000000000006E-2</v>
      </c>
      <c r="H253" s="6" t="s">
        <v>69</v>
      </c>
      <c r="I253" s="3" t="s">
        <v>45</v>
      </c>
    </row>
    <row r="254" spans="1:9" ht="48" customHeight="1">
      <c r="A254" s="3" t="s">
        <v>66</v>
      </c>
      <c r="B254" s="3" t="s">
        <v>65</v>
      </c>
      <c r="C254" s="4">
        <v>46054</v>
      </c>
      <c r="D254" s="4">
        <v>46081</v>
      </c>
      <c r="E254" s="3" t="s">
        <v>68</v>
      </c>
      <c r="F254" s="3" t="s">
        <v>148</v>
      </c>
      <c r="G254" s="5">
        <v>6.2E-2</v>
      </c>
      <c r="H254" s="6" t="s">
        <v>69</v>
      </c>
      <c r="I254" s="3" t="s">
        <v>45</v>
      </c>
    </row>
    <row r="255" spans="1:9" ht="48" customHeight="1">
      <c r="A255" s="3" t="s">
        <v>66</v>
      </c>
      <c r="B255" s="3" t="s">
        <v>65</v>
      </c>
      <c r="C255" s="4">
        <v>46054</v>
      </c>
      <c r="D255" s="4">
        <v>46081</v>
      </c>
      <c r="E255" s="3" t="s">
        <v>68</v>
      </c>
      <c r="F255" s="3" t="s">
        <v>149</v>
      </c>
      <c r="G255" s="5">
        <v>4.4000000000000004E-2</v>
      </c>
      <c r="H255" s="6" t="s">
        <v>69</v>
      </c>
      <c r="I255" s="3" t="s">
        <v>45</v>
      </c>
    </row>
    <row r="256" spans="1:9" ht="48" customHeight="1">
      <c r="A256" s="3" t="s">
        <v>66</v>
      </c>
      <c r="B256" s="3" t="s">
        <v>65</v>
      </c>
      <c r="C256" s="4">
        <v>46054</v>
      </c>
      <c r="D256" s="4">
        <v>46081</v>
      </c>
      <c r="E256" s="3" t="s">
        <v>68</v>
      </c>
      <c r="F256" s="3" t="s">
        <v>150</v>
      </c>
      <c r="G256" s="5">
        <v>3.1E-2</v>
      </c>
      <c r="H256" s="6" t="s">
        <v>69</v>
      </c>
      <c r="I256" s="3" t="s">
        <v>45</v>
      </c>
    </row>
    <row r="257" spans="1:9" ht="48" customHeight="1">
      <c r="A257" s="3" t="s">
        <v>66</v>
      </c>
      <c r="B257" s="3" t="s">
        <v>65</v>
      </c>
      <c r="C257" s="4">
        <v>46054</v>
      </c>
      <c r="D257" s="4">
        <v>46081</v>
      </c>
      <c r="E257" s="3" t="s">
        <v>68</v>
      </c>
      <c r="F257" s="3" t="s">
        <v>151</v>
      </c>
      <c r="G257" s="5">
        <v>2.4E-2</v>
      </c>
      <c r="H257" s="6" t="s">
        <v>69</v>
      </c>
      <c r="I257" s="3" t="s">
        <v>45</v>
      </c>
    </row>
    <row r="258" spans="1:9" ht="48" customHeight="1">
      <c r="A258" s="3" t="s">
        <v>66</v>
      </c>
      <c r="B258" s="3" t="s">
        <v>65</v>
      </c>
      <c r="C258" s="4">
        <v>46054</v>
      </c>
      <c r="D258" s="4">
        <v>46081</v>
      </c>
      <c r="E258" s="3" t="s">
        <v>68</v>
      </c>
      <c r="F258" s="3" t="s">
        <v>152</v>
      </c>
      <c r="G258" s="5">
        <v>1.7000000000000001E-2</v>
      </c>
      <c r="H258" s="6" t="s">
        <v>69</v>
      </c>
      <c r="I258" s="3" t="s">
        <v>45</v>
      </c>
    </row>
    <row r="259" spans="1:9" ht="48" customHeight="1">
      <c r="A259" s="3" t="s">
        <v>66</v>
      </c>
      <c r="B259" s="3" t="s">
        <v>65</v>
      </c>
      <c r="C259" s="4">
        <v>46054</v>
      </c>
      <c r="D259" s="4">
        <v>46081</v>
      </c>
      <c r="E259" s="3" t="s">
        <v>68</v>
      </c>
      <c r="F259" s="3" t="s">
        <v>153</v>
      </c>
      <c r="G259" s="5">
        <v>1.3999999999999999E-2</v>
      </c>
      <c r="H259" s="6" t="s">
        <v>69</v>
      </c>
      <c r="I259" s="3" t="s">
        <v>45</v>
      </c>
    </row>
    <row r="260" spans="1:9" ht="48" customHeight="1">
      <c r="A260" s="3" t="s">
        <v>66</v>
      </c>
      <c r="B260" s="3" t="s">
        <v>65</v>
      </c>
      <c r="C260" s="4">
        <v>46054</v>
      </c>
      <c r="D260" s="4">
        <v>46081</v>
      </c>
      <c r="E260" s="3" t="s">
        <v>68</v>
      </c>
      <c r="F260" s="3" t="s">
        <v>154</v>
      </c>
      <c r="G260" s="5">
        <v>1.1000000000000001E-2</v>
      </c>
      <c r="H260" s="6" t="s">
        <v>69</v>
      </c>
      <c r="I260" s="3" t="s">
        <v>45</v>
      </c>
    </row>
    <row r="261" spans="1:9" ht="48" customHeight="1">
      <c r="A261" s="3" t="s">
        <v>66</v>
      </c>
      <c r="B261" s="3" t="s">
        <v>65</v>
      </c>
      <c r="C261" s="4">
        <v>46054</v>
      </c>
      <c r="D261" s="4">
        <v>46081</v>
      </c>
      <c r="E261" s="3" t="s">
        <v>68</v>
      </c>
      <c r="F261" s="3" t="s">
        <v>155</v>
      </c>
      <c r="G261" s="5">
        <v>0.01</v>
      </c>
      <c r="H261" s="6" t="s">
        <v>69</v>
      </c>
      <c r="I261" s="3" t="s">
        <v>45</v>
      </c>
    </row>
    <row r="262" spans="1:9" ht="48" customHeight="1">
      <c r="A262" s="3" t="s">
        <v>66</v>
      </c>
      <c r="B262" s="3" t="s">
        <v>65</v>
      </c>
      <c r="C262" s="4">
        <v>46054</v>
      </c>
      <c r="D262" s="4">
        <v>46081</v>
      </c>
      <c r="E262" s="3" t="s">
        <v>68</v>
      </c>
      <c r="F262" s="3" t="s">
        <v>156</v>
      </c>
      <c r="G262" s="5">
        <v>5.0000000000000001E-3</v>
      </c>
      <c r="H262" s="6" t="s">
        <v>69</v>
      </c>
      <c r="I262" s="3" t="s">
        <v>45</v>
      </c>
    </row>
    <row r="263" spans="1:9" ht="48" customHeight="1">
      <c r="A263" s="3" t="s">
        <v>66</v>
      </c>
      <c r="B263" s="3" t="s">
        <v>65</v>
      </c>
      <c r="C263" s="4">
        <v>46054</v>
      </c>
      <c r="D263" s="4">
        <v>46081</v>
      </c>
      <c r="E263" s="3" t="s">
        <v>68</v>
      </c>
      <c r="F263" s="3" t="s">
        <v>157</v>
      </c>
      <c r="G263" s="5">
        <v>4.0000000000000001E-3</v>
      </c>
      <c r="H263" s="6" t="s">
        <v>69</v>
      </c>
      <c r="I263" s="3" t="s">
        <v>45</v>
      </c>
    </row>
    <row r="264" spans="1:9" ht="48" customHeight="1">
      <c r="A264" s="3" t="s">
        <v>66</v>
      </c>
      <c r="B264" s="3" t="s">
        <v>65</v>
      </c>
      <c r="C264" s="4">
        <v>46054</v>
      </c>
      <c r="D264" s="4">
        <v>46081</v>
      </c>
      <c r="E264" s="3" t="s">
        <v>68</v>
      </c>
      <c r="F264" s="3" t="s">
        <v>158</v>
      </c>
      <c r="G264" s="5">
        <v>3.0000000000000001E-3</v>
      </c>
      <c r="H264" s="6" t="s">
        <v>69</v>
      </c>
      <c r="I264" s="3" t="s">
        <v>45</v>
      </c>
    </row>
    <row r="265" spans="1:9" ht="48" customHeight="1">
      <c r="A265" s="3" t="s">
        <v>66</v>
      </c>
      <c r="B265" s="3" t="s">
        <v>65</v>
      </c>
      <c r="C265" s="4">
        <v>46054</v>
      </c>
      <c r="D265" s="4">
        <v>46081</v>
      </c>
      <c r="E265" s="3" t="s">
        <v>68</v>
      </c>
      <c r="F265" s="3" t="s">
        <v>159</v>
      </c>
      <c r="G265" s="5">
        <v>2E-3</v>
      </c>
      <c r="H265" s="6" t="s">
        <v>69</v>
      </c>
      <c r="I265" s="3" t="s">
        <v>45</v>
      </c>
    </row>
    <row r="266" spans="1:9" ht="48" customHeight="1">
      <c r="A266" s="3" t="s">
        <v>66</v>
      </c>
      <c r="B266" s="3" t="s">
        <v>65</v>
      </c>
      <c r="C266" s="4">
        <v>46054</v>
      </c>
      <c r="D266" s="4">
        <v>46081</v>
      </c>
      <c r="E266" s="3" t="s">
        <v>68</v>
      </c>
      <c r="F266" s="3" t="s">
        <v>160</v>
      </c>
      <c r="G266" s="5">
        <v>1E-3</v>
      </c>
      <c r="H266" s="6" t="s">
        <v>69</v>
      </c>
      <c r="I266" s="3" t="s">
        <v>45</v>
      </c>
    </row>
    <row r="267" spans="1:9" ht="48" customHeight="1">
      <c r="A267" s="3" t="s">
        <v>66</v>
      </c>
      <c r="B267" s="3" t="s">
        <v>65</v>
      </c>
      <c r="C267" s="4">
        <v>46054</v>
      </c>
      <c r="D267" s="4">
        <v>46081</v>
      </c>
      <c r="E267" s="3" t="s">
        <v>161</v>
      </c>
      <c r="F267" s="3" t="s">
        <v>162</v>
      </c>
      <c r="G267" s="5">
        <v>1.8000000000000002E-2</v>
      </c>
      <c r="H267" s="6" t="s">
        <v>69</v>
      </c>
      <c r="I267" s="3" t="s">
        <v>45</v>
      </c>
    </row>
    <row r="268" spans="1:9" ht="48" customHeight="1">
      <c r="A268" s="3" t="s">
        <v>66</v>
      </c>
      <c r="B268" s="3" t="s">
        <v>65</v>
      </c>
      <c r="C268" s="4">
        <v>46054</v>
      </c>
      <c r="D268" s="4">
        <v>46081</v>
      </c>
      <c r="E268" s="3" t="s">
        <v>161</v>
      </c>
      <c r="F268" s="3" t="s">
        <v>163</v>
      </c>
      <c r="G268" s="5">
        <v>0.01</v>
      </c>
      <c r="H268" s="6" t="s">
        <v>69</v>
      </c>
      <c r="I268" s="3" t="s">
        <v>45</v>
      </c>
    </row>
    <row r="269" spans="1:9" ht="48" customHeight="1">
      <c r="A269" s="3" t="s">
        <v>66</v>
      </c>
      <c r="B269" s="3" t="s">
        <v>65</v>
      </c>
      <c r="C269" s="4">
        <v>46054</v>
      </c>
      <c r="D269" s="4">
        <v>46081</v>
      </c>
      <c r="E269" s="3" t="s">
        <v>161</v>
      </c>
      <c r="F269" s="3" t="s">
        <v>164</v>
      </c>
      <c r="G269" s="5">
        <v>8.0000000000000002E-3</v>
      </c>
      <c r="H269" s="6" t="s">
        <v>69</v>
      </c>
      <c r="I269" s="3" t="s">
        <v>45</v>
      </c>
    </row>
    <row r="270" spans="1:9" ht="48" customHeight="1">
      <c r="A270" s="3" t="s">
        <v>66</v>
      </c>
      <c r="B270" s="3" t="s">
        <v>65</v>
      </c>
      <c r="C270" s="4">
        <v>46054</v>
      </c>
      <c r="D270" s="4">
        <v>46081</v>
      </c>
      <c r="E270" s="3" t="s">
        <v>161</v>
      </c>
      <c r="F270" s="3" t="s">
        <v>384</v>
      </c>
      <c r="G270" s="5">
        <v>8.0000000000000002E-3</v>
      </c>
      <c r="H270" s="6" t="s">
        <v>69</v>
      </c>
      <c r="I270" s="3" t="s">
        <v>45</v>
      </c>
    </row>
    <row r="271" spans="1:9" ht="48" customHeight="1">
      <c r="A271" s="3" t="s">
        <v>66</v>
      </c>
      <c r="B271" s="3" t="s">
        <v>65</v>
      </c>
      <c r="C271" s="4">
        <v>46054</v>
      </c>
      <c r="D271" s="4">
        <v>46081</v>
      </c>
      <c r="E271" s="3" t="s">
        <v>161</v>
      </c>
      <c r="F271" s="3" t="s">
        <v>165</v>
      </c>
      <c r="G271" s="5">
        <v>6.9999999999999993E-3</v>
      </c>
      <c r="H271" s="6" t="s">
        <v>69</v>
      </c>
      <c r="I271" s="3" t="s">
        <v>45</v>
      </c>
    </row>
    <row r="272" spans="1:9" ht="48" customHeight="1">
      <c r="A272" s="3" t="s">
        <v>66</v>
      </c>
      <c r="B272" s="3" t="s">
        <v>65</v>
      </c>
      <c r="C272" s="4">
        <v>46054</v>
      </c>
      <c r="D272" s="4">
        <v>46081</v>
      </c>
      <c r="E272" s="3" t="s">
        <v>161</v>
      </c>
      <c r="F272" s="3" t="s">
        <v>171</v>
      </c>
      <c r="G272" s="5">
        <v>6.9999999999999993E-3</v>
      </c>
      <c r="H272" s="6" t="s">
        <v>69</v>
      </c>
      <c r="I272" s="3" t="s">
        <v>45</v>
      </c>
    </row>
    <row r="273" spans="1:9" ht="48" customHeight="1">
      <c r="A273" s="3" t="s">
        <v>66</v>
      </c>
      <c r="B273" s="3" t="s">
        <v>65</v>
      </c>
      <c r="C273" s="4">
        <v>46054</v>
      </c>
      <c r="D273" s="4">
        <v>46081</v>
      </c>
      <c r="E273" s="3" t="s">
        <v>161</v>
      </c>
      <c r="F273" s="3" t="s">
        <v>166</v>
      </c>
      <c r="G273" s="5">
        <v>6.9999999999999993E-3</v>
      </c>
      <c r="H273" s="6" t="s">
        <v>69</v>
      </c>
      <c r="I273" s="3" t="s">
        <v>45</v>
      </c>
    </row>
    <row r="274" spans="1:9" ht="48" customHeight="1">
      <c r="A274" s="3" t="s">
        <v>66</v>
      </c>
      <c r="B274" s="3" t="s">
        <v>65</v>
      </c>
      <c r="C274" s="4">
        <v>46054</v>
      </c>
      <c r="D274" s="4">
        <v>46081</v>
      </c>
      <c r="E274" s="3" t="s">
        <v>161</v>
      </c>
      <c r="F274" s="3" t="s">
        <v>167</v>
      </c>
      <c r="G274" s="5">
        <v>6.0000000000000001E-3</v>
      </c>
      <c r="H274" s="6" t="s">
        <v>69</v>
      </c>
      <c r="I274" s="3" t="s">
        <v>45</v>
      </c>
    </row>
    <row r="275" spans="1:9" ht="48" customHeight="1">
      <c r="A275" s="3" t="s">
        <v>66</v>
      </c>
      <c r="B275" s="3" t="s">
        <v>65</v>
      </c>
      <c r="C275" s="4">
        <v>46054</v>
      </c>
      <c r="D275" s="4">
        <v>46081</v>
      </c>
      <c r="E275" s="3" t="s">
        <v>161</v>
      </c>
      <c r="F275" s="3" t="s">
        <v>168</v>
      </c>
      <c r="G275" s="5">
        <v>6.0000000000000001E-3</v>
      </c>
      <c r="H275" s="6" t="s">
        <v>69</v>
      </c>
      <c r="I275" s="3" t="s">
        <v>45</v>
      </c>
    </row>
    <row r="276" spans="1:9" ht="48" customHeight="1">
      <c r="A276" s="3" t="s">
        <v>66</v>
      </c>
      <c r="B276" s="3" t="s">
        <v>65</v>
      </c>
      <c r="C276" s="4">
        <v>46054</v>
      </c>
      <c r="D276" s="4">
        <v>46081</v>
      </c>
      <c r="E276" s="3" t="s">
        <v>161</v>
      </c>
      <c r="F276" s="3" t="s">
        <v>169</v>
      </c>
      <c r="G276" s="5">
        <v>6.0000000000000001E-3</v>
      </c>
      <c r="H276" s="6" t="s">
        <v>69</v>
      </c>
      <c r="I276" s="3" t="s">
        <v>45</v>
      </c>
    </row>
    <row r="277" spans="1:9" ht="48" customHeight="1">
      <c r="A277" s="3" t="s">
        <v>66</v>
      </c>
      <c r="B277" s="3" t="s">
        <v>65</v>
      </c>
      <c r="C277" s="4">
        <v>46054</v>
      </c>
      <c r="D277" s="4">
        <v>46081</v>
      </c>
      <c r="E277" s="3" t="s">
        <v>161</v>
      </c>
      <c r="F277" s="3" t="s">
        <v>172</v>
      </c>
      <c r="G277" s="5">
        <v>6.0000000000000001E-3</v>
      </c>
      <c r="H277" s="6" t="s">
        <v>69</v>
      </c>
      <c r="I277" s="3" t="s">
        <v>45</v>
      </c>
    </row>
    <row r="278" spans="1:9" ht="48" customHeight="1">
      <c r="A278" s="3" t="s">
        <v>66</v>
      </c>
      <c r="B278" s="3" t="s">
        <v>65</v>
      </c>
      <c r="C278" s="4">
        <v>46054</v>
      </c>
      <c r="D278" s="4">
        <v>46081</v>
      </c>
      <c r="E278" s="3" t="s">
        <v>161</v>
      </c>
      <c r="F278" s="3" t="s">
        <v>173</v>
      </c>
      <c r="G278" s="5">
        <v>6.0000000000000001E-3</v>
      </c>
      <c r="H278" s="6" t="s">
        <v>69</v>
      </c>
      <c r="I278" s="3" t="s">
        <v>45</v>
      </c>
    </row>
    <row r="279" spans="1:9" ht="48" customHeight="1">
      <c r="A279" s="3" t="s">
        <v>66</v>
      </c>
      <c r="B279" s="3" t="s">
        <v>65</v>
      </c>
      <c r="C279" s="4">
        <v>46054</v>
      </c>
      <c r="D279" s="4">
        <v>46081</v>
      </c>
      <c r="E279" s="3" t="s">
        <v>161</v>
      </c>
      <c r="F279" s="3" t="s">
        <v>385</v>
      </c>
      <c r="G279" s="5">
        <v>6.0000000000000001E-3</v>
      </c>
      <c r="H279" s="6" t="s">
        <v>69</v>
      </c>
      <c r="I279" s="3" t="s">
        <v>45</v>
      </c>
    </row>
    <row r="280" spans="1:9" ht="48" customHeight="1">
      <c r="A280" s="3" t="s">
        <v>66</v>
      </c>
      <c r="B280" s="3" t="s">
        <v>65</v>
      </c>
      <c r="C280" s="4">
        <v>46054</v>
      </c>
      <c r="D280" s="4">
        <v>46081</v>
      </c>
      <c r="E280" s="3" t="s">
        <v>161</v>
      </c>
      <c r="F280" s="3" t="s">
        <v>174</v>
      </c>
      <c r="G280" s="5">
        <v>5.0000000000000001E-3</v>
      </c>
      <c r="H280" s="6" t="s">
        <v>69</v>
      </c>
      <c r="I280" s="3" t="s">
        <v>45</v>
      </c>
    </row>
    <row r="281" spans="1:9" ht="48" customHeight="1">
      <c r="A281" s="3" t="s">
        <v>66</v>
      </c>
      <c r="B281" s="3" t="s">
        <v>65</v>
      </c>
      <c r="C281" s="4">
        <v>46054</v>
      </c>
      <c r="D281" s="4">
        <v>46081</v>
      </c>
      <c r="E281" s="3" t="s">
        <v>161</v>
      </c>
      <c r="F281" s="3" t="s">
        <v>186</v>
      </c>
      <c r="G281" s="5">
        <v>5.0000000000000001E-3</v>
      </c>
      <c r="H281" s="6" t="s">
        <v>69</v>
      </c>
      <c r="I281" s="3" t="s">
        <v>45</v>
      </c>
    </row>
    <row r="282" spans="1:9" ht="48" customHeight="1">
      <c r="A282" s="3" t="s">
        <v>66</v>
      </c>
      <c r="B282" s="3" t="s">
        <v>65</v>
      </c>
      <c r="C282" s="4">
        <v>46054</v>
      </c>
      <c r="D282" s="4">
        <v>46081</v>
      </c>
      <c r="E282" s="3" t="s">
        <v>161</v>
      </c>
      <c r="F282" s="3" t="s">
        <v>170</v>
      </c>
      <c r="G282" s="5">
        <v>5.0000000000000001E-3</v>
      </c>
      <c r="H282" s="6" t="s">
        <v>69</v>
      </c>
      <c r="I282" s="3" t="s">
        <v>45</v>
      </c>
    </row>
    <row r="283" spans="1:9" ht="48" customHeight="1">
      <c r="A283" s="3" t="s">
        <v>66</v>
      </c>
      <c r="B283" s="3" t="s">
        <v>65</v>
      </c>
      <c r="C283" s="4">
        <v>46054</v>
      </c>
      <c r="D283" s="4">
        <v>46081</v>
      </c>
      <c r="E283" s="3" t="s">
        <v>161</v>
      </c>
      <c r="F283" s="3" t="s">
        <v>177</v>
      </c>
      <c r="G283" s="5">
        <v>5.0000000000000001E-3</v>
      </c>
      <c r="H283" s="6" t="s">
        <v>69</v>
      </c>
      <c r="I283" s="3" t="s">
        <v>45</v>
      </c>
    </row>
    <row r="284" spans="1:9" ht="48" customHeight="1">
      <c r="A284" s="3" t="s">
        <v>66</v>
      </c>
      <c r="B284" s="3" t="s">
        <v>65</v>
      </c>
      <c r="C284" s="4">
        <v>46054</v>
      </c>
      <c r="D284" s="4">
        <v>46081</v>
      </c>
      <c r="E284" s="3" t="s">
        <v>161</v>
      </c>
      <c r="F284" s="3" t="s">
        <v>178</v>
      </c>
      <c r="G284" s="5">
        <v>5.0000000000000001E-3</v>
      </c>
      <c r="H284" s="6" t="s">
        <v>69</v>
      </c>
      <c r="I284" s="3" t="s">
        <v>45</v>
      </c>
    </row>
    <row r="285" spans="1:9" ht="48" customHeight="1">
      <c r="A285" s="3" t="s">
        <v>66</v>
      </c>
      <c r="B285" s="3" t="s">
        <v>65</v>
      </c>
      <c r="C285" s="4">
        <v>46054</v>
      </c>
      <c r="D285" s="4">
        <v>46081</v>
      </c>
      <c r="E285" s="3" t="s">
        <v>161</v>
      </c>
      <c r="F285" s="3" t="s">
        <v>179</v>
      </c>
      <c r="G285" s="5">
        <v>5.0000000000000001E-3</v>
      </c>
      <c r="H285" s="6" t="s">
        <v>69</v>
      </c>
      <c r="I285" s="3" t="s">
        <v>45</v>
      </c>
    </row>
    <row r="286" spans="1:9" ht="48" customHeight="1">
      <c r="A286" s="3" t="s">
        <v>66</v>
      </c>
      <c r="B286" s="3" t="s">
        <v>65</v>
      </c>
      <c r="C286" s="4">
        <v>46054</v>
      </c>
      <c r="D286" s="4">
        <v>46081</v>
      </c>
      <c r="E286" s="3" t="s">
        <v>161</v>
      </c>
      <c r="F286" s="3" t="s">
        <v>181</v>
      </c>
      <c r="G286" s="5">
        <v>5.0000000000000001E-3</v>
      </c>
      <c r="H286" s="6" t="s">
        <v>69</v>
      </c>
      <c r="I286" s="3" t="s">
        <v>45</v>
      </c>
    </row>
    <row r="287" spans="1:9" ht="48" customHeight="1">
      <c r="A287" s="3" t="s">
        <v>66</v>
      </c>
      <c r="B287" s="3" t="s">
        <v>65</v>
      </c>
      <c r="C287" s="4">
        <v>46054</v>
      </c>
      <c r="D287" s="4">
        <v>46081</v>
      </c>
      <c r="E287" s="3" t="s">
        <v>161</v>
      </c>
      <c r="F287" s="3" t="s">
        <v>182</v>
      </c>
      <c r="G287" s="5">
        <v>5.0000000000000001E-3</v>
      </c>
      <c r="H287" s="6" t="s">
        <v>69</v>
      </c>
      <c r="I287" s="3" t="s">
        <v>45</v>
      </c>
    </row>
    <row r="288" spans="1:9" ht="48" customHeight="1">
      <c r="A288" s="3" t="s">
        <v>66</v>
      </c>
      <c r="B288" s="3" t="s">
        <v>65</v>
      </c>
      <c r="C288" s="4">
        <v>46054</v>
      </c>
      <c r="D288" s="4">
        <v>46081</v>
      </c>
      <c r="E288" s="3" t="s">
        <v>161</v>
      </c>
      <c r="F288" s="3" t="s">
        <v>184</v>
      </c>
      <c r="G288" s="5">
        <v>5.0000000000000001E-3</v>
      </c>
      <c r="H288" s="6" t="s">
        <v>69</v>
      </c>
      <c r="I288" s="3" t="s">
        <v>45</v>
      </c>
    </row>
    <row r="289" spans="1:9" ht="48" customHeight="1">
      <c r="A289" s="3" t="s">
        <v>66</v>
      </c>
      <c r="B289" s="3" t="s">
        <v>65</v>
      </c>
      <c r="C289" s="4">
        <v>46054</v>
      </c>
      <c r="D289" s="4">
        <v>46081</v>
      </c>
      <c r="E289" s="3" t="s">
        <v>161</v>
      </c>
      <c r="F289" s="3" t="s">
        <v>175</v>
      </c>
      <c r="G289" s="5">
        <v>4.0000000000000001E-3</v>
      </c>
      <c r="H289" s="6" t="s">
        <v>69</v>
      </c>
      <c r="I289" s="3" t="s">
        <v>45</v>
      </c>
    </row>
    <row r="290" spans="1:9" ht="48" customHeight="1">
      <c r="A290" s="3" t="s">
        <v>66</v>
      </c>
      <c r="B290" s="3" t="s">
        <v>65</v>
      </c>
      <c r="C290" s="4">
        <v>46054</v>
      </c>
      <c r="D290" s="4">
        <v>46081</v>
      </c>
      <c r="E290" s="3" t="s">
        <v>161</v>
      </c>
      <c r="F290" s="3" t="s">
        <v>176</v>
      </c>
      <c r="G290" s="5">
        <v>4.0000000000000001E-3</v>
      </c>
      <c r="H290" s="6" t="s">
        <v>69</v>
      </c>
      <c r="I290" s="3" t="s">
        <v>45</v>
      </c>
    </row>
    <row r="291" spans="1:9" ht="48" customHeight="1">
      <c r="A291" s="3" t="s">
        <v>66</v>
      </c>
      <c r="B291" s="3" t="s">
        <v>65</v>
      </c>
      <c r="C291" s="4">
        <v>46054</v>
      </c>
      <c r="D291" s="4">
        <v>46081</v>
      </c>
      <c r="E291" s="3" t="s">
        <v>161</v>
      </c>
      <c r="F291" s="3" t="s">
        <v>185</v>
      </c>
      <c r="G291" s="5">
        <v>4.0000000000000001E-3</v>
      </c>
      <c r="H291" s="6" t="s">
        <v>69</v>
      </c>
      <c r="I291" s="3" t="s">
        <v>45</v>
      </c>
    </row>
    <row r="292" spans="1:9" ht="48" customHeight="1">
      <c r="A292" s="3" t="s">
        <v>66</v>
      </c>
      <c r="B292" s="3" t="s">
        <v>65</v>
      </c>
      <c r="C292" s="4">
        <v>46054</v>
      </c>
      <c r="D292" s="4">
        <v>46081</v>
      </c>
      <c r="E292" s="3" t="s">
        <v>161</v>
      </c>
      <c r="F292" s="3" t="s">
        <v>188</v>
      </c>
      <c r="G292" s="5">
        <v>4.0000000000000001E-3</v>
      </c>
      <c r="H292" s="6" t="s">
        <v>69</v>
      </c>
      <c r="I292" s="3" t="s">
        <v>45</v>
      </c>
    </row>
    <row r="293" spans="1:9" ht="48" customHeight="1">
      <c r="A293" s="3" t="s">
        <v>66</v>
      </c>
      <c r="B293" s="3" t="s">
        <v>65</v>
      </c>
      <c r="C293" s="4">
        <v>46054</v>
      </c>
      <c r="D293" s="4">
        <v>46081</v>
      </c>
      <c r="E293" s="3" t="s">
        <v>161</v>
      </c>
      <c r="F293" s="3" t="s">
        <v>180</v>
      </c>
      <c r="G293" s="5">
        <v>4.0000000000000001E-3</v>
      </c>
      <c r="H293" s="6" t="s">
        <v>69</v>
      </c>
      <c r="I293" s="3" t="s">
        <v>45</v>
      </c>
    </row>
    <row r="294" spans="1:9" ht="48" customHeight="1">
      <c r="A294" s="3" t="s">
        <v>66</v>
      </c>
      <c r="B294" s="3" t="s">
        <v>65</v>
      </c>
      <c r="C294" s="4">
        <v>46054</v>
      </c>
      <c r="D294" s="4">
        <v>46081</v>
      </c>
      <c r="E294" s="3" t="s">
        <v>161</v>
      </c>
      <c r="F294" s="3" t="s">
        <v>183</v>
      </c>
      <c r="G294" s="5">
        <v>4.0000000000000001E-3</v>
      </c>
      <c r="H294" s="6" t="s">
        <v>69</v>
      </c>
      <c r="I294" s="3" t="s">
        <v>45</v>
      </c>
    </row>
    <row r="295" spans="1:9" ht="48" customHeight="1">
      <c r="A295" s="3" t="s">
        <v>66</v>
      </c>
      <c r="B295" s="3" t="s">
        <v>65</v>
      </c>
      <c r="C295" s="4">
        <v>46054</v>
      </c>
      <c r="D295" s="4">
        <v>46081</v>
      </c>
      <c r="E295" s="3" t="s">
        <v>161</v>
      </c>
      <c r="F295" s="3" t="s">
        <v>386</v>
      </c>
      <c r="G295" s="5">
        <v>4.0000000000000001E-3</v>
      </c>
      <c r="H295" s="6" t="s">
        <v>69</v>
      </c>
      <c r="I295" s="3" t="s">
        <v>45</v>
      </c>
    </row>
    <row r="296" spans="1:9" ht="48" customHeight="1">
      <c r="A296" s="3" t="s">
        <v>66</v>
      </c>
      <c r="B296" s="3" t="s">
        <v>65</v>
      </c>
      <c r="C296" s="4">
        <v>46054</v>
      </c>
      <c r="D296" s="4">
        <v>46081</v>
      </c>
      <c r="E296" s="3" t="s">
        <v>161</v>
      </c>
      <c r="F296" s="3" t="s">
        <v>189</v>
      </c>
      <c r="G296" s="5">
        <v>3.0000000000000001E-3</v>
      </c>
      <c r="H296" s="6" t="s">
        <v>69</v>
      </c>
      <c r="I296" s="3" t="s">
        <v>45</v>
      </c>
    </row>
    <row r="297" spans="1:9" ht="48" customHeight="1">
      <c r="A297" s="3" t="s">
        <v>66</v>
      </c>
      <c r="B297" s="3" t="s">
        <v>65</v>
      </c>
      <c r="C297" s="4">
        <v>46054</v>
      </c>
      <c r="D297" s="4">
        <v>46081</v>
      </c>
      <c r="E297" s="3" t="s">
        <v>161</v>
      </c>
      <c r="F297" s="3" t="s">
        <v>191</v>
      </c>
      <c r="G297" s="5">
        <v>3.0000000000000001E-3</v>
      </c>
      <c r="H297" s="6" t="s">
        <v>69</v>
      </c>
      <c r="I297" s="3" t="s">
        <v>45</v>
      </c>
    </row>
    <row r="298" spans="1:9" ht="48" customHeight="1">
      <c r="A298" s="3" t="s">
        <v>66</v>
      </c>
      <c r="B298" s="3" t="s">
        <v>65</v>
      </c>
      <c r="C298" s="4">
        <v>46054</v>
      </c>
      <c r="D298" s="4">
        <v>46081</v>
      </c>
      <c r="E298" s="3" t="s">
        <v>161</v>
      </c>
      <c r="F298" s="3" t="s">
        <v>187</v>
      </c>
      <c r="G298" s="5">
        <v>3.0000000000000001E-3</v>
      </c>
      <c r="H298" s="6" t="s">
        <v>69</v>
      </c>
      <c r="I298" s="3" t="s">
        <v>45</v>
      </c>
    </row>
    <row r="299" spans="1:9" ht="48" customHeight="1">
      <c r="A299" s="3" t="s">
        <v>66</v>
      </c>
      <c r="B299" s="3" t="s">
        <v>65</v>
      </c>
      <c r="C299" s="4">
        <v>46054</v>
      </c>
      <c r="D299" s="4">
        <v>46081</v>
      </c>
      <c r="E299" s="3" t="s">
        <v>161</v>
      </c>
      <c r="F299" s="3" t="s">
        <v>192</v>
      </c>
      <c r="G299" s="5">
        <v>3.0000000000000001E-3</v>
      </c>
      <c r="H299" s="6" t="s">
        <v>69</v>
      </c>
      <c r="I299" s="3" t="s">
        <v>45</v>
      </c>
    </row>
    <row r="300" spans="1:9" ht="48" customHeight="1">
      <c r="A300" s="3" t="s">
        <v>66</v>
      </c>
      <c r="B300" s="3" t="s">
        <v>65</v>
      </c>
      <c r="C300" s="4">
        <v>46054</v>
      </c>
      <c r="D300" s="4">
        <v>46081</v>
      </c>
      <c r="E300" s="3" t="s">
        <v>161</v>
      </c>
      <c r="F300" s="3" t="s">
        <v>194</v>
      </c>
      <c r="G300" s="5">
        <v>3.0000000000000001E-3</v>
      </c>
      <c r="H300" s="6" t="s">
        <v>69</v>
      </c>
      <c r="I300" s="3" t="s">
        <v>45</v>
      </c>
    </row>
    <row r="301" spans="1:9" ht="48" customHeight="1">
      <c r="A301" s="3" t="s">
        <v>66</v>
      </c>
      <c r="B301" s="3" t="s">
        <v>65</v>
      </c>
      <c r="C301" s="4">
        <v>46054</v>
      </c>
      <c r="D301" s="4">
        <v>46081</v>
      </c>
      <c r="E301" s="3" t="s">
        <v>161</v>
      </c>
      <c r="F301" s="3" t="s">
        <v>387</v>
      </c>
      <c r="G301" s="5">
        <v>3.0000000000000001E-3</v>
      </c>
      <c r="H301" s="6" t="s">
        <v>69</v>
      </c>
      <c r="I301" s="3" t="s">
        <v>45</v>
      </c>
    </row>
    <row r="302" spans="1:9" ht="48" customHeight="1">
      <c r="A302" s="3" t="s">
        <v>66</v>
      </c>
      <c r="B302" s="3" t="s">
        <v>65</v>
      </c>
      <c r="C302" s="4">
        <v>46054</v>
      </c>
      <c r="D302" s="4">
        <v>46081</v>
      </c>
      <c r="E302" s="3" t="s">
        <v>161</v>
      </c>
      <c r="F302" s="3" t="s">
        <v>196</v>
      </c>
      <c r="G302" s="5">
        <v>3.0000000000000001E-3</v>
      </c>
      <c r="H302" s="6" t="s">
        <v>69</v>
      </c>
      <c r="I302" s="3" t="s">
        <v>45</v>
      </c>
    </row>
    <row r="303" spans="1:9" ht="48" customHeight="1">
      <c r="A303" s="3" t="s">
        <v>66</v>
      </c>
      <c r="B303" s="3" t="s">
        <v>65</v>
      </c>
      <c r="C303" s="4">
        <v>46054</v>
      </c>
      <c r="D303" s="4">
        <v>46081</v>
      </c>
      <c r="E303" s="3" t="s">
        <v>161</v>
      </c>
      <c r="F303" s="3" t="s">
        <v>190</v>
      </c>
      <c r="G303" s="5">
        <v>2E-3</v>
      </c>
      <c r="H303" s="6" t="s">
        <v>69</v>
      </c>
      <c r="I303" s="3" t="s">
        <v>45</v>
      </c>
    </row>
    <row r="304" spans="1:9" ht="48" customHeight="1">
      <c r="A304" s="3" t="s">
        <v>66</v>
      </c>
      <c r="B304" s="3" t="s">
        <v>65</v>
      </c>
      <c r="C304" s="4">
        <v>46054</v>
      </c>
      <c r="D304" s="4">
        <v>46081</v>
      </c>
      <c r="E304" s="3" t="s">
        <v>161</v>
      </c>
      <c r="F304" s="3" t="s">
        <v>197</v>
      </c>
      <c r="G304" s="5">
        <v>2E-3</v>
      </c>
      <c r="H304" s="6" t="s">
        <v>69</v>
      </c>
      <c r="I304" s="3" t="s">
        <v>45</v>
      </c>
    </row>
    <row r="305" spans="1:9" ht="48" customHeight="1">
      <c r="A305" s="3" t="s">
        <v>66</v>
      </c>
      <c r="B305" s="3" t="s">
        <v>65</v>
      </c>
      <c r="C305" s="4">
        <v>46054</v>
      </c>
      <c r="D305" s="4">
        <v>46081</v>
      </c>
      <c r="E305" s="3" t="s">
        <v>161</v>
      </c>
      <c r="F305" s="3" t="s">
        <v>198</v>
      </c>
      <c r="G305" s="5">
        <v>2E-3</v>
      </c>
      <c r="H305" s="6" t="s">
        <v>69</v>
      </c>
      <c r="I305" s="3" t="s">
        <v>45</v>
      </c>
    </row>
    <row r="306" spans="1:9" ht="48" customHeight="1">
      <c r="A306" s="3" t="s">
        <v>66</v>
      </c>
      <c r="B306" s="3" t="s">
        <v>65</v>
      </c>
      <c r="C306" s="4">
        <v>46054</v>
      </c>
      <c r="D306" s="4">
        <v>46081</v>
      </c>
      <c r="E306" s="3" t="s">
        <v>161</v>
      </c>
      <c r="F306" s="3" t="s">
        <v>193</v>
      </c>
      <c r="G306" s="5">
        <v>2E-3</v>
      </c>
      <c r="H306" s="6" t="s">
        <v>69</v>
      </c>
      <c r="I306" s="3" t="s">
        <v>45</v>
      </c>
    </row>
    <row r="307" spans="1:9" ht="48" customHeight="1">
      <c r="A307" s="3" t="s">
        <v>66</v>
      </c>
      <c r="B307" s="3" t="s">
        <v>65</v>
      </c>
      <c r="C307" s="4">
        <v>46054</v>
      </c>
      <c r="D307" s="4">
        <v>46081</v>
      </c>
      <c r="E307" s="3" t="s">
        <v>161</v>
      </c>
      <c r="F307" s="3" t="s">
        <v>195</v>
      </c>
      <c r="G307" s="5">
        <v>2E-3</v>
      </c>
      <c r="H307" s="6" t="s">
        <v>69</v>
      </c>
      <c r="I307" s="3" t="s">
        <v>45</v>
      </c>
    </row>
    <row r="308" spans="1:9" ht="48" customHeight="1">
      <c r="A308" s="3" t="s">
        <v>66</v>
      </c>
      <c r="B308" s="3" t="s">
        <v>65</v>
      </c>
      <c r="C308" s="4">
        <v>46054</v>
      </c>
      <c r="D308" s="4">
        <v>46081</v>
      </c>
      <c r="E308" s="3" t="s">
        <v>161</v>
      </c>
      <c r="F308" s="3" t="s">
        <v>199</v>
      </c>
      <c r="G308" s="5">
        <v>1E-3</v>
      </c>
      <c r="H308" s="6" t="s">
        <v>69</v>
      </c>
      <c r="I308" s="3" t="s">
        <v>45</v>
      </c>
    </row>
    <row r="309" spans="1:9" ht="48" customHeight="1">
      <c r="A309" s="3" t="s">
        <v>66</v>
      </c>
      <c r="B309" s="3" t="s">
        <v>65</v>
      </c>
      <c r="C309" s="4">
        <v>46054</v>
      </c>
      <c r="D309" s="4">
        <v>46081</v>
      </c>
      <c r="E309" s="3" t="s">
        <v>161</v>
      </c>
      <c r="F309" s="3" t="s">
        <v>200</v>
      </c>
      <c r="G309" s="5">
        <v>1E-3</v>
      </c>
      <c r="H309" s="6" t="s">
        <v>69</v>
      </c>
      <c r="I309" s="3" t="s">
        <v>45</v>
      </c>
    </row>
    <row r="310" spans="1:9" ht="48" customHeight="1">
      <c r="A310" s="3" t="s">
        <v>66</v>
      </c>
      <c r="B310" s="3" t="s">
        <v>65</v>
      </c>
      <c r="C310" s="4">
        <v>46054</v>
      </c>
      <c r="D310" s="4">
        <v>46081</v>
      </c>
      <c r="E310" s="3" t="s">
        <v>161</v>
      </c>
      <c r="F310" s="3" t="s">
        <v>201</v>
      </c>
      <c r="G310" s="5">
        <v>1E-3</v>
      </c>
      <c r="H310" s="6" t="s">
        <v>69</v>
      </c>
      <c r="I310" s="3" t="s">
        <v>45</v>
      </c>
    </row>
    <row r="311" spans="1:9" ht="48" customHeight="1">
      <c r="A311" s="3" t="s">
        <v>66</v>
      </c>
      <c r="B311" s="3" t="s">
        <v>65</v>
      </c>
      <c r="C311" s="4">
        <v>46054</v>
      </c>
      <c r="D311" s="4">
        <v>46081</v>
      </c>
      <c r="E311" s="3" t="s">
        <v>161</v>
      </c>
      <c r="F311" s="3" t="s">
        <v>202</v>
      </c>
      <c r="G311" s="5">
        <v>0</v>
      </c>
      <c r="H311" s="6" t="s">
        <v>69</v>
      </c>
      <c r="I311" s="3" t="s">
        <v>45</v>
      </c>
    </row>
    <row r="312" spans="1:9" ht="48" customHeight="1">
      <c r="A312" s="3" t="s">
        <v>66</v>
      </c>
      <c r="B312" s="3" t="s">
        <v>65</v>
      </c>
      <c r="C312" s="4">
        <v>46054</v>
      </c>
      <c r="D312" s="4">
        <v>46081</v>
      </c>
      <c r="E312" s="3" t="s">
        <v>161</v>
      </c>
      <c r="F312" s="3" t="s">
        <v>203</v>
      </c>
      <c r="G312" s="5">
        <v>0</v>
      </c>
      <c r="H312" s="6" t="s">
        <v>69</v>
      </c>
      <c r="I312" s="3" t="s">
        <v>45</v>
      </c>
    </row>
    <row r="313" spans="1:9" ht="48" customHeight="1">
      <c r="A313" s="3" t="s">
        <v>66</v>
      </c>
      <c r="B313" s="3" t="s">
        <v>65</v>
      </c>
      <c r="C313" s="4">
        <v>46054</v>
      </c>
      <c r="D313" s="4">
        <v>46081</v>
      </c>
      <c r="E313" s="3" t="s">
        <v>161</v>
      </c>
      <c r="F313" s="3" t="s">
        <v>204</v>
      </c>
      <c r="G313" s="5">
        <v>0</v>
      </c>
      <c r="H313" s="6" t="s">
        <v>69</v>
      </c>
      <c r="I313" s="3" t="s">
        <v>45</v>
      </c>
    </row>
    <row r="314" spans="1:9" ht="48" customHeight="1">
      <c r="A314" s="3" t="s">
        <v>66</v>
      </c>
      <c r="B314" s="3" t="s">
        <v>65</v>
      </c>
      <c r="C314" s="4">
        <v>46054</v>
      </c>
      <c r="D314" s="4">
        <v>46081</v>
      </c>
      <c r="E314" s="3" t="s">
        <v>205</v>
      </c>
      <c r="F314" s="3" t="s">
        <v>207</v>
      </c>
      <c r="G314" s="5">
        <v>6.9999999999999993E-3</v>
      </c>
      <c r="H314" s="6" t="s">
        <v>69</v>
      </c>
      <c r="I314" s="3" t="s">
        <v>45</v>
      </c>
    </row>
    <row r="315" spans="1:9" ht="48" customHeight="1">
      <c r="A315" s="3" t="s">
        <v>66</v>
      </c>
      <c r="B315" s="3" t="s">
        <v>65</v>
      </c>
      <c r="C315" s="4">
        <v>46054</v>
      </c>
      <c r="D315" s="4">
        <v>46081</v>
      </c>
      <c r="E315" s="3" t="s">
        <v>205</v>
      </c>
      <c r="F315" s="3" t="s">
        <v>206</v>
      </c>
      <c r="G315" s="5">
        <v>6.9999999999999993E-3</v>
      </c>
      <c r="H315" s="6" t="s">
        <v>69</v>
      </c>
      <c r="I315" s="3" t="s">
        <v>45</v>
      </c>
    </row>
    <row r="316" spans="1:9" ht="48" customHeight="1">
      <c r="A316" s="3" t="s">
        <v>66</v>
      </c>
      <c r="B316" s="3" t="s">
        <v>65</v>
      </c>
      <c r="C316" s="4">
        <v>46054</v>
      </c>
      <c r="D316" s="4">
        <v>46081</v>
      </c>
      <c r="E316" s="3" t="s">
        <v>205</v>
      </c>
      <c r="F316" s="3" t="s">
        <v>210</v>
      </c>
      <c r="G316" s="5">
        <v>6.9999999999999993E-3</v>
      </c>
      <c r="H316" s="6" t="s">
        <v>69</v>
      </c>
      <c r="I316" s="3" t="s">
        <v>45</v>
      </c>
    </row>
    <row r="317" spans="1:9" ht="48" customHeight="1">
      <c r="A317" s="3" t="s">
        <v>66</v>
      </c>
      <c r="B317" s="3" t="s">
        <v>65</v>
      </c>
      <c r="C317" s="4">
        <v>46054</v>
      </c>
      <c r="D317" s="4">
        <v>46081</v>
      </c>
      <c r="E317" s="3" t="s">
        <v>205</v>
      </c>
      <c r="F317" s="3" t="s">
        <v>208</v>
      </c>
      <c r="G317" s="5">
        <v>6.0000000000000001E-3</v>
      </c>
      <c r="H317" s="6" t="s">
        <v>69</v>
      </c>
      <c r="I317" s="3" t="s">
        <v>45</v>
      </c>
    </row>
    <row r="318" spans="1:9" ht="48" customHeight="1">
      <c r="A318" s="3" t="s">
        <v>66</v>
      </c>
      <c r="B318" s="3" t="s">
        <v>65</v>
      </c>
      <c r="C318" s="4">
        <v>46054</v>
      </c>
      <c r="D318" s="4">
        <v>46081</v>
      </c>
      <c r="E318" s="3" t="s">
        <v>205</v>
      </c>
      <c r="F318" s="3" t="s">
        <v>213</v>
      </c>
      <c r="G318" s="5">
        <v>6.0000000000000001E-3</v>
      </c>
      <c r="H318" s="6" t="s">
        <v>69</v>
      </c>
      <c r="I318" s="3" t="s">
        <v>45</v>
      </c>
    </row>
    <row r="319" spans="1:9" ht="48" customHeight="1">
      <c r="A319" s="3" t="s">
        <v>66</v>
      </c>
      <c r="B319" s="3" t="s">
        <v>65</v>
      </c>
      <c r="C319" s="4">
        <v>46054</v>
      </c>
      <c r="D319" s="4">
        <v>46081</v>
      </c>
      <c r="E319" s="3" t="s">
        <v>205</v>
      </c>
      <c r="F319" s="3" t="s">
        <v>209</v>
      </c>
      <c r="G319" s="5">
        <v>6.0000000000000001E-3</v>
      </c>
      <c r="H319" s="6" t="s">
        <v>69</v>
      </c>
      <c r="I319" s="3" t="s">
        <v>45</v>
      </c>
    </row>
    <row r="320" spans="1:9" ht="48" customHeight="1">
      <c r="A320" s="3" t="s">
        <v>66</v>
      </c>
      <c r="B320" s="3" t="s">
        <v>65</v>
      </c>
      <c r="C320" s="4">
        <v>46054</v>
      </c>
      <c r="D320" s="4">
        <v>46081</v>
      </c>
      <c r="E320" s="3" t="s">
        <v>205</v>
      </c>
      <c r="F320" s="3" t="s">
        <v>211</v>
      </c>
      <c r="G320" s="5">
        <v>5.0000000000000001E-3</v>
      </c>
      <c r="H320" s="6" t="s">
        <v>69</v>
      </c>
      <c r="I320" s="3" t="s">
        <v>45</v>
      </c>
    </row>
    <row r="321" spans="1:9" ht="48" customHeight="1">
      <c r="A321" s="3" t="s">
        <v>66</v>
      </c>
      <c r="B321" s="3" t="s">
        <v>65</v>
      </c>
      <c r="C321" s="4">
        <v>46054</v>
      </c>
      <c r="D321" s="4">
        <v>46081</v>
      </c>
      <c r="E321" s="3" t="s">
        <v>205</v>
      </c>
      <c r="F321" s="3" t="s">
        <v>212</v>
      </c>
      <c r="G321" s="5">
        <v>5.0000000000000001E-3</v>
      </c>
      <c r="H321" s="6" t="s">
        <v>69</v>
      </c>
      <c r="I321" s="3" t="s">
        <v>45</v>
      </c>
    </row>
    <row r="322" spans="1:9" ht="48" customHeight="1">
      <c r="A322" s="3" t="s">
        <v>66</v>
      </c>
      <c r="B322" s="3" t="s">
        <v>65</v>
      </c>
      <c r="C322" s="4">
        <v>46054</v>
      </c>
      <c r="D322" s="4">
        <v>46081</v>
      </c>
      <c r="E322" s="3" t="s">
        <v>205</v>
      </c>
      <c r="F322" s="3" t="s">
        <v>214</v>
      </c>
      <c r="G322" s="5">
        <v>5.0000000000000001E-3</v>
      </c>
      <c r="H322" s="6" t="s">
        <v>69</v>
      </c>
      <c r="I322" s="3" t="s">
        <v>45</v>
      </c>
    </row>
    <row r="323" spans="1:9" ht="48" customHeight="1">
      <c r="A323" s="3" t="s">
        <v>66</v>
      </c>
      <c r="B323" s="3" t="s">
        <v>65</v>
      </c>
      <c r="C323" s="4">
        <v>46054</v>
      </c>
      <c r="D323" s="4">
        <v>46081</v>
      </c>
      <c r="E323" s="3" t="s">
        <v>205</v>
      </c>
      <c r="F323" s="3" t="s">
        <v>216</v>
      </c>
      <c r="G323" s="5">
        <v>5.0000000000000001E-3</v>
      </c>
      <c r="H323" s="6" t="s">
        <v>69</v>
      </c>
      <c r="I323" s="3" t="s">
        <v>45</v>
      </c>
    </row>
    <row r="324" spans="1:9" ht="48" customHeight="1">
      <c r="A324" s="3" t="s">
        <v>66</v>
      </c>
      <c r="B324" s="3" t="s">
        <v>65</v>
      </c>
      <c r="C324" s="4">
        <v>46054</v>
      </c>
      <c r="D324" s="4">
        <v>46081</v>
      </c>
      <c r="E324" s="3" t="s">
        <v>205</v>
      </c>
      <c r="F324" s="3" t="s">
        <v>217</v>
      </c>
      <c r="G324" s="5">
        <v>4.0000000000000001E-3</v>
      </c>
      <c r="H324" s="6" t="s">
        <v>69</v>
      </c>
      <c r="I324" s="3" t="s">
        <v>45</v>
      </c>
    </row>
    <row r="325" spans="1:9" ht="48" customHeight="1">
      <c r="A325" s="3" t="s">
        <v>66</v>
      </c>
      <c r="B325" s="3" t="s">
        <v>65</v>
      </c>
      <c r="C325" s="4">
        <v>46054</v>
      </c>
      <c r="D325" s="4">
        <v>46081</v>
      </c>
      <c r="E325" s="3" t="s">
        <v>205</v>
      </c>
      <c r="F325" s="3" t="s">
        <v>219</v>
      </c>
      <c r="G325" s="5">
        <v>4.0000000000000001E-3</v>
      </c>
      <c r="H325" s="6" t="s">
        <v>69</v>
      </c>
      <c r="I325" s="3" t="s">
        <v>45</v>
      </c>
    </row>
    <row r="326" spans="1:9" ht="48" customHeight="1">
      <c r="A326" s="3" t="s">
        <v>66</v>
      </c>
      <c r="B326" s="3" t="s">
        <v>65</v>
      </c>
      <c r="C326" s="4">
        <v>46054</v>
      </c>
      <c r="D326" s="4">
        <v>46081</v>
      </c>
      <c r="E326" s="3" t="s">
        <v>205</v>
      </c>
      <c r="F326" s="3" t="s">
        <v>220</v>
      </c>
      <c r="G326" s="5">
        <v>4.0000000000000001E-3</v>
      </c>
      <c r="H326" s="6" t="s">
        <v>69</v>
      </c>
      <c r="I326" s="3" t="s">
        <v>45</v>
      </c>
    </row>
    <row r="327" spans="1:9" ht="48" customHeight="1">
      <c r="A327" s="3" t="s">
        <v>66</v>
      </c>
      <c r="B327" s="3" t="s">
        <v>65</v>
      </c>
      <c r="C327" s="4">
        <v>46054</v>
      </c>
      <c r="D327" s="4">
        <v>46081</v>
      </c>
      <c r="E327" s="3" t="s">
        <v>205</v>
      </c>
      <c r="F327" s="3" t="s">
        <v>222</v>
      </c>
      <c r="G327" s="5">
        <v>4.0000000000000001E-3</v>
      </c>
      <c r="H327" s="6" t="s">
        <v>69</v>
      </c>
      <c r="I327" s="3" t="s">
        <v>45</v>
      </c>
    </row>
    <row r="328" spans="1:9" ht="48" customHeight="1">
      <c r="A328" s="3" t="s">
        <v>66</v>
      </c>
      <c r="B328" s="3" t="s">
        <v>65</v>
      </c>
      <c r="C328" s="4">
        <v>46054</v>
      </c>
      <c r="D328" s="4">
        <v>46081</v>
      </c>
      <c r="E328" s="3" t="s">
        <v>205</v>
      </c>
      <c r="F328" s="3" t="s">
        <v>215</v>
      </c>
      <c r="G328" s="5">
        <v>4.0000000000000001E-3</v>
      </c>
      <c r="H328" s="6" t="s">
        <v>69</v>
      </c>
      <c r="I328" s="3" t="s">
        <v>45</v>
      </c>
    </row>
    <row r="329" spans="1:9" ht="48" customHeight="1">
      <c r="A329" s="3" t="s">
        <v>66</v>
      </c>
      <c r="B329" s="3" t="s">
        <v>65</v>
      </c>
      <c r="C329" s="4">
        <v>46054</v>
      </c>
      <c r="D329" s="4">
        <v>46081</v>
      </c>
      <c r="E329" s="3" t="s">
        <v>205</v>
      </c>
      <c r="F329" s="3" t="s">
        <v>224</v>
      </c>
      <c r="G329" s="5">
        <v>3.0000000000000001E-3</v>
      </c>
      <c r="H329" s="6" t="s">
        <v>69</v>
      </c>
      <c r="I329" s="3" t="s">
        <v>45</v>
      </c>
    </row>
    <row r="330" spans="1:9" ht="48" customHeight="1">
      <c r="A330" s="3" t="s">
        <v>66</v>
      </c>
      <c r="B330" s="3" t="s">
        <v>65</v>
      </c>
      <c r="C330" s="4">
        <v>46054</v>
      </c>
      <c r="D330" s="4">
        <v>46081</v>
      </c>
      <c r="E330" s="3" t="s">
        <v>205</v>
      </c>
      <c r="F330" s="3" t="s">
        <v>218</v>
      </c>
      <c r="G330" s="5">
        <v>3.0000000000000001E-3</v>
      </c>
      <c r="H330" s="6" t="s">
        <v>69</v>
      </c>
      <c r="I330" s="3" t="s">
        <v>45</v>
      </c>
    </row>
    <row r="331" spans="1:9" ht="48" customHeight="1">
      <c r="A331" s="3" t="s">
        <v>66</v>
      </c>
      <c r="B331" s="3" t="s">
        <v>65</v>
      </c>
      <c r="C331" s="4">
        <v>46054</v>
      </c>
      <c r="D331" s="4">
        <v>46081</v>
      </c>
      <c r="E331" s="3" t="s">
        <v>205</v>
      </c>
      <c r="F331" s="3" t="s">
        <v>225</v>
      </c>
      <c r="G331" s="5">
        <v>3.0000000000000001E-3</v>
      </c>
      <c r="H331" s="6" t="s">
        <v>69</v>
      </c>
      <c r="I331" s="3" t="s">
        <v>45</v>
      </c>
    </row>
    <row r="332" spans="1:9" ht="48" customHeight="1">
      <c r="A332" s="3" t="s">
        <v>66</v>
      </c>
      <c r="B332" s="3" t="s">
        <v>65</v>
      </c>
      <c r="C332" s="4">
        <v>46054</v>
      </c>
      <c r="D332" s="4">
        <v>46081</v>
      </c>
      <c r="E332" s="3" t="s">
        <v>205</v>
      </c>
      <c r="F332" s="3" t="s">
        <v>221</v>
      </c>
      <c r="G332" s="5">
        <v>3.0000000000000001E-3</v>
      </c>
      <c r="H332" s="6" t="s">
        <v>69</v>
      </c>
      <c r="I332" s="3" t="s">
        <v>45</v>
      </c>
    </row>
    <row r="333" spans="1:9" ht="48" customHeight="1">
      <c r="A333" s="3" t="s">
        <v>66</v>
      </c>
      <c r="B333" s="3" t="s">
        <v>65</v>
      </c>
      <c r="C333" s="4">
        <v>46054</v>
      </c>
      <c r="D333" s="4">
        <v>46081</v>
      </c>
      <c r="E333" s="3" t="s">
        <v>205</v>
      </c>
      <c r="F333" s="3" t="s">
        <v>228</v>
      </c>
      <c r="G333" s="5">
        <v>3.0000000000000001E-3</v>
      </c>
      <c r="H333" s="6" t="s">
        <v>69</v>
      </c>
      <c r="I333" s="3" t="s">
        <v>45</v>
      </c>
    </row>
    <row r="334" spans="1:9" ht="48" customHeight="1">
      <c r="A334" s="3" t="s">
        <v>66</v>
      </c>
      <c r="B334" s="3" t="s">
        <v>65</v>
      </c>
      <c r="C334" s="4">
        <v>46054</v>
      </c>
      <c r="D334" s="4">
        <v>46081</v>
      </c>
      <c r="E334" s="3" t="s">
        <v>205</v>
      </c>
      <c r="F334" s="3" t="s">
        <v>229</v>
      </c>
      <c r="G334" s="5">
        <v>2E-3</v>
      </c>
      <c r="H334" s="6" t="s">
        <v>69</v>
      </c>
      <c r="I334" s="3" t="s">
        <v>45</v>
      </c>
    </row>
    <row r="335" spans="1:9" ht="48" customHeight="1">
      <c r="A335" s="3" t="s">
        <v>66</v>
      </c>
      <c r="B335" s="3" t="s">
        <v>65</v>
      </c>
      <c r="C335" s="4">
        <v>46054</v>
      </c>
      <c r="D335" s="4">
        <v>46081</v>
      </c>
      <c r="E335" s="3" t="s">
        <v>205</v>
      </c>
      <c r="F335" s="3" t="s">
        <v>223</v>
      </c>
      <c r="G335" s="5">
        <v>2E-3</v>
      </c>
      <c r="H335" s="6" t="s">
        <v>69</v>
      </c>
      <c r="I335" s="3" t="s">
        <v>45</v>
      </c>
    </row>
    <row r="336" spans="1:9" ht="48" customHeight="1">
      <c r="A336" s="3" t="s">
        <v>66</v>
      </c>
      <c r="B336" s="3" t="s">
        <v>65</v>
      </c>
      <c r="C336" s="4">
        <v>46054</v>
      </c>
      <c r="D336" s="4">
        <v>46081</v>
      </c>
      <c r="E336" s="3" t="s">
        <v>205</v>
      </c>
      <c r="F336" s="3" t="s">
        <v>226</v>
      </c>
      <c r="G336" s="5">
        <v>2E-3</v>
      </c>
      <c r="H336" s="6" t="s">
        <v>69</v>
      </c>
      <c r="I336" s="3" t="s">
        <v>45</v>
      </c>
    </row>
    <row r="337" spans="1:9" ht="48" customHeight="1">
      <c r="A337" s="3" t="s">
        <v>66</v>
      </c>
      <c r="B337" s="3" t="s">
        <v>65</v>
      </c>
      <c r="C337" s="4">
        <v>46054</v>
      </c>
      <c r="D337" s="4">
        <v>46081</v>
      </c>
      <c r="E337" s="3" t="s">
        <v>205</v>
      </c>
      <c r="F337" s="3" t="s">
        <v>227</v>
      </c>
      <c r="G337" s="5">
        <v>2E-3</v>
      </c>
      <c r="H337" s="6" t="s">
        <v>69</v>
      </c>
      <c r="I337" s="3" t="s">
        <v>45</v>
      </c>
    </row>
    <row r="338" spans="1:9" ht="48" customHeight="1">
      <c r="A338" s="3" t="s">
        <v>66</v>
      </c>
      <c r="B338" s="3" t="s">
        <v>65</v>
      </c>
      <c r="C338" s="4">
        <v>46054</v>
      </c>
      <c r="D338" s="4">
        <v>46081</v>
      </c>
      <c r="E338" s="3" t="s">
        <v>205</v>
      </c>
      <c r="F338" s="3" t="s">
        <v>230</v>
      </c>
      <c r="G338" s="5">
        <v>1E-3</v>
      </c>
      <c r="H338" s="6" t="s">
        <v>69</v>
      </c>
      <c r="I338" s="3" t="s">
        <v>45</v>
      </c>
    </row>
    <row r="339" spans="1:9" ht="48" customHeight="1">
      <c r="A339" s="3" t="s">
        <v>66</v>
      </c>
      <c r="B339" s="3" t="s">
        <v>65</v>
      </c>
      <c r="C339" s="4">
        <v>46054</v>
      </c>
      <c r="D339" s="4">
        <v>46081</v>
      </c>
      <c r="E339" s="3" t="s">
        <v>231</v>
      </c>
      <c r="F339" s="3" t="s">
        <v>232</v>
      </c>
      <c r="G339" s="5">
        <v>1.8000000000000002E-2</v>
      </c>
      <c r="H339" s="6" t="s">
        <v>69</v>
      </c>
      <c r="I339" s="3" t="s">
        <v>45</v>
      </c>
    </row>
    <row r="340" spans="1:9" ht="48" customHeight="1">
      <c r="A340" s="3" t="s">
        <v>66</v>
      </c>
      <c r="B340" s="3" t="s">
        <v>65</v>
      </c>
      <c r="C340" s="4">
        <v>46054</v>
      </c>
      <c r="D340" s="4">
        <v>46081</v>
      </c>
      <c r="E340" s="3" t="s">
        <v>231</v>
      </c>
      <c r="F340" s="3" t="s">
        <v>233</v>
      </c>
      <c r="G340" s="5">
        <v>1.7000000000000001E-2</v>
      </c>
      <c r="H340" s="6" t="s">
        <v>69</v>
      </c>
      <c r="I340" s="3" t="s">
        <v>45</v>
      </c>
    </row>
    <row r="341" spans="1:9" ht="48" customHeight="1">
      <c r="A341" s="3" t="s">
        <v>66</v>
      </c>
      <c r="B341" s="3" t="s">
        <v>65</v>
      </c>
      <c r="C341" s="4">
        <v>46054</v>
      </c>
      <c r="D341" s="4">
        <v>46081</v>
      </c>
      <c r="E341" s="3" t="s">
        <v>231</v>
      </c>
      <c r="F341" s="3" t="s">
        <v>230</v>
      </c>
      <c r="G341" s="5">
        <v>9.0000000000000011E-3</v>
      </c>
      <c r="H341" s="6" t="s">
        <v>69</v>
      </c>
      <c r="I341" s="3" t="s">
        <v>45</v>
      </c>
    </row>
    <row r="342" spans="1:9" ht="48" customHeight="1">
      <c r="A342" s="3" t="s">
        <v>66</v>
      </c>
      <c r="B342" s="3" t="s">
        <v>65</v>
      </c>
      <c r="C342" s="4">
        <v>46054</v>
      </c>
      <c r="D342" s="4">
        <v>46081</v>
      </c>
      <c r="E342" s="3" t="s">
        <v>231</v>
      </c>
      <c r="F342" s="3" t="s">
        <v>234</v>
      </c>
      <c r="G342" s="5">
        <v>6.9999999999999993E-3</v>
      </c>
      <c r="H342" s="6" t="s">
        <v>69</v>
      </c>
      <c r="I342" s="3" t="s">
        <v>45</v>
      </c>
    </row>
    <row r="343" spans="1:9" ht="48" customHeight="1">
      <c r="A343" s="3" t="s">
        <v>66</v>
      </c>
      <c r="B343" s="3" t="s">
        <v>65</v>
      </c>
      <c r="C343" s="4">
        <v>46054</v>
      </c>
      <c r="D343" s="4">
        <v>46081</v>
      </c>
      <c r="E343" s="3" t="s">
        <v>231</v>
      </c>
      <c r="F343" s="3" t="s">
        <v>235</v>
      </c>
      <c r="G343" s="5">
        <v>5.0000000000000001E-3</v>
      </c>
      <c r="H343" s="6" t="s">
        <v>69</v>
      </c>
      <c r="I343" s="3" t="s">
        <v>45</v>
      </c>
    </row>
    <row r="344" spans="1:9" ht="48" customHeight="1">
      <c r="A344" s="3" t="s">
        <v>66</v>
      </c>
      <c r="B344" s="3" t="s">
        <v>65</v>
      </c>
      <c r="C344" s="4">
        <v>46054</v>
      </c>
      <c r="D344" s="4">
        <v>46081</v>
      </c>
      <c r="E344" s="3" t="s">
        <v>236</v>
      </c>
      <c r="F344" s="3" t="s">
        <v>232</v>
      </c>
      <c r="G344" s="5">
        <v>0.01</v>
      </c>
      <c r="H344" s="6" t="s">
        <v>69</v>
      </c>
      <c r="I344" s="3" t="s">
        <v>45</v>
      </c>
    </row>
    <row r="345" spans="1:9" ht="48" customHeight="1">
      <c r="A345" s="3" t="s">
        <v>66</v>
      </c>
      <c r="B345" s="3" t="s">
        <v>65</v>
      </c>
      <c r="C345" s="4">
        <v>46054</v>
      </c>
      <c r="D345" s="4">
        <v>46081</v>
      </c>
      <c r="E345" s="3" t="s">
        <v>236</v>
      </c>
      <c r="F345" s="3" t="s">
        <v>237</v>
      </c>
      <c r="G345" s="5">
        <v>6.9999999999999993E-3</v>
      </c>
      <c r="H345" s="6" t="s">
        <v>69</v>
      </c>
      <c r="I345" s="3" t="s">
        <v>45</v>
      </c>
    </row>
    <row r="346" spans="1:9" ht="48" customHeight="1">
      <c r="A346" s="3" t="s">
        <v>66</v>
      </c>
      <c r="B346" s="3" t="s">
        <v>65</v>
      </c>
      <c r="C346" s="4">
        <v>46054</v>
      </c>
      <c r="D346" s="4">
        <v>46081</v>
      </c>
      <c r="E346" s="3" t="s">
        <v>236</v>
      </c>
      <c r="F346" s="3" t="s">
        <v>238</v>
      </c>
      <c r="G346" s="5">
        <v>6.9999999999999993E-3</v>
      </c>
      <c r="H346" s="6" t="s">
        <v>69</v>
      </c>
      <c r="I346" s="3" t="s">
        <v>45</v>
      </c>
    </row>
    <row r="347" spans="1:9" ht="48" customHeight="1">
      <c r="A347" s="3" t="s">
        <v>66</v>
      </c>
      <c r="B347" s="3" t="s">
        <v>65</v>
      </c>
      <c r="C347" s="4">
        <v>46054</v>
      </c>
      <c r="D347" s="4">
        <v>46081</v>
      </c>
      <c r="E347" s="3" t="s">
        <v>236</v>
      </c>
      <c r="F347" s="3" t="s">
        <v>239</v>
      </c>
      <c r="G347" s="5">
        <v>6.9999999999999993E-3</v>
      </c>
      <c r="H347" s="6" t="s">
        <v>69</v>
      </c>
      <c r="I347" s="3" t="s">
        <v>45</v>
      </c>
    </row>
    <row r="348" spans="1:9" ht="48" customHeight="1">
      <c r="A348" s="3" t="s">
        <v>66</v>
      </c>
      <c r="B348" s="3" t="s">
        <v>65</v>
      </c>
      <c r="C348" s="4">
        <v>46054</v>
      </c>
      <c r="D348" s="4">
        <v>46081</v>
      </c>
      <c r="E348" s="3" t="s">
        <v>236</v>
      </c>
      <c r="F348" s="3" t="s">
        <v>240</v>
      </c>
      <c r="G348" s="5">
        <v>6.0000000000000001E-3</v>
      </c>
      <c r="H348" s="6" t="s">
        <v>69</v>
      </c>
      <c r="I348" s="3" t="s">
        <v>45</v>
      </c>
    </row>
    <row r="349" spans="1:9" ht="48" customHeight="1">
      <c r="A349" s="3" t="s">
        <v>66</v>
      </c>
      <c r="B349" s="3" t="s">
        <v>65</v>
      </c>
      <c r="C349" s="4">
        <v>46054</v>
      </c>
      <c r="D349" s="4">
        <v>46081</v>
      </c>
      <c r="E349" s="3" t="s">
        <v>236</v>
      </c>
      <c r="F349" s="3" t="s">
        <v>241</v>
      </c>
      <c r="G349" s="5">
        <v>4.0000000000000001E-3</v>
      </c>
      <c r="H349" s="6" t="s">
        <v>69</v>
      </c>
      <c r="I349" s="3" t="s">
        <v>45</v>
      </c>
    </row>
    <row r="350" spans="1:9" ht="48" customHeight="1">
      <c r="A350" s="3" t="s">
        <v>66</v>
      </c>
      <c r="B350" s="3" t="s">
        <v>65</v>
      </c>
      <c r="C350" s="4">
        <v>46054</v>
      </c>
      <c r="D350" s="4">
        <v>46081</v>
      </c>
      <c r="E350" s="3" t="s">
        <v>236</v>
      </c>
      <c r="F350" s="3" t="s">
        <v>230</v>
      </c>
      <c r="G350" s="5">
        <v>3.0000000000000001E-3</v>
      </c>
      <c r="H350" s="6" t="s">
        <v>69</v>
      </c>
      <c r="I350" s="3" t="s">
        <v>45</v>
      </c>
    </row>
    <row r="351" spans="1:9" ht="48" customHeight="1">
      <c r="A351" s="3" t="s">
        <v>66</v>
      </c>
      <c r="B351" s="3" t="s">
        <v>65</v>
      </c>
      <c r="C351" s="4">
        <v>46054</v>
      </c>
      <c r="D351" s="4">
        <v>46081</v>
      </c>
      <c r="E351" s="3" t="s">
        <v>236</v>
      </c>
      <c r="F351" s="3" t="s">
        <v>234</v>
      </c>
      <c r="G351" s="5">
        <v>1E-3</v>
      </c>
      <c r="H351" s="6" t="s">
        <v>69</v>
      </c>
      <c r="I351" s="3" t="s">
        <v>45</v>
      </c>
    </row>
    <row r="352" spans="1:9" ht="48" customHeight="1">
      <c r="A352" s="3" t="s">
        <v>66</v>
      </c>
      <c r="B352" s="3" t="s">
        <v>65</v>
      </c>
      <c r="C352" s="4">
        <v>46054</v>
      </c>
      <c r="D352" s="4">
        <v>46081</v>
      </c>
      <c r="E352" s="3" t="s">
        <v>236</v>
      </c>
      <c r="F352" s="3" t="s">
        <v>242</v>
      </c>
      <c r="G352" s="5">
        <v>1E-3</v>
      </c>
      <c r="H352" s="6" t="s">
        <v>69</v>
      </c>
      <c r="I352" s="3" t="s">
        <v>45</v>
      </c>
    </row>
    <row r="353" spans="1:9" ht="48" customHeight="1">
      <c r="A353" s="3" t="s">
        <v>66</v>
      </c>
      <c r="B353" s="3" t="s">
        <v>65</v>
      </c>
      <c r="C353" s="4">
        <v>46054</v>
      </c>
      <c r="D353" s="4">
        <v>46081</v>
      </c>
      <c r="E353" s="3" t="s">
        <v>236</v>
      </c>
      <c r="F353" s="3" t="s">
        <v>243</v>
      </c>
      <c r="G353" s="5">
        <v>0</v>
      </c>
      <c r="H353" s="6" t="s">
        <v>69</v>
      </c>
      <c r="I353" s="3" t="s">
        <v>45</v>
      </c>
    </row>
    <row r="354" spans="1:9" ht="48" customHeight="1">
      <c r="A354" s="3" t="s">
        <v>66</v>
      </c>
      <c r="B354" s="3" t="s">
        <v>65</v>
      </c>
      <c r="C354" s="4">
        <v>46054</v>
      </c>
      <c r="D354" s="4">
        <v>46081</v>
      </c>
      <c r="E354" s="3" t="s">
        <v>244</v>
      </c>
      <c r="F354" s="3" t="s">
        <v>245</v>
      </c>
      <c r="G354" s="5">
        <v>6.9999999999999993E-3</v>
      </c>
      <c r="H354" s="6" t="s">
        <v>69</v>
      </c>
      <c r="I354" s="3" t="s">
        <v>45</v>
      </c>
    </row>
    <row r="355" spans="1:9" ht="48" customHeight="1">
      <c r="A355" s="3" t="s">
        <v>66</v>
      </c>
      <c r="B355" s="3" t="s">
        <v>65</v>
      </c>
      <c r="C355" s="4">
        <v>46054</v>
      </c>
      <c r="D355" s="4">
        <v>46081</v>
      </c>
      <c r="E355" s="3" t="s">
        <v>244</v>
      </c>
      <c r="F355" s="3" t="s">
        <v>247</v>
      </c>
      <c r="G355" s="5">
        <v>4.0000000000000001E-3</v>
      </c>
      <c r="H355" s="6" t="s">
        <v>69</v>
      </c>
      <c r="I355" s="3" t="s">
        <v>45</v>
      </c>
    </row>
    <row r="356" spans="1:9" ht="48" customHeight="1">
      <c r="A356" s="3" t="s">
        <v>66</v>
      </c>
      <c r="B356" s="3" t="s">
        <v>65</v>
      </c>
      <c r="C356" s="4">
        <v>46054</v>
      </c>
      <c r="D356" s="4">
        <v>46081</v>
      </c>
      <c r="E356" s="3" t="s">
        <v>244</v>
      </c>
      <c r="F356" s="3" t="s">
        <v>246</v>
      </c>
      <c r="G356" s="5">
        <v>4.0000000000000001E-3</v>
      </c>
      <c r="H356" s="6" t="s">
        <v>69</v>
      </c>
      <c r="I356" s="3" t="s">
        <v>45</v>
      </c>
    </row>
    <row r="357" spans="1:9" ht="48" customHeight="1">
      <c r="A357" s="3" t="s">
        <v>66</v>
      </c>
      <c r="B357" s="3" t="s">
        <v>65</v>
      </c>
      <c r="C357" s="4">
        <v>46054</v>
      </c>
      <c r="D357" s="4">
        <v>46081</v>
      </c>
      <c r="E357" s="3" t="s">
        <v>244</v>
      </c>
      <c r="F357" s="3" t="s">
        <v>248</v>
      </c>
      <c r="G357" s="5">
        <v>3.0000000000000001E-3</v>
      </c>
      <c r="H357" s="6" t="s">
        <v>69</v>
      </c>
      <c r="I357" s="3" t="s">
        <v>45</v>
      </c>
    </row>
    <row r="358" spans="1:9" ht="48" customHeight="1">
      <c r="A358" s="3" t="s">
        <v>66</v>
      </c>
      <c r="B358" s="3" t="s">
        <v>65</v>
      </c>
      <c r="C358" s="4">
        <v>46054</v>
      </c>
      <c r="D358" s="4">
        <v>46081</v>
      </c>
      <c r="E358" s="3" t="s">
        <v>244</v>
      </c>
      <c r="F358" s="3" t="s">
        <v>250</v>
      </c>
      <c r="G358" s="5">
        <v>1E-3</v>
      </c>
      <c r="H358" s="6" t="s">
        <v>69</v>
      </c>
      <c r="I358" s="3" t="s">
        <v>45</v>
      </c>
    </row>
    <row r="359" spans="1:9" ht="48" customHeight="1">
      <c r="A359" s="3" t="s">
        <v>66</v>
      </c>
      <c r="B359" s="3" t="s">
        <v>65</v>
      </c>
      <c r="C359" s="4">
        <v>46054</v>
      </c>
      <c r="D359" s="4">
        <v>46081</v>
      </c>
      <c r="E359" s="3" t="s">
        <v>244</v>
      </c>
      <c r="F359" s="3" t="s">
        <v>252</v>
      </c>
      <c r="G359" s="5">
        <v>1E-3</v>
      </c>
      <c r="H359" s="6" t="s">
        <v>69</v>
      </c>
      <c r="I359" s="3" t="s">
        <v>45</v>
      </c>
    </row>
    <row r="360" spans="1:9" ht="48" customHeight="1">
      <c r="A360" s="3" t="s">
        <v>66</v>
      </c>
      <c r="B360" s="3" t="s">
        <v>65</v>
      </c>
      <c r="C360" s="4">
        <v>46054</v>
      </c>
      <c r="D360" s="4">
        <v>46081</v>
      </c>
      <c r="E360" s="3" t="s">
        <v>244</v>
      </c>
      <c r="F360" s="3" t="s">
        <v>249</v>
      </c>
      <c r="G360" s="5">
        <v>1E-3</v>
      </c>
      <c r="H360" s="6" t="s">
        <v>69</v>
      </c>
      <c r="I360" s="3" t="s">
        <v>45</v>
      </c>
    </row>
    <row r="361" spans="1:9" ht="48" customHeight="1">
      <c r="A361" s="3" t="s">
        <v>66</v>
      </c>
      <c r="B361" s="3" t="s">
        <v>65</v>
      </c>
      <c r="C361" s="4">
        <v>46054</v>
      </c>
      <c r="D361" s="4">
        <v>46081</v>
      </c>
      <c r="E361" s="3" t="s">
        <v>244</v>
      </c>
      <c r="F361" s="3" t="s">
        <v>253</v>
      </c>
      <c r="G361" s="5">
        <v>1E-3</v>
      </c>
      <c r="H361" s="6" t="s">
        <v>69</v>
      </c>
      <c r="I361" s="3" t="s">
        <v>45</v>
      </c>
    </row>
    <row r="362" spans="1:9" ht="48" customHeight="1">
      <c r="A362" s="3" t="s">
        <v>66</v>
      </c>
      <c r="B362" s="3" t="s">
        <v>65</v>
      </c>
      <c r="C362" s="4">
        <v>46054</v>
      </c>
      <c r="D362" s="4">
        <v>46081</v>
      </c>
      <c r="E362" s="3" t="s">
        <v>244</v>
      </c>
      <c r="F362" s="3" t="s">
        <v>254</v>
      </c>
      <c r="G362" s="5">
        <v>1E-3</v>
      </c>
      <c r="H362" s="6" t="s">
        <v>69</v>
      </c>
      <c r="I362" s="3" t="s">
        <v>45</v>
      </c>
    </row>
    <row r="363" spans="1:9" ht="48" customHeight="1">
      <c r="A363" s="3" t="s">
        <v>66</v>
      </c>
      <c r="B363" s="3" t="s">
        <v>65</v>
      </c>
      <c r="C363" s="4">
        <v>46054</v>
      </c>
      <c r="D363" s="4">
        <v>46081</v>
      </c>
      <c r="E363" s="3" t="s">
        <v>244</v>
      </c>
      <c r="F363" s="3" t="s">
        <v>251</v>
      </c>
      <c r="G363" s="5">
        <v>0</v>
      </c>
      <c r="H363" s="6" t="s">
        <v>69</v>
      </c>
      <c r="I363" s="3" t="s">
        <v>45</v>
      </c>
    </row>
    <row r="364" spans="1:9" ht="48" customHeight="1">
      <c r="A364" s="3" t="s">
        <v>66</v>
      </c>
      <c r="B364" s="3" t="s">
        <v>65</v>
      </c>
      <c r="C364" s="4">
        <v>46054</v>
      </c>
      <c r="D364" s="4">
        <v>46081</v>
      </c>
      <c r="E364" s="3" t="s">
        <v>244</v>
      </c>
      <c r="F364" s="3" t="s">
        <v>255</v>
      </c>
      <c r="G364" s="5">
        <v>0</v>
      </c>
      <c r="H364" s="6" t="s">
        <v>69</v>
      </c>
      <c r="I364" s="3" t="s">
        <v>45</v>
      </c>
    </row>
    <row r="365" spans="1:9" ht="48" customHeight="1">
      <c r="A365" s="3" t="s">
        <v>66</v>
      </c>
      <c r="B365" s="3" t="s">
        <v>65</v>
      </c>
      <c r="C365" s="4">
        <v>46054</v>
      </c>
      <c r="D365" s="4">
        <v>46081</v>
      </c>
      <c r="E365" s="3" t="s">
        <v>244</v>
      </c>
      <c r="F365" s="3" t="s">
        <v>256</v>
      </c>
      <c r="G365" s="5">
        <v>0</v>
      </c>
      <c r="H365" s="6" t="s">
        <v>69</v>
      </c>
      <c r="I365" s="3" t="s">
        <v>45</v>
      </c>
    </row>
    <row r="366" spans="1:9" ht="48" customHeight="1">
      <c r="A366" s="3" t="s">
        <v>66</v>
      </c>
      <c r="B366" s="3" t="s">
        <v>65</v>
      </c>
      <c r="C366" s="4">
        <v>46054</v>
      </c>
      <c r="D366" s="4">
        <v>46081</v>
      </c>
      <c r="E366" s="3" t="s">
        <v>244</v>
      </c>
      <c r="F366" s="3" t="s">
        <v>257</v>
      </c>
      <c r="G366" s="5">
        <v>0</v>
      </c>
      <c r="H366" s="6" t="s">
        <v>69</v>
      </c>
      <c r="I366" s="3" t="s">
        <v>45</v>
      </c>
    </row>
    <row r="367" spans="1:9" ht="48" customHeight="1">
      <c r="A367" s="3" t="s">
        <v>66</v>
      </c>
      <c r="B367" s="3" t="s">
        <v>65</v>
      </c>
      <c r="C367" s="4">
        <v>46054</v>
      </c>
      <c r="D367" s="4">
        <v>46081</v>
      </c>
      <c r="E367" s="3" t="s">
        <v>244</v>
      </c>
      <c r="F367" s="3" t="s">
        <v>258</v>
      </c>
      <c r="G367" s="5">
        <v>0</v>
      </c>
      <c r="H367" s="6" t="s">
        <v>69</v>
      </c>
      <c r="I367" s="3" t="s">
        <v>45</v>
      </c>
    </row>
    <row r="368" spans="1:9" ht="48" customHeight="1">
      <c r="A368" s="3" t="s">
        <v>66</v>
      </c>
      <c r="B368" s="3" t="s">
        <v>65</v>
      </c>
      <c r="C368" s="4">
        <v>46054</v>
      </c>
      <c r="D368" s="4">
        <v>46081</v>
      </c>
      <c r="E368" s="3" t="s">
        <v>244</v>
      </c>
      <c r="F368" s="3" t="s">
        <v>259</v>
      </c>
      <c r="G368" s="5">
        <v>0</v>
      </c>
      <c r="H368" s="6" t="s">
        <v>69</v>
      </c>
      <c r="I368" s="3" t="s">
        <v>45</v>
      </c>
    </row>
    <row r="369" spans="1:9" ht="48" customHeight="1">
      <c r="A369" s="3" t="s">
        <v>66</v>
      </c>
      <c r="B369" s="3" t="s">
        <v>65</v>
      </c>
      <c r="C369" s="4">
        <v>46054</v>
      </c>
      <c r="D369" s="4">
        <v>46081</v>
      </c>
      <c r="E369" s="3" t="s">
        <v>286</v>
      </c>
      <c r="F369" s="3" t="s">
        <v>287</v>
      </c>
      <c r="G369" s="5">
        <v>5.0000000000000001E-3</v>
      </c>
      <c r="H369" s="6" t="s">
        <v>69</v>
      </c>
      <c r="I369" s="3" t="s">
        <v>45</v>
      </c>
    </row>
    <row r="370" spans="1:9" ht="48" customHeight="1">
      <c r="A370" s="3" t="s">
        <v>66</v>
      </c>
      <c r="B370" s="3" t="s">
        <v>65</v>
      </c>
      <c r="C370" s="4">
        <v>46054</v>
      </c>
      <c r="D370" s="4">
        <v>46081</v>
      </c>
      <c r="E370" s="3" t="s">
        <v>286</v>
      </c>
      <c r="F370" s="3" t="s">
        <v>288</v>
      </c>
      <c r="G370" s="5">
        <v>3.0000000000000001E-3</v>
      </c>
      <c r="H370" s="6" t="s">
        <v>69</v>
      </c>
      <c r="I370" s="3" t="s">
        <v>45</v>
      </c>
    </row>
    <row r="371" spans="1:9" ht="48" customHeight="1">
      <c r="A371" s="3" t="s">
        <v>66</v>
      </c>
      <c r="B371" s="3" t="s">
        <v>65</v>
      </c>
      <c r="C371" s="4">
        <v>46054</v>
      </c>
      <c r="D371" s="4">
        <v>46081</v>
      </c>
      <c r="E371" s="3" t="s">
        <v>286</v>
      </c>
      <c r="F371" s="3" t="s">
        <v>289</v>
      </c>
      <c r="G371" s="5">
        <v>3.0000000000000001E-3</v>
      </c>
      <c r="H371" s="6" t="s">
        <v>69</v>
      </c>
      <c r="I371" s="3" t="s">
        <v>45</v>
      </c>
    </row>
    <row r="372" spans="1:9" ht="48" customHeight="1">
      <c r="A372" s="3" t="s">
        <v>66</v>
      </c>
      <c r="B372" s="3" t="s">
        <v>65</v>
      </c>
      <c r="C372" s="4">
        <v>46054</v>
      </c>
      <c r="D372" s="4">
        <v>46081</v>
      </c>
      <c r="E372" s="3" t="s">
        <v>286</v>
      </c>
      <c r="F372" s="3" t="s">
        <v>291</v>
      </c>
      <c r="G372" s="5">
        <v>3.0000000000000001E-3</v>
      </c>
      <c r="H372" s="6" t="s">
        <v>69</v>
      </c>
      <c r="I372" s="3" t="s">
        <v>45</v>
      </c>
    </row>
    <row r="373" spans="1:9" ht="48" customHeight="1">
      <c r="A373" s="3" t="s">
        <v>66</v>
      </c>
      <c r="B373" s="3" t="s">
        <v>65</v>
      </c>
      <c r="C373" s="4">
        <v>46054</v>
      </c>
      <c r="D373" s="4">
        <v>46081</v>
      </c>
      <c r="E373" s="3" t="s">
        <v>286</v>
      </c>
      <c r="F373" s="3" t="s">
        <v>290</v>
      </c>
      <c r="G373" s="5">
        <v>2E-3</v>
      </c>
      <c r="H373" s="6" t="s">
        <v>69</v>
      </c>
      <c r="I373" s="3" t="s">
        <v>45</v>
      </c>
    </row>
    <row r="374" spans="1:9" ht="48" customHeight="1">
      <c r="A374" s="3" t="s">
        <v>66</v>
      </c>
      <c r="B374" s="3" t="s">
        <v>65</v>
      </c>
      <c r="C374" s="4">
        <v>46054</v>
      </c>
      <c r="D374" s="4">
        <v>46081</v>
      </c>
      <c r="E374" s="3" t="s">
        <v>286</v>
      </c>
      <c r="F374" s="3" t="s">
        <v>297</v>
      </c>
      <c r="G374" s="5">
        <v>2E-3</v>
      </c>
      <c r="H374" s="6" t="s">
        <v>69</v>
      </c>
      <c r="I374" s="3" t="s">
        <v>45</v>
      </c>
    </row>
    <row r="375" spans="1:9" ht="48" customHeight="1">
      <c r="A375" s="3" t="s">
        <v>66</v>
      </c>
      <c r="B375" s="3" t="s">
        <v>65</v>
      </c>
      <c r="C375" s="4">
        <v>46054</v>
      </c>
      <c r="D375" s="4">
        <v>46081</v>
      </c>
      <c r="E375" s="3" t="s">
        <v>286</v>
      </c>
      <c r="F375" s="3" t="s">
        <v>292</v>
      </c>
      <c r="G375" s="5">
        <v>2E-3</v>
      </c>
      <c r="H375" s="6" t="s">
        <v>69</v>
      </c>
      <c r="I375" s="3" t="s">
        <v>45</v>
      </c>
    </row>
    <row r="376" spans="1:9" ht="48" customHeight="1">
      <c r="A376" s="3" t="s">
        <v>66</v>
      </c>
      <c r="B376" s="3" t="s">
        <v>65</v>
      </c>
      <c r="C376" s="4">
        <v>46054</v>
      </c>
      <c r="D376" s="4">
        <v>46081</v>
      </c>
      <c r="E376" s="3" t="s">
        <v>286</v>
      </c>
      <c r="F376" s="3" t="s">
        <v>293</v>
      </c>
      <c r="G376" s="5">
        <v>1E-3</v>
      </c>
      <c r="H376" s="6" t="s">
        <v>69</v>
      </c>
      <c r="I376" s="3" t="s">
        <v>45</v>
      </c>
    </row>
    <row r="377" spans="1:9" ht="48" customHeight="1">
      <c r="A377" s="3" t="s">
        <v>66</v>
      </c>
      <c r="B377" s="3" t="s">
        <v>65</v>
      </c>
      <c r="C377" s="4">
        <v>46054</v>
      </c>
      <c r="D377" s="4">
        <v>46081</v>
      </c>
      <c r="E377" s="3" t="s">
        <v>286</v>
      </c>
      <c r="F377" s="3" t="s">
        <v>295</v>
      </c>
      <c r="G377" s="5">
        <v>1E-3</v>
      </c>
      <c r="H377" s="6" t="s">
        <v>69</v>
      </c>
      <c r="I377" s="3" t="s">
        <v>45</v>
      </c>
    </row>
    <row r="378" spans="1:9" ht="48" customHeight="1">
      <c r="A378" s="3" t="s">
        <v>66</v>
      </c>
      <c r="B378" s="3" t="s">
        <v>65</v>
      </c>
      <c r="C378" s="4">
        <v>46054</v>
      </c>
      <c r="D378" s="4">
        <v>46081</v>
      </c>
      <c r="E378" s="3" t="s">
        <v>286</v>
      </c>
      <c r="F378" s="3" t="s">
        <v>296</v>
      </c>
      <c r="G378" s="5">
        <v>1E-3</v>
      </c>
      <c r="H378" s="6" t="s">
        <v>69</v>
      </c>
      <c r="I378" s="3" t="s">
        <v>45</v>
      </c>
    </row>
    <row r="379" spans="1:9" ht="48" customHeight="1">
      <c r="A379" s="3" t="s">
        <v>66</v>
      </c>
      <c r="B379" s="3" t="s">
        <v>65</v>
      </c>
      <c r="C379" s="4">
        <v>46054</v>
      </c>
      <c r="D379" s="4">
        <v>46081</v>
      </c>
      <c r="E379" s="3" t="s">
        <v>286</v>
      </c>
      <c r="F379" s="3" t="s">
        <v>298</v>
      </c>
      <c r="G379" s="5">
        <v>1E-3</v>
      </c>
      <c r="H379" s="6" t="s">
        <v>69</v>
      </c>
      <c r="I379" s="3" t="s">
        <v>45</v>
      </c>
    </row>
    <row r="380" spans="1:9" ht="48" customHeight="1">
      <c r="A380" s="3" t="s">
        <v>66</v>
      </c>
      <c r="B380" s="3" t="s">
        <v>65</v>
      </c>
      <c r="C380" s="4">
        <v>46054</v>
      </c>
      <c r="D380" s="4">
        <v>46081</v>
      </c>
      <c r="E380" s="3" t="s">
        <v>286</v>
      </c>
      <c r="F380" s="3" t="s">
        <v>294</v>
      </c>
      <c r="G380" s="5">
        <v>0</v>
      </c>
      <c r="H380" s="6" t="s">
        <v>69</v>
      </c>
      <c r="I380" s="3" t="s">
        <v>45</v>
      </c>
    </row>
    <row r="381" spans="1:9" ht="48" customHeight="1">
      <c r="A381" s="3" t="s">
        <v>66</v>
      </c>
      <c r="B381" s="3" t="s">
        <v>65</v>
      </c>
      <c r="C381" s="4">
        <v>46054</v>
      </c>
      <c r="D381" s="4">
        <v>46081</v>
      </c>
      <c r="E381" s="3" t="s">
        <v>286</v>
      </c>
      <c r="F381" s="3" t="s">
        <v>299</v>
      </c>
      <c r="G381" s="5">
        <v>0</v>
      </c>
      <c r="H381" s="6" t="s">
        <v>69</v>
      </c>
      <c r="I381" s="3" t="s">
        <v>45</v>
      </c>
    </row>
    <row r="382" spans="1:9" ht="48" customHeight="1">
      <c r="A382" s="3" t="s">
        <v>66</v>
      </c>
      <c r="B382" s="3" t="s">
        <v>65</v>
      </c>
      <c r="C382" s="4">
        <v>46054</v>
      </c>
      <c r="D382" s="4">
        <v>46081</v>
      </c>
      <c r="E382" s="3" t="s">
        <v>286</v>
      </c>
      <c r="F382" s="3" t="s">
        <v>300</v>
      </c>
      <c r="G382" s="5">
        <v>0</v>
      </c>
      <c r="H382" s="6" t="s">
        <v>69</v>
      </c>
      <c r="I382" s="3" t="s">
        <v>45</v>
      </c>
    </row>
    <row r="383" spans="1:9" ht="48" customHeight="1">
      <c r="A383" s="3" t="s">
        <v>66</v>
      </c>
      <c r="B383" s="3" t="s">
        <v>65</v>
      </c>
      <c r="C383" s="4">
        <v>46054</v>
      </c>
      <c r="D383" s="4">
        <v>46081</v>
      </c>
      <c r="E383" s="3" t="s">
        <v>260</v>
      </c>
      <c r="F383" s="3" t="s">
        <v>262</v>
      </c>
      <c r="G383" s="5">
        <v>3.0000000000000001E-3</v>
      </c>
      <c r="H383" s="6" t="s">
        <v>69</v>
      </c>
      <c r="I383" s="3" t="s">
        <v>45</v>
      </c>
    </row>
    <row r="384" spans="1:9" ht="48" customHeight="1">
      <c r="A384" s="3" t="s">
        <v>66</v>
      </c>
      <c r="B384" s="3" t="s">
        <v>65</v>
      </c>
      <c r="C384" s="4">
        <v>46054</v>
      </c>
      <c r="D384" s="4">
        <v>46081</v>
      </c>
      <c r="E384" s="3" t="s">
        <v>260</v>
      </c>
      <c r="F384" s="3" t="s">
        <v>261</v>
      </c>
      <c r="G384" s="5">
        <v>3.0000000000000001E-3</v>
      </c>
      <c r="H384" s="6" t="s">
        <v>69</v>
      </c>
      <c r="I384" s="3" t="s">
        <v>45</v>
      </c>
    </row>
    <row r="385" spans="1:9" ht="48" customHeight="1">
      <c r="A385" s="3" t="s">
        <v>66</v>
      </c>
      <c r="B385" s="3" t="s">
        <v>65</v>
      </c>
      <c r="C385" s="4">
        <v>46054</v>
      </c>
      <c r="D385" s="4">
        <v>46081</v>
      </c>
      <c r="E385" s="3" t="s">
        <v>260</v>
      </c>
      <c r="F385" s="3" t="s">
        <v>232</v>
      </c>
      <c r="G385" s="5">
        <v>2E-3</v>
      </c>
      <c r="H385" s="6" t="s">
        <v>69</v>
      </c>
      <c r="I385" s="3" t="s">
        <v>45</v>
      </c>
    </row>
    <row r="386" spans="1:9" ht="48" customHeight="1">
      <c r="A386" s="3" t="s">
        <v>66</v>
      </c>
      <c r="B386" s="3" t="s">
        <v>65</v>
      </c>
      <c r="C386" s="4">
        <v>46054</v>
      </c>
      <c r="D386" s="4">
        <v>46081</v>
      </c>
      <c r="E386" s="3" t="s">
        <v>260</v>
      </c>
      <c r="F386" s="3" t="s">
        <v>265</v>
      </c>
      <c r="G386" s="5">
        <v>2E-3</v>
      </c>
      <c r="H386" s="6" t="s">
        <v>69</v>
      </c>
      <c r="I386" s="3" t="s">
        <v>45</v>
      </c>
    </row>
    <row r="387" spans="1:9" ht="48" customHeight="1">
      <c r="A387" s="3" t="s">
        <v>66</v>
      </c>
      <c r="B387" s="3" t="s">
        <v>65</v>
      </c>
      <c r="C387" s="4">
        <v>46054</v>
      </c>
      <c r="D387" s="4">
        <v>46081</v>
      </c>
      <c r="E387" s="3" t="s">
        <v>260</v>
      </c>
      <c r="F387" s="3" t="s">
        <v>263</v>
      </c>
      <c r="G387" s="5">
        <v>2E-3</v>
      </c>
      <c r="H387" s="6" t="s">
        <v>69</v>
      </c>
      <c r="I387" s="3" t="s">
        <v>45</v>
      </c>
    </row>
    <row r="388" spans="1:9" ht="48" customHeight="1">
      <c r="A388" s="3" t="s">
        <v>66</v>
      </c>
      <c r="B388" s="3" t="s">
        <v>65</v>
      </c>
      <c r="C388" s="4">
        <v>46054</v>
      </c>
      <c r="D388" s="4">
        <v>46081</v>
      </c>
      <c r="E388" s="3" t="s">
        <v>260</v>
      </c>
      <c r="F388" s="3" t="s">
        <v>234</v>
      </c>
      <c r="G388" s="5">
        <v>1E-3</v>
      </c>
      <c r="H388" s="6" t="s">
        <v>69</v>
      </c>
      <c r="I388" s="3" t="s">
        <v>45</v>
      </c>
    </row>
    <row r="389" spans="1:9" ht="48" customHeight="1">
      <c r="A389" s="3" t="s">
        <v>66</v>
      </c>
      <c r="B389" s="3" t="s">
        <v>65</v>
      </c>
      <c r="C389" s="4">
        <v>46054</v>
      </c>
      <c r="D389" s="4">
        <v>46081</v>
      </c>
      <c r="E389" s="3" t="s">
        <v>260</v>
      </c>
      <c r="F389" s="3" t="s">
        <v>266</v>
      </c>
      <c r="G389" s="5">
        <v>1E-3</v>
      </c>
      <c r="H389" s="6" t="s">
        <v>69</v>
      </c>
      <c r="I389" s="3" t="s">
        <v>45</v>
      </c>
    </row>
    <row r="390" spans="1:9" ht="48" customHeight="1">
      <c r="A390" s="3" t="s">
        <v>66</v>
      </c>
      <c r="B390" s="3" t="s">
        <v>65</v>
      </c>
      <c r="C390" s="4">
        <v>46054</v>
      </c>
      <c r="D390" s="4">
        <v>46081</v>
      </c>
      <c r="E390" s="3" t="s">
        <v>260</v>
      </c>
      <c r="F390" s="3" t="s">
        <v>264</v>
      </c>
      <c r="G390" s="5">
        <v>1E-3</v>
      </c>
      <c r="H390" s="6" t="s">
        <v>69</v>
      </c>
      <c r="I390" s="3" t="s">
        <v>45</v>
      </c>
    </row>
    <row r="391" spans="1:9" ht="48" customHeight="1">
      <c r="A391" s="3" t="s">
        <v>66</v>
      </c>
      <c r="B391" s="3" t="s">
        <v>65</v>
      </c>
      <c r="C391" s="4">
        <v>46054</v>
      </c>
      <c r="D391" s="4">
        <v>46081</v>
      </c>
      <c r="E391" s="3" t="s">
        <v>260</v>
      </c>
      <c r="F391" s="3" t="s">
        <v>267</v>
      </c>
      <c r="G391" s="5">
        <v>1E-3</v>
      </c>
      <c r="H391" s="6" t="s">
        <v>69</v>
      </c>
      <c r="I391" s="3" t="s">
        <v>45</v>
      </c>
    </row>
    <row r="392" spans="1:9" ht="48" customHeight="1">
      <c r="A392" s="3" t="s">
        <v>66</v>
      </c>
      <c r="B392" s="3" t="s">
        <v>65</v>
      </c>
      <c r="C392" s="4">
        <v>46054</v>
      </c>
      <c r="D392" s="4">
        <v>46081</v>
      </c>
      <c r="E392" s="3" t="s">
        <v>260</v>
      </c>
      <c r="F392" s="3" t="s">
        <v>268</v>
      </c>
      <c r="G392" s="5">
        <v>1E-3</v>
      </c>
      <c r="H392" s="6" t="s">
        <v>69</v>
      </c>
      <c r="I392" s="3" t="s">
        <v>45</v>
      </c>
    </row>
    <row r="393" spans="1:9" ht="48" customHeight="1">
      <c r="A393" s="3" t="s">
        <v>66</v>
      </c>
      <c r="B393" s="3" t="s">
        <v>65</v>
      </c>
      <c r="C393" s="4">
        <v>46054</v>
      </c>
      <c r="D393" s="4">
        <v>46081</v>
      </c>
      <c r="E393" s="3" t="s">
        <v>260</v>
      </c>
      <c r="F393" s="3" t="s">
        <v>270</v>
      </c>
      <c r="G393" s="5">
        <v>1E-3</v>
      </c>
      <c r="H393" s="6" t="s">
        <v>69</v>
      </c>
      <c r="I393" s="3" t="s">
        <v>45</v>
      </c>
    </row>
    <row r="394" spans="1:9" ht="48" customHeight="1">
      <c r="A394" s="3" t="s">
        <v>66</v>
      </c>
      <c r="B394" s="3" t="s">
        <v>65</v>
      </c>
      <c r="C394" s="4">
        <v>46054</v>
      </c>
      <c r="D394" s="4">
        <v>46081</v>
      </c>
      <c r="E394" s="3" t="s">
        <v>260</v>
      </c>
      <c r="F394" s="3" t="s">
        <v>271</v>
      </c>
      <c r="G394" s="5">
        <v>1E-3</v>
      </c>
      <c r="H394" s="6" t="s">
        <v>69</v>
      </c>
      <c r="I394" s="3" t="s">
        <v>45</v>
      </c>
    </row>
    <row r="395" spans="1:9" ht="48" customHeight="1">
      <c r="A395" s="3" t="s">
        <v>66</v>
      </c>
      <c r="B395" s="3" t="s">
        <v>65</v>
      </c>
      <c r="C395" s="4">
        <v>46054</v>
      </c>
      <c r="D395" s="4">
        <v>46081</v>
      </c>
      <c r="E395" s="3" t="s">
        <v>260</v>
      </c>
      <c r="F395" s="3" t="s">
        <v>272</v>
      </c>
      <c r="G395" s="5">
        <v>1E-3</v>
      </c>
      <c r="H395" s="6" t="s">
        <v>69</v>
      </c>
      <c r="I395" s="3" t="s">
        <v>45</v>
      </c>
    </row>
    <row r="396" spans="1:9" ht="48" customHeight="1">
      <c r="A396" s="3" t="s">
        <v>66</v>
      </c>
      <c r="B396" s="3" t="s">
        <v>65</v>
      </c>
      <c r="C396" s="4">
        <v>46054</v>
      </c>
      <c r="D396" s="4">
        <v>46081</v>
      </c>
      <c r="E396" s="3" t="s">
        <v>260</v>
      </c>
      <c r="F396" s="3" t="s">
        <v>273</v>
      </c>
      <c r="G396" s="5">
        <v>0</v>
      </c>
      <c r="H396" s="6" t="s">
        <v>69</v>
      </c>
      <c r="I396" s="3" t="s">
        <v>45</v>
      </c>
    </row>
    <row r="397" spans="1:9" ht="48" customHeight="1">
      <c r="A397" s="3" t="s">
        <v>66</v>
      </c>
      <c r="B397" s="3" t="s">
        <v>65</v>
      </c>
      <c r="C397" s="4">
        <v>46054</v>
      </c>
      <c r="D397" s="4">
        <v>46081</v>
      </c>
      <c r="E397" s="3" t="s">
        <v>260</v>
      </c>
      <c r="F397" s="3" t="s">
        <v>274</v>
      </c>
      <c r="G397" s="5">
        <v>0</v>
      </c>
      <c r="H397" s="6" t="s">
        <v>69</v>
      </c>
      <c r="I397" s="3" t="s">
        <v>45</v>
      </c>
    </row>
    <row r="398" spans="1:9" ht="48" customHeight="1">
      <c r="A398" s="3" t="s">
        <v>66</v>
      </c>
      <c r="B398" s="3" t="s">
        <v>65</v>
      </c>
      <c r="C398" s="4">
        <v>46054</v>
      </c>
      <c r="D398" s="4">
        <v>46081</v>
      </c>
      <c r="E398" s="3" t="s">
        <v>260</v>
      </c>
      <c r="F398" s="3" t="s">
        <v>275</v>
      </c>
      <c r="G398" s="5">
        <v>0</v>
      </c>
      <c r="H398" s="6" t="s">
        <v>69</v>
      </c>
      <c r="I398" s="3" t="s">
        <v>45</v>
      </c>
    </row>
    <row r="399" spans="1:9" ht="48" customHeight="1">
      <c r="A399" s="3" t="s">
        <v>66</v>
      </c>
      <c r="B399" s="3" t="s">
        <v>65</v>
      </c>
      <c r="C399" s="4">
        <v>46054</v>
      </c>
      <c r="D399" s="4">
        <v>46081</v>
      </c>
      <c r="E399" s="3" t="s">
        <v>260</v>
      </c>
      <c r="F399" s="3" t="s">
        <v>276</v>
      </c>
      <c r="G399" s="5">
        <v>0</v>
      </c>
      <c r="H399" s="6" t="s">
        <v>69</v>
      </c>
      <c r="I399" s="3" t="s">
        <v>45</v>
      </c>
    </row>
    <row r="400" spans="1:9" ht="48" customHeight="1">
      <c r="A400" s="3" t="s">
        <v>66</v>
      </c>
      <c r="B400" s="3" t="s">
        <v>65</v>
      </c>
      <c r="C400" s="4">
        <v>46054</v>
      </c>
      <c r="D400" s="4">
        <v>46081</v>
      </c>
      <c r="E400" s="3" t="s">
        <v>260</v>
      </c>
      <c r="F400" s="3" t="s">
        <v>277</v>
      </c>
      <c r="G400" s="5">
        <v>0</v>
      </c>
      <c r="H400" s="6" t="s">
        <v>69</v>
      </c>
      <c r="I400" s="3" t="s">
        <v>45</v>
      </c>
    </row>
    <row r="401" spans="1:9" ht="48" customHeight="1">
      <c r="A401" s="3" t="s">
        <v>66</v>
      </c>
      <c r="B401" s="3" t="s">
        <v>65</v>
      </c>
      <c r="C401" s="4">
        <v>46054</v>
      </c>
      <c r="D401" s="4">
        <v>46081</v>
      </c>
      <c r="E401" s="3" t="s">
        <v>260</v>
      </c>
      <c r="F401" s="3" t="s">
        <v>278</v>
      </c>
      <c r="G401" s="5">
        <v>0</v>
      </c>
      <c r="H401" s="6" t="s">
        <v>69</v>
      </c>
      <c r="I401" s="3" t="s">
        <v>45</v>
      </c>
    </row>
    <row r="402" spans="1:9" ht="48" customHeight="1">
      <c r="A402" s="3" t="s">
        <v>66</v>
      </c>
      <c r="B402" s="3" t="s">
        <v>65</v>
      </c>
      <c r="C402" s="4">
        <v>46054</v>
      </c>
      <c r="D402" s="4">
        <v>46081</v>
      </c>
      <c r="E402" s="3" t="s">
        <v>260</v>
      </c>
      <c r="F402" s="3" t="s">
        <v>269</v>
      </c>
      <c r="G402" s="5">
        <v>0</v>
      </c>
      <c r="H402" s="6" t="s">
        <v>69</v>
      </c>
      <c r="I402" s="3" t="s">
        <v>45</v>
      </c>
    </row>
    <row r="403" spans="1:9" ht="48" customHeight="1">
      <c r="A403" s="3" t="s">
        <v>66</v>
      </c>
      <c r="B403" s="3" t="s">
        <v>65</v>
      </c>
      <c r="C403" s="4">
        <v>46054</v>
      </c>
      <c r="D403" s="4">
        <v>46081</v>
      </c>
      <c r="E403" s="3" t="s">
        <v>260</v>
      </c>
      <c r="F403" s="3" t="s">
        <v>279</v>
      </c>
      <c r="G403" s="5">
        <v>0</v>
      </c>
      <c r="H403" s="6" t="s">
        <v>69</v>
      </c>
      <c r="I403" s="3" t="s">
        <v>45</v>
      </c>
    </row>
    <row r="404" spans="1:9" ht="48" customHeight="1">
      <c r="A404" s="3" t="s">
        <v>66</v>
      </c>
      <c r="B404" s="3" t="s">
        <v>65</v>
      </c>
      <c r="C404" s="4">
        <v>46054</v>
      </c>
      <c r="D404" s="4">
        <v>46081</v>
      </c>
      <c r="E404" s="3" t="s">
        <v>260</v>
      </c>
      <c r="F404" s="3" t="s">
        <v>280</v>
      </c>
      <c r="G404" s="5">
        <v>0</v>
      </c>
      <c r="H404" s="6" t="s">
        <v>69</v>
      </c>
      <c r="I404" s="3" t="s">
        <v>45</v>
      </c>
    </row>
    <row r="405" spans="1:9" ht="48" customHeight="1">
      <c r="A405" s="3" t="s">
        <v>66</v>
      </c>
      <c r="B405" s="3" t="s">
        <v>65</v>
      </c>
      <c r="C405" s="4">
        <v>46054</v>
      </c>
      <c r="D405" s="4">
        <v>46081</v>
      </c>
      <c r="E405" s="3" t="s">
        <v>260</v>
      </c>
      <c r="F405" s="3" t="s">
        <v>281</v>
      </c>
      <c r="G405" s="5">
        <v>0</v>
      </c>
      <c r="H405" s="6" t="s">
        <v>69</v>
      </c>
      <c r="I405" s="3" t="s">
        <v>45</v>
      </c>
    </row>
    <row r="406" spans="1:9" ht="48" customHeight="1">
      <c r="A406" s="3" t="s">
        <v>66</v>
      </c>
      <c r="B406" s="3" t="s">
        <v>65</v>
      </c>
      <c r="C406" s="4">
        <v>46054</v>
      </c>
      <c r="D406" s="4">
        <v>46081</v>
      </c>
      <c r="E406" s="3" t="s">
        <v>260</v>
      </c>
      <c r="F406" s="3" t="s">
        <v>282</v>
      </c>
      <c r="G406" s="5">
        <v>0</v>
      </c>
      <c r="H406" s="6" t="s">
        <v>69</v>
      </c>
      <c r="I406" s="3" t="s">
        <v>45</v>
      </c>
    </row>
    <row r="407" spans="1:9" ht="48" customHeight="1">
      <c r="A407" s="3" t="s">
        <v>66</v>
      </c>
      <c r="B407" s="3" t="s">
        <v>65</v>
      </c>
      <c r="C407" s="4">
        <v>46054</v>
      </c>
      <c r="D407" s="4">
        <v>46081</v>
      </c>
      <c r="E407" s="3" t="s">
        <v>260</v>
      </c>
      <c r="F407" s="3" t="s">
        <v>283</v>
      </c>
      <c r="G407" s="5">
        <v>0</v>
      </c>
      <c r="H407" s="6" t="s">
        <v>69</v>
      </c>
      <c r="I407" s="3" t="s">
        <v>45</v>
      </c>
    </row>
    <row r="408" spans="1:9" ht="48" customHeight="1">
      <c r="A408" s="3" t="s">
        <v>66</v>
      </c>
      <c r="B408" s="3" t="s">
        <v>65</v>
      </c>
      <c r="C408" s="4">
        <v>46054</v>
      </c>
      <c r="D408" s="4">
        <v>46081</v>
      </c>
      <c r="E408" s="3" t="s">
        <v>260</v>
      </c>
      <c r="F408" s="3" t="s">
        <v>284</v>
      </c>
      <c r="G408" s="5">
        <v>0</v>
      </c>
      <c r="H408" s="6" t="s">
        <v>69</v>
      </c>
      <c r="I408" s="3" t="s">
        <v>45</v>
      </c>
    </row>
    <row r="409" spans="1:9" ht="48" customHeight="1">
      <c r="A409" s="3" t="s">
        <v>66</v>
      </c>
      <c r="B409" s="3" t="s">
        <v>65</v>
      </c>
      <c r="C409" s="4">
        <v>46054</v>
      </c>
      <c r="D409" s="4">
        <v>46081</v>
      </c>
      <c r="E409" s="3" t="s">
        <v>260</v>
      </c>
      <c r="F409" s="3" t="s">
        <v>285</v>
      </c>
      <c r="G409" s="5">
        <v>0</v>
      </c>
      <c r="H409" s="6" t="s">
        <v>69</v>
      </c>
      <c r="I409" s="3" t="s">
        <v>45</v>
      </c>
    </row>
    <row r="410" spans="1:9" ht="48" customHeight="1">
      <c r="A410" s="3" t="s">
        <v>66</v>
      </c>
      <c r="B410" s="3" t="s">
        <v>65</v>
      </c>
      <c r="C410" s="4">
        <v>46054</v>
      </c>
      <c r="D410" s="4">
        <v>46081</v>
      </c>
      <c r="E410" s="3" t="s">
        <v>301</v>
      </c>
      <c r="F410" s="3" t="s">
        <v>301</v>
      </c>
      <c r="G410" s="5">
        <v>1.7000000000000001E-2</v>
      </c>
      <c r="H410" s="6" t="s">
        <v>69</v>
      </c>
      <c r="I410" s="3" t="s">
        <v>45</v>
      </c>
    </row>
    <row r="411" spans="1:9" ht="48" customHeight="1">
      <c r="A411" s="3" t="s">
        <v>66</v>
      </c>
      <c r="B411" s="3" t="s">
        <v>65</v>
      </c>
      <c r="C411" s="4">
        <v>46054</v>
      </c>
      <c r="D411" s="4">
        <v>46081</v>
      </c>
      <c r="E411" s="3" t="s">
        <v>81</v>
      </c>
      <c r="F411" s="3" t="s">
        <v>325</v>
      </c>
      <c r="G411" s="5">
        <v>2E-3</v>
      </c>
      <c r="H411" s="6" t="s">
        <v>69</v>
      </c>
      <c r="I411" s="3" t="s">
        <v>45</v>
      </c>
    </row>
    <row r="412" spans="1:9" ht="48" customHeight="1">
      <c r="A412" s="3" t="s">
        <v>66</v>
      </c>
      <c r="B412" s="3" t="s">
        <v>65</v>
      </c>
      <c r="C412" s="4">
        <v>46054</v>
      </c>
      <c r="D412" s="4">
        <v>46081</v>
      </c>
      <c r="E412" s="3" t="s">
        <v>81</v>
      </c>
      <c r="F412" s="3" t="s">
        <v>326</v>
      </c>
      <c r="G412" s="5">
        <v>1E-3</v>
      </c>
      <c r="H412" s="6" t="s">
        <v>69</v>
      </c>
      <c r="I412" s="3" t="s">
        <v>45</v>
      </c>
    </row>
    <row r="413" spans="1:9" ht="48" customHeight="1">
      <c r="A413" s="3" t="s">
        <v>66</v>
      </c>
      <c r="B413" s="3" t="s">
        <v>65</v>
      </c>
      <c r="C413" s="4">
        <v>46054</v>
      </c>
      <c r="D413" s="4">
        <v>46081</v>
      </c>
      <c r="E413" s="3" t="s">
        <v>81</v>
      </c>
      <c r="F413" s="3" t="s">
        <v>327</v>
      </c>
      <c r="G413" s="5">
        <v>1E-3</v>
      </c>
      <c r="H413" s="6" t="s">
        <v>69</v>
      </c>
      <c r="I413" s="3" t="s">
        <v>45</v>
      </c>
    </row>
    <row r="414" spans="1:9" ht="48" customHeight="1">
      <c r="A414" s="3" t="s">
        <v>66</v>
      </c>
      <c r="B414" s="3" t="s">
        <v>65</v>
      </c>
      <c r="C414" s="4">
        <v>46054</v>
      </c>
      <c r="D414" s="4">
        <v>46081</v>
      </c>
      <c r="E414" s="3" t="s">
        <v>81</v>
      </c>
      <c r="F414" s="3" t="s">
        <v>328</v>
      </c>
      <c r="G414" s="5">
        <v>1E-3</v>
      </c>
      <c r="H414" s="6" t="s">
        <v>69</v>
      </c>
      <c r="I414" s="3" t="s">
        <v>45</v>
      </c>
    </row>
    <row r="415" spans="1:9" ht="48" customHeight="1">
      <c r="A415" s="3" t="s">
        <v>66</v>
      </c>
      <c r="B415" s="3" t="s">
        <v>65</v>
      </c>
      <c r="C415" s="4">
        <v>46054</v>
      </c>
      <c r="D415" s="4">
        <v>46081</v>
      </c>
      <c r="E415" s="3" t="s">
        <v>81</v>
      </c>
      <c r="F415" s="3" t="s">
        <v>329</v>
      </c>
      <c r="G415" s="5">
        <v>1E-3</v>
      </c>
      <c r="H415" s="6" t="s">
        <v>69</v>
      </c>
      <c r="I415" s="3" t="s">
        <v>45</v>
      </c>
    </row>
    <row r="416" spans="1:9" ht="48" customHeight="1">
      <c r="A416" s="3" t="s">
        <v>66</v>
      </c>
      <c r="B416" s="3" t="s">
        <v>65</v>
      </c>
      <c r="C416" s="4">
        <v>46054</v>
      </c>
      <c r="D416" s="4">
        <v>46081</v>
      </c>
      <c r="E416" s="3" t="s">
        <v>81</v>
      </c>
      <c r="F416" s="3" t="s">
        <v>335</v>
      </c>
      <c r="G416" s="5">
        <v>1E-3</v>
      </c>
      <c r="H416" s="6" t="s">
        <v>69</v>
      </c>
      <c r="I416" s="3" t="s">
        <v>45</v>
      </c>
    </row>
    <row r="417" spans="1:9" ht="48" customHeight="1">
      <c r="A417" s="3" t="s">
        <v>66</v>
      </c>
      <c r="B417" s="3" t="s">
        <v>65</v>
      </c>
      <c r="C417" s="4">
        <v>46054</v>
      </c>
      <c r="D417" s="4">
        <v>46081</v>
      </c>
      <c r="E417" s="3" t="s">
        <v>81</v>
      </c>
      <c r="F417" s="3" t="s">
        <v>332</v>
      </c>
      <c r="G417" s="5">
        <v>1E-3</v>
      </c>
      <c r="H417" s="6" t="s">
        <v>69</v>
      </c>
      <c r="I417" s="3" t="s">
        <v>45</v>
      </c>
    </row>
    <row r="418" spans="1:9" ht="48" customHeight="1">
      <c r="A418" s="3" t="s">
        <v>66</v>
      </c>
      <c r="B418" s="3" t="s">
        <v>65</v>
      </c>
      <c r="C418" s="4">
        <v>46054</v>
      </c>
      <c r="D418" s="4">
        <v>46081</v>
      </c>
      <c r="E418" s="3" t="s">
        <v>81</v>
      </c>
      <c r="F418" s="3" t="s">
        <v>330</v>
      </c>
      <c r="G418" s="5">
        <v>0</v>
      </c>
      <c r="H418" s="6" t="s">
        <v>69</v>
      </c>
      <c r="I418" s="3" t="s">
        <v>45</v>
      </c>
    </row>
    <row r="419" spans="1:9" ht="48" customHeight="1">
      <c r="A419" s="3" t="s">
        <v>66</v>
      </c>
      <c r="B419" s="3" t="s">
        <v>65</v>
      </c>
      <c r="C419" s="4">
        <v>46054</v>
      </c>
      <c r="D419" s="4">
        <v>46081</v>
      </c>
      <c r="E419" s="3" t="s">
        <v>81</v>
      </c>
      <c r="F419" s="3" t="s">
        <v>333</v>
      </c>
      <c r="G419" s="5">
        <v>0</v>
      </c>
      <c r="H419" s="6" t="s">
        <v>69</v>
      </c>
      <c r="I419" s="3" t="s">
        <v>45</v>
      </c>
    </row>
    <row r="420" spans="1:9" ht="48" customHeight="1">
      <c r="A420" s="3" t="s">
        <v>66</v>
      </c>
      <c r="B420" s="3" t="s">
        <v>65</v>
      </c>
      <c r="C420" s="4">
        <v>46054</v>
      </c>
      <c r="D420" s="4">
        <v>46081</v>
      </c>
      <c r="E420" s="3" t="s">
        <v>81</v>
      </c>
      <c r="F420" s="3" t="s">
        <v>334</v>
      </c>
      <c r="G420" s="5">
        <v>0</v>
      </c>
      <c r="H420" s="6" t="s">
        <v>69</v>
      </c>
      <c r="I420" s="3" t="s">
        <v>45</v>
      </c>
    </row>
    <row r="421" spans="1:9" ht="48" customHeight="1">
      <c r="A421" s="3" t="s">
        <v>66</v>
      </c>
      <c r="B421" s="3" t="s">
        <v>65</v>
      </c>
      <c r="C421" s="4">
        <v>46054</v>
      </c>
      <c r="D421" s="4">
        <v>46081</v>
      </c>
      <c r="E421" s="3" t="s">
        <v>81</v>
      </c>
      <c r="F421" s="3" t="s">
        <v>331</v>
      </c>
      <c r="G421" s="5">
        <v>0</v>
      </c>
      <c r="H421" s="6" t="s">
        <v>69</v>
      </c>
      <c r="I421" s="3" t="s">
        <v>45</v>
      </c>
    </row>
    <row r="422" spans="1:9" ht="48" customHeight="1">
      <c r="A422" s="3" t="s">
        <v>66</v>
      </c>
      <c r="B422" s="3" t="s">
        <v>65</v>
      </c>
      <c r="C422" s="4">
        <v>46054</v>
      </c>
      <c r="D422" s="4">
        <v>46081</v>
      </c>
      <c r="E422" s="3" t="s">
        <v>81</v>
      </c>
      <c r="F422" s="3" t="s">
        <v>336</v>
      </c>
      <c r="G422" s="5">
        <v>0</v>
      </c>
      <c r="H422" s="6" t="s">
        <v>69</v>
      </c>
      <c r="I422" s="3" t="s">
        <v>45</v>
      </c>
    </row>
    <row r="423" spans="1:9" ht="48" customHeight="1">
      <c r="A423" s="3" t="s">
        <v>66</v>
      </c>
      <c r="B423" s="3" t="s">
        <v>65</v>
      </c>
      <c r="C423" s="4">
        <v>46054</v>
      </c>
      <c r="D423" s="4">
        <v>46081</v>
      </c>
      <c r="E423" s="3" t="s">
        <v>81</v>
      </c>
      <c r="F423" s="3" t="s">
        <v>337</v>
      </c>
      <c r="G423" s="5">
        <v>0</v>
      </c>
      <c r="H423" s="6" t="s">
        <v>69</v>
      </c>
      <c r="I423" s="3" t="s">
        <v>45</v>
      </c>
    </row>
    <row r="424" spans="1:9" ht="48" customHeight="1">
      <c r="A424" s="3" t="s">
        <v>66</v>
      </c>
      <c r="B424" s="3" t="s">
        <v>65</v>
      </c>
      <c r="C424" s="4">
        <v>46054</v>
      </c>
      <c r="D424" s="4">
        <v>46081</v>
      </c>
      <c r="E424" s="3" t="s">
        <v>81</v>
      </c>
      <c r="F424" s="3" t="s">
        <v>338</v>
      </c>
      <c r="G424" s="5">
        <v>0</v>
      </c>
      <c r="H424" s="6" t="s">
        <v>69</v>
      </c>
      <c r="I424" s="3" t="s">
        <v>45</v>
      </c>
    </row>
    <row r="425" spans="1:9" ht="48" customHeight="1">
      <c r="A425" s="3" t="s">
        <v>66</v>
      </c>
      <c r="B425" s="3" t="s">
        <v>65</v>
      </c>
      <c r="C425" s="4">
        <v>46054</v>
      </c>
      <c r="D425" s="4">
        <v>46081</v>
      </c>
      <c r="E425" s="3" t="s">
        <v>81</v>
      </c>
      <c r="F425" s="3" t="s">
        <v>339</v>
      </c>
      <c r="G425" s="5">
        <v>0</v>
      </c>
      <c r="H425" s="6" t="s">
        <v>69</v>
      </c>
      <c r="I425" s="3" t="s">
        <v>45</v>
      </c>
    </row>
    <row r="426" spans="1:9" ht="48" customHeight="1">
      <c r="A426" s="3" t="s">
        <v>66</v>
      </c>
      <c r="B426" s="3" t="s">
        <v>65</v>
      </c>
      <c r="C426" s="4">
        <v>46054</v>
      </c>
      <c r="D426" s="4">
        <v>46081</v>
      </c>
      <c r="E426" s="3" t="s">
        <v>81</v>
      </c>
      <c r="F426" s="3" t="s">
        <v>340</v>
      </c>
      <c r="G426" s="5">
        <v>0</v>
      </c>
      <c r="H426" s="6" t="s">
        <v>69</v>
      </c>
      <c r="I426" s="3" t="s">
        <v>45</v>
      </c>
    </row>
    <row r="427" spans="1:9" ht="48" customHeight="1">
      <c r="A427" s="3" t="s">
        <v>66</v>
      </c>
      <c r="B427" s="3" t="s">
        <v>65</v>
      </c>
      <c r="C427" s="4">
        <v>46054</v>
      </c>
      <c r="D427" s="4">
        <v>46081</v>
      </c>
      <c r="E427" s="3" t="s">
        <v>81</v>
      </c>
      <c r="F427" s="3" t="s">
        <v>341</v>
      </c>
      <c r="G427" s="5">
        <v>0</v>
      </c>
      <c r="H427" s="6" t="s">
        <v>69</v>
      </c>
      <c r="I427" s="3" t="s">
        <v>45</v>
      </c>
    </row>
    <row r="428" spans="1:9" ht="48" customHeight="1">
      <c r="A428" s="3" t="s">
        <v>66</v>
      </c>
      <c r="B428" s="3" t="s">
        <v>65</v>
      </c>
      <c r="C428" s="4">
        <v>46054</v>
      </c>
      <c r="D428" s="4">
        <v>46081</v>
      </c>
      <c r="E428" s="3" t="s">
        <v>81</v>
      </c>
      <c r="F428" s="3" t="s">
        <v>342</v>
      </c>
      <c r="G428" s="5">
        <v>0</v>
      </c>
      <c r="H428" s="6" t="s">
        <v>69</v>
      </c>
      <c r="I428" s="3" t="s">
        <v>45</v>
      </c>
    </row>
    <row r="429" spans="1:9" ht="48" customHeight="1">
      <c r="A429" s="3" t="s">
        <v>66</v>
      </c>
      <c r="B429" s="3" t="s">
        <v>65</v>
      </c>
      <c r="C429" s="4">
        <v>46054</v>
      </c>
      <c r="D429" s="4">
        <v>46081</v>
      </c>
      <c r="E429" s="3" t="s">
        <v>81</v>
      </c>
      <c r="F429" s="3" t="s">
        <v>343</v>
      </c>
      <c r="G429" s="5">
        <v>0</v>
      </c>
      <c r="H429" s="6" t="s">
        <v>69</v>
      </c>
      <c r="I429" s="3" t="s">
        <v>45</v>
      </c>
    </row>
    <row r="430" spans="1:9" ht="48" customHeight="1">
      <c r="A430" s="3" t="s">
        <v>66</v>
      </c>
      <c r="B430" s="3" t="s">
        <v>65</v>
      </c>
      <c r="C430" s="4">
        <v>46054</v>
      </c>
      <c r="D430" s="4">
        <v>46081</v>
      </c>
      <c r="E430" s="3" t="s">
        <v>81</v>
      </c>
      <c r="F430" s="3" t="s">
        <v>344</v>
      </c>
      <c r="G430" s="5">
        <v>0</v>
      </c>
      <c r="H430" s="6" t="s">
        <v>69</v>
      </c>
      <c r="I430" s="3" t="s">
        <v>45</v>
      </c>
    </row>
    <row r="431" spans="1:9" ht="48" customHeight="1">
      <c r="A431" s="3" t="s">
        <v>66</v>
      </c>
      <c r="B431" s="3" t="s">
        <v>65</v>
      </c>
      <c r="C431" s="4">
        <v>46054</v>
      </c>
      <c r="D431" s="4">
        <v>46081</v>
      </c>
      <c r="E431" s="3" t="s">
        <v>81</v>
      </c>
      <c r="F431" s="3" t="s">
        <v>345</v>
      </c>
      <c r="G431" s="5">
        <v>0</v>
      </c>
      <c r="H431" s="6" t="s">
        <v>69</v>
      </c>
      <c r="I431" s="3" t="s">
        <v>45</v>
      </c>
    </row>
    <row r="432" spans="1:9" ht="48" customHeight="1">
      <c r="A432" s="3" t="s">
        <v>66</v>
      </c>
      <c r="B432" s="3" t="s">
        <v>65</v>
      </c>
      <c r="C432" s="4">
        <v>46054</v>
      </c>
      <c r="D432" s="4">
        <v>46081</v>
      </c>
      <c r="E432" s="3" t="s">
        <v>81</v>
      </c>
      <c r="F432" s="3" t="s">
        <v>346</v>
      </c>
      <c r="G432" s="5">
        <v>0</v>
      </c>
      <c r="H432" s="6" t="s">
        <v>69</v>
      </c>
      <c r="I432" s="3" t="s">
        <v>45</v>
      </c>
    </row>
    <row r="433" spans="1:9" ht="48" customHeight="1">
      <c r="A433" s="3" t="s">
        <v>66</v>
      </c>
      <c r="B433" s="3" t="s">
        <v>65</v>
      </c>
      <c r="C433" s="4">
        <v>46054</v>
      </c>
      <c r="D433" s="4">
        <v>46081</v>
      </c>
      <c r="E433" s="3" t="s">
        <v>81</v>
      </c>
      <c r="F433" s="3" t="s">
        <v>347</v>
      </c>
      <c r="G433" s="5">
        <v>0</v>
      </c>
      <c r="H433" s="6" t="s">
        <v>69</v>
      </c>
      <c r="I433" s="3" t="s">
        <v>45</v>
      </c>
    </row>
    <row r="434" spans="1:9" ht="48" customHeight="1">
      <c r="A434" s="3" t="s">
        <v>66</v>
      </c>
      <c r="B434" s="3" t="s">
        <v>65</v>
      </c>
      <c r="C434" s="4">
        <v>46054</v>
      </c>
      <c r="D434" s="4">
        <v>46081</v>
      </c>
      <c r="E434" s="3" t="s">
        <v>302</v>
      </c>
      <c r="F434" s="3" t="s">
        <v>304</v>
      </c>
      <c r="G434" s="5">
        <v>1E-3</v>
      </c>
      <c r="H434" s="6" t="s">
        <v>69</v>
      </c>
      <c r="I434" s="3" t="s">
        <v>45</v>
      </c>
    </row>
    <row r="435" spans="1:9" ht="48" customHeight="1">
      <c r="A435" s="3" t="s">
        <v>66</v>
      </c>
      <c r="B435" s="3" t="s">
        <v>65</v>
      </c>
      <c r="C435" s="4">
        <v>46054</v>
      </c>
      <c r="D435" s="4">
        <v>46081</v>
      </c>
      <c r="E435" s="3" t="s">
        <v>302</v>
      </c>
      <c r="F435" s="3" t="s">
        <v>306</v>
      </c>
      <c r="G435" s="5">
        <v>1E-3</v>
      </c>
      <c r="H435" s="6" t="s">
        <v>69</v>
      </c>
      <c r="I435" s="3" t="s">
        <v>45</v>
      </c>
    </row>
    <row r="436" spans="1:9" ht="48" customHeight="1">
      <c r="A436" s="3" t="s">
        <v>66</v>
      </c>
      <c r="B436" s="3" t="s">
        <v>65</v>
      </c>
      <c r="C436" s="4">
        <v>46054</v>
      </c>
      <c r="D436" s="4">
        <v>46081</v>
      </c>
      <c r="E436" s="3" t="s">
        <v>302</v>
      </c>
      <c r="F436" s="3" t="s">
        <v>307</v>
      </c>
      <c r="G436" s="5">
        <v>1E-3</v>
      </c>
      <c r="H436" s="6" t="s">
        <v>69</v>
      </c>
      <c r="I436" s="3" t="s">
        <v>45</v>
      </c>
    </row>
    <row r="437" spans="1:9" ht="48" customHeight="1">
      <c r="A437" s="3" t="s">
        <v>66</v>
      </c>
      <c r="B437" s="3" t="s">
        <v>65</v>
      </c>
      <c r="C437" s="4">
        <v>46054</v>
      </c>
      <c r="D437" s="4">
        <v>46081</v>
      </c>
      <c r="E437" s="3" t="s">
        <v>302</v>
      </c>
      <c r="F437" s="3" t="s">
        <v>308</v>
      </c>
      <c r="G437" s="5">
        <v>1E-3</v>
      </c>
      <c r="H437" s="6" t="s">
        <v>69</v>
      </c>
      <c r="I437" s="3" t="s">
        <v>45</v>
      </c>
    </row>
    <row r="438" spans="1:9" ht="48" customHeight="1">
      <c r="A438" s="3" t="s">
        <v>66</v>
      </c>
      <c r="B438" s="3" t="s">
        <v>65</v>
      </c>
      <c r="C438" s="4">
        <v>46054</v>
      </c>
      <c r="D438" s="4">
        <v>46081</v>
      </c>
      <c r="E438" s="3" t="s">
        <v>302</v>
      </c>
      <c r="F438" s="3" t="s">
        <v>309</v>
      </c>
      <c r="G438" s="5">
        <v>1E-3</v>
      </c>
      <c r="H438" s="6" t="s">
        <v>69</v>
      </c>
      <c r="I438" s="3" t="s">
        <v>45</v>
      </c>
    </row>
    <row r="439" spans="1:9" ht="48" customHeight="1">
      <c r="A439" s="3" t="s">
        <v>66</v>
      </c>
      <c r="B439" s="3" t="s">
        <v>65</v>
      </c>
      <c r="C439" s="4">
        <v>46054</v>
      </c>
      <c r="D439" s="4">
        <v>46081</v>
      </c>
      <c r="E439" s="3" t="s">
        <v>302</v>
      </c>
      <c r="F439" s="3" t="s">
        <v>303</v>
      </c>
      <c r="G439" s="5">
        <v>0</v>
      </c>
      <c r="H439" s="6" t="s">
        <v>69</v>
      </c>
      <c r="I439" s="3" t="s">
        <v>45</v>
      </c>
    </row>
    <row r="440" spans="1:9" ht="48" customHeight="1">
      <c r="A440" s="3" t="s">
        <v>66</v>
      </c>
      <c r="B440" s="3" t="s">
        <v>65</v>
      </c>
      <c r="C440" s="4">
        <v>46054</v>
      </c>
      <c r="D440" s="4">
        <v>46081</v>
      </c>
      <c r="E440" s="3" t="s">
        <v>302</v>
      </c>
      <c r="F440" s="3" t="s">
        <v>310</v>
      </c>
      <c r="G440" s="5">
        <v>0</v>
      </c>
      <c r="H440" s="6" t="s">
        <v>69</v>
      </c>
      <c r="I440" s="3" t="s">
        <v>45</v>
      </c>
    </row>
    <row r="441" spans="1:9" ht="48" customHeight="1">
      <c r="A441" s="3" t="s">
        <v>66</v>
      </c>
      <c r="B441" s="3" t="s">
        <v>65</v>
      </c>
      <c r="C441" s="4">
        <v>46054</v>
      </c>
      <c r="D441" s="4">
        <v>46081</v>
      </c>
      <c r="E441" s="3" t="s">
        <v>302</v>
      </c>
      <c r="F441" s="3" t="s">
        <v>311</v>
      </c>
      <c r="G441" s="5">
        <v>0</v>
      </c>
      <c r="H441" s="6" t="s">
        <v>69</v>
      </c>
      <c r="I441" s="3" t="s">
        <v>45</v>
      </c>
    </row>
    <row r="442" spans="1:9" ht="48" customHeight="1">
      <c r="A442" s="3" t="s">
        <v>66</v>
      </c>
      <c r="B442" s="3" t="s">
        <v>65</v>
      </c>
      <c r="C442" s="4">
        <v>46054</v>
      </c>
      <c r="D442" s="4">
        <v>46081</v>
      </c>
      <c r="E442" s="3" t="s">
        <v>302</v>
      </c>
      <c r="F442" s="3" t="s">
        <v>305</v>
      </c>
      <c r="G442" s="5">
        <v>0</v>
      </c>
      <c r="H442" s="6" t="s">
        <v>69</v>
      </c>
      <c r="I442" s="3" t="s">
        <v>45</v>
      </c>
    </row>
    <row r="443" spans="1:9" ht="48" customHeight="1">
      <c r="A443" s="3" t="s">
        <v>66</v>
      </c>
      <c r="B443" s="3" t="s">
        <v>65</v>
      </c>
      <c r="C443" s="4">
        <v>46054</v>
      </c>
      <c r="D443" s="4">
        <v>46081</v>
      </c>
      <c r="E443" s="3" t="s">
        <v>302</v>
      </c>
      <c r="F443" s="3" t="s">
        <v>312</v>
      </c>
      <c r="G443" s="5">
        <v>0</v>
      </c>
      <c r="H443" s="6" t="s">
        <v>69</v>
      </c>
      <c r="I443" s="3" t="s">
        <v>45</v>
      </c>
    </row>
    <row r="444" spans="1:9" ht="48" customHeight="1">
      <c r="A444" s="3" t="s">
        <v>66</v>
      </c>
      <c r="B444" s="3" t="s">
        <v>65</v>
      </c>
      <c r="C444" s="4">
        <v>46054</v>
      </c>
      <c r="D444" s="4">
        <v>46081</v>
      </c>
      <c r="E444" s="3" t="s">
        <v>302</v>
      </c>
      <c r="F444" s="3" t="s">
        <v>313</v>
      </c>
      <c r="G444" s="5">
        <v>0</v>
      </c>
      <c r="H444" s="6" t="s">
        <v>69</v>
      </c>
      <c r="I444" s="3" t="s">
        <v>45</v>
      </c>
    </row>
    <row r="445" spans="1:9" ht="48" customHeight="1">
      <c r="A445" s="3" t="s">
        <v>66</v>
      </c>
      <c r="B445" s="3" t="s">
        <v>65</v>
      </c>
      <c r="C445" s="4">
        <v>46054</v>
      </c>
      <c r="D445" s="4">
        <v>46081</v>
      </c>
      <c r="E445" s="3" t="s">
        <v>302</v>
      </c>
      <c r="F445" s="3" t="s">
        <v>314</v>
      </c>
      <c r="G445" s="5">
        <v>0</v>
      </c>
      <c r="H445" s="6" t="s">
        <v>69</v>
      </c>
      <c r="I445" s="3" t="s">
        <v>45</v>
      </c>
    </row>
    <row r="446" spans="1:9" ht="48" customHeight="1">
      <c r="A446" s="3" t="s">
        <v>66</v>
      </c>
      <c r="B446" s="3" t="s">
        <v>65</v>
      </c>
      <c r="C446" s="4">
        <v>46054</v>
      </c>
      <c r="D446" s="4">
        <v>46081</v>
      </c>
      <c r="E446" s="3" t="s">
        <v>302</v>
      </c>
      <c r="F446" s="3" t="s">
        <v>315</v>
      </c>
      <c r="G446" s="5">
        <v>0</v>
      </c>
      <c r="H446" s="6" t="s">
        <v>69</v>
      </c>
      <c r="I446" s="3" t="s">
        <v>45</v>
      </c>
    </row>
    <row r="447" spans="1:9" ht="48" customHeight="1">
      <c r="A447" s="3" t="s">
        <v>66</v>
      </c>
      <c r="B447" s="3" t="s">
        <v>65</v>
      </c>
      <c r="C447" s="4">
        <v>46054</v>
      </c>
      <c r="D447" s="4">
        <v>46081</v>
      </c>
      <c r="E447" s="3" t="s">
        <v>302</v>
      </c>
      <c r="F447" s="3" t="s">
        <v>316</v>
      </c>
      <c r="G447" s="5">
        <v>0</v>
      </c>
      <c r="H447" s="6" t="s">
        <v>69</v>
      </c>
      <c r="I447" s="3" t="s">
        <v>45</v>
      </c>
    </row>
    <row r="448" spans="1:9" ht="48" customHeight="1">
      <c r="A448" s="3" t="s">
        <v>66</v>
      </c>
      <c r="B448" s="3" t="s">
        <v>65</v>
      </c>
      <c r="C448" s="4">
        <v>46054</v>
      </c>
      <c r="D448" s="4">
        <v>46081</v>
      </c>
      <c r="E448" s="3" t="s">
        <v>302</v>
      </c>
      <c r="F448" s="3" t="s">
        <v>317</v>
      </c>
      <c r="G448" s="5">
        <v>0</v>
      </c>
      <c r="H448" s="6" t="s">
        <v>69</v>
      </c>
      <c r="I448" s="3" t="s">
        <v>45</v>
      </c>
    </row>
    <row r="449" spans="1:9" ht="48" customHeight="1">
      <c r="A449" s="3" t="s">
        <v>66</v>
      </c>
      <c r="B449" s="3" t="s">
        <v>65</v>
      </c>
      <c r="C449" s="4">
        <v>46054</v>
      </c>
      <c r="D449" s="4">
        <v>46081</v>
      </c>
      <c r="E449" s="3" t="s">
        <v>302</v>
      </c>
      <c r="F449" s="3" t="s">
        <v>318</v>
      </c>
      <c r="G449" s="5">
        <v>0</v>
      </c>
      <c r="H449" s="6" t="s">
        <v>69</v>
      </c>
      <c r="I449" s="3" t="s">
        <v>45</v>
      </c>
    </row>
    <row r="450" spans="1:9" ht="48" customHeight="1">
      <c r="A450" s="3" t="s">
        <v>66</v>
      </c>
      <c r="B450" s="3" t="s">
        <v>65</v>
      </c>
      <c r="C450" s="4">
        <v>46054</v>
      </c>
      <c r="D450" s="4">
        <v>46081</v>
      </c>
      <c r="E450" s="3" t="s">
        <v>302</v>
      </c>
      <c r="F450" s="3" t="s">
        <v>319</v>
      </c>
      <c r="G450" s="5">
        <v>0</v>
      </c>
      <c r="H450" s="6" t="s">
        <v>69</v>
      </c>
      <c r="I450" s="3" t="s">
        <v>45</v>
      </c>
    </row>
    <row r="451" spans="1:9" ht="48" customHeight="1">
      <c r="A451" s="3" t="s">
        <v>66</v>
      </c>
      <c r="B451" s="3" t="s">
        <v>65</v>
      </c>
      <c r="C451" s="4">
        <v>46054</v>
      </c>
      <c r="D451" s="4">
        <v>46081</v>
      </c>
      <c r="E451" s="3" t="s">
        <v>302</v>
      </c>
      <c r="F451" s="3" t="s">
        <v>320</v>
      </c>
      <c r="G451" s="5">
        <v>0</v>
      </c>
      <c r="H451" s="6" t="s">
        <v>69</v>
      </c>
      <c r="I451" s="3" t="s">
        <v>45</v>
      </c>
    </row>
    <row r="452" spans="1:9" ht="48" customHeight="1">
      <c r="A452" s="3" t="s">
        <v>66</v>
      </c>
      <c r="B452" s="3" t="s">
        <v>65</v>
      </c>
      <c r="C452" s="4">
        <v>46054</v>
      </c>
      <c r="D452" s="4">
        <v>46081</v>
      </c>
      <c r="E452" s="3" t="s">
        <v>302</v>
      </c>
      <c r="F452" s="3" t="s">
        <v>321</v>
      </c>
      <c r="G452" s="5">
        <v>0</v>
      </c>
      <c r="H452" s="6" t="s">
        <v>69</v>
      </c>
      <c r="I452" s="3" t="s">
        <v>45</v>
      </c>
    </row>
    <row r="453" spans="1:9" ht="48" customHeight="1">
      <c r="A453" s="3" t="s">
        <v>66</v>
      </c>
      <c r="B453" s="3" t="s">
        <v>65</v>
      </c>
      <c r="C453" s="4">
        <v>46054</v>
      </c>
      <c r="D453" s="4">
        <v>46081</v>
      </c>
      <c r="E453" s="3" t="s">
        <v>302</v>
      </c>
      <c r="F453" s="3" t="s">
        <v>322</v>
      </c>
      <c r="G453" s="5">
        <v>0</v>
      </c>
      <c r="H453" s="6" t="s">
        <v>69</v>
      </c>
      <c r="I453" s="3" t="s">
        <v>45</v>
      </c>
    </row>
    <row r="454" spans="1:9" ht="48" customHeight="1">
      <c r="A454" s="3" t="s">
        <v>66</v>
      </c>
      <c r="B454" s="3" t="s">
        <v>65</v>
      </c>
      <c r="C454" s="4">
        <v>46054</v>
      </c>
      <c r="D454" s="4">
        <v>46081</v>
      </c>
      <c r="E454" s="3" t="s">
        <v>302</v>
      </c>
      <c r="F454" s="3" t="s">
        <v>323</v>
      </c>
      <c r="G454" s="5">
        <v>0</v>
      </c>
      <c r="H454" s="6" t="s">
        <v>69</v>
      </c>
      <c r="I454" s="3" t="s">
        <v>45</v>
      </c>
    </row>
    <row r="455" spans="1:9" ht="48" customHeight="1">
      <c r="A455" s="3" t="s">
        <v>66</v>
      </c>
      <c r="B455" s="3" t="s">
        <v>65</v>
      </c>
      <c r="C455" s="4">
        <v>46054</v>
      </c>
      <c r="D455" s="4">
        <v>46081</v>
      </c>
      <c r="E455" s="3" t="s">
        <v>302</v>
      </c>
      <c r="F455" s="3" t="s">
        <v>324</v>
      </c>
      <c r="G455" s="5">
        <v>0</v>
      </c>
      <c r="H455" s="6" t="s">
        <v>69</v>
      </c>
      <c r="I455" s="3" t="s">
        <v>45</v>
      </c>
    </row>
    <row r="456" spans="1:9" ht="48" customHeight="1">
      <c r="A456" s="3" t="s">
        <v>66</v>
      </c>
      <c r="B456" s="3" t="s">
        <v>65</v>
      </c>
      <c r="C456" s="4">
        <v>46054</v>
      </c>
      <c r="D456" s="4">
        <v>46081</v>
      </c>
      <c r="E456" s="3" t="s">
        <v>47</v>
      </c>
      <c r="F456" s="3" t="s">
        <v>348</v>
      </c>
      <c r="G456" s="5">
        <v>2E-3</v>
      </c>
      <c r="H456" s="6" t="s">
        <v>69</v>
      </c>
      <c r="I456" s="3" t="s">
        <v>45</v>
      </c>
    </row>
    <row r="457" spans="1:9" ht="48" customHeight="1">
      <c r="A457" s="3" t="s">
        <v>66</v>
      </c>
      <c r="B457" s="3" t="s">
        <v>65</v>
      </c>
      <c r="C457" s="4">
        <v>46054</v>
      </c>
      <c r="D457" s="4">
        <v>46081</v>
      </c>
      <c r="E457" s="3" t="s">
        <v>47</v>
      </c>
      <c r="F457" s="3" t="s">
        <v>349</v>
      </c>
      <c r="G457" s="5">
        <v>1E-3</v>
      </c>
      <c r="H457" s="6" t="s">
        <v>69</v>
      </c>
      <c r="I457" s="3" t="s">
        <v>45</v>
      </c>
    </row>
    <row r="458" spans="1:9" ht="48" customHeight="1">
      <c r="A458" s="3" t="s">
        <v>66</v>
      </c>
      <c r="B458" s="3" t="s">
        <v>65</v>
      </c>
      <c r="C458" s="4">
        <v>46054</v>
      </c>
      <c r="D458" s="4">
        <v>46081</v>
      </c>
      <c r="E458" s="3" t="s">
        <v>47</v>
      </c>
      <c r="F458" s="3" t="s">
        <v>350</v>
      </c>
      <c r="G458" s="5">
        <v>1E-3</v>
      </c>
      <c r="H458" s="6" t="s">
        <v>69</v>
      </c>
      <c r="I458" s="3" t="s">
        <v>45</v>
      </c>
    </row>
    <row r="459" spans="1:9" ht="48" customHeight="1">
      <c r="A459" s="3" t="s">
        <v>66</v>
      </c>
      <c r="B459" s="3" t="s">
        <v>65</v>
      </c>
      <c r="C459" s="4">
        <v>46054</v>
      </c>
      <c r="D459" s="4">
        <v>46081</v>
      </c>
      <c r="E459" s="3" t="s">
        <v>47</v>
      </c>
      <c r="F459" s="3" t="s">
        <v>351</v>
      </c>
      <c r="G459" s="5">
        <v>0</v>
      </c>
      <c r="H459" s="6" t="s">
        <v>69</v>
      </c>
      <c r="I459" s="3" t="s">
        <v>45</v>
      </c>
    </row>
    <row r="460" spans="1:9" ht="48" customHeight="1">
      <c r="A460" s="3" t="s">
        <v>66</v>
      </c>
      <c r="B460" s="3" t="s">
        <v>65</v>
      </c>
      <c r="C460" s="4">
        <v>46054</v>
      </c>
      <c r="D460" s="4">
        <v>46081</v>
      </c>
      <c r="E460" s="3" t="s">
        <v>47</v>
      </c>
      <c r="F460" s="3" t="s">
        <v>352</v>
      </c>
      <c r="G460" s="5">
        <v>0</v>
      </c>
      <c r="H460" s="6" t="s">
        <v>69</v>
      </c>
      <c r="I460" s="3" t="s">
        <v>45</v>
      </c>
    </row>
    <row r="461" spans="1:9" ht="48" customHeight="1">
      <c r="A461" s="3" t="s">
        <v>66</v>
      </c>
      <c r="B461" s="3" t="s">
        <v>65</v>
      </c>
      <c r="C461" s="4">
        <v>46054</v>
      </c>
      <c r="D461" s="4">
        <v>46081</v>
      </c>
      <c r="E461" s="3" t="s">
        <v>47</v>
      </c>
      <c r="F461" s="3" t="s">
        <v>353</v>
      </c>
      <c r="G461" s="5">
        <v>0</v>
      </c>
      <c r="H461" s="6" t="s">
        <v>69</v>
      </c>
      <c r="I461" s="3" t="s">
        <v>45</v>
      </c>
    </row>
    <row r="462" spans="1:9" ht="48" customHeight="1">
      <c r="A462" s="3" t="s">
        <v>66</v>
      </c>
      <c r="B462" s="3" t="s">
        <v>65</v>
      </c>
      <c r="C462" s="4">
        <v>46054</v>
      </c>
      <c r="D462" s="4">
        <v>46081</v>
      </c>
      <c r="E462" s="3" t="s">
        <v>47</v>
      </c>
      <c r="F462" s="3" t="s">
        <v>354</v>
      </c>
      <c r="G462" s="5">
        <v>0</v>
      </c>
      <c r="H462" s="6" t="s">
        <v>69</v>
      </c>
      <c r="I462" s="3" t="s">
        <v>45</v>
      </c>
    </row>
    <row r="463" spans="1:9" ht="48" customHeight="1">
      <c r="A463" s="3" t="s">
        <v>66</v>
      </c>
      <c r="B463" s="3" t="s">
        <v>65</v>
      </c>
      <c r="C463" s="4">
        <v>46054</v>
      </c>
      <c r="D463" s="4">
        <v>46081</v>
      </c>
      <c r="E463" s="3" t="s">
        <v>47</v>
      </c>
      <c r="F463" s="3" t="s">
        <v>355</v>
      </c>
      <c r="G463" s="5">
        <v>0</v>
      </c>
      <c r="H463" s="6" t="s">
        <v>69</v>
      </c>
      <c r="I463" s="3" t="s">
        <v>45</v>
      </c>
    </row>
    <row r="464" spans="1:9" ht="48" customHeight="1">
      <c r="A464" s="3" t="s">
        <v>66</v>
      </c>
      <c r="B464" s="3" t="s">
        <v>65</v>
      </c>
      <c r="C464" s="4">
        <v>46054</v>
      </c>
      <c r="D464" s="4">
        <v>46081</v>
      </c>
      <c r="E464" s="3" t="s">
        <v>47</v>
      </c>
      <c r="F464" s="3" t="s">
        <v>356</v>
      </c>
      <c r="G464" s="5">
        <v>0</v>
      </c>
      <c r="H464" s="6" t="s">
        <v>69</v>
      </c>
      <c r="I464" s="3" t="s">
        <v>45</v>
      </c>
    </row>
    <row r="465" spans="1:9" ht="48" customHeight="1">
      <c r="A465" s="3" t="s">
        <v>66</v>
      </c>
      <c r="B465" s="3" t="s">
        <v>65</v>
      </c>
      <c r="C465" s="4">
        <v>46054</v>
      </c>
      <c r="D465" s="4">
        <v>46081</v>
      </c>
      <c r="E465" s="3" t="s">
        <v>47</v>
      </c>
      <c r="F465" s="3" t="s">
        <v>40</v>
      </c>
      <c r="G465" s="5">
        <v>0</v>
      </c>
      <c r="H465" s="6" t="s">
        <v>69</v>
      </c>
      <c r="I465" s="3" t="s">
        <v>45</v>
      </c>
    </row>
    <row r="466" spans="1:9" ht="48" customHeight="1">
      <c r="A466" s="3" t="s">
        <v>66</v>
      </c>
      <c r="B466" s="3" t="s">
        <v>65</v>
      </c>
      <c r="C466" s="4">
        <v>46054</v>
      </c>
      <c r="D466" s="4">
        <v>46081</v>
      </c>
      <c r="E466" s="3" t="s">
        <v>47</v>
      </c>
      <c r="F466" s="3" t="s">
        <v>357</v>
      </c>
      <c r="G466" s="5">
        <v>0</v>
      </c>
      <c r="H466" s="6" t="s">
        <v>69</v>
      </c>
      <c r="I466" s="3" t="s">
        <v>45</v>
      </c>
    </row>
    <row r="467" spans="1:9" ht="48" customHeight="1">
      <c r="A467" s="3" t="s">
        <v>66</v>
      </c>
      <c r="B467" s="3" t="s">
        <v>65</v>
      </c>
      <c r="C467" s="4">
        <v>46054</v>
      </c>
      <c r="D467" s="4">
        <v>46081</v>
      </c>
      <c r="E467" s="3" t="s">
        <v>47</v>
      </c>
      <c r="F467" s="3" t="s">
        <v>358</v>
      </c>
      <c r="G467" s="5">
        <v>0</v>
      </c>
      <c r="H467" s="6" t="s">
        <v>69</v>
      </c>
      <c r="I467" s="3" t="s">
        <v>45</v>
      </c>
    </row>
    <row r="468" spans="1:9" ht="48" customHeight="1">
      <c r="A468" s="3" t="s">
        <v>66</v>
      </c>
      <c r="B468" s="3" t="s">
        <v>65</v>
      </c>
      <c r="C468" s="4">
        <v>46054</v>
      </c>
      <c r="D468" s="4">
        <v>46081</v>
      </c>
      <c r="E468" s="3" t="s">
        <v>47</v>
      </c>
      <c r="F468" s="3" t="s">
        <v>359</v>
      </c>
      <c r="G468" s="5">
        <v>0</v>
      </c>
      <c r="H468" s="6" t="s">
        <v>69</v>
      </c>
      <c r="I468" s="3" t="s">
        <v>45</v>
      </c>
    </row>
    <row r="469" spans="1:9" ht="48" customHeight="1">
      <c r="A469" s="3" t="s">
        <v>66</v>
      </c>
      <c r="B469" s="3" t="s">
        <v>65</v>
      </c>
      <c r="C469" s="4">
        <v>46054</v>
      </c>
      <c r="D469" s="4">
        <v>46081</v>
      </c>
      <c r="E469" s="3" t="s">
        <v>47</v>
      </c>
      <c r="F469" s="3" t="s">
        <v>360</v>
      </c>
      <c r="G469" s="5">
        <v>0</v>
      </c>
      <c r="H469" s="6" t="s">
        <v>69</v>
      </c>
      <c r="I469" s="3" t="s">
        <v>45</v>
      </c>
    </row>
    <row r="470" spans="1:9" ht="48" customHeight="1">
      <c r="A470" s="3" t="s">
        <v>66</v>
      </c>
      <c r="B470" s="3" t="s">
        <v>65</v>
      </c>
      <c r="C470" s="4">
        <v>46054</v>
      </c>
      <c r="D470" s="4">
        <v>46081</v>
      </c>
      <c r="E470" s="3" t="s">
        <v>47</v>
      </c>
      <c r="F470" s="3" t="s">
        <v>361</v>
      </c>
      <c r="G470" s="5">
        <v>0</v>
      </c>
      <c r="H470" s="6" t="s">
        <v>69</v>
      </c>
      <c r="I470" s="3" t="s">
        <v>45</v>
      </c>
    </row>
    <row r="471" spans="1:9" ht="48" customHeight="1">
      <c r="A471" s="3" t="s">
        <v>66</v>
      </c>
      <c r="B471" s="3" t="s">
        <v>65</v>
      </c>
      <c r="C471" s="4">
        <v>46054</v>
      </c>
      <c r="D471" s="4">
        <v>46081</v>
      </c>
      <c r="E471" s="3" t="s">
        <v>47</v>
      </c>
      <c r="F471" s="3" t="s">
        <v>362</v>
      </c>
      <c r="G471" s="5">
        <v>0</v>
      </c>
      <c r="H471" s="6" t="s">
        <v>69</v>
      </c>
      <c r="I471" s="3" t="s">
        <v>45</v>
      </c>
    </row>
    <row r="472" spans="1:9" ht="48" customHeight="1">
      <c r="A472" s="3" t="s">
        <v>66</v>
      </c>
      <c r="B472" s="3" t="s">
        <v>65</v>
      </c>
      <c r="C472" s="4">
        <v>46054</v>
      </c>
      <c r="D472" s="4">
        <v>46081</v>
      </c>
      <c r="E472" s="3" t="s">
        <v>47</v>
      </c>
      <c r="F472" s="3" t="s">
        <v>318</v>
      </c>
      <c r="G472" s="5">
        <v>0</v>
      </c>
      <c r="H472" s="6" t="s">
        <v>69</v>
      </c>
      <c r="I472" s="3" t="s">
        <v>45</v>
      </c>
    </row>
    <row r="473" spans="1:9" ht="48" customHeight="1">
      <c r="A473" s="3" t="s">
        <v>66</v>
      </c>
      <c r="B473" s="3" t="s">
        <v>65</v>
      </c>
      <c r="C473" s="4">
        <v>46054</v>
      </c>
      <c r="D473" s="4">
        <v>46081</v>
      </c>
      <c r="E473" s="3" t="s">
        <v>47</v>
      </c>
      <c r="F473" s="3" t="s">
        <v>363</v>
      </c>
      <c r="G473" s="5">
        <v>0</v>
      </c>
      <c r="H473" s="6" t="s">
        <v>69</v>
      </c>
      <c r="I473" s="3" t="s">
        <v>45</v>
      </c>
    </row>
    <row r="474" spans="1:9" ht="48" customHeight="1">
      <c r="A474" s="3" t="s">
        <v>66</v>
      </c>
      <c r="B474" s="3" t="s">
        <v>65</v>
      </c>
      <c r="C474" s="4">
        <v>46054</v>
      </c>
      <c r="D474" s="4">
        <v>46081</v>
      </c>
      <c r="E474" s="3" t="s">
        <v>368</v>
      </c>
      <c r="F474" s="3" t="s">
        <v>369</v>
      </c>
      <c r="G474" s="5">
        <v>1E-3</v>
      </c>
      <c r="H474" s="6" t="s">
        <v>69</v>
      </c>
      <c r="I474" s="3" t="s">
        <v>45</v>
      </c>
    </row>
    <row r="475" spans="1:9" ht="48" customHeight="1">
      <c r="A475" s="3" t="s">
        <v>66</v>
      </c>
      <c r="B475" s="3" t="s">
        <v>65</v>
      </c>
      <c r="C475" s="4">
        <v>46054</v>
      </c>
      <c r="D475" s="4">
        <v>46081</v>
      </c>
      <c r="E475" s="3" t="s">
        <v>368</v>
      </c>
      <c r="F475" s="3" t="s">
        <v>265</v>
      </c>
      <c r="G475" s="5">
        <v>1E-3</v>
      </c>
      <c r="H475" s="6" t="s">
        <v>69</v>
      </c>
      <c r="I475" s="3" t="s">
        <v>45</v>
      </c>
    </row>
    <row r="476" spans="1:9" ht="48" customHeight="1">
      <c r="A476" s="3" t="s">
        <v>66</v>
      </c>
      <c r="B476" s="3" t="s">
        <v>65</v>
      </c>
      <c r="C476" s="4">
        <v>46054</v>
      </c>
      <c r="D476" s="4">
        <v>46081</v>
      </c>
      <c r="E476" s="3" t="s">
        <v>368</v>
      </c>
      <c r="F476" s="3" t="s">
        <v>370</v>
      </c>
      <c r="G476" s="5">
        <v>1E-3</v>
      </c>
      <c r="H476" s="6" t="s">
        <v>69</v>
      </c>
      <c r="I476" s="3" t="s">
        <v>45</v>
      </c>
    </row>
    <row r="477" spans="1:9" ht="48" customHeight="1">
      <c r="A477" s="3" t="s">
        <v>66</v>
      </c>
      <c r="B477" s="3" t="s">
        <v>65</v>
      </c>
      <c r="C477" s="4">
        <v>46054</v>
      </c>
      <c r="D477" s="4">
        <v>46081</v>
      </c>
      <c r="E477" s="3" t="s">
        <v>368</v>
      </c>
      <c r="F477" s="3" t="s">
        <v>371</v>
      </c>
      <c r="G477" s="5">
        <v>1E-3</v>
      </c>
      <c r="H477" s="6" t="s">
        <v>69</v>
      </c>
      <c r="I477" s="3" t="s">
        <v>45</v>
      </c>
    </row>
    <row r="478" spans="1:9" ht="48" customHeight="1">
      <c r="A478" s="3" t="s">
        <v>66</v>
      </c>
      <c r="B478" s="3" t="s">
        <v>65</v>
      </c>
      <c r="C478" s="4">
        <v>46054</v>
      </c>
      <c r="D478" s="4">
        <v>46081</v>
      </c>
      <c r="E478" s="3" t="s">
        <v>368</v>
      </c>
      <c r="F478" s="3" t="s">
        <v>230</v>
      </c>
      <c r="G478" s="5">
        <v>0</v>
      </c>
      <c r="H478" s="6" t="s">
        <v>69</v>
      </c>
      <c r="I478" s="3" t="s">
        <v>45</v>
      </c>
    </row>
    <row r="479" spans="1:9" ht="48" customHeight="1">
      <c r="A479" s="3" t="s">
        <v>66</v>
      </c>
      <c r="B479" s="3" t="s">
        <v>65</v>
      </c>
      <c r="C479" s="4">
        <v>46054</v>
      </c>
      <c r="D479" s="4">
        <v>46081</v>
      </c>
      <c r="E479" s="3" t="s">
        <v>368</v>
      </c>
      <c r="F479" s="3" t="s">
        <v>232</v>
      </c>
      <c r="G479" s="5">
        <v>0</v>
      </c>
      <c r="H479" s="6" t="s">
        <v>69</v>
      </c>
      <c r="I479" s="3" t="s">
        <v>45</v>
      </c>
    </row>
    <row r="480" spans="1:9" ht="48" customHeight="1">
      <c r="A480" s="3" t="s">
        <v>66</v>
      </c>
      <c r="B480" s="3" t="s">
        <v>65</v>
      </c>
      <c r="C480" s="4">
        <v>46054</v>
      </c>
      <c r="D480" s="4">
        <v>46081</v>
      </c>
      <c r="E480" s="3" t="s">
        <v>368</v>
      </c>
      <c r="F480" s="3" t="s">
        <v>234</v>
      </c>
      <c r="G480" s="5">
        <v>0</v>
      </c>
      <c r="H480" s="6" t="s">
        <v>69</v>
      </c>
      <c r="I480" s="3" t="s">
        <v>45</v>
      </c>
    </row>
    <row r="481" spans="1:9" ht="48" customHeight="1">
      <c r="A481" s="3" t="s">
        <v>66</v>
      </c>
      <c r="B481" s="3" t="s">
        <v>65</v>
      </c>
      <c r="C481" s="4">
        <v>46054</v>
      </c>
      <c r="D481" s="4">
        <v>46081</v>
      </c>
      <c r="E481" s="3" t="s">
        <v>368</v>
      </c>
      <c r="F481" s="3" t="s">
        <v>372</v>
      </c>
      <c r="G481" s="5">
        <v>0</v>
      </c>
      <c r="H481" s="6" t="s">
        <v>69</v>
      </c>
      <c r="I481" s="3" t="s">
        <v>45</v>
      </c>
    </row>
    <row r="482" spans="1:9" ht="48" customHeight="1">
      <c r="A482" s="3" t="s">
        <v>66</v>
      </c>
      <c r="B482" s="3" t="s">
        <v>65</v>
      </c>
      <c r="C482" s="4">
        <v>46054</v>
      </c>
      <c r="D482" s="4">
        <v>46081</v>
      </c>
      <c r="E482" s="3" t="s">
        <v>368</v>
      </c>
      <c r="F482" s="3" t="s">
        <v>373</v>
      </c>
      <c r="G482" s="5">
        <v>0</v>
      </c>
      <c r="H482" s="6" t="s">
        <v>69</v>
      </c>
      <c r="I482" s="3" t="s">
        <v>45</v>
      </c>
    </row>
    <row r="483" spans="1:9" ht="48" customHeight="1">
      <c r="A483" s="3" t="s">
        <v>66</v>
      </c>
      <c r="B483" s="3" t="s">
        <v>65</v>
      </c>
      <c r="C483" s="4">
        <v>46054</v>
      </c>
      <c r="D483" s="4">
        <v>46081</v>
      </c>
      <c r="E483" s="3" t="s">
        <v>368</v>
      </c>
      <c r="F483" s="3" t="s">
        <v>262</v>
      </c>
      <c r="G483" s="5">
        <v>0</v>
      </c>
      <c r="H483" s="6" t="s">
        <v>69</v>
      </c>
      <c r="I483" s="3" t="s">
        <v>45</v>
      </c>
    </row>
    <row r="484" spans="1:9" ht="48" customHeight="1">
      <c r="A484" s="3" t="s">
        <v>66</v>
      </c>
      <c r="B484" s="3" t="s">
        <v>65</v>
      </c>
      <c r="C484" s="4">
        <v>46054</v>
      </c>
      <c r="D484" s="4">
        <v>46081</v>
      </c>
      <c r="E484" s="3" t="s">
        <v>368</v>
      </c>
      <c r="F484" s="3" t="s">
        <v>374</v>
      </c>
      <c r="G484" s="5">
        <v>0</v>
      </c>
      <c r="H484" s="6" t="s">
        <v>69</v>
      </c>
      <c r="I484" s="3" t="s">
        <v>45</v>
      </c>
    </row>
    <row r="485" spans="1:9" ht="48" customHeight="1">
      <c r="A485" s="3" t="s">
        <v>66</v>
      </c>
      <c r="B485" s="3" t="s">
        <v>65</v>
      </c>
      <c r="C485" s="4">
        <v>46054</v>
      </c>
      <c r="D485" s="4">
        <v>46081</v>
      </c>
      <c r="E485" s="3" t="s">
        <v>368</v>
      </c>
      <c r="F485" s="3" t="s">
        <v>207</v>
      </c>
      <c r="G485" s="5">
        <v>0</v>
      </c>
      <c r="H485" s="6" t="s">
        <v>69</v>
      </c>
      <c r="I485" s="3" t="s">
        <v>45</v>
      </c>
    </row>
    <row r="486" spans="1:9" ht="48" customHeight="1">
      <c r="A486" s="3" t="s">
        <v>66</v>
      </c>
      <c r="B486" s="3" t="s">
        <v>65</v>
      </c>
      <c r="C486" s="4">
        <v>46054</v>
      </c>
      <c r="D486" s="4">
        <v>46081</v>
      </c>
      <c r="E486" s="3" t="s">
        <v>368</v>
      </c>
      <c r="F486" s="3" t="s">
        <v>375</v>
      </c>
      <c r="G486" s="5">
        <v>0</v>
      </c>
      <c r="H486" s="6" t="s">
        <v>69</v>
      </c>
      <c r="I486" s="3" t="s">
        <v>45</v>
      </c>
    </row>
    <row r="487" spans="1:9" ht="48" customHeight="1">
      <c r="A487" s="3" t="s">
        <v>66</v>
      </c>
      <c r="B487" s="3" t="s">
        <v>65</v>
      </c>
      <c r="C487" s="4">
        <v>46054</v>
      </c>
      <c r="D487" s="4">
        <v>46081</v>
      </c>
      <c r="E487" s="3" t="s">
        <v>368</v>
      </c>
      <c r="F487" s="3" t="s">
        <v>376</v>
      </c>
      <c r="G487" s="5">
        <v>0</v>
      </c>
      <c r="H487" s="6" t="s">
        <v>69</v>
      </c>
      <c r="I487" s="3" t="s">
        <v>45</v>
      </c>
    </row>
    <row r="488" spans="1:9" ht="48" customHeight="1">
      <c r="A488" s="3" t="s">
        <v>66</v>
      </c>
      <c r="B488" s="3" t="s">
        <v>65</v>
      </c>
      <c r="C488" s="4">
        <v>46054</v>
      </c>
      <c r="D488" s="4">
        <v>46081</v>
      </c>
      <c r="E488" s="3" t="s">
        <v>368</v>
      </c>
      <c r="F488" s="3" t="s">
        <v>377</v>
      </c>
      <c r="G488" s="5">
        <v>0</v>
      </c>
      <c r="H488" s="6" t="s">
        <v>69</v>
      </c>
      <c r="I488" s="3" t="s">
        <v>45</v>
      </c>
    </row>
    <row r="489" spans="1:9" ht="48" customHeight="1">
      <c r="A489" s="3" t="s">
        <v>66</v>
      </c>
      <c r="B489" s="3" t="s">
        <v>65</v>
      </c>
      <c r="C489" s="4">
        <v>46054</v>
      </c>
      <c r="D489" s="4">
        <v>46081</v>
      </c>
      <c r="E489" s="3" t="s">
        <v>368</v>
      </c>
      <c r="F489" s="3" t="s">
        <v>378</v>
      </c>
      <c r="G489" s="5">
        <v>0</v>
      </c>
      <c r="H489" s="6" t="s">
        <v>69</v>
      </c>
      <c r="I489" s="3" t="s">
        <v>45</v>
      </c>
    </row>
    <row r="490" spans="1:9" ht="48" customHeight="1">
      <c r="A490" s="3" t="s">
        <v>66</v>
      </c>
      <c r="B490" s="3" t="s">
        <v>65</v>
      </c>
      <c r="C490" s="4">
        <v>46054</v>
      </c>
      <c r="D490" s="4">
        <v>46081</v>
      </c>
      <c r="E490" s="3" t="s">
        <v>364</v>
      </c>
      <c r="F490" s="3" t="s">
        <v>234</v>
      </c>
      <c r="G490" s="5">
        <v>1E-3</v>
      </c>
      <c r="H490" s="6" t="s">
        <v>69</v>
      </c>
      <c r="I490" s="3" t="s">
        <v>45</v>
      </c>
    </row>
    <row r="491" spans="1:9" ht="48" customHeight="1">
      <c r="A491" s="3" t="s">
        <v>66</v>
      </c>
      <c r="B491" s="3" t="s">
        <v>65</v>
      </c>
      <c r="C491" s="4">
        <v>46054</v>
      </c>
      <c r="D491" s="4">
        <v>46081</v>
      </c>
      <c r="E491" s="3" t="s">
        <v>364</v>
      </c>
      <c r="F491" s="3" t="s">
        <v>262</v>
      </c>
      <c r="G491" s="5">
        <v>1E-3</v>
      </c>
      <c r="H491" s="6" t="s">
        <v>69</v>
      </c>
      <c r="I491" s="3" t="s">
        <v>45</v>
      </c>
    </row>
    <row r="492" spans="1:9" ht="48" customHeight="1">
      <c r="A492" s="3" t="s">
        <v>66</v>
      </c>
      <c r="B492" s="3" t="s">
        <v>65</v>
      </c>
      <c r="C492" s="4">
        <v>46054</v>
      </c>
      <c r="D492" s="4">
        <v>46081</v>
      </c>
      <c r="E492" s="3" t="s">
        <v>364</v>
      </c>
      <c r="F492" s="3" t="s">
        <v>365</v>
      </c>
      <c r="G492" s="5">
        <v>1E-3</v>
      </c>
      <c r="H492" s="6" t="s">
        <v>69</v>
      </c>
      <c r="I492" s="3" t="s">
        <v>45</v>
      </c>
    </row>
    <row r="493" spans="1:9" ht="48" customHeight="1">
      <c r="A493" s="3" t="s">
        <v>66</v>
      </c>
      <c r="B493" s="3" t="s">
        <v>65</v>
      </c>
      <c r="C493" s="4">
        <v>46054</v>
      </c>
      <c r="D493" s="4">
        <v>46081</v>
      </c>
      <c r="E493" s="3" t="s">
        <v>364</v>
      </c>
      <c r="F493" s="3" t="s">
        <v>366</v>
      </c>
      <c r="G493" s="5">
        <v>1E-3</v>
      </c>
      <c r="H493" s="6" t="s">
        <v>69</v>
      </c>
      <c r="I493" s="3" t="s">
        <v>45</v>
      </c>
    </row>
    <row r="494" spans="1:9" ht="48" customHeight="1">
      <c r="A494" s="3" t="s">
        <v>66</v>
      </c>
      <c r="B494" s="3" t="s">
        <v>65</v>
      </c>
      <c r="C494" s="4">
        <v>46054</v>
      </c>
      <c r="D494" s="4">
        <v>46081</v>
      </c>
      <c r="E494" s="3" t="s">
        <v>364</v>
      </c>
      <c r="F494" s="3" t="s">
        <v>367</v>
      </c>
      <c r="G494" s="5">
        <v>1E-3</v>
      </c>
      <c r="H494" s="6" t="s">
        <v>69</v>
      </c>
      <c r="I494" s="3" t="s">
        <v>45</v>
      </c>
    </row>
    <row r="495" spans="1:9" ht="48" customHeight="1">
      <c r="A495" s="3" t="s">
        <v>66</v>
      </c>
      <c r="B495" s="3" t="s">
        <v>65</v>
      </c>
      <c r="C495" s="4">
        <v>46054</v>
      </c>
      <c r="D495" s="4">
        <v>46081</v>
      </c>
      <c r="E495" s="3" t="s">
        <v>364</v>
      </c>
      <c r="F495" s="3" t="s">
        <v>230</v>
      </c>
      <c r="G495" s="5">
        <v>0</v>
      </c>
      <c r="H495" s="6" t="s">
        <v>69</v>
      </c>
      <c r="I495" s="3" t="s">
        <v>45</v>
      </c>
    </row>
    <row r="496" spans="1:9" ht="48" customHeight="1">
      <c r="A496" s="3" t="s">
        <v>66</v>
      </c>
      <c r="B496" s="3" t="s">
        <v>65</v>
      </c>
      <c r="C496" s="4">
        <v>46054</v>
      </c>
      <c r="D496" s="4">
        <v>46081</v>
      </c>
      <c r="E496" s="3" t="s">
        <v>364</v>
      </c>
      <c r="F496" s="3" t="s">
        <v>232</v>
      </c>
      <c r="G496" s="5">
        <v>0</v>
      </c>
      <c r="H496" s="6" t="s">
        <v>69</v>
      </c>
      <c r="I496" s="3" t="s">
        <v>45</v>
      </c>
    </row>
    <row r="497" spans="1:9" ht="48" customHeight="1">
      <c r="A497" s="3" t="s">
        <v>66</v>
      </c>
      <c r="B497" s="3" t="s">
        <v>65</v>
      </c>
      <c r="C497" s="4">
        <v>46054</v>
      </c>
      <c r="D497" s="4">
        <v>46081</v>
      </c>
      <c r="E497" s="3" t="s">
        <v>364</v>
      </c>
      <c r="F497" s="3" t="s">
        <v>265</v>
      </c>
      <c r="G497" s="5">
        <v>0</v>
      </c>
      <c r="H497" s="6" t="s">
        <v>69</v>
      </c>
      <c r="I497" s="3" t="s">
        <v>45</v>
      </c>
    </row>
    <row r="498" spans="1:9" ht="48" customHeight="1">
      <c r="A498" s="3" t="s">
        <v>66</v>
      </c>
      <c r="B498" s="3" t="s">
        <v>65</v>
      </c>
      <c r="C498" s="4">
        <v>46054</v>
      </c>
      <c r="D498" s="4">
        <v>46081</v>
      </c>
      <c r="E498" s="3" t="s">
        <v>364</v>
      </c>
      <c r="F498" s="3" t="s">
        <v>79</v>
      </c>
      <c r="G498" s="5">
        <v>0</v>
      </c>
      <c r="H498" s="6" t="s">
        <v>69</v>
      </c>
      <c r="I498" s="3" t="s">
        <v>45</v>
      </c>
    </row>
    <row r="499" spans="1:9" ht="48" customHeight="1">
      <c r="A499" s="3" t="s">
        <v>66</v>
      </c>
      <c r="B499" s="3" t="s">
        <v>65</v>
      </c>
      <c r="C499" s="4">
        <v>46054</v>
      </c>
      <c r="D499" s="4">
        <v>46081</v>
      </c>
      <c r="E499" s="3" t="s">
        <v>379</v>
      </c>
      <c r="F499" s="3" t="s">
        <v>265</v>
      </c>
      <c r="G499" s="5">
        <v>1E-3</v>
      </c>
      <c r="H499" s="6" t="s">
        <v>69</v>
      </c>
      <c r="I499" s="3" t="s">
        <v>45</v>
      </c>
    </row>
    <row r="500" spans="1:9" ht="48" customHeight="1">
      <c r="A500" s="3" t="s">
        <v>66</v>
      </c>
      <c r="B500" s="3" t="s">
        <v>65</v>
      </c>
      <c r="C500" s="4">
        <v>46054</v>
      </c>
      <c r="D500" s="4">
        <v>46081</v>
      </c>
      <c r="E500" s="3" t="s">
        <v>379</v>
      </c>
      <c r="F500" s="3" t="s">
        <v>380</v>
      </c>
      <c r="G500" s="5">
        <v>1E-3</v>
      </c>
      <c r="H500" s="6" t="s">
        <v>69</v>
      </c>
      <c r="I500" s="3" t="s">
        <v>45</v>
      </c>
    </row>
    <row r="501" spans="1:9" ht="48" customHeight="1">
      <c r="A501" s="3" t="s">
        <v>66</v>
      </c>
      <c r="B501" s="3" t="s">
        <v>65</v>
      </c>
      <c r="C501" s="4">
        <v>46054</v>
      </c>
      <c r="D501" s="4">
        <v>46081</v>
      </c>
      <c r="E501" s="3" t="s">
        <v>379</v>
      </c>
      <c r="F501" s="3" t="s">
        <v>230</v>
      </c>
      <c r="G501" s="5">
        <v>0</v>
      </c>
      <c r="H501" s="6" t="s">
        <v>69</v>
      </c>
      <c r="I501" s="3" t="s">
        <v>45</v>
      </c>
    </row>
    <row r="502" spans="1:9" ht="48" customHeight="1">
      <c r="A502" s="3" t="s">
        <v>66</v>
      </c>
      <c r="B502" s="3" t="s">
        <v>65</v>
      </c>
      <c r="C502" s="4">
        <v>46054</v>
      </c>
      <c r="D502" s="4">
        <v>46081</v>
      </c>
      <c r="E502" s="3" t="s">
        <v>379</v>
      </c>
      <c r="F502" s="3" t="s">
        <v>234</v>
      </c>
      <c r="G502" s="5">
        <v>0</v>
      </c>
      <c r="H502" s="6" t="s">
        <v>69</v>
      </c>
      <c r="I502" s="3" t="s">
        <v>45</v>
      </c>
    </row>
    <row r="503" spans="1:9" ht="48" customHeight="1">
      <c r="A503" s="3" t="s">
        <v>66</v>
      </c>
      <c r="B503" s="3" t="s">
        <v>65</v>
      </c>
      <c r="C503" s="4">
        <v>46054</v>
      </c>
      <c r="D503" s="4">
        <v>46081</v>
      </c>
      <c r="E503" s="3" t="s">
        <v>379</v>
      </c>
      <c r="F503" s="3" t="s">
        <v>262</v>
      </c>
      <c r="G503" s="5">
        <v>0</v>
      </c>
      <c r="H503" s="6" t="s">
        <v>69</v>
      </c>
      <c r="I503" s="3" t="s">
        <v>45</v>
      </c>
    </row>
    <row r="504" spans="1:9" ht="48" customHeight="1">
      <c r="A504" s="3" t="s">
        <v>66</v>
      </c>
      <c r="B504" s="3" t="s">
        <v>65</v>
      </c>
      <c r="C504" s="4">
        <v>46054</v>
      </c>
      <c r="D504" s="4">
        <v>46081</v>
      </c>
      <c r="E504" s="3" t="s">
        <v>381</v>
      </c>
      <c r="F504" s="3" t="s">
        <v>382</v>
      </c>
      <c r="G504" s="5">
        <v>2E-3</v>
      </c>
      <c r="H504" s="6" t="s">
        <v>69</v>
      </c>
      <c r="I504" s="3" t="s">
        <v>45</v>
      </c>
    </row>
    <row r="505" spans="1:9" ht="48" customHeight="1">
      <c r="A505" s="3" t="s">
        <v>66</v>
      </c>
      <c r="B505" s="3" t="s">
        <v>65</v>
      </c>
      <c r="C505" s="4">
        <v>46054</v>
      </c>
      <c r="D505" s="4">
        <v>46081</v>
      </c>
      <c r="E505" s="3" t="s">
        <v>381</v>
      </c>
      <c r="F505" s="3" t="s">
        <v>383</v>
      </c>
      <c r="G505" s="5">
        <v>1E-3</v>
      </c>
      <c r="H505" s="6" t="s">
        <v>69</v>
      </c>
      <c r="I505" s="3" t="s">
        <v>45</v>
      </c>
    </row>
    <row r="506" spans="1:9" ht="48" customHeight="1">
      <c r="A506" s="3" t="s">
        <v>66</v>
      </c>
      <c r="B506" s="3" t="s">
        <v>65</v>
      </c>
      <c r="C506" s="4">
        <v>46082</v>
      </c>
      <c r="D506" s="4">
        <v>46112</v>
      </c>
      <c r="E506" s="3" t="s">
        <v>68</v>
      </c>
      <c r="F506" s="3" t="s">
        <v>146</v>
      </c>
      <c r="G506" s="5">
        <v>0.19500000000000001</v>
      </c>
      <c r="H506" s="6" t="s">
        <v>70</v>
      </c>
      <c r="I506" s="3" t="s">
        <v>45</v>
      </c>
    </row>
    <row r="507" spans="1:9" ht="48" customHeight="1">
      <c r="A507" s="3" t="s">
        <v>66</v>
      </c>
      <c r="B507" s="3" t="s">
        <v>65</v>
      </c>
      <c r="C507" s="4">
        <v>46082</v>
      </c>
      <c r="D507" s="4">
        <v>46112</v>
      </c>
      <c r="E507" s="3" t="s">
        <v>68</v>
      </c>
      <c r="F507" s="3" t="s">
        <v>147</v>
      </c>
      <c r="G507" s="5">
        <v>7.9000000000000001E-2</v>
      </c>
      <c r="H507" s="6" t="s">
        <v>70</v>
      </c>
      <c r="I507" s="3" t="s">
        <v>45</v>
      </c>
    </row>
    <row r="508" spans="1:9" ht="48" customHeight="1">
      <c r="A508" s="3" t="s">
        <v>66</v>
      </c>
      <c r="B508" s="3" t="s">
        <v>65</v>
      </c>
      <c r="C508" s="4">
        <v>46082</v>
      </c>
      <c r="D508" s="4">
        <v>46112</v>
      </c>
      <c r="E508" s="3" t="s">
        <v>68</v>
      </c>
      <c r="F508" s="3" t="s">
        <v>148</v>
      </c>
      <c r="G508" s="5">
        <v>6.8000000000000005E-2</v>
      </c>
      <c r="H508" s="6" t="s">
        <v>70</v>
      </c>
      <c r="I508" s="3" t="s">
        <v>45</v>
      </c>
    </row>
    <row r="509" spans="1:9" ht="48" customHeight="1">
      <c r="A509" s="3" t="s">
        <v>66</v>
      </c>
      <c r="B509" s="3" t="s">
        <v>65</v>
      </c>
      <c r="C509" s="4">
        <v>46082</v>
      </c>
      <c r="D509" s="4">
        <v>46112</v>
      </c>
      <c r="E509" s="3" t="s">
        <v>68</v>
      </c>
      <c r="F509" s="3" t="s">
        <v>149</v>
      </c>
      <c r="G509" s="5">
        <v>4.8000000000000001E-2</v>
      </c>
      <c r="H509" s="6" t="s">
        <v>70</v>
      </c>
      <c r="I509" s="3" t="s">
        <v>45</v>
      </c>
    </row>
    <row r="510" spans="1:9" ht="48" customHeight="1">
      <c r="A510" s="3" t="s">
        <v>66</v>
      </c>
      <c r="B510" s="3" t="s">
        <v>65</v>
      </c>
      <c r="C510" s="4">
        <v>46082</v>
      </c>
      <c r="D510" s="4">
        <v>46112</v>
      </c>
      <c r="E510" s="3" t="s">
        <v>68</v>
      </c>
      <c r="F510" s="3" t="s">
        <v>150</v>
      </c>
      <c r="G510" s="5">
        <v>3.1E-2</v>
      </c>
      <c r="H510" s="6" t="s">
        <v>70</v>
      </c>
      <c r="I510" s="3" t="s">
        <v>45</v>
      </c>
    </row>
    <row r="511" spans="1:9" ht="48" customHeight="1">
      <c r="A511" s="3" t="s">
        <v>66</v>
      </c>
      <c r="B511" s="3" t="s">
        <v>65</v>
      </c>
      <c r="C511" s="4">
        <v>46082</v>
      </c>
      <c r="D511" s="4">
        <v>46112</v>
      </c>
      <c r="E511" s="3" t="s">
        <v>68</v>
      </c>
      <c r="F511" s="3" t="s">
        <v>151</v>
      </c>
      <c r="G511" s="5">
        <v>2.5000000000000001E-2</v>
      </c>
      <c r="H511" s="6" t="s">
        <v>70</v>
      </c>
      <c r="I511" s="3" t="s">
        <v>45</v>
      </c>
    </row>
    <row r="512" spans="1:9" ht="48" customHeight="1">
      <c r="A512" s="3" t="s">
        <v>66</v>
      </c>
      <c r="B512" s="3" t="s">
        <v>65</v>
      </c>
      <c r="C512" s="4">
        <v>46082</v>
      </c>
      <c r="D512" s="4">
        <v>46112</v>
      </c>
      <c r="E512" s="3" t="s">
        <v>68</v>
      </c>
      <c r="F512" s="3" t="s">
        <v>152</v>
      </c>
      <c r="G512" s="5">
        <v>1.9E-2</v>
      </c>
      <c r="H512" s="6" t="s">
        <v>70</v>
      </c>
      <c r="I512" s="3" t="s">
        <v>45</v>
      </c>
    </row>
    <row r="513" spans="1:9" ht="48" customHeight="1">
      <c r="A513" s="3" t="s">
        <v>66</v>
      </c>
      <c r="B513" s="3" t="s">
        <v>65</v>
      </c>
      <c r="C513" s="4">
        <v>46082</v>
      </c>
      <c r="D513" s="4">
        <v>46112</v>
      </c>
      <c r="E513" s="3" t="s">
        <v>68</v>
      </c>
      <c r="F513" s="3" t="s">
        <v>153</v>
      </c>
      <c r="G513" s="5">
        <v>1.8000000000000002E-2</v>
      </c>
      <c r="H513" s="6" t="s">
        <v>70</v>
      </c>
      <c r="I513" s="3" t="s">
        <v>45</v>
      </c>
    </row>
    <row r="514" spans="1:9" ht="48" customHeight="1">
      <c r="A514" s="3" t="s">
        <v>66</v>
      </c>
      <c r="B514" s="3" t="s">
        <v>65</v>
      </c>
      <c r="C514" s="4">
        <v>46082</v>
      </c>
      <c r="D514" s="4">
        <v>46112</v>
      </c>
      <c r="E514" s="3" t="s">
        <v>68</v>
      </c>
      <c r="F514" s="3" t="s">
        <v>154</v>
      </c>
      <c r="G514" s="5">
        <v>1.3000000000000001E-2</v>
      </c>
      <c r="H514" s="6" t="s">
        <v>70</v>
      </c>
      <c r="I514" s="3" t="s">
        <v>45</v>
      </c>
    </row>
    <row r="515" spans="1:9" ht="48" customHeight="1">
      <c r="A515" s="3" t="s">
        <v>66</v>
      </c>
      <c r="B515" s="3" t="s">
        <v>65</v>
      </c>
      <c r="C515" s="4">
        <v>46082</v>
      </c>
      <c r="D515" s="4">
        <v>46112</v>
      </c>
      <c r="E515" s="3" t="s">
        <v>68</v>
      </c>
      <c r="F515" s="3" t="s">
        <v>155</v>
      </c>
      <c r="G515" s="5">
        <v>1.2E-2</v>
      </c>
      <c r="H515" s="6" t="s">
        <v>70</v>
      </c>
      <c r="I515" s="3" t="s">
        <v>45</v>
      </c>
    </row>
    <row r="516" spans="1:9" ht="48" customHeight="1">
      <c r="A516" s="3" t="s">
        <v>66</v>
      </c>
      <c r="B516" s="3" t="s">
        <v>65</v>
      </c>
      <c r="C516" s="4">
        <v>46082</v>
      </c>
      <c r="D516" s="4">
        <v>46112</v>
      </c>
      <c r="E516" s="3" t="s">
        <v>68</v>
      </c>
      <c r="F516" s="3" t="s">
        <v>156</v>
      </c>
      <c r="G516" s="5">
        <v>6.0000000000000001E-3</v>
      </c>
      <c r="H516" s="6" t="s">
        <v>70</v>
      </c>
      <c r="I516" s="3" t="s">
        <v>45</v>
      </c>
    </row>
    <row r="517" spans="1:9" ht="48" customHeight="1">
      <c r="A517" s="3" t="s">
        <v>66</v>
      </c>
      <c r="B517" s="3" t="s">
        <v>65</v>
      </c>
      <c r="C517" s="4">
        <v>46082</v>
      </c>
      <c r="D517" s="4">
        <v>46112</v>
      </c>
      <c r="E517" s="3" t="s">
        <v>68</v>
      </c>
      <c r="F517" s="3" t="s">
        <v>157</v>
      </c>
      <c r="G517" s="5">
        <v>5.0000000000000001E-3</v>
      </c>
      <c r="H517" s="6" t="s">
        <v>70</v>
      </c>
      <c r="I517" s="3" t="s">
        <v>45</v>
      </c>
    </row>
    <row r="518" spans="1:9" ht="48" customHeight="1">
      <c r="A518" s="3" t="s">
        <v>66</v>
      </c>
      <c r="B518" s="3" t="s">
        <v>65</v>
      </c>
      <c r="C518" s="4">
        <v>46082</v>
      </c>
      <c r="D518" s="4">
        <v>46112</v>
      </c>
      <c r="E518" s="3" t="s">
        <v>68</v>
      </c>
      <c r="F518" s="3" t="s">
        <v>158</v>
      </c>
      <c r="G518" s="5">
        <v>3.0000000000000001E-3</v>
      </c>
      <c r="H518" s="6" t="s">
        <v>70</v>
      </c>
      <c r="I518" s="3" t="s">
        <v>45</v>
      </c>
    </row>
    <row r="519" spans="1:9" ht="48" customHeight="1">
      <c r="A519" s="3" t="s">
        <v>66</v>
      </c>
      <c r="B519" s="3" t="s">
        <v>65</v>
      </c>
      <c r="C519" s="4">
        <v>46082</v>
      </c>
      <c r="D519" s="4">
        <v>46112</v>
      </c>
      <c r="E519" s="3" t="s">
        <v>68</v>
      </c>
      <c r="F519" s="3" t="s">
        <v>159</v>
      </c>
      <c r="G519" s="5">
        <v>2E-3</v>
      </c>
      <c r="H519" s="6" t="s">
        <v>70</v>
      </c>
      <c r="I519" s="3" t="s">
        <v>45</v>
      </c>
    </row>
    <row r="520" spans="1:9" ht="48" customHeight="1">
      <c r="A520" s="3" t="s">
        <v>66</v>
      </c>
      <c r="B520" s="3" t="s">
        <v>65</v>
      </c>
      <c r="C520" s="4">
        <v>46082</v>
      </c>
      <c r="D520" s="4">
        <v>46112</v>
      </c>
      <c r="E520" s="3" t="s">
        <v>68</v>
      </c>
      <c r="F520" s="3" t="s">
        <v>160</v>
      </c>
      <c r="G520" s="5">
        <v>2E-3</v>
      </c>
      <c r="H520" s="6" t="s">
        <v>70</v>
      </c>
      <c r="I520" s="3" t="s">
        <v>45</v>
      </c>
    </row>
    <row r="521" spans="1:9" ht="48" customHeight="1">
      <c r="A521" s="3" t="s">
        <v>66</v>
      </c>
      <c r="B521" s="3" t="s">
        <v>65</v>
      </c>
      <c r="C521" s="4">
        <v>46082</v>
      </c>
      <c r="D521" s="4">
        <v>46112</v>
      </c>
      <c r="E521" s="3" t="s">
        <v>161</v>
      </c>
      <c r="F521" s="3" t="s">
        <v>162</v>
      </c>
      <c r="G521" s="5">
        <v>1.9E-2</v>
      </c>
      <c r="H521" s="6" t="s">
        <v>70</v>
      </c>
      <c r="I521" s="3" t="s">
        <v>45</v>
      </c>
    </row>
    <row r="522" spans="1:9" ht="48" customHeight="1">
      <c r="A522" s="3" t="s">
        <v>66</v>
      </c>
      <c r="B522" s="3" t="s">
        <v>65</v>
      </c>
      <c r="C522" s="4">
        <v>46082</v>
      </c>
      <c r="D522" s="4">
        <v>46112</v>
      </c>
      <c r="E522" s="3" t="s">
        <v>161</v>
      </c>
      <c r="F522" s="3" t="s">
        <v>163</v>
      </c>
      <c r="G522" s="5">
        <v>8.0000000000000002E-3</v>
      </c>
      <c r="H522" s="6" t="s">
        <v>70</v>
      </c>
      <c r="I522" s="3" t="s">
        <v>45</v>
      </c>
    </row>
    <row r="523" spans="1:9" ht="48" customHeight="1">
      <c r="A523" s="3" t="s">
        <v>66</v>
      </c>
      <c r="B523" s="3" t="s">
        <v>65</v>
      </c>
      <c r="C523" s="4">
        <v>46082</v>
      </c>
      <c r="D523" s="4">
        <v>46112</v>
      </c>
      <c r="E523" s="3" t="s">
        <v>161</v>
      </c>
      <c r="F523" s="3" t="s">
        <v>384</v>
      </c>
      <c r="G523" s="5">
        <v>8.0000000000000002E-3</v>
      </c>
      <c r="H523" s="6" t="s">
        <v>70</v>
      </c>
      <c r="I523" s="3" t="s">
        <v>45</v>
      </c>
    </row>
    <row r="524" spans="1:9" ht="48" customHeight="1">
      <c r="A524" s="3" t="s">
        <v>66</v>
      </c>
      <c r="B524" s="3" t="s">
        <v>65</v>
      </c>
      <c r="C524" s="4">
        <v>46082</v>
      </c>
      <c r="D524" s="4">
        <v>46112</v>
      </c>
      <c r="E524" s="3" t="s">
        <v>161</v>
      </c>
      <c r="F524" s="3" t="s">
        <v>164</v>
      </c>
      <c r="G524" s="5">
        <v>6.9999999999999993E-3</v>
      </c>
      <c r="H524" s="6" t="s">
        <v>70</v>
      </c>
      <c r="I524" s="3" t="s">
        <v>45</v>
      </c>
    </row>
    <row r="525" spans="1:9" ht="48" customHeight="1">
      <c r="A525" s="3" t="s">
        <v>66</v>
      </c>
      <c r="B525" s="3" t="s">
        <v>65</v>
      </c>
      <c r="C525" s="4">
        <v>46082</v>
      </c>
      <c r="D525" s="4">
        <v>46112</v>
      </c>
      <c r="E525" s="3" t="s">
        <v>161</v>
      </c>
      <c r="F525" s="3" t="s">
        <v>166</v>
      </c>
      <c r="G525" s="5">
        <v>6.0000000000000001E-3</v>
      </c>
      <c r="H525" s="6" t="s">
        <v>70</v>
      </c>
      <c r="I525" s="3" t="s">
        <v>45</v>
      </c>
    </row>
    <row r="526" spans="1:9" ht="48" customHeight="1">
      <c r="A526" s="3" t="s">
        <v>66</v>
      </c>
      <c r="B526" s="3" t="s">
        <v>65</v>
      </c>
      <c r="C526" s="4">
        <v>46082</v>
      </c>
      <c r="D526" s="4">
        <v>46112</v>
      </c>
      <c r="E526" s="3" t="s">
        <v>161</v>
      </c>
      <c r="F526" s="3" t="s">
        <v>169</v>
      </c>
      <c r="G526" s="5">
        <v>5.0000000000000001E-3</v>
      </c>
      <c r="H526" s="6" t="s">
        <v>70</v>
      </c>
      <c r="I526" s="3" t="s">
        <v>45</v>
      </c>
    </row>
    <row r="527" spans="1:9" ht="48" customHeight="1">
      <c r="A527" s="3" t="s">
        <v>66</v>
      </c>
      <c r="B527" s="3" t="s">
        <v>65</v>
      </c>
      <c r="C527" s="4">
        <v>46082</v>
      </c>
      <c r="D527" s="4">
        <v>46112</v>
      </c>
      <c r="E527" s="3" t="s">
        <v>161</v>
      </c>
      <c r="F527" s="3" t="s">
        <v>165</v>
      </c>
      <c r="G527" s="5">
        <v>5.0000000000000001E-3</v>
      </c>
      <c r="H527" s="6" t="s">
        <v>70</v>
      </c>
      <c r="I527" s="3" t="s">
        <v>45</v>
      </c>
    </row>
    <row r="528" spans="1:9" ht="48" customHeight="1">
      <c r="A528" s="3" t="s">
        <v>66</v>
      </c>
      <c r="B528" s="3" t="s">
        <v>65</v>
      </c>
      <c r="C528" s="4">
        <v>46082</v>
      </c>
      <c r="D528" s="4">
        <v>46112</v>
      </c>
      <c r="E528" s="3" t="s">
        <v>161</v>
      </c>
      <c r="F528" s="3" t="s">
        <v>170</v>
      </c>
      <c r="G528" s="5">
        <v>5.0000000000000001E-3</v>
      </c>
      <c r="H528" s="6" t="s">
        <v>70</v>
      </c>
      <c r="I528" s="3" t="s">
        <v>45</v>
      </c>
    </row>
    <row r="529" spans="1:9" ht="48" customHeight="1">
      <c r="A529" s="3" t="s">
        <v>66</v>
      </c>
      <c r="B529" s="3" t="s">
        <v>65</v>
      </c>
      <c r="C529" s="4">
        <v>46082</v>
      </c>
      <c r="D529" s="4">
        <v>46112</v>
      </c>
      <c r="E529" s="3" t="s">
        <v>161</v>
      </c>
      <c r="F529" s="3" t="s">
        <v>171</v>
      </c>
      <c r="G529" s="5">
        <v>5.0000000000000001E-3</v>
      </c>
      <c r="H529" s="6" t="s">
        <v>70</v>
      </c>
      <c r="I529" s="3" t="s">
        <v>45</v>
      </c>
    </row>
    <row r="530" spans="1:9" ht="48" customHeight="1">
      <c r="A530" s="3" t="s">
        <v>66</v>
      </c>
      <c r="B530" s="3" t="s">
        <v>65</v>
      </c>
      <c r="C530" s="4">
        <v>46082</v>
      </c>
      <c r="D530" s="4">
        <v>46112</v>
      </c>
      <c r="E530" s="3" t="s">
        <v>161</v>
      </c>
      <c r="F530" s="3" t="s">
        <v>172</v>
      </c>
      <c r="G530" s="5">
        <v>5.0000000000000001E-3</v>
      </c>
      <c r="H530" s="6" t="s">
        <v>70</v>
      </c>
      <c r="I530" s="3" t="s">
        <v>45</v>
      </c>
    </row>
    <row r="531" spans="1:9" ht="48" customHeight="1">
      <c r="A531" s="3" t="s">
        <v>66</v>
      </c>
      <c r="B531" s="3" t="s">
        <v>65</v>
      </c>
      <c r="C531" s="4">
        <v>46082</v>
      </c>
      <c r="D531" s="4">
        <v>46112</v>
      </c>
      <c r="E531" s="3" t="s">
        <v>161</v>
      </c>
      <c r="F531" s="3" t="s">
        <v>178</v>
      </c>
      <c r="G531" s="5">
        <v>5.0000000000000001E-3</v>
      </c>
      <c r="H531" s="6" t="s">
        <v>70</v>
      </c>
      <c r="I531" s="3" t="s">
        <v>45</v>
      </c>
    </row>
    <row r="532" spans="1:9" ht="48" customHeight="1">
      <c r="A532" s="3" t="s">
        <v>66</v>
      </c>
      <c r="B532" s="3" t="s">
        <v>65</v>
      </c>
      <c r="C532" s="4">
        <v>46082</v>
      </c>
      <c r="D532" s="4">
        <v>46112</v>
      </c>
      <c r="E532" s="3" t="s">
        <v>161</v>
      </c>
      <c r="F532" s="3" t="s">
        <v>173</v>
      </c>
      <c r="G532" s="5">
        <v>5.0000000000000001E-3</v>
      </c>
      <c r="H532" s="6" t="s">
        <v>70</v>
      </c>
      <c r="I532" s="3" t="s">
        <v>45</v>
      </c>
    </row>
    <row r="533" spans="1:9" ht="48" customHeight="1">
      <c r="A533" s="3" t="s">
        <v>66</v>
      </c>
      <c r="B533" s="3" t="s">
        <v>65</v>
      </c>
      <c r="C533" s="4">
        <v>46082</v>
      </c>
      <c r="D533" s="4">
        <v>46112</v>
      </c>
      <c r="E533" s="3" t="s">
        <v>161</v>
      </c>
      <c r="F533" s="3" t="s">
        <v>174</v>
      </c>
      <c r="G533" s="5">
        <v>4.0000000000000001E-3</v>
      </c>
      <c r="H533" s="6" t="s">
        <v>70</v>
      </c>
      <c r="I533" s="3" t="s">
        <v>45</v>
      </c>
    </row>
    <row r="534" spans="1:9" ht="48" customHeight="1">
      <c r="A534" s="3" t="s">
        <v>66</v>
      </c>
      <c r="B534" s="3" t="s">
        <v>65</v>
      </c>
      <c r="C534" s="4">
        <v>46082</v>
      </c>
      <c r="D534" s="4">
        <v>46112</v>
      </c>
      <c r="E534" s="3" t="s">
        <v>161</v>
      </c>
      <c r="F534" s="3" t="s">
        <v>175</v>
      </c>
      <c r="G534" s="5">
        <v>4.0000000000000001E-3</v>
      </c>
      <c r="H534" s="6" t="s">
        <v>70</v>
      </c>
      <c r="I534" s="3" t="s">
        <v>45</v>
      </c>
    </row>
    <row r="535" spans="1:9" ht="48" customHeight="1">
      <c r="A535" s="3" t="s">
        <v>66</v>
      </c>
      <c r="B535" s="3" t="s">
        <v>65</v>
      </c>
      <c r="C535" s="4">
        <v>46082</v>
      </c>
      <c r="D535" s="4">
        <v>46112</v>
      </c>
      <c r="E535" s="3" t="s">
        <v>161</v>
      </c>
      <c r="F535" s="3" t="s">
        <v>167</v>
      </c>
      <c r="G535" s="5">
        <v>4.0000000000000001E-3</v>
      </c>
      <c r="H535" s="6" t="s">
        <v>70</v>
      </c>
      <c r="I535" s="3" t="s">
        <v>45</v>
      </c>
    </row>
    <row r="536" spans="1:9" ht="48" customHeight="1">
      <c r="A536" s="3" t="s">
        <v>66</v>
      </c>
      <c r="B536" s="3" t="s">
        <v>65</v>
      </c>
      <c r="C536" s="4">
        <v>46082</v>
      </c>
      <c r="D536" s="4">
        <v>46112</v>
      </c>
      <c r="E536" s="3" t="s">
        <v>161</v>
      </c>
      <c r="F536" s="3" t="s">
        <v>168</v>
      </c>
      <c r="G536" s="5">
        <v>4.0000000000000001E-3</v>
      </c>
      <c r="H536" s="6" t="s">
        <v>70</v>
      </c>
      <c r="I536" s="3" t="s">
        <v>45</v>
      </c>
    </row>
    <row r="537" spans="1:9" ht="48" customHeight="1">
      <c r="A537" s="3" t="s">
        <v>66</v>
      </c>
      <c r="B537" s="3" t="s">
        <v>65</v>
      </c>
      <c r="C537" s="4">
        <v>46082</v>
      </c>
      <c r="D537" s="4">
        <v>46112</v>
      </c>
      <c r="E537" s="3" t="s">
        <v>161</v>
      </c>
      <c r="F537" s="3" t="s">
        <v>176</v>
      </c>
      <c r="G537" s="5">
        <v>4.0000000000000001E-3</v>
      </c>
      <c r="H537" s="6" t="s">
        <v>70</v>
      </c>
      <c r="I537" s="3" t="s">
        <v>45</v>
      </c>
    </row>
    <row r="538" spans="1:9" ht="48" customHeight="1">
      <c r="A538" s="3" t="s">
        <v>66</v>
      </c>
      <c r="B538" s="3" t="s">
        <v>65</v>
      </c>
      <c r="C538" s="4">
        <v>46082</v>
      </c>
      <c r="D538" s="4">
        <v>46112</v>
      </c>
      <c r="E538" s="3" t="s">
        <v>161</v>
      </c>
      <c r="F538" s="3" t="s">
        <v>177</v>
      </c>
      <c r="G538" s="5">
        <v>4.0000000000000001E-3</v>
      </c>
      <c r="H538" s="6" t="s">
        <v>70</v>
      </c>
      <c r="I538" s="3" t="s">
        <v>45</v>
      </c>
    </row>
    <row r="539" spans="1:9" ht="48" customHeight="1">
      <c r="A539" s="3" t="s">
        <v>66</v>
      </c>
      <c r="B539" s="3" t="s">
        <v>65</v>
      </c>
      <c r="C539" s="4">
        <v>46082</v>
      </c>
      <c r="D539" s="4">
        <v>46112</v>
      </c>
      <c r="E539" s="3" t="s">
        <v>161</v>
      </c>
      <c r="F539" s="3" t="s">
        <v>179</v>
      </c>
      <c r="G539" s="5">
        <v>4.0000000000000001E-3</v>
      </c>
      <c r="H539" s="6" t="s">
        <v>70</v>
      </c>
      <c r="I539" s="3" t="s">
        <v>45</v>
      </c>
    </row>
    <row r="540" spans="1:9" ht="48" customHeight="1">
      <c r="A540" s="3" t="s">
        <v>66</v>
      </c>
      <c r="B540" s="3" t="s">
        <v>65</v>
      </c>
      <c r="C540" s="4">
        <v>46082</v>
      </c>
      <c r="D540" s="4">
        <v>46112</v>
      </c>
      <c r="E540" s="3" t="s">
        <v>161</v>
      </c>
      <c r="F540" s="3" t="s">
        <v>180</v>
      </c>
      <c r="G540" s="5">
        <v>4.0000000000000001E-3</v>
      </c>
      <c r="H540" s="6" t="s">
        <v>70</v>
      </c>
      <c r="I540" s="3" t="s">
        <v>45</v>
      </c>
    </row>
    <row r="541" spans="1:9" ht="48" customHeight="1">
      <c r="A541" s="3" t="s">
        <v>66</v>
      </c>
      <c r="B541" s="3" t="s">
        <v>65</v>
      </c>
      <c r="C541" s="4">
        <v>46082</v>
      </c>
      <c r="D541" s="4">
        <v>46112</v>
      </c>
      <c r="E541" s="3" t="s">
        <v>161</v>
      </c>
      <c r="F541" s="3" t="s">
        <v>181</v>
      </c>
      <c r="G541" s="5">
        <v>4.0000000000000001E-3</v>
      </c>
      <c r="H541" s="6" t="s">
        <v>70</v>
      </c>
      <c r="I541" s="3" t="s">
        <v>45</v>
      </c>
    </row>
    <row r="542" spans="1:9" ht="48" customHeight="1">
      <c r="A542" s="3" t="s">
        <v>66</v>
      </c>
      <c r="B542" s="3" t="s">
        <v>65</v>
      </c>
      <c r="C542" s="4">
        <v>46082</v>
      </c>
      <c r="D542" s="4">
        <v>46112</v>
      </c>
      <c r="E542" s="3" t="s">
        <v>161</v>
      </c>
      <c r="F542" s="3" t="s">
        <v>183</v>
      </c>
      <c r="G542" s="5">
        <v>4.0000000000000001E-3</v>
      </c>
      <c r="H542" s="6" t="s">
        <v>70</v>
      </c>
      <c r="I542" s="3" t="s">
        <v>45</v>
      </c>
    </row>
    <row r="543" spans="1:9" ht="48" customHeight="1">
      <c r="A543" s="3" t="s">
        <v>66</v>
      </c>
      <c r="B543" s="3" t="s">
        <v>65</v>
      </c>
      <c r="C543" s="4">
        <v>46082</v>
      </c>
      <c r="D543" s="4">
        <v>46112</v>
      </c>
      <c r="E543" s="3" t="s">
        <v>161</v>
      </c>
      <c r="F543" s="3" t="s">
        <v>385</v>
      </c>
      <c r="G543" s="5">
        <v>4.0000000000000001E-3</v>
      </c>
      <c r="H543" s="6" t="s">
        <v>70</v>
      </c>
      <c r="I543" s="3" t="s">
        <v>45</v>
      </c>
    </row>
    <row r="544" spans="1:9" ht="48" customHeight="1">
      <c r="A544" s="3" t="s">
        <v>66</v>
      </c>
      <c r="B544" s="3" t="s">
        <v>65</v>
      </c>
      <c r="C544" s="4">
        <v>46082</v>
      </c>
      <c r="D544" s="4">
        <v>46112</v>
      </c>
      <c r="E544" s="3" t="s">
        <v>161</v>
      </c>
      <c r="F544" s="3" t="s">
        <v>184</v>
      </c>
      <c r="G544" s="5">
        <v>4.0000000000000001E-3</v>
      </c>
      <c r="H544" s="6" t="s">
        <v>70</v>
      </c>
      <c r="I544" s="3" t="s">
        <v>45</v>
      </c>
    </row>
    <row r="545" spans="1:9" ht="48" customHeight="1">
      <c r="A545" s="3" t="s">
        <v>66</v>
      </c>
      <c r="B545" s="3" t="s">
        <v>65</v>
      </c>
      <c r="C545" s="4">
        <v>46082</v>
      </c>
      <c r="D545" s="4">
        <v>46112</v>
      </c>
      <c r="E545" s="3" t="s">
        <v>161</v>
      </c>
      <c r="F545" s="3" t="s">
        <v>185</v>
      </c>
      <c r="G545" s="5">
        <v>3.0000000000000001E-3</v>
      </c>
      <c r="H545" s="6" t="s">
        <v>70</v>
      </c>
      <c r="I545" s="3" t="s">
        <v>45</v>
      </c>
    </row>
    <row r="546" spans="1:9" ht="48" customHeight="1">
      <c r="A546" s="3" t="s">
        <v>66</v>
      </c>
      <c r="B546" s="3" t="s">
        <v>65</v>
      </c>
      <c r="C546" s="4">
        <v>46082</v>
      </c>
      <c r="D546" s="4">
        <v>46112</v>
      </c>
      <c r="E546" s="3" t="s">
        <v>161</v>
      </c>
      <c r="F546" s="3" t="s">
        <v>186</v>
      </c>
      <c r="G546" s="5">
        <v>3.0000000000000001E-3</v>
      </c>
      <c r="H546" s="6" t="s">
        <v>70</v>
      </c>
      <c r="I546" s="3" t="s">
        <v>45</v>
      </c>
    </row>
    <row r="547" spans="1:9" ht="48" customHeight="1">
      <c r="A547" s="3" t="s">
        <v>66</v>
      </c>
      <c r="B547" s="3" t="s">
        <v>65</v>
      </c>
      <c r="C547" s="4">
        <v>46082</v>
      </c>
      <c r="D547" s="4">
        <v>46112</v>
      </c>
      <c r="E547" s="3" t="s">
        <v>161</v>
      </c>
      <c r="F547" s="3" t="s">
        <v>194</v>
      </c>
      <c r="G547" s="5">
        <v>3.0000000000000001E-3</v>
      </c>
      <c r="H547" s="6" t="s">
        <v>70</v>
      </c>
      <c r="I547" s="3" t="s">
        <v>45</v>
      </c>
    </row>
    <row r="548" spans="1:9" ht="48" customHeight="1">
      <c r="A548" s="3" t="s">
        <v>66</v>
      </c>
      <c r="B548" s="3" t="s">
        <v>65</v>
      </c>
      <c r="C548" s="4">
        <v>46082</v>
      </c>
      <c r="D548" s="4">
        <v>46112</v>
      </c>
      <c r="E548" s="3" t="s">
        <v>161</v>
      </c>
      <c r="F548" s="3" t="s">
        <v>188</v>
      </c>
      <c r="G548" s="5">
        <v>3.0000000000000001E-3</v>
      </c>
      <c r="H548" s="6" t="s">
        <v>70</v>
      </c>
      <c r="I548" s="3" t="s">
        <v>45</v>
      </c>
    </row>
    <row r="549" spans="1:9" ht="48" customHeight="1">
      <c r="A549" s="3" t="s">
        <v>66</v>
      </c>
      <c r="B549" s="3" t="s">
        <v>65</v>
      </c>
      <c r="C549" s="4">
        <v>46082</v>
      </c>
      <c r="D549" s="4">
        <v>46112</v>
      </c>
      <c r="E549" s="3" t="s">
        <v>161</v>
      </c>
      <c r="F549" s="3" t="s">
        <v>182</v>
      </c>
      <c r="G549" s="5">
        <v>3.0000000000000001E-3</v>
      </c>
      <c r="H549" s="6" t="s">
        <v>70</v>
      </c>
      <c r="I549" s="3" t="s">
        <v>45</v>
      </c>
    </row>
    <row r="550" spans="1:9" ht="48" customHeight="1">
      <c r="A550" s="3" t="s">
        <v>66</v>
      </c>
      <c r="B550" s="3" t="s">
        <v>65</v>
      </c>
      <c r="C550" s="4">
        <v>46082</v>
      </c>
      <c r="D550" s="4">
        <v>46112</v>
      </c>
      <c r="E550" s="3" t="s">
        <v>161</v>
      </c>
      <c r="F550" s="3" t="s">
        <v>386</v>
      </c>
      <c r="G550" s="5">
        <v>3.0000000000000001E-3</v>
      </c>
      <c r="H550" s="6" t="s">
        <v>70</v>
      </c>
      <c r="I550" s="3" t="s">
        <v>45</v>
      </c>
    </row>
    <row r="551" spans="1:9" ht="48" customHeight="1">
      <c r="A551" s="3" t="s">
        <v>66</v>
      </c>
      <c r="B551" s="3" t="s">
        <v>65</v>
      </c>
      <c r="C551" s="4">
        <v>46082</v>
      </c>
      <c r="D551" s="4">
        <v>46112</v>
      </c>
      <c r="E551" s="3" t="s">
        <v>161</v>
      </c>
      <c r="F551" s="3" t="s">
        <v>387</v>
      </c>
      <c r="G551" s="5">
        <v>3.0000000000000001E-3</v>
      </c>
      <c r="H551" s="6" t="s">
        <v>70</v>
      </c>
      <c r="I551" s="3" t="s">
        <v>45</v>
      </c>
    </row>
    <row r="552" spans="1:9" ht="48" customHeight="1">
      <c r="A552" s="3" t="s">
        <v>66</v>
      </c>
      <c r="B552" s="3" t="s">
        <v>65</v>
      </c>
      <c r="C552" s="4">
        <v>46082</v>
      </c>
      <c r="D552" s="4">
        <v>46112</v>
      </c>
      <c r="E552" s="3" t="s">
        <v>161</v>
      </c>
      <c r="F552" s="3" t="s">
        <v>189</v>
      </c>
      <c r="G552" s="5">
        <v>2E-3</v>
      </c>
      <c r="H552" s="6" t="s">
        <v>70</v>
      </c>
      <c r="I552" s="3" t="s">
        <v>45</v>
      </c>
    </row>
    <row r="553" spans="1:9" ht="48" customHeight="1">
      <c r="A553" s="3" t="s">
        <v>66</v>
      </c>
      <c r="B553" s="3" t="s">
        <v>65</v>
      </c>
      <c r="C553" s="4">
        <v>46082</v>
      </c>
      <c r="D553" s="4">
        <v>46112</v>
      </c>
      <c r="E553" s="3" t="s">
        <v>161</v>
      </c>
      <c r="F553" s="3" t="s">
        <v>190</v>
      </c>
      <c r="G553" s="5">
        <v>2E-3</v>
      </c>
      <c r="H553" s="6" t="s">
        <v>70</v>
      </c>
      <c r="I553" s="3" t="s">
        <v>45</v>
      </c>
    </row>
    <row r="554" spans="1:9" ht="48" customHeight="1">
      <c r="A554" s="3" t="s">
        <v>66</v>
      </c>
      <c r="B554" s="3" t="s">
        <v>65</v>
      </c>
      <c r="C554" s="4">
        <v>46082</v>
      </c>
      <c r="D554" s="4">
        <v>46112</v>
      </c>
      <c r="E554" s="3" t="s">
        <v>161</v>
      </c>
      <c r="F554" s="3" t="s">
        <v>191</v>
      </c>
      <c r="G554" s="5">
        <v>2E-3</v>
      </c>
      <c r="H554" s="6" t="s">
        <v>70</v>
      </c>
      <c r="I554" s="3" t="s">
        <v>45</v>
      </c>
    </row>
    <row r="555" spans="1:9" ht="48" customHeight="1">
      <c r="A555" s="3" t="s">
        <v>66</v>
      </c>
      <c r="B555" s="3" t="s">
        <v>65</v>
      </c>
      <c r="C555" s="4">
        <v>46082</v>
      </c>
      <c r="D555" s="4">
        <v>46112</v>
      </c>
      <c r="E555" s="3" t="s">
        <v>161</v>
      </c>
      <c r="F555" s="3" t="s">
        <v>187</v>
      </c>
      <c r="G555" s="5">
        <v>2E-3</v>
      </c>
      <c r="H555" s="6" t="s">
        <v>70</v>
      </c>
      <c r="I555" s="3" t="s">
        <v>45</v>
      </c>
    </row>
    <row r="556" spans="1:9" ht="48" customHeight="1">
      <c r="A556" s="3" t="s">
        <v>66</v>
      </c>
      <c r="B556" s="3" t="s">
        <v>65</v>
      </c>
      <c r="C556" s="4">
        <v>46082</v>
      </c>
      <c r="D556" s="4">
        <v>46112</v>
      </c>
      <c r="E556" s="3" t="s">
        <v>161</v>
      </c>
      <c r="F556" s="3" t="s">
        <v>192</v>
      </c>
      <c r="G556" s="5">
        <v>2E-3</v>
      </c>
      <c r="H556" s="6" t="s">
        <v>70</v>
      </c>
      <c r="I556" s="3" t="s">
        <v>45</v>
      </c>
    </row>
    <row r="557" spans="1:9" ht="48" customHeight="1">
      <c r="A557" s="3" t="s">
        <v>66</v>
      </c>
      <c r="B557" s="3" t="s">
        <v>65</v>
      </c>
      <c r="C557" s="4">
        <v>46082</v>
      </c>
      <c r="D557" s="4">
        <v>46112</v>
      </c>
      <c r="E557" s="3" t="s">
        <v>161</v>
      </c>
      <c r="F557" s="3" t="s">
        <v>195</v>
      </c>
      <c r="G557" s="5">
        <v>2E-3</v>
      </c>
      <c r="H557" s="6" t="s">
        <v>70</v>
      </c>
      <c r="I557" s="3" t="s">
        <v>45</v>
      </c>
    </row>
    <row r="558" spans="1:9" ht="48" customHeight="1">
      <c r="A558" s="3" t="s">
        <v>66</v>
      </c>
      <c r="B558" s="3" t="s">
        <v>65</v>
      </c>
      <c r="C558" s="4">
        <v>46082</v>
      </c>
      <c r="D558" s="4">
        <v>46112</v>
      </c>
      <c r="E558" s="3" t="s">
        <v>161</v>
      </c>
      <c r="F558" s="3" t="s">
        <v>196</v>
      </c>
      <c r="G558" s="5">
        <v>2E-3</v>
      </c>
      <c r="H558" s="6" t="s">
        <v>70</v>
      </c>
      <c r="I558" s="3" t="s">
        <v>45</v>
      </c>
    </row>
    <row r="559" spans="1:9" ht="48" customHeight="1">
      <c r="A559" s="3" t="s">
        <v>66</v>
      </c>
      <c r="B559" s="3" t="s">
        <v>65</v>
      </c>
      <c r="C559" s="4">
        <v>46082</v>
      </c>
      <c r="D559" s="4">
        <v>46112</v>
      </c>
      <c r="E559" s="3" t="s">
        <v>161</v>
      </c>
      <c r="F559" s="3" t="s">
        <v>197</v>
      </c>
      <c r="G559" s="5">
        <v>1E-3</v>
      </c>
      <c r="H559" s="6" t="s">
        <v>70</v>
      </c>
      <c r="I559" s="3" t="s">
        <v>45</v>
      </c>
    </row>
    <row r="560" spans="1:9" ht="48" customHeight="1">
      <c r="A560" s="3" t="s">
        <v>66</v>
      </c>
      <c r="B560" s="3" t="s">
        <v>65</v>
      </c>
      <c r="C560" s="4">
        <v>46082</v>
      </c>
      <c r="D560" s="4">
        <v>46112</v>
      </c>
      <c r="E560" s="3" t="s">
        <v>161</v>
      </c>
      <c r="F560" s="3" t="s">
        <v>198</v>
      </c>
      <c r="G560" s="5">
        <v>1E-3</v>
      </c>
      <c r="H560" s="6" t="s">
        <v>70</v>
      </c>
      <c r="I560" s="3" t="s">
        <v>45</v>
      </c>
    </row>
    <row r="561" spans="1:9" ht="48" customHeight="1">
      <c r="A561" s="3" t="s">
        <v>66</v>
      </c>
      <c r="B561" s="3" t="s">
        <v>65</v>
      </c>
      <c r="C561" s="4">
        <v>46082</v>
      </c>
      <c r="D561" s="4">
        <v>46112</v>
      </c>
      <c r="E561" s="3" t="s">
        <v>161</v>
      </c>
      <c r="F561" s="3" t="s">
        <v>193</v>
      </c>
      <c r="G561" s="5">
        <v>1E-3</v>
      </c>
      <c r="H561" s="6" t="s">
        <v>70</v>
      </c>
      <c r="I561" s="3" t="s">
        <v>45</v>
      </c>
    </row>
    <row r="562" spans="1:9" ht="48" customHeight="1">
      <c r="A562" s="3" t="s">
        <v>66</v>
      </c>
      <c r="B562" s="3" t="s">
        <v>65</v>
      </c>
      <c r="C562" s="4">
        <v>46082</v>
      </c>
      <c r="D562" s="4">
        <v>46112</v>
      </c>
      <c r="E562" s="3" t="s">
        <v>161</v>
      </c>
      <c r="F562" s="3" t="s">
        <v>199</v>
      </c>
      <c r="G562" s="5">
        <v>1E-3</v>
      </c>
      <c r="H562" s="6" t="s">
        <v>70</v>
      </c>
      <c r="I562" s="3" t="s">
        <v>45</v>
      </c>
    </row>
    <row r="563" spans="1:9" ht="48" customHeight="1">
      <c r="A563" s="3" t="s">
        <v>66</v>
      </c>
      <c r="B563" s="3" t="s">
        <v>65</v>
      </c>
      <c r="C563" s="4">
        <v>46082</v>
      </c>
      <c r="D563" s="4">
        <v>46112</v>
      </c>
      <c r="E563" s="3" t="s">
        <v>161</v>
      </c>
      <c r="F563" s="3" t="s">
        <v>200</v>
      </c>
      <c r="G563" s="5">
        <v>1E-3</v>
      </c>
      <c r="H563" s="6" t="s">
        <v>70</v>
      </c>
      <c r="I563" s="3" t="s">
        <v>45</v>
      </c>
    </row>
    <row r="564" spans="1:9" ht="48" customHeight="1">
      <c r="A564" s="3" t="s">
        <v>66</v>
      </c>
      <c r="B564" s="3" t="s">
        <v>65</v>
      </c>
      <c r="C564" s="4">
        <v>46082</v>
      </c>
      <c r="D564" s="4">
        <v>46112</v>
      </c>
      <c r="E564" s="3" t="s">
        <v>161</v>
      </c>
      <c r="F564" s="3" t="s">
        <v>201</v>
      </c>
      <c r="G564" s="5">
        <v>1E-3</v>
      </c>
      <c r="H564" s="6" t="s">
        <v>70</v>
      </c>
      <c r="I564" s="3" t="s">
        <v>45</v>
      </c>
    </row>
    <row r="565" spans="1:9" ht="48" customHeight="1">
      <c r="A565" s="3" t="s">
        <v>66</v>
      </c>
      <c r="B565" s="3" t="s">
        <v>65</v>
      </c>
      <c r="C565" s="4">
        <v>46082</v>
      </c>
      <c r="D565" s="4">
        <v>46112</v>
      </c>
      <c r="E565" s="3" t="s">
        <v>161</v>
      </c>
      <c r="F565" s="3" t="s">
        <v>202</v>
      </c>
      <c r="G565" s="5">
        <v>0</v>
      </c>
      <c r="H565" s="6" t="s">
        <v>70</v>
      </c>
      <c r="I565" s="3" t="s">
        <v>45</v>
      </c>
    </row>
    <row r="566" spans="1:9" ht="48" customHeight="1">
      <c r="A566" s="3" t="s">
        <v>66</v>
      </c>
      <c r="B566" s="3" t="s">
        <v>65</v>
      </c>
      <c r="C566" s="4">
        <v>46082</v>
      </c>
      <c r="D566" s="4">
        <v>46112</v>
      </c>
      <c r="E566" s="3" t="s">
        <v>161</v>
      </c>
      <c r="F566" s="3" t="s">
        <v>203</v>
      </c>
      <c r="G566" s="5">
        <v>0</v>
      </c>
      <c r="H566" s="6" t="s">
        <v>70</v>
      </c>
      <c r="I566" s="3" t="s">
        <v>45</v>
      </c>
    </row>
    <row r="567" spans="1:9" ht="48" customHeight="1">
      <c r="A567" s="3" t="s">
        <v>66</v>
      </c>
      <c r="B567" s="3" t="s">
        <v>65</v>
      </c>
      <c r="C567" s="4">
        <v>46082</v>
      </c>
      <c r="D567" s="4">
        <v>46112</v>
      </c>
      <c r="E567" s="3" t="s">
        <v>161</v>
      </c>
      <c r="F567" s="3" t="s">
        <v>204</v>
      </c>
      <c r="G567" s="5">
        <v>0</v>
      </c>
      <c r="H567" s="6" t="s">
        <v>70</v>
      </c>
      <c r="I567" s="3" t="s">
        <v>45</v>
      </c>
    </row>
    <row r="568" spans="1:9" ht="48" customHeight="1">
      <c r="A568" s="3" t="s">
        <v>66</v>
      </c>
      <c r="B568" s="3" t="s">
        <v>65</v>
      </c>
      <c r="C568" s="4">
        <v>46082</v>
      </c>
      <c r="D568" s="4">
        <v>46112</v>
      </c>
      <c r="E568" s="3" t="s">
        <v>205</v>
      </c>
      <c r="F568" s="3" t="s">
        <v>207</v>
      </c>
      <c r="G568" s="5">
        <v>5.0000000000000001E-3</v>
      </c>
      <c r="H568" s="6" t="s">
        <v>70</v>
      </c>
      <c r="I568" s="3" t="s">
        <v>45</v>
      </c>
    </row>
    <row r="569" spans="1:9" ht="48" customHeight="1">
      <c r="A569" s="3" t="s">
        <v>66</v>
      </c>
      <c r="B569" s="3" t="s">
        <v>65</v>
      </c>
      <c r="C569" s="4">
        <v>46082</v>
      </c>
      <c r="D569" s="4">
        <v>46112</v>
      </c>
      <c r="E569" s="3" t="s">
        <v>205</v>
      </c>
      <c r="F569" s="3" t="s">
        <v>208</v>
      </c>
      <c r="G569" s="5">
        <v>5.0000000000000001E-3</v>
      </c>
      <c r="H569" s="6" t="s">
        <v>70</v>
      </c>
      <c r="I569" s="3" t="s">
        <v>45</v>
      </c>
    </row>
    <row r="570" spans="1:9" ht="48" customHeight="1">
      <c r="A570" s="3" t="s">
        <v>66</v>
      </c>
      <c r="B570" s="3" t="s">
        <v>65</v>
      </c>
      <c r="C570" s="4">
        <v>46082</v>
      </c>
      <c r="D570" s="4">
        <v>46112</v>
      </c>
      <c r="E570" s="3" t="s">
        <v>205</v>
      </c>
      <c r="F570" s="3" t="s">
        <v>206</v>
      </c>
      <c r="G570" s="5">
        <v>5.0000000000000001E-3</v>
      </c>
      <c r="H570" s="6" t="s">
        <v>70</v>
      </c>
      <c r="I570" s="3" t="s">
        <v>45</v>
      </c>
    </row>
    <row r="571" spans="1:9" ht="48" customHeight="1">
      <c r="A571" s="3" t="s">
        <v>66</v>
      </c>
      <c r="B571" s="3" t="s">
        <v>65</v>
      </c>
      <c r="C571" s="4">
        <v>46082</v>
      </c>
      <c r="D571" s="4">
        <v>46112</v>
      </c>
      <c r="E571" s="3" t="s">
        <v>205</v>
      </c>
      <c r="F571" s="3" t="s">
        <v>210</v>
      </c>
      <c r="G571" s="5">
        <v>5.0000000000000001E-3</v>
      </c>
      <c r="H571" s="6" t="s">
        <v>70</v>
      </c>
      <c r="I571" s="3" t="s">
        <v>45</v>
      </c>
    </row>
    <row r="572" spans="1:9" ht="48" customHeight="1">
      <c r="A572" s="3" t="s">
        <v>66</v>
      </c>
      <c r="B572" s="3" t="s">
        <v>65</v>
      </c>
      <c r="C572" s="4">
        <v>46082</v>
      </c>
      <c r="D572" s="4">
        <v>46112</v>
      </c>
      <c r="E572" s="3" t="s">
        <v>205</v>
      </c>
      <c r="F572" s="3" t="s">
        <v>212</v>
      </c>
      <c r="G572" s="5">
        <v>4.0000000000000001E-3</v>
      </c>
      <c r="H572" s="6" t="s">
        <v>70</v>
      </c>
      <c r="I572" s="3" t="s">
        <v>45</v>
      </c>
    </row>
    <row r="573" spans="1:9" ht="48" customHeight="1">
      <c r="A573" s="3" t="s">
        <v>66</v>
      </c>
      <c r="B573" s="3" t="s">
        <v>65</v>
      </c>
      <c r="C573" s="4">
        <v>46082</v>
      </c>
      <c r="D573" s="4">
        <v>46112</v>
      </c>
      <c r="E573" s="3" t="s">
        <v>205</v>
      </c>
      <c r="F573" s="3" t="s">
        <v>213</v>
      </c>
      <c r="G573" s="5">
        <v>4.0000000000000001E-3</v>
      </c>
      <c r="H573" s="6" t="s">
        <v>70</v>
      </c>
      <c r="I573" s="3" t="s">
        <v>45</v>
      </c>
    </row>
    <row r="574" spans="1:9" ht="48" customHeight="1">
      <c r="A574" s="3" t="s">
        <v>66</v>
      </c>
      <c r="B574" s="3" t="s">
        <v>65</v>
      </c>
      <c r="C574" s="4">
        <v>46082</v>
      </c>
      <c r="D574" s="4">
        <v>46112</v>
      </c>
      <c r="E574" s="3" t="s">
        <v>205</v>
      </c>
      <c r="F574" s="3" t="s">
        <v>214</v>
      </c>
      <c r="G574" s="5">
        <v>4.0000000000000001E-3</v>
      </c>
      <c r="H574" s="6" t="s">
        <v>70</v>
      </c>
      <c r="I574" s="3" t="s">
        <v>45</v>
      </c>
    </row>
    <row r="575" spans="1:9" ht="48" customHeight="1">
      <c r="A575" s="3" t="s">
        <v>66</v>
      </c>
      <c r="B575" s="3" t="s">
        <v>65</v>
      </c>
      <c r="C575" s="4">
        <v>46082</v>
      </c>
      <c r="D575" s="4">
        <v>46112</v>
      </c>
      <c r="E575" s="3" t="s">
        <v>205</v>
      </c>
      <c r="F575" s="3" t="s">
        <v>209</v>
      </c>
      <c r="G575" s="5">
        <v>4.0000000000000001E-3</v>
      </c>
      <c r="H575" s="6" t="s">
        <v>70</v>
      </c>
      <c r="I575" s="3" t="s">
        <v>45</v>
      </c>
    </row>
    <row r="576" spans="1:9" ht="48" customHeight="1">
      <c r="A576" s="3" t="s">
        <v>66</v>
      </c>
      <c r="B576" s="3" t="s">
        <v>65</v>
      </c>
      <c r="C576" s="4">
        <v>46082</v>
      </c>
      <c r="D576" s="4">
        <v>46112</v>
      </c>
      <c r="E576" s="3" t="s">
        <v>205</v>
      </c>
      <c r="F576" s="3" t="s">
        <v>216</v>
      </c>
      <c r="G576" s="5">
        <v>4.0000000000000001E-3</v>
      </c>
      <c r="H576" s="6" t="s">
        <v>70</v>
      </c>
      <c r="I576" s="3" t="s">
        <v>45</v>
      </c>
    </row>
    <row r="577" spans="1:9" ht="48" customHeight="1">
      <c r="A577" s="3" t="s">
        <v>66</v>
      </c>
      <c r="B577" s="3" t="s">
        <v>65</v>
      </c>
      <c r="C577" s="4">
        <v>46082</v>
      </c>
      <c r="D577" s="4">
        <v>46112</v>
      </c>
      <c r="E577" s="3" t="s">
        <v>205</v>
      </c>
      <c r="F577" s="3" t="s">
        <v>219</v>
      </c>
      <c r="G577" s="5">
        <v>3.0000000000000001E-3</v>
      </c>
      <c r="H577" s="6" t="s">
        <v>70</v>
      </c>
      <c r="I577" s="3" t="s">
        <v>45</v>
      </c>
    </row>
    <row r="578" spans="1:9" ht="48" customHeight="1">
      <c r="A578" s="3" t="s">
        <v>66</v>
      </c>
      <c r="B578" s="3" t="s">
        <v>65</v>
      </c>
      <c r="C578" s="4">
        <v>46082</v>
      </c>
      <c r="D578" s="4">
        <v>46112</v>
      </c>
      <c r="E578" s="3" t="s">
        <v>205</v>
      </c>
      <c r="F578" s="3" t="s">
        <v>220</v>
      </c>
      <c r="G578" s="5">
        <v>3.0000000000000001E-3</v>
      </c>
      <c r="H578" s="6" t="s">
        <v>70</v>
      </c>
      <c r="I578" s="3" t="s">
        <v>45</v>
      </c>
    </row>
    <row r="579" spans="1:9" ht="48" customHeight="1">
      <c r="A579" s="3" t="s">
        <v>66</v>
      </c>
      <c r="B579" s="3" t="s">
        <v>65</v>
      </c>
      <c r="C579" s="4">
        <v>46082</v>
      </c>
      <c r="D579" s="4">
        <v>46112</v>
      </c>
      <c r="E579" s="3" t="s">
        <v>205</v>
      </c>
      <c r="F579" s="3" t="s">
        <v>211</v>
      </c>
      <c r="G579" s="5">
        <v>3.0000000000000001E-3</v>
      </c>
      <c r="H579" s="6" t="s">
        <v>70</v>
      </c>
      <c r="I579" s="3" t="s">
        <v>45</v>
      </c>
    </row>
    <row r="580" spans="1:9" ht="48" customHeight="1">
      <c r="A580" s="3" t="s">
        <v>66</v>
      </c>
      <c r="B580" s="3" t="s">
        <v>65</v>
      </c>
      <c r="C580" s="4">
        <v>46082</v>
      </c>
      <c r="D580" s="4">
        <v>46112</v>
      </c>
      <c r="E580" s="3" t="s">
        <v>205</v>
      </c>
      <c r="F580" s="3" t="s">
        <v>222</v>
      </c>
      <c r="G580" s="5">
        <v>3.0000000000000001E-3</v>
      </c>
      <c r="H580" s="6" t="s">
        <v>70</v>
      </c>
      <c r="I580" s="3" t="s">
        <v>45</v>
      </c>
    </row>
    <row r="581" spans="1:9" ht="48" customHeight="1">
      <c r="A581" s="3" t="s">
        <v>66</v>
      </c>
      <c r="B581" s="3" t="s">
        <v>65</v>
      </c>
      <c r="C581" s="4">
        <v>46082</v>
      </c>
      <c r="D581" s="4">
        <v>46112</v>
      </c>
      <c r="E581" s="3" t="s">
        <v>205</v>
      </c>
      <c r="F581" s="3" t="s">
        <v>228</v>
      </c>
      <c r="G581" s="5">
        <v>3.0000000000000001E-3</v>
      </c>
      <c r="H581" s="6" t="s">
        <v>70</v>
      </c>
      <c r="I581" s="3" t="s">
        <v>45</v>
      </c>
    </row>
    <row r="582" spans="1:9" ht="48" customHeight="1">
      <c r="A582" s="3" t="s">
        <v>66</v>
      </c>
      <c r="B582" s="3" t="s">
        <v>65</v>
      </c>
      <c r="C582" s="4">
        <v>46082</v>
      </c>
      <c r="D582" s="4">
        <v>46112</v>
      </c>
      <c r="E582" s="3" t="s">
        <v>205</v>
      </c>
      <c r="F582" s="3" t="s">
        <v>215</v>
      </c>
      <c r="G582" s="5">
        <v>3.0000000000000001E-3</v>
      </c>
      <c r="H582" s="6" t="s">
        <v>70</v>
      </c>
      <c r="I582" s="3" t="s">
        <v>45</v>
      </c>
    </row>
    <row r="583" spans="1:9" ht="48" customHeight="1">
      <c r="A583" s="3" t="s">
        <v>66</v>
      </c>
      <c r="B583" s="3" t="s">
        <v>65</v>
      </c>
      <c r="C583" s="4">
        <v>46082</v>
      </c>
      <c r="D583" s="4">
        <v>46112</v>
      </c>
      <c r="E583" s="3" t="s">
        <v>205</v>
      </c>
      <c r="F583" s="3" t="s">
        <v>223</v>
      </c>
      <c r="G583" s="5">
        <v>2E-3</v>
      </c>
      <c r="H583" s="6" t="s">
        <v>70</v>
      </c>
      <c r="I583" s="3" t="s">
        <v>45</v>
      </c>
    </row>
    <row r="584" spans="1:9" ht="48" customHeight="1">
      <c r="A584" s="3" t="s">
        <v>66</v>
      </c>
      <c r="B584" s="3" t="s">
        <v>65</v>
      </c>
      <c r="C584" s="4">
        <v>46082</v>
      </c>
      <c r="D584" s="4">
        <v>46112</v>
      </c>
      <c r="E584" s="3" t="s">
        <v>205</v>
      </c>
      <c r="F584" s="3" t="s">
        <v>224</v>
      </c>
      <c r="G584" s="5">
        <v>2E-3</v>
      </c>
      <c r="H584" s="6" t="s">
        <v>70</v>
      </c>
      <c r="I584" s="3" t="s">
        <v>45</v>
      </c>
    </row>
    <row r="585" spans="1:9" ht="48" customHeight="1">
      <c r="A585" s="3" t="s">
        <v>66</v>
      </c>
      <c r="B585" s="3" t="s">
        <v>65</v>
      </c>
      <c r="C585" s="4">
        <v>46082</v>
      </c>
      <c r="D585" s="4">
        <v>46112</v>
      </c>
      <c r="E585" s="3" t="s">
        <v>205</v>
      </c>
      <c r="F585" s="3" t="s">
        <v>217</v>
      </c>
      <c r="G585" s="5">
        <v>2E-3</v>
      </c>
      <c r="H585" s="6" t="s">
        <v>70</v>
      </c>
      <c r="I585" s="3" t="s">
        <v>45</v>
      </c>
    </row>
    <row r="586" spans="1:9" ht="48" customHeight="1">
      <c r="A586" s="3" t="s">
        <v>66</v>
      </c>
      <c r="B586" s="3" t="s">
        <v>65</v>
      </c>
      <c r="C586" s="4">
        <v>46082</v>
      </c>
      <c r="D586" s="4">
        <v>46112</v>
      </c>
      <c r="E586" s="3" t="s">
        <v>205</v>
      </c>
      <c r="F586" s="3" t="s">
        <v>218</v>
      </c>
      <c r="G586" s="5">
        <v>2E-3</v>
      </c>
      <c r="H586" s="6" t="s">
        <v>70</v>
      </c>
      <c r="I586" s="3" t="s">
        <v>45</v>
      </c>
    </row>
    <row r="587" spans="1:9" ht="48" customHeight="1">
      <c r="A587" s="3" t="s">
        <v>66</v>
      </c>
      <c r="B587" s="3" t="s">
        <v>65</v>
      </c>
      <c r="C587" s="4">
        <v>46082</v>
      </c>
      <c r="D587" s="4">
        <v>46112</v>
      </c>
      <c r="E587" s="3" t="s">
        <v>205</v>
      </c>
      <c r="F587" s="3" t="s">
        <v>225</v>
      </c>
      <c r="G587" s="5">
        <v>2E-3</v>
      </c>
      <c r="H587" s="6" t="s">
        <v>70</v>
      </c>
      <c r="I587" s="3" t="s">
        <v>45</v>
      </c>
    </row>
    <row r="588" spans="1:9" ht="48" customHeight="1">
      <c r="A588" s="3" t="s">
        <v>66</v>
      </c>
      <c r="B588" s="3" t="s">
        <v>65</v>
      </c>
      <c r="C588" s="4">
        <v>46082</v>
      </c>
      <c r="D588" s="4">
        <v>46112</v>
      </c>
      <c r="E588" s="3" t="s">
        <v>205</v>
      </c>
      <c r="F588" s="3" t="s">
        <v>226</v>
      </c>
      <c r="G588" s="5">
        <v>2E-3</v>
      </c>
      <c r="H588" s="6" t="s">
        <v>70</v>
      </c>
      <c r="I588" s="3" t="s">
        <v>45</v>
      </c>
    </row>
    <row r="589" spans="1:9" ht="48" customHeight="1">
      <c r="A589" s="3" t="s">
        <v>66</v>
      </c>
      <c r="B589" s="3" t="s">
        <v>65</v>
      </c>
      <c r="C589" s="4">
        <v>46082</v>
      </c>
      <c r="D589" s="4">
        <v>46112</v>
      </c>
      <c r="E589" s="3" t="s">
        <v>205</v>
      </c>
      <c r="F589" s="3" t="s">
        <v>227</v>
      </c>
      <c r="G589" s="5">
        <v>2E-3</v>
      </c>
      <c r="H589" s="6" t="s">
        <v>70</v>
      </c>
      <c r="I589" s="3" t="s">
        <v>45</v>
      </c>
    </row>
    <row r="590" spans="1:9" ht="48" customHeight="1">
      <c r="A590" s="3" t="s">
        <v>66</v>
      </c>
      <c r="B590" s="3" t="s">
        <v>65</v>
      </c>
      <c r="C590" s="4">
        <v>46082</v>
      </c>
      <c r="D590" s="4">
        <v>46112</v>
      </c>
      <c r="E590" s="3" t="s">
        <v>205</v>
      </c>
      <c r="F590" s="3" t="s">
        <v>221</v>
      </c>
      <c r="G590" s="5">
        <v>2E-3</v>
      </c>
      <c r="H590" s="6" t="s">
        <v>70</v>
      </c>
      <c r="I590" s="3" t="s">
        <v>45</v>
      </c>
    </row>
    <row r="591" spans="1:9" ht="48" customHeight="1">
      <c r="A591" s="3" t="s">
        <v>66</v>
      </c>
      <c r="B591" s="3" t="s">
        <v>65</v>
      </c>
      <c r="C591" s="4">
        <v>46082</v>
      </c>
      <c r="D591" s="4">
        <v>46112</v>
      </c>
      <c r="E591" s="3" t="s">
        <v>205</v>
      </c>
      <c r="F591" s="3" t="s">
        <v>229</v>
      </c>
      <c r="G591" s="5">
        <v>1E-3</v>
      </c>
      <c r="H591" s="6" t="s">
        <v>70</v>
      </c>
      <c r="I591" s="3" t="s">
        <v>45</v>
      </c>
    </row>
    <row r="592" spans="1:9" ht="48" customHeight="1">
      <c r="A592" s="3" t="s">
        <v>66</v>
      </c>
      <c r="B592" s="3" t="s">
        <v>65</v>
      </c>
      <c r="C592" s="4">
        <v>46082</v>
      </c>
      <c r="D592" s="4">
        <v>46112</v>
      </c>
      <c r="E592" s="3" t="s">
        <v>205</v>
      </c>
      <c r="F592" s="3" t="s">
        <v>230</v>
      </c>
      <c r="G592" s="5">
        <v>1E-3</v>
      </c>
      <c r="H592" s="6" t="s">
        <v>70</v>
      </c>
      <c r="I592" s="3" t="s">
        <v>45</v>
      </c>
    </row>
    <row r="593" spans="1:9" ht="48" customHeight="1">
      <c r="A593" s="3" t="s">
        <v>66</v>
      </c>
      <c r="B593" s="3" t="s">
        <v>65</v>
      </c>
      <c r="C593" s="4">
        <v>46082</v>
      </c>
      <c r="D593" s="4">
        <v>46112</v>
      </c>
      <c r="E593" s="3" t="s">
        <v>231</v>
      </c>
      <c r="F593" s="3" t="s">
        <v>232</v>
      </c>
      <c r="G593" s="5">
        <v>1.8000000000000002E-2</v>
      </c>
      <c r="H593" s="6" t="s">
        <v>70</v>
      </c>
      <c r="I593" s="3" t="s">
        <v>45</v>
      </c>
    </row>
    <row r="594" spans="1:9" ht="48" customHeight="1">
      <c r="A594" s="3" t="s">
        <v>66</v>
      </c>
      <c r="B594" s="3" t="s">
        <v>65</v>
      </c>
      <c r="C594" s="4">
        <v>46082</v>
      </c>
      <c r="D594" s="4">
        <v>46112</v>
      </c>
      <c r="E594" s="3" t="s">
        <v>231</v>
      </c>
      <c r="F594" s="3" t="s">
        <v>233</v>
      </c>
      <c r="G594" s="5">
        <v>1.6E-2</v>
      </c>
      <c r="H594" s="6" t="s">
        <v>70</v>
      </c>
      <c r="I594" s="3" t="s">
        <v>45</v>
      </c>
    </row>
    <row r="595" spans="1:9" ht="48" customHeight="1">
      <c r="A595" s="3" t="s">
        <v>66</v>
      </c>
      <c r="B595" s="3" t="s">
        <v>65</v>
      </c>
      <c r="C595" s="4">
        <v>46082</v>
      </c>
      <c r="D595" s="4">
        <v>46112</v>
      </c>
      <c r="E595" s="3" t="s">
        <v>231</v>
      </c>
      <c r="F595" s="3" t="s">
        <v>230</v>
      </c>
      <c r="G595" s="5">
        <v>9.0000000000000011E-3</v>
      </c>
      <c r="H595" s="6" t="s">
        <v>70</v>
      </c>
      <c r="I595" s="3" t="s">
        <v>45</v>
      </c>
    </row>
    <row r="596" spans="1:9" ht="48" customHeight="1">
      <c r="A596" s="3" t="s">
        <v>66</v>
      </c>
      <c r="B596" s="3" t="s">
        <v>65</v>
      </c>
      <c r="C596" s="4">
        <v>46082</v>
      </c>
      <c r="D596" s="4">
        <v>46112</v>
      </c>
      <c r="E596" s="3" t="s">
        <v>231</v>
      </c>
      <c r="F596" s="3" t="s">
        <v>234</v>
      </c>
      <c r="G596" s="5">
        <v>6.9999999999999993E-3</v>
      </c>
      <c r="H596" s="6" t="s">
        <v>70</v>
      </c>
      <c r="I596" s="3" t="s">
        <v>45</v>
      </c>
    </row>
    <row r="597" spans="1:9" ht="48" customHeight="1">
      <c r="A597" s="3" t="s">
        <v>66</v>
      </c>
      <c r="B597" s="3" t="s">
        <v>65</v>
      </c>
      <c r="C597" s="4">
        <v>46082</v>
      </c>
      <c r="D597" s="4">
        <v>46112</v>
      </c>
      <c r="E597" s="3" t="s">
        <v>231</v>
      </c>
      <c r="F597" s="3" t="s">
        <v>235</v>
      </c>
      <c r="G597" s="5">
        <v>5.0000000000000001E-3</v>
      </c>
      <c r="H597" s="6" t="s">
        <v>70</v>
      </c>
      <c r="I597" s="3" t="s">
        <v>45</v>
      </c>
    </row>
    <row r="598" spans="1:9" ht="48" customHeight="1">
      <c r="A598" s="3" t="s">
        <v>66</v>
      </c>
      <c r="B598" s="3" t="s">
        <v>65</v>
      </c>
      <c r="C598" s="4">
        <v>46082</v>
      </c>
      <c r="D598" s="4">
        <v>46112</v>
      </c>
      <c r="E598" s="3" t="s">
        <v>236</v>
      </c>
      <c r="F598" s="3" t="s">
        <v>232</v>
      </c>
      <c r="G598" s="5">
        <v>6.9999999999999993E-3</v>
      </c>
      <c r="H598" s="6" t="s">
        <v>70</v>
      </c>
      <c r="I598" s="3" t="s">
        <v>45</v>
      </c>
    </row>
    <row r="599" spans="1:9" ht="48" customHeight="1">
      <c r="A599" s="3" t="s">
        <v>66</v>
      </c>
      <c r="B599" s="3" t="s">
        <v>65</v>
      </c>
      <c r="C599" s="4">
        <v>46082</v>
      </c>
      <c r="D599" s="4">
        <v>46112</v>
      </c>
      <c r="E599" s="3" t="s">
        <v>236</v>
      </c>
      <c r="F599" s="3" t="s">
        <v>238</v>
      </c>
      <c r="G599" s="5">
        <v>6.0000000000000001E-3</v>
      </c>
      <c r="H599" s="6" t="s">
        <v>70</v>
      </c>
      <c r="I599" s="3" t="s">
        <v>45</v>
      </c>
    </row>
    <row r="600" spans="1:9" ht="48" customHeight="1">
      <c r="A600" s="3" t="s">
        <v>66</v>
      </c>
      <c r="B600" s="3" t="s">
        <v>65</v>
      </c>
      <c r="C600" s="4">
        <v>46082</v>
      </c>
      <c r="D600" s="4">
        <v>46112</v>
      </c>
      <c r="E600" s="3" t="s">
        <v>236</v>
      </c>
      <c r="F600" s="3" t="s">
        <v>239</v>
      </c>
      <c r="G600" s="5">
        <v>6.0000000000000001E-3</v>
      </c>
      <c r="H600" s="6" t="s">
        <v>70</v>
      </c>
      <c r="I600" s="3" t="s">
        <v>45</v>
      </c>
    </row>
    <row r="601" spans="1:9" ht="48" customHeight="1">
      <c r="A601" s="3" t="s">
        <v>66</v>
      </c>
      <c r="B601" s="3" t="s">
        <v>65</v>
      </c>
      <c r="C601" s="4">
        <v>46082</v>
      </c>
      <c r="D601" s="4">
        <v>46112</v>
      </c>
      <c r="E601" s="3" t="s">
        <v>236</v>
      </c>
      <c r="F601" s="3" t="s">
        <v>240</v>
      </c>
      <c r="G601" s="5">
        <v>5.0000000000000001E-3</v>
      </c>
      <c r="H601" s="6" t="s">
        <v>70</v>
      </c>
      <c r="I601" s="3" t="s">
        <v>45</v>
      </c>
    </row>
    <row r="602" spans="1:9" ht="48" customHeight="1">
      <c r="A602" s="3" t="s">
        <v>66</v>
      </c>
      <c r="B602" s="3" t="s">
        <v>65</v>
      </c>
      <c r="C602" s="4">
        <v>46082</v>
      </c>
      <c r="D602" s="4">
        <v>46112</v>
      </c>
      <c r="E602" s="3" t="s">
        <v>236</v>
      </c>
      <c r="F602" s="3" t="s">
        <v>237</v>
      </c>
      <c r="G602" s="5">
        <v>5.0000000000000001E-3</v>
      </c>
      <c r="H602" s="6" t="s">
        <v>70</v>
      </c>
      <c r="I602" s="3" t="s">
        <v>45</v>
      </c>
    </row>
    <row r="603" spans="1:9" ht="48" customHeight="1">
      <c r="A603" s="3" t="s">
        <v>66</v>
      </c>
      <c r="B603" s="3" t="s">
        <v>65</v>
      </c>
      <c r="C603" s="4">
        <v>46082</v>
      </c>
      <c r="D603" s="4">
        <v>46112</v>
      </c>
      <c r="E603" s="3" t="s">
        <v>236</v>
      </c>
      <c r="F603" s="3" t="s">
        <v>241</v>
      </c>
      <c r="G603" s="5">
        <v>3.0000000000000001E-3</v>
      </c>
      <c r="H603" s="6" t="s">
        <v>70</v>
      </c>
      <c r="I603" s="3" t="s">
        <v>45</v>
      </c>
    </row>
    <row r="604" spans="1:9" ht="48" customHeight="1">
      <c r="A604" s="3" t="s">
        <v>66</v>
      </c>
      <c r="B604" s="3" t="s">
        <v>65</v>
      </c>
      <c r="C604" s="4">
        <v>46082</v>
      </c>
      <c r="D604" s="4">
        <v>46112</v>
      </c>
      <c r="E604" s="3" t="s">
        <v>236</v>
      </c>
      <c r="F604" s="3" t="s">
        <v>230</v>
      </c>
      <c r="G604" s="5">
        <v>2E-3</v>
      </c>
      <c r="H604" s="6" t="s">
        <v>70</v>
      </c>
      <c r="I604" s="3" t="s">
        <v>45</v>
      </c>
    </row>
    <row r="605" spans="1:9" ht="48" customHeight="1">
      <c r="A605" s="3" t="s">
        <v>66</v>
      </c>
      <c r="B605" s="3" t="s">
        <v>65</v>
      </c>
      <c r="C605" s="4">
        <v>46082</v>
      </c>
      <c r="D605" s="4">
        <v>46112</v>
      </c>
      <c r="E605" s="3" t="s">
        <v>236</v>
      </c>
      <c r="F605" s="3" t="s">
        <v>234</v>
      </c>
      <c r="G605" s="5">
        <v>1E-3</v>
      </c>
      <c r="H605" s="6" t="s">
        <v>70</v>
      </c>
      <c r="I605" s="3" t="s">
        <v>45</v>
      </c>
    </row>
    <row r="606" spans="1:9" ht="48" customHeight="1">
      <c r="A606" s="3" t="s">
        <v>66</v>
      </c>
      <c r="B606" s="3" t="s">
        <v>65</v>
      </c>
      <c r="C606" s="4">
        <v>46082</v>
      </c>
      <c r="D606" s="4">
        <v>46112</v>
      </c>
      <c r="E606" s="3" t="s">
        <v>236</v>
      </c>
      <c r="F606" s="3" t="s">
        <v>242</v>
      </c>
      <c r="G606" s="5">
        <v>1E-3</v>
      </c>
      <c r="H606" s="6" t="s">
        <v>70</v>
      </c>
      <c r="I606" s="3" t="s">
        <v>45</v>
      </c>
    </row>
    <row r="607" spans="1:9" ht="48" customHeight="1">
      <c r="A607" s="3" t="s">
        <v>66</v>
      </c>
      <c r="B607" s="3" t="s">
        <v>65</v>
      </c>
      <c r="C607" s="4">
        <v>46082</v>
      </c>
      <c r="D607" s="4">
        <v>46112</v>
      </c>
      <c r="E607" s="3" t="s">
        <v>236</v>
      </c>
      <c r="F607" s="3" t="s">
        <v>243</v>
      </c>
      <c r="G607" s="5">
        <v>0</v>
      </c>
      <c r="H607" s="6" t="s">
        <v>70</v>
      </c>
      <c r="I607" s="3" t="s">
        <v>45</v>
      </c>
    </row>
    <row r="608" spans="1:9" ht="48" customHeight="1">
      <c r="A608" s="3" t="s">
        <v>66</v>
      </c>
      <c r="B608" s="3" t="s">
        <v>65</v>
      </c>
      <c r="C608" s="4">
        <v>46082</v>
      </c>
      <c r="D608" s="4">
        <v>46112</v>
      </c>
      <c r="E608" s="3" t="s">
        <v>244</v>
      </c>
      <c r="F608" s="3" t="s">
        <v>245</v>
      </c>
      <c r="G608" s="5">
        <v>6.9999999999999993E-3</v>
      </c>
      <c r="H608" s="6" t="s">
        <v>70</v>
      </c>
      <c r="I608" s="3" t="s">
        <v>45</v>
      </c>
    </row>
    <row r="609" spans="1:9" ht="48" customHeight="1">
      <c r="A609" s="3" t="s">
        <v>66</v>
      </c>
      <c r="B609" s="3" t="s">
        <v>65</v>
      </c>
      <c r="C609" s="4">
        <v>46082</v>
      </c>
      <c r="D609" s="4">
        <v>46112</v>
      </c>
      <c r="E609" s="3" t="s">
        <v>244</v>
      </c>
      <c r="F609" s="3" t="s">
        <v>246</v>
      </c>
      <c r="G609" s="5">
        <v>4.0000000000000001E-3</v>
      </c>
      <c r="H609" s="6" t="s">
        <v>70</v>
      </c>
      <c r="I609" s="3" t="s">
        <v>45</v>
      </c>
    </row>
    <row r="610" spans="1:9" ht="48" customHeight="1">
      <c r="A610" s="3" t="s">
        <v>66</v>
      </c>
      <c r="B610" s="3" t="s">
        <v>65</v>
      </c>
      <c r="C610" s="4">
        <v>46082</v>
      </c>
      <c r="D610" s="4">
        <v>46112</v>
      </c>
      <c r="E610" s="3" t="s">
        <v>244</v>
      </c>
      <c r="F610" s="3" t="s">
        <v>248</v>
      </c>
      <c r="G610" s="5">
        <v>3.0000000000000001E-3</v>
      </c>
      <c r="H610" s="6" t="s">
        <v>70</v>
      </c>
      <c r="I610" s="3" t="s">
        <v>45</v>
      </c>
    </row>
    <row r="611" spans="1:9" ht="48" customHeight="1">
      <c r="A611" s="3" t="s">
        <v>66</v>
      </c>
      <c r="B611" s="3" t="s">
        <v>65</v>
      </c>
      <c r="C611" s="4">
        <v>46082</v>
      </c>
      <c r="D611" s="4">
        <v>46112</v>
      </c>
      <c r="E611" s="3" t="s">
        <v>244</v>
      </c>
      <c r="F611" s="3" t="s">
        <v>247</v>
      </c>
      <c r="G611" s="5">
        <v>3.0000000000000001E-3</v>
      </c>
      <c r="H611" s="6" t="s">
        <v>70</v>
      </c>
      <c r="I611" s="3" t="s">
        <v>45</v>
      </c>
    </row>
    <row r="612" spans="1:9" ht="48" customHeight="1">
      <c r="A612" s="3" t="s">
        <v>66</v>
      </c>
      <c r="B612" s="3" t="s">
        <v>65</v>
      </c>
      <c r="C612" s="4">
        <v>46082</v>
      </c>
      <c r="D612" s="4">
        <v>46112</v>
      </c>
      <c r="E612" s="3" t="s">
        <v>244</v>
      </c>
      <c r="F612" s="3" t="s">
        <v>250</v>
      </c>
      <c r="G612" s="5">
        <v>1E-3</v>
      </c>
      <c r="H612" s="6" t="s">
        <v>70</v>
      </c>
      <c r="I612" s="3" t="s">
        <v>45</v>
      </c>
    </row>
    <row r="613" spans="1:9" ht="48" customHeight="1">
      <c r="A613" s="3" t="s">
        <v>66</v>
      </c>
      <c r="B613" s="3" t="s">
        <v>65</v>
      </c>
      <c r="C613" s="4">
        <v>46082</v>
      </c>
      <c r="D613" s="4">
        <v>46112</v>
      </c>
      <c r="E613" s="3" t="s">
        <v>244</v>
      </c>
      <c r="F613" s="3" t="s">
        <v>251</v>
      </c>
      <c r="G613" s="5">
        <v>1E-3</v>
      </c>
      <c r="H613" s="6" t="s">
        <v>70</v>
      </c>
      <c r="I613" s="3" t="s">
        <v>45</v>
      </c>
    </row>
    <row r="614" spans="1:9" ht="48" customHeight="1">
      <c r="A614" s="3" t="s">
        <v>66</v>
      </c>
      <c r="B614" s="3" t="s">
        <v>65</v>
      </c>
      <c r="C614" s="4">
        <v>46082</v>
      </c>
      <c r="D614" s="4">
        <v>46112</v>
      </c>
      <c r="E614" s="3" t="s">
        <v>244</v>
      </c>
      <c r="F614" s="3" t="s">
        <v>252</v>
      </c>
      <c r="G614" s="5">
        <v>1E-3</v>
      </c>
      <c r="H614" s="6" t="s">
        <v>70</v>
      </c>
      <c r="I614" s="3" t="s">
        <v>45</v>
      </c>
    </row>
    <row r="615" spans="1:9" ht="48" customHeight="1">
      <c r="A615" s="3" t="s">
        <v>66</v>
      </c>
      <c r="B615" s="3" t="s">
        <v>65</v>
      </c>
      <c r="C615" s="4">
        <v>46082</v>
      </c>
      <c r="D615" s="4">
        <v>46112</v>
      </c>
      <c r="E615" s="3" t="s">
        <v>244</v>
      </c>
      <c r="F615" s="3" t="s">
        <v>249</v>
      </c>
      <c r="G615" s="5">
        <v>1E-3</v>
      </c>
      <c r="H615" s="6" t="s">
        <v>70</v>
      </c>
      <c r="I615" s="3" t="s">
        <v>45</v>
      </c>
    </row>
    <row r="616" spans="1:9" ht="48" customHeight="1">
      <c r="A616" s="3" t="s">
        <v>66</v>
      </c>
      <c r="B616" s="3" t="s">
        <v>65</v>
      </c>
      <c r="C616" s="4">
        <v>46082</v>
      </c>
      <c r="D616" s="4">
        <v>46112</v>
      </c>
      <c r="E616" s="3" t="s">
        <v>244</v>
      </c>
      <c r="F616" s="3" t="s">
        <v>253</v>
      </c>
      <c r="G616" s="5">
        <v>1E-3</v>
      </c>
      <c r="H616" s="6" t="s">
        <v>70</v>
      </c>
      <c r="I616" s="3" t="s">
        <v>45</v>
      </c>
    </row>
    <row r="617" spans="1:9" ht="48" customHeight="1">
      <c r="A617" s="3" t="s">
        <v>66</v>
      </c>
      <c r="B617" s="3" t="s">
        <v>65</v>
      </c>
      <c r="C617" s="4">
        <v>46082</v>
      </c>
      <c r="D617" s="4">
        <v>46112</v>
      </c>
      <c r="E617" s="3" t="s">
        <v>244</v>
      </c>
      <c r="F617" s="3" t="s">
        <v>254</v>
      </c>
      <c r="G617" s="5">
        <v>1E-3</v>
      </c>
      <c r="H617" s="6" t="s">
        <v>70</v>
      </c>
      <c r="I617" s="3" t="s">
        <v>45</v>
      </c>
    </row>
    <row r="618" spans="1:9" ht="48" customHeight="1">
      <c r="A618" s="3" t="s">
        <v>66</v>
      </c>
      <c r="B618" s="3" t="s">
        <v>65</v>
      </c>
      <c r="C618" s="4">
        <v>46082</v>
      </c>
      <c r="D618" s="4">
        <v>46112</v>
      </c>
      <c r="E618" s="3" t="s">
        <v>244</v>
      </c>
      <c r="F618" s="3" t="s">
        <v>255</v>
      </c>
      <c r="G618" s="5">
        <v>0</v>
      </c>
      <c r="H618" s="6" t="s">
        <v>70</v>
      </c>
      <c r="I618" s="3" t="s">
        <v>45</v>
      </c>
    </row>
    <row r="619" spans="1:9" ht="48" customHeight="1">
      <c r="A619" s="3" t="s">
        <v>66</v>
      </c>
      <c r="B619" s="3" t="s">
        <v>65</v>
      </c>
      <c r="C619" s="4">
        <v>46082</v>
      </c>
      <c r="D619" s="4">
        <v>46112</v>
      </c>
      <c r="E619" s="3" t="s">
        <v>244</v>
      </c>
      <c r="F619" s="3" t="s">
        <v>256</v>
      </c>
      <c r="G619" s="5">
        <v>0</v>
      </c>
      <c r="H619" s="6" t="s">
        <v>70</v>
      </c>
      <c r="I619" s="3" t="s">
        <v>45</v>
      </c>
    </row>
    <row r="620" spans="1:9" ht="48" customHeight="1">
      <c r="A620" s="3" t="s">
        <v>66</v>
      </c>
      <c r="B620" s="3" t="s">
        <v>65</v>
      </c>
      <c r="C620" s="4">
        <v>46082</v>
      </c>
      <c r="D620" s="4">
        <v>46112</v>
      </c>
      <c r="E620" s="3" t="s">
        <v>244</v>
      </c>
      <c r="F620" s="3" t="s">
        <v>257</v>
      </c>
      <c r="G620" s="5">
        <v>0</v>
      </c>
      <c r="H620" s="6" t="s">
        <v>70</v>
      </c>
      <c r="I620" s="3" t="s">
        <v>45</v>
      </c>
    </row>
    <row r="621" spans="1:9" ht="48" customHeight="1">
      <c r="A621" s="3" t="s">
        <v>66</v>
      </c>
      <c r="B621" s="3" t="s">
        <v>65</v>
      </c>
      <c r="C621" s="4">
        <v>46082</v>
      </c>
      <c r="D621" s="4">
        <v>46112</v>
      </c>
      <c r="E621" s="3" t="s">
        <v>244</v>
      </c>
      <c r="F621" s="3" t="s">
        <v>258</v>
      </c>
      <c r="G621" s="5">
        <v>0</v>
      </c>
      <c r="H621" s="6" t="s">
        <v>70</v>
      </c>
      <c r="I621" s="3" t="s">
        <v>45</v>
      </c>
    </row>
    <row r="622" spans="1:9" ht="48" customHeight="1">
      <c r="A622" s="3" t="s">
        <v>66</v>
      </c>
      <c r="B622" s="3" t="s">
        <v>65</v>
      </c>
      <c r="C622" s="4">
        <v>46082</v>
      </c>
      <c r="D622" s="4">
        <v>46112</v>
      </c>
      <c r="E622" s="3" t="s">
        <v>244</v>
      </c>
      <c r="F622" s="3" t="s">
        <v>259</v>
      </c>
      <c r="G622" s="5">
        <v>0</v>
      </c>
      <c r="H622" s="6" t="s">
        <v>70</v>
      </c>
      <c r="I622" s="3" t="s">
        <v>45</v>
      </c>
    </row>
    <row r="623" spans="1:9" ht="48" customHeight="1">
      <c r="A623" s="3" t="s">
        <v>66</v>
      </c>
      <c r="B623" s="3" t="s">
        <v>65</v>
      </c>
      <c r="C623" s="4">
        <v>46082</v>
      </c>
      <c r="D623" s="4">
        <v>46112</v>
      </c>
      <c r="E623" s="3" t="s">
        <v>286</v>
      </c>
      <c r="F623" s="3" t="s">
        <v>287</v>
      </c>
      <c r="G623" s="5">
        <v>5.0000000000000001E-3</v>
      </c>
      <c r="H623" s="6" t="s">
        <v>70</v>
      </c>
      <c r="I623" s="3" t="s">
        <v>45</v>
      </c>
    </row>
    <row r="624" spans="1:9" ht="48" customHeight="1">
      <c r="A624" s="3" t="s">
        <v>66</v>
      </c>
      <c r="B624" s="3" t="s">
        <v>65</v>
      </c>
      <c r="C624" s="4">
        <v>46082</v>
      </c>
      <c r="D624" s="4">
        <v>46112</v>
      </c>
      <c r="E624" s="3" t="s">
        <v>286</v>
      </c>
      <c r="F624" s="3" t="s">
        <v>288</v>
      </c>
      <c r="G624" s="5">
        <v>3.0000000000000001E-3</v>
      </c>
      <c r="H624" s="6" t="s">
        <v>70</v>
      </c>
      <c r="I624" s="3" t="s">
        <v>45</v>
      </c>
    </row>
    <row r="625" spans="1:9" ht="48" customHeight="1">
      <c r="A625" s="3" t="s">
        <v>66</v>
      </c>
      <c r="B625" s="3" t="s">
        <v>65</v>
      </c>
      <c r="C625" s="4">
        <v>46082</v>
      </c>
      <c r="D625" s="4">
        <v>46112</v>
      </c>
      <c r="E625" s="3" t="s">
        <v>286</v>
      </c>
      <c r="F625" s="3" t="s">
        <v>289</v>
      </c>
      <c r="G625" s="5">
        <v>3.0000000000000001E-3</v>
      </c>
      <c r="H625" s="6" t="s">
        <v>70</v>
      </c>
      <c r="I625" s="3" t="s">
        <v>45</v>
      </c>
    </row>
    <row r="626" spans="1:9" ht="48" customHeight="1">
      <c r="A626" s="3" t="s">
        <v>66</v>
      </c>
      <c r="B626" s="3" t="s">
        <v>65</v>
      </c>
      <c r="C626" s="4">
        <v>46082</v>
      </c>
      <c r="D626" s="4">
        <v>46112</v>
      </c>
      <c r="E626" s="3" t="s">
        <v>286</v>
      </c>
      <c r="F626" s="3" t="s">
        <v>290</v>
      </c>
      <c r="G626" s="5">
        <v>2E-3</v>
      </c>
      <c r="H626" s="6" t="s">
        <v>70</v>
      </c>
      <c r="I626" s="3" t="s">
        <v>45</v>
      </c>
    </row>
    <row r="627" spans="1:9" ht="48" customHeight="1">
      <c r="A627" s="3" t="s">
        <v>66</v>
      </c>
      <c r="B627" s="3" t="s">
        <v>65</v>
      </c>
      <c r="C627" s="4">
        <v>46082</v>
      </c>
      <c r="D627" s="4">
        <v>46112</v>
      </c>
      <c r="E627" s="3" t="s">
        <v>286</v>
      </c>
      <c r="F627" s="3" t="s">
        <v>291</v>
      </c>
      <c r="G627" s="5">
        <v>2E-3</v>
      </c>
      <c r="H627" s="6" t="s">
        <v>70</v>
      </c>
      <c r="I627" s="3" t="s">
        <v>45</v>
      </c>
    </row>
    <row r="628" spans="1:9" ht="48" customHeight="1">
      <c r="A628" s="3" t="s">
        <v>66</v>
      </c>
      <c r="B628" s="3" t="s">
        <v>65</v>
      </c>
      <c r="C628" s="4">
        <v>46082</v>
      </c>
      <c r="D628" s="4">
        <v>46112</v>
      </c>
      <c r="E628" s="3" t="s">
        <v>286</v>
      </c>
      <c r="F628" s="3" t="s">
        <v>295</v>
      </c>
      <c r="G628" s="5">
        <v>2E-3</v>
      </c>
      <c r="H628" s="6" t="s">
        <v>70</v>
      </c>
      <c r="I628" s="3" t="s">
        <v>45</v>
      </c>
    </row>
    <row r="629" spans="1:9" ht="48" customHeight="1">
      <c r="A629" s="3" t="s">
        <v>66</v>
      </c>
      <c r="B629" s="3" t="s">
        <v>65</v>
      </c>
      <c r="C629" s="4">
        <v>46082</v>
      </c>
      <c r="D629" s="4">
        <v>46112</v>
      </c>
      <c r="E629" s="3" t="s">
        <v>286</v>
      </c>
      <c r="F629" s="3" t="s">
        <v>292</v>
      </c>
      <c r="G629" s="5">
        <v>2E-3</v>
      </c>
      <c r="H629" s="6" t="s">
        <v>70</v>
      </c>
      <c r="I629" s="3" t="s">
        <v>45</v>
      </c>
    </row>
    <row r="630" spans="1:9" ht="48" customHeight="1">
      <c r="A630" s="3" t="s">
        <v>66</v>
      </c>
      <c r="B630" s="3" t="s">
        <v>65</v>
      </c>
      <c r="C630" s="4">
        <v>46082</v>
      </c>
      <c r="D630" s="4">
        <v>46112</v>
      </c>
      <c r="E630" s="3" t="s">
        <v>286</v>
      </c>
      <c r="F630" s="3" t="s">
        <v>293</v>
      </c>
      <c r="G630" s="5">
        <v>1E-3</v>
      </c>
      <c r="H630" s="6" t="s">
        <v>70</v>
      </c>
      <c r="I630" s="3" t="s">
        <v>45</v>
      </c>
    </row>
    <row r="631" spans="1:9" ht="48" customHeight="1">
      <c r="A631" s="3" t="s">
        <v>66</v>
      </c>
      <c r="B631" s="3" t="s">
        <v>65</v>
      </c>
      <c r="C631" s="4">
        <v>46082</v>
      </c>
      <c r="D631" s="4">
        <v>46112</v>
      </c>
      <c r="E631" s="3" t="s">
        <v>286</v>
      </c>
      <c r="F631" s="3" t="s">
        <v>294</v>
      </c>
      <c r="G631" s="5">
        <v>1E-3</v>
      </c>
      <c r="H631" s="6" t="s">
        <v>70</v>
      </c>
      <c r="I631" s="3" t="s">
        <v>45</v>
      </c>
    </row>
    <row r="632" spans="1:9" ht="48" customHeight="1">
      <c r="A632" s="3" t="s">
        <v>66</v>
      </c>
      <c r="B632" s="3" t="s">
        <v>65</v>
      </c>
      <c r="C632" s="4">
        <v>46082</v>
      </c>
      <c r="D632" s="4">
        <v>46112</v>
      </c>
      <c r="E632" s="3" t="s">
        <v>286</v>
      </c>
      <c r="F632" s="3" t="s">
        <v>296</v>
      </c>
      <c r="G632" s="5">
        <v>1E-3</v>
      </c>
      <c r="H632" s="6" t="s">
        <v>70</v>
      </c>
      <c r="I632" s="3" t="s">
        <v>45</v>
      </c>
    </row>
    <row r="633" spans="1:9" ht="48" customHeight="1">
      <c r="A633" s="3" t="s">
        <v>66</v>
      </c>
      <c r="B633" s="3" t="s">
        <v>65</v>
      </c>
      <c r="C633" s="4">
        <v>46082</v>
      </c>
      <c r="D633" s="4">
        <v>46112</v>
      </c>
      <c r="E633" s="3" t="s">
        <v>286</v>
      </c>
      <c r="F633" s="3" t="s">
        <v>298</v>
      </c>
      <c r="G633" s="5">
        <v>1E-3</v>
      </c>
      <c r="H633" s="6" t="s">
        <v>70</v>
      </c>
      <c r="I633" s="3" t="s">
        <v>45</v>
      </c>
    </row>
    <row r="634" spans="1:9" ht="48" customHeight="1">
      <c r="A634" s="3" t="s">
        <v>66</v>
      </c>
      <c r="B634" s="3" t="s">
        <v>65</v>
      </c>
      <c r="C634" s="4">
        <v>46082</v>
      </c>
      <c r="D634" s="4">
        <v>46112</v>
      </c>
      <c r="E634" s="3" t="s">
        <v>286</v>
      </c>
      <c r="F634" s="3" t="s">
        <v>297</v>
      </c>
      <c r="G634" s="5">
        <v>1E-3</v>
      </c>
      <c r="H634" s="6" t="s">
        <v>70</v>
      </c>
      <c r="I634" s="3" t="s">
        <v>45</v>
      </c>
    </row>
    <row r="635" spans="1:9" ht="48" customHeight="1">
      <c r="A635" s="3" t="s">
        <v>66</v>
      </c>
      <c r="B635" s="3" t="s">
        <v>65</v>
      </c>
      <c r="C635" s="4">
        <v>46082</v>
      </c>
      <c r="D635" s="4">
        <v>46112</v>
      </c>
      <c r="E635" s="3" t="s">
        <v>286</v>
      </c>
      <c r="F635" s="3" t="s">
        <v>299</v>
      </c>
      <c r="G635" s="5">
        <v>0</v>
      </c>
      <c r="H635" s="6" t="s">
        <v>70</v>
      </c>
      <c r="I635" s="3" t="s">
        <v>45</v>
      </c>
    </row>
    <row r="636" spans="1:9" ht="48" customHeight="1">
      <c r="A636" s="3" t="s">
        <v>66</v>
      </c>
      <c r="B636" s="3" t="s">
        <v>65</v>
      </c>
      <c r="C636" s="4">
        <v>46082</v>
      </c>
      <c r="D636" s="4">
        <v>46112</v>
      </c>
      <c r="E636" s="3" t="s">
        <v>286</v>
      </c>
      <c r="F636" s="3" t="s">
        <v>300</v>
      </c>
      <c r="G636" s="5">
        <v>0</v>
      </c>
      <c r="H636" s="6" t="s">
        <v>70</v>
      </c>
      <c r="I636" s="3" t="s">
        <v>45</v>
      </c>
    </row>
    <row r="637" spans="1:9" ht="48" customHeight="1">
      <c r="A637" s="3" t="s">
        <v>66</v>
      </c>
      <c r="B637" s="3" t="s">
        <v>65</v>
      </c>
      <c r="C637" s="4">
        <v>46082</v>
      </c>
      <c r="D637" s="4">
        <v>46112</v>
      </c>
      <c r="E637" s="3" t="s">
        <v>260</v>
      </c>
      <c r="F637" s="3" t="s">
        <v>262</v>
      </c>
      <c r="G637" s="5">
        <v>3.0000000000000001E-3</v>
      </c>
      <c r="H637" s="6" t="s">
        <v>70</v>
      </c>
      <c r="I637" s="3" t="s">
        <v>45</v>
      </c>
    </row>
    <row r="638" spans="1:9" ht="48" customHeight="1">
      <c r="A638" s="3" t="s">
        <v>66</v>
      </c>
      <c r="B638" s="3" t="s">
        <v>65</v>
      </c>
      <c r="C638" s="4">
        <v>46082</v>
      </c>
      <c r="D638" s="4">
        <v>46112</v>
      </c>
      <c r="E638" s="3" t="s">
        <v>260</v>
      </c>
      <c r="F638" s="3" t="s">
        <v>261</v>
      </c>
      <c r="G638" s="5">
        <v>3.0000000000000001E-3</v>
      </c>
      <c r="H638" s="6" t="s">
        <v>70</v>
      </c>
      <c r="I638" s="3" t="s">
        <v>45</v>
      </c>
    </row>
    <row r="639" spans="1:9" ht="48" customHeight="1">
      <c r="A639" s="3" t="s">
        <v>66</v>
      </c>
      <c r="B639" s="3" t="s">
        <v>65</v>
      </c>
      <c r="C639" s="4">
        <v>46082</v>
      </c>
      <c r="D639" s="4">
        <v>46112</v>
      </c>
      <c r="E639" s="3" t="s">
        <v>260</v>
      </c>
      <c r="F639" s="3" t="s">
        <v>232</v>
      </c>
      <c r="G639" s="5">
        <v>2E-3</v>
      </c>
      <c r="H639" s="6" t="s">
        <v>70</v>
      </c>
      <c r="I639" s="3" t="s">
        <v>45</v>
      </c>
    </row>
    <row r="640" spans="1:9" ht="48" customHeight="1">
      <c r="A640" s="3" t="s">
        <v>66</v>
      </c>
      <c r="B640" s="3" t="s">
        <v>65</v>
      </c>
      <c r="C640" s="4">
        <v>46082</v>
      </c>
      <c r="D640" s="4">
        <v>46112</v>
      </c>
      <c r="E640" s="3" t="s">
        <v>260</v>
      </c>
      <c r="F640" s="3" t="s">
        <v>263</v>
      </c>
      <c r="G640" s="5">
        <v>2E-3</v>
      </c>
      <c r="H640" s="6" t="s">
        <v>70</v>
      </c>
      <c r="I640" s="3" t="s">
        <v>45</v>
      </c>
    </row>
    <row r="641" spans="1:9" ht="48" customHeight="1">
      <c r="A641" s="3" t="s">
        <v>66</v>
      </c>
      <c r="B641" s="3" t="s">
        <v>65</v>
      </c>
      <c r="C641" s="4">
        <v>46082</v>
      </c>
      <c r="D641" s="4">
        <v>46112</v>
      </c>
      <c r="E641" s="3" t="s">
        <v>260</v>
      </c>
      <c r="F641" s="3" t="s">
        <v>265</v>
      </c>
      <c r="G641" s="5">
        <v>1E-3</v>
      </c>
      <c r="H641" s="6" t="s">
        <v>70</v>
      </c>
      <c r="I641" s="3" t="s">
        <v>45</v>
      </c>
    </row>
    <row r="642" spans="1:9" ht="48" customHeight="1">
      <c r="A642" s="3" t="s">
        <v>66</v>
      </c>
      <c r="B642" s="3" t="s">
        <v>65</v>
      </c>
      <c r="C642" s="4">
        <v>46082</v>
      </c>
      <c r="D642" s="4">
        <v>46112</v>
      </c>
      <c r="E642" s="3" t="s">
        <v>260</v>
      </c>
      <c r="F642" s="3" t="s">
        <v>266</v>
      </c>
      <c r="G642" s="5">
        <v>1E-3</v>
      </c>
      <c r="H642" s="6" t="s">
        <v>70</v>
      </c>
      <c r="I642" s="3" t="s">
        <v>45</v>
      </c>
    </row>
    <row r="643" spans="1:9" ht="48" customHeight="1">
      <c r="A643" s="3" t="s">
        <v>66</v>
      </c>
      <c r="B643" s="3" t="s">
        <v>65</v>
      </c>
      <c r="C643" s="4">
        <v>46082</v>
      </c>
      <c r="D643" s="4">
        <v>46112</v>
      </c>
      <c r="E643" s="3" t="s">
        <v>260</v>
      </c>
      <c r="F643" s="3" t="s">
        <v>264</v>
      </c>
      <c r="G643" s="5">
        <v>1E-3</v>
      </c>
      <c r="H643" s="6" t="s">
        <v>70</v>
      </c>
      <c r="I643" s="3" t="s">
        <v>45</v>
      </c>
    </row>
    <row r="644" spans="1:9" ht="48" customHeight="1">
      <c r="A644" s="3" t="s">
        <v>66</v>
      </c>
      <c r="B644" s="3" t="s">
        <v>65</v>
      </c>
      <c r="C644" s="4">
        <v>46082</v>
      </c>
      <c r="D644" s="4">
        <v>46112</v>
      </c>
      <c r="E644" s="3" t="s">
        <v>260</v>
      </c>
      <c r="F644" s="3" t="s">
        <v>267</v>
      </c>
      <c r="G644" s="5">
        <v>1E-3</v>
      </c>
      <c r="H644" s="6" t="s">
        <v>70</v>
      </c>
      <c r="I644" s="3" t="s">
        <v>45</v>
      </c>
    </row>
    <row r="645" spans="1:9" ht="48" customHeight="1">
      <c r="A645" s="3" t="s">
        <v>66</v>
      </c>
      <c r="B645" s="3" t="s">
        <v>65</v>
      </c>
      <c r="C645" s="4">
        <v>46082</v>
      </c>
      <c r="D645" s="4">
        <v>46112</v>
      </c>
      <c r="E645" s="3" t="s">
        <v>260</v>
      </c>
      <c r="F645" s="3" t="s">
        <v>268</v>
      </c>
      <c r="G645" s="5">
        <v>1E-3</v>
      </c>
      <c r="H645" s="6" t="s">
        <v>70</v>
      </c>
      <c r="I645" s="3" t="s">
        <v>45</v>
      </c>
    </row>
    <row r="646" spans="1:9" ht="48" customHeight="1">
      <c r="A646" s="3" t="s">
        <v>66</v>
      </c>
      <c r="B646" s="3" t="s">
        <v>65</v>
      </c>
      <c r="C646" s="4">
        <v>46082</v>
      </c>
      <c r="D646" s="4">
        <v>46112</v>
      </c>
      <c r="E646" s="3" t="s">
        <v>260</v>
      </c>
      <c r="F646" s="3" t="s">
        <v>276</v>
      </c>
      <c r="G646" s="5">
        <v>1E-3</v>
      </c>
      <c r="H646" s="6" t="s">
        <v>70</v>
      </c>
      <c r="I646" s="3" t="s">
        <v>45</v>
      </c>
    </row>
    <row r="647" spans="1:9" ht="48" customHeight="1">
      <c r="A647" s="3" t="s">
        <v>66</v>
      </c>
      <c r="B647" s="3" t="s">
        <v>65</v>
      </c>
      <c r="C647" s="4">
        <v>46082</v>
      </c>
      <c r="D647" s="4">
        <v>46112</v>
      </c>
      <c r="E647" s="3" t="s">
        <v>260</v>
      </c>
      <c r="F647" s="3" t="s">
        <v>270</v>
      </c>
      <c r="G647" s="5">
        <v>1E-3</v>
      </c>
      <c r="H647" s="6" t="s">
        <v>70</v>
      </c>
      <c r="I647" s="3" t="s">
        <v>45</v>
      </c>
    </row>
    <row r="648" spans="1:9" ht="48" customHeight="1">
      <c r="A648" s="3" t="s">
        <v>66</v>
      </c>
      <c r="B648" s="3" t="s">
        <v>65</v>
      </c>
      <c r="C648" s="4">
        <v>46082</v>
      </c>
      <c r="D648" s="4">
        <v>46112</v>
      </c>
      <c r="E648" s="3" t="s">
        <v>260</v>
      </c>
      <c r="F648" s="3" t="s">
        <v>280</v>
      </c>
      <c r="G648" s="5">
        <v>1E-3</v>
      </c>
      <c r="H648" s="6" t="s">
        <v>70</v>
      </c>
      <c r="I648" s="3" t="s">
        <v>45</v>
      </c>
    </row>
    <row r="649" spans="1:9" ht="48" customHeight="1">
      <c r="A649" s="3" t="s">
        <v>66</v>
      </c>
      <c r="B649" s="3" t="s">
        <v>65</v>
      </c>
      <c r="C649" s="4">
        <v>46082</v>
      </c>
      <c r="D649" s="4">
        <v>46112</v>
      </c>
      <c r="E649" s="3" t="s">
        <v>260</v>
      </c>
      <c r="F649" s="3" t="s">
        <v>271</v>
      </c>
      <c r="G649" s="5">
        <v>1E-3</v>
      </c>
      <c r="H649" s="6" t="s">
        <v>70</v>
      </c>
      <c r="I649" s="3" t="s">
        <v>45</v>
      </c>
    </row>
    <row r="650" spans="1:9" ht="48" customHeight="1">
      <c r="A650" s="3" t="s">
        <v>66</v>
      </c>
      <c r="B650" s="3" t="s">
        <v>65</v>
      </c>
      <c r="C650" s="4">
        <v>46082</v>
      </c>
      <c r="D650" s="4">
        <v>46112</v>
      </c>
      <c r="E650" s="3" t="s">
        <v>260</v>
      </c>
      <c r="F650" s="3" t="s">
        <v>234</v>
      </c>
      <c r="G650" s="5">
        <v>0</v>
      </c>
      <c r="H650" s="6" t="s">
        <v>70</v>
      </c>
      <c r="I650" s="3" t="s">
        <v>45</v>
      </c>
    </row>
    <row r="651" spans="1:9" ht="48" customHeight="1">
      <c r="A651" s="3" t="s">
        <v>66</v>
      </c>
      <c r="B651" s="3" t="s">
        <v>65</v>
      </c>
      <c r="C651" s="4">
        <v>46082</v>
      </c>
      <c r="D651" s="4">
        <v>46112</v>
      </c>
      <c r="E651" s="3" t="s">
        <v>260</v>
      </c>
      <c r="F651" s="3" t="s">
        <v>273</v>
      </c>
      <c r="G651" s="5">
        <v>0</v>
      </c>
      <c r="H651" s="6" t="s">
        <v>70</v>
      </c>
      <c r="I651" s="3" t="s">
        <v>45</v>
      </c>
    </row>
    <row r="652" spans="1:9" ht="48" customHeight="1">
      <c r="A652" s="3" t="s">
        <v>66</v>
      </c>
      <c r="B652" s="3" t="s">
        <v>65</v>
      </c>
      <c r="C652" s="4">
        <v>46082</v>
      </c>
      <c r="D652" s="4">
        <v>46112</v>
      </c>
      <c r="E652" s="3" t="s">
        <v>260</v>
      </c>
      <c r="F652" s="3" t="s">
        <v>274</v>
      </c>
      <c r="G652" s="5">
        <v>0</v>
      </c>
      <c r="H652" s="6" t="s">
        <v>70</v>
      </c>
      <c r="I652" s="3" t="s">
        <v>45</v>
      </c>
    </row>
    <row r="653" spans="1:9" ht="48" customHeight="1">
      <c r="A653" s="3" t="s">
        <v>66</v>
      </c>
      <c r="B653" s="3" t="s">
        <v>65</v>
      </c>
      <c r="C653" s="4">
        <v>46082</v>
      </c>
      <c r="D653" s="4">
        <v>46112</v>
      </c>
      <c r="E653" s="3" t="s">
        <v>260</v>
      </c>
      <c r="F653" s="3" t="s">
        <v>275</v>
      </c>
      <c r="G653" s="5">
        <v>0</v>
      </c>
      <c r="H653" s="6" t="s">
        <v>70</v>
      </c>
      <c r="I653" s="3" t="s">
        <v>45</v>
      </c>
    </row>
    <row r="654" spans="1:9" ht="48" customHeight="1">
      <c r="A654" s="3" t="s">
        <v>66</v>
      </c>
      <c r="B654" s="3" t="s">
        <v>65</v>
      </c>
      <c r="C654" s="4">
        <v>46082</v>
      </c>
      <c r="D654" s="4">
        <v>46112</v>
      </c>
      <c r="E654" s="3" t="s">
        <v>260</v>
      </c>
      <c r="F654" s="3" t="s">
        <v>277</v>
      </c>
      <c r="G654" s="5">
        <v>0</v>
      </c>
      <c r="H654" s="6" t="s">
        <v>70</v>
      </c>
      <c r="I654" s="3" t="s">
        <v>45</v>
      </c>
    </row>
    <row r="655" spans="1:9" ht="48" customHeight="1">
      <c r="A655" s="3" t="s">
        <v>66</v>
      </c>
      <c r="B655" s="3" t="s">
        <v>65</v>
      </c>
      <c r="C655" s="4">
        <v>46082</v>
      </c>
      <c r="D655" s="4">
        <v>46112</v>
      </c>
      <c r="E655" s="3" t="s">
        <v>260</v>
      </c>
      <c r="F655" s="3" t="s">
        <v>278</v>
      </c>
      <c r="G655" s="5">
        <v>0</v>
      </c>
      <c r="H655" s="6" t="s">
        <v>70</v>
      </c>
      <c r="I655" s="3" t="s">
        <v>45</v>
      </c>
    </row>
    <row r="656" spans="1:9" ht="48" customHeight="1">
      <c r="A656" s="3" t="s">
        <v>66</v>
      </c>
      <c r="B656" s="3" t="s">
        <v>65</v>
      </c>
      <c r="C656" s="4">
        <v>46082</v>
      </c>
      <c r="D656" s="4">
        <v>46112</v>
      </c>
      <c r="E656" s="3" t="s">
        <v>260</v>
      </c>
      <c r="F656" s="3" t="s">
        <v>269</v>
      </c>
      <c r="G656" s="5">
        <v>0</v>
      </c>
      <c r="H656" s="6" t="s">
        <v>70</v>
      </c>
      <c r="I656" s="3" t="s">
        <v>45</v>
      </c>
    </row>
    <row r="657" spans="1:9" ht="48" customHeight="1">
      <c r="A657" s="3" t="s">
        <v>66</v>
      </c>
      <c r="B657" s="3" t="s">
        <v>65</v>
      </c>
      <c r="C657" s="4">
        <v>46082</v>
      </c>
      <c r="D657" s="4">
        <v>46112</v>
      </c>
      <c r="E657" s="3" t="s">
        <v>260</v>
      </c>
      <c r="F657" s="3" t="s">
        <v>279</v>
      </c>
      <c r="G657" s="5">
        <v>0</v>
      </c>
      <c r="H657" s="6" t="s">
        <v>70</v>
      </c>
      <c r="I657" s="3" t="s">
        <v>45</v>
      </c>
    </row>
    <row r="658" spans="1:9" ht="48" customHeight="1">
      <c r="A658" s="3" t="s">
        <v>66</v>
      </c>
      <c r="B658" s="3" t="s">
        <v>65</v>
      </c>
      <c r="C658" s="4">
        <v>46082</v>
      </c>
      <c r="D658" s="4">
        <v>46112</v>
      </c>
      <c r="E658" s="3" t="s">
        <v>260</v>
      </c>
      <c r="F658" s="3" t="s">
        <v>281</v>
      </c>
      <c r="G658" s="5">
        <v>0</v>
      </c>
      <c r="H658" s="6" t="s">
        <v>70</v>
      </c>
      <c r="I658" s="3" t="s">
        <v>45</v>
      </c>
    </row>
    <row r="659" spans="1:9" ht="48" customHeight="1">
      <c r="A659" s="3" t="s">
        <v>66</v>
      </c>
      <c r="B659" s="3" t="s">
        <v>65</v>
      </c>
      <c r="C659" s="4">
        <v>46082</v>
      </c>
      <c r="D659" s="4">
        <v>46112</v>
      </c>
      <c r="E659" s="3" t="s">
        <v>260</v>
      </c>
      <c r="F659" s="3" t="s">
        <v>272</v>
      </c>
      <c r="G659" s="5">
        <v>0</v>
      </c>
      <c r="H659" s="6" t="s">
        <v>70</v>
      </c>
      <c r="I659" s="3" t="s">
        <v>45</v>
      </c>
    </row>
    <row r="660" spans="1:9" ht="48" customHeight="1">
      <c r="A660" s="3" t="s">
        <v>66</v>
      </c>
      <c r="B660" s="3" t="s">
        <v>65</v>
      </c>
      <c r="C660" s="4">
        <v>46082</v>
      </c>
      <c r="D660" s="4">
        <v>46112</v>
      </c>
      <c r="E660" s="3" t="s">
        <v>260</v>
      </c>
      <c r="F660" s="3" t="s">
        <v>282</v>
      </c>
      <c r="G660" s="5">
        <v>0</v>
      </c>
      <c r="H660" s="6" t="s">
        <v>70</v>
      </c>
      <c r="I660" s="3" t="s">
        <v>45</v>
      </c>
    </row>
    <row r="661" spans="1:9" ht="48" customHeight="1">
      <c r="A661" s="3" t="s">
        <v>66</v>
      </c>
      <c r="B661" s="3" t="s">
        <v>65</v>
      </c>
      <c r="C661" s="4">
        <v>46082</v>
      </c>
      <c r="D661" s="4">
        <v>46112</v>
      </c>
      <c r="E661" s="3" t="s">
        <v>260</v>
      </c>
      <c r="F661" s="3" t="s">
        <v>283</v>
      </c>
      <c r="G661" s="5">
        <v>0</v>
      </c>
      <c r="H661" s="6" t="s">
        <v>70</v>
      </c>
      <c r="I661" s="3" t="s">
        <v>45</v>
      </c>
    </row>
    <row r="662" spans="1:9" ht="48" customHeight="1">
      <c r="A662" s="3" t="s">
        <v>66</v>
      </c>
      <c r="B662" s="3" t="s">
        <v>65</v>
      </c>
      <c r="C662" s="4">
        <v>46082</v>
      </c>
      <c r="D662" s="4">
        <v>46112</v>
      </c>
      <c r="E662" s="3" t="s">
        <v>260</v>
      </c>
      <c r="F662" s="3" t="s">
        <v>284</v>
      </c>
      <c r="G662" s="5">
        <v>0</v>
      </c>
      <c r="H662" s="6" t="s">
        <v>70</v>
      </c>
      <c r="I662" s="3" t="s">
        <v>45</v>
      </c>
    </row>
    <row r="663" spans="1:9" ht="48" customHeight="1">
      <c r="A663" s="3" t="s">
        <v>66</v>
      </c>
      <c r="B663" s="3" t="s">
        <v>65</v>
      </c>
      <c r="C663" s="4">
        <v>46082</v>
      </c>
      <c r="D663" s="4">
        <v>46112</v>
      </c>
      <c r="E663" s="3" t="s">
        <v>260</v>
      </c>
      <c r="F663" s="3" t="s">
        <v>285</v>
      </c>
      <c r="G663" s="5">
        <v>0</v>
      </c>
      <c r="H663" s="6" t="s">
        <v>70</v>
      </c>
      <c r="I663" s="3" t="s">
        <v>45</v>
      </c>
    </row>
    <row r="664" spans="1:9" ht="48" customHeight="1">
      <c r="A664" s="3" t="s">
        <v>66</v>
      </c>
      <c r="B664" s="3" t="s">
        <v>65</v>
      </c>
      <c r="C664" s="4">
        <v>46082</v>
      </c>
      <c r="D664" s="4">
        <v>46112</v>
      </c>
      <c r="E664" s="3" t="s">
        <v>301</v>
      </c>
      <c r="F664" s="3" t="s">
        <v>301</v>
      </c>
      <c r="G664" s="5">
        <v>0.02</v>
      </c>
      <c r="H664" s="6" t="s">
        <v>70</v>
      </c>
      <c r="I664" s="3" t="s">
        <v>45</v>
      </c>
    </row>
    <row r="665" spans="1:9" ht="48" customHeight="1">
      <c r="A665" s="3" t="s">
        <v>66</v>
      </c>
      <c r="B665" s="3" t="s">
        <v>65</v>
      </c>
      <c r="C665" s="4">
        <v>46082</v>
      </c>
      <c r="D665" s="4">
        <v>46112</v>
      </c>
      <c r="E665" s="3" t="s">
        <v>81</v>
      </c>
      <c r="F665" s="3" t="s">
        <v>325</v>
      </c>
      <c r="G665" s="5">
        <v>2E-3</v>
      </c>
      <c r="H665" s="6" t="s">
        <v>70</v>
      </c>
      <c r="I665" s="3" t="s">
        <v>45</v>
      </c>
    </row>
    <row r="666" spans="1:9" ht="48" customHeight="1">
      <c r="A666" s="3" t="s">
        <v>66</v>
      </c>
      <c r="B666" s="3" t="s">
        <v>65</v>
      </c>
      <c r="C666" s="4">
        <v>46082</v>
      </c>
      <c r="D666" s="4">
        <v>46112</v>
      </c>
      <c r="E666" s="3" t="s">
        <v>81</v>
      </c>
      <c r="F666" s="3" t="s">
        <v>326</v>
      </c>
      <c r="G666" s="5">
        <v>1E-3</v>
      </c>
      <c r="H666" s="6" t="s">
        <v>70</v>
      </c>
      <c r="I666" s="3" t="s">
        <v>45</v>
      </c>
    </row>
    <row r="667" spans="1:9" ht="48" customHeight="1">
      <c r="A667" s="3" t="s">
        <v>66</v>
      </c>
      <c r="B667" s="3" t="s">
        <v>65</v>
      </c>
      <c r="C667" s="4">
        <v>46082</v>
      </c>
      <c r="D667" s="4">
        <v>46112</v>
      </c>
      <c r="E667" s="3" t="s">
        <v>81</v>
      </c>
      <c r="F667" s="3" t="s">
        <v>327</v>
      </c>
      <c r="G667" s="5">
        <v>1E-3</v>
      </c>
      <c r="H667" s="6" t="s">
        <v>70</v>
      </c>
      <c r="I667" s="3" t="s">
        <v>45</v>
      </c>
    </row>
    <row r="668" spans="1:9" ht="48" customHeight="1">
      <c r="A668" s="3" t="s">
        <v>66</v>
      </c>
      <c r="B668" s="3" t="s">
        <v>65</v>
      </c>
      <c r="C668" s="4">
        <v>46082</v>
      </c>
      <c r="D668" s="4">
        <v>46112</v>
      </c>
      <c r="E668" s="3" t="s">
        <v>81</v>
      </c>
      <c r="F668" s="3" t="s">
        <v>328</v>
      </c>
      <c r="G668" s="5">
        <v>1E-3</v>
      </c>
      <c r="H668" s="6" t="s">
        <v>70</v>
      </c>
      <c r="I668" s="3" t="s">
        <v>45</v>
      </c>
    </row>
    <row r="669" spans="1:9" ht="48" customHeight="1">
      <c r="A669" s="3" t="s">
        <v>66</v>
      </c>
      <c r="B669" s="3" t="s">
        <v>65</v>
      </c>
      <c r="C669" s="4">
        <v>46082</v>
      </c>
      <c r="D669" s="4">
        <v>46112</v>
      </c>
      <c r="E669" s="3" t="s">
        <v>81</v>
      </c>
      <c r="F669" s="3" t="s">
        <v>329</v>
      </c>
      <c r="G669" s="5">
        <v>1E-3</v>
      </c>
      <c r="H669" s="6" t="s">
        <v>70</v>
      </c>
      <c r="I669" s="3" t="s">
        <v>45</v>
      </c>
    </row>
    <row r="670" spans="1:9" ht="48" customHeight="1">
      <c r="A670" s="3" t="s">
        <v>66</v>
      </c>
      <c r="B670" s="3" t="s">
        <v>65</v>
      </c>
      <c r="C670" s="4">
        <v>46082</v>
      </c>
      <c r="D670" s="4">
        <v>46112</v>
      </c>
      <c r="E670" s="3" t="s">
        <v>81</v>
      </c>
      <c r="F670" s="3" t="s">
        <v>330</v>
      </c>
      <c r="G670" s="5">
        <v>1E-3</v>
      </c>
      <c r="H670" s="6" t="s">
        <v>70</v>
      </c>
      <c r="I670" s="3" t="s">
        <v>45</v>
      </c>
    </row>
    <row r="671" spans="1:9" ht="48" customHeight="1">
      <c r="A671" s="3" t="s">
        <v>66</v>
      </c>
      <c r="B671" s="3" t="s">
        <v>65</v>
      </c>
      <c r="C671" s="4">
        <v>46082</v>
      </c>
      <c r="D671" s="4">
        <v>46112</v>
      </c>
      <c r="E671" s="3" t="s">
        <v>81</v>
      </c>
      <c r="F671" s="3" t="s">
        <v>333</v>
      </c>
      <c r="G671" s="5">
        <v>1E-3</v>
      </c>
      <c r="H671" s="6" t="s">
        <v>70</v>
      </c>
      <c r="I671" s="3" t="s">
        <v>45</v>
      </c>
    </row>
    <row r="672" spans="1:9" ht="48" customHeight="1">
      <c r="A672" s="3" t="s">
        <v>66</v>
      </c>
      <c r="B672" s="3" t="s">
        <v>65</v>
      </c>
      <c r="C672" s="4">
        <v>46082</v>
      </c>
      <c r="D672" s="4">
        <v>46112</v>
      </c>
      <c r="E672" s="3" t="s">
        <v>81</v>
      </c>
      <c r="F672" s="3" t="s">
        <v>331</v>
      </c>
      <c r="G672" s="5">
        <v>1E-3</v>
      </c>
      <c r="H672" s="6" t="s">
        <v>70</v>
      </c>
      <c r="I672" s="3" t="s">
        <v>45</v>
      </c>
    </row>
    <row r="673" spans="1:9" ht="48" customHeight="1">
      <c r="A673" s="3" t="s">
        <v>66</v>
      </c>
      <c r="B673" s="3" t="s">
        <v>65</v>
      </c>
      <c r="C673" s="4">
        <v>46082</v>
      </c>
      <c r="D673" s="4">
        <v>46112</v>
      </c>
      <c r="E673" s="3" t="s">
        <v>81</v>
      </c>
      <c r="F673" s="3" t="s">
        <v>332</v>
      </c>
      <c r="G673" s="5">
        <v>1E-3</v>
      </c>
      <c r="H673" s="6" t="s">
        <v>70</v>
      </c>
      <c r="I673" s="3" t="s">
        <v>45</v>
      </c>
    </row>
    <row r="674" spans="1:9" ht="48" customHeight="1">
      <c r="A674" s="3" t="s">
        <v>66</v>
      </c>
      <c r="B674" s="3" t="s">
        <v>65</v>
      </c>
      <c r="C674" s="4">
        <v>46082</v>
      </c>
      <c r="D674" s="4">
        <v>46112</v>
      </c>
      <c r="E674" s="3" t="s">
        <v>81</v>
      </c>
      <c r="F674" s="3" t="s">
        <v>334</v>
      </c>
      <c r="G674" s="5">
        <v>0</v>
      </c>
      <c r="H674" s="6" t="s">
        <v>70</v>
      </c>
      <c r="I674" s="3" t="s">
        <v>45</v>
      </c>
    </row>
    <row r="675" spans="1:9" ht="48" customHeight="1">
      <c r="A675" s="3" t="s">
        <v>66</v>
      </c>
      <c r="B675" s="3" t="s">
        <v>65</v>
      </c>
      <c r="C675" s="4">
        <v>46082</v>
      </c>
      <c r="D675" s="4">
        <v>46112</v>
      </c>
      <c r="E675" s="3" t="s">
        <v>81</v>
      </c>
      <c r="F675" s="3" t="s">
        <v>335</v>
      </c>
      <c r="G675" s="5">
        <v>0</v>
      </c>
      <c r="H675" s="6" t="s">
        <v>70</v>
      </c>
      <c r="I675" s="3" t="s">
        <v>45</v>
      </c>
    </row>
    <row r="676" spans="1:9" ht="48" customHeight="1">
      <c r="A676" s="3" t="s">
        <v>66</v>
      </c>
      <c r="B676" s="3" t="s">
        <v>65</v>
      </c>
      <c r="C676" s="4">
        <v>46082</v>
      </c>
      <c r="D676" s="4">
        <v>46112</v>
      </c>
      <c r="E676" s="3" t="s">
        <v>81</v>
      </c>
      <c r="F676" s="3" t="s">
        <v>336</v>
      </c>
      <c r="G676" s="5">
        <v>0</v>
      </c>
      <c r="H676" s="6" t="s">
        <v>70</v>
      </c>
      <c r="I676" s="3" t="s">
        <v>45</v>
      </c>
    </row>
    <row r="677" spans="1:9" ht="48" customHeight="1">
      <c r="A677" s="3" t="s">
        <v>66</v>
      </c>
      <c r="B677" s="3" t="s">
        <v>65</v>
      </c>
      <c r="C677" s="4">
        <v>46082</v>
      </c>
      <c r="D677" s="4">
        <v>46112</v>
      </c>
      <c r="E677" s="3" t="s">
        <v>81</v>
      </c>
      <c r="F677" s="3" t="s">
        <v>337</v>
      </c>
      <c r="G677" s="5">
        <v>0</v>
      </c>
      <c r="H677" s="6" t="s">
        <v>70</v>
      </c>
      <c r="I677" s="3" t="s">
        <v>45</v>
      </c>
    </row>
    <row r="678" spans="1:9" ht="48" customHeight="1">
      <c r="A678" s="3" t="s">
        <v>66</v>
      </c>
      <c r="B678" s="3" t="s">
        <v>65</v>
      </c>
      <c r="C678" s="4">
        <v>46082</v>
      </c>
      <c r="D678" s="4">
        <v>46112</v>
      </c>
      <c r="E678" s="3" t="s">
        <v>81</v>
      </c>
      <c r="F678" s="3" t="s">
        <v>338</v>
      </c>
      <c r="G678" s="5">
        <v>0</v>
      </c>
      <c r="H678" s="6" t="s">
        <v>70</v>
      </c>
      <c r="I678" s="3" t="s">
        <v>45</v>
      </c>
    </row>
    <row r="679" spans="1:9" ht="48" customHeight="1">
      <c r="A679" s="3" t="s">
        <v>66</v>
      </c>
      <c r="B679" s="3" t="s">
        <v>65</v>
      </c>
      <c r="C679" s="4">
        <v>46082</v>
      </c>
      <c r="D679" s="4">
        <v>46112</v>
      </c>
      <c r="E679" s="3" t="s">
        <v>81</v>
      </c>
      <c r="F679" s="3" t="s">
        <v>339</v>
      </c>
      <c r="G679" s="5">
        <v>0</v>
      </c>
      <c r="H679" s="6" t="s">
        <v>70</v>
      </c>
      <c r="I679" s="3" t="s">
        <v>45</v>
      </c>
    </row>
    <row r="680" spans="1:9" ht="48" customHeight="1">
      <c r="A680" s="3" t="s">
        <v>66</v>
      </c>
      <c r="B680" s="3" t="s">
        <v>65</v>
      </c>
      <c r="C680" s="4">
        <v>46082</v>
      </c>
      <c r="D680" s="4">
        <v>46112</v>
      </c>
      <c r="E680" s="3" t="s">
        <v>81</v>
      </c>
      <c r="F680" s="3" t="s">
        <v>340</v>
      </c>
      <c r="G680" s="5">
        <v>0</v>
      </c>
      <c r="H680" s="6" t="s">
        <v>70</v>
      </c>
      <c r="I680" s="3" t="s">
        <v>45</v>
      </c>
    </row>
    <row r="681" spans="1:9" ht="48" customHeight="1">
      <c r="A681" s="3" t="s">
        <v>66</v>
      </c>
      <c r="B681" s="3" t="s">
        <v>65</v>
      </c>
      <c r="C681" s="4">
        <v>46082</v>
      </c>
      <c r="D681" s="4">
        <v>46112</v>
      </c>
      <c r="E681" s="3" t="s">
        <v>81</v>
      </c>
      <c r="F681" s="3" t="s">
        <v>341</v>
      </c>
      <c r="G681" s="5">
        <v>0</v>
      </c>
      <c r="H681" s="6" t="s">
        <v>70</v>
      </c>
      <c r="I681" s="3" t="s">
        <v>45</v>
      </c>
    </row>
    <row r="682" spans="1:9" ht="48" customHeight="1">
      <c r="A682" s="3" t="s">
        <v>66</v>
      </c>
      <c r="B682" s="3" t="s">
        <v>65</v>
      </c>
      <c r="C682" s="4">
        <v>46082</v>
      </c>
      <c r="D682" s="4">
        <v>46112</v>
      </c>
      <c r="E682" s="3" t="s">
        <v>81</v>
      </c>
      <c r="F682" s="3" t="s">
        <v>342</v>
      </c>
      <c r="G682" s="5">
        <v>0</v>
      </c>
      <c r="H682" s="6" t="s">
        <v>70</v>
      </c>
      <c r="I682" s="3" t="s">
        <v>45</v>
      </c>
    </row>
    <row r="683" spans="1:9" ht="48" customHeight="1">
      <c r="A683" s="3" t="s">
        <v>66</v>
      </c>
      <c r="B683" s="3" t="s">
        <v>65</v>
      </c>
      <c r="C683" s="4">
        <v>46082</v>
      </c>
      <c r="D683" s="4">
        <v>46112</v>
      </c>
      <c r="E683" s="3" t="s">
        <v>81</v>
      </c>
      <c r="F683" s="3" t="s">
        <v>343</v>
      </c>
      <c r="G683" s="5">
        <v>0</v>
      </c>
      <c r="H683" s="6" t="s">
        <v>70</v>
      </c>
      <c r="I683" s="3" t="s">
        <v>45</v>
      </c>
    </row>
    <row r="684" spans="1:9" ht="48" customHeight="1">
      <c r="A684" s="3" t="s">
        <v>66</v>
      </c>
      <c r="B684" s="3" t="s">
        <v>65</v>
      </c>
      <c r="C684" s="4">
        <v>46082</v>
      </c>
      <c r="D684" s="4">
        <v>46112</v>
      </c>
      <c r="E684" s="3" t="s">
        <v>81</v>
      </c>
      <c r="F684" s="3" t="s">
        <v>344</v>
      </c>
      <c r="G684" s="5">
        <v>0</v>
      </c>
      <c r="H684" s="6" t="s">
        <v>70</v>
      </c>
      <c r="I684" s="3" t="s">
        <v>45</v>
      </c>
    </row>
    <row r="685" spans="1:9" ht="48" customHeight="1">
      <c r="A685" s="3" t="s">
        <v>66</v>
      </c>
      <c r="B685" s="3" t="s">
        <v>65</v>
      </c>
      <c r="C685" s="4">
        <v>46082</v>
      </c>
      <c r="D685" s="4">
        <v>46112</v>
      </c>
      <c r="E685" s="3" t="s">
        <v>81</v>
      </c>
      <c r="F685" s="3" t="s">
        <v>345</v>
      </c>
      <c r="G685" s="5">
        <v>0</v>
      </c>
      <c r="H685" s="6" t="s">
        <v>70</v>
      </c>
      <c r="I685" s="3" t="s">
        <v>45</v>
      </c>
    </row>
    <row r="686" spans="1:9" ht="48" customHeight="1">
      <c r="A686" s="3" t="s">
        <v>66</v>
      </c>
      <c r="B686" s="3" t="s">
        <v>65</v>
      </c>
      <c r="C686" s="4">
        <v>46082</v>
      </c>
      <c r="D686" s="4">
        <v>46112</v>
      </c>
      <c r="E686" s="3" t="s">
        <v>81</v>
      </c>
      <c r="F686" s="3" t="s">
        <v>346</v>
      </c>
      <c r="G686" s="5">
        <v>0</v>
      </c>
      <c r="H686" s="6" t="s">
        <v>70</v>
      </c>
      <c r="I686" s="3" t="s">
        <v>45</v>
      </c>
    </row>
    <row r="687" spans="1:9" ht="48" customHeight="1">
      <c r="A687" s="3" t="s">
        <v>66</v>
      </c>
      <c r="B687" s="3" t="s">
        <v>65</v>
      </c>
      <c r="C687" s="4">
        <v>46082</v>
      </c>
      <c r="D687" s="4">
        <v>46112</v>
      </c>
      <c r="E687" s="3" t="s">
        <v>81</v>
      </c>
      <c r="F687" s="3" t="s">
        <v>347</v>
      </c>
      <c r="G687" s="5">
        <v>0</v>
      </c>
      <c r="H687" s="6" t="s">
        <v>70</v>
      </c>
      <c r="I687" s="3" t="s">
        <v>45</v>
      </c>
    </row>
    <row r="688" spans="1:9" ht="48" customHeight="1">
      <c r="A688" s="3" t="s">
        <v>66</v>
      </c>
      <c r="B688" s="3" t="s">
        <v>65</v>
      </c>
      <c r="C688" s="4">
        <v>46082</v>
      </c>
      <c r="D688" s="4">
        <v>46112</v>
      </c>
      <c r="E688" s="3" t="s">
        <v>302</v>
      </c>
      <c r="F688" s="3" t="s">
        <v>307</v>
      </c>
      <c r="G688" s="5">
        <v>2E-3</v>
      </c>
      <c r="H688" s="6" t="s">
        <v>70</v>
      </c>
      <c r="I688" s="3" t="s">
        <v>45</v>
      </c>
    </row>
    <row r="689" spans="1:9" ht="48" customHeight="1">
      <c r="A689" s="3" t="s">
        <v>66</v>
      </c>
      <c r="B689" s="3" t="s">
        <v>65</v>
      </c>
      <c r="C689" s="4">
        <v>46082</v>
      </c>
      <c r="D689" s="4">
        <v>46112</v>
      </c>
      <c r="E689" s="3" t="s">
        <v>302</v>
      </c>
      <c r="F689" s="3" t="s">
        <v>311</v>
      </c>
      <c r="G689" s="5">
        <v>1E-3</v>
      </c>
      <c r="H689" s="6" t="s">
        <v>70</v>
      </c>
      <c r="I689" s="3" t="s">
        <v>45</v>
      </c>
    </row>
    <row r="690" spans="1:9" ht="48" customHeight="1">
      <c r="A690" s="3" t="s">
        <v>66</v>
      </c>
      <c r="B690" s="3" t="s">
        <v>65</v>
      </c>
      <c r="C690" s="4">
        <v>46082</v>
      </c>
      <c r="D690" s="4">
        <v>46112</v>
      </c>
      <c r="E690" s="3" t="s">
        <v>302</v>
      </c>
      <c r="F690" s="3" t="s">
        <v>305</v>
      </c>
      <c r="G690" s="5">
        <v>1E-3</v>
      </c>
      <c r="H690" s="6" t="s">
        <v>70</v>
      </c>
      <c r="I690" s="3" t="s">
        <v>45</v>
      </c>
    </row>
    <row r="691" spans="1:9" ht="48" customHeight="1">
      <c r="A691" s="3" t="s">
        <v>66</v>
      </c>
      <c r="B691" s="3" t="s">
        <v>65</v>
      </c>
      <c r="C691" s="4">
        <v>46082</v>
      </c>
      <c r="D691" s="4">
        <v>46112</v>
      </c>
      <c r="E691" s="3" t="s">
        <v>302</v>
      </c>
      <c r="F691" s="3" t="s">
        <v>306</v>
      </c>
      <c r="G691" s="5">
        <v>1E-3</v>
      </c>
      <c r="H691" s="6" t="s">
        <v>70</v>
      </c>
      <c r="I691" s="3" t="s">
        <v>45</v>
      </c>
    </row>
    <row r="692" spans="1:9" ht="48" customHeight="1">
      <c r="A692" s="3" t="s">
        <v>66</v>
      </c>
      <c r="B692" s="3" t="s">
        <v>65</v>
      </c>
      <c r="C692" s="4">
        <v>46082</v>
      </c>
      <c r="D692" s="4">
        <v>46112</v>
      </c>
      <c r="E692" s="3" t="s">
        <v>302</v>
      </c>
      <c r="F692" s="3" t="s">
        <v>308</v>
      </c>
      <c r="G692" s="5">
        <v>1E-3</v>
      </c>
      <c r="H692" s="6" t="s">
        <v>70</v>
      </c>
      <c r="I692" s="3" t="s">
        <v>45</v>
      </c>
    </row>
    <row r="693" spans="1:9" ht="48" customHeight="1">
      <c r="A693" s="3" t="s">
        <v>66</v>
      </c>
      <c r="B693" s="3" t="s">
        <v>65</v>
      </c>
      <c r="C693" s="4">
        <v>46082</v>
      </c>
      <c r="D693" s="4">
        <v>46112</v>
      </c>
      <c r="E693" s="3" t="s">
        <v>302</v>
      </c>
      <c r="F693" s="3" t="s">
        <v>309</v>
      </c>
      <c r="G693" s="5">
        <v>1E-3</v>
      </c>
      <c r="H693" s="6" t="s">
        <v>70</v>
      </c>
      <c r="I693" s="3" t="s">
        <v>45</v>
      </c>
    </row>
    <row r="694" spans="1:9" ht="48" customHeight="1">
      <c r="A694" s="3" t="s">
        <v>66</v>
      </c>
      <c r="B694" s="3" t="s">
        <v>65</v>
      </c>
      <c r="C694" s="4">
        <v>46082</v>
      </c>
      <c r="D694" s="4">
        <v>46112</v>
      </c>
      <c r="E694" s="3" t="s">
        <v>302</v>
      </c>
      <c r="F694" s="3" t="s">
        <v>303</v>
      </c>
      <c r="G694" s="5">
        <v>0</v>
      </c>
      <c r="H694" s="6" t="s">
        <v>70</v>
      </c>
      <c r="I694" s="3" t="s">
        <v>45</v>
      </c>
    </row>
    <row r="695" spans="1:9" ht="48" customHeight="1">
      <c r="A695" s="3" t="s">
        <v>66</v>
      </c>
      <c r="B695" s="3" t="s">
        <v>65</v>
      </c>
      <c r="C695" s="4">
        <v>46082</v>
      </c>
      <c r="D695" s="4">
        <v>46112</v>
      </c>
      <c r="E695" s="3" t="s">
        <v>302</v>
      </c>
      <c r="F695" s="3" t="s">
        <v>304</v>
      </c>
      <c r="G695" s="5">
        <v>0</v>
      </c>
      <c r="H695" s="6" t="s">
        <v>70</v>
      </c>
      <c r="I695" s="3" t="s">
        <v>45</v>
      </c>
    </row>
    <row r="696" spans="1:9" ht="48" customHeight="1">
      <c r="A696" s="3" t="s">
        <v>66</v>
      </c>
      <c r="B696" s="3" t="s">
        <v>65</v>
      </c>
      <c r="C696" s="4">
        <v>46082</v>
      </c>
      <c r="D696" s="4">
        <v>46112</v>
      </c>
      <c r="E696" s="3" t="s">
        <v>302</v>
      </c>
      <c r="F696" s="3" t="s">
        <v>310</v>
      </c>
      <c r="G696" s="5">
        <v>0</v>
      </c>
      <c r="H696" s="6" t="s">
        <v>70</v>
      </c>
      <c r="I696" s="3" t="s">
        <v>45</v>
      </c>
    </row>
    <row r="697" spans="1:9" ht="48" customHeight="1">
      <c r="A697" s="3" t="s">
        <v>66</v>
      </c>
      <c r="B697" s="3" t="s">
        <v>65</v>
      </c>
      <c r="C697" s="4">
        <v>46082</v>
      </c>
      <c r="D697" s="4">
        <v>46112</v>
      </c>
      <c r="E697" s="3" t="s">
        <v>302</v>
      </c>
      <c r="F697" s="3" t="s">
        <v>312</v>
      </c>
      <c r="G697" s="5">
        <v>0</v>
      </c>
      <c r="H697" s="6" t="s">
        <v>70</v>
      </c>
      <c r="I697" s="3" t="s">
        <v>45</v>
      </c>
    </row>
    <row r="698" spans="1:9" ht="48" customHeight="1">
      <c r="A698" s="3" t="s">
        <v>66</v>
      </c>
      <c r="B698" s="3" t="s">
        <v>65</v>
      </c>
      <c r="C698" s="4">
        <v>46082</v>
      </c>
      <c r="D698" s="4">
        <v>46112</v>
      </c>
      <c r="E698" s="3" t="s">
        <v>302</v>
      </c>
      <c r="F698" s="3" t="s">
        <v>313</v>
      </c>
      <c r="G698" s="5">
        <v>0</v>
      </c>
      <c r="H698" s="6" t="s">
        <v>70</v>
      </c>
      <c r="I698" s="3" t="s">
        <v>45</v>
      </c>
    </row>
    <row r="699" spans="1:9" ht="48" customHeight="1">
      <c r="A699" s="3" t="s">
        <v>66</v>
      </c>
      <c r="B699" s="3" t="s">
        <v>65</v>
      </c>
      <c r="C699" s="4">
        <v>46082</v>
      </c>
      <c r="D699" s="4">
        <v>46112</v>
      </c>
      <c r="E699" s="3" t="s">
        <v>302</v>
      </c>
      <c r="F699" s="3" t="s">
        <v>314</v>
      </c>
      <c r="G699" s="5">
        <v>0</v>
      </c>
      <c r="H699" s="6" t="s">
        <v>70</v>
      </c>
      <c r="I699" s="3" t="s">
        <v>45</v>
      </c>
    </row>
    <row r="700" spans="1:9" ht="48" customHeight="1">
      <c r="A700" s="3" t="s">
        <v>66</v>
      </c>
      <c r="B700" s="3" t="s">
        <v>65</v>
      </c>
      <c r="C700" s="4">
        <v>46082</v>
      </c>
      <c r="D700" s="4">
        <v>46112</v>
      </c>
      <c r="E700" s="3" t="s">
        <v>302</v>
      </c>
      <c r="F700" s="3" t="s">
        <v>315</v>
      </c>
      <c r="G700" s="5">
        <v>0</v>
      </c>
      <c r="H700" s="6" t="s">
        <v>70</v>
      </c>
      <c r="I700" s="3" t="s">
        <v>45</v>
      </c>
    </row>
    <row r="701" spans="1:9" ht="48" customHeight="1">
      <c r="A701" s="3" t="s">
        <v>66</v>
      </c>
      <c r="B701" s="3" t="s">
        <v>65</v>
      </c>
      <c r="C701" s="4">
        <v>46082</v>
      </c>
      <c r="D701" s="4">
        <v>46112</v>
      </c>
      <c r="E701" s="3" t="s">
        <v>302</v>
      </c>
      <c r="F701" s="3" t="s">
        <v>316</v>
      </c>
      <c r="G701" s="5">
        <v>0</v>
      </c>
      <c r="H701" s="6" t="s">
        <v>70</v>
      </c>
      <c r="I701" s="3" t="s">
        <v>45</v>
      </c>
    </row>
    <row r="702" spans="1:9" ht="48" customHeight="1">
      <c r="A702" s="3" t="s">
        <v>66</v>
      </c>
      <c r="B702" s="3" t="s">
        <v>65</v>
      </c>
      <c r="C702" s="4">
        <v>46082</v>
      </c>
      <c r="D702" s="4">
        <v>46112</v>
      </c>
      <c r="E702" s="3" t="s">
        <v>302</v>
      </c>
      <c r="F702" s="3" t="s">
        <v>317</v>
      </c>
      <c r="G702" s="5">
        <v>0</v>
      </c>
      <c r="H702" s="6" t="s">
        <v>70</v>
      </c>
      <c r="I702" s="3" t="s">
        <v>45</v>
      </c>
    </row>
    <row r="703" spans="1:9" ht="48" customHeight="1">
      <c r="A703" s="3" t="s">
        <v>66</v>
      </c>
      <c r="B703" s="3" t="s">
        <v>65</v>
      </c>
      <c r="C703" s="4">
        <v>46082</v>
      </c>
      <c r="D703" s="4">
        <v>46112</v>
      </c>
      <c r="E703" s="3" t="s">
        <v>302</v>
      </c>
      <c r="F703" s="3" t="s">
        <v>318</v>
      </c>
      <c r="G703" s="5">
        <v>0</v>
      </c>
      <c r="H703" s="6" t="s">
        <v>70</v>
      </c>
      <c r="I703" s="3" t="s">
        <v>45</v>
      </c>
    </row>
    <row r="704" spans="1:9" ht="48" customHeight="1">
      <c r="A704" s="3" t="s">
        <v>66</v>
      </c>
      <c r="B704" s="3" t="s">
        <v>65</v>
      </c>
      <c r="C704" s="4">
        <v>46082</v>
      </c>
      <c r="D704" s="4">
        <v>46112</v>
      </c>
      <c r="E704" s="3" t="s">
        <v>302</v>
      </c>
      <c r="F704" s="3" t="s">
        <v>319</v>
      </c>
      <c r="G704" s="5">
        <v>0</v>
      </c>
      <c r="H704" s="6" t="s">
        <v>70</v>
      </c>
      <c r="I704" s="3" t="s">
        <v>45</v>
      </c>
    </row>
    <row r="705" spans="1:9" ht="48" customHeight="1">
      <c r="A705" s="3" t="s">
        <v>66</v>
      </c>
      <c r="B705" s="3" t="s">
        <v>65</v>
      </c>
      <c r="C705" s="4">
        <v>46082</v>
      </c>
      <c r="D705" s="4">
        <v>46112</v>
      </c>
      <c r="E705" s="3" t="s">
        <v>302</v>
      </c>
      <c r="F705" s="3" t="s">
        <v>320</v>
      </c>
      <c r="G705" s="5">
        <v>0</v>
      </c>
      <c r="H705" s="6" t="s">
        <v>70</v>
      </c>
      <c r="I705" s="3" t="s">
        <v>45</v>
      </c>
    </row>
    <row r="706" spans="1:9" ht="48" customHeight="1">
      <c r="A706" s="3" t="s">
        <v>66</v>
      </c>
      <c r="B706" s="3" t="s">
        <v>65</v>
      </c>
      <c r="C706" s="4">
        <v>46082</v>
      </c>
      <c r="D706" s="4">
        <v>46112</v>
      </c>
      <c r="E706" s="3" t="s">
        <v>302</v>
      </c>
      <c r="F706" s="3" t="s">
        <v>321</v>
      </c>
      <c r="G706" s="5">
        <v>0</v>
      </c>
      <c r="H706" s="6" t="s">
        <v>70</v>
      </c>
      <c r="I706" s="3" t="s">
        <v>45</v>
      </c>
    </row>
    <row r="707" spans="1:9" ht="48" customHeight="1">
      <c r="A707" s="3" t="s">
        <v>66</v>
      </c>
      <c r="B707" s="3" t="s">
        <v>65</v>
      </c>
      <c r="C707" s="4">
        <v>46082</v>
      </c>
      <c r="D707" s="4">
        <v>46112</v>
      </c>
      <c r="E707" s="3" t="s">
        <v>302</v>
      </c>
      <c r="F707" s="3" t="s">
        <v>322</v>
      </c>
      <c r="G707" s="5">
        <v>0</v>
      </c>
      <c r="H707" s="6" t="s">
        <v>70</v>
      </c>
      <c r="I707" s="3" t="s">
        <v>45</v>
      </c>
    </row>
    <row r="708" spans="1:9" ht="48" customHeight="1">
      <c r="A708" s="3" t="s">
        <v>66</v>
      </c>
      <c r="B708" s="3" t="s">
        <v>65</v>
      </c>
      <c r="C708" s="4">
        <v>46082</v>
      </c>
      <c r="D708" s="4">
        <v>46112</v>
      </c>
      <c r="E708" s="3" t="s">
        <v>302</v>
      </c>
      <c r="F708" s="3" t="s">
        <v>323</v>
      </c>
      <c r="G708" s="5">
        <v>0</v>
      </c>
      <c r="H708" s="6" t="s">
        <v>70</v>
      </c>
      <c r="I708" s="3" t="s">
        <v>45</v>
      </c>
    </row>
    <row r="709" spans="1:9" ht="48" customHeight="1">
      <c r="A709" s="3" t="s">
        <v>66</v>
      </c>
      <c r="B709" s="3" t="s">
        <v>65</v>
      </c>
      <c r="C709" s="4">
        <v>46082</v>
      </c>
      <c r="D709" s="4">
        <v>46112</v>
      </c>
      <c r="E709" s="3" t="s">
        <v>302</v>
      </c>
      <c r="F709" s="3" t="s">
        <v>324</v>
      </c>
      <c r="G709" s="5">
        <v>0</v>
      </c>
      <c r="H709" s="6" t="s">
        <v>70</v>
      </c>
      <c r="I709" s="3" t="s">
        <v>45</v>
      </c>
    </row>
    <row r="710" spans="1:9" ht="48" customHeight="1">
      <c r="A710" s="3" t="s">
        <v>66</v>
      </c>
      <c r="B710" s="3" t="s">
        <v>65</v>
      </c>
      <c r="C710" s="4">
        <v>46082</v>
      </c>
      <c r="D710" s="4">
        <v>46112</v>
      </c>
      <c r="E710" s="3" t="s">
        <v>47</v>
      </c>
      <c r="F710" s="3" t="s">
        <v>348</v>
      </c>
      <c r="G710" s="5">
        <v>2E-3</v>
      </c>
      <c r="H710" s="6" t="s">
        <v>70</v>
      </c>
      <c r="I710" s="3" t="s">
        <v>45</v>
      </c>
    </row>
    <row r="711" spans="1:9" ht="48" customHeight="1">
      <c r="A711" s="3" t="s">
        <v>66</v>
      </c>
      <c r="B711" s="3" t="s">
        <v>65</v>
      </c>
      <c r="C711" s="4">
        <v>46082</v>
      </c>
      <c r="D711" s="4">
        <v>46112</v>
      </c>
      <c r="E711" s="3" t="s">
        <v>47</v>
      </c>
      <c r="F711" s="3" t="s">
        <v>349</v>
      </c>
      <c r="G711" s="5">
        <v>1E-3</v>
      </c>
      <c r="H711" s="6" t="s">
        <v>70</v>
      </c>
      <c r="I711" s="3" t="s">
        <v>45</v>
      </c>
    </row>
    <row r="712" spans="1:9" ht="48" customHeight="1">
      <c r="A712" s="3" t="s">
        <v>66</v>
      </c>
      <c r="B712" s="3" t="s">
        <v>65</v>
      </c>
      <c r="C712" s="4">
        <v>46082</v>
      </c>
      <c r="D712" s="4">
        <v>46112</v>
      </c>
      <c r="E712" s="3" t="s">
        <v>47</v>
      </c>
      <c r="F712" s="3" t="s">
        <v>350</v>
      </c>
      <c r="G712" s="5">
        <v>1E-3</v>
      </c>
      <c r="H712" s="6" t="s">
        <v>70</v>
      </c>
      <c r="I712" s="3" t="s">
        <v>45</v>
      </c>
    </row>
    <row r="713" spans="1:9" ht="48" customHeight="1">
      <c r="A713" s="3" t="s">
        <v>66</v>
      </c>
      <c r="B713" s="3" t="s">
        <v>65</v>
      </c>
      <c r="C713" s="4">
        <v>46082</v>
      </c>
      <c r="D713" s="4">
        <v>46112</v>
      </c>
      <c r="E713" s="3" t="s">
        <v>47</v>
      </c>
      <c r="F713" s="3" t="s">
        <v>351</v>
      </c>
      <c r="G713" s="5">
        <v>0</v>
      </c>
      <c r="H713" s="6" t="s">
        <v>70</v>
      </c>
      <c r="I713" s="3" t="s">
        <v>45</v>
      </c>
    </row>
    <row r="714" spans="1:9" ht="48" customHeight="1">
      <c r="A714" s="3" t="s">
        <v>66</v>
      </c>
      <c r="B714" s="3" t="s">
        <v>65</v>
      </c>
      <c r="C714" s="4">
        <v>46082</v>
      </c>
      <c r="D714" s="4">
        <v>46112</v>
      </c>
      <c r="E714" s="3" t="s">
        <v>47</v>
      </c>
      <c r="F714" s="3" t="s">
        <v>352</v>
      </c>
      <c r="G714" s="5">
        <v>0</v>
      </c>
      <c r="H714" s="6" t="s">
        <v>70</v>
      </c>
      <c r="I714" s="3" t="s">
        <v>45</v>
      </c>
    </row>
    <row r="715" spans="1:9" ht="48" customHeight="1">
      <c r="A715" s="3" t="s">
        <v>66</v>
      </c>
      <c r="B715" s="3" t="s">
        <v>65</v>
      </c>
      <c r="C715" s="4">
        <v>46082</v>
      </c>
      <c r="D715" s="4">
        <v>46112</v>
      </c>
      <c r="E715" s="3" t="s">
        <v>47</v>
      </c>
      <c r="F715" s="3" t="s">
        <v>353</v>
      </c>
      <c r="G715" s="5">
        <v>0</v>
      </c>
      <c r="H715" s="6" t="s">
        <v>70</v>
      </c>
      <c r="I715" s="3" t="s">
        <v>45</v>
      </c>
    </row>
    <row r="716" spans="1:9" ht="48" customHeight="1">
      <c r="A716" s="3" t="s">
        <v>66</v>
      </c>
      <c r="B716" s="3" t="s">
        <v>65</v>
      </c>
      <c r="C716" s="4">
        <v>46082</v>
      </c>
      <c r="D716" s="4">
        <v>46112</v>
      </c>
      <c r="E716" s="3" t="s">
        <v>47</v>
      </c>
      <c r="F716" s="3" t="s">
        <v>354</v>
      </c>
      <c r="G716" s="5">
        <v>0</v>
      </c>
      <c r="H716" s="6" t="s">
        <v>70</v>
      </c>
      <c r="I716" s="3" t="s">
        <v>45</v>
      </c>
    </row>
    <row r="717" spans="1:9" ht="48" customHeight="1">
      <c r="A717" s="3" t="s">
        <v>66</v>
      </c>
      <c r="B717" s="3" t="s">
        <v>65</v>
      </c>
      <c r="C717" s="4">
        <v>46082</v>
      </c>
      <c r="D717" s="4">
        <v>46112</v>
      </c>
      <c r="E717" s="3" t="s">
        <v>47</v>
      </c>
      <c r="F717" s="3" t="s">
        <v>355</v>
      </c>
      <c r="G717" s="5">
        <v>0</v>
      </c>
      <c r="H717" s="6" t="s">
        <v>70</v>
      </c>
      <c r="I717" s="3" t="s">
        <v>45</v>
      </c>
    </row>
    <row r="718" spans="1:9" ht="48" customHeight="1">
      <c r="A718" s="3" t="s">
        <v>66</v>
      </c>
      <c r="B718" s="3" t="s">
        <v>65</v>
      </c>
      <c r="C718" s="4">
        <v>46082</v>
      </c>
      <c r="D718" s="4">
        <v>46112</v>
      </c>
      <c r="E718" s="3" t="s">
        <v>47</v>
      </c>
      <c r="F718" s="3" t="s">
        <v>356</v>
      </c>
      <c r="G718" s="5">
        <v>0</v>
      </c>
      <c r="H718" s="6" t="s">
        <v>70</v>
      </c>
      <c r="I718" s="3" t="s">
        <v>45</v>
      </c>
    </row>
    <row r="719" spans="1:9" ht="48" customHeight="1">
      <c r="A719" s="3" t="s">
        <v>66</v>
      </c>
      <c r="B719" s="3" t="s">
        <v>65</v>
      </c>
      <c r="C719" s="4">
        <v>46082</v>
      </c>
      <c r="D719" s="4">
        <v>46112</v>
      </c>
      <c r="E719" s="3" t="s">
        <v>47</v>
      </c>
      <c r="F719" s="3" t="s">
        <v>40</v>
      </c>
      <c r="G719" s="5">
        <v>0</v>
      </c>
      <c r="H719" s="6" t="s">
        <v>70</v>
      </c>
      <c r="I719" s="3" t="s">
        <v>45</v>
      </c>
    </row>
    <row r="720" spans="1:9" ht="48" customHeight="1">
      <c r="A720" s="3" t="s">
        <v>66</v>
      </c>
      <c r="B720" s="3" t="s">
        <v>65</v>
      </c>
      <c r="C720" s="4">
        <v>46082</v>
      </c>
      <c r="D720" s="4">
        <v>46112</v>
      </c>
      <c r="E720" s="3" t="s">
        <v>47</v>
      </c>
      <c r="F720" s="3" t="s">
        <v>357</v>
      </c>
      <c r="G720" s="5">
        <v>0</v>
      </c>
      <c r="H720" s="6" t="s">
        <v>70</v>
      </c>
      <c r="I720" s="3" t="s">
        <v>45</v>
      </c>
    </row>
    <row r="721" spans="1:9" ht="48" customHeight="1">
      <c r="A721" s="3" t="s">
        <v>66</v>
      </c>
      <c r="B721" s="3" t="s">
        <v>65</v>
      </c>
      <c r="C721" s="4">
        <v>46082</v>
      </c>
      <c r="D721" s="4">
        <v>46112</v>
      </c>
      <c r="E721" s="3" t="s">
        <v>47</v>
      </c>
      <c r="F721" s="3" t="s">
        <v>358</v>
      </c>
      <c r="G721" s="5">
        <v>0</v>
      </c>
      <c r="H721" s="6" t="s">
        <v>70</v>
      </c>
      <c r="I721" s="3" t="s">
        <v>45</v>
      </c>
    </row>
    <row r="722" spans="1:9" ht="48" customHeight="1">
      <c r="A722" s="3" t="s">
        <v>66</v>
      </c>
      <c r="B722" s="3" t="s">
        <v>65</v>
      </c>
      <c r="C722" s="4">
        <v>46082</v>
      </c>
      <c r="D722" s="4">
        <v>46112</v>
      </c>
      <c r="E722" s="3" t="s">
        <v>47</v>
      </c>
      <c r="F722" s="3" t="s">
        <v>359</v>
      </c>
      <c r="G722" s="5">
        <v>0</v>
      </c>
      <c r="H722" s="6" t="s">
        <v>70</v>
      </c>
      <c r="I722" s="3" t="s">
        <v>45</v>
      </c>
    </row>
    <row r="723" spans="1:9" ht="48" customHeight="1">
      <c r="A723" s="3" t="s">
        <v>66</v>
      </c>
      <c r="B723" s="3" t="s">
        <v>65</v>
      </c>
      <c r="C723" s="4">
        <v>46082</v>
      </c>
      <c r="D723" s="4">
        <v>46112</v>
      </c>
      <c r="E723" s="3" t="s">
        <v>47</v>
      </c>
      <c r="F723" s="3" t="s">
        <v>360</v>
      </c>
      <c r="G723" s="5">
        <v>0</v>
      </c>
      <c r="H723" s="6" t="s">
        <v>70</v>
      </c>
      <c r="I723" s="3" t="s">
        <v>45</v>
      </c>
    </row>
    <row r="724" spans="1:9" ht="48" customHeight="1">
      <c r="A724" s="3" t="s">
        <v>66</v>
      </c>
      <c r="B724" s="3" t="s">
        <v>65</v>
      </c>
      <c r="C724" s="4">
        <v>46082</v>
      </c>
      <c r="D724" s="4">
        <v>46112</v>
      </c>
      <c r="E724" s="3" t="s">
        <v>47</v>
      </c>
      <c r="F724" s="3" t="s">
        <v>361</v>
      </c>
      <c r="G724" s="5">
        <v>0</v>
      </c>
      <c r="H724" s="6" t="s">
        <v>70</v>
      </c>
      <c r="I724" s="3" t="s">
        <v>45</v>
      </c>
    </row>
    <row r="725" spans="1:9" ht="48" customHeight="1">
      <c r="A725" s="3" t="s">
        <v>66</v>
      </c>
      <c r="B725" s="3" t="s">
        <v>65</v>
      </c>
      <c r="C725" s="4">
        <v>46082</v>
      </c>
      <c r="D725" s="4">
        <v>46112</v>
      </c>
      <c r="E725" s="3" t="s">
        <v>47</v>
      </c>
      <c r="F725" s="3" t="s">
        <v>362</v>
      </c>
      <c r="G725" s="5">
        <v>0</v>
      </c>
      <c r="H725" s="6" t="s">
        <v>70</v>
      </c>
      <c r="I725" s="3" t="s">
        <v>45</v>
      </c>
    </row>
    <row r="726" spans="1:9" ht="48" customHeight="1">
      <c r="A726" s="3" t="s">
        <v>66</v>
      </c>
      <c r="B726" s="3" t="s">
        <v>65</v>
      </c>
      <c r="C726" s="4">
        <v>46082</v>
      </c>
      <c r="D726" s="4">
        <v>46112</v>
      </c>
      <c r="E726" s="3" t="s">
        <v>47</v>
      </c>
      <c r="F726" s="3" t="s">
        <v>318</v>
      </c>
      <c r="G726" s="5">
        <v>0</v>
      </c>
      <c r="H726" s="6" t="s">
        <v>70</v>
      </c>
      <c r="I726" s="3" t="s">
        <v>45</v>
      </c>
    </row>
    <row r="727" spans="1:9" ht="48" customHeight="1">
      <c r="A727" s="3" t="s">
        <v>66</v>
      </c>
      <c r="B727" s="3" t="s">
        <v>65</v>
      </c>
      <c r="C727" s="4">
        <v>46082</v>
      </c>
      <c r="D727" s="4">
        <v>46112</v>
      </c>
      <c r="E727" s="3" t="s">
        <v>47</v>
      </c>
      <c r="F727" s="3" t="s">
        <v>363</v>
      </c>
      <c r="G727" s="5">
        <v>0</v>
      </c>
      <c r="H727" s="6" t="s">
        <v>70</v>
      </c>
      <c r="I727" s="3" t="s">
        <v>45</v>
      </c>
    </row>
    <row r="728" spans="1:9" ht="48" customHeight="1">
      <c r="A728" s="3" t="s">
        <v>66</v>
      </c>
      <c r="B728" s="3" t="s">
        <v>65</v>
      </c>
      <c r="C728" s="4">
        <v>46082</v>
      </c>
      <c r="D728" s="4">
        <v>46112</v>
      </c>
      <c r="E728" s="3" t="s">
        <v>364</v>
      </c>
      <c r="F728" s="3" t="s">
        <v>234</v>
      </c>
      <c r="G728" s="5">
        <v>1E-3</v>
      </c>
      <c r="H728" s="6" t="s">
        <v>70</v>
      </c>
      <c r="I728" s="3" t="s">
        <v>45</v>
      </c>
    </row>
    <row r="729" spans="1:9" ht="48" customHeight="1">
      <c r="A729" s="3" t="s">
        <v>66</v>
      </c>
      <c r="B729" s="3" t="s">
        <v>65</v>
      </c>
      <c r="C729" s="4">
        <v>46082</v>
      </c>
      <c r="D729" s="4">
        <v>46112</v>
      </c>
      <c r="E729" s="3" t="s">
        <v>364</v>
      </c>
      <c r="F729" s="3" t="s">
        <v>262</v>
      </c>
      <c r="G729" s="5">
        <v>1E-3</v>
      </c>
      <c r="H729" s="6" t="s">
        <v>70</v>
      </c>
      <c r="I729" s="3" t="s">
        <v>45</v>
      </c>
    </row>
    <row r="730" spans="1:9" ht="48" customHeight="1">
      <c r="A730" s="3" t="s">
        <v>66</v>
      </c>
      <c r="B730" s="3" t="s">
        <v>65</v>
      </c>
      <c r="C730" s="4">
        <v>46082</v>
      </c>
      <c r="D730" s="4">
        <v>46112</v>
      </c>
      <c r="E730" s="3" t="s">
        <v>364</v>
      </c>
      <c r="F730" s="3" t="s">
        <v>365</v>
      </c>
      <c r="G730" s="5">
        <v>1E-3</v>
      </c>
      <c r="H730" s="6" t="s">
        <v>70</v>
      </c>
      <c r="I730" s="3" t="s">
        <v>45</v>
      </c>
    </row>
    <row r="731" spans="1:9" ht="48" customHeight="1">
      <c r="A731" s="3" t="s">
        <v>66</v>
      </c>
      <c r="B731" s="3" t="s">
        <v>65</v>
      </c>
      <c r="C731" s="4">
        <v>46082</v>
      </c>
      <c r="D731" s="4">
        <v>46112</v>
      </c>
      <c r="E731" s="3" t="s">
        <v>364</v>
      </c>
      <c r="F731" s="3" t="s">
        <v>366</v>
      </c>
      <c r="G731" s="5">
        <v>1E-3</v>
      </c>
      <c r="H731" s="6" t="s">
        <v>70</v>
      </c>
      <c r="I731" s="3" t="s">
        <v>45</v>
      </c>
    </row>
    <row r="732" spans="1:9" ht="48" customHeight="1">
      <c r="A732" s="3" t="s">
        <v>66</v>
      </c>
      <c r="B732" s="3" t="s">
        <v>65</v>
      </c>
      <c r="C732" s="4">
        <v>46082</v>
      </c>
      <c r="D732" s="4">
        <v>46112</v>
      </c>
      <c r="E732" s="3" t="s">
        <v>364</v>
      </c>
      <c r="F732" s="3" t="s">
        <v>367</v>
      </c>
      <c r="G732" s="5">
        <v>1E-3</v>
      </c>
      <c r="H732" s="6" t="s">
        <v>70</v>
      </c>
      <c r="I732" s="3" t="s">
        <v>45</v>
      </c>
    </row>
    <row r="733" spans="1:9" ht="48" customHeight="1">
      <c r="A733" s="3" t="s">
        <v>66</v>
      </c>
      <c r="B733" s="3" t="s">
        <v>65</v>
      </c>
      <c r="C733" s="4">
        <v>46082</v>
      </c>
      <c r="D733" s="4">
        <v>46112</v>
      </c>
      <c r="E733" s="3" t="s">
        <v>364</v>
      </c>
      <c r="F733" s="3" t="s">
        <v>230</v>
      </c>
      <c r="G733" s="5">
        <v>0</v>
      </c>
      <c r="H733" s="6" t="s">
        <v>70</v>
      </c>
      <c r="I733" s="3" t="s">
        <v>45</v>
      </c>
    </row>
    <row r="734" spans="1:9" ht="48" customHeight="1">
      <c r="A734" s="3" t="s">
        <v>66</v>
      </c>
      <c r="B734" s="3" t="s">
        <v>65</v>
      </c>
      <c r="C734" s="4">
        <v>46082</v>
      </c>
      <c r="D734" s="4">
        <v>46112</v>
      </c>
      <c r="E734" s="3" t="s">
        <v>364</v>
      </c>
      <c r="F734" s="3" t="s">
        <v>232</v>
      </c>
      <c r="G734" s="5">
        <v>0</v>
      </c>
      <c r="H734" s="6" t="s">
        <v>70</v>
      </c>
      <c r="I734" s="3" t="s">
        <v>45</v>
      </c>
    </row>
    <row r="735" spans="1:9" ht="48" customHeight="1">
      <c r="A735" s="3" t="s">
        <v>66</v>
      </c>
      <c r="B735" s="3" t="s">
        <v>65</v>
      </c>
      <c r="C735" s="4">
        <v>46082</v>
      </c>
      <c r="D735" s="4">
        <v>46112</v>
      </c>
      <c r="E735" s="3" t="s">
        <v>364</v>
      </c>
      <c r="F735" s="3" t="s">
        <v>265</v>
      </c>
      <c r="G735" s="5">
        <v>0</v>
      </c>
      <c r="H735" s="6" t="s">
        <v>70</v>
      </c>
      <c r="I735" s="3" t="s">
        <v>45</v>
      </c>
    </row>
    <row r="736" spans="1:9" ht="48" customHeight="1">
      <c r="A736" s="3" t="s">
        <v>66</v>
      </c>
      <c r="B736" s="3" t="s">
        <v>65</v>
      </c>
      <c r="C736" s="4">
        <v>46082</v>
      </c>
      <c r="D736" s="4">
        <v>46112</v>
      </c>
      <c r="E736" s="3" t="s">
        <v>364</v>
      </c>
      <c r="F736" s="3" t="s">
        <v>79</v>
      </c>
      <c r="G736" s="5">
        <v>0</v>
      </c>
      <c r="H736" s="6" t="s">
        <v>70</v>
      </c>
      <c r="I736" s="3" t="s">
        <v>45</v>
      </c>
    </row>
    <row r="737" spans="1:9" ht="48" customHeight="1">
      <c r="A737" s="3" t="s">
        <v>66</v>
      </c>
      <c r="B737" s="3" t="s">
        <v>65</v>
      </c>
      <c r="C737" s="4">
        <v>46082</v>
      </c>
      <c r="D737" s="4">
        <v>46112</v>
      </c>
      <c r="E737" s="3" t="s">
        <v>368</v>
      </c>
      <c r="F737" s="3" t="s">
        <v>369</v>
      </c>
      <c r="G737" s="5">
        <v>1E-3</v>
      </c>
      <c r="H737" s="6" t="s">
        <v>70</v>
      </c>
      <c r="I737" s="3" t="s">
        <v>45</v>
      </c>
    </row>
    <row r="738" spans="1:9" ht="48" customHeight="1">
      <c r="A738" s="3" t="s">
        <v>66</v>
      </c>
      <c r="B738" s="3" t="s">
        <v>65</v>
      </c>
      <c r="C738" s="4">
        <v>46082</v>
      </c>
      <c r="D738" s="4">
        <v>46112</v>
      </c>
      <c r="E738" s="3" t="s">
        <v>368</v>
      </c>
      <c r="F738" s="3" t="s">
        <v>370</v>
      </c>
      <c r="G738" s="5">
        <v>1E-3</v>
      </c>
      <c r="H738" s="6" t="s">
        <v>70</v>
      </c>
      <c r="I738" s="3" t="s">
        <v>45</v>
      </c>
    </row>
    <row r="739" spans="1:9" ht="48" customHeight="1">
      <c r="A739" s="3" t="s">
        <v>66</v>
      </c>
      <c r="B739" s="3" t="s">
        <v>65</v>
      </c>
      <c r="C739" s="4">
        <v>46082</v>
      </c>
      <c r="D739" s="4">
        <v>46112</v>
      </c>
      <c r="E739" s="3" t="s">
        <v>368</v>
      </c>
      <c r="F739" s="3" t="s">
        <v>371</v>
      </c>
      <c r="G739" s="5">
        <v>1E-3</v>
      </c>
      <c r="H739" s="6" t="s">
        <v>70</v>
      </c>
      <c r="I739" s="3" t="s">
        <v>45</v>
      </c>
    </row>
    <row r="740" spans="1:9" ht="48" customHeight="1">
      <c r="A740" s="3" t="s">
        <v>66</v>
      </c>
      <c r="B740" s="3" t="s">
        <v>65</v>
      </c>
      <c r="C740" s="4">
        <v>46082</v>
      </c>
      <c r="D740" s="4">
        <v>46112</v>
      </c>
      <c r="E740" s="3" t="s">
        <v>368</v>
      </c>
      <c r="F740" s="3" t="s">
        <v>230</v>
      </c>
      <c r="G740" s="5">
        <v>0</v>
      </c>
      <c r="H740" s="6" t="s">
        <v>70</v>
      </c>
      <c r="I740" s="3" t="s">
        <v>45</v>
      </c>
    </row>
    <row r="741" spans="1:9" ht="48" customHeight="1">
      <c r="A741" s="3" t="s">
        <v>66</v>
      </c>
      <c r="B741" s="3" t="s">
        <v>65</v>
      </c>
      <c r="C741" s="4">
        <v>46082</v>
      </c>
      <c r="D741" s="4">
        <v>46112</v>
      </c>
      <c r="E741" s="3" t="s">
        <v>368</v>
      </c>
      <c r="F741" s="3" t="s">
        <v>232</v>
      </c>
      <c r="G741" s="5">
        <v>0</v>
      </c>
      <c r="H741" s="6" t="s">
        <v>70</v>
      </c>
      <c r="I741" s="3" t="s">
        <v>45</v>
      </c>
    </row>
    <row r="742" spans="1:9" ht="48" customHeight="1">
      <c r="A742" s="3" t="s">
        <v>66</v>
      </c>
      <c r="B742" s="3" t="s">
        <v>65</v>
      </c>
      <c r="C742" s="4">
        <v>46082</v>
      </c>
      <c r="D742" s="4">
        <v>46112</v>
      </c>
      <c r="E742" s="3" t="s">
        <v>368</v>
      </c>
      <c r="F742" s="3" t="s">
        <v>234</v>
      </c>
      <c r="G742" s="5">
        <v>0</v>
      </c>
      <c r="H742" s="6" t="s">
        <v>70</v>
      </c>
      <c r="I742" s="3" t="s">
        <v>45</v>
      </c>
    </row>
    <row r="743" spans="1:9" ht="48" customHeight="1">
      <c r="A743" s="3" t="s">
        <v>66</v>
      </c>
      <c r="B743" s="3" t="s">
        <v>65</v>
      </c>
      <c r="C743" s="4">
        <v>46082</v>
      </c>
      <c r="D743" s="4">
        <v>46112</v>
      </c>
      <c r="E743" s="3" t="s">
        <v>368</v>
      </c>
      <c r="F743" s="3" t="s">
        <v>372</v>
      </c>
      <c r="G743" s="5">
        <v>0</v>
      </c>
      <c r="H743" s="6" t="s">
        <v>70</v>
      </c>
      <c r="I743" s="3" t="s">
        <v>45</v>
      </c>
    </row>
    <row r="744" spans="1:9" ht="48" customHeight="1">
      <c r="A744" s="3" t="s">
        <v>66</v>
      </c>
      <c r="B744" s="3" t="s">
        <v>65</v>
      </c>
      <c r="C744" s="4">
        <v>46082</v>
      </c>
      <c r="D744" s="4">
        <v>46112</v>
      </c>
      <c r="E744" s="3" t="s">
        <v>368</v>
      </c>
      <c r="F744" s="3" t="s">
        <v>373</v>
      </c>
      <c r="G744" s="5">
        <v>0</v>
      </c>
      <c r="H744" s="6" t="s">
        <v>70</v>
      </c>
      <c r="I744" s="3" t="s">
        <v>45</v>
      </c>
    </row>
    <row r="745" spans="1:9" ht="48" customHeight="1">
      <c r="A745" s="3" t="s">
        <v>66</v>
      </c>
      <c r="B745" s="3" t="s">
        <v>65</v>
      </c>
      <c r="C745" s="4">
        <v>46082</v>
      </c>
      <c r="D745" s="4">
        <v>46112</v>
      </c>
      <c r="E745" s="3" t="s">
        <v>368</v>
      </c>
      <c r="F745" s="3" t="s">
        <v>265</v>
      </c>
      <c r="G745" s="5">
        <v>0</v>
      </c>
      <c r="H745" s="6" t="s">
        <v>70</v>
      </c>
      <c r="I745" s="3" t="s">
        <v>45</v>
      </c>
    </row>
    <row r="746" spans="1:9" ht="48" customHeight="1">
      <c r="A746" s="3" t="s">
        <v>66</v>
      </c>
      <c r="B746" s="3" t="s">
        <v>65</v>
      </c>
      <c r="C746" s="4">
        <v>46082</v>
      </c>
      <c r="D746" s="4">
        <v>46112</v>
      </c>
      <c r="E746" s="3" t="s">
        <v>368</v>
      </c>
      <c r="F746" s="3" t="s">
        <v>262</v>
      </c>
      <c r="G746" s="5">
        <v>0</v>
      </c>
      <c r="H746" s="6" t="s">
        <v>70</v>
      </c>
      <c r="I746" s="3" t="s">
        <v>45</v>
      </c>
    </row>
    <row r="747" spans="1:9" ht="48" customHeight="1">
      <c r="A747" s="3" t="s">
        <v>66</v>
      </c>
      <c r="B747" s="3" t="s">
        <v>65</v>
      </c>
      <c r="C747" s="4">
        <v>46082</v>
      </c>
      <c r="D747" s="4">
        <v>46112</v>
      </c>
      <c r="E747" s="3" t="s">
        <v>368</v>
      </c>
      <c r="F747" s="3" t="s">
        <v>374</v>
      </c>
      <c r="G747" s="5">
        <v>0</v>
      </c>
      <c r="H747" s="6" t="s">
        <v>70</v>
      </c>
      <c r="I747" s="3" t="s">
        <v>45</v>
      </c>
    </row>
    <row r="748" spans="1:9" ht="48" customHeight="1">
      <c r="A748" s="3" t="s">
        <v>66</v>
      </c>
      <c r="B748" s="3" t="s">
        <v>65</v>
      </c>
      <c r="C748" s="4">
        <v>46082</v>
      </c>
      <c r="D748" s="4">
        <v>46112</v>
      </c>
      <c r="E748" s="3" t="s">
        <v>368</v>
      </c>
      <c r="F748" s="3" t="s">
        <v>207</v>
      </c>
      <c r="G748" s="5">
        <v>0</v>
      </c>
      <c r="H748" s="6" t="s">
        <v>70</v>
      </c>
      <c r="I748" s="3" t="s">
        <v>45</v>
      </c>
    </row>
    <row r="749" spans="1:9" ht="48" customHeight="1">
      <c r="A749" s="3" t="s">
        <v>66</v>
      </c>
      <c r="B749" s="3" t="s">
        <v>65</v>
      </c>
      <c r="C749" s="4">
        <v>46082</v>
      </c>
      <c r="D749" s="4">
        <v>46112</v>
      </c>
      <c r="E749" s="3" t="s">
        <v>368</v>
      </c>
      <c r="F749" s="3" t="s">
        <v>375</v>
      </c>
      <c r="G749" s="5">
        <v>0</v>
      </c>
      <c r="H749" s="6" t="s">
        <v>70</v>
      </c>
      <c r="I749" s="3" t="s">
        <v>45</v>
      </c>
    </row>
    <row r="750" spans="1:9" ht="48" customHeight="1">
      <c r="A750" s="3" t="s">
        <v>66</v>
      </c>
      <c r="B750" s="3" t="s">
        <v>65</v>
      </c>
      <c r="C750" s="4">
        <v>46082</v>
      </c>
      <c r="D750" s="4">
        <v>46112</v>
      </c>
      <c r="E750" s="3" t="s">
        <v>368</v>
      </c>
      <c r="F750" s="3" t="s">
        <v>376</v>
      </c>
      <c r="G750" s="5">
        <v>0</v>
      </c>
      <c r="H750" s="6" t="s">
        <v>70</v>
      </c>
      <c r="I750" s="3" t="s">
        <v>45</v>
      </c>
    </row>
    <row r="751" spans="1:9" ht="48" customHeight="1">
      <c r="A751" s="3" t="s">
        <v>66</v>
      </c>
      <c r="B751" s="3" t="s">
        <v>65</v>
      </c>
      <c r="C751" s="4">
        <v>46082</v>
      </c>
      <c r="D751" s="4">
        <v>46112</v>
      </c>
      <c r="E751" s="3" t="s">
        <v>368</v>
      </c>
      <c r="F751" s="3" t="s">
        <v>377</v>
      </c>
      <c r="G751" s="5">
        <v>0</v>
      </c>
      <c r="H751" s="6" t="s">
        <v>70</v>
      </c>
      <c r="I751" s="3" t="s">
        <v>45</v>
      </c>
    </row>
    <row r="752" spans="1:9" ht="48" customHeight="1">
      <c r="A752" s="3" t="s">
        <v>66</v>
      </c>
      <c r="B752" s="3" t="s">
        <v>65</v>
      </c>
      <c r="C752" s="4">
        <v>46082</v>
      </c>
      <c r="D752" s="4">
        <v>46112</v>
      </c>
      <c r="E752" s="3" t="s">
        <v>368</v>
      </c>
      <c r="F752" s="3" t="s">
        <v>378</v>
      </c>
      <c r="G752" s="5">
        <v>0</v>
      </c>
      <c r="H752" s="6" t="s">
        <v>70</v>
      </c>
      <c r="I752" s="3" t="s">
        <v>45</v>
      </c>
    </row>
    <row r="753" spans="1:9" ht="48" customHeight="1">
      <c r="A753" s="3" t="s">
        <v>66</v>
      </c>
      <c r="B753" s="3" t="s">
        <v>65</v>
      </c>
      <c r="C753" s="4">
        <v>46082</v>
      </c>
      <c r="D753" s="4">
        <v>46112</v>
      </c>
      <c r="E753" s="3" t="s">
        <v>379</v>
      </c>
      <c r="F753" s="3" t="s">
        <v>265</v>
      </c>
      <c r="G753" s="5">
        <v>1E-3</v>
      </c>
      <c r="H753" s="6" t="s">
        <v>70</v>
      </c>
      <c r="I753" s="3" t="s">
        <v>45</v>
      </c>
    </row>
    <row r="754" spans="1:9" ht="48" customHeight="1">
      <c r="A754" s="3" t="s">
        <v>66</v>
      </c>
      <c r="B754" s="3" t="s">
        <v>65</v>
      </c>
      <c r="C754" s="4">
        <v>46082</v>
      </c>
      <c r="D754" s="4">
        <v>46112</v>
      </c>
      <c r="E754" s="3" t="s">
        <v>379</v>
      </c>
      <c r="F754" s="3" t="s">
        <v>380</v>
      </c>
      <c r="G754" s="5">
        <v>1E-3</v>
      </c>
      <c r="H754" s="6" t="s">
        <v>70</v>
      </c>
      <c r="I754" s="3" t="s">
        <v>45</v>
      </c>
    </row>
    <row r="755" spans="1:9" ht="48" customHeight="1">
      <c r="A755" s="3" t="s">
        <v>66</v>
      </c>
      <c r="B755" s="3" t="s">
        <v>65</v>
      </c>
      <c r="C755" s="4">
        <v>46082</v>
      </c>
      <c r="D755" s="4">
        <v>46112</v>
      </c>
      <c r="E755" s="3" t="s">
        <v>379</v>
      </c>
      <c r="F755" s="3" t="s">
        <v>230</v>
      </c>
      <c r="G755" s="5">
        <v>0</v>
      </c>
      <c r="H755" s="6" t="s">
        <v>70</v>
      </c>
      <c r="I755" s="3" t="s">
        <v>45</v>
      </c>
    </row>
    <row r="756" spans="1:9" ht="48" customHeight="1">
      <c r="A756" s="3" t="s">
        <v>66</v>
      </c>
      <c r="B756" s="3" t="s">
        <v>65</v>
      </c>
      <c r="C756" s="4">
        <v>46082</v>
      </c>
      <c r="D756" s="4">
        <v>46112</v>
      </c>
      <c r="E756" s="3" t="s">
        <v>379</v>
      </c>
      <c r="F756" s="3" t="s">
        <v>234</v>
      </c>
      <c r="G756" s="5">
        <v>0</v>
      </c>
      <c r="H756" s="6" t="s">
        <v>70</v>
      </c>
      <c r="I756" s="3" t="s">
        <v>45</v>
      </c>
    </row>
    <row r="757" spans="1:9" ht="48" customHeight="1">
      <c r="A757" s="3" t="s">
        <v>66</v>
      </c>
      <c r="B757" s="3" t="s">
        <v>65</v>
      </c>
      <c r="C757" s="4">
        <v>46082</v>
      </c>
      <c r="D757" s="4">
        <v>46112</v>
      </c>
      <c r="E757" s="3" t="s">
        <v>379</v>
      </c>
      <c r="F757" s="3" t="s">
        <v>262</v>
      </c>
      <c r="G757" s="5">
        <v>0</v>
      </c>
      <c r="H757" s="6" t="s">
        <v>70</v>
      </c>
      <c r="I757" s="3" t="s">
        <v>45</v>
      </c>
    </row>
    <row r="758" spans="1:9" ht="48" customHeight="1">
      <c r="A758" s="3" t="s">
        <v>66</v>
      </c>
      <c r="B758" s="3" t="s">
        <v>65</v>
      </c>
      <c r="C758" s="4">
        <v>46082</v>
      </c>
      <c r="D758" s="4">
        <v>46112</v>
      </c>
      <c r="E758" s="3" t="s">
        <v>381</v>
      </c>
      <c r="F758" s="3" t="s">
        <v>382</v>
      </c>
      <c r="G758" s="5">
        <v>1E-3</v>
      </c>
      <c r="H758" s="6" t="s">
        <v>70</v>
      </c>
      <c r="I758" s="3" t="s">
        <v>45</v>
      </c>
    </row>
    <row r="759" spans="1:9" ht="48" customHeight="1">
      <c r="A759" s="3" t="s">
        <v>66</v>
      </c>
      <c r="B759" s="3" t="s">
        <v>65</v>
      </c>
      <c r="C759" s="4">
        <v>46082</v>
      </c>
      <c r="D759" s="4">
        <v>46112</v>
      </c>
      <c r="E759" s="3" t="s">
        <v>381</v>
      </c>
      <c r="F759" s="3" t="s">
        <v>383</v>
      </c>
      <c r="G759" s="5">
        <v>1E-3</v>
      </c>
      <c r="H759" s="6" t="s">
        <v>70</v>
      </c>
      <c r="I759" s="3" t="s">
        <v>45</v>
      </c>
    </row>
    <row r="760" spans="1:9" ht="48" customHeight="1">
      <c r="A760" s="3" t="s">
        <v>66</v>
      </c>
      <c r="B760" s="3" t="s">
        <v>65</v>
      </c>
      <c r="C760" s="4">
        <v>46113</v>
      </c>
      <c r="D760" s="4">
        <v>46142</v>
      </c>
      <c r="E760" s="3" t="s">
        <v>68</v>
      </c>
      <c r="F760" s="3" t="s">
        <v>146</v>
      </c>
      <c r="G760" s="5">
        <v>0.17300000000000001</v>
      </c>
      <c r="H760" s="6" t="s">
        <v>72</v>
      </c>
      <c r="I760" s="3" t="s">
        <v>45</v>
      </c>
    </row>
    <row r="761" spans="1:9" ht="48" customHeight="1">
      <c r="A761" s="3" t="s">
        <v>66</v>
      </c>
      <c r="B761" s="3" t="s">
        <v>65</v>
      </c>
      <c r="C761" s="4">
        <v>46113</v>
      </c>
      <c r="D761" s="4">
        <v>46142</v>
      </c>
      <c r="E761" s="3" t="s">
        <v>68</v>
      </c>
      <c r="F761" s="3" t="s">
        <v>147</v>
      </c>
      <c r="G761" s="5">
        <v>7.4999999999999997E-2</v>
      </c>
      <c r="H761" s="6" t="s">
        <v>72</v>
      </c>
      <c r="I761" s="3" t="s">
        <v>45</v>
      </c>
    </row>
    <row r="762" spans="1:9" ht="48" customHeight="1">
      <c r="A762" s="3" t="s">
        <v>66</v>
      </c>
      <c r="B762" s="3" t="s">
        <v>65</v>
      </c>
      <c r="C762" s="4">
        <v>46113</v>
      </c>
      <c r="D762" s="4">
        <v>46142</v>
      </c>
      <c r="E762" s="3" t="s">
        <v>68</v>
      </c>
      <c r="F762" s="3" t="s">
        <v>148</v>
      </c>
      <c r="G762" s="5">
        <v>6.5000000000000002E-2</v>
      </c>
      <c r="H762" s="6" t="s">
        <v>72</v>
      </c>
      <c r="I762" s="3" t="s">
        <v>45</v>
      </c>
    </row>
    <row r="763" spans="1:9" ht="48" customHeight="1">
      <c r="A763" s="3" t="s">
        <v>66</v>
      </c>
      <c r="B763" s="3" t="s">
        <v>65</v>
      </c>
      <c r="C763" s="4">
        <v>46113</v>
      </c>
      <c r="D763" s="4">
        <v>46142</v>
      </c>
      <c r="E763" s="3" t="s">
        <v>68</v>
      </c>
      <c r="F763" s="3" t="s">
        <v>149</v>
      </c>
      <c r="G763" s="5">
        <v>4.4999999999999998E-2</v>
      </c>
      <c r="H763" s="6" t="s">
        <v>72</v>
      </c>
      <c r="I763" s="3" t="s">
        <v>45</v>
      </c>
    </row>
    <row r="764" spans="1:9" ht="48" customHeight="1">
      <c r="A764" s="3" t="s">
        <v>66</v>
      </c>
      <c r="B764" s="3" t="s">
        <v>65</v>
      </c>
      <c r="C764" s="4">
        <v>46113</v>
      </c>
      <c r="D764" s="4">
        <v>46142</v>
      </c>
      <c r="E764" s="3" t="s">
        <v>68</v>
      </c>
      <c r="F764" s="3" t="s">
        <v>150</v>
      </c>
      <c r="G764" s="5">
        <v>0.03</v>
      </c>
      <c r="H764" s="6" t="s">
        <v>72</v>
      </c>
      <c r="I764" s="3" t="s">
        <v>45</v>
      </c>
    </row>
    <row r="765" spans="1:9" ht="48" customHeight="1">
      <c r="A765" s="3" t="s">
        <v>66</v>
      </c>
      <c r="B765" s="3" t="s">
        <v>65</v>
      </c>
      <c r="C765" s="4">
        <v>46113</v>
      </c>
      <c r="D765" s="4">
        <v>46142</v>
      </c>
      <c r="E765" s="3" t="s">
        <v>68</v>
      </c>
      <c r="F765" s="3" t="s">
        <v>151</v>
      </c>
      <c r="G765" s="5">
        <v>2.4E-2</v>
      </c>
      <c r="H765" s="6" t="s">
        <v>72</v>
      </c>
      <c r="I765" s="3" t="s">
        <v>45</v>
      </c>
    </row>
    <row r="766" spans="1:9" ht="48" customHeight="1">
      <c r="A766" s="3" t="s">
        <v>66</v>
      </c>
      <c r="B766" s="3" t="s">
        <v>65</v>
      </c>
      <c r="C766" s="4">
        <v>46113</v>
      </c>
      <c r="D766" s="4">
        <v>46142</v>
      </c>
      <c r="E766" s="3" t="s">
        <v>68</v>
      </c>
      <c r="F766" s="3" t="s">
        <v>152</v>
      </c>
      <c r="G766" s="5">
        <v>1.8000000000000002E-2</v>
      </c>
      <c r="H766" s="6" t="s">
        <v>72</v>
      </c>
      <c r="I766" s="3" t="s">
        <v>45</v>
      </c>
    </row>
    <row r="767" spans="1:9" ht="48" customHeight="1">
      <c r="A767" s="3" t="s">
        <v>66</v>
      </c>
      <c r="B767" s="3" t="s">
        <v>65</v>
      </c>
      <c r="C767" s="4">
        <v>46113</v>
      </c>
      <c r="D767" s="4">
        <v>46142</v>
      </c>
      <c r="E767" s="3" t="s">
        <v>68</v>
      </c>
      <c r="F767" s="3" t="s">
        <v>153</v>
      </c>
      <c r="G767" s="5">
        <v>1.6E-2</v>
      </c>
      <c r="H767" s="6" t="s">
        <v>72</v>
      </c>
      <c r="I767" s="3" t="s">
        <v>45</v>
      </c>
    </row>
    <row r="768" spans="1:9" ht="48" customHeight="1">
      <c r="A768" s="3" t="s">
        <v>66</v>
      </c>
      <c r="B768" s="3" t="s">
        <v>65</v>
      </c>
      <c r="C768" s="4">
        <v>46113</v>
      </c>
      <c r="D768" s="4">
        <v>46142</v>
      </c>
      <c r="E768" s="3" t="s">
        <v>68</v>
      </c>
      <c r="F768" s="3" t="s">
        <v>155</v>
      </c>
      <c r="G768" s="5">
        <v>1.1000000000000001E-2</v>
      </c>
      <c r="H768" s="6" t="s">
        <v>72</v>
      </c>
      <c r="I768" s="3" t="s">
        <v>45</v>
      </c>
    </row>
    <row r="769" spans="1:9" ht="48" customHeight="1">
      <c r="A769" s="3" t="s">
        <v>66</v>
      </c>
      <c r="B769" s="3" t="s">
        <v>65</v>
      </c>
      <c r="C769" s="4">
        <v>46113</v>
      </c>
      <c r="D769" s="4">
        <v>46142</v>
      </c>
      <c r="E769" s="3" t="s">
        <v>68</v>
      </c>
      <c r="F769" s="3" t="s">
        <v>154</v>
      </c>
      <c r="G769" s="5">
        <v>1.1000000000000001E-2</v>
      </c>
      <c r="H769" s="6" t="s">
        <v>72</v>
      </c>
      <c r="I769" s="3" t="s">
        <v>45</v>
      </c>
    </row>
    <row r="770" spans="1:9" ht="48" customHeight="1">
      <c r="A770" s="3" t="s">
        <v>66</v>
      </c>
      <c r="B770" s="3" t="s">
        <v>65</v>
      </c>
      <c r="C770" s="4">
        <v>46113</v>
      </c>
      <c r="D770" s="4">
        <v>46142</v>
      </c>
      <c r="E770" s="3" t="s">
        <v>68</v>
      </c>
      <c r="F770" s="3" t="s">
        <v>156</v>
      </c>
      <c r="G770" s="5">
        <v>6.0000000000000001E-3</v>
      </c>
      <c r="H770" s="6" t="s">
        <v>72</v>
      </c>
      <c r="I770" s="3" t="s">
        <v>45</v>
      </c>
    </row>
    <row r="771" spans="1:9" ht="48" customHeight="1">
      <c r="A771" s="3" t="s">
        <v>66</v>
      </c>
      <c r="B771" s="3" t="s">
        <v>65</v>
      </c>
      <c r="C771" s="4">
        <v>46113</v>
      </c>
      <c r="D771" s="4">
        <v>46142</v>
      </c>
      <c r="E771" s="3" t="s">
        <v>68</v>
      </c>
      <c r="F771" s="3" t="s">
        <v>157</v>
      </c>
      <c r="G771" s="5">
        <v>5.0000000000000001E-3</v>
      </c>
      <c r="H771" s="6" t="s">
        <v>72</v>
      </c>
      <c r="I771" s="3" t="s">
        <v>45</v>
      </c>
    </row>
    <row r="772" spans="1:9" ht="48" customHeight="1">
      <c r="A772" s="3" t="s">
        <v>66</v>
      </c>
      <c r="B772" s="3" t="s">
        <v>65</v>
      </c>
      <c r="C772" s="4">
        <v>46113</v>
      </c>
      <c r="D772" s="4">
        <v>46142</v>
      </c>
      <c r="E772" s="3" t="s">
        <v>68</v>
      </c>
      <c r="F772" s="3" t="s">
        <v>158</v>
      </c>
      <c r="G772" s="5">
        <v>3.0000000000000001E-3</v>
      </c>
      <c r="H772" s="6" t="s">
        <v>72</v>
      </c>
      <c r="I772" s="3" t="s">
        <v>45</v>
      </c>
    </row>
    <row r="773" spans="1:9" ht="48" customHeight="1">
      <c r="A773" s="3" t="s">
        <v>66</v>
      </c>
      <c r="B773" s="3" t="s">
        <v>65</v>
      </c>
      <c r="C773" s="4">
        <v>46113</v>
      </c>
      <c r="D773" s="4">
        <v>46142</v>
      </c>
      <c r="E773" s="3" t="s">
        <v>68</v>
      </c>
      <c r="F773" s="3" t="s">
        <v>159</v>
      </c>
      <c r="G773" s="5">
        <v>2E-3</v>
      </c>
      <c r="H773" s="6" t="s">
        <v>72</v>
      </c>
      <c r="I773" s="3" t="s">
        <v>45</v>
      </c>
    </row>
    <row r="774" spans="1:9" ht="48" customHeight="1">
      <c r="A774" s="3" t="s">
        <v>66</v>
      </c>
      <c r="B774" s="3" t="s">
        <v>65</v>
      </c>
      <c r="C774" s="4">
        <v>46113</v>
      </c>
      <c r="D774" s="4">
        <v>46142</v>
      </c>
      <c r="E774" s="3" t="s">
        <v>68</v>
      </c>
      <c r="F774" s="3" t="s">
        <v>160</v>
      </c>
      <c r="G774" s="5">
        <v>2E-3</v>
      </c>
      <c r="H774" s="6" t="s">
        <v>72</v>
      </c>
      <c r="I774" s="3" t="s">
        <v>45</v>
      </c>
    </row>
    <row r="775" spans="1:9" ht="48" customHeight="1">
      <c r="A775" s="3" t="s">
        <v>66</v>
      </c>
      <c r="B775" s="3" t="s">
        <v>65</v>
      </c>
      <c r="C775" s="4">
        <v>46113</v>
      </c>
      <c r="D775" s="4">
        <v>46142</v>
      </c>
      <c r="E775" s="3" t="s">
        <v>161</v>
      </c>
      <c r="F775" s="3" t="s">
        <v>162</v>
      </c>
      <c r="G775" s="5">
        <v>2.1000000000000001E-2</v>
      </c>
      <c r="H775" s="6" t="s">
        <v>72</v>
      </c>
      <c r="I775" s="3" t="s">
        <v>45</v>
      </c>
    </row>
    <row r="776" spans="1:9" ht="48" customHeight="1">
      <c r="A776" s="3" t="s">
        <v>66</v>
      </c>
      <c r="B776" s="3" t="s">
        <v>65</v>
      </c>
      <c r="C776" s="4">
        <v>46113</v>
      </c>
      <c r="D776" s="4">
        <v>46142</v>
      </c>
      <c r="E776" s="3" t="s">
        <v>161</v>
      </c>
      <c r="F776" s="3" t="s">
        <v>384</v>
      </c>
      <c r="G776" s="5">
        <v>9.0000000000000011E-3</v>
      </c>
      <c r="H776" s="6" t="s">
        <v>72</v>
      </c>
      <c r="I776" s="3" t="s">
        <v>45</v>
      </c>
    </row>
    <row r="777" spans="1:9" ht="48" customHeight="1">
      <c r="A777" s="3" t="s">
        <v>66</v>
      </c>
      <c r="B777" s="3" t="s">
        <v>65</v>
      </c>
      <c r="C777" s="4">
        <v>46113</v>
      </c>
      <c r="D777" s="4">
        <v>46142</v>
      </c>
      <c r="E777" s="3" t="s">
        <v>161</v>
      </c>
      <c r="F777" s="3" t="s">
        <v>163</v>
      </c>
      <c r="G777" s="5">
        <v>8.0000000000000002E-3</v>
      </c>
      <c r="H777" s="6" t="s">
        <v>72</v>
      </c>
      <c r="I777" s="3" t="s">
        <v>45</v>
      </c>
    </row>
    <row r="778" spans="1:9" ht="48" customHeight="1">
      <c r="A778" s="3" t="s">
        <v>66</v>
      </c>
      <c r="B778" s="3" t="s">
        <v>65</v>
      </c>
      <c r="C778" s="4">
        <v>46113</v>
      </c>
      <c r="D778" s="4">
        <v>46142</v>
      </c>
      <c r="E778" s="3" t="s">
        <v>161</v>
      </c>
      <c r="F778" s="3" t="s">
        <v>164</v>
      </c>
      <c r="G778" s="5">
        <v>6.9999999999999993E-3</v>
      </c>
      <c r="H778" s="6" t="s">
        <v>72</v>
      </c>
      <c r="I778" s="3" t="s">
        <v>45</v>
      </c>
    </row>
    <row r="779" spans="1:9" ht="48" customHeight="1">
      <c r="A779" s="3" t="s">
        <v>66</v>
      </c>
      <c r="B779" s="3" t="s">
        <v>65</v>
      </c>
      <c r="C779" s="4">
        <v>46113</v>
      </c>
      <c r="D779" s="4">
        <v>46142</v>
      </c>
      <c r="E779" s="3" t="s">
        <v>161</v>
      </c>
      <c r="F779" s="3" t="s">
        <v>165</v>
      </c>
      <c r="G779" s="5">
        <v>6.0000000000000001E-3</v>
      </c>
      <c r="H779" s="6" t="s">
        <v>72</v>
      </c>
      <c r="I779" s="3" t="s">
        <v>45</v>
      </c>
    </row>
    <row r="780" spans="1:9" ht="48" customHeight="1">
      <c r="A780" s="3" t="s">
        <v>66</v>
      </c>
      <c r="B780" s="3" t="s">
        <v>65</v>
      </c>
      <c r="C780" s="4">
        <v>46113</v>
      </c>
      <c r="D780" s="4">
        <v>46142</v>
      </c>
      <c r="E780" s="3" t="s">
        <v>161</v>
      </c>
      <c r="F780" s="3" t="s">
        <v>170</v>
      </c>
      <c r="G780" s="5">
        <v>6.0000000000000001E-3</v>
      </c>
      <c r="H780" s="6" t="s">
        <v>72</v>
      </c>
      <c r="I780" s="3" t="s">
        <v>45</v>
      </c>
    </row>
    <row r="781" spans="1:9" ht="48" customHeight="1">
      <c r="A781" s="3" t="s">
        <v>66</v>
      </c>
      <c r="B781" s="3" t="s">
        <v>65</v>
      </c>
      <c r="C781" s="4">
        <v>46113</v>
      </c>
      <c r="D781" s="4">
        <v>46142</v>
      </c>
      <c r="E781" s="3" t="s">
        <v>161</v>
      </c>
      <c r="F781" s="3" t="s">
        <v>171</v>
      </c>
      <c r="G781" s="5">
        <v>6.0000000000000001E-3</v>
      </c>
      <c r="H781" s="6" t="s">
        <v>72</v>
      </c>
      <c r="I781" s="3" t="s">
        <v>45</v>
      </c>
    </row>
    <row r="782" spans="1:9" ht="48" customHeight="1">
      <c r="A782" s="3" t="s">
        <v>66</v>
      </c>
      <c r="B782" s="3" t="s">
        <v>65</v>
      </c>
      <c r="C782" s="4">
        <v>46113</v>
      </c>
      <c r="D782" s="4">
        <v>46142</v>
      </c>
      <c r="E782" s="3" t="s">
        <v>161</v>
      </c>
      <c r="F782" s="3" t="s">
        <v>166</v>
      </c>
      <c r="G782" s="5">
        <v>6.0000000000000001E-3</v>
      </c>
      <c r="H782" s="6" t="s">
        <v>72</v>
      </c>
      <c r="I782" s="3" t="s">
        <v>45</v>
      </c>
    </row>
    <row r="783" spans="1:9" ht="48" customHeight="1">
      <c r="A783" s="3" t="s">
        <v>66</v>
      </c>
      <c r="B783" s="3" t="s">
        <v>65</v>
      </c>
      <c r="C783" s="4">
        <v>46113</v>
      </c>
      <c r="D783" s="4">
        <v>46142</v>
      </c>
      <c r="E783" s="3" t="s">
        <v>161</v>
      </c>
      <c r="F783" s="3" t="s">
        <v>173</v>
      </c>
      <c r="G783" s="5">
        <v>6.0000000000000001E-3</v>
      </c>
      <c r="H783" s="6" t="s">
        <v>72</v>
      </c>
      <c r="I783" s="3" t="s">
        <v>45</v>
      </c>
    </row>
    <row r="784" spans="1:9" ht="48" customHeight="1">
      <c r="A784" s="3" t="s">
        <v>66</v>
      </c>
      <c r="B784" s="3" t="s">
        <v>65</v>
      </c>
      <c r="C784" s="4">
        <v>46113</v>
      </c>
      <c r="D784" s="4">
        <v>46142</v>
      </c>
      <c r="E784" s="3" t="s">
        <v>161</v>
      </c>
      <c r="F784" s="3" t="s">
        <v>385</v>
      </c>
      <c r="G784" s="5">
        <v>6.0000000000000001E-3</v>
      </c>
      <c r="H784" s="6" t="s">
        <v>72</v>
      </c>
      <c r="I784" s="3" t="s">
        <v>45</v>
      </c>
    </row>
    <row r="785" spans="1:9" ht="48" customHeight="1">
      <c r="A785" s="3" t="s">
        <v>66</v>
      </c>
      <c r="B785" s="3" t="s">
        <v>65</v>
      </c>
      <c r="C785" s="4">
        <v>46113</v>
      </c>
      <c r="D785" s="4">
        <v>46142</v>
      </c>
      <c r="E785" s="3" t="s">
        <v>161</v>
      </c>
      <c r="F785" s="3" t="s">
        <v>174</v>
      </c>
      <c r="G785" s="5">
        <v>5.0000000000000001E-3</v>
      </c>
      <c r="H785" s="6" t="s">
        <v>72</v>
      </c>
      <c r="I785" s="3" t="s">
        <v>45</v>
      </c>
    </row>
    <row r="786" spans="1:9" ht="48" customHeight="1">
      <c r="A786" s="3" t="s">
        <v>66</v>
      </c>
      <c r="B786" s="3" t="s">
        <v>65</v>
      </c>
      <c r="C786" s="4">
        <v>46113</v>
      </c>
      <c r="D786" s="4">
        <v>46142</v>
      </c>
      <c r="E786" s="3" t="s">
        <v>161</v>
      </c>
      <c r="F786" s="3" t="s">
        <v>167</v>
      </c>
      <c r="G786" s="5">
        <v>5.0000000000000001E-3</v>
      </c>
      <c r="H786" s="6" t="s">
        <v>72</v>
      </c>
      <c r="I786" s="3" t="s">
        <v>45</v>
      </c>
    </row>
    <row r="787" spans="1:9" ht="48" customHeight="1">
      <c r="A787" s="3" t="s">
        <v>66</v>
      </c>
      <c r="B787" s="3" t="s">
        <v>65</v>
      </c>
      <c r="C787" s="4">
        <v>46113</v>
      </c>
      <c r="D787" s="4">
        <v>46142</v>
      </c>
      <c r="E787" s="3" t="s">
        <v>161</v>
      </c>
      <c r="F787" s="3" t="s">
        <v>168</v>
      </c>
      <c r="G787" s="5">
        <v>5.0000000000000001E-3</v>
      </c>
      <c r="H787" s="6" t="s">
        <v>72</v>
      </c>
      <c r="I787" s="3" t="s">
        <v>45</v>
      </c>
    </row>
    <row r="788" spans="1:9" ht="48" customHeight="1">
      <c r="A788" s="3" t="s">
        <v>66</v>
      </c>
      <c r="B788" s="3" t="s">
        <v>65</v>
      </c>
      <c r="C788" s="4">
        <v>46113</v>
      </c>
      <c r="D788" s="4">
        <v>46142</v>
      </c>
      <c r="E788" s="3" t="s">
        <v>161</v>
      </c>
      <c r="F788" s="3" t="s">
        <v>169</v>
      </c>
      <c r="G788" s="5">
        <v>5.0000000000000001E-3</v>
      </c>
      <c r="H788" s="6" t="s">
        <v>72</v>
      </c>
      <c r="I788" s="3" t="s">
        <v>45</v>
      </c>
    </row>
    <row r="789" spans="1:9" ht="48" customHeight="1">
      <c r="A789" s="3" t="s">
        <v>66</v>
      </c>
      <c r="B789" s="3" t="s">
        <v>65</v>
      </c>
      <c r="C789" s="4">
        <v>46113</v>
      </c>
      <c r="D789" s="4">
        <v>46142</v>
      </c>
      <c r="E789" s="3" t="s">
        <v>161</v>
      </c>
      <c r="F789" s="3" t="s">
        <v>177</v>
      </c>
      <c r="G789" s="5">
        <v>5.0000000000000001E-3</v>
      </c>
      <c r="H789" s="6" t="s">
        <v>72</v>
      </c>
      <c r="I789" s="3" t="s">
        <v>45</v>
      </c>
    </row>
    <row r="790" spans="1:9" ht="48" customHeight="1">
      <c r="A790" s="3" t="s">
        <v>66</v>
      </c>
      <c r="B790" s="3" t="s">
        <v>65</v>
      </c>
      <c r="C790" s="4">
        <v>46113</v>
      </c>
      <c r="D790" s="4">
        <v>46142</v>
      </c>
      <c r="E790" s="3" t="s">
        <v>161</v>
      </c>
      <c r="F790" s="3" t="s">
        <v>172</v>
      </c>
      <c r="G790" s="5">
        <v>5.0000000000000001E-3</v>
      </c>
      <c r="H790" s="6" t="s">
        <v>72</v>
      </c>
      <c r="I790" s="3" t="s">
        <v>45</v>
      </c>
    </row>
    <row r="791" spans="1:9" ht="48" customHeight="1">
      <c r="A791" s="3" t="s">
        <v>66</v>
      </c>
      <c r="B791" s="3" t="s">
        <v>65</v>
      </c>
      <c r="C791" s="4">
        <v>46113</v>
      </c>
      <c r="D791" s="4">
        <v>46142</v>
      </c>
      <c r="E791" s="3" t="s">
        <v>161</v>
      </c>
      <c r="F791" s="3" t="s">
        <v>178</v>
      </c>
      <c r="G791" s="5">
        <v>5.0000000000000001E-3</v>
      </c>
      <c r="H791" s="6" t="s">
        <v>72</v>
      </c>
      <c r="I791" s="3" t="s">
        <v>45</v>
      </c>
    </row>
    <row r="792" spans="1:9" ht="48" customHeight="1">
      <c r="A792" s="3" t="s">
        <v>66</v>
      </c>
      <c r="B792" s="3" t="s">
        <v>65</v>
      </c>
      <c r="C792" s="4">
        <v>46113</v>
      </c>
      <c r="D792" s="4">
        <v>46142</v>
      </c>
      <c r="E792" s="3" t="s">
        <v>161</v>
      </c>
      <c r="F792" s="3" t="s">
        <v>179</v>
      </c>
      <c r="G792" s="5">
        <v>5.0000000000000001E-3</v>
      </c>
      <c r="H792" s="6" t="s">
        <v>72</v>
      </c>
      <c r="I792" s="3" t="s">
        <v>45</v>
      </c>
    </row>
    <row r="793" spans="1:9" ht="48" customHeight="1">
      <c r="A793" s="3" t="s">
        <v>66</v>
      </c>
      <c r="B793" s="3" t="s">
        <v>65</v>
      </c>
      <c r="C793" s="4">
        <v>46113</v>
      </c>
      <c r="D793" s="4">
        <v>46142</v>
      </c>
      <c r="E793" s="3" t="s">
        <v>161</v>
      </c>
      <c r="F793" s="3" t="s">
        <v>183</v>
      </c>
      <c r="G793" s="5">
        <v>5.0000000000000001E-3</v>
      </c>
      <c r="H793" s="6" t="s">
        <v>72</v>
      </c>
      <c r="I793" s="3" t="s">
        <v>45</v>
      </c>
    </row>
    <row r="794" spans="1:9" ht="48" customHeight="1">
      <c r="A794" s="3" t="s">
        <v>66</v>
      </c>
      <c r="B794" s="3" t="s">
        <v>65</v>
      </c>
      <c r="C794" s="4">
        <v>46113</v>
      </c>
      <c r="D794" s="4">
        <v>46142</v>
      </c>
      <c r="E794" s="3" t="s">
        <v>161</v>
      </c>
      <c r="F794" s="3" t="s">
        <v>175</v>
      </c>
      <c r="G794" s="5">
        <v>4.0000000000000001E-3</v>
      </c>
      <c r="H794" s="6" t="s">
        <v>72</v>
      </c>
      <c r="I794" s="3" t="s">
        <v>45</v>
      </c>
    </row>
    <row r="795" spans="1:9" ht="48" customHeight="1">
      <c r="A795" s="3" t="s">
        <v>66</v>
      </c>
      <c r="B795" s="3" t="s">
        <v>65</v>
      </c>
      <c r="C795" s="4">
        <v>46113</v>
      </c>
      <c r="D795" s="4">
        <v>46142</v>
      </c>
      <c r="E795" s="3" t="s">
        <v>161</v>
      </c>
      <c r="F795" s="3" t="s">
        <v>176</v>
      </c>
      <c r="G795" s="5">
        <v>4.0000000000000001E-3</v>
      </c>
      <c r="H795" s="6" t="s">
        <v>72</v>
      </c>
      <c r="I795" s="3" t="s">
        <v>45</v>
      </c>
    </row>
    <row r="796" spans="1:9" ht="48" customHeight="1">
      <c r="A796" s="3" t="s">
        <v>66</v>
      </c>
      <c r="B796" s="3" t="s">
        <v>65</v>
      </c>
      <c r="C796" s="4">
        <v>46113</v>
      </c>
      <c r="D796" s="4">
        <v>46142</v>
      </c>
      <c r="E796" s="3" t="s">
        <v>161</v>
      </c>
      <c r="F796" s="3" t="s">
        <v>186</v>
      </c>
      <c r="G796" s="5">
        <v>4.0000000000000001E-3</v>
      </c>
      <c r="H796" s="6" t="s">
        <v>72</v>
      </c>
      <c r="I796" s="3" t="s">
        <v>45</v>
      </c>
    </row>
    <row r="797" spans="1:9" ht="48" customHeight="1">
      <c r="A797" s="3" t="s">
        <v>66</v>
      </c>
      <c r="B797" s="3" t="s">
        <v>65</v>
      </c>
      <c r="C797" s="4">
        <v>46113</v>
      </c>
      <c r="D797" s="4">
        <v>46142</v>
      </c>
      <c r="E797" s="3" t="s">
        <v>161</v>
      </c>
      <c r="F797" s="3" t="s">
        <v>180</v>
      </c>
      <c r="G797" s="5">
        <v>4.0000000000000001E-3</v>
      </c>
      <c r="H797" s="6" t="s">
        <v>72</v>
      </c>
      <c r="I797" s="3" t="s">
        <v>45</v>
      </c>
    </row>
    <row r="798" spans="1:9" ht="48" customHeight="1">
      <c r="A798" s="3" t="s">
        <v>66</v>
      </c>
      <c r="B798" s="3" t="s">
        <v>65</v>
      </c>
      <c r="C798" s="4">
        <v>46113</v>
      </c>
      <c r="D798" s="4">
        <v>46142</v>
      </c>
      <c r="E798" s="3" t="s">
        <v>161</v>
      </c>
      <c r="F798" s="3" t="s">
        <v>181</v>
      </c>
      <c r="G798" s="5">
        <v>4.0000000000000001E-3</v>
      </c>
      <c r="H798" s="6" t="s">
        <v>72</v>
      </c>
      <c r="I798" s="3" t="s">
        <v>45</v>
      </c>
    </row>
    <row r="799" spans="1:9" ht="48" customHeight="1">
      <c r="A799" s="3" t="s">
        <v>66</v>
      </c>
      <c r="B799" s="3" t="s">
        <v>65</v>
      </c>
      <c r="C799" s="4">
        <v>46113</v>
      </c>
      <c r="D799" s="4">
        <v>46142</v>
      </c>
      <c r="E799" s="3" t="s">
        <v>161</v>
      </c>
      <c r="F799" s="3" t="s">
        <v>182</v>
      </c>
      <c r="G799" s="5">
        <v>4.0000000000000001E-3</v>
      </c>
      <c r="H799" s="6" t="s">
        <v>72</v>
      </c>
      <c r="I799" s="3" t="s">
        <v>45</v>
      </c>
    </row>
    <row r="800" spans="1:9" ht="48" customHeight="1">
      <c r="A800" s="3" t="s">
        <v>66</v>
      </c>
      <c r="B800" s="3" t="s">
        <v>65</v>
      </c>
      <c r="C800" s="4">
        <v>46113</v>
      </c>
      <c r="D800" s="4">
        <v>46142</v>
      </c>
      <c r="E800" s="3" t="s">
        <v>161</v>
      </c>
      <c r="F800" s="3" t="s">
        <v>184</v>
      </c>
      <c r="G800" s="5">
        <v>4.0000000000000001E-3</v>
      </c>
      <c r="H800" s="6" t="s">
        <v>72</v>
      </c>
      <c r="I800" s="3" t="s">
        <v>45</v>
      </c>
    </row>
    <row r="801" spans="1:9" ht="48" customHeight="1">
      <c r="A801" s="3" t="s">
        <v>66</v>
      </c>
      <c r="B801" s="3" t="s">
        <v>65</v>
      </c>
      <c r="C801" s="4">
        <v>46113</v>
      </c>
      <c r="D801" s="4">
        <v>46142</v>
      </c>
      <c r="E801" s="3" t="s">
        <v>161</v>
      </c>
      <c r="F801" s="3" t="s">
        <v>191</v>
      </c>
      <c r="G801" s="5">
        <v>3.0000000000000001E-3</v>
      </c>
      <c r="H801" s="6" t="s">
        <v>72</v>
      </c>
      <c r="I801" s="3" t="s">
        <v>45</v>
      </c>
    </row>
    <row r="802" spans="1:9" ht="48" customHeight="1">
      <c r="A802" s="3" t="s">
        <v>66</v>
      </c>
      <c r="B802" s="3" t="s">
        <v>65</v>
      </c>
      <c r="C802" s="4">
        <v>46113</v>
      </c>
      <c r="D802" s="4">
        <v>46142</v>
      </c>
      <c r="E802" s="3" t="s">
        <v>161</v>
      </c>
      <c r="F802" s="3" t="s">
        <v>185</v>
      </c>
      <c r="G802" s="5">
        <v>3.0000000000000001E-3</v>
      </c>
      <c r="H802" s="6" t="s">
        <v>72</v>
      </c>
      <c r="I802" s="3" t="s">
        <v>45</v>
      </c>
    </row>
    <row r="803" spans="1:9" ht="48" customHeight="1">
      <c r="A803" s="3" t="s">
        <v>66</v>
      </c>
      <c r="B803" s="3" t="s">
        <v>65</v>
      </c>
      <c r="C803" s="4">
        <v>46113</v>
      </c>
      <c r="D803" s="4">
        <v>46142</v>
      </c>
      <c r="E803" s="3" t="s">
        <v>161</v>
      </c>
      <c r="F803" s="3" t="s">
        <v>187</v>
      </c>
      <c r="G803" s="5">
        <v>3.0000000000000001E-3</v>
      </c>
      <c r="H803" s="6" t="s">
        <v>72</v>
      </c>
      <c r="I803" s="3" t="s">
        <v>45</v>
      </c>
    </row>
    <row r="804" spans="1:9" ht="48" customHeight="1">
      <c r="A804" s="3" t="s">
        <v>66</v>
      </c>
      <c r="B804" s="3" t="s">
        <v>65</v>
      </c>
      <c r="C804" s="4">
        <v>46113</v>
      </c>
      <c r="D804" s="4">
        <v>46142</v>
      </c>
      <c r="E804" s="3" t="s">
        <v>161</v>
      </c>
      <c r="F804" s="3" t="s">
        <v>192</v>
      </c>
      <c r="G804" s="5">
        <v>3.0000000000000001E-3</v>
      </c>
      <c r="H804" s="6" t="s">
        <v>72</v>
      </c>
      <c r="I804" s="3" t="s">
        <v>45</v>
      </c>
    </row>
    <row r="805" spans="1:9" ht="48" customHeight="1">
      <c r="A805" s="3" t="s">
        <v>66</v>
      </c>
      <c r="B805" s="3" t="s">
        <v>65</v>
      </c>
      <c r="C805" s="4">
        <v>46113</v>
      </c>
      <c r="D805" s="4">
        <v>46142</v>
      </c>
      <c r="E805" s="3" t="s">
        <v>161</v>
      </c>
      <c r="F805" s="3" t="s">
        <v>194</v>
      </c>
      <c r="G805" s="5">
        <v>3.0000000000000001E-3</v>
      </c>
      <c r="H805" s="6" t="s">
        <v>72</v>
      </c>
      <c r="I805" s="3" t="s">
        <v>45</v>
      </c>
    </row>
    <row r="806" spans="1:9" ht="48" customHeight="1">
      <c r="A806" s="3" t="s">
        <v>66</v>
      </c>
      <c r="B806" s="3" t="s">
        <v>65</v>
      </c>
      <c r="C806" s="4">
        <v>46113</v>
      </c>
      <c r="D806" s="4">
        <v>46142</v>
      </c>
      <c r="E806" s="3" t="s">
        <v>161</v>
      </c>
      <c r="F806" s="3" t="s">
        <v>188</v>
      </c>
      <c r="G806" s="5">
        <v>3.0000000000000001E-3</v>
      </c>
      <c r="H806" s="6" t="s">
        <v>72</v>
      </c>
      <c r="I806" s="3" t="s">
        <v>45</v>
      </c>
    </row>
    <row r="807" spans="1:9" ht="48" customHeight="1">
      <c r="A807" s="3" t="s">
        <v>66</v>
      </c>
      <c r="B807" s="3" t="s">
        <v>65</v>
      </c>
      <c r="C807" s="4">
        <v>46113</v>
      </c>
      <c r="D807" s="4">
        <v>46142</v>
      </c>
      <c r="E807" s="3" t="s">
        <v>161</v>
      </c>
      <c r="F807" s="3" t="s">
        <v>386</v>
      </c>
      <c r="G807" s="5">
        <v>3.0000000000000001E-3</v>
      </c>
      <c r="H807" s="6" t="s">
        <v>72</v>
      </c>
      <c r="I807" s="3" t="s">
        <v>45</v>
      </c>
    </row>
    <row r="808" spans="1:9" ht="48" customHeight="1">
      <c r="A808" s="3" t="s">
        <v>66</v>
      </c>
      <c r="B808" s="3" t="s">
        <v>65</v>
      </c>
      <c r="C808" s="4">
        <v>46113</v>
      </c>
      <c r="D808" s="4">
        <v>46142</v>
      </c>
      <c r="E808" s="3" t="s">
        <v>161</v>
      </c>
      <c r="F808" s="3" t="s">
        <v>387</v>
      </c>
      <c r="G808" s="5">
        <v>3.0000000000000001E-3</v>
      </c>
      <c r="H808" s="6" t="s">
        <v>72</v>
      </c>
      <c r="I808" s="3" t="s">
        <v>45</v>
      </c>
    </row>
    <row r="809" spans="1:9" ht="48" customHeight="1">
      <c r="A809" s="3" t="s">
        <v>66</v>
      </c>
      <c r="B809" s="3" t="s">
        <v>65</v>
      </c>
      <c r="C809" s="4">
        <v>46113</v>
      </c>
      <c r="D809" s="4">
        <v>46142</v>
      </c>
      <c r="E809" s="3" t="s">
        <v>161</v>
      </c>
      <c r="F809" s="3" t="s">
        <v>196</v>
      </c>
      <c r="G809" s="5">
        <v>3.0000000000000001E-3</v>
      </c>
      <c r="H809" s="6" t="s">
        <v>72</v>
      </c>
      <c r="I809" s="3" t="s">
        <v>45</v>
      </c>
    </row>
    <row r="810" spans="1:9" ht="48" customHeight="1">
      <c r="A810" s="3" t="s">
        <v>66</v>
      </c>
      <c r="B810" s="3" t="s">
        <v>65</v>
      </c>
      <c r="C810" s="4">
        <v>46113</v>
      </c>
      <c r="D810" s="4">
        <v>46142</v>
      </c>
      <c r="E810" s="3" t="s">
        <v>161</v>
      </c>
      <c r="F810" s="3" t="s">
        <v>189</v>
      </c>
      <c r="G810" s="5">
        <v>2E-3</v>
      </c>
      <c r="H810" s="6" t="s">
        <v>72</v>
      </c>
      <c r="I810" s="3" t="s">
        <v>45</v>
      </c>
    </row>
    <row r="811" spans="1:9" ht="48" customHeight="1">
      <c r="A811" s="3" t="s">
        <v>66</v>
      </c>
      <c r="B811" s="3" t="s">
        <v>65</v>
      </c>
      <c r="C811" s="4">
        <v>46113</v>
      </c>
      <c r="D811" s="4">
        <v>46142</v>
      </c>
      <c r="E811" s="3" t="s">
        <v>161</v>
      </c>
      <c r="F811" s="3" t="s">
        <v>190</v>
      </c>
      <c r="G811" s="5">
        <v>2E-3</v>
      </c>
      <c r="H811" s="6" t="s">
        <v>72</v>
      </c>
      <c r="I811" s="3" t="s">
        <v>45</v>
      </c>
    </row>
    <row r="812" spans="1:9" ht="48" customHeight="1">
      <c r="A812" s="3" t="s">
        <v>66</v>
      </c>
      <c r="B812" s="3" t="s">
        <v>65</v>
      </c>
      <c r="C812" s="4">
        <v>46113</v>
      </c>
      <c r="D812" s="4">
        <v>46142</v>
      </c>
      <c r="E812" s="3" t="s">
        <v>161</v>
      </c>
      <c r="F812" s="3" t="s">
        <v>197</v>
      </c>
      <c r="G812" s="5">
        <v>2E-3</v>
      </c>
      <c r="H812" s="6" t="s">
        <v>72</v>
      </c>
      <c r="I812" s="3" t="s">
        <v>45</v>
      </c>
    </row>
    <row r="813" spans="1:9" ht="48" customHeight="1">
      <c r="A813" s="3" t="s">
        <v>66</v>
      </c>
      <c r="B813" s="3" t="s">
        <v>65</v>
      </c>
      <c r="C813" s="4">
        <v>46113</v>
      </c>
      <c r="D813" s="4">
        <v>46142</v>
      </c>
      <c r="E813" s="3" t="s">
        <v>161</v>
      </c>
      <c r="F813" s="3" t="s">
        <v>193</v>
      </c>
      <c r="G813" s="5">
        <v>2E-3</v>
      </c>
      <c r="H813" s="6" t="s">
        <v>72</v>
      </c>
      <c r="I813" s="3" t="s">
        <v>45</v>
      </c>
    </row>
    <row r="814" spans="1:9" ht="48" customHeight="1">
      <c r="A814" s="3" t="s">
        <v>66</v>
      </c>
      <c r="B814" s="3" t="s">
        <v>65</v>
      </c>
      <c r="C814" s="4">
        <v>46113</v>
      </c>
      <c r="D814" s="4">
        <v>46142</v>
      </c>
      <c r="E814" s="3" t="s">
        <v>161</v>
      </c>
      <c r="F814" s="3" t="s">
        <v>195</v>
      </c>
      <c r="G814" s="5">
        <v>2E-3</v>
      </c>
      <c r="H814" s="6" t="s">
        <v>72</v>
      </c>
      <c r="I814" s="3" t="s">
        <v>45</v>
      </c>
    </row>
    <row r="815" spans="1:9" ht="48" customHeight="1">
      <c r="A815" s="3" t="s">
        <v>66</v>
      </c>
      <c r="B815" s="3" t="s">
        <v>65</v>
      </c>
      <c r="C815" s="4">
        <v>46113</v>
      </c>
      <c r="D815" s="4">
        <v>46142</v>
      </c>
      <c r="E815" s="3" t="s">
        <v>161</v>
      </c>
      <c r="F815" s="3" t="s">
        <v>202</v>
      </c>
      <c r="G815" s="5">
        <v>1E-3</v>
      </c>
      <c r="H815" s="6" t="s">
        <v>72</v>
      </c>
      <c r="I815" s="3" t="s">
        <v>45</v>
      </c>
    </row>
    <row r="816" spans="1:9" ht="48" customHeight="1">
      <c r="A816" s="3" t="s">
        <v>66</v>
      </c>
      <c r="B816" s="3" t="s">
        <v>65</v>
      </c>
      <c r="C816" s="4">
        <v>46113</v>
      </c>
      <c r="D816" s="4">
        <v>46142</v>
      </c>
      <c r="E816" s="3" t="s">
        <v>161</v>
      </c>
      <c r="F816" s="3" t="s">
        <v>198</v>
      </c>
      <c r="G816" s="5">
        <v>1E-3</v>
      </c>
      <c r="H816" s="6" t="s">
        <v>72</v>
      </c>
      <c r="I816" s="3" t="s">
        <v>45</v>
      </c>
    </row>
    <row r="817" spans="1:9" ht="48" customHeight="1">
      <c r="A817" s="3" t="s">
        <v>66</v>
      </c>
      <c r="B817" s="3" t="s">
        <v>65</v>
      </c>
      <c r="C817" s="4">
        <v>46113</v>
      </c>
      <c r="D817" s="4">
        <v>46142</v>
      </c>
      <c r="E817" s="3" t="s">
        <v>161</v>
      </c>
      <c r="F817" s="3" t="s">
        <v>199</v>
      </c>
      <c r="G817" s="5">
        <v>1E-3</v>
      </c>
      <c r="H817" s="6" t="s">
        <v>72</v>
      </c>
      <c r="I817" s="3" t="s">
        <v>45</v>
      </c>
    </row>
    <row r="818" spans="1:9" ht="48" customHeight="1">
      <c r="A818" s="3" t="s">
        <v>66</v>
      </c>
      <c r="B818" s="3" t="s">
        <v>65</v>
      </c>
      <c r="C818" s="4">
        <v>46113</v>
      </c>
      <c r="D818" s="4">
        <v>46142</v>
      </c>
      <c r="E818" s="3" t="s">
        <v>161</v>
      </c>
      <c r="F818" s="3" t="s">
        <v>200</v>
      </c>
      <c r="G818" s="5">
        <v>1E-3</v>
      </c>
      <c r="H818" s="6" t="s">
        <v>72</v>
      </c>
      <c r="I818" s="3" t="s">
        <v>45</v>
      </c>
    </row>
    <row r="819" spans="1:9" ht="48" customHeight="1">
      <c r="A819" s="3" t="s">
        <v>66</v>
      </c>
      <c r="B819" s="3" t="s">
        <v>65</v>
      </c>
      <c r="C819" s="4">
        <v>46113</v>
      </c>
      <c r="D819" s="4">
        <v>46142</v>
      </c>
      <c r="E819" s="3" t="s">
        <v>161</v>
      </c>
      <c r="F819" s="3" t="s">
        <v>204</v>
      </c>
      <c r="G819" s="5">
        <v>1E-3</v>
      </c>
      <c r="H819" s="6" t="s">
        <v>72</v>
      </c>
      <c r="I819" s="3" t="s">
        <v>45</v>
      </c>
    </row>
    <row r="820" spans="1:9" ht="48" customHeight="1">
      <c r="A820" s="3" t="s">
        <v>66</v>
      </c>
      <c r="B820" s="3" t="s">
        <v>65</v>
      </c>
      <c r="C820" s="4">
        <v>46113</v>
      </c>
      <c r="D820" s="4">
        <v>46142</v>
      </c>
      <c r="E820" s="3" t="s">
        <v>161</v>
      </c>
      <c r="F820" s="3" t="s">
        <v>201</v>
      </c>
      <c r="G820" s="5">
        <v>1E-3</v>
      </c>
      <c r="H820" s="6" t="s">
        <v>72</v>
      </c>
      <c r="I820" s="3" t="s">
        <v>45</v>
      </c>
    </row>
    <row r="821" spans="1:9" ht="48" customHeight="1">
      <c r="A821" s="3" t="s">
        <v>66</v>
      </c>
      <c r="B821" s="3" t="s">
        <v>65</v>
      </c>
      <c r="C821" s="4">
        <v>46113</v>
      </c>
      <c r="D821" s="4">
        <v>46142</v>
      </c>
      <c r="E821" s="3" t="s">
        <v>161</v>
      </c>
      <c r="F821" s="3" t="s">
        <v>203</v>
      </c>
      <c r="G821" s="5">
        <v>0</v>
      </c>
      <c r="H821" s="6" t="s">
        <v>72</v>
      </c>
      <c r="I821" s="3" t="s">
        <v>45</v>
      </c>
    </row>
    <row r="822" spans="1:9" ht="48" customHeight="1">
      <c r="A822" s="3" t="s">
        <v>66</v>
      </c>
      <c r="B822" s="3" t="s">
        <v>65</v>
      </c>
      <c r="C822" s="4">
        <v>46113</v>
      </c>
      <c r="D822" s="4">
        <v>46142</v>
      </c>
      <c r="E822" s="3" t="s">
        <v>205</v>
      </c>
      <c r="F822" s="3" t="s">
        <v>207</v>
      </c>
      <c r="G822" s="5">
        <v>6.0000000000000001E-3</v>
      </c>
      <c r="H822" s="6" t="s">
        <v>72</v>
      </c>
      <c r="I822" s="3" t="s">
        <v>45</v>
      </c>
    </row>
    <row r="823" spans="1:9" ht="48" customHeight="1">
      <c r="A823" s="3" t="s">
        <v>66</v>
      </c>
      <c r="B823" s="3" t="s">
        <v>65</v>
      </c>
      <c r="C823" s="4">
        <v>46113</v>
      </c>
      <c r="D823" s="4">
        <v>46142</v>
      </c>
      <c r="E823" s="3" t="s">
        <v>205</v>
      </c>
      <c r="F823" s="3" t="s">
        <v>208</v>
      </c>
      <c r="G823" s="5">
        <v>6.0000000000000001E-3</v>
      </c>
      <c r="H823" s="6" t="s">
        <v>72</v>
      </c>
      <c r="I823" s="3" t="s">
        <v>45</v>
      </c>
    </row>
    <row r="824" spans="1:9" ht="48" customHeight="1">
      <c r="A824" s="3" t="s">
        <v>66</v>
      </c>
      <c r="B824" s="3" t="s">
        <v>65</v>
      </c>
      <c r="C824" s="4">
        <v>46113</v>
      </c>
      <c r="D824" s="4">
        <v>46142</v>
      </c>
      <c r="E824" s="3" t="s">
        <v>205</v>
      </c>
      <c r="F824" s="3" t="s">
        <v>206</v>
      </c>
      <c r="G824" s="5">
        <v>6.0000000000000001E-3</v>
      </c>
      <c r="H824" s="6" t="s">
        <v>72</v>
      </c>
      <c r="I824" s="3" t="s">
        <v>45</v>
      </c>
    </row>
    <row r="825" spans="1:9" ht="48" customHeight="1">
      <c r="A825" s="3" t="s">
        <v>66</v>
      </c>
      <c r="B825" s="3" t="s">
        <v>65</v>
      </c>
      <c r="C825" s="4">
        <v>46113</v>
      </c>
      <c r="D825" s="4">
        <v>46142</v>
      </c>
      <c r="E825" s="3" t="s">
        <v>205</v>
      </c>
      <c r="F825" s="3" t="s">
        <v>210</v>
      </c>
      <c r="G825" s="5">
        <v>6.0000000000000001E-3</v>
      </c>
      <c r="H825" s="6" t="s">
        <v>72</v>
      </c>
      <c r="I825" s="3" t="s">
        <v>45</v>
      </c>
    </row>
    <row r="826" spans="1:9" ht="48" customHeight="1">
      <c r="A826" s="3" t="s">
        <v>66</v>
      </c>
      <c r="B826" s="3" t="s">
        <v>65</v>
      </c>
      <c r="C826" s="4">
        <v>46113</v>
      </c>
      <c r="D826" s="4">
        <v>46142</v>
      </c>
      <c r="E826" s="3" t="s">
        <v>205</v>
      </c>
      <c r="F826" s="3" t="s">
        <v>213</v>
      </c>
      <c r="G826" s="5">
        <v>5.0000000000000001E-3</v>
      </c>
      <c r="H826" s="6" t="s">
        <v>72</v>
      </c>
      <c r="I826" s="3" t="s">
        <v>45</v>
      </c>
    </row>
    <row r="827" spans="1:9" ht="48" customHeight="1">
      <c r="A827" s="3" t="s">
        <v>66</v>
      </c>
      <c r="B827" s="3" t="s">
        <v>65</v>
      </c>
      <c r="C827" s="4">
        <v>46113</v>
      </c>
      <c r="D827" s="4">
        <v>46142</v>
      </c>
      <c r="E827" s="3" t="s">
        <v>205</v>
      </c>
      <c r="F827" s="3" t="s">
        <v>216</v>
      </c>
      <c r="G827" s="5">
        <v>5.0000000000000001E-3</v>
      </c>
      <c r="H827" s="6" t="s">
        <v>72</v>
      </c>
      <c r="I827" s="3" t="s">
        <v>45</v>
      </c>
    </row>
    <row r="828" spans="1:9" ht="48" customHeight="1">
      <c r="A828" s="3" t="s">
        <v>66</v>
      </c>
      <c r="B828" s="3" t="s">
        <v>65</v>
      </c>
      <c r="C828" s="4">
        <v>46113</v>
      </c>
      <c r="D828" s="4">
        <v>46142</v>
      </c>
      <c r="E828" s="3" t="s">
        <v>205</v>
      </c>
      <c r="F828" s="3" t="s">
        <v>211</v>
      </c>
      <c r="G828" s="5">
        <v>4.0000000000000001E-3</v>
      </c>
      <c r="H828" s="6" t="s">
        <v>72</v>
      </c>
      <c r="I828" s="3" t="s">
        <v>45</v>
      </c>
    </row>
    <row r="829" spans="1:9" ht="48" customHeight="1">
      <c r="A829" s="3" t="s">
        <v>66</v>
      </c>
      <c r="B829" s="3" t="s">
        <v>65</v>
      </c>
      <c r="C829" s="4">
        <v>46113</v>
      </c>
      <c r="D829" s="4">
        <v>46142</v>
      </c>
      <c r="E829" s="3" t="s">
        <v>205</v>
      </c>
      <c r="F829" s="3" t="s">
        <v>212</v>
      </c>
      <c r="G829" s="5">
        <v>4.0000000000000001E-3</v>
      </c>
      <c r="H829" s="6" t="s">
        <v>72</v>
      </c>
      <c r="I829" s="3" t="s">
        <v>45</v>
      </c>
    </row>
    <row r="830" spans="1:9" ht="48" customHeight="1">
      <c r="A830" s="3" t="s">
        <v>66</v>
      </c>
      <c r="B830" s="3" t="s">
        <v>65</v>
      </c>
      <c r="C830" s="4">
        <v>46113</v>
      </c>
      <c r="D830" s="4">
        <v>46142</v>
      </c>
      <c r="E830" s="3" t="s">
        <v>205</v>
      </c>
      <c r="F830" s="3" t="s">
        <v>214</v>
      </c>
      <c r="G830" s="5">
        <v>4.0000000000000001E-3</v>
      </c>
      <c r="H830" s="6" t="s">
        <v>72</v>
      </c>
      <c r="I830" s="3" t="s">
        <v>45</v>
      </c>
    </row>
    <row r="831" spans="1:9" ht="48" customHeight="1">
      <c r="A831" s="3" t="s">
        <v>66</v>
      </c>
      <c r="B831" s="3" t="s">
        <v>65</v>
      </c>
      <c r="C831" s="4">
        <v>46113</v>
      </c>
      <c r="D831" s="4">
        <v>46142</v>
      </c>
      <c r="E831" s="3" t="s">
        <v>205</v>
      </c>
      <c r="F831" s="3" t="s">
        <v>209</v>
      </c>
      <c r="G831" s="5">
        <v>4.0000000000000001E-3</v>
      </c>
      <c r="H831" s="6" t="s">
        <v>72</v>
      </c>
      <c r="I831" s="3" t="s">
        <v>45</v>
      </c>
    </row>
    <row r="832" spans="1:9" ht="48" customHeight="1">
      <c r="A832" s="3" t="s">
        <v>66</v>
      </c>
      <c r="B832" s="3" t="s">
        <v>65</v>
      </c>
      <c r="C832" s="4">
        <v>46113</v>
      </c>
      <c r="D832" s="4">
        <v>46142</v>
      </c>
      <c r="E832" s="3" t="s">
        <v>205</v>
      </c>
      <c r="F832" s="3" t="s">
        <v>217</v>
      </c>
      <c r="G832" s="5">
        <v>3.0000000000000001E-3</v>
      </c>
      <c r="H832" s="6" t="s">
        <v>72</v>
      </c>
      <c r="I832" s="3" t="s">
        <v>45</v>
      </c>
    </row>
    <row r="833" spans="1:9" ht="48" customHeight="1">
      <c r="A833" s="3" t="s">
        <v>66</v>
      </c>
      <c r="B833" s="3" t="s">
        <v>65</v>
      </c>
      <c r="C833" s="4">
        <v>46113</v>
      </c>
      <c r="D833" s="4">
        <v>46142</v>
      </c>
      <c r="E833" s="3" t="s">
        <v>205</v>
      </c>
      <c r="F833" s="3" t="s">
        <v>218</v>
      </c>
      <c r="G833" s="5">
        <v>3.0000000000000001E-3</v>
      </c>
      <c r="H833" s="6" t="s">
        <v>72</v>
      </c>
      <c r="I833" s="3" t="s">
        <v>45</v>
      </c>
    </row>
    <row r="834" spans="1:9" ht="48" customHeight="1">
      <c r="A834" s="3" t="s">
        <v>66</v>
      </c>
      <c r="B834" s="3" t="s">
        <v>65</v>
      </c>
      <c r="C834" s="4">
        <v>46113</v>
      </c>
      <c r="D834" s="4">
        <v>46142</v>
      </c>
      <c r="E834" s="3" t="s">
        <v>205</v>
      </c>
      <c r="F834" s="3" t="s">
        <v>225</v>
      </c>
      <c r="G834" s="5">
        <v>3.0000000000000001E-3</v>
      </c>
      <c r="H834" s="6" t="s">
        <v>72</v>
      </c>
      <c r="I834" s="3" t="s">
        <v>45</v>
      </c>
    </row>
    <row r="835" spans="1:9" ht="48" customHeight="1">
      <c r="A835" s="3" t="s">
        <v>66</v>
      </c>
      <c r="B835" s="3" t="s">
        <v>65</v>
      </c>
      <c r="C835" s="4">
        <v>46113</v>
      </c>
      <c r="D835" s="4">
        <v>46142</v>
      </c>
      <c r="E835" s="3" t="s">
        <v>205</v>
      </c>
      <c r="F835" s="3" t="s">
        <v>219</v>
      </c>
      <c r="G835" s="5">
        <v>3.0000000000000001E-3</v>
      </c>
      <c r="H835" s="6" t="s">
        <v>72</v>
      </c>
      <c r="I835" s="3" t="s">
        <v>45</v>
      </c>
    </row>
    <row r="836" spans="1:9" ht="48" customHeight="1">
      <c r="A836" s="3" t="s">
        <v>66</v>
      </c>
      <c r="B836" s="3" t="s">
        <v>65</v>
      </c>
      <c r="C836" s="4">
        <v>46113</v>
      </c>
      <c r="D836" s="4">
        <v>46142</v>
      </c>
      <c r="E836" s="3" t="s">
        <v>205</v>
      </c>
      <c r="F836" s="3" t="s">
        <v>220</v>
      </c>
      <c r="G836" s="5">
        <v>3.0000000000000001E-3</v>
      </c>
      <c r="H836" s="6" t="s">
        <v>72</v>
      </c>
      <c r="I836" s="3" t="s">
        <v>45</v>
      </c>
    </row>
    <row r="837" spans="1:9" ht="48" customHeight="1">
      <c r="A837" s="3" t="s">
        <v>66</v>
      </c>
      <c r="B837" s="3" t="s">
        <v>65</v>
      </c>
      <c r="C837" s="4">
        <v>46113</v>
      </c>
      <c r="D837" s="4">
        <v>46142</v>
      </c>
      <c r="E837" s="3" t="s">
        <v>205</v>
      </c>
      <c r="F837" s="3" t="s">
        <v>221</v>
      </c>
      <c r="G837" s="5">
        <v>3.0000000000000001E-3</v>
      </c>
      <c r="H837" s="6" t="s">
        <v>72</v>
      </c>
      <c r="I837" s="3" t="s">
        <v>45</v>
      </c>
    </row>
    <row r="838" spans="1:9" ht="48" customHeight="1">
      <c r="A838" s="3" t="s">
        <v>66</v>
      </c>
      <c r="B838" s="3" t="s">
        <v>65</v>
      </c>
      <c r="C838" s="4">
        <v>46113</v>
      </c>
      <c r="D838" s="4">
        <v>46142</v>
      </c>
      <c r="E838" s="3" t="s">
        <v>205</v>
      </c>
      <c r="F838" s="3" t="s">
        <v>222</v>
      </c>
      <c r="G838" s="5">
        <v>3.0000000000000001E-3</v>
      </c>
      <c r="H838" s="6" t="s">
        <v>72</v>
      </c>
      <c r="I838" s="3" t="s">
        <v>45</v>
      </c>
    </row>
    <row r="839" spans="1:9" ht="48" customHeight="1">
      <c r="A839" s="3" t="s">
        <v>66</v>
      </c>
      <c r="B839" s="3" t="s">
        <v>65</v>
      </c>
      <c r="C839" s="4">
        <v>46113</v>
      </c>
      <c r="D839" s="4">
        <v>46142</v>
      </c>
      <c r="E839" s="3" t="s">
        <v>205</v>
      </c>
      <c r="F839" s="3" t="s">
        <v>228</v>
      </c>
      <c r="G839" s="5">
        <v>3.0000000000000001E-3</v>
      </c>
      <c r="H839" s="6" t="s">
        <v>72</v>
      </c>
      <c r="I839" s="3" t="s">
        <v>45</v>
      </c>
    </row>
    <row r="840" spans="1:9" ht="48" customHeight="1">
      <c r="A840" s="3" t="s">
        <v>66</v>
      </c>
      <c r="B840" s="3" t="s">
        <v>65</v>
      </c>
      <c r="C840" s="4">
        <v>46113</v>
      </c>
      <c r="D840" s="4">
        <v>46142</v>
      </c>
      <c r="E840" s="3" t="s">
        <v>205</v>
      </c>
      <c r="F840" s="3" t="s">
        <v>215</v>
      </c>
      <c r="G840" s="5">
        <v>3.0000000000000001E-3</v>
      </c>
      <c r="H840" s="6" t="s">
        <v>72</v>
      </c>
      <c r="I840" s="3" t="s">
        <v>45</v>
      </c>
    </row>
    <row r="841" spans="1:9" ht="48" customHeight="1">
      <c r="A841" s="3" t="s">
        <v>66</v>
      </c>
      <c r="B841" s="3" t="s">
        <v>65</v>
      </c>
      <c r="C841" s="4">
        <v>46113</v>
      </c>
      <c r="D841" s="4">
        <v>46142</v>
      </c>
      <c r="E841" s="3" t="s">
        <v>205</v>
      </c>
      <c r="F841" s="3" t="s">
        <v>223</v>
      </c>
      <c r="G841" s="5">
        <v>2E-3</v>
      </c>
      <c r="H841" s="6" t="s">
        <v>72</v>
      </c>
      <c r="I841" s="3" t="s">
        <v>45</v>
      </c>
    </row>
    <row r="842" spans="1:9" ht="48" customHeight="1">
      <c r="A842" s="3" t="s">
        <v>66</v>
      </c>
      <c r="B842" s="3" t="s">
        <v>65</v>
      </c>
      <c r="C842" s="4">
        <v>46113</v>
      </c>
      <c r="D842" s="4">
        <v>46142</v>
      </c>
      <c r="E842" s="3" t="s">
        <v>205</v>
      </c>
      <c r="F842" s="3" t="s">
        <v>224</v>
      </c>
      <c r="G842" s="5">
        <v>2E-3</v>
      </c>
      <c r="H842" s="6" t="s">
        <v>72</v>
      </c>
      <c r="I842" s="3" t="s">
        <v>45</v>
      </c>
    </row>
    <row r="843" spans="1:9" ht="48" customHeight="1">
      <c r="A843" s="3" t="s">
        <v>66</v>
      </c>
      <c r="B843" s="3" t="s">
        <v>65</v>
      </c>
      <c r="C843" s="4">
        <v>46113</v>
      </c>
      <c r="D843" s="4">
        <v>46142</v>
      </c>
      <c r="E843" s="3" t="s">
        <v>205</v>
      </c>
      <c r="F843" s="3" t="s">
        <v>226</v>
      </c>
      <c r="G843" s="5">
        <v>2E-3</v>
      </c>
      <c r="H843" s="6" t="s">
        <v>72</v>
      </c>
      <c r="I843" s="3" t="s">
        <v>45</v>
      </c>
    </row>
    <row r="844" spans="1:9" ht="48" customHeight="1">
      <c r="A844" s="3" t="s">
        <v>66</v>
      </c>
      <c r="B844" s="3" t="s">
        <v>65</v>
      </c>
      <c r="C844" s="4">
        <v>46113</v>
      </c>
      <c r="D844" s="4">
        <v>46142</v>
      </c>
      <c r="E844" s="3" t="s">
        <v>205</v>
      </c>
      <c r="F844" s="3" t="s">
        <v>227</v>
      </c>
      <c r="G844" s="5">
        <v>2E-3</v>
      </c>
      <c r="H844" s="6" t="s">
        <v>72</v>
      </c>
      <c r="I844" s="3" t="s">
        <v>45</v>
      </c>
    </row>
    <row r="845" spans="1:9" ht="48" customHeight="1">
      <c r="A845" s="3" t="s">
        <v>66</v>
      </c>
      <c r="B845" s="3" t="s">
        <v>65</v>
      </c>
      <c r="C845" s="4">
        <v>46113</v>
      </c>
      <c r="D845" s="4">
        <v>46142</v>
      </c>
      <c r="E845" s="3" t="s">
        <v>205</v>
      </c>
      <c r="F845" s="3" t="s">
        <v>229</v>
      </c>
      <c r="G845" s="5">
        <v>1E-3</v>
      </c>
      <c r="H845" s="6" t="s">
        <v>72</v>
      </c>
      <c r="I845" s="3" t="s">
        <v>45</v>
      </c>
    </row>
    <row r="846" spans="1:9" ht="48" customHeight="1">
      <c r="A846" s="3" t="s">
        <v>66</v>
      </c>
      <c r="B846" s="3" t="s">
        <v>65</v>
      </c>
      <c r="C846" s="4">
        <v>46113</v>
      </c>
      <c r="D846" s="4">
        <v>46142</v>
      </c>
      <c r="E846" s="3" t="s">
        <v>205</v>
      </c>
      <c r="F846" s="3" t="s">
        <v>230</v>
      </c>
      <c r="G846" s="5">
        <v>1E-3</v>
      </c>
      <c r="H846" s="6" t="s">
        <v>72</v>
      </c>
      <c r="I846" s="3" t="s">
        <v>45</v>
      </c>
    </row>
    <row r="847" spans="1:9" ht="48" customHeight="1">
      <c r="A847" s="3" t="s">
        <v>66</v>
      </c>
      <c r="B847" s="3" t="s">
        <v>65</v>
      </c>
      <c r="C847" s="4">
        <v>46113</v>
      </c>
      <c r="D847" s="4">
        <v>46142</v>
      </c>
      <c r="E847" s="3" t="s">
        <v>231</v>
      </c>
      <c r="F847" s="3" t="s">
        <v>232</v>
      </c>
      <c r="G847" s="5">
        <v>1.8000000000000002E-2</v>
      </c>
      <c r="H847" s="6" t="s">
        <v>72</v>
      </c>
      <c r="I847" s="3" t="s">
        <v>45</v>
      </c>
    </row>
    <row r="848" spans="1:9" ht="48" customHeight="1">
      <c r="A848" s="3" t="s">
        <v>66</v>
      </c>
      <c r="B848" s="3" t="s">
        <v>65</v>
      </c>
      <c r="C848" s="4">
        <v>46113</v>
      </c>
      <c r="D848" s="4">
        <v>46142</v>
      </c>
      <c r="E848" s="3" t="s">
        <v>231</v>
      </c>
      <c r="F848" s="3" t="s">
        <v>233</v>
      </c>
      <c r="G848" s="5">
        <v>1.6E-2</v>
      </c>
      <c r="H848" s="6" t="s">
        <v>72</v>
      </c>
      <c r="I848" s="3" t="s">
        <v>45</v>
      </c>
    </row>
    <row r="849" spans="1:9" ht="48" customHeight="1">
      <c r="A849" s="3" t="s">
        <v>66</v>
      </c>
      <c r="B849" s="3" t="s">
        <v>65</v>
      </c>
      <c r="C849" s="4">
        <v>46113</v>
      </c>
      <c r="D849" s="4">
        <v>46142</v>
      </c>
      <c r="E849" s="3" t="s">
        <v>231</v>
      </c>
      <c r="F849" s="3" t="s">
        <v>234</v>
      </c>
      <c r="G849" s="5">
        <v>8.0000000000000002E-3</v>
      </c>
      <c r="H849" s="6" t="s">
        <v>72</v>
      </c>
      <c r="I849" s="3" t="s">
        <v>45</v>
      </c>
    </row>
    <row r="850" spans="1:9" ht="48" customHeight="1">
      <c r="A850" s="3" t="s">
        <v>66</v>
      </c>
      <c r="B850" s="3" t="s">
        <v>65</v>
      </c>
      <c r="C850" s="4">
        <v>46113</v>
      </c>
      <c r="D850" s="4">
        <v>46142</v>
      </c>
      <c r="E850" s="3" t="s">
        <v>231</v>
      </c>
      <c r="F850" s="3" t="s">
        <v>230</v>
      </c>
      <c r="G850" s="5">
        <v>8.0000000000000002E-3</v>
      </c>
      <c r="H850" s="6" t="s">
        <v>72</v>
      </c>
      <c r="I850" s="3" t="s">
        <v>45</v>
      </c>
    </row>
    <row r="851" spans="1:9" ht="48" customHeight="1">
      <c r="A851" s="3" t="s">
        <v>66</v>
      </c>
      <c r="B851" s="3" t="s">
        <v>65</v>
      </c>
      <c r="C851" s="4">
        <v>46113</v>
      </c>
      <c r="D851" s="4">
        <v>46142</v>
      </c>
      <c r="E851" s="3" t="s">
        <v>231</v>
      </c>
      <c r="F851" s="3" t="s">
        <v>235</v>
      </c>
      <c r="G851" s="5">
        <v>5.0000000000000001E-3</v>
      </c>
      <c r="H851" s="6" t="s">
        <v>72</v>
      </c>
      <c r="I851" s="3" t="s">
        <v>45</v>
      </c>
    </row>
    <row r="852" spans="1:9" ht="48" customHeight="1">
      <c r="A852" s="3" t="s">
        <v>66</v>
      </c>
      <c r="B852" s="3" t="s">
        <v>65</v>
      </c>
      <c r="C852" s="4">
        <v>46113</v>
      </c>
      <c r="D852" s="4">
        <v>46142</v>
      </c>
      <c r="E852" s="3" t="s">
        <v>236</v>
      </c>
      <c r="F852" s="3" t="s">
        <v>232</v>
      </c>
      <c r="G852" s="5">
        <v>8.0000000000000002E-3</v>
      </c>
      <c r="H852" s="6" t="s">
        <v>72</v>
      </c>
      <c r="I852" s="3" t="s">
        <v>45</v>
      </c>
    </row>
    <row r="853" spans="1:9" ht="48" customHeight="1">
      <c r="A853" s="3" t="s">
        <v>66</v>
      </c>
      <c r="B853" s="3" t="s">
        <v>65</v>
      </c>
      <c r="C853" s="4">
        <v>46113</v>
      </c>
      <c r="D853" s="4">
        <v>46142</v>
      </c>
      <c r="E853" s="3" t="s">
        <v>236</v>
      </c>
      <c r="F853" s="3" t="s">
        <v>238</v>
      </c>
      <c r="G853" s="5">
        <v>6.9999999999999993E-3</v>
      </c>
      <c r="H853" s="6" t="s">
        <v>72</v>
      </c>
      <c r="I853" s="3" t="s">
        <v>45</v>
      </c>
    </row>
    <row r="854" spans="1:9" ht="48" customHeight="1">
      <c r="A854" s="3" t="s">
        <v>66</v>
      </c>
      <c r="B854" s="3" t="s">
        <v>65</v>
      </c>
      <c r="C854" s="4">
        <v>46113</v>
      </c>
      <c r="D854" s="4">
        <v>46142</v>
      </c>
      <c r="E854" s="3" t="s">
        <v>236</v>
      </c>
      <c r="F854" s="3" t="s">
        <v>237</v>
      </c>
      <c r="G854" s="5">
        <v>6.0000000000000001E-3</v>
      </c>
      <c r="H854" s="6" t="s">
        <v>72</v>
      </c>
      <c r="I854" s="3" t="s">
        <v>45</v>
      </c>
    </row>
    <row r="855" spans="1:9" ht="48" customHeight="1">
      <c r="A855" s="3" t="s">
        <v>66</v>
      </c>
      <c r="B855" s="3" t="s">
        <v>65</v>
      </c>
      <c r="C855" s="4">
        <v>46113</v>
      </c>
      <c r="D855" s="4">
        <v>46142</v>
      </c>
      <c r="E855" s="3" t="s">
        <v>236</v>
      </c>
      <c r="F855" s="3" t="s">
        <v>239</v>
      </c>
      <c r="G855" s="5">
        <v>6.0000000000000001E-3</v>
      </c>
      <c r="H855" s="6" t="s">
        <v>72</v>
      </c>
      <c r="I855" s="3" t="s">
        <v>45</v>
      </c>
    </row>
    <row r="856" spans="1:9" ht="48" customHeight="1">
      <c r="A856" s="3" t="s">
        <v>66</v>
      </c>
      <c r="B856" s="3" t="s">
        <v>65</v>
      </c>
      <c r="C856" s="4">
        <v>46113</v>
      </c>
      <c r="D856" s="4">
        <v>46142</v>
      </c>
      <c r="E856" s="3" t="s">
        <v>236</v>
      </c>
      <c r="F856" s="3" t="s">
        <v>240</v>
      </c>
      <c r="G856" s="5">
        <v>5.0000000000000001E-3</v>
      </c>
      <c r="H856" s="6" t="s">
        <v>72</v>
      </c>
      <c r="I856" s="3" t="s">
        <v>45</v>
      </c>
    </row>
    <row r="857" spans="1:9" ht="48" customHeight="1">
      <c r="A857" s="3" t="s">
        <v>66</v>
      </c>
      <c r="B857" s="3" t="s">
        <v>65</v>
      </c>
      <c r="C857" s="4">
        <v>46113</v>
      </c>
      <c r="D857" s="4">
        <v>46142</v>
      </c>
      <c r="E857" s="3" t="s">
        <v>236</v>
      </c>
      <c r="F857" s="3" t="s">
        <v>241</v>
      </c>
      <c r="G857" s="5">
        <v>4.0000000000000001E-3</v>
      </c>
      <c r="H857" s="6" t="s">
        <v>72</v>
      </c>
      <c r="I857" s="3" t="s">
        <v>45</v>
      </c>
    </row>
    <row r="858" spans="1:9" ht="48" customHeight="1">
      <c r="A858" s="3" t="s">
        <v>66</v>
      </c>
      <c r="B858" s="3" t="s">
        <v>65</v>
      </c>
      <c r="C858" s="4">
        <v>46113</v>
      </c>
      <c r="D858" s="4">
        <v>46142</v>
      </c>
      <c r="E858" s="3" t="s">
        <v>236</v>
      </c>
      <c r="F858" s="3" t="s">
        <v>230</v>
      </c>
      <c r="G858" s="5">
        <v>3.0000000000000001E-3</v>
      </c>
      <c r="H858" s="6" t="s">
        <v>72</v>
      </c>
      <c r="I858" s="3" t="s">
        <v>45</v>
      </c>
    </row>
    <row r="859" spans="1:9" ht="48" customHeight="1">
      <c r="A859" s="3" t="s">
        <v>66</v>
      </c>
      <c r="B859" s="3" t="s">
        <v>65</v>
      </c>
      <c r="C859" s="4">
        <v>46113</v>
      </c>
      <c r="D859" s="4">
        <v>46142</v>
      </c>
      <c r="E859" s="3" t="s">
        <v>236</v>
      </c>
      <c r="F859" s="3" t="s">
        <v>234</v>
      </c>
      <c r="G859" s="5">
        <v>1E-3</v>
      </c>
      <c r="H859" s="6" t="s">
        <v>72</v>
      </c>
      <c r="I859" s="3" t="s">
        <v>45</v>
      </c>
    </row>
    <row r="860" spans="1:9" ht="48" customHeight="1">
      <c r="A860" s="3" t="s">
        <v>66</v>
      </c>
      <c r="B860" s="3" t="s">
        <v>65</v>
      </c>
      <c r="C860" s="4">
        <v>46113</v>
      </c>
      <c r="D860" s="4">
        <v>46142</v>
      </c>
      <c r="E860" s="3" t="s">
        <v>236</v>
      </c>
      <c r="F860" s="3" t="s">
        <v>242</v>
      </c>
      <c r="G860" s="5">
        <v>1E-3</v>
      </c>
      <c r="H860" s="6" t="s">
        <v>72</v>
      </c>
      <c r="I860" s="3" t="s">
        <v>45</v>
      </c>
    </row>
    <row r="861" spans="1:9" ht="48" customHeight="1">
      <c r="A861" s="3" t="s">
        <v>66</v>
      </c>
      <c r="B861" s="3" t="s">
        <v>65</v>
      </c>
      <c r="C861" s="4">
        <v>46113</v>
      </c>
      <c r="D861" s="4">
        <v>46142</v>
      </c>
      <c r="E861" s="3" t="s">
        <v>236</v>
      </c>
      <c r="F861" s="3" t="s">
        <v>243</v>
      </c>
      <c r="G861" s="5">
        <v>0</v>
      </c>
      <c r="H861" s="6" t="s">
        <v>72</v>
      </c>
      <c r="I861" s="3" t="s">
        <v>45</v>
      </c>
    </row>
    <row r="862" spans="1:9" ht="48" customHeight="1">
      <c r="A862" s="3" t="s">
        <v>66</v>
      </c>
      <c r="B862" s="3" t="s">
        <v>65</v>
      </c>
      <c r="C862" s="4">
        <v>46113</v>
      </c>
      <c r="D862" s="4">
        <v>46142</v>
      </c>
      <c r="E862" s="3" t="s">
        <v>244</v>
      </c>
      <c r="F862" s="3" t="s">
        <v>245</v>
      </c>
      <c r="G862" s="5">
        <v>6.9999999999999993E-3</v>
      </c>
      <c r="H862" s="6" t="s">
        <v>72</v>
      </c>
      <c r="I862" s="3" t="s">
        <v>45</v>
      </c>
    </row>
    <row r="863" spans="1:9" ht="48" customHeight="1">
      <c r="A863" s="3" t="s">
        <v>66</v>
      </c>
      <c r="B863" s="3" t="s">
        <v>65</v>
      </c>
      <c r="C863" s="4">
        <v>46113</v>
      </c>
      <c r="D863" s="4">
        <v>46142</v>
      </c>
      <c r="E863" s="3" t="s">
        <v>244</v>
      </c>
      <c r="F863" s="3" t="s">
        <v>246</v>
      </c>
      <c r="G863" s="5">
        <v>5.0000000000000001E-3</v>
      </c>
      <c r="H863" s="6" t="s">
        <v>72</v>
      </c>
      <c r="I863" s="3" t="s">
        <v>45</v>
      </c>
    </row>
    <row r="864" spans="1:9" ht="48" customHeight="1">
      <c r="A864" s="3" t="s">
        <v>66</v>
      </c>
      <c r="B864" s="3" t="s">
        <v>65</v>
      </c>
      <c r="C864" s="4">
        <v>46113</v>
      </c>
      <c r="D864" s="4">
        <v>46142</v>
      </c>
      <c r="E864" s="3" t="s">
        <v>244</v>
      </c>
      <c r="F864" s="3" t="s">
        <v>247</v>
      </c>
      <c r="G864" s="5">
        <v>4.0000000000000001E-3</v>
      </c>
      <c r="H864" s="6" t="s">
        <v>72</v>
      </c>
      <c r="I864" s="3" t="s">
        <v>45</v>
      </c>
    </row>
    <row r="865" spans="1:9" ht="48" customHeight="1">
      <c r="A865" s="3" t="s">
        <v>66</v>
      </c>
      <c r="B865" s="3" t="s">
        <v>65</v>
      </c>
      <c r="C865" s="4">
        <v>46113</v>
      </c>
      <c r="D865" s="4">
        <v>46142</v>
      </c>
      <c r="E865" s="3" t="s">
        <v>244</v>
      </c>
      <c r="F865" s="3" t="s">
        <v>248</v>
      </c>
      <c r="G865" s="5">
        <v>3.0000000000000001E-3</v>
      </c>
      <c r="H865" s="6" t="s">
        <v>72</v>
      </c>
      <c r="I865" s="3" t="s">
        <v>45</v>
      </c>
    </row>
    <row r="866" spans="1:9" ht="48" customHeight="1">
      <c r="A866" s="3" t="s">
        <v>66</v>
      </c>
      <c r="B866" s="3" t="s">
        <v>65</v>
      </c>
      <c r="C866" s="4">
        <v>46113</v>
      </c>
      <c r="D866" s="4">
        <v>46142</v>
      </c>
      <c r="E866" s="3" t="s">
        <v>244</v>
      </c>
      <c r="F866" s="3" t="s">
        <v>250</v>
      </c>
      <c r="G866" s="5">
        <v>1E-3</v>
      </c>
      <c r="H866" s="6" t="s">
        <v>72</v>
      </c>
      <c r="I866" s="3" t="s">
        <v>45</v>
      </c>
    </row>
    <row r="867" spans="1:9" ht="48" customHeight="1">
      <c r="A867" s="3" t="s">
        <v>66</v>
      </c>
      <c r="B867" s="3" t="s">
        <v>65</v>
      </c>
      <c r="C867" s="4">
        <v>46113</v>
      </c>
      <c r="D867" s="4">
        <v>46142</v>
      </c>
      <c r="E867" s="3" t="s">
        <v>244</v>
      </c>
      <c r="F867" s="3" t="s">
        <v>252</v>
      </c>
      <c r="G867" s="5">
        <v>1E-3</v>
      </c>
      <c r="H867" s="6" t="s">
        <v>72</v>
      </c>
      <c r="I867" s="3" t="s">
        <v>45</v>
      </c>
    </row>
    <row r="868" spans="1:9" ht="48" customHeight="1">
      <c r="A868" s="3" t="s">
        <v>66</v>
      </c>
      <c r="B868" s="3" t="s">
        <v>65</v>
      </c>
      <c r="C868" s="4">
        <v>46113</v>
      </c>
      <c r="D868" s="4">
        <v>46142</v>
      </c>
      <c r="E868" s="3" t="s">
        <v>244</v>
      </c>
      <c r="F868" s="3" t="s">
        <v>249</v>
      </c>
      <c r="G868" s="5">
        <v>1E-3</v>
      </c>
      <c r="H868" s="6" t="s">
        <v>72</v>
      </c>
      <c r="I868" s="3" t="s">
        <v>45</v>
      </c>
    </row>
    <row r="869" spans="1:9" ht="48" customHeight="1">
      <c r="A869" s="3" t="s">
        <v>66</v>
      </c>
      <c r="B869" s="3" t="s">
        <v>65</v>
      </c>
      <c r="C869" s="4">
        <v>46113</v>
      </c>
      <c r="D869" s="4">
        <v>46142</v>
      </c>
      <c r="E869" s="3" t="s">
        <v>244</v>
      </c>
      <c r="F869" s="3" t="s">
        <v>253</v>
      </c>
      <c r="G869" s="5">
        <v>1E-3</v>
      </c>
      <c r="H869" s="6" t="s">
        <v>72</v>
      </c>
      <c r="I869" s="3" t="s">
        <v>45</v>
      </c>
    </row>
    <row r="870" spans="1:9" ht="48" customHeight="1">
      <c r="A870" s="3" t="s">
        <v>66</v>
      </c>
      <c r="B870" s="3" t="s">
        <v>65</v>
      </c>
      <c r="C870" s="4">
        <v>46113</v>
      </c>
      <c r="D870" s="4">
        <v>46142</v>
      </c>
      <c r="E870" s="3" t="s">
        <v>244</v>
      </c>
      <c r="F870" s="3" t="s">
        <v>254</v>
      </c>
      <c r="G870" s="5">
        <v>1E-3</v>
      </c>
      <c r="H870" s="6" t="s">
        <v>72</v>
      </c>
      <c r="I870" s="3" t="s">
        <v>45</v>
      </c>
    </row>
    <row r="871" spans="1:9" ht="48" customHeight="1">
      <c r="A871" s="3" t="s">
        <v>66</v>
      </c>
      <c r="B871" s="3" t="s">
        <v>65</v>
      </c>
      <c r="C871" s="4">
        <v>46113</v>
      </c>
      <c r="D871" s="4">
        <v>46142</v>
      </c>
      <c r="E871" s="3" t="s">
        <v>244</v>
      </c>
      <c r="F871" s="3" t="s">
        <v>251</v>
      </c>
      <c r="G871" s="5">
        <v>0</v>
      </c>
      <c r="H871" s="6" t="s">
        <v>72</v>
      </c>
      <c r="I871" s="3" t="s">
        <v>45</v>
      </c>
    </row>
    <row r="872" spans="1:9" ht="48" customHeight="1">
      <c r="A872" s="3" t="s">
        <v>66</v>
      </c>
      <c r="B872" s="3" t="s">
        <v>65</v>
      </c>
      <c r="C872" s="4">
        <v>46113</v>
      </c>
      <c r="D872" s="4">
        <v>46142</v>
      </c>
      <c r="E872" s="3" t="s">
        <v>244</v>
      </c>
      <c r="F872" s="3" t="s">
        <v>255</v>
      </c>
      <c r="G872" s="5">
        <v>0</v>
      </c>
      <c r="H872" s="6" t="s">
        <v>72</v>
      </c>
      <c r="I872" s="3" t="s">
        <v>45</v>
      </c>
    </row>
    <row r="873" spans="1:9" ht="48" customHeight="1">
      <c r="A873" s="3" t="s">
        <v>66</v>
      </c>
      <c r="B873" s="3" t="s">
        <v>65</v>
      </c>
      <c r="C873" s="4">
        <v>46113</v>
      </c>
      <c r="D873" s="4">
        <v>46142</v>
      </c>
      <c r="E873" s="3" t="s">
        <v>244</v>
      </c>
      <c r="F873" s="3" t="s">
        <v>256</v>
      </c>
      <c r="G873" s="5">
        <v>0</v>
      </c>
      <c r="H873" s="6" t="s">
        <v>72</v>
      </c>
      <c r="I873" s="3" t="s">
        <v>45</v>
      </c>
    </row>
    <row r="874" spans="1:9" ht="48" customHeight="1">
      <c r="A874" s="3" t="s">
        <v>66</v>
      </c>
      <c r="B874" s="3" t="s">
        <v>65</v>
      </c>
      <c r="C874" s="4">
        <v>46113</v>
      </c>
      <c r="D874" s="4">
        <v>46142</v>
      </c>
      <c r="E874" s="3" t="s">
        <v>244</v>
      </c>
      <c r="F874" s="3" t="s">
        <v>257</v>
      </c>
      <c r="G874" s="5">
        <v>0</v>
      </c>
      <c r="H874" s="6" t="s">
        <v>72</v>
      </c>
      <c r="I874" s="3" t="s">
        <v>45</v>
      </c>
    </row>
    <row r="875" spans="1:9" ht="48" customHeight="1">
      <c r="A875" s="3" t="s">
        <v>66</v>
      </c>
      <c r="B875" s="3" t="s">
        <v>65</v>
      </c>
      <c r="C875" s="4">
        <v>46113</v>
      </c>
      <c r="D875" s="4">
        <v>46142</v>
      </c>
      <c r="E875" s="3" t="s">
        <v>244</v>
      </c>
      <c r="F875" s="3" t="s">
        <v>258</v>
      </c>
      <c r="G875" s="5">
        <v>0</v>
      </c>
      <c r="H875" s="6" t="s">
        <v>72</v>
      </c>
      <c r="I875" s="3" t="s">
        <v>45</v>
      </c>
    </row>
    <row r="876" spans="1:9" ht="48" customHeight="1">
      <c r="A876" s="3" t="s">
        <v>66</v>
      </c>
      <c r="B876" s="3" t="s">
        <v>65</v>
      </c>
      <c r="C876" s="4">
        <v>46113</v>
      </c>
      <c r="D876" s="4">
        <v>46142</v>
      </c>
      <c r="E876" s="3" t="s">
        <v>244</v>
      </c>
      <c r="F876" s="3" t="s">
        <v>259</v>
      </c>
      <c r="G876" s="5">
        <v>0</v>
      </c>
      <c r="H876" s="6" t="s">
        <v>72</v>
      </c>
      <c r="I876" s="3" t="s">
        <v>45</v>
      </c>
    </row>
    <row r="877" spans="1:9" ht="48" customHeight="1">
      <c r="A877" s="3" t="s">
        <v>66</v>
      </c>
      <c r="B877" s="3" t="s">
        <v>65</v>
      </c>
      <c r="C877" s="4">
        <v>46113</v>
      </c>
      <c r="D877" s="4">
        <v>46142</v>
      </c>
      <c r="E877" s="3" t="s">
        <v>286</v>
      </c>
      <c r="F877" s="3" t="s">
        <v>287</v>
      </c>
      <c r="G877" s="5">
        <v>6.0000000000000001E-3</v>
      </c>
      <c r="H877" s="6" t="s">
        <v>72</v>
      </c>
      <c r="I877" s="3" t="s">
        <v>45</v>
      </c>
    </row>
    <row r="878" spans="1:9" ht="48" customHeight="1">
      <c r="A878" s="3" t="s">
        <v>66</v>
      </c>
      <c r="B878" s="3" t="s">
        <v>65</v>
      </c>
      <c r="C878" s="4">
        <v>46113</v>
      </c>
      <c r="D878" s="4">
        <v>46142</v>
      </c>
      <c r="E878" s="3" t="s">
        <v>286</v>
      </c>
      <c r="F878" s="3" t="s">
        <v>290</v>
      </c>
      <c r="G878" s="5">
        <v>3.0000000000000001E-3</v>
      </c>
      <c r="H878" s="6" t="s">
        <v>72</v>
      </c>
      <c r="I878" s="3" t="s">
        <v>45</v>
      </c>
    </row>
    <row r="879" spans="1:9" ht="48" customHeight="1">
      <c r="A879" s="3" t="s">
        <v>66</v>
      </c>
      <c r="B879" s="3" t="s">
        <v>65</v>
      </c>
      <c r="C879" s="4">
        <v>46113</v>
      </c>
      <c r="D879" s="4">
        <v>46142</v>
      </c>
      <c r="E879" s="3" t="s">
        <v>286</v>
      </c>
      <c r="F879" s="3" t="s">
        <v>288</v>
      </c>
      <c r="G879" s="5">
        <v>3.0000000000000001E-3</v>
      </c>
      <c r="H879" s="6" t="s">
        <v>72</v>
      </c>
      <c r="I879" s="3" t="s">
        <v>45</v>
      </c>
    </row>
    <row r="880" spans="1:9" ht="48" customHeight="1">
      <c r="A880" s="3" t="s">
        <v>66</v>
      </c>
      <c r="B880" s="3" t="s">
        <v>65</v>
      </c>
      <c r="C880" s="4">
        <v>46113</v>
      </c>
      <c r="D880" s="4">
        <v>46142</v>
      </c>
      <c r="E880" s="3" t="s">
        <v>286</v>
      </c>
      <c r="F880" s="3" t="s">
        <v>289</v>
      </c>
      <c r="G880" s="5">
        <v>3.0000000000000001E-3</v>
      </c>
      <c r="H880" s="6" t="s">
        <v>72</v>
      </c>
      <c r="I880" s="3" t="s">
        <v>45</v>
      </c>
    </row>
    <row r="881" spans="1:9" ht="48" customHeight="1">
      <c r="A881" s="3" t="s">
        <v>66</v>
      </c>
      <c r="B881" s="3" t="s">
        <v>65</v>
      </c>
      <c r="C881" s="4">
        <v>46113</v>
      </c>
      <c r="D881" s="4">
        <v>46142</v>
      </c>
      <c r="E881" s="3" t="s">
        <v>286</v>
      </c>
      <c r="F881" s="3" t="s">
        <v>291</v>
      </c>
      <c r="G881" s="5">
        <v>2E-3</v>
      </c>
      <c r="H881" s="6" t="s">
        <v>72</v>
      </c>
      <c r="I881" s="3" t="s">
        <v>45</v>
      </c>
    </row>
    <row r="882" spans="1:9" ht="48" customHeight="1">
      <c r="A882" s="3" t="s">
        <v>66</v>
      </c>
      <c r="B882" s="3" t="s">
        <v>65</v>
      </c>
      <c r="C882" s="4">
        <v>46113</v>
      </c>
      <c r="D882" s="4">
        <v>46142</v>
      </c>
      <c r="E882" s="3" t="s">
        <v>286</v>
      </c>
      <c r="F882" s="3" t="s">
        <v>297</v>
      </c>
      <c r="G882" s="5">
        <v>2E-3</v>
      </c>
      <c r="H882" s="6" t="s">
        <v>72</v>
      </c>
      <c r="I882" s="3" t="s">
        <v>45</v>
      </c>
    </row>
    <row r="883" spans="1:9" ht="48" customHeight="1">
      <c r="A883" s="3" t="s">
        <v>66</v>
      </c>
      <c r="B883" s="3" t="s">
        <v>65</v>
      </c>
      <c r="C883" s="4">
        <v>46113</v>
      </c>
      <c r="D883" s="4">
        <v>46142</v>
      </c>
      <c r="E883" s="3" t="s">
        <v>286</v>
      </c>
      <c r="F883" s="3" t="s">
        <v>292</v>
      </c>
      <c r="G883" s="5">
        <v>2E-3</v>
      </c>
      <c r="H883" s="6" t="s">
        <v>72</v>
      </c>
      <c r="I883" s="3" t="s">
        <v>45</v>
      </c>
    </row>
    <row r="884" spans="1:9" ht="48" customHeight="1">
      <c r="A884" s="3" t="s">
        <v>66</v>
      </c>
      <c r="B884" s="3" t="s">
        <v>65</v>
      </c>
      <c r="C884" s="4">
        <v>46113</v>
      </c>
      <c r="D884" s="4">
        <v>46142</v>
      </c>
      <c r="E884" s="3" t="s">
        <v>286</v>
      </c>
      <c r="F884" s="3" t="s">
        <v>293</v>
      </c>
      <c r="G884" s="5">
        <v>1E-3</v>
      </c>
      <c r="H884" s="6" t="s">
        <v>72</v>
      </c>
      <c r="I884" s="3" t="s">
        <v>45</v>
      </c>
    </row>
    <row r="885" spans="1:9" ht="48" customHeight="1">
      <c r="A885" s="3" t="s">
        <v>66</v>
      </c>
      <c r="B885" s="3" t="s">
        <v>65</v>
      </c>
      <c r="C885" s="4">
        <v>46113</v>
      </c>
      <c r="D885" s="4">
        <v>46142</v>
      </c>
      <c r="E885" s="3" t="s">
        <v>286</v>
      </c>
      <c r="F885" s="3" t="s">
        <v>294</v>
      </c>
      <c r="G885" s="5">
        <v>1E-3</v>
      </c>
      <c r="H885" s="6" t="s">
        <v>72</v>
      </c>
      <c r="I885" s="3" t="s">
        <v>45</v>
      </c>
    </row>
    <row r="886" spans="1:9" ht="48" customHeight="1">
      <c r="A886" s="3" t="s">
        <v>66</v>
      </c>
      <c r="B886" s="3" t="s">
        <v>65</v>
      </c>
      <c r="C886" s="4">
        <v>46113</v>
      </c>
      <c r="D886" s="4">
        <v>46142</v>
      </c>
      <c r="E886" s="3" t="s">
        <v>286</v>
      </c>
      <c r="F886" s="3" t="s">
        <v>295</v>
      </c>
      <c r="G886" s="5">
        <v>1E-3</v>
      </c>
      <c r="H886" s="6" t="s">
        <v>72</v>
      </c>
      <c r="I886" s="3" t="s">
        <v>45</v>
      </c>
    </row>
    <row r="887" spans="1:9" ht="48" customHeight="1">
      <c r="A887" s="3" t="s">
        <v>66</v>
      </c>
      <c r="B887" s="3" t="s">
        <v>65</v>
      </c>
      <c r="C887" s="4">
        <v>46113</v>
      </c>
      <c r="D887" s="4">
        <v>46142</v>
      </c>
      <c r="E887" s="3" t="s">
        <v>286</v>
      </c>
      <c r="F887" s="3" t="s">
        <v>296</v>
      </c>
      <c r="G887" s="5">
        <v>1E-3</v>
      </c>
      <c r="H887" s="6" t="s">
        <v>72</v>
      </c>
      <c r="I887" s="3" t="s">
        <v>45</v>
      </c>
    </row>
    <row r="888" spans="1:9" ht="48" customHeight="1">
      <c r="A888" s="3" t="s">
        <v>66</v>
      </c>
      <c r="B888" s="3" t="s">
        <v>65</v>
      </c>
      <c r="C888" s="4">
        <v>46113</v>
      </c>
      <c r="D888" s="4">
        <v>46142</v>
      </c>
      <c r="E888" s="3" t="s">
        <v>286</v>
      </c>
      <c r="F888" s="3" t="s">
        <v>298</v>
      </c>
      <c r="G888" s="5">
        <v>1E-3</v>
      </c>
      <c r="H888" s="6" t="s">
        <v>72</v>
      </c>
      <c r="I888" s="3" t="s">
        <v>45</v>
      </c>
    </row>
    <row r="889" spans="1:9" ht="48" customHeight="1">
      <c r="A889" s="3" t="s">
        <v>66</v>
      </c>
      <c r="B889" s="3" t="s">
        <v>65</v>
      </c>
      <c r="C889" s="4">
        <v>46113</v>
      </c>
      <c r="D889" s="4">
        <v>46142</v>
      </c>
      <c r="E889" s="3" t="s">
        <v>286</v>
      </c>
      <c r="F889" s="3" t="s">
        <v>299</v>
      </c>
      <c r="G889" s="5">
        <v>0</v>
      </c>
      <c r="H889" s="6" t="s">
        <v>72</v>
      </c>
      <c r="I889" s="3" t="s">
        <v>45</v>
      </c>
    </row>
    <row r="890" spans="1:9" ht="48" customHeight="1">
      <c r="A890" s="3" t="s">
        <v>66</v>
      </c>
      <c r="B890" s="3" t="s">
        <v>65</v>
      </c>
      <c r="C890" s="4">
        <v>46113</v>
      </c>
      <c r="D890" s="4">
        <v>46142</v>
      </c>
      <c r="E890" s="3" t="s">
        <v>286</v>
      </c>
      <c r="F890" s="3" t="s">
        <v>300</v>
      </c>
      <c r="G890" s="5">
        <v>0</v>
      </c>
      <c r="H890" s="6" t="s">
        <v>72</v>
      </c>
      <c r="I890" s="3" t="s">
        <v>45</v>
      </c>
    </row>
    <row r="891" spans="1:9" ht="48" customHeight="1">
      <c r="A891" s="3" t="s">
        <v>66</v>
      </c>
      <c r="B891" s="3" t="s">
        <v>65</v>
      </c>
      <c r="C891" s="4">
        <v>46113</v>
      </c>
      <c r="D891" s="4">
        <v>46142</v>
      </c>
      <c r="E891" s="3" t="s">
        <v>260</v>
      </c>
      <c r="F891" s="3" t="s">
        <v>262</v>
      </c>
      <c r="G891" s="5">
        <v>3.0000000000000001E-3</v>
      </c>
      <c r="H891" s="6" t="s">
        <v>72</v>
      </c>
      <c r="I891" s="3" t="s">
        <v>45</v>
      </c>
    </row>
    <row r="892" spans="1:9" ht="48" customHeight="1">
      <c r="A892" s="3" t="s">
        <v>66</v>
      </c>
      <c r="B892" s="3" t="s">
        <v>65</v>
      </c>
      <c r="C892" s="4">
        <v>46113</v>
      </c>
      <c r="D892" s="4">
        <v>46142</v>
      </c>
      <c r="E892" s="3" t="s">
        <v>260</v>
      </c>
      <c r="F892" s="3" t="s">
        <v>261</v>
      </c>
      <c r="G892" s="5">
        <v>3.0000000000000001E-3</v>
      </c>
      <c r="H892" s="6" t="s">
        <v>72</v>
      </c>
      <c r="I892" s="3" t="s">
        <v>45</v>
      </c>
    </row>
    <row r="893" spans="1:9" ht="48" customHeight="1">
      <c r="A893" s="3" t="s">
        <v>66</v>
      </c>
      <c r="B893" s="3" t="s">
        <v>65</v>
      </c>
      <c r="C893" s="4">
        <v>46113</v>
      </c>
      <c r="D893" s="4">
        <v>46142</v>
      </c>
      <c r="E893" s="3" t="s">
        <v>260</v>
      </c>
      <c r="F893" s="3" t="s">
        <v>232</v>
      </c>
      <c r="G893" s="5">
        <v>2E-3</v>
      </c>
      <c r="H893" s="6" t="s">
        <v>72</v>
      </c>
      <c r="I893" s="3" t="s">
        <v>45</v>
      </c>
    </row>
    <row r="894" spans="1:9" ht="48" customHeight="1">
      <c r="A894" s="3" t="s">
        <v>66</v>
      </c>
      <c r="B894" s="3" t="s">
        <v>65</v>
      </c>
      <c r="C894" s="4">
        <v>46113</v>
      </c>
      <c r="D894" s="4">
        <v>46142</v>
      </c>
      <c r="E894" s="3" t="s">
        <v>260</v>
      </c>
      <c r="F894" s="3" t="s">
        <v>263</v>
      </c>
      <c r="G894" s="5">
        <v>2E-3</v>
      </c>
      <c r="H894" s="6" t="s">
        <v>72</v>
      </c>
      <c r="I894" s="3" t="s">
        <v>45</v>
      </c>
    </row>
    <row r="895" spans="1:9" ht="48" customHeight="1">
      <c r="A895" s="3" t="s">
        <v>66</v>
      </c>
      <c r="B895" s="3" t="s">
        <v>65</v>
      </c>
      <c r="C895" s="4">
        <v>46113</v>
      </c>
      <c r="D895" s="4">
        <v>46142</v>
      </c>
      <c r="E895" s="3" t="s">
        <v>260</v>
      </c>
      <c r="F895" s="3" t="s">
        <v>234</v>
      </c>
      <c r="G895" s="5">
        <v>1E-3</v>
      </c>
      <c r="H895" s="6" t="s">
        <v>72</v>
      </c>
      <c r="I895" s="3" t="s">
        <v>45</v>
      </c>
    </row>
    <row r="896" spans="1:9" ht="48" customHeight="1">
      <c r="A896" s="3" t="s">
        <v>66</v>
      </c>
      <c r="B896" s="3" t="s">
        <v>65</v>
      </c>
      <c r="C896" s="4">
        <v>46113</v>
      </c>
      <c r="D896" s="4">
        <v>46142</v>
      </c>
      <c r="E896" s="3" t="s">
        <v>260</v>
      </c>
      <c r="F896" s="3" t="s">
        <v>265</v>
      </c>
      <c r="G896" s="5">
        <v>1E-3</v>
      </c>
      <c r="H896" s="6" t="s">
        <v>72</v>
      </c>
      <c r="I896" s="3" t="s">
        <v>45</v>
      </c>
    </row>
    <row r="897" spans="1:9" ht="48" customHeight="1">
      <c r="A897" s="3" t="s">
        <v>66</v>
      </c>
      <c r="B897" s="3" t="s">
        <v>65</v>
      </c>
      <c r="C897" s="4">
        <v>46113</v>
      </c>
      <c r="D897" s="4">
        <v>46142</v>
      </c>
      <c r="E897" s="3" t="s">
        <v>260</v>
      </c>
      <c r="F897" s="3" t="s">
        <v>266</v>
      </c>
      <c r="G897" s="5">
        <v>1E-3</v>
      </c>
      <c r="H897" s="6" t="s">
        <v>72</v>
      </c>
      <c r="I897" s="3" t="s">
        <v>45</v>
      </c>
    </row>
    <row r="898" spans="1:9" ht="48" customHeight="1">
      <c r="A898" s="3" t="s">
        <v>66</v>
      </c>
      <c r="B898" s="3" t="s">
        <v>65</v>
      </c>
      <c r="C898" s="4">
        <v>46113</v>
      </c>
      <c r="D898" s="4">
        <v>46142</v>
      </c>
      <c r="E898" s="3" t="s">
        <v>260</v>
      </c>
      <c r="F898" s="3" t="s">
        <v>264</v>
      </c>
      <c r="G898" s="5">
        <v>1E-3</v>
      </c>
      <c r="H898" s="6" t="s">
        <v>72</v>
      </c>
      <c r="I898" s="3" t="s">
        <v>45</v>
      </c>
    </row>
    <row r="899" spans="1:9" ht="48" customHeight="1">
      <c r="A899" s="3" t="s">
        <v>66</v>
      </c>
      <c r="B899" s="3" t="s">
        <v>65</v>
      </c>
      <c r="C899" s="4">
        <v>46113</v>
      </c>
      <c r="D899" s="4">
        <v>46142</v>
      </c>
      <c r="E899" s="3" t="s">
        <v>260</v>
      </c>
      <c r="F899" s="3" t="s">
        <v>267</v>
      </c>
      <c r="G899" s="5">
        <v>1E-3</v>
      </c>
      <c r="H899" s="6" t="s">
        <v>72</v>
      </c>
      <c r="I899" s="3" t="s">
        <v>45</v>
      </c>
    </row>
    <row r="900" spans="1:9" ht="48" customHeight="1">
      <c r="A900" s="3" t="s">
        <v>66</v>
      </c>
      <c r="B900" s="3" t="s">
        <v>65</v>
      </c>
      <c r="C900" s="4">
        <v>46113</v>
      </c>
      <c r="D900" s="4">
        <v>46142</v>
      </c>
      <c r="E900" s="3" t="s">
        <v>260</v>
      </c>
      <c r="F900" s="3" t="s">
        <v>268</v>
      </c>
      <c r="G900" s="5">
        <v>1E-3</v>
      </c>
      <c r="H900" s="6" t="s">
        <v>72</v>
      </c>
      <c r="I900" s="3" t="s">
        <v>45</v>
      </c>
    </row>
    <row r="901" spans="1:9" ht="48" customHeight="1">
      <c r="A901" s="3" t="s">
        <v>66</v>
      </c>
      <c r="B901" s="3" t="s">
        <v>65</v>
      </c>
      <c r="C901" s="4">
        <v>46113</v>
      </c>
      <c r="D901" s="4">
        <v>46142</v>
      </c>
      <c r="E901" s="3" t="s">
        <v>260</v>
      </c>
      <c r="F901" s="3" t="s">
        <v>270</v>
      </c>
      <c r="G901" s="5">
        <v>1E-3</v>
      </c>
      <c r="H901" s="6" t="s">
        <v>72</v>
      </c>
      <c r="I901" s="3" t="s">
        <v>45</v>
      </c>
    </row>
    <row r="902" spans="1:9" ht="48" customHeight="1">
      <c r="A902" s="3" t="s">
        <v>66</v>
      </c>
      <c r="B902" s="3" t="s">
        <v>65</v>
      </c>
      <c r="C902" s="4">
        <v>46113</v>
      </c>
      <c r="D902" s="4">
        <v>46142</v>
      </c>
      <c r="E902" s="3" t="s">
        <v>260</v>
      </c>
      <c r="F902" s="3" t="s">
        <v>280</v>
      </c>
      <c r="G902" s="5">
        <v>1E-3</v>
      </c>
      <c r="H902" s="6" t="s">
        <v>72</v>
      </c>
      <c r="I902" s="3" t="s">
        <v>45</v>
      </c>
    </row>
    <row r="903" spans="1:9" ht="48" customHeight="1">
      <c r="A903" s="3" t="s">
        <v>66</v>
      </c>
      <c r="B903" s="3" t="s">
        <v>65</v>
      </c>
      <c r="C903" s="4">
        <v>46113</v>
      </c>
      <c r="D903" s="4">
        <v>46142</v>
      </c>
      <c r="E903" s="3" t="s">
        <v>260</v>
      </c>
      <c r="F903" s="3" t="s">
        <v>271</v>
      </c>
      <c r="G903" s="5">
        <v>1E-3</v>
      </c>
      <c r="H903" s="6" t="s">
        <v>72</v>
      </c>
      <c r="I903" s="3" t="s">
        <v>45</v>
      </c>
    </row>
    <row r="904" spans="1:9" ht="48" customHeight="1">
      <c r="A904" s="3" t="s">
        <v>66</v>
      </c>
      <c r="B904" s="3" t="s">
        <v>65</v>
      </c>
      <c r="C904" s="4">
        <v>46113</v>
      </c>
      <c r="D904" s="4">
        <v>46142</v>
      </c>
      <c r="E904" s="3" t="s">
        <v>260</v>
      </c>
      <c r="F904" s="3" t="s">
        <v>272</v>
      </c>
      <c r="G904" s="5">
        <v>1E-3</v>
      </c>
      <c r="H904" s="6" t="s">
        <v>72</v>
      </c>
      <c r="I904" s="3" t="s">
        <v>45</v>
      </c>
    </row>
    <row r="905" spans="1:9" ht="48" customHeight="1">
      <c r="A905" s="3" t="s">
        <v>66</v>
      </c>
      <c r="B905" s="3" t="s">
        <v>65</v>
      </c>
      <c r="C905" s="4">
        <v>46113</v>
      </c>
      <c r="D905" s="4">
        <v>46142</v>
      </c>
      <c r="E905" s="3" t="s">
        <v>260</v>
      </c>
      <c r="F905" s="3" t="s">
        <v>273</v>
      </c>
      <c r="G905" s="5">
        <v>0</v>
      </c>
      <c r="H905" s="6" t="s">
        <v>72</v>
      </c>
      <c r="I905" s="3" t="s">
        <v>45</v>
      </c>
    </row>
    <row r="906" spans="1:9" ht="48" customHeight="1">
      <c r="A906" s="3" t="s">
        <v>66</v>
      </c>
      <c r="B906" s="3" t="s">
        <v>65</v>
      </c>
      <c r="C906" s="4">
        <v>46113</v>
      </c>
      <c r="D906" s="4">
        <v>46142</v>
      </c>
      <c r="E906" s="3" t="s">
        <v>260</v>
      </c>
      <c r="F906" s="3" t="s">
        <v>274</v>
      </c>
      <c r="G906" s="5">
        <v>0</v>
      </c>
      <c r="H906" s="6" t="s">
        <v>72</v>
      </c>
      <c r="I906" s="3" t="s">
        <v>45</v>
      </c>
    </row>
    <row r="907" spans="1:9" ht="48" customHeight="1">
      <c r="A907" s="3" t="s">
        <v>66</v>
      </c>
      <c r="B907" s="3" t="s">
        <v>65</v>
      </c>
      <c r="C907" s="4">
        <v>46113</v>
      </c>
      <c r="D907" s="4">
        <v>46142</v>
      </c>
      <c r="E907" s="3" t="s">
        <v>260</v>
      </c>
      <c r="F907" s="3" t="s">
        <v>275</v>
      </c>
      <c r="G907" s="5">
        <v>0</v>
      </c>
      <c r="H907" s="6" t="s">
        <v>72</v>
      </c>
      <c r="I907" s="3" t="s">
        <v>45</v>
      </c>
    </row>
    <row r="908" spans="1:9" ht="48" customHeight="1">
      <c r="A908" s="3" t="s">
        <v>66</v>
      </c>
      <c r="B908" s="3" t="s">
        <v>65</v>
      </c>
      <c r="C908" s="4">
        <v>46113</v>
      </c>
      <c r="D908" s="4">
        <v>46142</v>
      </c>
      <c r="E908" s="3" t="s">
        <v>260</v>
      </c>
      <c r="F908" s="3" t="s">
        <v>276</v>
      </c>
      <c r="G908" s="5">
        <v>0</v>
      </c>
      <c r="H908" s="6" t="s">
        <v>72</v>
      </c>
      <c r="I908" s="3" t="s">
        <v>45</v>
      </c>
    </row>
    <row r="909" spans="1:9" ht="48" customHeight="1">
      <c r="A909" s="3" t="s">
        <v>66</v>
      </c>
      <c r="B909" s="3" t="s">
        <v>65</v>
      </c>
      <c r="C909" s="4">
        <v>46113</v>
      </c>
      <c r="D909" s="4">
        <v>46142</v>
      </c>
      <c r="E909" s="3" t="s">
        <v>260</v>
      </c>
      <c r="F909" s="3" t="s">
        <v>277</v>
      </c>
      <c r="G909" s="5">
        <v>0</v>
      </c>
      <c r="H909" s="6" t="s">
        <v>72</v>
      </c>
      <c r="I909" s="3" t="s">
        <v>45</v>
      </c>
    </row>
    <row r="910" spans="1:9" ht="48" customHeight="1">
      <c r="A910" s="3" t="s">
        <v>66</v>
      </c>
      <c r="B910" s="3" t="s">
        <v>65</v>
      </c>
      <c r="C910" s="4">
        <v>46113</v>
      </c>
      <c r="D910" s="4">
        <v>46142</v>
      </c>
      <c r="E910" s="3" t="s">
        <v>260</v>
      </c>
      <c r="F910" s="3" t="s">
        <v>278</v>
      </c>
      <c r="G910" s="5">
        <v>0</v>
      </c>
      <c r="H910" s="6" t="s">
        <v>72</v>
      </c>
      <c r="I910" s="3" t="s">
        <v>45</v>
      </c>
    </row>
    <row r="911" spans="1:9" ht="48" customHeight="1">
      <c r="A911" s="3" t="s">
        <v>66</v>
      </c>
      <c r="B911" s="3" t="s">
        <v>65</v>
      </c>
      <c r="C911" s="4">
        <v>46113</v>
      </c>
      <c r="D911" s="4">
        <v>46142</v>
      </c>
      <c r="E911" s="3" t="s">
        <v>260</v>
      </c>
      <c r="F911" s="3" t="s">
        <v>269</v>
      </c>
      <c r="G911" s="5">
        <v>0</v>
      </c>
      <c r="H911" s="6" t="s">
        <v>72</v>
      </c>
      <c r="I911" s="3" t="s">
        <v>45</v>
      </c>
    </row>
    <row r="912" spans="1:9" ht="48" customHeight="1">
      <c r="A912" s="3" t="s">
        <v>66</v>
      </c>
      <c r="B912" s="3" t="s">
        <v>65</v>
      </c>
      <c r="C912" s="4">
        <v>46113</v>
      </c>
      <c r="D912" s="4">
        <v>46142</v>
      </c>
      <c r="E912" s="3" t="s">
        <v>260</v>
      </c>
      <c r="F912" s="3" t="s">
        <v>279</v>
      </c>
      <c r="G912" s="5">
        <v>0</v>
      </c>
      <c r="H912" s="6" t="s">
        <v>72</v>
      </c>
      <c r="I912" s="3" t="s">
        <v>45</v>
      </c>
    </row>
    <row r="913" spans="1:9" ht="48" customHeight="1">
      <c r="A913" s="3" t="s">
        <v>66</v>
      </c>
      <c r="B913" s="3" t="s">
        <v>65</v>
      </c>
      <c r="C913" s="4">
        <v>46113</v>
      </c>
      <c r="D913" s="4">
        <v>46142</v>
      </c>
      <c r="E913" s="3" t="s">
        <v>260</v>
      </c>
      <c r="F913" s="3" t="s">
        <v>281</v>
      </c>
      <c r="G913" s="5">
        <v>0</v>
      </c>
      <c r="H913" s="6" t="s">
        <v>72</v>
      </c>
      <c r="I913" s="3" t="s">
        <v>45</v>
      </c>
    </row>
    <row r="914" spans="1:9" ht="48" customHeight="1">
      <c r="A914" s="3" t="s">
        <v>66</v>
      </c>
      <c r="B914" s="3" t="s">
        <v>65</v>
      </c>
      <c r="C914" s="4">
        <v>46113</v>
      </c>
      <c r="D914" s="4">
        <v>46142</v>
      </c>
      <c r="E914" s="3" t="s">
        <v>260</v>
      </c>
      <c r="F914" s="3" t="s">
        <v>282</v>
      </c>
      <c r="G914" s="5">
        <v>0</v>
      </c>
      <c r="H914" s="6" t="s">
        <v>72</v>
      </c>
      <c r="I914" s="3" t="s">
        <v>45</v>
      </c>
    </row>
    <row r="915" spans="1:9" ht="48" customHeight="1">
      <c r="A915" s="3" t="s">
        <v>66</v>
      </c>
      <c r="B915" s="3" t="s">
        <v>65</v>
      </c>
      <c r="C915" s="4">
        <v>46113</v>
      </c>
      <c r="D915" s="4">
        <v>46142</v>
      </c>
      <c r="E915" s="3" t="s">
        <v>260</v>
      </c>
      <c r="F915" s="3" t="s">
        <v>283</v>
      </c>
      <c r="G915" s="5">
        <v>0</v>
      </c>
      <c r="H915" s="6" t="s">
        <v>72</v>
      </c>
      <c r="I915" s="3" t="s">
        <v>45</v>
      </c>
    </row>
    <row r="916" spans="1:9" ht="48" customHeight="1">
      <c r="A916" s="3" t="s">
        <v>66</v>
      </c>
      <c r="B916" s="3" t="s">
        <v>65</v>
      </c>
      <c r="C916" s="4">
        <v>46113</v>
      </c>
      <c r="D916" s="4">
        <v>46142</v>
      </c>
      <c r="E916" s="3" t="s">
        <v>260</v>
      </c>
      <c r="F916" s="3" t="s">
        <v>284</v>
      </c>
      <c r="G916" s="5">
        <v>0</v>
      </c>
      <c r="H916" s="6" t="s">
        <v>72</v>
      </c>
      <c r="I916" s="3" t="s">
        <v>45</v>
      </c>
    </row>
    <row r="917" spans="1:9" ht="48" customHeight="1">
      <c r="A917" s="3" t="s">
        <v>66</v>
      </c>
      <c r="B917" s="3" t="s">
        <v>65</v>
      </c>
      <c r="C917" s="4">
        <v>46113</v>
      </c>
      <c r="D917" s="4">
        <v>46142</v>
      </c>
      <c r="E917" s="3" t="s">
        <v>260</v>
      </c>
      <c r="F917" s="3" t="s">
        <v>285</v>
      </c>
      <c r="G917" s="5">
        <v>0</v>
      </c>
      <c r="H917" s="6" t="s">
        <v>72</v>
      </c>
      <c r="I917" s="3" t="s">
        <v>45</v>
      </c>
    </row>
    <row r="918" spans="1:9" ht="48" customHeight="1">
      <c r="A918" s="3" t="s">
        <v>66</v>
      </c>
      <c r="B918" s="3" t="s">
        <v>65</v>
      </c>
      <c r="C918" s="4">
        <v>46113</v>
      </c>
      <c r="D918" s="4">
        <v>46142</v>
      </c>
      <c r="E918" s="3" t="s">
        <v>301</v>
      </c>
      <c r="F918" s="3" t="s">
        <v>301</v>
      </c>
      <c r="G918" s="5">
        <v>1.6E-2</v>
      </c>
      <c r="H918" s="6" t="s">
        <v>72</v>
      </c>
      <c r="I918" s="3" t="s">
        <v>45</v>
      </c>
    </row>
    <row r="919" spans="1:9" ht="48" customHeight="1">
      <c r="A919" s="3" t="s">
        <v>66</v>
      </c>
      <c r="B919" s="3" t="s">
        <v>65</v>
      </c>
      <c r="C919" s="4">
        <v>46113</v>
      </c>
      <c r="D919" s="4">
        <v>46142</v>
      </c>
      <c r="E919" s="3" t="s">
        <v>302</v>
      </c>
      <c r="F919" s="3" t="s">
        <v>304</v>
      </c>
      <c r="G919" s="5">
        <v>1E-3</v>
      </c>
      <c r="H919" s="6" t="s">
        <v>72</v>
      </c>
      <c r="I919" s="3" t="s">
        <v>45</v>
      </c>
    </row>
    <row r="920" spans="1:9" ht="48" customHeight="1">
      <c r="A920" s="3" t="s">
        <v>66</v>
      </c>
      <c r="B920" s="3" t="s">
        <v>65</v>
      </c>
      <c r="C920" s="4">
        <v>46113</v>
      </c>
      <c r="D920" s="4">
        <v>46142</v>
      </c>
      <c r="E920" s="3" t="s">
        <v>302</v>
      </c>
      <c r="F920" s="3" t="s">
        <v>311</v>
      </c>
      <c r="G920" s="5">
        <v>1E-3</v>
      </c>
      <c r="H920" s="6" t="s">
        <v>72</v>
      </c>
      <c r="I920" s="3" t="s">
        <v>45</v>
      </c>
    </row>
    <row r="921" spans="1:9" ht="48" customHeight="1">
      <c r="A921" s="3" t="s">
        <v>66</v>
      </c>
      <c r="B921" s="3" t="s">
        <v>65</v>
      </c>
      <c r="C921" s="4">
        <v>46113</v>
      </c>
      <c r="D921" s="4">
        <v>46142</v>
      </c>
      <c r="E921" s="3" t="s">
        <v>302</v>
      </c>
      <c r="F921" s="3" t="s">
        <v>306</v>
      </c>
      <c r="G921" s="5">
        <v>1E-3</v>
      </c>
      <c r="H921" s="6" t="s">
        <v>72</v>
      </c>
      <c r="I921" s="3" t="s">
        <v>45</v>
      </c>
    </row>
    <row r="922" spans="1:9" ht="48" customHeight="1">
      <c r="A922" s="3" t="s">
        <v>66</v>
      </c>
      <c r="B922" s="3" t="s">
        <v>65</v>
      </c>
      <c r="C922" s="4">
        <v>46113</v>
      </c>
      <c r="D922" s="4">
        <v>46142</v>
      </c>
      <c r="E922" s="3" t="s">
        <v>302</v>
      </c>
      <c r="F922" s="3" t="s">
        <v>307</v>
      </c>
      <c r="G922" s="5">
        <v>1E-3</v>
      </c>
      <c r="H922" s="6" t="s">
        <v>72</v>
      </c>
      <c r="I922" s="3" t="s">
        <v>45</v>
      </c>
    </row>
    <row r="923" spans="1:9" ht="48" customHeight="1">
      <c r="A923" s="3" t="s">
        <v>66</v>
      </c>
      <c r="B923" s="3" t="s">
        <v>65</v>
      </c>
      <c r="C923" s="4">
        <v>46113</v>
      </c>
      <c r="D923" s="4">
        <v>46142</v>
      </c>
      <c r="E923" s="3" t="s">
        <v>302</v>
      </c>
      <c r="F923" s="3" t="s">
        <v>308</v>
      </c>
      <c r="G923" s="5">
        <v>1E-3</v>
      </c>
      <c r="H923" s="6" t="s">
        <v>72</v>
      </c>
      <c r="I923" s="3" t="s">
        <v>45</v>
      </c>
    </row>
    <row r="924" spans="1:9" ht="48" customHeight="1">
      <c r="A924" s="3" t="s">
        <v>66</v>
      </c>
      <c r="B924" s="3" t="s">
        <v>65</v>
      </c>
      <c r="C924" s="4">
        <v>46113</v>
      </c>
      <c r="D924" s="4">
        <v>46142</v>
      </c>
      <c r="E924" s="3" t="s">
        <v>302</v>
      </c>
      <c r="F924" s="3" t="s">
        <v>309</v>
      </c>
      <c r="G924" s="5">
        <v>1E-3</v>
      </c>
      <c r="H924" s="6" t="s">
        <v>72</v>
      </c>
      <c r="I924" s="3" t="s">
        <v>45</v>
      </c>
    </row>
    <row r="925" spans="1:9" ht="48" customHeight="1">
      <c r="A925" s="3" t="s">
        <v>66</v>
      </c>
      <c r="B925" s="3" t="s">
        <v>65</v>
      </c>
      <c r="C925" s="4">
        <v>46113</v>
      </c>
      <c r="D925" s="4">
        <v>46142</v>
      </c>
      <c r="E925" s="3" t="s">
        <v>302</v>
      </c>
      <c r="F925" s="3" t="s">
        <v>303</v>
      </c>
      <c r="G925" s="5">
        <v>0</v>
      </c>
      <c r="H925" s="6" t="s">
        <v>72</v>
      </c>
      <c r="I925" s="3" t="s">
        <v>45</v>
      </c>
    </row>
    <row r="926" spans="1:9" ht="48" customHeight="1">
      <c r="A926" s="3" t="s">
        <v>66</v>
      </c>
      <c r="B926" s="3" t="s">
        <v>65</v>
      </c>
      <c r="C926" s="4">
        <v>46113</v>
      </c>
      <c r="D926" s="4">
        <v>46142</v>
      </c>
      <c r="E926" s="3" t="s">
        <v>302</v>
      </c>
      <c r="F926" s="3" t="s">
        <v>310</v>
      </c>
      <c r="G926" s="5">
        <v>0</v>
      </c>
      <c r="H926" s="6" t="s">
        <v>72</v>
      </c>
      <c r="I926" s="3" t="s">
        <v>45</v>
      </c>
    </row>
    <row r="927" spans="1:9" ht="48" customHeight="1">
      <c r="A927" s="3" t="s">
        <v>66</v>
      </c>
      <c r="B927" s="3" t="s">
        <v>65</v>
      </c>
      <c r="C927" s="4">
        <v>46113</v>
      </c>
      <c r="D927" s="4">
        <v>46142</v>
      </c>
      <c r="E927" s="3" t="s">
        <v>302</v>
      </c>
      <c r="F927" s="3" t="s">
        <v>305</v>
      </c>
      <c r="G927" s="5">
        <v>0</v>
      </c>
      <c r="H927" s="6" t="s">
        <v>72</v>
      </c>
      <c r="I927" s="3" t="s">
        <v>45</v>
      </c>
    </row>
    <row r="928" spans="1:9" ht="48" customHeight="1">
      <c r="A928" s="3" t="s">
        <v>66</v>
      </c>
      <c r="B928" s="3" t="s">
        <v>65</v>
      </c>
      <c r="C928" s="4">
        <v>46113</v>
      </c>
      <c r="D928" s="4">
        <v>46142</v>
      </c>
      <c r="E928" s="3" t="s">
        <v>302</v>
      </c>
      <c r="F928" s="3" t="s">
        <v>312</v>
      </c>
      <c r="G928" s="5">
        <v>0</v>
      </c>
      <c r="H928" s="6" t="s">
        <v>72</v>
      </c>
      <c r="I928" s="3" t="s">
        <v>45</v>
      </c>
    </row>
    <row r="929" spans="1:9" ht="48" customHeight="1">
      <c r="A929" s="3" t="s">
        <v>66</v>
      </c>
      <c r="B929" s="3" t="s">
        <v>65</v>
      </c>
      <c r="C929" s="4">
        <v>46113</v>
      </c>
      <c r="D929" s="4">
        <v>46142</v>
      </c>
      <c r="E929" s="3" t="s">
        <v>302</v>
      </c>
      <c r="F929" s="3" t="s">
        <v>313</v>
      </c>
      <c r="G929" s="5">
        <v>0</v>
      </c>
      <c r="H929" s="6" t="s">
        <v>72</v>
      </c>
      <c r="I929" s="3" t="s">
        <v>45</v>
      </c>
    </row>
    <row r="930" spans="1:9" ht="48" customHeight="1">
      <c r="A930" s="3" t="s">
        <v>66</v>
      </c>
      <c r="B930" s="3" t="s">
        <v>65</v>
      </c>
      <c r="C930" s="4">
        <v>46113</v>
      </c>
      <c r="D930" s="4">
        <v>46142</v>
      </c>
      <c r="E930" s="3" t="s">
        <v>302</v>
      </c>
      <c r="F930" s="3" t="s">
        <v>314</v>
      </c>
      <c r="G930" s="5">
        <v>0</v>
      </c>
      <c r="H930" s="6" t="s">
        <v>72</v>
      </c>
      <c r="I930" s="3" t="s">
        <v>45</v>
      </c>
    </row>
    <row r="931" spans="1:9" ht="48" customHeight="1">
      <c r="A931" s="3" t="s">
        <v>66</v>
      </c>
      <c r="B931" s="3" t="s">
        <v>65</v>
      </c>
      <c r="C931" s="4">
        <v>46113</v>
      </c>
      <c r="D931" s="4">
        <v>46142</v>
      </c>
      <c r="E931" s="3" t="s">
        <v>302</v>
      </c>
      <c r="F931" s="3" t="s">
        <v>315</v>
      </c>
      <c r="G931" s="5">
        <v>0</v>
      </c>
      <c r="H931" s="6" t="s">
        <v>72</v>
      </c>
      <c r="I931" s="3" t="s">
        <v>45</v>
      </c>
    </row>
    <row r="932" spans="1:9" ht="48" customHeight="1">
      <c r="A932" s="3" t="s">
        <v>66</v>
      </c>
      <c r="B932" s="3" t="s">
        <v>65</v>
      </c>
      <c r="C932" s="4">
        <v>46113</v>
      </c>
      <c r="D932" s="4">
        <v>46142</v>
      </c>
      <c r="E932" s="3" t="s">
        <v>302</v>
      </c>
      <c r="F932" s="3" t="s">
        <v>316</v>
      </c>
      <c r="G932" s="5">
        <v>0</v>
      </c>
      <c r="H932" s="6" t="s">
        <v>72</v>
      </c>
      <c r="I932" s="3" t="s">
        <v>45</v>
      </c>
    </row>
    <row r="933" spans="1:9" ht="48" customHeight="1">
      <c r="A933" s="3" t="s">
        <v>66</v>
      </c>
      <c r="B933" s="3" t="s">
        <v>65</v>
      </c>
      <c r="C933" s="4">
        <v>46113</v>
      </c>
      <c r="D933" s="4">
        <v>46142</v>
      </c>
      <c r="E933" s="3" t="s">
        <v>302</v>
      </c>
      <c r="F933" s="3" t="s">
        <v>317</v>
      </c>
      <c r="G933" s="5">
        <v>0</v>
      </c>
      <c r="H933" s="6" t="s">
        <v>72</v>
      </c>
      <c r="I933" s="3" t="s">
        <v>45</v>
      </c>
    </row>
    <row r="934" spans="1:9" ht="48" customHeight="1">
      <c r="A934" s="3" t="s">
        <v>66</v>
      </c>
      <c r="B934" s="3" t="s">
        <v>65</v>
      </c>
      <c r="C934" s="4">
        <v>46113</v>
      </c>
      <c r="D934" s="4">
        <v>46142</v>
      </c>
      <c r="E934" s="3" t="s">
        <v>302</v>
      </c>
      <c r="F934" s="3" t="s">
        <v>318</v>
      </c>
      <c r="G934" s="5">
        <v>0</v>
      </c>
      <c r="H934" s="6" t="s">
        <v>72</v>
      </c>
      <c r="I934" s="3" t="s">
        <v>45</v>
      </c>
    </row>
    <row r="935" spans="1:9" ht="48" customHeight="1">
      <c r="A935" s="3" t="s">
        <v>66</v>
      </c>
      <c r="B935" s="3" t="s">
        <v>65</v>
      </c>
      <c r="C935" s="4">
        <v>46113</v>
      </c>
      <c r="D935" s="4">
        <v>46142</v>
      </c>
      <c r="E935" s="3" t="s">
        <v>302</v>
      </c>
      <c r="F935" s="3" t="s">
        <v>319</v>
      </c>
      <c r="G935" s="5">
        <v>0</v>
      </c>
      <c r="H935" s="6" t="s">
        <v>72</v>
      </c>
      <c r="I935" s="3" t="s">
        <v>45</v>
      </c>
    </row>
    <row r="936" spans="1:9" ht="48" customHeight="1">
      <c r="A936" s="3" t="s">
        <v>66</v>
      </c>
      <c r="B936" s="3" t="s">
        <v>65</v>
      </c>
      <c r="C936" s="4">
        <v>46113</v>
      </c>
      <c r="D936" s="4">
        <v>46142</v>
      </c>
      <c r="E936" s="3" t="s">
        <v>302</v>
      </c>
      <c r="F936" s="3" t="s">
        <v>320</v>
      </c>
      <c r="G936" s="5">
        <v>0</v>
      </c>
      <c r="H936" s="6" t="s">
        <v>72</v>
      </c>
      <c r="I936" s="3" t="s">
        <v>45</v>
      </c>
    </row>
    <row r="937" spans="1:9" ht="48" customHeight="1">
      <c r="A937" s="3" t="s">
        <v>66</v>
      </c>
      <c r="B937" s="3" t="s">
        <v>65</v>
      </c>
      <c r="C937" s="4">
        <v>46113</v>
      </c>
      <c r="D937" s="4">
        <v>46142</v>
      </c>
      <c r="E937" s="3" t="s">
        <v>302</v>
      </c>
      <c r="F937" s="3" t="s">
        <v>321</v>
      </c>
      <c r="G937" s="5">
        <v>0</v>
      </c>
      <c r="H937" s="6" t="s">
        <v>72</v>
      </c>
      <c r="I937" s="3" t="s">
        <v>45</v>
      </c>
    </row>
    <row r="938" spans="1:9" ht="48" customHeight="1">
      <c r="A938" s="3" t="s">
        <v>66</v>
      </c>
      <c r="B938" s="3" t="s">
        <v>65</v>
      </c>
      <c r="C938" s="4">
        <v>46113</v>
      </c>
      <c r="D938" s="4">
        <v>46142</v>
      </c>
      <c r="E938" s="3" t="s">
        <v>302</v>
      </c>
      <c r="F938" s="3" t="s">
        <v>322</v>
      </c>
      <c r="G938" s="5">
        <v>0</v>
      </c>
      <c r="H938" s="6" t="s">
        <v>72</v>
      </c>
      <c r="I938" s="3" t="s">
        <v>45</v>
      </c>
    </row>
    <row r="939" spans="1:9" ht="48" customHeight="1">
      <c r="A939" s="3" t="s">
        <v>66</v>
      </c>
      <c r="B939" s="3" t="s">
        <v>65</v>
      </c>
      <c r="C939" s="4">
        <v>46113</v>
      </c>
      <c r="D939" s="4">
        <v>46142</v>
      </c>
      <c r="E939" s="3" t="s">
        <v>302</v>
      </c>
      <c r="F939" s="3" t="s">
        <v>323</v>
      </c>
      <c r="G939" s="5">
        <v>0</v>
      </c>
      <c r="H939" s="6" t="s">
        <v>72</v>
      </c>
      <c r="I939" s="3" t="s">
        <v>45</v>
      </c>
    </row>
    <row r="940" spans="1:9" ht="48" customHeight="1">
      <c r="A940" s="3" t="s">
        <v>66</v>
      </c>
      <c r="B940" s="3" t="s">
        <v>65</v>
      </c>
      <c r="C940" s="4">
        <v>46113</v>
      </c>
      <c r="D940" s="4">
        <v>46142</v>
      </c>
      <c r="E940" s="3" t="s">
        <v>302</v>
      </c>
      <c r="F940" s="3" t="s">
        <v>324</v>
      </c>
      <c r="G940" s="5">
        <v>0</v>
      </c>
      <c r="H940" s="6" t="s">
        <v>72</v>
      </c>
      <c r="I940" s="3" t="s">
        <v>45</v>
      </c>
    </row>
    <row r="941" spans="1:9" ht="48" customHeight="1">
      <c r="A941" s="3" t="s">
        <v>66</v>
      </c>
      <c r="B941" s="3" t="s">
        <v>65</v>
      </c>
      <c r="C941" s="4">
        <v>46113</v>
      </c>
      <c r="D941" s="4">
        <v>46142</v>
      </c>
      <c r="E941" s="3" t="s">
        <v>81</v>
      </c>
      <c r="F941" s="3" t="s">
        <v>325</v>
      </c>
      <c r="G941" s="5">
        <v>2E-3</v>
      </c>
      <c r="H941" s="6" t="s">
        <v>72</v>
      </c>
      <c r="I941" s="3" t="s">
        <v>45</v>
      </c>
    </row>
    <row r="942" spans="1:9" ht="48" customHeight="1">
      <c r="A942" s="3" t="s">
        <v>66</v>
      </c>
      <c r="B942" s="3" t="s">
        <v>65</v>
      </c>
      <c r="C942" s="4">
        <v>46113</v>
      </c>
      <c r="D942" s="4">
        <v>46142</v>
      </c>
      <c r="E942" s="3" t="s">
        <v>81</v>
      </c>
      <c r="F942" s="3" t="s">
        <v>327</v>
      </c>
      <c r="G942" s="5">
        <v>1E-3</v>
      </c>
      <c r="H942" s="6" t="s">
        <v>72</v>
      </c>
      <c r="I942" s="3" t="s">
        <v>45</v>
      </c>
    </row>
    <row r="943" spans="1:9" ht="48" customHeight="1">
      <c r="A943" s="3" t="s">
        <v>66</v>
      </c>
      <c r="B943" s="3" t="s">
        <v>65</v>
      </c>
      <c r="C943" s="4">
        <v>46113</v>
      </c>
      <c r="D943" s="4">
        <v>46142</v>
      </c>
      <c r="E943" s="3" t="s">
        <v>81</v>
      </c>
      <c r="F943" s="3" t="s">
        <v>328</v>
      </c>
      <c r="G943" s="5">
        <v>1E-3</v>
      </c>
      <c r="H943" s="6" t="s">
        <v>72</v>
      </c>
      <c r="I943" s="3" t="s">
        <v>45</v>
      </c>
    </row>
    <row r="944" spans="1:9" ht="48" customHeight="1">
      <c r="A944" s="3" t="s">
        <v>66</v>
      </c>
      <c r="B944" s="3" t="s">
        <v>65</v>
      </c>
      <c r="C944" s="4">
        <v>46113</v>
      </c>
      <c r="D944" s="4">
        <v>46142</v>
      </c>
      <c r="E944" s="3" t="s">
        <v>81</v>
      </c>
      <c r="F944" s="3" t="s">
        <v>329</v>
      </c>
      <c r="G944" s="5">
        <v>1E-3</v>
      </c>
      <c r="H944" s="6" t="s">
        <v>72</v>
      </c>
      <c r="I944" s="3" t="s">
        <v>45</v>
      </c>
    </row>
    <row r="945" spans="1:9" ht="48" customHeight="1">
      <c r="A945" s="3" t="s">
        <v>66</v>
      </c>
      <c r="B945" s="3" t="s">
        <v>65</v>
      </c>
      <c r="C945" s="4">
        <v>46113</v>
      </c>
      <c r="D945" s="4">
        <v>46142</v>
      </c>
      <c r="E945" s="3" t="s">
        <v>81</v>
      </c>
      <c r="F945" s="3" t="s">
        <v>330</v>
      </c>
      <c r="G945" s="5">
        <v>1E-3</v>
      </c>
      <c r="H945" s="6" t="s">
        <v>72</v>
      </c>
      <c r="I945" s="3" t="s">
        <v>45</v>
      </c>
    </row>
    <row r="946" spans="1:9" ht="48" customHeight="1">
      <c r="A946" s="3" t="s">
        <v>66</v>
      </c>
      <c r="B946" s="3" t="s">
        <v>65</v>
      </c>
      <c r="C946" s="4">
        <v>46113</v>
      </c>
      <c r="D946" s="4">
        <v>46142</v>
      </c>
      <c r="E946" s="3" t="s">
        <v>81</v>
      </c>
      <c r="F946" s="3" t="s">
        <v>331</v>
      </c>
      <c r="G946" s="5">
        <v>1E-3</v>
      </c>
      <c r="H946" s="6" t="s">
        <v>72</v>
      </c>
      <c r="I946" s="3" t="s">
        <v>45</v>
      </c>
    </row>
    <row r="947" spans="1:9" ht="48" customHeight="1">
      <c r="A947" s="3" t="s">
        <v>66</v>
      </c>
      <c r="B947" s="3" t="s">
        <v>65</v>
      </c>
      <c r="C947" s="4">
        <v>46113</v>
      </c>
      <c r="D947" s="4">
        <v>46142</v>
      </c>
      <c r="E947" s="3" t="s">
        <v>81</v>
      </c>
      <c r="F947" s="3" t="s">
        <v>332</v>
      </c>
      <c r="G947" s="5">
        <v>1E-3</v>
      </c>
      <c r="H947" s="6" t="s">
        <v>72</v>
      </c>
      <c r="I947" s="3" t="s">
        <v>45</v>
      </c>
    </row>
    <row r="948" spans="1:9" ht="48" customHeight="1">
      <c r="A948" s="3" t="s">
        <v>66</v>
      </c>
      <c r="B948" s="3" t="s">
        <v>65</v>
      </c>
      <c r="C948" s="4">
        <v>46113</v>
      </c>
      <c r="D948" s="4">
        <v>46142</v>
      </c>
      <c r="E948" s="3" t="s">
        <v>81</v>
      </c>
      <c r="F948" s="3" t="s">
        <v>326</v>
      </c>
      <c r="G948" s="5">
        <v>0</v>
      </c>
      <c r="H948" s="6" t="s">
        <v>72</v>
      </c>
      <c r="I948" s="3" t="s">
        <v>45</v>
      </c>
    </row>
    <row r="949" spans="1:9" ht="48" customHeight="1">
      <c r="A949" s="3" t="s">
        <v>66</v>
      </c>
      <c r="B949" s="3" t="s">
        <v>65</v>
      </c>
      <c r="C949" s="4">
        <v>46113</v>
      </c>
      <c r="D949" s="4">
        <v>46142</v>
      </c>
      <c r="E949" s="3" t="s">
        <v>81</v>
      </c>
      <c r="F949" s="3" t="s">
        <v>333</v>
      </c>
      <c r="G949" s="5">
        <v>0</v>
      </c>
      <c r="H949" s="6" t="s">
        <v>72</v>
      </c>
      <c r="I949" s="3" t="s">
        <v>45</v>
      </c>
    </row>
    <row r="950" spans="1:9" ht="48" customHeight="1">
      <c r="A950" s="3" t="s">
        <v>66</v>
      </c>
      <c r="B950" s="3" t="s">
        <v>65</v>
      </c>
      <c r="C950" s="4">
        <v>46113</v>
      </c>
      <c r="D950" s="4">
        <v>46142</v>
      </c>
      <c r="E950" s="3" t="s">
        <v>81</v>
      </c>
      <c r="F950" s="3" t="s">
        <v>334</v>
      </c>
      <c r="G950" s="5">
        <v>0</v>
      </c>
      <c r="H950" s="6" t="s">
        <v>72</v>
      </c>
      <c r="I950" s="3" t="s">
        <v>45</v>
      </c>
    </row>
    <row r="951" spans="1:9" ht="48" customHeight="1">
      <c r="A951" s="3" t="s">
        <v>66</v>
      </c>
      <c r="B951" s="3" t="s">
        <v>65</v>
      </c>
      <c r="C951" s="4">
        <v>46113</v>
      </c>
      <c r="D951" s="4">
        <v>46142</v>
      </c>
      <c r="E951" s="3" t="s">
        <v>81</v>
      </c>
      <c r="F951" s="3" t="s">
        <v>335</v>
      </c>
      <c r="G951" s="5">
        <v>0</v>
      </c>
      <c r="H951" s="6" t="s">
        <v>72</v>
      </c>
      <c r="I951" s="3" t="s">
        <v>45</v>
      </c>
    </row>
    <row r="952" spans="1:9" ht="48" customHeight="1">
      <c r="A952" s="3" t="s">
        <v>66</v>
      </c>
      <c r="B952" s="3" t="s">
        <v>65</v>
      </c>
      <c r="C952" s="4">
        <v>46113</v>
      </c>
      <c r="D952" s="4">
        <v>46142</v>
      </c>
      <c r="E952" s="3" t="s">
        <v>81</v>
      </c>
      <c r="F952" s="3" t="s">
        <v>336</v>
      </c>
      <c r="G952" s="5">
        <v>0</v>
      </c>
      <c r="H952" s="6" t="s">
        <v>72</v>
      </c>
      <c r="I952" s="3" t="s">
        <v>45</v>
      </c>
    </row>
    <row r="953" spans="1:9" ht="48" customHeight="1">
      <c r="A953" s="3" t="s">
        <v>66</v>
      </c>
      <c r="B953" s="3" t="s">
        <v>65</v>
      </c>
      <c r="C953" s="4">
        <v>46113</v>
      </c>
      <c r="D953" s="4">
        <v>46142</v>
      </c>
      <c r="E953" s="3" t="s">
        <v>81</v>
      </c>
      <c r="F953" s="3" t="s">
        <v>337</v>
      </c>
      <c r="G953" s="5">
        <v>0</v>
      </c>
      <c r="H953" s="6" t="s">
        <v>72</v>
      </c>
      <c r="I953" s="3" t="s">
        <v>45</v>
      </c>
    </row>
    <row r="954" spans="1:9" ht="48" customHeight="1">
      <c r="A954" s="3" t="s">
        <v>66</v>
      </c>
      <c r="B954" s="3" t="s">
        <v>65</v>
      </c>
      <c r="C954" s="4">
        <v>46113</v>
      </c>
      <c r="D954" s="4">
        <v>46142</v>
      </c>
      <c r="E954" s="3" t="s">
        <v>81</v>
      </c>
      <c r="F954" s="3" t="s">
        <v>338</v>
      </c>
      <c r="G954" s="5">
        <v>0</v>
      </c>
      <c r="H954" s="6" t="s">
        <v>72</v>
      </c>
      <c r="I954" s="3" t="s">
        <v>45</v>
      </c>
    </row>
    <row r="955" spans="1:9" ht="48" customHeight="1">
      <c r="A955" s="3" t="s">
        <v>66</v>
      </c>
      <c r="B955" s="3" t="s">
        <v>65</v>
      </c>
      <c r="C955" s="4">
        <v>46113</v>
      </c>
      <c r="D955" s="4">
        <v>46142</v>
      </c>
      <c r="E955" s="3" t="s">
        <v>81</v>
      </c>
      <c r="F955" s="3" t="s">
        <v>339</v>
      </c>
      <c r="G955" s="5">
        <v>0</v>
      </c>
      <c r="H955" s="6" t="s">
        <v>72</v>
      </c>
      <c r="I955" s="3" t="s">
        <v>45</v>
      </c>
    </row>
    <row r="956" spans="1:9" ht="48" customHeight="1">
      <c r="A956" s="3" t="s">
        <v>66</v>
      </c>
      <c r="B956" s="3" t="s">
        <v>65</v>
      </c>
      <c r="C956" s="4">
        <v>46113</v>
      </c>
      <c r="D956" s="4">
        <v>46142</v>
      </c>
      <c r="E956" s="3" t="s">
        <v>81</v>
      </c>
      <c r="F956" s="3" t="s">
        <v>340</v>
      </c>
      <c r="G956" s="5">
        <v>0</v>
      </c>
      <c r="H956" s="6" t="s">
        <v>72</v>
      </c>
      <c r="I956" s="3" t="s">
        <v>45</v>
      </c>
    </row>
    <row r="957" spans="1:9" ht="48" customHeight="1">
      <c r="A957" s="3" t="s">
        <v>66</v>
      </c>
      <c r="B957" s="3" t="s">
        <v>65</v>
      </c>
      <c r="C957" s="4">
        <v>46113</v>
      </c>
      <c r="D957" s="4">
        <v>46142</v>
      </c>
      <c r="E957" s="3" t="s">
        <v>81</v>
      </c>
      <c r="F957" s="3" t="s">
        <v>341</v>
      </c>
      <c r="G957" s="5">
        <v>0</v>
      </c>
      <c r="H957" s="6" t="s">
        <v>72</v>
      </c>
      <c r="I957" s="3" t="s">
        <v>45</v>
      </c>
    </row>
    <row r="958" spans="1:9" ht="48" customHeight="1">
      <c r="A958" s="3" t="s">
        <v>66</v>
      </c>
      <c r="B958" s="3" t="s">
        <v>65</v>
      </c>
      <c r="C958" s="4">
        <v>46113</v>
      </c>
      <c r="D958" s="4">
        <v>46142</v>
      </c>
      <c r="E958" s="3" t="s">
        <v>81</v>
      </c>
      <c r="F958" s="3" t="s">
        <v>342</v>
      </c>
      <c r="G958" s="5">
        <v>0</v>
      </c>
      <c r="H958" s="6" t="s">
        <v>72</v>
      </c>
      <c r="I958" s="3" t="s">
        <v>45</v>
      </c>
    </row>
    <row r="959" spans="1:9" ht="48" customHeight="1">
      <c r="A959" s="3" t="s">
        <v>66</v>
      </c>
      <c r="B959" s="3" t="s">
        <v>65</v>
      </c>
      <c r="C959" s="4">
        <v>46113</v>
      </c>
      <c r="D959" s="4">
        <v>46142</v>
      </c>
      <c r="E959" s="3" t="s">
        <v>81</v>
      </c>
      <c r="F959" s="3" t="s">
        <v>343</v>
      </c>
      <c r="G959" s="5">
        <v>0</v>
      </c>
      <c r="H959" s="6" t="s">
        <v>72</v>
      </c>
      <c r="I959" s="3" t="s">
        <v>45</v>
      </c>
    </row>
    <row r="960" spans="1:9" ht="48" customHeight="1">
      <c r="A960" s="3" t="s">
        <v>66</v>
      </c>
      <c r="B960" s="3" t="s">
        <v>65</v>
      </c>
      <c r="C960" s="4">
        <v>46113</v>
      </c>
      <c r="D960" s="4">
        <v>46142</v>
      </c>
      <c r="E960" s="3" t="s">
        <v>81</v>
      </c>
      <c r="F960" s="3" t="s">
        <v>344</v>
      </c>
      <c r="G960" s="5">
        <v>0</v>
      </c>
      <c r="H960" s="6" t="s">
        <v>72</v>
      </c>
      <c r="I960" s="3" t="s">
        <v>45</v>
      </c>
    </row>
    <row r="961" spans="1:9" ht="48" customHeight="1">
      <c r="A961" s="3" t="s">
        <v>66</v>
      </c>
      <c r="B961" s="3" t="s">
        <v>65</v>
      </c>
      <c r="C961" s="4">
        <v>46113</v>
      </c>
      <c r="D961" s="4">
        <v>46142</v>
      </c>
      <c r="E961" s="3" t="s">
        <v>81</v>
      </c>
      <c r="F961" s="3" t="s">
        <v>345</v>
      </c>
      <c r="G961" s="5">
        <v>0</v>
      </c>
      <c r="H961" s="6" t="s">
        <v>72</v>
      </c>
      <c r="I961" s="3" t="s">
        <v>45</v>
      </c>
    </row>
    <row r="962" spans="1:9" ht="48" customHeight="1">
      <c r="A962" s="3" t="s">
        <v>66</v>
      </c>
      <c r="B962" s="3" t="s">
        <v>65</v>
      </c>
      <c r="C962" s="4">
        <v>46113</v>
      </c>
      <c r="D962" s="4">
        <v>46142</v>
      </c>
      <c r="E962" s="3" t="s">
        <v>81</v>
      </c>
      <c r="F962" s="3" t="s">
        <v>346</v>
      </c>
      <c r="G962" s="5">
        <v>0</v>
      </c>
      <c r="H962" s="6" t="s">
        <v>72</v>
      </c>
      <c r="I962" s="3" t="s">
        <v>45</v>
      </c>
    </row>
    <row r="963" spans="1:9" ht="48" customHeight="1">
      <c r="A963" s="3" t="s">
        <v>66</v>
      </c>
      <c r="B963" s="3" t="s">
        <v>65</v>
      </c>
      <c r="C963" s="4">
        <v>46113</v>
      </c>
      <c r="D963" s="4">
        <v>46142</v>
      </c>
      <c r="E963" s="3" t="s">
        <v>81</v>
      </c>
      <c r="F963" s="3" t="s">
        <v>347</v>
      </c>
      <c r="G963" s="5">
        <v>0</v>
      </c>
      <c r="H963" s="6" t="s">
        <v>72</v>
      </c>
      <c r="I963" s="3" t="s">
        <v>45</v>
      </c>
    </row>
    <row r="964" spans="1:9" ht="48" customHeight="1">
      <c r="A964" s="3" t="s">
        <v>66</v>
      </c>
      <c r="B964" s="3" t="s">
        <v>65</v>
      </c>
      <c r="C964" s="4">
        <v>46113</v>
      </c>
      <c r="D964" s="4">
        <v>46142</v>
      </c>
      <c r="E964" s="3" t="s">
        <v>47</v>
      </c>
      <c r="F964" s="3" t="s">
        <v>348</v>
      </c>
      <c r="G964" s="5">
        <v>2E-3</v>
      </c>
      <c r="H964" s="6" t="s">
        <v>72</v>
      </c>
      <c r="I964" s="3" t="s">
        <v>45</v>
      </c>
    </row>
    <row r="965" spans="1:9" ht="48" customHeight="1">
      <c r="A965" s="3" t="s">
        <v>66</v>
      </c>
      <c r="B965" s="3" t="s">
        <v>65</v>
      </c>
      <c r="C965" s="4">
        <v>46113</v>
      </c>
      <c r="D965" s="4">
        <v>46142</v>
      </c>
      <c r="E965" s="3" t="s">
        <v>47</v>
      </c>
      <c r="F965" s="3" t="s">
        <v>349</v>
      </c>
      <c r="G965" s="5">
        <v>1E-3</v>
      </c>
      <c r="H965" s="6" t="s">
        <v>72</v>
      </c>
      <c r="I965" s="3" t="s">
        <v>45</v>
      </c>
    </row>
    <row r="966" spans="1:9" ht="48" customHeight="1">
      <c r="A966" s="3" t="s">
        <v>66</v>
      </c>
      <c r="B966" s="3" t="s">
        <v>65</v>
      </c>
      <c r="C966" s="4">
        <v>46113</v>
      </c>
      <c r="D966" s="4">
        <v>46142</v>
      </c>
      <c r="E966" s="3" t="s">
        <v>47</v>
      </c>
      <c r="F966" s="3" t="s">
        <v>350</v>
      </c>
      <c r="G966" s="5">
        <v>1E-3</v>
      </c>
      <c r="H966" s="6" t="s">
        <v>72</v>
      </c>
      <c r="I966" s="3" t="s">
        <v>45</v>
      </c>
    </row>
    <row r="967" spans="1:9" ht="48" customHeight="1">
      <c r="A967" s="3" t="s">
        <v>66</v>
      </c>
      <c r="B967" s="3" t="s">
        <v>65</v>
      </c>
      <c r="C967" s="4">
        <v>46113</v>
      </c>
      <c r="D967" s="4">
        <v>46142</v>
      </c>
      <c r="E967" s="3" t="s">
        <v>47</v>
      </c>
      <c r="F967" s="3" t="s">
        <v>351</v>
      </c>
      <c r="G967" s="5">
        <v>0</v>
      </c>
      <c r="H967" s="6" t="s">
        <v>72</v>
      </c>
      <c r="I967" s="3" t="s">
        <v>45</v>
      </c>
    </row>
    <row r="968" spans="1:9" ht="48" customHeight="1">
      <c r="A968" s="3" t="s">
        <v>66</v>
      </c>
      <c r="B968" s="3" t="s">
        <v>65</v>
      </c>
      <c r="C968" s="4">
        <v>46113</v>
      </c>
      <c r="D968" s="4">
        <v>46142</v>
      </c>
      <c r="E968" s="3" t="s">
        <v>47</v>
      </c>
      <c r="F968" s="3" t="s">
        <v>352</v>
      </c>
      <c r="G968" s="5">
        <v>0</v>
      </c>
      <c r="H968" s="6" t="s">
        <v>72</v>
      </c>
      <c r="I968" s="3" t="s">
        <v>45</v>
      </c>
    </row>
    <row r="969" spans="1:9" ht="48" customHeight="1">
      <c r="A969" s="3" t="s">
        <v>66</v>
      </c>
      <c r="B969" s="3" t="s">
        <v>65</v>
      </c>
      <c r="C969" s="4">
        <v>46113</v>
      </c>
      <c r="D969" s="4">
        <v>46142</v>
      </c>
      <c r="E969" s="3" t="s">
        <v>47</v>
      </c>
      <c r="F969" s="3" t="s">
        <v>353</v>
      </c>
      <c r="G969" s="5">
        <v>0</v>
      </c>
      <c r="H969" s="6" t="s">
        <v>72</v>
      </c>
      <c r="I969" s="3" t="s">
        <v>45</v>
      </c>
    </row>
    <row r="970" spans="1:9" ht="48" customHeight="1">
      <c r="A970" s="3" t="s">
        <v>66</v>
      </c>
      <c r="B970" s="3" t="s">
        <v>65</v>
      </c>
      <c r="C970" s="4">
        <v>46113</v>
      </c>
      <c r="D970" s="4">
        <v>46142</v>
      </c>
      <c r="E970" s="3" t="s">
        <v>47</v>
      </c>
      <c r="F970" s="3" t="s">
        <v>354</v>
      </c>
      <c r="G970" s="5">
        <v>0</v>
      </c>
      <c r="H970" s="6" t="s">
        <v>72</v>
      </c>
      <c r="I970" s="3" t="s">
        <v>45</v>
      </c>
    </row>
    <row r="971" spans="1:9" ht="48" customHeight="1">
      <c r="A971" s="3" t="s">
        <v>66</v>
      </c>
      <c r="B971" s="3" t="s">
        <v>65</v>
      </c>
      <c r="C971" s="4">
        <v>46113</v>
      </c>
      <c r="D971" s="4">
        <v>46142</v>
      </c>
      <c r="E971" s="3" t="s">
        <v>47</v>
      </c>
      <c r="F971" s="3" t="s">
        <v>355</v>
      </c>
      <c r="G971" s="5">
        <v>0</v>
      </c>
      <c r="H971" s="6" t="s">
        <v>72</v>
      </c>
      <c r="I971" s="3" t="s">
        <v>45</v>
      </c>
    </row>
    <row r="972" spans="1:9" ht="48" customHeight="1">
      <c r="A972" s="3" t="s">
        <v>66</v>
      </c>
      <c r="B972" s="3" t="s">
        <v>65</v>
      </c>
      <c r="C972" s="4">
        <v>46113</v>
      </c>
      <c r="D972" s="4">
        <v>46142</v>
      </c>
      <c r="E972" s="3" t="s">
        <v>47</v>
      </c>
      <c r="F972" s="3" t="s">
        <v>356</v>
      </c>
      <c r="G972" s="5">
        <v>0</v>
      </c>
      <c r="H972" s="6" t="s">
        <v>72</v>
      </c>
      <c r="I972" s="3" t="s">
        <v>45</v>
      </c>
    </row>
    <row r="973" spans="1:9" ht="48" customHeight="1">
      <c r="A973" s="3" t="s">
        <v>66</v>
      </c>
      <c r="B973" s="3" t="s">
        <v>65</v>
      </c>
      <c r="C973" s="4">
        <v>46113</v>
      </c>
      <c r="D973" s="4">
        <v>46142</v>
      </c>
      <c r="E973" s="3" t="s">
        <v>47</v>
      </c>
      <c r="F973" s="3" t="s">
        <v>40</v>
      </c>
      <c r="G973" s="5">
        <v>0</v>
      </c>
      <c r="H973" s="6" t="s">
        <v>72</v>
      </c>
      <c r="I973" s="3" t="s">
        <v>45</v>
      </c>
    </row>
    <row r="974" spans="1:9" ht="48" customHeight="1">
      <c r="A974" s="3" t="s">
        <v>66</v>
      </c>
      <c r="B974" s="3" t="s">
        <v>65</v>
      </c>
      <c r="C974" s="4">
        <v>46113</v>
      </c>
      <c r="D974" s="4">
        <v>46142</v>
      </c>
      <c r="E974" s="3" t="s">
        <v>47</v>
      </c>
      <c r="F974" s="3" t="s">
        <v>357</v>
      </c>
      <c r="G974" s="5">
        <v>0</v>
      </c>
      <c r="H974" s="6" t="s">
        <v>72</v>
      </c>
      <c r="I974" s="3" t="s">
        <v>45</v>
      </c>
    </row>
    <row r="975" spans="1:9" ht="48" customHeight="1">
      <c r="A975" s="3" t="s">
        <v>66</v>
      </c>
      <c r="B975" s="3" t="s">
        <v>65</v>
      </c>
      <c r="C975" s="4">
        <v>46113</v>
      </c>
      <c r="D975" s="4">
        <v>46142</v>
      </c>
      <c r="E975" s="3" t="s">
        <v>47</v>
      </c>
      <c r="F975" s="3" t="s">
        <v>358</v>
      </c>
      <c r="G975" s="5">
        <v>0</v>
      </c>
      <c r="H975" s="6" t="s">
        <v>72</v>
      </c>
      <c r="I975" s="3" t="s">
        <v>45</v>
      </c>
    </row>
    <row r="976" spans="1:9" ht="48" customHeight="1">
      <c r="A976" s="3" t="s">
        <v>66</v>
      </c>
      <c r="B976" s="3" t="s">
        <v>65</v>
      </c>
      <c r="C976" s="4">
        <v>46113</v>
      </c>
      <c r="D976" s="4">
        <v>46142</v>
      </c>
      <c r="E976" s="3" t="s">
        <v>47</v>
      </c>
      <c r="F976" s="3" t="s">
        <v>359</v>
      </c>
      <c r="G976" s="5">
        <v>0</v>
      </c>
      <c r="H976" s="6" t="s">
        <v>72</v>
      </c>
      <c r="I976" s="3" t="s">
        <v>45</v>
      </c>
    </row>
    <row r="977" spans="1:9" ht="48" customHeight="1">
      <c r="A977" s="3" t="s">
        <v>66</v>
      </c>
      <c r="B977" s="3" t="s">
        <v>65</v>
      </c>
      <c r="C977" s="4">
        <v>46113</v>
      </c>
      <c r="D977" s="4">
        <v>46142</v>
      </c>
      <c r="E977" s="3" t="s">
        <v>47</v>
      </c>
      <c r="F977" s="3" t="s">
        <v>360</v>
      </c>
      <c r="G977" s="5">
        <v>0</v>
      </c>
      <c r="H977" s="6" t="s">
        <v>72</v>
      </c>
      <c r="I977" s="3" t="s">
        <v>45</v>
      </c>
    </row>
    <row r="978" spans="1:9" ht="48" customHeight="1">
      <c r="A978" s="3" t="s">
        <v>66</v>
      </c>
      <c r="B978" s="3" t="s">
        <v>65</v>
      </c>
      <c r="C978" s="4">
        <v>46113</v>
      </c>
      <c r="D978" s="4">
        <v>46142</v>
      </c>
      <c r="E978" s="3" t="s">
        <v>47</v>
      </c>
      <c r="F978" s="3" t="s">
        <v>361</v>
      </c>
      <c r="G978" s="5">
        <v>0</v>
      </c>
      <c r="H978" s="6" t="s">
        <v>72</v>
      </c>
      <c r="I978" s="3" t="s">
        <v>45</v>
      </c>
    </row>
    <row r="979" spans="1:9" ht="48" customHeight="1">
      <c r="A979" s="3" t="s">
        <v>66</v>
      </c>
      <c r="B979" s="3" t="s">
        <v>65</v>
      </c>
      <c r="C979" s="4">
        <v>46113</v>
      </c>
      <c r="D979" s="4">
        <v>46142</v>
      </c>
      <c r="E979" s="3" t="s">
        <v>47</v>
      </c>
      <c r="F979" s="3" t="s">
        <v>362</v>
      </c>
      <c r="G979" s="5">
        <v>0</v>
      </c>
      <c r="H979" s="6" t="s">
        <v>72</v>
      </c>
      <c r="I979" s="3" t="s">
        <v>45</v>
      </c>
    </row>
    <row r="980" spans="1:9" ht="48" customHeight="1">
      <c r="A980" s="3" t="s">
        <v>66</v>
      </c>
      <c r="B980" s="3" t="s">
        <v>65</v>
      </c>
      <c r="C980" s="4">
        <v>46113</v>
      </c>
      <c r="D980" s="4">
        <v>46142</v>
      </c>
      <c r="E980" s="3" t="s">
        <v>47</v>
      </c>
      <c r="F980" s="3" t="s">
        <v>318</v>
      </c>
      <c r="G980" s="5">
        <v>0</v>
      </c>
      <c r="H980" s="6" t="s">
        <v>72</v>
      </c>
      <c r="I980" s="3" t="s">
        <v>45</v>
      </c>
    </row>
    <row r="981" spans="1:9" ht="48" customHeight="1">
      <c r="A981" s="3" t="s">
        <v>66</v>
      </c>
      <c r="B981" s="3" t="s">
        <v>65</v>
      </c>
      <c r="C981" s="4">
        <v>46113</v>
      </c>
      <c r="D981" s="4">
        <v>46142</v>
      </c>
      <c r="E981" s="3" t="s">
        <v>47</v>
      </c>
      <c r="F981" s="3" t="s">
        <v>363</v>
      </c>
      <c r="G981" s="5">
        <v>0</v>
      </c>
      <c r="H981" s="6" t="s">
        <v>72</v>
      </c>
      <c r="I981" s="3" t="s">
        <v>45</v>
      </c>
    </row>
    <row r="982" spans="1:9" ht="48" customHeight="1">
      <c r="A982" s="3" t="s">
        <v>66</v>
      </c>
      <c r="B982" s="3" t="s">
        <v>65</v>
      </c>
      <c r="C982" s="4">
        <v>46113</v>
      </c>
      <c r="D982" s="4">
        <v>46142</v>
      </c>
      <c r="E982" s="3" t="s">
        <v>364</v>
      </c>
      <c r="F982" s="3" t="s">
        <v>366</v>
      </c>
      <c r="G982" s="5">
        <v>2E-3</v>
      </c>
      <c r="H982" s="6" t="s">
        <v>72</v>
      </c>
      <c r="I982" s="3" t="s">
        <v>45</v>
      </c>
    </row>
    <row r="983" spans="1:9" ht="48" customHeight="1">
      <c r="A983" s="3" t="s">
        <v>66</v>
      </c>
      <c r="B983" s="3" t="s">
        <v>65</v>
      </c>
      <c r="C983" s="4">
        <v>46113</v>
      </c>
      <c r="D983" s="4">
        <v>46142</v>
      </c>
      <c r="E983" s="3" t="s">
        <v>364</v>
      </c>
      <c r="F983" s="3" t="s">
        <v>234</v>
      </c>
      <c r="G983" s="5">
        <v>1E-3</v>
      </c>
      <c r="H983" s="6" t="s">
        <v>72</v>
      </c>
      <c r="I983" s="3" t="s">
        <v>45</v>
      </c>
    </row>
    <row r="984" spans="1:9" ht="48" customHeight="1">
      <c r="A984" s="3" t="s">
        <v>66</v>
      </c>
      <c r="B984" s="3" t="s">
        <v>65</v>
      </c>
      <c r="C984" s="4">
        <v>46113</v>
      </c>
      <c r="D984" s="4">
        <v>46142</v>
      </c>
      <c r="E984" s="3" t="s">
        <v>364</v>
      </c>
      <c r="F984" s="3" t="s">
        <v>262</v>
      </c>
      <c r="G984" s="5">
        <v>1E-3</v>
      </c>
      <c r="H984" s="6" t="s">
        <v>72</v>
      </c>
      <c r="I984" s="3" t="s">
        <v>45</v>
      </c>
    </row>
    <row r="985" spans="1:9" ht="48" customHeight="1">
      <c r="A985" s="3" t="s">
        <v>66</v>
      </c>
      <c r="B985" s="3" t="s">
        <v>65</v>
      </c>
      <c r="C985" s="4">
        <v>46113</v>
      </c>
      <c r="D985" s="4">
        <v>46142</v>
      </c>
      <c r="E985" s="3" t="s">
        <v>364</v>
      </c>
      <c r="F985" s="3" t="s">
        <v>365</v>
      </c>
      <c r="G985" s="5">
        <v>1E-3</v>
      </c>
      <c r="H985" s="6" t="s">
        <v>72</v>
      </c>
      <c r="I985" s="3" t="s">
        <v>45</v>
      </c>
    </row>
    <row r="986" spans="1:9" ht="48" customHeight="1">
      <c r="A986" s="3" t="s">
        <v>66</v>
      </c>
      <c r="B986" s="3" t="s">
        <v>65</v>
      </c>
      <c r="C986" s="4">
        <v>46113</v>
      </c>
      <c r="D986" s="4">
        <v>46142</v>
      </c>
      <c r="E986" s="3" t="s">
        <v>364</v>
      </c>
      <c r="F986" s="3" t="s">
        <v>367</v>
      </c>
      <c r="G986" s="5">
        <v>1E-3</v>
      </c>
      <c r="H986" s="6" t="s">
        <v>72</v>
      </c>
      <c r="I986" s="3" t="s">
        <v>45</v>
      </c>
    </row>
    <row r="987" spans="1:9" ht="48" customHeight="1">
      <c r="A987" s="3" t="s">
        <v>66</v>
      </c>
      <c r="B987" s="3" t="s">
        <v>65</v>
      </c>
      <c r="C987" s="4">
        <v>46113</v>
      </c>
      <c r="D987" s="4">
        <v>46142</v>
      </c>
      <c r="E987" s="3" t="s">
        <v>364</v>
      </c>
      <c r="F987" s="3" t="s">
        <v>230</v>
      </c>
      <c r="G987" s="5">
        <v>0</v>
      </c>
      <c r="H987" s="6" t="s">
        <v>72</v>
      </c>
      <c r="I987" s="3" t="s">
        <v>45</v>
      </c>
    </row>
    <row r="988" spans="1:9" ht="48" customHeight="1">
      <c r="A988" s="3" t="s">
        <v>66</v>
      </c>
      <c r="B988" s="3" t="s">
        <v>65</v>
      </c>
      <c r="C988" s="4">
        <v>46113</v>
      </c>
      <c r="D988" s="4">
        <v>46142</v>
      </c>
      <c r="E988" s="3" t="s">
        <v>364</v>
      </c>
      <c r="F988" s="3" t="s">
        <v>232</v>
      </c>
      <c r="G988" s="5">
        <v>0</v>
      </c>
      <c r="H988" s="6" t="s">
        <v>72</v>
      </c>
      <c r="I988" s="3" t="s">
        <v>45</v>
      </c>
    </row>
    <row r="989" spans="1:9" ht="48" customHeight="1">
      <c r="A989" s="3" t="s">
        <v>66</v>
      </c>
      <c r="B989" s="3" t="s">
        <v>65</v>
      </c>
      <c r="C989" s="4">
        <v>46113</v>
      </c>
      <c r="D989" s="4">
        <v>46142</v>
      </c>
      <c r="E989" s="3" t="s">
        <v>364</v>
      </c>
      <c r="F989" s="3" t="s">
        <v>265</v>
      </c>
      <c r="G989" s="5">
        <v>0</v>
      </c>
      <c r="H989" s="6" t="s">
        <v>72</v>
      </c>
      <c r="I989" s="3" t="s">
        <v>45</v>
      </c>
    </row>
    <row r="990" spans="1:9" ht="48" customHeight="1">
      <c r="A990" s="3" t="s">
        <v>66</v>
      </c>
      <c r="B990" s="3" t="s">
        <v>65</v>
      </c>
      <c r="C990" s="4">
        <v>46113</v>
      </c>
      <c r="D990" s="4">
        <v>46142</v>
      </c>
      <c r="E990" s="3" t="s">
        <v>364</v>
      </c>
      <c r="F990" s="3" t="s">
        <v>79</v>
      </c>
      <c r="G990" s="5">
        <v>0</v>
      </c>
      <c r="H990" s="6" t="s">
        <v>72</v>
      </c>
      <c r="I990" s="3" t="s">
        <v>45</v>
      </c>
    </row>
    <row r="991" spans="1:9" ht="48" customHeight="1">
      <c r="A991" s="3" t="s">
        <v>66</v>
      </c>
      <c r="B991" s="3" t="s">
        <v>65</v>
      </c>
      <c r="C991" s="4">
        <v>46113</v>
      </c>
      <c r="D991" s="4">
        <v>46142</v>
      </c>
      <c r="E991" s="3" t="s">
        <v>368</v>
      </c>
      <c r="F991" s="3" t="s">
        <v>369</v>
      </c>
      <c r="G991" s="5">
        <v>1E-3</v>
      </c>
      <c r="H991" s="6" t="s">
        <v>72</v>
      </c>
      <c r="I991" s="3" t="s">
        <v>45</v>
      </c>
    </row>
    <row r="992" spans="1:9" ht="48" customHeight="1">
      <c r="A992" s="3" t="s">
        <v>66</v>
      </c>
      <c r="B992" s="3" t="s">
        <v>65</v>
      </c>
      <c r="C992" s="4">
        <v>46113</v>
      </c>
      <c r="D992" s="4">
        <v>46142</v>
      </c>
      <c r="E992" s="3" t="s">
        <v>368</v>
      </c>
      <c r="F992" s="3" t="s">
        <v>262</v>
      </c>
      <c r="G992" s="5">
        <v>1E-3</v>
      </c>
      <c r="H992" s="6" t="s">
        <v>72</v>
      </c>
      <c r="I992" s="3" t="s">
        <v>45</v>
      </c>
    </row>
    <row r="993" spans="1:9" ht="48" customHeight="1">
      <c r="A993" s="3" t="s">
        <v>66</v>
      </c>
      <c r="B993" s="3" t="s">
        <v>65</v>
      </c>
      <c r="C993" s="4">
        <v>46113</v>
      </c>
      <c r="D993" s="4">
        <v>46142</v>
      </c>
      <c r="E993" s="3" t="s">
        <v>368</v>
      </c>
      <c r="F993" s="3" t="s">
        <v>370</v>
      </c>
      <c r="G993" s="5">
        <v>1E-3</v>
      </c>
      <c r="H993" s="6" t="s">
        <v>72</v>
      </c>
      <c r="I993" s="3" t="s">
        <v>45</v>
      </c>
    </row>
    <row r="994" spans="1:9" ht="48" customHeight="1">
      <c r="A994" s="3" t="s">
        <v>66</v>
      </c>
      <c r="B994" s="3" t="s">
        <v>65</v>
      </c>
      <c r="C994" s="4">
        <v>46113</v>
      </c>
      <c r="D994" s="4">
        <v>46142</v>
      </c>
      <c r="E994" s="3" t="s">
        <v>368</v>
      </c>
      <c r="F994" s="3" t="s">
        <v>371</v>
      </c>
      <c r="G994" s="5">
        <v>1E-3</v>
      </c>
      <c r="H994" s="6" t="s">
        <v>72</v>
      </c>
      <c r="I994" s="3" t="s">
        <v>45</v>
      </c>
    </row>
    <row r="995" spans="1:9" ht="48" customHeight="1">
      <c r="A995" s="3" t="s">
        <v>66</v>
      </c>
      <c r="B995" s="3" t="s">
        <v>65</v>
      </c>
      <c r="C995" s="4">
        <v>46113</v>
      </c>
      <c r="D995" s="4">
        <v>46142</v>
      </c>
      <c r="E995" s="3" t="s">
        <v>368</v>
      </c>
      <c r="F995" s="3" t="s">
        <v>378</v>
      </c>
      <c r="G995" s="5">
        <v>1E-3</v>
      </c>
      <c r="H995" s="6" t="s">
        <v>72</v>
      </c>
      <c r="I995" s="3" t="s">
        <v>45</v>
      </c>
    </row>
    <row r="996" spans="1:9" ht="48" customHeight="1">
      <c r="A996" s="3" t="s">
        <v>66</v>
      </c>
      <c r="B996" s="3" t="s">
        <v>65</v>
      </c>
      <c r="C996" s="4">
        <v>46113</v>
      </c>
      <c r="D996" s="4">
        <v>46142</v>
      </c>
      <c r="E996" s="3" t="s">
        <v>368</v>
      </c>
      <c r="F996" s="3" t="s">
        <v>230</v>
      </c>
      <c r="G996" s="5">
        <v>0</v>
      </c>
      <c r="H996" s="6" t="s">
        <v>72</v>
      </c>
      <c r="I996" s="3" t="s">
        <v>45</v>
      </c>
    </row>
    <row r="997" spans="1:9" ht="48" customHeight="1">
      <c r="A997" s="3" t="s">
        <v>66</v>
      </c>
      <c r="B997" s="3" t="s">
        <v>65</v>
      </c>
      <c r="C997" s="4">
        <v>46113</v>
      </c>
      <c r="D997" s="4">
        <v>46142</v>
      </c>
      <c r="E997" s="3" t="s">
        <v>368</v>
      </c>
      <c r="F997" s="3" t="s">
        <v>232</v>
      </c>
      <c r="G997" s="5">
        <v>0</v>
      </c>
      <c r="H997" s="6" t="s">
        <v>72</v>
      </c>
      <c r="I997" s="3" t="s">
        <v>45</v>
      </c>
    </row>
    <row r="998" spans="1:9" ht="48" customHeight="1">
      <c r="A998" s="3" t="s">
        <v>66</v>
      </c>
      <c r="B998" s="3" t="s">
        <v>65</v>
      </c>
      <c r="C998" s="4">
        <v>46113</v>
      </c>
      <c r="D998" s="4">
        <v>46142</v>
      </c>
      <c r="E998" s="3" t="s">
        <v>368</v>
      </c>
      <c r="F998" s="3" t="s">
        <v>234</v>
      </c>
      <c r="G998" s="5">
        <v>0</v>
      </c>
      <c r="H998" s="6" t="s">
        <v>72</v>
      </c>
      <c r="I998" s="3" t="s">
        <v>45</v>
      </c>
    </row>
    <row r="999" spans="1:9" ht="48" customHeight="1">
      <c r="A999" s="3" t="s">
        <v>66</v>
      </c>
      <c r="B999" s="3" t="s">
        <v>65</v>
      </c>
      <c r="C999" s="4">
        <v>46113</v>
      </c>
      <c r="D999" s="4">
        <v>46142</v>
      </c>
      <c r="E999" s="3" t="s">
        <v>368</v>
      </c>
      <c r="F999" s="3" t="s">
        <v>372</v>
      </c>
      <c r="G999" s="5">
        <v>0</v>
      </c>
      <c r="H999" s="6" t="s">
        <v>72</v>
      </c>
      <c r="I999" s="3" t="s">
        <v>45</v>
      </c>
    </row>
    <row r="1000" spans="1:9" ht="48" customHeight="1">
      <c r="A1000" s="3" t="s">
        <v>66</v>
      </c>
      <c r="B1000" s="3" t="s">
        <v>65</v>
      </c>
      <c r="C1000" s="4">
        <v>46113</v>
      </c>
      <c r="D1000" s="4">
        <v>46142</v>
      </c>
      <c r="E1000" s="3" t="s">
        <v>368</v>
      </c>
      <c r="F1000" s="3" t="s">
        <v>373</v>
      </c>
      <c r="G1000" s="5">
        <v>0</v>
      </c>
      <c r="H1000" s="6" t="s">
        <v>72</v>
      </c>
      <c r="I1000" s="3" t="s">
        <v>45</v>
      </c>
    </row>
    <row r="1001" spans="1:9" ht="48" customHeight="1">
      <c r="A1001" s="3" t="s">
        <v>66</v>
      </c>
      <c r="B1001" s="3" t="s">
        <v>65</v>
      </c>
      <c r="C1001" s="4">
        <v>46113</v>
      </c>
      <c r="D1001" s="4">
        <v>46142</v>
      </c>
      <c r="E1001" s="3" t="s">
        <v>368</v>
      </c>
      <c r="F1001" s="3" t="s">
        <v>265</v>
      </c>
      <c r="G1001" s="5">
        <v>0</v>
      </c>
      <c r="H1001" s="6" t="s">
        <v>72</v>
      </c>
      <c r="I1001" s="3" t="s">
        <v>45</v>
      </c>
    </row>
    <row r="1002" spans="1:9" ht="48" customHeight="1">
      <c r="A1002" s="3" t="s">
        <v>66</v>
      </c>
      <c r="B1002" s="3" t="s">
        <v>65</v>
      </c>
      <c r="C1002" s="4">
        <v>46113</v>
      </c>
      <c r="D1002" s="4">
        <v>46142</v>
      </c>
      <c r="E1002" s="3" t="s">
        <v>368</v>
      </c>
      <c r="F1002" s="3" t="s">
        <v>374</v>
      </c>
      <c r="G1002" s="5">
        <v>0</v>
      </c>
      <c r="H1002" s="6" t="s">
        <v>72</v>
      </c>
      <c r="I1002" s="3" t="s">
        <v>45</v>
      </c>
    </row>
    <row r="1003" spans="1:9" ht="48" customHeight="1">
      <c r="A1003" s="3" t="s">
        <v>66</v>
      </c>
      <c r="B1003" s="3" t="s">
        <v>65</v>
      </c>
      <c r="C1003" s="4">
        <v>46113</v>
      </c>
      <c r="D1003" s="4">
        <v>46142</v>
      </c>
      <c r="E1003" s="3" t="s">
        <v>368</v>
      </c>
      <c r="F1003" s="3" t="s">
        <v>207</v>
      </c>
      <c r="G1003" s="5">
        <v>0</v>
      </c>
      <c r="H1003" s="6" t="s">
        <v>72</v>
      </c>
      <c r="I1003" s="3" t="s">
        <v>45</v>
      </c>
    </row>
    <row r="1004" spans="1:9" ht="48" customHeight="1">
      <c r="A1004" s="3" t="s">
        <v>66</v>
      </c>
      <c r="B1004" s="3" t="s">
        <v>65</v>
      </c>
      <c r="C1004" s="4">
        <v>46113</v>
      </c>
      <c r="D1004" s="4">
        <v>46142</v>
      </c>
      <c r="E1004" s="3" t="s">
        <v>368</v>
      </c>
      <c r="F1004" s="3" t="s">
        <v>375</v>
      </c>
      <c r="G1004" s="5">
        <v>0</v>
      </c>
      <c r="H1004" s="6" t="s">
        <v>72</v>
      </c>
      <c r="I1004" s="3" t="s">
        <v>45</v>
      </c>
    </row>
    <row r="1005" spans="1:9" ht="48" customHeight="1">
      <c r="A1005" s="3" t="s">
        <v>66</v>
      </c>
      <c r="B1005" s="3" t="s">
        <v>65</v>
      </c>
      <c r="C1005" s="4">
        <v>46113</v>
      </c>
      <c r="D1005" s="4">
        <v>46142</v>
      </c>
      <c r="E1005" s="3" t="s">
        <v>368</v>
      </c>
      <c r="F1005" s="3" t="s">
        <v>376</v>
      </c>
      <c r="G1005" s="5">
        <v>0</v>
      </c>
      <c r="H1005" s="6" t="s">
        <v>72</v>
      </c>
      <c r="I1005" s="3" t="s">
        <v>45</v>
      </c>
    </row>
    <row r="1006" spans="1:9" ht="48" customHeight="1">
      <c r="A1006" s="3" t="s">
        <v>66</v>
      </c>
      <c r="B1006" s="3" t="s">
        <v>65</v>
      </c>
      <c r="C1006" s="4">
        <v>46113</v>
      </c>
      <c r="D1006" s="4">
        <v>46142</v>
      </c>
      <c r="E1006" s="3" t="s">
        <v>368</v>
      </c>
      <c r="F1006" s="3" t="s">
        <v>377</v>
      </c>
      <c r="G1006" s="5">
        <v>0</v>
      </c>
      <c r="H1006" s="6" t="s">
        <v>72</v>
      </c>
      <c r="I1006" s="3" t="s">
        <v>45</v>
      </c>
    </row>
    <row r="1007" spans="1:9" ht="48" customHeight="1">
      <c r="A1007" s="3" t="s">
        <v>66</v>
      </c>
      <c r="B1007" s="3" t="s">
        <v>65</v>
      </c>
      <c r="C1007" s="4">
        <v>46113</v>
      </c>
      <c r="D1007" s="4">
        <v>46142</v>
      </c>
      <c r="E1007" s="3" t="s">
        <v>379</v>
      </c>
      <c r="F1007" s="3" t="s">
        <v>230</v>
      </c>
      <c r="G1007" s="5">
        <v>1E-3</v>
      </c>
      <c r="H1007" s="6" t="s">
        <v>72</v>
      </c>
      <c r="I1007" s="3" t="s">
        <v>45</v>
      </c>
    </row>
    <row r="1008" spans="1:9" ht="48" customHeight="1">
      <c r="A1008" s="3" t="s">
        <v>66</v>
      </c>
      <c r="B1008" s="3" t="s">
        <v>65</v>
      </c>
      <c r="C1008" s="4">
        <v>46113</v>
      </c>
      <c r="D1008" s="4">
        <v>46142</v>
      </c>
      <c r="E1008" s="3" t="s">
        <v>379</v>
      </c>
      <c r="F1008" s="3" t="s">
        <v>265</v>
      </c>
      <c r="G1008" s="5">
        <v>1E-3</v>
      </c>
      <c r="H1008" s="6" t="s">
        <v>72</v>
      </c>
      <c r="I1008" s="3" t="s">
        <v>45</v>
      </c>
    </row>
    <row r="1009" spans="1:9" ht="48" customHeight="1">
      <c r="A1009" s="3" t="s">
        <v>66</v>
      </c>
      <c r="B1009" s="3" t="s">
        <v>65</v>
      </c>
      <c r="C1009" s="4">
        <v>46113</v>
      </c>
      <c r="D1009" s="4">
        <v>46142</v>
      </c>
      <c r="E1009" s="3" t="s">
        <v>379</v>
      </c>
      <c r="F1009" s="3" t="s">
        <v>380</v>
      </c>
      <c r="G1009" s="5">
        <v>1E-3</v>
      </c>
      <c r="H1009" s="6" t="s">
        <v>72</v>
      </c>
      <c r="I1009" s="3" t="s">
        <v>45</v>
      </c>
    </row>
    <row r="1010" spans="1:9" ht="48" customHeight="1">
      <c r="A1010" s="3" t="s">
        <v>66</v>
      </c>
      <c r="B1010" s="3" t="s">
        <v>65</v>
      </c>
      <c r="C1010" s="4">
        <v>46113</v>
      </c>
      <c r="D1010" s="4">
        <v>46142</v>
      </c>
      <c r="E1010" s="3" t="s">
        <v>379</v>
      </c>
      <c r="F1010" s="3" t="s">
        <v>234</v>
      </c>
      <c r="G1010" s="5">
        <v>0</v>
      </c>
      <c r="H1010" s="6" t="s">
        <v>72</v>
      </c>
      <c r="I1010" s="3" t="s">
        <v>45</v>
      </c>
    </row>
    <row r="1011" spans="1:9" ht="48" customHeight="1">
      <c r="A1011" s="3" t="s">
        <v>66</v>
      </c>
      <c r="B1011" s="3" t="s">
        <v>65</v>
      </c>
      <c r="C1011" s="4">
        <v>46113</v>
      </c>
      <c r="D1011" s="4">
        <v>46142</v>
      </c>
      <c r="E1011" s="3" t="s">
        <v>379</v>
      </c>
      <c r="F1011" s="3" t="s">
        <v>262</v>
      </c>
      <c r="G1011" s="5">
        <v>0</v>
      </c>
      <c r="H1011" s="6" t="s">
        <v>72</v>
      </c>
      <c r="I1011" s="3" t="s">
        <v>45</v>
      </c>
    </row>
    <row r="1012" spans="1:9" ht="48" customHeight="1">
      <c r="A1012" s="3" t="s">
        <v>66</v>
      </c>
      <c r="B1012" s="3" t="s">
        <v>65</v>
      </c>
      <c r="C1012" s="4">
        <v>46113</v>
      </c>
      <c r="D1012" s="4">
        <v>46142</v>
      </c>
      <c r="E1012" s="3" t="s">
        <v>381</v>
      </c>
      <c r="F1012" s="3" t="s">
        <v>382</v>
      </c>
      <c r="G1012" s="5">
        <v>2E-3</v>
      </c>
      <c r="H1012" s="6" t="s">
        <v>72</v>
      </c>
      <c r="I1012" s="3" t="s">
        <v>45</v>
      </c>
    </row>
    <row r="1013" spans="1:9" ht="48" customHeight="1">
      <c r="A1013" s="3" t="s">
        <v>66</v>
      </c>
      <c r="B1013" s="3" t="s">
        <v>65</v>
      </c>
      <c r="C1013" s="4">
        <v>46113</v>
      </c>
      <c r="D1013" s="4">
        <v>46142</v>
      </c>
      <c r="E1013" s="3" t="s">
        <v>381</v>
      </c>
      <c r="F1013" s="3" t="s">
        <v>383</v>
      </c>
      <c r="G1013" s="5">
        <v>1E-3</v>
      </c>
      <c r="H1013" s="6" t="s">
        <v>72</v>
      </c>
      <c r="I1013" s="3" t="s">
        <v>45</v>
      </c>
    </row>
    <row r="1014" spans="1:9" ht="48" customHeight="1">
      <c r="A1014" s="3" t="s">
        <v>66</v>
      </c>
      <c r="B1014" s="3" t="s">
        <v>65</v>
      </c>
      <c r="C1014" s="4">
        <v>46143</v>
      </c>
      <c r="D1014" s="4">
        <v>46173</v>
      </c>
      <c r="E1014" s="3" t="s">
        <v>68</v>
      </c>
      <c r="F1014" s="3" t="s">
        <v>146</v>
      </c>
      <c r="G1014" s="5">
        <v>0.16200000000000001</v>
      </c>
      <c r="H1014" s="6" t="s">
        <v>73</v>
      </c>
      <c r="I1014" s="3" t="s">
        <v>45</v>
      </c>
    </row>
    <row r="1015" spans="1:9" ht="48" customHeight="1">
      <c r="A1015" s="3" t="s">
        <v>66</v>
      </c>
      <c r="B1015" s="3" t="s">
        <v>65</v>
      </c>
      <c r="C1015" s="4">
        <v>46143</v>
      </c>
      <c r="D1015" s="4">
        <v>46173</v>
      </c>
      <c r="E1015" s="3" t="s">
        <v>68</v>
      </c>
      <c r="F1015" s="3" t="s">
        <v>147</v>
      </c>
      <c r="G1015" s="5">
        <v>7.0999999999999994E-2</v>
      </c>
      <c r="H1015" s="6" t="s">
        <v>73</v>
      </c>
      <c r="I1015" s="3" t="s">
        <v>45</v>
      </c>
    </row>
    <row r="1016" spans="1:9" ht="48" customHeight="1">
      <c r="A1016" s="3" t="s">
        <v>66</v>
      </c>
      <c r="B1016" s="3" t="s">
        <v>65</v>
      </c>
      <c r="C1016" s="4">
        <v>46143</v>
      </c>
      <c r="D1016" s="4">
        <v>46173</v>
      </c>
      <c r="E1016" s="3" t="s">
        <v>68</v>
      </c>
      <c r="F1016" s="3" t="s">
        <v>148</v>
      </c>
      <c r="G1016" s="5">
        <v>6.0999999999999999E-2</v>
      </c>
      <c r="H1016" s="6" t="s">
        <v>73</v>
      </c>
      <c r="I1016" s="3" t="s">
        <v>45</v>
      </c>
    </row>
    <row r="1017" spans="1:9" ht="48" customHeight="1">
      <c r="A1017" s="3" t="s">
        <v>66</v>
      </c>
      <c r="B1017" s="3" t="s">
        <v>65</v>
      </c>
      <c r="C1017" s="4">
        <v>46143</v>
      </c>
      <c r="D1017" s="4">
        <v>46173</v>
      </c>
      <c r="E1017" s="3" t="s">
        <v>68</v>
      </c>
      <c r="F1017" s="3" t="s">
        <v>149</v>
      </c>
      <c r="G1017" s="5">
        <v>4.2000000000000003E-2</v>
      </c>
      <c r="H1017" s="6" t="s">
        <v>73</v>
      </c>
      <c r="I1017" s="3" t="s">
        <v>45</v>
      </c>
    </row>
    <row r="1018" spans="1:9" ht="48" customHeight="1">
      <c r="A1018" s="3" t="s">
        <v>66</v>
      </c>
      <c r="B1018" s="3" t="s">
        <v>65</v>
      </c>
      <c r="C1018" s="4">
        <v>46143</v>
      </c>
      <c r="D1018" s="4">
        <v>46173</v>
      </c>
      <c r="E1018" s="3" t="s">
        <v>68</v>
      </c>
      <c r="F1018" s="3" t="s">
        <v>150</v>
      </c>
      <c r="G1018" s="5">
        <v>0.03</v>
      </c>
      <c r="H1018" s="6" t="s">
        <v>73</v>
      </c>
      <c r="I1018" s="3" t="s">
        <v>45</v>
      </c>
    </row>
    <row r="1019" spans="1:9" ht="48" customHeight="1">
      <c r="A1019" s="3" t="s">
        <v>66</v>
      </c>
      <c r="B1019" s="3" t="s">
        <v>65</v>
      </c>
      <c r="C1019" s="4">
        <v>46143</v>
      </c>
      <c r="D1019" s="4">
        <v>46173</v>
      </c>
      <c r="E1019" s="3" t="s">
        <v>68</v>
      </c>
      <c r="F1019" s="3" t="s">
        <v>151</v>
      </c>
      <c r="G1019" s="5">
        <v>2.4E-2</v>
      </c>
      <c r="H1019" s="6" t="s">
        <v>73</v>
      </c>
      <c r="I1019" s="3" t="s">
        <v>45</v>
      </c>
    </row>
    <row r="1020" spans="1:9" ht="48" customHeight="1">
      <c r="A1020" s="3" t="s">
        <v>66</v>
      </c>
      <c r="B1020" s="3" t="s">
        <v>65</v>
      </c>
      <c r="C1020" s="4">
        <v>46143</v>
      </c>
      <c r="D1020" s="4">
        <v>46173</v>
      </c>
      <c r="E1020" s="3" t="s">
        <v>68</v>
      </c>
      <c r="F1020" s="3" t="s">
        <v>152</v>
      </c>
      <c r="G1020" s="5">
        <v>1.6E-2</v>
      </c>
      <c r="H1020" s="6" t="s">
        <v>73</v>
      </c>
      <c r="I1020" s="3" t="s">
        <v>45</v>
      </c>
    </row>
    <row r="1021" spans="1:9" ht="48" customHeight="1">
      <c r="A1021" s="3" t="s">
        <v>66</v>
      </c>
      <c r="B1021" s="3" t="s">
        <v>65</v>
      </c>
      <c r="C1021" s="4">
        <v>46143</v>
      </c>
      <c r="D1021" s="4">
        <v>46173</v>
      </c>
      <c r="E1021" s="3" t="s">
        <v>68</v>
      </c>
      <c r="F1021" s="3" t="s">
        <v>153</v>
      </c>
      <c r="G1021" s="5">
        <v>1.6E-2</v>
      </c>
      <c r="H1021" s="6" t="s">
        <v>73</v>
      </c>
      <c r="I1021" s="3" t="s">
        <v>45</v>
      </c>
    </row>
    <row r="1022" spans="1:9" ht="48" customHeight="1">
      <c r="A1022" s="3" t="s">
        <v>66</v>
      </c>
      <c r="B1022" s="3" t="s">
        <v>65</v>
      </c>
      <c r="C1022" s="4">
        <v>46143</v>
      </c>
      <c r="D1022" s="4">
        <v>46173</v>
      </c>
      <c r="E1022" s="3" t="s">
        <v>68</v>
      </c>
      <c r="F1022" s="3" t="s">
        <v>155</v>
      </c>
      <c r="G1022" s="5">
        <v>0.01</v>
      </c>
      <c r="H1022" s="6" t="s">
        <v>73</v>
      </c>
      <c r="I1022" s="3" t="s">
        <v>45</v>
      </c>
    </row>
    <row r="1023" spans="1:9" ht="48" customHeight="1">
      <c r="A1023" s="3" t="s">
        <v>66</v>
      </c>
      <c r="B1023" s="3" t="s">
        <v>65</v>
      </c>
      <c r="C1023" s="4">
        <v>46143</v>
      </c>
      <c r="D1023" s="4">
        <v>46173</v>
      </c>
      <c r="E1023" s="3" t="s">
        <v>68</v>
      </c>
      <c r="F1023" s="3" t="s">
        <v>154</v>
      </c>
      <c r="G1023" s="5">
        <v>9.0000000000000011E-3</v>
      </c>
      <c r="H1023" s="6" t="s">
        <v>73</v>
      </c>
      <c r="I1023" s="3" t="s">
        <v>45</v>
      </c>
    </row>
    <row r="1024" spans="1:9" ht="48" customHeight="1">
      <c r="A1024" s="3" t="s">
        <v>66</v>
      </c>
      <c r="B1024" s="3" t="s">
        <v>65</v>
      </c>
      <c r="C1024" s="4">
        <v>46143</v>
      </c>
      <c r="D1024" s="4">
        <v>46173</v>
      </c>
      <c r="E1024" s="3" t="s">
        <v>68</v>
      </c>
      <c r="F1024" s="3" t="s">
        <v>157</v>
      </c>
      <c r="G1024" s="5">
        <v>5.0000000000000001E-3</v>
      </c>
      <c r="H1024" s="6" t="s">
        <v>73</v>
      </c>
      <c r="I1024" s="3" t="s">
        <v>45</v>
      </c>
    </row>
    <row r="1025" spans="1:9" ht="48" customHeight="1">
      <c r="A1025" s="3" t="s">
        <v>66</v>
      </c>
      <c r="B1025" s="3" t="s">
        <v>65</v>
      </c>
      <c r="C1025" s="4">
        <v>46143</v>
      </c>
      <c r="D1025" s="4">
        <v>46173</v>
      </c>
      <c r="E1025" s="3" t="s">
        <v>68</v>
      </c>
      <c r="F1025" s="3" t="s">
        <v>156</v>
      </c>
      <c r="G1025" s="5">
        <v>5.0000000000000001E-3</v>
      </c>
      <c r="H1025" s="6" t="s">
        <v>73</v>
      </c>
      <c r="I1025" s="3" t="s">
        <v>45</v>
      </c>
    </row>
    <row r="1026" spans="1:9" ht="48" customHeight="1">
      <c r="A1026" s="3" t="s">
        <v>66</v>
      </c>
      <c r="B1026" s="3" t="s">
        <v>65</v>
      </c>
      <c r="C1026" s="4">
        <v>46143</v>
      </c>
      <c r="D1026" s="4">
        <v>46173</v>
      </c>
      <c r="E1026" s="3" t="s">
        <v>68</v>
      </c>
      <c r="F1026" s="3" t="s">
        <v>158</v>
      </c>
      <c r="G1026" s="5">
        <v>3.0000000000000001E-3</v>
      </c>
      <c r="H1026" s="6" t="s">
        <v>73</v>
      </c>
      <c r="I1026" s="3" t="s">
        <v>45</v>
      </c>
    </row>
    <row r="1027" spans="1:9" ht="48" customHeight="1">
      <c r="A1027" s="3" t="s">
        <v>66</v>
      </c>
      <c r="B1027" s="3" t="s">
        <v>65</v>
      </c>
      <c r="C1027" s="4">
        <v>46143</v>
      </c>
      <c r="D1027" s="4">
        <v>46173</v>
      </c>
      <c r="E1027" s="3" t="s">
        <v>68</v>
      </c>
      <c r="F1027" s="3" t="s">
        <v>159</v>
      </c>
      <c r="G1027" s="5">
        <v>2E-3</v>
      </c>
      <c r="H1027" s="6" t="s">
        <v>73</v>
      </c>
      <c r="I1027" s="3" t="s">
        <v>45</v>
      </c>
    </row>
    <row r="1028" spans="1:9" ht="48" customHeight="1">
      <c r="A1028" s="3" t="s">
        <v>66</v>
      </c>
      <c r="B1028" s="3" t="s">
        <v>65</v>
      </c>
      <c r="C1028" s="4">
        <v>46143</v>
      </c>
      <c r="D1028" s="4">
        <v>46173</v>
      </c>
      <c r="E1028" s="3" t="s">
        <v>68</v>
      </c>
      <c r="F1028" s="3" t="s">
        <v>160</v>
      </c>
      <c r="G1028" s="5">
        <v>1E-3</v>
      </c>
      <c r="H1028" s="6" t="s">
        <v>73</v>
      </c>
      <c r="I1028" s="3" t="s">
        <v>45</v>
      </c>
    </row>
    <row r="1029" spans="1:9" ht="48" customHeight="1">
      <c r="A1029" s="3" t="s">
        <v>66</v>
      </c>
      <c r="B1029" s="3" t="s">
        <v>65</v>
      </c>
      <c r="C1029" s="4">
        <v>46143</v>
      </c>
      <c r="D1029" s="4">
        <v>46173</v>
      </c>
      <c r="E1029" s="3" t="s">
        <v>161</v>
      </c>
      <c r="F1029" s="3" t="s">
        <v>162</v>
      </c>
      <c r="G1029" s="5">
        <v>2.1000000000000001E-2</v>
      </c>
      <c r="H1029" s="6" t="s">
        <v>73</v>
      </c>
      <c r="I1029" s="3" t="s">
        <v>45</v>
      </c>
    </row>
    <row r="1030" spans="1:9" ht="48" customHeight="1">
      <c r="A1030" s="3" t="s">
        <v>66</v>
      </c>
      <c r="B1030" s="3" t="s">
        <v>65</v>
      </c>
      <c r="C1030" s="4">
        <v>46143</v>
      </c>
      <c r="D1030" s="4">
        <v>46173</v>
      </c>
      <c r="E1030" s="3" t="s">
        <v>161</v>
      </c>
      <c r="F1030" s="3" t="s">
        <v>163</v>
      </c>
      <c r="G1030" s="5">
        <v>0.01</v>
      </c>
      <c r="H1030" s="6" t="s">
        <v>73</v>
      </c>
      <c r="I1030" s="3" t="s">
        <v>45</v>
      </c>
    </row>
    <row r="1031" spans="1:9" ht="48" customHeight="1">
      <c r="A1031" s="3" t="s">
        <v>66</v>
      </c>
      <c r="B1031" s="3" t="s">
        <v>65</v>
      </c>
      <c r="C1031" s="4">
        <v>46143</v>
      </c>
      <c r="D1031" s="4">
        <v>46173</v>
      </c>
      <c r="E1031" s="3" t="s">
        <v>161</v>
      </c>
      <c r="F1031" s="3" t="s">
        <v>164</v>
      </c>
      <c r="G1031" s="5">
        <v>9.0000000000000011E-3</v>
      </c>
      <c r="H1031" s="6" t="s">
        <v>73</v>
      </c>
      <c r="I1031" s="3" t="s">
        <v>45</v>
      </c>
    </row>
    <row r="1032" spans="1:9" ht="48" customHeight="1">
      <c r="A1032" s="3" t="s">
        <v>66</v>
      </c>
      <c r="B1032" s="3" t="s">
        <v>65</v>
      </c>
      <c r="C1032" s="4">
        <v>46143</v>
      </c>
      <c r="D1032" s="4">
        <v>46173</v>
      </c>
      <c r="E1032" s="3" t="s">
        <v>161</v>
      </c>
      <c r="F1032" s="3" t="s">
        <v>384</v>
      </c>
      <c r="G1032" s="5">
        <v>8.0000000000000002E-3</v>
      </c>
      <c r="H1032" s="6" t="s">
        <v>73</v>
      </c>
      <c r="I1032" s="3" t="s">
        <v>45</v>
      </c>
    </row>
    <row r="1033" spans="1:9" ht="48" customHeight="1">
      <c r="A1033" s="3" t="s">
        <v>66</v>
      </c>
      <c r="B1033" s="3" t="s">
        <v>65</v>
      </c>
      <c r="C1033" s="4">
        <v>46143</v>
      </c>
      <c r="D1033" s="4">
        <v>46173</v>
      </c>
      <c r="E1033" s="3" t="s">
        <v>161</v>
      </c>
      <c r="F1033" s="3" t="s">
        <v>165</v>
      </c>
      <c r="G1033" s="5">
        <v>6.9999999999999993E-3</v>
      </c>
      <c r="H1033" s="6" t="s">
        <v>73</v>
      </c>
      <c r="I1033" s="3" t="s">
        <v>45</v>
      </c>
    </row>
    <row r="1034" spans="1:9" ht="48" customHeight="1">
      <c r="A1034" s="3" t="s">
        <v>66</v>
      </c>
      <c r="B1034" s="3" t="s">
        <v>65</v>
      </c>
      <c r="C1034" s="4">
        <v>46143</v>
      </c>
      <c r="D1034" s="4">
        <v>46173</v>
      </c>
      <c r="E1034" s="3" t="s">
        <v>161</v>
      </c>
      <c r="F1034" s="3" t="s">
        <v>171</v>
      </c>
      <c r="G1034" s="5">
        <v>6.9999999999999993E-3</v>
      </c>
      <c r="H1034" s="6" t="s">
        <v>73</v>
      </c>
      <c r="I1034" s="3" t="s">
        <v>45</v>
      </c>
    </row>
    <row r="1035" spans="1:9" ht="48" customHeight="1">
      <c r="A1035" s="3" t="s">
        <v>66</v>
      </c>
      <c r="B1035" s="3" t="s">
        <v>65</v>
      </c>
      <c r="C1035" s="4">
        <v>46143</v>
      </c>
      <c r="D1035" s="4">
        <v>46173</v>
      </c>
      <c r="E1035" s="3" t="s">
        <v>161</v>
      </c>
      <c r="F1035" s="3" t="s">
        <v>166</v>
      </c>
      <c r="G1035" s="5">
        <v>6.9999999999999993E-3</v>
      </c>
      <c r="H1035" s="6" t="s">
        <v>73</v>
      </c>
      <c r="I1035" s="3" t="s">
        <v>45</v>
      </c>
    </row>
    <row r="1036" spans="1:9" ht="48" customHeight="1">
      <c r="A1036" s="3" t="s">
        <v>66</v>
      </c>
      <c r="B1036" s="3" t="s">
        <v>65</v>
      </c>
      <c r="C1036" s="4">
        <v>46143</v>
      </c>
      <c r="D1036" s="4">
        <v>46173</v>
      </c>
      <c r="E1036" s="3" t="s">
        <v>161</v>
      </c>
      <c r="F1036" s="3" t="s">
        <v>385</v>
      </c>
      <c r="G1036" s="5">
        <v>6.9999999999999993E-3</v>
      </c>
      <c r="H1036" s="6" t="s">
        <v>73</v>
      </c>
      <c r="I1036" s="3" t="s">
        <v>45</v>
      </c>
    </row>
    <row r="1037" spans="1:9" ht="48" customHeight="1">
      <c r="A1037" s="3" t="s">
        <v>66</v>
      </c>
      <c r="B1037" s="3" t="s">
        <v>65</v>
      </c>
      <c r="C1037" s="4">
        <v>46143</v>
      </c>
      <c r="D1037" s="4">
        <v>46173</v>
      </c>
      <c r="E1037" s="3" t="s">
        <v>161</v>
      </c>
      <c r="F1037" s="3" t="s">
        <v>167</v>
      </c>
      <c r="G1037" s="5">
        <v>6.0000000000000001E-3</v>
      </c>
      <c r="H1037" s="6" t="s">
        <v>73</v>
      </c>
      <c r="I1037" s="3" t="s">
        <v>45</v>
      </c>
    </row>
    <row r="1038" spans="1:9" ht="48" customHeight="1">
      <c r="A1038" s="3" t="s">
        <v>66</v>
      </c>
      <c r="B1038" s="3" t="s">
        <v>65</v>
      </c>
      <c r="C1038" s="4">
        <v>46143</v>
      </c>
      <c r="D1038" s="4">
        <v>46173</v>
      </c>
      <c r="E1038" s="3" t="s">
        <v>161</v>
      </c>
      <c r="F1038" s="3" t="s">
        <v>169</v>
      </c>
      <c r="G1038" s="5">
        <v>6.0000000000000001E-3</v>
      </c>
      <c r="H1038" s="6" t="s">
        <v>73</v>
      </c>
      <c r="I1038" s="3" t="s">
        <v>45</v>
      </c>
    </row>
    <row r="1039" spans="1:9" ht="48" customHeight="1">
      <c r="A1039" s="3" t="s">
        <v>66</v>
      </c>
      <c r="B1039" s="3" t="s">
        <v>65</v>
      </c>
      <c r="C1039" s="4">
        <v>46143</v>
      </c>
      <c r="D1039" s="4">
        <v>46173</v>
      </c>
      <c r="E1039" s="3" t="s">
        <v>161</v>
      </c>
      <c r="F1039" s="3" t="s">
        <v>170</v>
      </c>
      <c r="G1039" s="5">
        <v>6.0000000000000001E-3</v>
      </c>
      <c r="H1039" s="6" t="s">
        <v>73</v>
      </c>
      <c r="I1039" s="3" t="s">
        <v>45</v>
      </c>
    </row>
    <row r="1040" spans="1:9" ht="48" customHeight="1">
      <c r="A1040" s="3" t="s">
        <v>66</v>
      </c>
      <c r="B1040" s="3" t="s">
        <v>65</v>
      </c>
      <c r="C1040" s="4">
        <v>46143</v>
      </c>
      <c r="D1040" s="4">
        <v>46173</v>
      </c>
      <c r="E1040" s="3" t="s">
        <v>161</v>
      </c>
      <c r="F1040" s="3" t="s">
        <v>172</v>
      </c>
      <c r="G1040" s="5">
        <v>6.0000000000000001E-3</v>
      </c>
      <c r="H1040" s="6" t="s">
        <v>73</v>
      </c>
      <c r="I1040" s="3" t="s">
        <v>45</v>
      </c>
    </row>
    <row r="1041" spans="1:9" ht="48" customHeight="1">
      <c r="A1041" s="3" t="s">
        <v>66</v>
      </c>
      <c r="B1041" s="3" t="s">
        <v>65</v>
      </c>
      <c r="C1041" s="4">
        <v>46143</v>
      </c>
      <c r="D1041" s="4">
        <v>46173</v>
      </c>
      <c r="E1041" s="3" t="s">
        <v>161</v>
      </c>
      <c r="F1041" s="3" t="s">
        <v>173</v>
      </c>
      <c r="G1041" s="5">
        <v>6.0000000000000001E-3</v>
      </c>
      <c r="H1041" s="6" t="s">
        <v>73</v>
      </c>
      <c r="I1041" s="3" t="s">
        <v>45</v>
      </c>
    </row>
    <row r="1042" spans="1:9" ht="48" customHeight="1">
      <c r="A1042" s="3" t="s">
        <v>66</v>
      </c>
      <c r="B1042" s="3" t="s">
        <v>65</v>
      </c>
      <c r="C1042" s="4">
        <v>46143</v>
      </c>
      <c r="D1042" s="4">
        <v>46173</v>
      </c>
      <c r="E1042" s="3" t="s">
        <v>161</v>
      </c>
      <c r="F1042" s="3" t="s">
        <v>174</v>
      </c>
      <c r="G1042" s="5">
        <v>5.0000000000000001E-3</v>
      </c>
      <c r="H1042" s="6" t="s">
        <v>73</v>
      </c>
      <c r="I1042" s="3" t="s">
        <v>45</v>
      </c>
    </row>
    <row r="1043" spans="1:9" ht="48" customHeight="1">
      <c r="A1043" s="3" t="s">
        <v>66</v>
      </c>
      <c r="B1043" s="3" t="s">
        <v>65</v>
      </c>
      <c r="C1043" s="4">
        <v>46143</v>
      </c>
      <c r="D1043" s="4">
        <v>46173</v>
      </c>
      <c r="E1043" s="3" t="s">
        <v>161</v>
      </c>
      <c r="F1043" s="3" t="s">
        <v>168</v>
      </c>
      <c r="G1043" s="5">
        <v>5.0000000000000001E-3</v>
      </c>
      <c r="H1043" s="6" t="s">
        <v>73</v>
      </c>
      <c r="I1043" s="3" t="s">
        <v>45</v>
      </c>
    </row>
    <row r="1044" spans="1:9" ht="48" customHeight="1">
      <c r="A1044" s="3" t="s">
        <v>66</v>
      </c>
      <c r="B1044" s="3" t="s">
        <v>65</v>
      </c>
      <c r="C1044" s="4">
        <v>46143</v>
      </c>
      <c r="D1044" s="4">
        <v>46173</v>
      </c>
      <c r="E1044" s="3" t="s">
        <v>161</v>
      </c>
      <c r="F1044" s="3" t="s">
        <v>186</v>
      </c>
      <c r="G1044" s="5">
        <v>5.0000000000000001E-3</v>
      </c>
      <c r="H1044" s="6" t="s">
        <v>73</v>
      </c>
      <c r="I1044" s="3" t="s">
        <v>45</v>
      </c>
    </row>
    <row r="1045" spans="1:9" ht="48" customHeight="1">
      <c r="A1045" s="3" t="s">
        <v>66</v>
      </c>
      <c r="B1045" s="3" t="s">
        <v>65</v>
      </c>
      <c r="C1045" s="4">
        <v>46143</v>
      </c>
      <c r="D1045" s="4">
        <v>46173</v>
      </c>
      <c r="E1045" s="3" t="s">
        <v>161</v>
      </c>
      <c r="F1045" s="3" t="s">
        <v>177</v>
      </c>
      <c r="G1045" s="5">
        <v>5.0000000000000001E-3</v>
      </c>
      <c r="H1045" s="6" t="s">
        <v>73</v>
      </c>
      <c r="I1045" s="3" t="s">
        <v>45</v>
      </c>
    </row>
    <row r="1046" spans="1:9" ht="48" customHeight="1">
      <c r="A1046" s="3" t="s">
        <v>66</v>
      </c>
      <c r="B1046" s="3" t="s">
        <v>65</v>
      </c>
      <c r="C1046" s="4">
        <v>46143</v>
      </c>
      <c r="D1046" s="4">
        <v>46173</v>
      </c>
      <c r="E1046" s="3" t="s">
        <v>161</v>
      </c>
      <c r="F1046" s="3" t="s">
        <v>178</v>
      </c>
      <c r="G1046" s="5">
        <v>5.0000000000000001E-3</v>
      </c>
      <c r="H1046" s="6" t="s">
        <v>73</v>
      </c>
      <c r="I1046" s="3" t="s">
        <v>45</v>
      </c>
    </row>
    <row r="1047" spans="1:9" ht="48" customHeight="1">
      <c r="A1047" s="3" t="s">
        <v>66</v>
      </c>
      <c r="B1047" s="3" t="s">
        <v>65</v>
      </c>
      <c r="C1047" s="4">
        <v>46143</v>
      </c>
      <c r="D1047" s="4">
        <v>46173</v>
      </c>
      <c r="E1047" s="3" t="s">
        <v>161</v>
      </c>
      <c r="F1047" s="3" t="s">
        <v>179</v>
      </c>
      <c r="G1047" s="5">
        <v>5.0000000000000001E-3</v>
      </c>
      <c r="H1047" s="6" t="s">
        <v>73</v>
      </c>
      <c r="I1047" s="3" t="s">
        <v>45</v>
      </c>
    </row>
    <row r="1048" spans="1:9" ht="48" customHeight="1">
      <c r="A1048" s="3" t="s">
        <v>66</v>
      </c>
      <c r="B1048" s="3" t="s">
        <v>65</v>
      </c>
      <c r="C1048" s="4">
        <v>46143</v>
      </c>
      <c r="D1048" s="4">
        <v>46173</v>
      </c>
      <c r="E1048" s="3" t="s">
        <v>161</v>
      </c>
      <c r="F1048" s="3" t="s">
        <v>180</v>
      </c>
      <c r="G1048" s="5">
        <v>5.0000000000000001E-3</v>
      </c>
      <c r="H1048" s="6" t="s">
        <v>73</v>
      </c>
      <c r="I1048" s="3" t="s">
        <v>45</v>
      </c>
    </row>
    <row r="1049" spans="1:9" ht="48" customHeight="1">
      <c r="A1049" s="3" t="s">
        <v>66</v>
      </c>
      <c r="B1049" s="3" t="s">
        <v>65</v>
      </c>
      <c r="C1049" s="4">
        <v>46143</v>
      </c>
      <c r="D1049" s="4">
        <v>46173</v>
      </c>
      <c r="E1049" s="3" t="s">
        <v>161</v>
      </c>
      <c r="F1049" s="3" t="s">
        <v>181</v>
      </c>
      <c r="G1049" s="5">
        <v>5.0000000000000001E-3</v>
      </c>
      <c r="H1049" s="6" t="s">
        <v>73</v>
      </c>
      <c r="I1049" s="3" t="s">
        <v>45</v>
      </c>
    </row>
    <row r="1050" spans="1:9" ht="48" customHeight="1">
      <c r="A1050" s="3" t="s">
        <v>66</v>
      </c>
      <c r="B1050" s="3" t="s">
        <v>65</v>
      </c>
      <c r="C1050" s="4">
        <v>46143</v>
      </c>
      <c r="D1050" s="4">
        <v>46173</v>
      </c>
      <c r="E1050" s="3" t="s">
        <v>161</v>
      </c>
      <c r="F1050" s="3" t="s">
        <v>183</v>
      </c>
      <c r="G1050" s="5">
        <v>5.0000000000000001E-3</v>
      </c>
      <c r="H1050" s="6" t="s">
        <v>73</v>
      </c>
      <c r="I1050" s="3" t="s">
        <v>45</v>
      </c>
    </row>
    <row r="1051" spans="1:9" ht="48" customHeight="1">
      <c r="A1051" s="3" t="s">
        <v>66</v>
      </c>
      <c r="B1051" s="3" t="s">
        <v>65</v>
      </c>
      <c r="C1051" s="4">
        <v>46143</v>
      </c>
      <c r="D1051" s="4">
        <v>46173</v>
      </c>
      <c r="E1051" s="3" t="s">
        <v>161</v>
      </c>
      <c r="F1051" s="3" t="s">
        <v>175</v>
      </c>
      <c r="G1051" s="5">
        <v>4.0000000000000001E-3</v>
      </c>
      <c r="H1051" s="6" t="s">
        <v>73</v>
      </c>
      <c r="I1051" s="3" t="s">
        <v>45</v>
      </c>
    </row>
    <row r="1052" spans="1:9" ht="48" customHeight="1">
      <c r="A1052" s="3" t="s">
        <v>66</v>
      </c>
      <c r="B1052" s="3" t="s">
        <v>65</v>
      </c>
      <c r="C1052" s="4">
        <v>46143</v>
      </c>
      <c r="D1052" s="4">
        <v>46173</v>
      </c>
      <c r="E1052" s="3" t="s">
        <v>161</v>
      </c>
      <c r="F1052" s="3" t="s">
        <v>176</v>
      </c>
      <c r="G1052" s="5">
        <v>4.0000000000000001E-3</v>
      </c>
      <c r="H1052" s="6" t="s">
        <v>73</v>
      </c>
      <c r="I1052" s="3" t="s">
        <v>45</v>
      </c>
    </row>
    <row r="1053" spans="1:9" ht="48" customHeight="1">
      <c r="A1053" s="3" t="s">
        <v>66</v>
      </c>
      <c r="B1053" s="3" t="s">
        <v>65</v>
      </c>
      <c r="C1053" s="4">
        <v>46143</v>
      </c>
      <c r="D1053" s="4">
        <v>46173</v>
      </c>
      <c r="E1053" s="3" t="s">
        <v>161</v>
      </c>
      <c r="F1053" s="3" t="s">
        <v>185</v>
      </c>
      <c r="G1053" s="5">
        <v>4.0000000000000001E-3</v>
      </c>
      <c r="H1053" s="6" t="s">
        <v>73</v>
      </c>
      <c r="I1053" s="3" t="s">
        <v>45</v>
      </c>
    </row>
    <row r="1054" spans="1:9" ht="48" customHeight="1">
      <c r="A1054" s="3" t="s">
        <v>66</v>
      </c>
      <c r="B1054" s="3" t="s">
        <v>65</v>
      </c>
      <c r="C1054" s="4">
        <v>46143</v>
      </c>
      <c r="D1054" s="4">
        <v>46173</v>
      </c>
      <c r="E1054" s="3" t="s">
        <v>161</v>
      </c>
      <c r="F1054" s="3" t="s">
        <v>182</v>
      </c>
      <c r="G1054" s="5">
        <v>4.0000000000000001E-3</v>
      </c>
      <c r="H1054" s="6" t="s">
        <v>73</v>
      </c>
      <c r="I1054" s="3" t="s">
        <v>45</v>
      </c>
    </row>
    <row r="1055" spans="1:9" ht="48" customHeight="1">
      <c r="A1055" s="3" t="s">
        <v>66</v>
      </c>
      <c r="B1055" s="3" t="s">
        <v>65</v>
      </c>
      <c r="C1055" s="4">
        <v>46143</v>
      </c>
      <c r="D1055" s="4">
        <v>46173</v>
      </c>
      <c r="E1055" s="3" t="s">
        <v>161</v>
      </c>
      <c r="F1055" s="3" t="s">
        <v>386</v>
      </c>
      <c r="G1055" s="5">
        <v>4.0000000000000001E-3</v>
      </c>
      <c r="H1055" s="6" t="s">
        <v>73</v>
      </c>
      <c r="I1055" s="3" t="s">
        <v>45</v>
      </c>
    </row>
    <row r="1056" spans="1:9" ht="48" customHeight="1">
      <c r="A1056" s="3" t="s">
        <v>66</v>
      </c>
      <c r="B1056" s="3" t="s">
        <v>65</v>
      </c>
      <c r="C1056" s="4">
        <v>46143</v>
      </c>
      <c r="D1056" s="4">
        <v>46173</v>
      </c>
      <c r="E1056" s="3" t="s">
        <v>161</v>
      </c>
      <c r="F1056" s="3" t="s">
        <v>184</v>
      </c>
      <c r="G1056" s="5">
        <v>4.0000000000000001E-3</v>
      </c>
      <c r="H1056" s="6" t="s">
        <v>73</v>
      </c>
      <c r="I1056" s="3" t="s">
        <v>45</v>
      </c>
    </row>
    <row r="1057" spans="1:9" ht="48" customHeight="1">
      <c r="A1057" s="3" t="s">
        <v>66</v>
      </c>
      <c r="B1057" s="3" t="s">
        <v>65</v>
      </c>
      <c r="C1057" s="4">
        <v>46143</v>
      </c>
      <c r="D1057" s="4">
        <v>46173</v>
      </c>
      <c r="E1057" s="3" t="s">
        <v>161</v>
      </c>
      <c r="F1057" s="3" t="s">
        <v>189</v>
      </c>
      <c r="G1057" s="5">
        <v>3.0000000000000001E-3</v>
      </c>
      <c r="H1057" s="6" t="s">
        <v>73</v>
      </c>
      <c r="I1057" s="3" t="s">
        <v>45</v>
      </c>
    </row>
    <row r="1058" spans="1:9" ht="48" customHeight="1">
      <c r="A1058" s="3" t="s">
        <v>66</v>
      </c>
      <c r="B1058" s="3" t="s">
        <v>65</v>
      </c>
      <c r="C1058" s="4">
        <v>46143</v>
      </c>
      <c r="D1058" s="4">
        <v>46173</v>
      </c>
      <c r="E1058" s="3" t="s">
        <v>161</v>
      </c>
      <c r="F1058" s="3" t="s">
        <v>191</v>
      </c>
      <c r="G1058" s="5">
        <v>3.0000000000000001E-3</v>
      </c>
      <c r="H1058" s="6" t="s">
        <v>73</v>
      </c>
      <c r="I1058" s="3" t="s">
        <v>45</v>
      </c>
    </row>
    <row r="1059" spans="1:9" ht="48" customHeight="1">
      <c r="A1059" s="3" t="s">
        <v>66</v>
      </c>
      <c r="B1059" s="3" t="s">
        <v>65</v>
      </c>
      <c r="C1059" s="4">
        <v>46143</v>
      </c>
      <c r="D1059" s="4">
        <v>46173</v>
      </c>
      <c r="E1059" s="3" t="s">
        <v>161</v>
      </c>
      <c r="F1059" s="3" t="s">
        <v>187</v>
      </c>
      <c r="G1059" s="5">
        <v>3.0000000000000001E-3</v>
      </c>
      <c r="H1059" s="6" t="s">
        <v>73</v>
      </c>
      <c r="I1059" s="3" t="s">
        <v>45</v>
      </c>
    </row>
    <row r="1060" spans="1:9" ht="48" customHeight="1">
      <c r="A1060" s="3" t="s">
        <v>66</v>
      </c>
      <c r="B1060" s="3" t="s">
        <v>65</v>
      </c>
      <c r="C1060" s="4">
        <v>46143</v>
      </c>
      <c r="D1060" s="4">
        <v>46173</v>
      </c>
      <c r="E1060" s="3" t="s">
        <v>161</v>
      </c>
      <c r="F1060" s="3" t="s">
        <v>192</v>
      </c>
      <c r="G1060" s="5">
        <v>3.0000000000000001E-3</v>
      </c>
      <c r="H1060" s="6" t="s">
        <v>73</v>
      </c>
      <c r="I1060" s="3" t="s">
        <v>45</v>
      </c>
    </row>
    <row r="1061" spans="1:9" ht="48" customHeight="1">
      <c r="A1061" s="3" t="s">
        <v>66</v>
      </c>
      <c r="B1061" s="3" t="s">
        <v>65</v>
      </c>
      <c r="C1061" s="4">
        <v>46143</v>
      </c>
      <c r="D1061" s="4">
        <v>46173</v>
      </c>
      <c r="E1061" s="3" t="s">
        <v>161</v>
      </c>
      <c r="F1061" s="3" t="s">
        <v>194</v>
      </c>
      <c r="G1061" s="5">
        <v>3.0000000000000001E-3</v>
      </c>
      <c r="H1061" s="6" t="s">
        <v>73</v>
      </c>
      <c r="I1061" s="3" t="s">
        <v>45</v>
      </c>
    </row>
    <row r="1062" spans="1:9" ht="48" customHeight="1">
      <c r="A1062" s="3" t="s">
        <v>66</v>
      </c>
      <c r="B1062" s="3" t="s">
        <v>65</v>
      </c>
      <c r="C1062" s="4">
        <v>46143</v>
      </c>
      <c r="D1062" s="4">
        <v>46173</v>
      </c>
      <c r="E1062" s="3" t="s">
        <v>161</v>
      </c>
      <c r="F1062" s="3" t="s">
        <v>188</v>
      </c>
      <c r="G1062" s="5">
        <v>3.0000000000000001E-3</v>
      </c>
      <c r="H1062" s="6" t="s">
        <v>73</v>
      </c>
      <c r="I1062" s="3" t="s">
        <v>45</v>
      </c>
    </row>
    <row r="1063" spans="1:9" ht="48" customHeight="1">
      <c r="A1063" s="3" t="s">
        <v>66</v>
      </c>
      <c r="B1063" s="3" t="s">
        <v>65</v>
      </c>
      <c r="C1063" s="4">
        <v>46143</v>
      </c>
      <c r="D1063" s="4">
        <v>46173</v>
      </c>
      <c r="E1063" s="3" t="s">
        <v>161</v>
      </c>
      <c r="F1063" s="3" t="s">
        <v>387</v>
      </c>
      <c r="G1063" s="5">
        <v>3.0000000000000001E-3</v>
      </c>
      <c r="H1063" s="6" t="s">
        <v>73</v>
      </c>
      <c r="I1063" s="3" t="s">
        <v>45</v>
      </c>
    </row>
    <row r="1064" spans="1:9" ht="48" customHeight="1">
      <c r="A1064" s="3" t="s">
        <v>66</v>
      </c>
      <c r="B1064" s="3" t="s">
        <v>65</v>
      </c>
      <c r="C1064" s="4">
        <v>46143</v>
      </c>
      <c r="D1064" s="4">
        <v>46173</v>
      </c>
      <c r="E1064" s="3" t="s">
        <v>161</v>
      </c>
      <c r="F1064" s="3" t="s">
        <v>190</v>
      </c>
      <c r="G1064" s="5">
        <v>2E-3</v>
      </c>
      <c r="H1064" s="6" t="s">
        <v>73</v>
      </c>
      <c r="I1064" s="3" t="s">
        <v>45</v>
      </c>
    </row>
    <row r="1065" spans="1:9" ht="48" customHeight="1">
      <c r="A1065" s="3" t="s">
        <v>66</v>
      </c>
      <c r="B1065" s="3" t="s">
        <v>65</v>
      </c>
      <c r="C1065" s="4">
        <v>46143</v>
      </c>
      <c r="D1065" s="4">
        <v>46173</v>
      </c>
      <c r="E1065" s="3" t="s">
        <v>161</v>
      </c>
      <c r="F1065" s="3" t="s">
        <v>197</v>
      </c>
      <c r="G1065" s="5">
        <v>2E-3</v>
      </c>
      <c r="H1065" s="6" t="s">
        <v>73</v>
      </c>
      <c r="I1065" s="3" t="s">
        <v>45</v>
      </c>
    </row>
    <row r="1066" spans="1:9" ht="48" customHeight="1">
      <c r="A1066" s="3" t="s">
        <v>66</v>
      </c>
      <c r="B1066" s="3" t="s">
        <v>65</v>
      </c>
      <c r="C1066" s="4">
        <v>46143</v>
      </c>
      <c r="D1066" s="4">
        <v>46173</v>
      </c>
      <c r="E1066" s="3" t="s">
        <v>161</v>
      </c>
      <c r="F1066" s="3" t="s">
        <v>193</v>
      </c>
      <c r="G1066" s="5">
        <v>2E-3</v>
      </c>
      <c r="H1066" s="6" t="s">
        <v>73</v>
      </c>
      <c r="I1066" s="3" t="s">
        <v>45</v>
      </c>
    </row>
    <row r="1067" spans="1:9" ht="48" customHeight="1">
      <c r="A1067" s="3" t="s">
        <v>66</v>
      </c>
      <c r="B1067" s="3" t="s">
        <v>65</v>
      </c>
      <c r="C1067" s="4">
        <v>46143</v>
      </c>
      <c r="D1067" s="4">
        <v>46173</v>
      </c>
      <c r="E1067" s="3" t="s">
        <v>161</v>
      </c>
      <c r="F1067" s="3" t="s">
        <v>195</v>
      </c>
      <c r="G1067" s="5">
        <v>2E-3</v>
      </c>
      <c r="H1067" s="6" t="s">
        <v>73</v>
      </c>
      <c r="I1067" s="3" t="s">
        <v>45</v>
      </c>
    </row>
    <row r="1068" spans="1:9" ht="48" customHeight="1">
      <c r="A1068" s="3" t="s">
        <v>66</v>
      </c>
      <c r="B1068" s="3" t="s">
        <v>65</v>
      </c>
      <c r="C1068" s="4">
        <v>46143</v>
      </c>
      <c r="D1068" s="4">
        <v>46173</v>
      </c>
      <c r="E1068" s="3" t="s">
        <v>161</v>
      </c>
      <c r="F1068" s="3" t="s">
        <v>196</v>
      </c>
      <c r="G1068" s="5">
        <v>2E-3</v>
      </c>
      <c r="H1068" s="6" t="s">
        <v>73</v>
      </c>
      <c r="I1068" s="3" t="s">
        <v>45</v>
      </c>
    </row>
    <row r="1069" spans="1:9" ht="48" customHeight="1">
      <c r="A1069" s="3" t="s">
        <v>66</v>
      </c>
      <c r="B1069" s="3" t="s">
        <v>65</v>
      </c>
      <c r="C1069" s="4">
        <v>46143</v>
      </c>
      <c r="D1069" s="4">
        <v>46173</v>
      </c>
      <c r="E1069" s="3" t="s">
        <v>161</v>
      </c>
      <c r="F1069" s="3" t="s">
        <v>198</v>
      </c>
      <c r="G1069" s="5">
        <v>1E-3</v>
      </c>
      <c r="H1069" s="6" t="s">
        <v>73</v>
      </c>
      <c r="I1069" s="3" t="s">
        <v>45</v>
      </c>
    </row>
    <row r="1070" spans="1:9" ht="48" customHeight="1">
      <c r="A1070" s="3" t="s">
        <v>66</v>
      </c>
      <c r="B1070" s="3" t="s">
        <v>65</v>
      </c>
      <c r="C1070" s="4">
        <v>46143</v>
      </c>
      <c r="D1070" s="4">
        <v>46173</v>
      </c>
      <c r="E1070" s="3" t="s">
        <v>161</v>
      </c>
      <c r="F1070" s="3" t="s">
        <v>199</v>
      </c>
      <c r="G1070" s="5">
        <v>1E-3</v>
      </c>
      <c r="H1070" s="6" t="s">
        <v>73</v>
      </c>
      <c r="I1070" s="3" t="s">
        <v>45</v>
      </c>
    </row>
    <row r="1071" spans="1:9" ht="48" customHeight="1">
      <c r="A1071" s="3" t="s">
        <v>66</v>
      </c>
      <c r="B1071" s="3" t="s">
        <v>65</v>
      </c>
      <c r="C1071" s="4">
        <v>46143</v>
      </c>
      <c r="D1071" s="4">
        <v>46173</v>
      </c>
      <c r="E1071" s="3" t="s">
        <v>161</v>
      </c>
      <c r="F1071" s="3" t="s">
        <v>200</v>
      </c>
      <c r="G1071" s="5">
        <v>1E-3</v>
      </c>
      <c r="H1071" s="6" t="s">
        <v>73</v>
      </c>
      <c r="I1071" s="3" t="s">
        <v>45</v>
      </c>
    </row>
    <row r="1072" spans="1:9" ht="48" customHeight="1">
      <c r="A1072" s="3" t="s">
        <v>66</v>
      </c>
      <c r="B1072" s="3" t="s">
        <v>65</v>
      </c>
      <c r="C1072" s="4">
        <v>46143</v>
      </c>
      <c r="D1072" s="4">
        <v>46173</v>
      </c>
      <c r="E1072" s="3" t="s">
        <v>161</v>
      </c>
      <c r="F1072" s="3" t="s">
        <v>201</v>
      </c>
      <c r="G1072" s="5">
        <v>1E-3</v>
      </c>
      <c r="H1072" s="6" t="s">
        <v>73</v>
      </c>
      <c r="I1072" s="3" t="s">
        <v>45</v>
      </c>
    </row>
    <row r="1073" spans="1:9" ht="48" customHeight="1">
      <c r="A1073" s="3" t="s">
        <v>66</v>
      </c>
      <c r="B1073" s="3" t="s">
        <v>65</v>
      </c>
      <c r="C1073" s="4">
        <v>46143</v>
      </c>
      <c r="D1073" s="4">
        <v>46173</v>
      </c>
      <c r="E1073" s="3" t="s">
        <v>161</v>
      </c>
      <c r="F1073" s="3" t="s">
        <v>202</v>
      </c>
      <c r="G1073" s="5">
        <v>0</v>
      </c>
      <c r="H1073" s="6" t="s">
        <v>73</v>
      </c>
      <c r="I1073" s="3" t="s">
        <v>45</v>
      </c>
    </row>
    <row r="1074" spans="1:9" ht="48" customHeight="1">
      <c r="A1074" s="3" t="s">
        <v>66</v>
      </c>
      <c r="B1074" s="3" t="s">
        <v>65</v>
      </c>
      <c r="C1074" s="4">
        <v>46143</v>
      </c>
      <c r="D1074" s="4">
        <v>46173</v>
      </c>
      <c r="E1074" s="3" t="s">
        <v>161</v>
      </c>
      <c r="F1074" s="3" t="s">
        <v>203</v>
      </c>
      <c r="G1074" s="5">
        <v>0</v>
      </c>
      <c r="H1074" s="6" t="s">
        <v>73</v>
      </c>
      <c r="I1074" s="3" t="s">
        <v>45</v>
      </c>
    </row>
    <row r="1075" spans="1:9" ht="48" customHeight="1">
      <c r="A1075" s="3" t="s">
        <v>66</v>
      </c>
      <c r="B1075" s="3" t="s">
        <v>65</v>
      </c>
      <c r="C1075" s="4">
        <v>46143</v>
      </c>
      <c r="D1075" s="4">
        <v>46173</v>
      </c>
      <c r="E1075" s="3" t="s">
        <v>161</v>
      </c>
      <c r="F1075" s="3" t="s">
        <v>204</v>
      </c>
      <c r="G1075" s="5">
        <v>0</v>
      </c>
      <c r="H1075" s="6" t="s">
        <v>73</v>
      </c>
      <c r="I1075" s="3" t="s">
        <v>45</v>
      </c>
    </row>
    <row r="1076" spans="1:9" ht="48" customHeight="1">
      <c r="A1076" s="3" t="s">
        <v>66</v>
      </c>
      <c r="B1076" s="3" t="s">
        <v>65</v>
      </c>
      <c r="C1076" s="4">
        <v>46143</v>
      </c>
      <c r="D1076" s="4">
        <v>46173</v>
      </c>
      <c r="E1076" s="3" t="s">
        <v>205</v>
      </c>
      <c r="F1076" s="3" t="s">
        <v>207</v>
      </c>
      <c r="G1076" s="5">
        <v>6.9999999999999993E-3</v>
      </c>
      <c r="H1076" s="6" t="s">
        <v>73</v>
      </c>
      <c r="I1076" s="3" t="s">
        <v>45</v>
      </c>
    </row>
    <row r="1077" spans="1:9" ht="48" customHeight="1">
      <c r="A1077" s="3" t="s">
        <v>66</v>
      </c>
      <c r="B1077" s="3" t="s">
        <v>65</v>
      </c>
      <c r="C1077" s="4">
        <v>46143</v>
      </c>
      <c r="D1077" s="4">
        <v>46173</v>
      </c>
      <c r="E1077" s="3" t="s">
        <v>205</v>
      </c>
      <c r="F1077" s="3" t="s">
        <v>208</v>
      </c>
      <c r="G1077" s="5">
        <v>6.0000000000000001E-3</v>
      </c>
      <c r="H1077" s="6" t="s">
        <v>73</v>
      </c>
      <c r="I1077" s="3" t="s">
        <v>45</v>
      </c>
    </row>
    <row r="1078" spans="1:9" ht="48" customHeight="1">
      <c r="A1078" s="3" t="s">
        <v>66</v>
      </c>
      <c r="B1078" s="3" t="s">
        <v>65</v>
      </c>
      <c r="C1078" s="4">
        <v>46143</v>
      </c>
      <c r="D1078" s="4">
        <v>46173</v>
      </c>
      <c r="E1078" s="3" t="s">
        <v>205</v>
      </c>
      <c r="F1078" s="3" t="s">
        <v>213</v>
      </c>
      <c r="G1078" s="5">
        <v>6.0000000000000001E-3</v>
      </c>
      <c r="H1078" s="6" t="s">
        <v>73</v>
      </c>
      <c r="I1078" s="3" t="s">
        <v>45</v>
      </c>
    </row>
    <row r="1079" spans="1:9" ht="48" customHeight="1">
      <c r="A1079" s="3" t="s">
        <v>66</v>
      </c>
      <c r="B1079" s="3" t="s">
        <v>65</v>
      </c>
      <c r="C1079" s="4">
        <v>46143</v>
      </c>
      <c r="D1079" s="4">
        <v>46173</v>
      </c>
      <c r="E1079" s="3" t="s">
        <v>205</v>
      </c>
      <c r="F1079" s="3" t="s">
        <v>206</v>
      </c>
      <c r="G1079" s="5">
        <v>6.0000000000000001E-3</v>
      </c>
      <c r="H1079" s="6" t="s">
        <v>73</v>
      </c>
      <c r="I1079" s="3" t="s">
        <v>45</v>
      </c>
    </row>
    <row r="1080" spans="1:9" ht="48" customHeight="1">
      <c r="A1080" s="3" t="s">
        <v>66</v>
      </c>
      <c r="B1080" s="3" t="s">
        <v>65</v>
      </c>
      <c r="C1080" s="4">
        <v>46143</v>
      </c>
      <c r="D1080" s="4">
        <v>46173</v>
      </c>
      <c r="E1080" s="3" t="s">
        <v>205</v>
      </c>
      <c r="F1080" s="3" t="s">
        <v>210</v>
      </c>
      <c r="G1080" s="5">
        <v>6.0000000000000001E-3</v>
      </c>
      <c r="H1080" s="6" t="s">
        <v>73</v>
      </c>
      <c r="I1080" s="3" t="s">
        <v>45</v>
      </c>
    </row>
    <row r="1081" spans="1:9" ht="48" customHeight="1">
      <c r="A1081" s="3" t="s">
        <v>66</v>
      </c>
      <c r="B1081" s="3" t="s">
        <v>65</v>
      </c>
      <c r="C1081" s="4">
        <v>46143</v>
      </c>
      <c r="D1081" s="4">
        <v>46173</v>
      </c>
      <c r="E1081" s="3" t="s">
        <v>205</v>
      </c>
      <c r="F1081" s="3" t="s">
        <v>212</v>
      </c>
      <c r="G1081" s="5">
        <v>5.0000000000000001E-3</v>
      </c>
      <c r="H1081" s="6" t="s">
        <v>73</v>
      </c>
      <c r="I1081" s="3" t="s">
        <v>45</v>
      </c>
    </row>
    <row r="1082" spans="1:9" ht="48" customHeight="1">
      <c r="A1082" s="3" t="s">
        <v>66</v>
      </c>
      <c r="B1082" s="3" t="s">
        <v>65</v>
      </c>
      <c r="C1082" s="4">
        <v>46143</v>
      </c>
      <c r="D1082" s="4">
        <v>46173</v>
      </c>
      <c r="E1082" s="3" t="s">
        <v>205</v>
      </c>
      <c r="F1082" s="3" t="s">
        <v>214</v>
      </c>
      <c r="G1082" s="5">
        <v>5.0000000000000001E-3</v>
      </c>
      <c r="H1082" s="6" t="s">
        <v>73</v>
      </c>
      <c r="I1082" s="3" t="s">
        <v>45</v>
      </c>
    </row>
    <row r="1083" spans="1:9" ht="48" customHeight="1">
      <c r="A1083" s="3" t="s">
        <v>66</v>
      </c>
      <c r="B1083" s="3" t="s">
        <v>65</v>
      </c>
      <c r="C1083" s="4">
        <v>46143</v>
      </c>
      <c r="D1083" s="4">
        <v>46173</v>
      </c>
      <c r="E1083" s="3" t="s">
        <v>205</v>
      </c>
      <c r="F1083" s="3" t="s">
        <v>209</v>
      </c>
      <c r="G1083" s="5">
        <v>5.0000000000000001E-3</v>
      </c>
      <c r="H1083" s="6" t="s">
        <v>73</v>
      </c>
      <c r="I1083" s="3" t="s">
        <v>45</v>
      </c>
    </row>
    <row r="1084" spans="1:9" ht="48" customHeight="1">
      <c r="A1084" s="3" t="s">
        <v>66</v>
      </c>
      <c r="B1084" s="3" t="s">
        <v>65</v>
      </c>
      <c r="C1084" s="4">
        <v>46143</v>
      </c>
      <c r="D1084" s="4">
        <v>46173</v>
      </c>
      <c r="E1084" s="3" t="s">
        <v>205</v>
      </c>
      <c r="F1084" s="3" t="s">
        <v>216</v>
      </c>
      <c r="G1084" s="5">
        <v>5.0000000000000001E-3</v>
      </c>
      <c r="H1084" s="6" t="s">
        <v>73</v>
      </c>
      <c r="I1084" s="3" t="s">
        <v>45</v>
      </c>
    </row>
    <row r="1085" spans="1:9" ht="48" customHeight="1">
      <c r="A1085" s="3" t="s">
        <v>66</v>
      </c>
      <c r="B1085" s="3" t="s">
        <v>65</v>
      </c>
      <c r="C1085" s="4">
        <v>46143</v>
      </c>
      <c r="D1085" s="4">
        <v>46173</v>
      </c>
      <c r="E1085" s="3" t="s">
        <v>205</v>
      </c>
      <c r="F1085" s="3" t="s">
        <v>217</v>
      </c>
      <c r="G1085" s="5">
        <v>4.0000000000000001E-3</v>
      </c>
      <c r="H1085" s="6" t="s">
        <v>73</v>
      </c>
      <c r="I1085" s="3" t="s">
        <v>45</v>
      </c>
    </row>
    <row r="1086" spans="1:9" ht="48" customHeight="1">
      <c r="A1086" s="3" t="s">
        <v>66</v>
      </c>
      <c r="B1086" s="3" t="s">
        <v>65</v>
      </c>
      <c r="C1086" s="4">
        <v>46143</v>
      </c>
      <c r="D1086" s="4">
        <v>46173</v>
      </c>
      <c r="E1086" s="3" t="s">
        <v>205</v>
      </c>
      <c r="F1086" s="3" t="s">
        <v>219</v>
      </c>
      <c r="G1086" s="5">
        <v>4.0000000000000001E-3</v>
      </c>
      <c r="H1086" s="6" t="s">
        <v>73</v>
      </c>
      <c r="I1086" s="3" t="s">
        <v>45</v>
      </c>
    </row>
    <row r="1087" spans="1:9" ht="48" customHeight="1">
      <c r="A1087" s="3" t="s">
        <v>66</v>
      </c>
      <c r="B1087" s="3" t="s">
        <v>65</v>
      </c>
      <c r="C1087" s="4">
        <v>46143</v>
      </c>
      <c r="D1087" s="4">
        <v>46173</v>
      </c>
      <c r="E1087" s="3" t="s">
        <v>205</v>
      </c>
      <c r="F1087" s="3" t="s">
        <v>220</v>
      </c>
      <c r="G1087" s="5">
        <v>4.0000000000000001E-3</v>
      </c>
      <c r="H1087" s="6" t="s">
        <v>73</v>
      </c>
      <c r="I1087" s="3" t="s">
        <v>45</v>
      </c>
    </row>
    <row r="1088" spans="1:9" ht="48" customHeight="1">
      <c r="A1088" s="3" t="s">
        <v>66</v>
      </c>
      <c r="B1088" s="3" t="s">
        <v>65</v>
      </c>
      <c r="C1088" s="4">
        <v>46143</v>
      </c>
      <c r="D1088" s="4">
        <v>46173</v>
      </c>
      <c r="E1088" s="3" t="s">
        <v>205</v>
      </c>
      <c r="F1088" s="3" t="s">
        <v>211</v>
      </c>
      <c r="G1088" s="5">
        <v>4.0000000000000001E-3</v>
      </c>
      <c r="H1088" s="6" t="s">
        <v>73</v>
      </c>
      <c r="I1088" s="3" t="s">
        <v>45</v>
      </c>
    </row>
    <row r="1089" spans="1:9" ht="48" customHeight="1">
      <c r="A1089" s="3" t="s">
        <v>66</v>
      </c>
      <c r="B1089" s="3" t="s">
        <v>65</v>
      </c>
      <c r="C1089" s="4">
        <v>46143</v>
      </c>
      <c r="D1089" s="4">
        <v>46173</v>
      </c>
      <c r="E1089" s="3" t="s">
        <v>205</v>
      </c>
      <c r="F1089" s="3" t="s">
        <v>222</v>
      </c>
      <c r="G1089" s="5">
        <v>4.0000000000000001E-3</v>
      </c>
      <c r="H1089" s="6" t="s">
        <v>73</v>
      </c>
      <c r="I1089" s="3" t="s">
        <v>45</v>
      </c>
    </row>
    <row r="1090" spans="1:9" ht="48" customHeight="1">
      <c r="A1090" s="3" t="s">
        <v>66</v>
      </c>
      <c r="B1090" s="3" t="s">
        <v>65</v>
      </c>
      <c r="C1090" s="4">
        <v>46143</v>
      </c>
      <c r="D1090" s="4">
        <v>46173</v>
      </c>
      <c r="E1090" s="3" t="s">
        <v>205</v>
      </c>
      <c r="F1090" s="3" t="s">
        <v>215</v>
      </c>
      <c r="G1090" s="5">
        <v>4.0000000000000001E-3</v>
      </c>
      <c r="H1090" s="6" t="s">
        <v>73</v>
      </c>
      <c r="I1090" s="3" t="s">
        <v>45</v>
      </c>
    </row>
    <row r="1091" spans="1:9" ht="48" customHeight="1">
      <c r="A1091" s="3" t="s">
        <v>66</v>
      </c>
      <c r="B1091" s="3" t="s">
        <v>65</v>
      </c>
      <c r="C1091" s="4">
        <v>46143</v>
      </c>
      <c r="D1091" s="4">
        <v>46173</v>
      </c>
      <c r="E1091" s="3" t="s">
        <v>205</v>
      </c>
      <c r="F1091" s="3" t="s">
        <v>224</v>
      </c>
      <c r="G1091" s="5">
        <v>3.0000000000000001E-3</v>
      </c>
      <c r="H1091" s="6" t="s">
        <v>73</v>
      </c>
      <c r="I1091" s="3" t="s">
        <v>45</v>
      </c>
    </row>
    <row r="1092" spans="1:9" ht="48" customHeight="1">
      <c r="A1092" s="3" t="s">
        <v>66</v>
      </c>
      <c r="B1092" s="3" t="s">
        <v>65</v>
      </c>
      <c r="C1092" s="4">
        <v>46143</v>
      </c>
      <c r="D1092" s="4">
        <v>46173</v>
      </c>
      <c r="E1092" s="3" t="s">
        <v>205</v>
      </c>
      <c r="F1092" s="3" t="s">
        <v>218</v>
      </c>
      <c r="G1092" s="5">
        <v>3.0000000000000001E-3</v>
      </c>
      <c r="H1092" s="6" t="s">
        <v>73</v>
      </c>
      <c r="I1092" s="3" t="s">
        <v>45</v>
      </c>
    </row>
    <row r="1093" spans="1:9" ht="48" customHeight="1">
      <c r="A1093" s="3" t="s">
        <v>66</v>
      </c>
      <c r="B1093" s="3" t="s">
        <v>65</v>
      </c>
      <c r="C1093" s="4">
        <v>46143</v>
      </c>
      <c r="D1093" s="4">
        <v>46173</v>
      </c>
      <c r="E1093" s="3" t="s">
        <v>205</v>
      </c>
      <c r="F1093" s="3" t="s">
        <v>225</v>
      </c>
      <c r="G1093" s="5">
        <v>3.0000000000000001E-3</v>
      </c>
      <c r="H1093" s="6" t="s">
        <v>73</v>
      </c>
      <c r="I1093" s="3" t="s">
        <v>45</v>
      </c>
    </row>
    <row r="1094" spans="1:9" ht="48" customHeight="1">
      <c r="A1094" s="3" t="s">
        <v>66</v>
      </c>
      <c r="B1094" s="3" t="s">
        <v>65</v>
      </c>
      <c r="C1094" s="4">
        <v>46143</v>
      </c>
      <c r="D1094" s="4">
        <v>46173</v>
      </c>
      <c r="E1094" s="3" t="s">
        <v>205</v>
      </c>
      <c r="F1094" s="3" t="s">
        <v>221</v>
      </c>
      <c r="G1094" s="5">
        <v>3.0000000000000001E-3</v>
      </c>
      <c r="H1094" s="6" t="s">
        <v>73</v>
      </c>
      <c r="I1094" s="3" t="s">
        <v>45</v>
      </c>
    </row>
    <row r="1095" spans="1:9" ht="48" customHeight="1">
      <c r="A1095" s="3" t="s">
        <v>66</v>
      </c>
      <c r="B1095" s="3" t="s">
        <v>65</v>
      </c>
      <c r="C1095" s="4">
        <v>46143</v>
      </c>
      <c r="D1095" s="4">
        <v>46173</v>
      </c>
      <c r="E1095" s="3" t="s">
        <v>205</v>
      </c>
      <c r="F1095" s="3" t="s">
        <v>228</v>
      </c>
      <c r="G1095" s="5">
        <v>3.0000000000000001E-3</v>
      </c>
      <c r="H1095" s="6" t="s">
        <v>73</v>
      </c>
      <c r="I1095" s="3" t="s">
        <v>45</v>
      </c>
    </row>
    <row r="1096" spans="1:9" ht="48" customHeight="1">
      <c r="A1096" s="3" t="s">
        <v>66</v>
      </c>
      <c r="B1096" s="3" t="s">
        <v>65</v>
      </c>
      <c r="C1096" s="4">
        <v>46143</v>
      </c>
      <c r="D1096" s="4">
        <v>46173</v>
      </c>
      <c r="E1096" s="3" t="s">
        <v>205</v>
      </c>
      <c r="F1096" s="3" t="s">
        <v>223</v>
      </c>
      <c r="G1096" s="5">
        <v>2E-3</v>
      </c>
      <c r="H1096" s="6" t="s">
        <v>73</v>
      </c>
      <c r="I1096" s="3" t="s">
        <v>45</v>
      </c>
    </row>
    <row r="1097" spans="1:9" ht="48" customHeight="1">
      <c r="A1097" s="3" t="s">
        <v>66</v>
      </c>
      <c r="B1097" s="3" t="s">
        <v>65</v>
      </c>
      <c r="C1097" s="4">
        <v>46143</v>
      </c>
      <c r="D1097" s="4">
        <v>46173</v>
      </c>
      <c r="E1097" s="3" t="s">
        <v>205</v>
      </c>
      <c r="F1097" s="3" t="s">
        <v>226</v>
      </c>
      <c r="G1097" s="5">
        <v>2E-3</v>
      </c>
      <c r="H1097" s="6" t="s">
        <v>73</v>
      </c>
      <c r="I1097" s="3" t="s">
        <v>45</v>
      </c>
    </row>
    <row r="1098" spans="1:9" ht="48" customHeight="1">
      <c r="A1098" s="3" t="s">
        <v>66</v>
      </c>
      <c r="B1098" s="3" t="s">
        <v>65</v>
      </c>
      <c r="C1098" s="4">
        <v>46143</v>
      </c>
      <c r="D1098" s="4">
        <v>46173</v>
      </c>
      <c r="E1098" s="3" t="s">
        <v>205</v>
      </c>
      <c r="F1098" s="3" t="s">
        <v>227</v>
      </c>
      <c r="G1098" s="5">
        <v>2E-3</v>
      </c>
      <c r="H1098" s="6" t="s">
        <v>73</v>
      </c>
      <c r="I1098" s="3" t="s">
        <v>45</v>
      </c>
    </row>
    <row r="1099" spans="1:9" ht="48" customHeight="1">
      <c r="A1099" s="3" t="s">
        <v>66</v>
      </c>
      <c r="B1099" s="3" t="s">
        <v>65</v>
      </c>
      <c r="C1099" s="4">
        <v>46143</v>
      </c>
      <c r="D1099" s="4">
        <v>46173</v>
      </c>
      <c r="E1099" s="3" t="s">
        <v>205</v>
      </c>
      <c r="F1099" s="3" t="s">
        <v>229</v>
      </c>
      <c r="G1099" s="5">
        <v>1E-3</v>
      </c>
      <c r="H1099" s="6" t="s">
        <v>73</v>
      </c>
      <c r="I1099" s="3" t="s">
        <v>45</v>
      </c>
    </row>
    <row r="1100" spans="1:9" ht="48" customHeight="1">
      <c r="A1100" s="3" t="s">
        <v>66</v>
      </c>
      <c r="B1100" s="3" t="s">
        <v>65</v>
      </c>
      <c r="C1100" s="4">
        <v>46143</v>
      </c>
      <c r="D1100" s="4">
        <v>46173</v>
      </c>
      <c r="E1100" s="3" t="s">
        <v>205</v>
      </c>
      <c r="F1100" s="3" t="s">
        <v>230</v>
      </c>
      <c r="G1100" s="5">
        <v>1E-3</v>
      </c>
      <c r="H1100" s="6" t="s">
        <v>73</v>
      </c>
      <c r="I1100" s="3" t="s">
        <v>45</v>
      </c>
    </row>
    <row r="1101" spans="1:9" ht="48" customHeight="1">
      <c r="A1101" s="3" t="s">
        <v>66</v>
      </c>
      <c r="B1101" s="3" t="s">
        <v>65</v>
      </c>
      <c r="C1101" s="4">
        <v>46143</v>
      </c>
      <c r="D1101" s="4">
        <v>46173</v>
      </c>
      <c r="E1101" s="3" t="s">
        <v>231</v>
      </c>
      <c r="F1101" s="3" t="s">
        <v>232</v>
      </c>
      <c r="G1101" s="5">
        <v>1.8000000000000002E-2</v>
      </c>
      <c r="H1101" s="6" t="s">
        <v>73</v>
      </c>
      <c r="I1101" s="3" t="s">
        <v>45</v>
      </c>
    </row>
    <row r="1102" spans="1:9" ht="48" customHeight="1">
      <c r="A1102" s="3" t="s">
        <v>66</v>
      </c>
      <c r="B1102" s="3" t="s">
        <v>65</v>
      </c>
      <c r="C1102" s="4">
        <v>46143</v>
      </c>
      <c r="D1102" s="4">
        <v>46173</v>
      </c>
      <c r="E1102" s="3" t="s">
        <v>231</v>
      </c>
      <c r="F1102" s="3" t="s">
        <v>233</v>
      </c>
      <c r="G1102" s="5">
        <v>1.7000000000000001E-2</v>
      </c>
      <c r="H1102" s="6" t="s">
        <v>73</v>
      </c>
      <c r="I1102" s="3" t="s">
        <v>45</v>
      </c>
    </row>
    <row r="1103" spans="1:9" ht="48" customHeight="1">
      <c r="A1103" s="3" t="s">
        <v>66</v>
      </c>
      <c r="B1103" s="3" t="s">
        <v>65</v>
      </c>
      <c r="C1103" s="4">
        <v>46143</v>
      </c>
      <c r="D1103" s="4">
        <v>46173</v>
      </c>
      <c r="E1103" s="3" t="s">
        <v>231</v>
      </c>
      <c r="F1103" s="3" t="s">
        <v>230</v>
      </c>
      <c r="G1103" s="5">
        <v>8.0000000000000002E-3</v>
      </c>
      <c r="H1103" s="6" t="s">
        <v>73</v>
      </c>
      <c r="I1103" s="3" t="s">
        <v>45</v>
      </c>
    </row>
    <row r="1104" spans="1:9" ht="48" customHeight="1">
      <c r="A1104" s="3" t="s">
        <v>66</v>
      </c>
      <c r="B1104" s="3" t="s">
        <v>65</v>
      </c>
      <c r="C1104" s="4">
        <v>46143</v>
      </c>
      <c r="D1104" s="4">
        <v>46173</v>
      </c>
      <c r="E1104" s="3" t="s">
        <v>231</v>
      </c>
      <c r="F1104" s="3" t="s">
        <v>234</v>
      </c>
      <c r="G1104" s="5">
        <v>6.9999999999999993E-3</v>
      </c>
      <c r="H1104" s="6" t="s">
        <v>73</v>
      </c>
      <c r="I1104" s="3" t="s">
        <v>45</v>
      </c>
    </row>
    <row r="1105" spans="1:9" ht="48" customHeight="1">
      <c r="A1105" s="3" t="s">
        <v>66</v>
      </c>
      <c r="B1105" s="3" t="s">
        <v>65</v>
      </c>
      <c r="C1105" s="4">
        <v>46143</v>
      </c>
      <c r="D1105" s="4">
        <v>46173</v>
      </c>
      <c r="E1105" s="3" t="s">
        <v>231</v>
      </c>
      <c r="F1105" s="3" t="s">
        <v>235</v>
      </c>
      <c r="G1105" s="5">
        <v>6.0000000000000001E-3</v>
      </c>
      <c r="H1105" s="6" t="s">
        <v>73</v>
      </c>
      <c r="I1105" s="3" t="s">
        <v>45</v>
      </c>
    </row>
    <row r="1106" spans="1:9" ht="48" customHeight="1">
      <c r="A1106" s="3" t="s">
        <v>66</v>
      </c>
      <c r="B1106" s="3" t="s">
        <v>65</v>
      </c>
      <c r="C1106" s="4">
        <v>46143</v>
      </c>
      <c r="D1106" s="4">
        <v>46173</v>
      </c>
      <c r="E1106" s="3" t="s">
        <v>236</v>
      </c>
      <c r="F1106" s="3" t="s">
        <v>232</v>
      </c>
      <c r="G1106" s="5">
        <v>0.01</v>
      </c>
      <c r="H1106" s="6" t="s">
        <v>73</v>
      </c>
      <c r="I1106" s="3" t="s">
        <v>45</v>
      </c>
    </row>
    <row r="1107" spans="1:9" ht="48" customHeight="1">
      <c r="A1107" s="3" t="s">
        <v>66</v>
      </c>
      <c r="B1107" s="3" t="s">
        <v>65</v>
      </c>
      <c r="C1107" s="4">
        <v>46143</v>
      </c>
      <c r="D1107" s="4">
        <v>46173</v>
      </c>
      <c r="E1107" s="3" t="s">
        <v>236</v>
      </c>
      <c r="F1107" s="3" t="s">
        <v>237</v>
      </c>
      <c r="G1107" s="5">
        <v>6.9999999999999993E-3</v>
      </c>
      <c r="H1107" s="6" t="s">
        <v>73</v>
      </c>
      <c r="I1107" s="3" t="s">
        <v>45</v>
      </c>
    </row>
    <row r="1108" spans="1:9" ht="48" customHeight="1">
      <c r="A1108" s="3" t="s">
        <v>66</v>
      </c>
      <c r="B1108" s="3" t="s">
        <v>65</v>
      </c>
      <c r="C1108" s="4">
        <v>46143</v>
      </c>
      <c r="D1108" s="4">
        <v>46173</v>
      </c>
      <c r="E1108" s="3" t="s">
        <v>236</v>
      </c>
      <c r="F1108" s="3" t="s">
        <v>238</v>
      </c>
      <c r="G1108" s="5">
        <v>6.9999999999999993E-3</v>
      </c>
      <c r="H1108" s="6" t="s">
        <v>73</v>
      </c>
      <c r="I1108" s="3" t="s">
        <v>45</v>
      </c>
    </row>
    <row r="1109" spans="1:9" ht="48" customHeight="1">
      <c r="A1109" s="3" t="s">
        <v>66</v>
      </c>
      <c r="B1109" s="3" t="s">
        <v>65</v>
      </c>
      <c r="C1109" s="4">
        <v>46143</v>
      </c>
      <c r="D1109" s="4">
        <v>46173</v>
      </c>
      <c r="E1109" s="3" t="s">
        <v>236</v>
      </c>
      <c r="F1109" s="3" t="s">
        <v>239</v>
      </c>
      <c r="G1109" s="5">
        <v>6.9999999999999993E-3</v>
      </c>
      <c r="H1109" s="6" t="s">
        <v>73</v>
      </c>
      <c r="I1109" s="3" t="s">
        <v>45</v>
      </c>
    </row>
    <row r="1110" spans="1:9" ht="48" customHeight="1">
      <c r="A1110" s="3" t="s">
        <v>66</v>
      </c>
      <c r="B1110" s="3" t="s">
        <v>65</v>
      </c>
      <c r="C1110" s="4">
        <v>46143</v>
      </c>
      <c r="D1110" s="4">
        <v>46173</v>
      </c>
      <c r="E1110" s="3" t="s">
        <v>236</v>
      </c>
      <c r="F1110" s="3" t="s">
        <v>240</v>
      </c>
      <c r="G1110" s="5">
        <v>6.0000000000000001E-3</v>
      </c>
      <c r="H1110" s="6" t="s">
        <v>73</v>
      </c>
      <c r="I1110" s="3" t="s">
        <v>45</v>
      </c>
    </row>
    <row r="1111" spans="1:9" ht="48" customHeight="1">
      <c r="A1111" s="3" t="s">
        <v>66</v>
      </c>
      <c r="B1111" s="3" t="s">
        <v>65</v>
      </c>
      <c r="C1111" s="4">
        <v>46143</v>
      </c>
      <c r="D1111" s="4">
        <v>46173</v>
      </c>
      <c r="E1111" s="3" t="s">
        <v>236</v>
      </c>
      <c r="F1111" s="3" t="s">
        <v>241</v>
      </c>
      <c r="G1111" s="5">
        <v>4.0000000000000001E-3</v>
      </c>
      <c r="H1111" s="6" t="s">
        <v>73</v>
      </c>
      <c r="I1111" s="3" t="s">
        <v>45</v>
      </c>
    </row>
    <row r="1112" spans="1:9" ht="48" customHeight="1">
      <c r="A1112" s="3" t="s">
        <v>66</v>
      </c>
      <c r="B1112" s="3" t="s">
        <v>65</v>
      </c>
      <c r="C1112" s="4">
        <v>46143</v>
      </c>
      <c r="D1112" s="4">
        <v>46173</v>
      </c>
      <c r="E1112" s="3" t="s">
        <v>236</v>
      </c>
      <c r="F1112" s="3" t="s">
        <v>230</v>
      </c>
      <c r="G1112" s="5">
        <v>3.0000000000000001E-3</v>
      </c>
      <c r="H1112" s="6" t="s">
        <v>73</v>
      </c>
      <c r="I1112" s="3" t="s">
        <v>45</v>
      </c>
    </row>
    <row r="1113" spans="1:9" ht="48" customHeight="1">
      <c r="A1113" s="3" t="s">
        <v>66</v>
      </c>
      <c r="B1113" s="3" t="s">
        <v>65</v>
      </c>
      <c r="C1113" s="4">
        <v>46143</v>
      </c>
      <c r="D1113" s="4">
        <v>46173</v>
      </c>
      <c r="E1113" s="3" t="s">
        <v>236</v>
      </c>
      <c r="F1113" s="3" t="s">
        <v>234</v>
      </c>
      <c r="G1113" s="5">
        <v>1E-3</v>
      </c>
      <c r="H1113" s="6" t="s">
        <v>73</v>
      </c>
      <c r="I1113" s="3" t="s">
        <v>45</v>
      </c>
    </row>
    <row r="1114" spans="1:9" ht="48" customHeight="1">
      <c r="A1114" s="3" t="s">
        <v>66</v>
      </c>
      <c r="B1114" s="3" t="s">
        <v>65</v>
      </c>
      <c r="C1114" s="4">
        <v>46143</v>
      </c>
      <c r="D1114" s="4">
        <v>46173</v>
      </c>
      <c r="E1114" s="3" t="s">
        <v>236</v>
      </c>
      <c r="F1114" s="3" t="s">
        <v>242</v>
      </c>
      <c r="G1114" s="5">
        <v>1E-3</v>
      </c>
      <c r="H1114" s="6" t="s">
        <v>73</v>
      </c>
      <c r="I1114" s="3" t="s">
        <v>45</v>
      </c>
    </row>
    <row r="1115" spans="1:9" ht="48" customHeight="1">
      <c r="A1115" s="3" t="s">
        <v>66</v>
      </c>
      <c r="B1115" s="3" t="s">
        <v>65</v>
      </c>
      <c r="C1115" s="4">
        <v>46143</v>
      </c>
      <c r="D1115" s="4">
        <v>46173</v>
      </c>
      <c r="E1115" s="3" t="s">
        <v>236</v>
      </c>
      <c r="F1115" s="3" t="s">
        <v>243</v>
      </c>
      <c r="G1115" s="5">
        <v>0</v>
      </c>
      <c r="H1115" s="6" t="s">
        <v>73</v>
      </c>
      <c r="I1115" s="3" t="s">
        <v>45</v>
      </c>
    </row>
    <row r="1116" spans="1:9" ht="48" customHeight="1">
      <c r="A1116" s="3" t="s">
        <v>66</v>
      </c>
      <c r="B1116" s="3" t="s">
        <v>65</v>
      </c>
      <c r="C1116" s="4">
        <v>46143</v>
      </c>
      <c r="D1116" s="4">
        <v>46173</v>
      </c>
      <c r="E1116" s="3" t="s">
        <v>244</v>
      </c>
      <c r="F1116" s="3" t="s">
        <v>245</v>
      </c>
      <c r="G1116" s="5">
        <v>6.9999999999999993E-3</v>
      </c>
      <c r="H1116" s="6" t="s">
        <v>73</v>
      </c>
      <c r="I1116" s="3" t="s">
        <v>45</v>
      </c>
    </row>
    <row r="1117" spans="1:9" ht="48" customHeight="1">
      <c r="A1117" s="3" t="s">
        <v>66</v>
      </c>
      <c r="B1117" s="3" t="s">
        <v>65</v>
      </c>
      <c r="C1117" s="4">
        <v>46143</v>
      </c>
      <c r="D1117" s="4">
        <v>46173</v>
      </c>
      <c r="E1117" s="3" t="s">
        <v>244</v>
      </c>
      <c r="F1117" s="3" t="s">
        <v>246</v>
      </c>
      <c r="G1117" s="5">
        <v>4.0000000000000001E-3</v>
      </c>
      <c r="H1117" s="6" t="s">
        <v>73</v>
      </c>
      <c r="I1117" s="3" t="s">
        <v>45</v>
      </c>
    </row>
    <row r="1118" spans="1:9" ht="48" customHeight="1">
      <c r="A1118" s="3" t="s">
        <v>66</v>
      </c>
      <c r="B1118" s="3" t="s">
        <v>65</v>
      </c>
      <c r="C1118" s="4">
        <v>46143</v>
      </c>
      <c r="D1118" s="4">
        <v>46173</v>
      </c>
      <c r="E1118" s="3" t="s">
        <v>244</v>
      </c>
      <c r="F1118" s="3" t="s">
        <v>248</v>
      </c>
      <c r="G1118" s="5">
        <v>3.0000000000000001E-3</v>
      </c>
      <c r="H1118" s="6" t="s">
        <v>73</v>
      </c>
      <c r="I1118" s="3" t="s">
        <v>45</v>
      </c>
    </row>
    <row r="1119" spans="1:9" ht="48" customHeight="1">
      <c r="A1119" s="3" t="s">
        <v>66</v>
      </c>
      <c r="B1119" s="3" t="s">
        <v>65</v>
      </c>
      <c r="C1119" s="4">
        <v>46143</v>
      </c>
      <c r="D1119" s="4">
        <v>46173</v>
      </c>
      <c r="E1119" s="3" t="s">
        <v>244</v>
      </c>
      <c r="F1119" s="3" t="s">
        <v>247</v>
      </c>
      <c r="G1119" s="5">
        <v>3.0000000000000001E-3</v>
      </c>
      <c r="H1119" s="6" t="s">
        <v>73</v>
      </c>
      <c r="I1119" s="3" t="s">
        <v>45</v>
      </c>
    </row>
    <row r="1120" spans="1:9" ht="48" customHeight="1">
      <c r="A1120" s="3" t="s">
        <v>66</v>
      </c>
      <c r="B1120" s="3" t="s">
        <v>65</v>
      </c>
      <c r="C1120" s="4">
        <v>46143</v>
      </c>
      <c r="D1120" s="4">
        <v>46173</v>
      </c>
      <c r="E1120" s="3" t="s">
        <v>244</v>
      </c>
      <c r="F1120" s="3" t="s">
        <v>250</v>
      </c>
      <c r="G1120" s="5">
        <v>1E-3</v>
      </c>
      <c r="H1120" s="6" t="s">
        <v>73</v>
      </c>
      <c r="I1120" s="3" t="s">
        <v>45</v>
      </c>
    </row>
    <row r="1121" spans="1:9" ht="48" customHeight="1">
      <c r="A1121" s="3" t="s">
        <v>66</v>
      </c>
      <c r="B1121" s="3" t="s">
        <v>65</v>
      </c>
      <c r="C1121" s="4">
        <v>46143</v>
      </c>
      <c r="D1121" s="4">
        <v>46173</v>
      </c>
      <c r="E1121" s="3" t="s">
        <v>244</v>
      </c>
      <c r="F1121" s="3" t="s">
        <v>252</v>
      </c>
      <c r="G1121" s="5">
        <v>1E-3</v>
      </c>
      <c r="H1121" s="6" t="s">
        <v>73</v>
      </c>
      <c r="I1121" s="3" t="s">
        <v>45</v>
      </c>
    </row>
    <row r="1122" spans="1:9" ht="48" customHeight="1">
      <c r="A1122" s="3" t="s">
        <v>66</v>
      </c>
      <c r="B1122" s="3" t="s">
        <v>65</v>
      </c>
      <c r="C1122" s="4">
        <v>46143</v>
      </c>
      <c r="D1122" s="4">
        <v>46173</v>
      </c>
      <c r="E1122" s="3" t="s">
        <v>244</v>
      </c>
      <c r="F1122" s="3" t="s">
        <v>249</v>
      </c>
      <c r="G1122" s="5">
        <v>1E-3</v>
      </c>
      <c r="H1122" s="6" t="s">
        <v>73</v>
      </c>
      <c r="I1122" s="3" t="s">
        <v>45</v>
      </c>
    </row>
    <row r="1123" spans="1:9" ht="48" customHeight="1">
      <c r="A1123" s="3" t="s">
        <v>66</v>
      </c>
      <c r="B1123" s="3" t="s">
        <v>65</v>
      </c>
      <c r="C1123" s="4">
        <v>46143</v>
      </c>
      <c r="D1123" s="4">
        <v>46173</v>
      </c>
      <c r="E1123" s="3" t="s">
        <v>244</v>
      </c>
      <c r="F1123" s="3" t="s">
        <v>253</v>
      </c>
      <c r="G1123" s="5">
        <v>1E-3</v>
      </c>
      <c r="H1123" s="6" t="s">
        <v>73</v>
      </c>
      <c r="I1123" s="3" t="s">
        <v>45</v>
      </c>
    </row>
    <row r="1124" spans="1:9" ht="48" customHeight="1">
      <c r="A1124" s="3" t="s">
        <v>66</v>
      </c>
      <c r="B1124" s="3" t="s">
        <v>65</v>
      </c>
      <c r="C1124" s="4">
        <v>46143</v>
      </c>
      <c r="D1124" s="4">
        <v>46173</v>
      </c>
      <c r="E1124" s="3" t="s">
        <v>244</v>
      </c>
      <c r="F1124" s="3" t="s">
        <v>254</v>
      </c>
      <c r="G1124" s="5">
        <v>1E-3</v>
      </c>
      <c r="H1124" s="6" t="s">
        <v>73</v>
      </c>
      <c r="I1124" s="3" t="s">
        <v>45</v>
      </c>
    </row>
    <row r="1125" spans="1:9" ht="48" customHeight="1">
      <c r="A1125" s="3" t="s">
        <v>66</v>
      </c>
      <c r="B1125" s="3" t="s">
        <v>65</v>
      </c>
      <c r="C1125" s="4">
        <v>46143</v>
      </c>
      <c r="D1125" s="4">
        <v>46173</v>
      </c>
      <c r="E1125" s="3" t="s">
        <v>244</v>
      </c>
      <c r="F1125" s="3" t="s">
        <v>251</v>
      </c>
      <c r="G1125" s="5">
        <v>0</v>
      </c>
      <c r="H1125" s="6" t="s">
        <v>73</v>
      </c>
      <c r="I1125" s="3" t="s">
        <v>45</v>
      </c>
    </row>
    <row r="1126" spans="1:9" ht="48" customHeight="1">
      <c r="A1126" s="3" t="s">
        <v>66</v>
      </c>
      <c r="B1126" s="3" t="s">
        <v>65</v>
      </c>
      <c r="C1126" s="4">
        <v>46143</v>
      </c>
      <c r="D1126" s="4">
        <v>46173</v>
      </c>
      <c r="E1126" s="3" t="s">
        <v>244</v>
      </c>
      <c r="F1126" s="3" t="s">
        <v>255</v>
      </c>
      <c r="G1126" s="5">
        <v>0</v>
      </c>
      <c r="H1126" s="6" t="s">
        <v>73</v>
      </c>
      <c r="I1126" s="3" t="s">
        <v>45</v>
      </c>
    </row>
    <row r="1127" spans="1:9" ht="48" customHeight="1">
      <c r="A1127" s="3" t="s">
        <v>66</v>
      </c>
      <c r="B1127" s="3" t="s">
        <v>65</v>
      </c>
      <c r="C1127" s="4">
        <v>46143</v>
      </c>
      <c r="D1127" s="4">
        <v>46173</v>
      </c>
      <c r="E1127" s="3" t="s">
        <v>244</v>
      </c>
      <c r="F1127" s="3" t="s">
        <v>256</v>
      </c>
      <c r="G1127" s="5">
        <v>0</v>
      </c>
      <c r="H1127" s="6" t="s">
        <v>73</v>
      </c>
      <c r="I1127" s="3" t="s">
        <v>45</v>
      </c>
    </row>
    <row r="1128" spans="1:9" ht="48" customHeight="1">
      <c r="A1128" s="3" t="s">
        <v>66</v>
      </c>
      <c r="B1128" s="3" t="s">
        <v>65</v>
      </c>
      <c r="C1128" s="4">
        <v>46143</v>
      </c>
      <c r="D1128" s="4">
        <v>46173</v>
      </c>
      <c r="E1128" s="3" t="s">
        <v>244</v>
      </c>
      <c r="F1128" s="3" t="s">
        <v>257</v>
      </c>
      <c r="G1128" s="5">
        <v>0</v>
      </c>
      <c r="H1128" s="6" t="s">
        <v>73</v>
      </c>
      <c r="I1128" s="3" t="s">
        <v>45</v>
      </c>
    </row>
    <row r="1129" spans="1:9" ht="48" customHeight="1">
      <c r="A1129" s="3" t="s">
        <v>66</v>
      </c>
      <c r="B1129" s="3" t="s">
        <v>65</v>
      </c>
      <c r="C1129" s="4">
        <v>46143</v>
      </c>
      <c r="D1129" s="4">
        <v>46173</v>
      </c>
      <c r="E1129" s="3" t="s">
        <v>244</v>
      </c>
      <c r="F1129" s="3" t="s">
        <v>258</v>
      </c>
      <c r="G1129" s="5">
        <v>0</v>
      </c>
      <c r="H1129" s="6" t="s">
        <v>73</v>
      </c>
      <c r="I1129" s="3" t="s">
        <v>45</v>
      </c>
    </row>
    <row r="1130" spans="1:9" ht="48" customHeight="1">
      <c r="A1130" s="3" t="s">
        <v>66</v>
      </c>
      <c r="B1130" s="3" t="s">
        <v>65</v>
      </c>
      <c r="C1130" s="4">
        <v>46143</v>
      </c>
      <c r="D1130" s="4">
        <v>46173</v>
      </c>
      <c r="E1130" s="3" t="s">
        <v>244</v>
      </c>
      <c r="F1130" s="3" t="s">
        <v>259</v>
      </c>
      <c r="G1130" s="5">
        <v>0</v>
      </c>
      <c r="H1130" s="6" t="s">
        <v>73</v>
      </c>
      <c r="I1130" s="3" t="s">
        <v>45</v>
      </c>
    </row>
    <row r="1131" spans="1:9" ht="48" customHeight="1">
      <c r="A1131" s="3" t="s">
        <v>66</v>
      </c>
      <c r="B1131" s="3" t="s">
        <v>65</v>
      </c>
      <c r="C1131" s="4">
        <v>46143</v>
      </c>
      <c r="D1131" s="4">
        <v>46173</v>
      </c>
      <c r="E1131" s="3" t="s">
        <v>286</v>
      </c>
      <c r="F1131" s="3" t="s">
        <v>287</v>
      </c>
      <c r="G1131" s="5">
        <v>5.0000000000000001E-3</v>
      </c>
      <c r="H1131" s="6" t="s">
        <v>73</v>
      </c>
      <c r="I1131" s="3" t="s">
        <v>45</v>
      </c>
    </row>
    <row r="1132" spans="1:9" ht="48" customHeight="1">
      <c r="A1132" s="3" t="s">
        <v>66</v>
      </c>
      <c r="B1132" s="3" t="s">
        <v>65</v>
      </c>
      <c r="C1132" s="4">
        <v>46143</v>
      </c>
      <c r="D1132" s="4">
        <v>46173</v>
      </c>
      <c r="E1132" s="3" t="s">
        <v>286</v>
      </c>
      <c r="F1132" s="3" t="s">
        <v>288</v>
      </c>
      <c r="G1132" s="5">
        <v>3.0000000000000001E-3</v>
      </c>
      <c r="H1132" s="6" t="s">
        <v>73</v>
      </c>
      <c r="I1132" s="3" t="s">
        <v>45</v>
      </c>
    </row>
    <row r="1133" spans="1:9" ht="48" customHeight="1">
      <c r="A1133" s="3" t="s">
        <v>66</v>
      </c>
      <c r="B1133" s="3" t="s">
        <v>65</v>
      </c>
      <c r="C1133" s="4">
        <v>46143</v>
      </c>
      <c r="D1133" s="4">
        <v>46173</v>
      </c>
      <c r="E1133" s="3" t="s">
        <v>286</v>
      </c>
      <c r="F1133" s="3" t="s">
        <v>289</v>
      </c>
      <c r="G1133" s="5">
        <v>3.0000000000000001E-3</v>
      </c>
      <c r="H1133" s="6" t="s">
        <v>73</v>
      </c>
      <c r="I1133" s="3" t="s">
        <v>45</v>
      </c>
    </row>
    <row r="1134" spans="1:9" ht="48" customHeight="1">
      <c r="A1134" s="3" t="s">
        <v>66</v>
      </c>
      <c r="B1134" s="3" t="s">
        <v>65</v>
      </c>
      <c r="C1134" s="4">
        <v>46143</v>
      </c>
      <c r="D1134" s="4">
        <v>46173</v>
      </c>
      <c r="E1134" s="3" t="s">
        <v>286</v>
      </c>
      <c r="F1134" s="3" t="s">
        <v>291</v>
      </c>
      <c r="G1134" s="5">
        <v>3.0000000000000001E-3</v>
      </c>
      <c r="H1134" s="6" t="s">
        <v>73</v>
      </c>
      <c r="I1134" s="3" t="s">
        <v>45</v>
      </c>
    </row>
    <row r="1135" spans="1:9" ht="48" customHeight="1">
      <c r="A1135" s="3" t="s">
        <v>66</v>
      </c>
      <c r="B1135" s="3" t="s">
        <v>65</v>
      </c>
      <c r="C1135" s="4">
        <v>46143</v>
      </c>
      <c r="D1135" s="4">
        <v>46173</v>
      </c>
      <c r="E1135" s="3" t="s">
        <v>286</v>
      </c>
      <c r="F1135" s="3" t="s">
        <v>292</v>
      </c>
      <c r="G1135" s="5">
        <v>3.0000000000000001E-3</v>
      </c>
      <c r="H1135" s="6" t="s">
        <v>73</v>
      </c>
      <c r="I1135" s="3" t="s">
        <v>45</v>
      </c>
    </row>
    <row r="1136" spans="1:9" ht="48" customHeight="1">
      <c r="A1136" s="3" t="s">
        <v>66</v>
      </c>
      <c r="B1136" s="3" t="s">
        <v>65</v>
      </c>
      <c r="C1136" s="4">
        <v>46143</v>
      </c>
      <c r="D1136" s="4">
        <v>46173</v>
      </c>
      <c r="E1136" s="3" t="s">
        <v>286</v>
      </c>
      <c r="F1136" s="3" t="s">
        <v>290</v>
      </c>
      <c r="G1136" s="5">
        <v>2E-3</v>
      </c>
      <c r="H1136" s="6" t="s">
        <v>73</v>
      </c>
      <c r="I1136" s="3" t="s">
        <v>45</v>
      </c>
    </row>
    <row r="1137" spans="1:9" ht="48" customHeight="1">
      <c r="A1137" s="3" t="s">
        <v>66</v>
      </c>
      <c r="B1137" s="3" t="s">
        <v>65</v>
      </c>
      <c r="C1137" s="4">
        <v>46143</v>
      </c>
      <c r="D1137" s="4">
        <v>46173</v>
      </c>
      <c r="E1137" s="3" t="s">
        <v>286</v>
      </c>
      <c r="F1137" s="3" t="s">
        <v>297</v>
      </c>
      <c r="G1137" s="5">
        <v>2E-3</v>
      </c>
      <c r="H1137" s="6" t="s">
        <v>73</v>
      </c>
      <c r="I1137" s="3" t="s">
        <v>45</v>
      </c>
    </row>
    <row r="1138" spans="1:9" ht="48" customHeight="1">
      <c r="A1138" s="3" t="s">
        <v>66</v>
      </c>
      <c r="B1138" s="3" t="s">
        <v>65</v>
      </c>
      <c r="C1138" s="4">
        <v>46143</v>
      </c>
      <c r="D1138" s="4">
        <v>46173</v>
      </c>
      <c r="E1138" s="3" t="s">
        <v>286</v>
      </c>
      <c r="F1138" s="3" t="s">
        <v>293</v>
      </c>
      <c r="G1138" s="5">
        <v>1E-3</v>
      </c>
      <c r="H1138" s="6" t="s">
        <v>73</v>
      </c>
      <c r="I1138" s="3" t="s">
        <v>45</v>
      </c>
    </row>
    <row r="1139" spans="1:9" ht="48" customHeight="1">
      <c r="A1139" s="3" t="s">
        <v>66</v>
      </c>
      <c r="B1139" s="3" t="s">
        <v>65</v>
      </c>
      <c r="C1139" s="4">
        <v>46143</v>
      </c>
      <c r="D1139" s="4">
        <v>46173</v>
      </c>
      <c r="E1139" s="3" t="s">
        <v>286</v>
      </c>
      <c r="F1139" s="3" t="s">
        <v>295</v>
      </c>
      <c r="G1139" s="5">
        <v>1E-3</v>
      </c>
      <c r="H1139" s="6" t="s">
        <v>73</v>
      </c>
      <c r="I1139" s="3" t="s">
        <v>45</v>
      </c>
    </row>
    <row r="1140" spans="1:9" ht="48" customHeight="1">
      <c r="A1140" s="3" t="s">
        <v>66</v>
      </c>
      <c r="B1140" s="3" t="s">
        <v>65</v>
      </c>
      <c r="C1140" s="4">
        <v>46143</v>
      </c>
      <c r="D1140" s="4">
        <v>46173</v>
      </c>
      <c r="E1140" s="3" t="s">
        <v>286</v>
      </c>
      <c r="F1140" s="3" t="s">
        <v>296</v>
      </c>
      <c r="G1140" s="5">
        <v>1E-3</v>
      </c>
      <c r="H1140" s="6" t="s">
        <v>73</v>
      </c>
      <c r="I1140" s="3" t="s">
        <v>45</v>
      </c>
    </row>
    <row r="1141" spans="1:9" ht="48" customHeight="1">
      <c r="A1141" s="3" t="s">
        <v>66</v>
      </c>
      <c r="B1141" s="3" t="s">
        <v>65</v>
      </c>
      <c r="C1141" s="4">
        <v>46143</v>
      </c>
      <c r="D1141" s="4">
        <v>46173</v>
      </c>
      <c r="E1141" s="3" t="s">
        <v>286</v>
      </c>
      <c r="F1141" s="3" t="s">
        <v>298</v>
      </c>
      <c r="G1141" s="5">
        <v>1E-3</v>
      </c>
      <c r="H1141" s="6" t="s">
        <v>73</v>
      </c>
      <c r="I1141" s="3" t="s">
        <v>45</v>
      </c>
    </row>
    <row r="1142" spans="1:9" ht="48" customHeight="1">
      <c r="A1142" s="3" t="s">
        <v>66</v>
      </c>
      <c r="B1142" s="3" t="s">
        <v>65</v>
      </c>
      <c r="C1142" s="4">
        <v>46143</v>
      </c>
      <c r="D1142" s="4">
        <v>46173</v>
      </c>
      <c r="E1142" s="3" t="s">
        <v>286</v>
      </c>
      <c r="F1142" s="3" t="s">
        <v>294</v>
      </c>
      <c r="G1142" s="5">
        <v>0</v>
      </c>
      <c r="H1142" s="6" t="s">
        <v>73</v>
      </c>
      <c r="I1142" s="3" t="s">
        <v>45</v>
      </c>
    </row>
    <row r="1143" spans="1:9" ht="48" customHeight="1">
      <c r="A1143" s="3" t="s">
        <v>66</v>
      </c>
      <c r="B1143" s="3" t="s">
        <v>65</v>
      </c>
      <c r="C1143" s="4">
        <v>46143</v>
      </c>
      <c r="D1143" s="4">
        <v>46173</v>
      </c>
      <c r="E1143" s="3" t="s">
        <v>286</v>
      </c>
      <c r="F1143" s="3" t="s">
        <v>299</v>
      </c>
      <c r="G1143" s="5">
        <v>0</v>
      </c>
      <c r="H1143" s="6" t="s">
        <v>73</v>
      </c>
      <c r="I1143" s="3" t="s">
        <v>45</v>
      </c>
    </row>
    <row r="1144" spans="1:9" ht="48" customHeight="1">
      <c r="A1144" s="3" t="s">
        <v>66</v>
      </c>
      <c r="B1144" s="3" t="s">
        <v>65</v>
      </c>
      <c r="C1144" s="4">
        <v>46143</v>
      </c>
      <c r="D1144" s="4">
        <v>46173</v>
      </c>
      <c r="E1144" s="3" t="s">
        <v>286</v>
      </c>
      <c r="F1144" s="3" t="s">
        <v>300</v>
      </c>
      <c r="G1144" s="5">
        <v>0</v>
      </c>
      <c r="H1144" s="6" t="s">
        <v>73</v>
      </c>
      <c r="I1144" s="3" t="s">
        <v>45</v>
      </c>
    </row>
    <row r="1145" spans="1:9" ht="48" customHeight="1">
      <c r="A1145" s="3" t="s">
        <v>66</v>
      </c>
      <c r="B1145" s="3" t="s">
        <v>65</v>
      </c>
      <c r="C1145" s="4">
        <v>46143</v>
      </c>
      <c r="D1145" s="4">
        <v>46173</v>
      </c>
      <c r="E1145" s="3" t="s">
        <v>260</v>
      </c>
      <c r="F1145" s="3" t="s">
        <v>261</v>
      </c>
      <c r="G1145" s="5">
        <v>4.0000000000000001E-3</v>
      </c>
      <c r="H1145" s="6" t="s">
        <v>73</v>
      </c>
      <c r="I1145" s="3" t="s">
        <v>45</v>
      </c>
    </row>
    <row r="1146" spans="1:9" ht="48" customHeight="1">
      <c r="A1146" s="3" t="s">
        <v>66</v>
      </c>
      <c r="B1146" s="3" t="s">
        <v>65</v>
      </c>
      <c r="C1146" s="4">
        <v>46143</v>
      </c>
      <c r="D1146" s="4">
        <v>46173</v>
      </c>
      <c r="E1146" s="3" t="s">
        <v>260</v>
      </c>
      <c r="F1146" s="3" t="s">
        <v>262</v>
      </c>
      <c r="G1146" s="5">
        <v>3.0000000000000001E-3</v>
      </c>
      <c r="H1146" s="6" t="s">
        <v>73</v>
      </c>
      <c r="I1146" s="3" t="s">
        <v>45</v>
      </c>
    </row>
    <row r="1147" spans="1:9" ht="48" customHeight="1">
      <c r="A1147" s="3" t="s">
        <v>66</v>
      </c>
      <c r="B1147" s="3" t="s">
        <v>65</v>
      </c>
      <c r="C1147" s="4">
        <v>46143</v>
      </c>
      <c r="D1147" s="4">
        <v>46173</v>
      </c>
      <c r="E1147" s="3" t="s">
        <v>260</v>
      </c>
      <c r="F1147" s="3" t="s">
        <v>232</v>
      </c>
      <c r="G1147" s="5">
        <v>2E-3</v>
      </c>
      <c r="H1147" s="6" t="s">
        <v>73</v>
      </c>
      <c r="I1147" s="3" t="s">
        <v>45</v>
      </c>
    </row>
    <row r="1148" spans="1:9" ht="48" customHeight="1">
      <c r="A1148" s="3" t="s">
        <v>66</v>
      </c>
      <c r="B1148" s="3" t="s">
        <v>65</v>
      </c>
      <c r="C1148" s="4">
        <v>46143</v>
      </c>
      <c r="D1148" s="4">
        <v>46173</v>
      </c>
      <c r="E1148" s="3" t="s">
        <v>260</v>
      </c>
      <c r="F1148" s="3" t="s">
        <v>263</v>
      </c>
      <c r="G1148" s="5">
        <v>2E-3</v>
      </c>
      <c r="H1148" s="6" t="s">
        <v>73</v>
      </c>
      <c r="I1148" s="3" t="s">
        <v>45</v>
      </c>
    </row>
    <row r="1149" spans="1:9" ht="48" customHeight="1">
      <c r="A1149" s="3" t="s">
        <v>66</v>
      </c>
      <c r="B1149" s="3" t="s">
        <v>65</v>
      </c>
      <c r="C1149" s="4">
        <v>46143</v>
      </c>
      <c r="D1149" s="4">
        <v>46173</v>
      </c>
      <c r="E1149" s="3" t="s">
        <v>260</v>
      </c>
      <c r="F1149" s="3" t="s">
        <v>234</v>
      </c>
      <c r="G1149" s="5">
        <v>1E-3</v>
      </c>
      <c r="H1149" s="6" t="s">
        <v>73</v>
      </c>
      <c r="I1149" s="3" t="s">
        <v>45</v>
      </c>
    </row>
    <row r="1150" spans="1:9" ht="48" customHeight="1">
      <c r="A1150" s="3" t="s">
        <v>66</v>
      </c>
      <c r="B1150" s="3" t="s">
        <v>65</v>
      </c>
      <c r="C1150" s="4">
        <v>46143</v>
      </c>
      <c r="D1150" s="4">
        <v>46173</v>
      </c>
      <c r="E1150" s="3" t="s">
        <v>260</v>
      </c>
      <c r="F1150" s="3" t="s">
        <v>265</v>
      </c>
      <c r="G1150" s="5">
        <v>1E-3</v>
      </c>
      <c r="H1150" s="6" t="s">
        <v>73</v>
      </c>
      <c r="I1150" s="3" t="s">
        <v>45</v>
      </c>
    </row>
    <row r="1151" spans="1:9" ht="48" customHeight="1">
      <c r="A1151" s="3" t="s">
        <v>66</v>
      </c>
      <c r="B1151" s="3" t="s">
        <v>65</v>
      </c>
      <c r="C1151" s="4">
        <v>46143</v>
      </c>
      <c r="D1151" s="4">
        <v>46173</v>
      </c>
      <c r="E1151" s="3" t="s">
        <v>260</v>
      </c>
      <c r="F1151" s="3" t="s">
        <v>266</v>
      </c>
      <c r="G1151" s="5">
        <v>1E-3</v>
      </c>
      <c r="H1151" s="6" t="s">
        <v>73</v>
      </c>
      <c r="I1151" s="3" t="s">
        <v>45</v>
      </c>
    </row>
    <row r="1152" spans="1:9" ht="48" customHeight="1">
      <c r="A1152" s="3" t="s">
        <v>66</v>
      </c>
      <c r="B1152" s="3" t="s">
        <v>65</v>
      </c>
      <c r="C1152" s="4">
        <v>46143</v>
      </c>
      <c r="D1152" s="4">
        <v>46173</v>
      </c>
      <c r="E1152" s="3" t="s">
        <v>260</v>
      </c>
      <c r="F1152" s="3" t="s">
        <v>264</v>
      </c>
      <c r="G1152" s="5">
        <v>1E-3</v>
      </c>
      <c r="H1152" s="6" t="s">
        <v>73</v>
      </c>
      <c r="I1152" s="3" t="s">
        <v>45</v>
      </c>
    </row>
    <row r="1153" spans="1:9" ht="48" customHeight="1">
      <c r="A1153" s="3" t="s">
        <v>66</v>
      </c>
      <c r="B1153" s="3" t="s">
        <v>65</v>
      </c>
      <c r="C1153" s="4">
        <v>46143</v>
      </c>
      <c r="D1153" s="4">
        <v>46173</v>
      </c>
      <c r="E1153" s="3" t="s">
        <v>260</v>
      </c>
      <c r="F1153" s="3" t="s">
        <v>267</v>
      </c>
      <c r="G1153" s="5">
        <v>1E-3</v>
      </c>
      <c r="H1153" s="6" t="s">
        <v>73</v>
      </c>
      <c r="I1153" s="3" t="s">
        <v>45</v>
      </c>
    </row>
    <row r="1154" spans="1:9" ht="48" customHeight="1">
      <c r="A1154" s="3" t="s">
        <v>66</v>
      </c>
      <c r="B1154" s="3" t="s">
        <v>65</v>
      </c>
      <c r="C1154" s="4">
        <v>46143</v>
      </c>
      <c r="D1154" s="4">
        <v>46173</v>
      </c>
      <c r="E1154" s="3" t="s">
        <v>260</v>
      </c>
      <c r="F1154" s="3" t="s">
        <v>268</v>
      </c>
      <c r="G1154" s="5">
        <v>1E-3</v>
      </c>
      <c r="H1154" s="6" t="s">
        <v>73</v>
      </c>
      <c r="I1154" s="3" t="s">
        <v>45</v>
      </c>
    </row>
    <row r="1155" spans="1:9" ht="48" customHeight="1">
      <c r="A1155" s="3" t="s">
        <v>66</v>
      </c>
      <c r="B1155" s="3" t="s">
        <v>65</v>
      </c>
      <c r="C1155" s="4">
        <v>46143</v>
      </c>
      <c r="D1155" s="4">
        <v>46173</v>
      </c>
      <c r="E1155" s="3" t="s">
        <v>260</v>
      </c>
      <c r="F1155" s="3" t="s">
        <v>280</v>
      </c>
      <c r="G1155" s="5">
        <v>1E-3</v>
      </c>
      <c r="H1155" s="6" t="s">
        <v>73</v>
      </c>
      <c r="I1155" s="3" t="s">
        <v>45</v>
      </c>
    </row>
    <row r="1156" spans="1:9" ht="48" customHeight="1">
      <c r="A1156" s="3" t="s">
        <v>66</v>
      </c>
      <c r="B1156" s="3" t="s">
        <v>65</v>
      </c>
      <c r="C1156" s="4">
        <v>46143</v>
      </c>
      <c r="D1156" s="4">
        <v>46173</v>
      </c>
      <c r="E1156" s="3" t="s">
        <v>260</v>
      </c>
      <c r="F1156" s="3" t="s">
        <v>271</v>
      </c>
      <c r="G1156" s="5">
        <v>1E-3</v>
      </c>
      <c r="H1156" s="6" t="s">
        <v>73</v>
      </c>
      <c r="I1156" s="3" t="s">
        <v>45</v>
      </c>
    </row>
    <row r="1157" spans="1:9" ht="48" customHeight="1">
      <c r="A1157" s="3" t="s">
        <v>66</v>
      </c>
      <c r="B1157" s="3" t="s">
        <v>65</v>
      </c>
      <c r="C1157" s="4">
        <v>46143</v>
      </c>
      <c r="D1157" s="4">
        <v>46173</v>
      </c>
      <c r="E1157" s="3" t="s">
        <v>260</v>
      </c>
      <c r="F1157" s="3" t="s">
        <v>282</v>
      </c>
      <c r="G1157" s="5">
        <v>1E-3</v>
      </c>
      <c r="H1157" s="6" t="s">
        <v>73</v>
      </c>
      <c r="I1157" s="3" t="s">
        <v>45</v>
      </c>
    </row>
    <row r="1158" spans="1:9" ht="48" customHeight="1">
      <c r="A1158" s="3" t="s">
        <v>66</v>
      </c>
      <c r="B1158" s="3" t="s">
        <v>65</v>
      </c>
      <c r="C1158" s="4">
        <v>46143</v>
      </c>
      <c r="D1158" s="4">
        <v>46173</v>
      </c>
      <c r="E1158" s="3" t="s">
        <v>260</v>
      </c>
      <c r="F1158" s="3" t="s">
        <v>273</v>
      </c>
      <c r="G1158" s="5">
        <v>0</v>
      </c>
      <c r="H1158" s="6" t="s">
        <v>73</v>
      </c>
      <c r="I1158" s="3" t="s">
        <v>45</v>
      </c>
    </row>
    <row r="1159" spans="1:9" ht="48" customHeight="1">
      <c r="A1159" s="3" t="s">
        <v>66</v>
      </c>
      <c r="B1159" s="3" t="s">
        <v>65</v>
      </c>
      <c r="C1159" s="4">
        <v>46143</v>
      </c>
      <c r="D1159" s="4">
        <v>46173</v>
      </c>
      <c r="E1159" s="3" t="s">
        <v>260</v>
      </c>
      <c r="F1159" s="3" t="s">
        <v>274</v>
      </c>
      <c r="G1159" s="5">
        <v>0</v>
      </c>
      <c r="H1159" s="6" t="s">
        <v>73</v>
      </c>
      <c r="I1159" s="3" t="s">
        <v>45</v>
      </c>
    </row>
    <row r="1160" spans="1:9" ht="48" customHeight="1">
      <c r="A1160" s="3" t="s">
        <v>66</v>
      </c>
      <c r="B1160" s="3" t="s">
        <v>65</v>
      </c>
      <c r="C1160" s="4">
        <v>46143</v>
      </c>
      <c r="D1160" s="4">
        <v>46173</v>
      </c>
      <c r="E1160" s="3" t="s">
        <v>260</v>
      </c>
      <c r="F1160" s="3" t="s">
        <v>275</v>
      </c>
      <c r="G1160" s="5">
        <v>0</v>
      </c>
      <c r="H1160" s="6" t="s">
        <v>73</v>
      </c>
      <c r="I1160" s="3" t="s">
        <v>45</v>
      </c>
    </row>
    <row r="1161" spans="1:9" ht="48" customHeight="1">
      <c r="A1161" s="3" t="s">
        <v>66</v>
      </c>
      <c r="B1161" s="3" t="s">
        <v>65</v>
      </c>
      <c r="C1161" s="4">
        <v>46143</v>
      </c>
      <c r="D1161" s="4">
        <v>46173</v>
      </c>
      <c r="E1161" s="3" t="s">
        <v>260</v>
      </c>
      <c r="F1161" s="3" t="s">
        <v>276</v>
      </c>
      <c r="G1161" s="5">
        <v>0</v>
      </c>
      <c r="H1161" s="6" t="s">
        <v>73</v>
      </c>
      <c r="I1161" s="3" t="s">
        <v>45</v>
      </c>
    </row>
    <row r="1162" spans="1:9" ht="48" customHeight="1">
      <c r="A1162" s="3" t="s">
        <v>66</v>
      </c>
      <c r="B1162" s="3" t="s">
        <v>65</v>
      </c>
      <c r="C1162" s="4">
        <v>46143</v>
      </c>
      <c r="D1162" s="4">
        <v>46173</v>
      </c>
      <c r="E1162" s="3" t="s">
        <v>260</v>
      </c>
      <c r="F1162" s="3" t="s">
        <v>277</v>
      </c>
      <c r="G1162" s="5">
        <v>0</v>
      </c>
      <c r="H1162" s="6" t="s">
        <v>73</v>
      </c>
      <c r="I1162" s="3" t="s">
        <v>45</v>
      </c>
    </row>
    <row r="1163" spans="1:9" ht="48" customHeight="1">
      <c r="A1163" s="3" t="s">
        <v>66</v>
      </c>
      <c r="B1163" s="3" t="s">
        <v>65</v>
      </c>
      <c r="C1163" s="4">
        <v>46143</v>
      </c>
      <c r="D1163" s="4">
        <v>46173</v>
      </c>
      <c r="E1163" s="3" t="s">
        <v>260</v>
      </c>
      <c r="F1163" s="3" t="s">
        <v>278</v>
      </c>
      <c r="G1163" s="5">
        <v>0</v>
      </c>
      <c r="H1163" s="6" t="s">
        <v>73</v>
      </c>
      <c r="I1163" s="3" t="s">
        <v>45</v>
      </c>
    </row>
    <row r="1164" spans="1:9" ht="48" customHeight="1">
      <c r="A1164" s="3" t="s">
        <v>66</v>
      </c>
      <c r="B1164" s="3" t="s">
        <v>65</v>
      </c>
      <c r="C1164" s="4">
        <v>46143</v>
      </c>
      <c r="D1164" s="4">
        <v>46173</v>
      </c>
      <c r="E1164" s="3" t="s">
        <v>260</v>
      </c>
      <c r="F1164" s="3" t="s">
        <v>269</v>
      </c>
      <c r="G1164" s="5">
        <v>0</v>
      </c>
      <c r="H1164" s="6" t="s">
        <v>73</v>
      </c>
      <c r="I1164" s="3" t="s">
        <v>45</v>
      </c>
    </row>
    <row r="1165" spans="1:9" ht="48" customHeight="1">
      <c r="A1165" s="3" t="s">
        <v>66</v>
      </c>
      <c r="B1165" s="3" t="s">
        <v>65</v>
      </c>
      <c r="C1165" s="4">
        <v>46143</v>
      </c>
      <c r="D1165" s="4">
        <v>46173</v>
      </c>
      <c r="E1165" s="3" t="s">
        <v>260</v>
      </c>
      <c r="F1165" s="3" t="s">
        <v>279</v>
      </c>
      <c r="G1165" s="5">
        <v>0</v>
      </c>
      <c r="H1165" s="6" t="s">
        <v>73</v>
      </c>
      <c r="I1165" s="3" t="s">
        <v>45</v>
      </c>
    </row>
    <row r="1166" spans="1:9" ht="48" customHeight="1">
      <c r="A1166" s="3" t="s">
        <v>66</v>
      </c>
      <c r="B1166" s="3" t="s">
        <v>65</v>
      </c>
      <c r="C1166" s="4">
        <v>46143</v>
      </c>
      <c r="D1166" s="4">
        <v>46173</v>
      </c>
      <c r="E1166" s="3" t="s">
        <v>260</v>
      </c>
      <c r="F1166" s="3" t="s">
        <v>270</v>
      </c>
      <c r="G1166" s="5">
        <v>0</v>
      </c>
      <c r="H1166" s="6" t="s">
        <v>73</v>
      </c>
      <c r="I1166" s="3" t="s">
        <v>45</v>
      </c>
    </row>
    <row r="1167" spans="1:9" ht="48" customHeight="1">
      <c r="A1167" s="3" t="s">
        <v>66</v>
      </c>
      <c r="B1167" s="3" t="s">
        <v>65</v>
      </c>
      <c r="C1167" s="4">
        <v>46143</v>
      </c>
      <c r="D1167" s="4">
        <v>46173</v>
      </c>
      <c r="E1167" s="3" t="s">
        <v>260</v>
      </c>
      <c r="F1167" s="3" t="s">
        <v>281</v>
      </c>
      <c r="G1167" s="5">
        <v>0</v>
      </c>
      <c r="H1167" s="6" t="s">
        <v>73</v>
      </c>
      <c r="I1167" s="3" t="s">
        <v>45</v>
      </c>
    </row>
    <row r="1168" spans="1:9" ht="48" customHeight="1">
      <c r="A1168" s="3" t="s">
        <v>66</v>
      </c>
      <c r="B1168" s="3" t="s">
        <v>65</v>
      </c>
      <c r="C1168" s="4">
        <v>46143</v>
      </c>
      <c r="D1168" s="4">
        <v>46173</v>
      </c>
      <c r="E1168" s="3" t="s">
        <v>260</v>
      </c>
      <c r="F1168" s="3" t="s">
        <v>272</v>
      </c>
      <c r="G1168" s="5">
        <v>0</v>
      </c>
      <c r="H1168" s="6" t="s">
        <v>73</v>
      </c>
      <c r="I1168" s="3" t="s">
        <v>45</v>
      </c>
    </row>
    <row r="1169" spans="1:9" ht="48" customHeight="1">
      <c r="A1169" s="3" t="s">
        <v>66</v>
      </c>
      <c r="B1169" s="3" t="s">
        <v>65</v>
      </c>
      <c r="C1169" s="4">
        <v>46143</v>
      </c>
      <c r="D1169" s="4">
        <v>46173</v>
      </c>
      <c r="E1169" s="3" t="s">
        <v>260</v>
      </c>
      <c r="F1169" s="3" t="s">
        <v>283</v>
      </c>
      <c r="G1169" s="5">
        <v>0</v>
      </c>
      <c r="H1169" s="6" t="s">
        <v>73</v>
      </c>
      <c r="I1169" s="3" t="s">
        <v>45</v>
      </c>
    </row>
    <row r="1170" spans="1:9" ht="48" customHeight="1">
      <c r="A1170" s="3" t="s">
        <v>66</v>
      </c>
      <c r="B1170" s="3" t="s">
        <v>65</v>
      </c>
      <c r="C1170" s="4">
        <v>46143</v>
      </c>
      <c r="D1170" s="4">
        <v>46173</v>
      </c>
      <c r="E1170" s="3" t="s">
        <v>260</v>
      </c>
      <c r="F1170" s="3" t="s">
        <v>284</v>
      </c>
      <c r="G1170" s="5">
        <v>0</v>
      </c>
      <c r="H1170" s="6" t="s">
        <v>73</v>
      </c>
      <c r="I1170" s="3" t="s">
        <v>45</v>
      </c>
    </row>
    <row r="1171" spans="1:9" ht="48" customHeight="1">
      <c r="A1171" s="3" t="s">
        <v>66</v>
      </c>
      <c r="B1171" s="3" t="s">
        <v>65</v>
      </c>
      <c r="C1171" s="4">
        <v>46143</v>
      </c>
      <c r="D1171" s="4">
        <v>46173</v>
      </c>
      <c r="E1171" s="3" t="s">
        <v>260</v>
      </c>
      <c r="F1171" s="3" t="s">
        <v>285</v>
      </c>
      <c r="G1171" s="5">
        <v>0</v>
      </c>
      <c r="H1171" s="6" t="s">
        <v>73</v>
      </c>
      <c r="I1171" s="3" t="s">
        <v>45</v>
      </c>
    </row>
    <row r="1172" spans="1:9" ht="48" customHeight="1">
      <c r="A1172" s="3" t="s">
        <v>66</v>
      </c>
      <c r="B1172" s="3" t="s">
        <v>65</v>
      </c>
      <c r="C1172" s="4">
        <v>46143</v>
      </c>
      <c r="D1172" s="4">
        <v>46173</v>
      </c>
      <c r="E1172" s="3" t="s">
        <v>301</v>
      </c>
      <c r="F1172" s="3" t="s">
        <v>301</v>
      </c>
      <c r="G1172" s="5">
        <v>1.8000000000000002E-2</v>
      </c>
      <c r="H1172" s="6" t="s">
        <v>73</v>
      </c>
      <c r="I1172" s="3" t="s">
        <v>45</v>
      </c>
    </row>
    <row r="1173" spans="1:9" ht="48" customHeight="1">
      <c r="A1173" s="3" t="s">
        <v>66</v>
      </c>
      <c r="B1173" s="3" t="s">
        <v>65</v>
      </c>
      <c r="C1173" s="4">
        <v>46143</v>
      </c>
      <c r="D1173" s="4">
        <v>46173</v>
      </c>
      <c r="E1173" s="3" t="s">
        <v>302</v>
      </c>
      <c r="F1173" s="3" t="s">
        <v>304</v>
      </c>
      <c r="G1173" s="5">
        <v>1E-3</v>
      </c>
      <c r="H1173" s="6" t="s">
        <v>73</v>
      </c>
      <c r="I1173" s="3" t="s">
        <v>45</v>
      </c>
    </row>
    <row r="1174" spans="1:9" ht="48" customHeight="1">
      <c r="A1174" s="3" t="s">
        <v>66</v>
      </c>
      <c r="B1174" s="3" t="s">
        <v>65</v>
      </c>
      <c r="C1174" s="4">
        <v>46143</v>
      </c>
      <c r="D1174" s="4">
        <v>46173</v>
      </c>
      <c r="E1174" s="3" t="s">
        <v>302</v>
      </c>
      <c r="F1174" s="3" t="s">
        <v>305</v>
      </c>
      <c r="G1174" s="5">
        <v>1E-3</v>
      </c>
      <c r="H1174" s="6" t="s">
        <v>73</v>
      </c>
      <c r="I1174" s="3" t="s">
        <v>45</v>
      </c>
    </row>
    <row r="1175" spans="1:9" ht="48" customHeight="1">
      <c r="A1175" s="3" t="s">
        <v>66</v>
      </c>
      <c r="B1175" s="3" t="s">
        <v>65</v>
      </c>
      <c r="C1175" s="4">
        <v>46143</v>
      </c>
      <c r="D1175" s="4">
        <v>46173</v>
      </c>
      <c r="E1175" s="3" t="s">
        <v>302</v>
      </c>
      <c r="F1175" s="3" t="s">
        <v>306</v>
      </c>
      <c r="G1175" s="5">
        <v>1E-3</v>
      </c>
      <c r="H1175" s="6" t="s">
        <v>73</v>
      </c>
      <c r="I1175" s="3" t="s">
        <v>45</v>
      </c>
    </row>
    <row r="1176" spans="1:9" ht="48" customHeight="1">
      <c r="A1176" s="3" t="s">
        <v>66</v>
      </c>
      <c r="B1176" s="3" t="s">
        <v>65</v>
      </c>
      <c r="C1176" s="4">
        <v>46143</v>
      </c>
      <c r="D1176" s="4">
        <v>46173</v>
      </c>
      <c r="E1176" s="3" t="s">
        <v>302</v>
      </c>
      <c r="F1176" s="3" t="s">
        <v>312</v>
      </c>
      <c r="G1176" s="5">
        <v>1E-3</v>
      </c>
      <c r="H1176" s="6" t="s">
        <v>73</v>
      </c>
      <c r="I1176" s="3" t="s">
        <v>45</v>
      </c>
    </row>
    <row r="1177" spans="1:9" ht="48" customHeight="1">
      <c r="A1177" s="3" t="s">
        <v>66</v>
      </c>
      <c r="B1177" s="3" t="s">
        <v>65</v>
      </c>
      <c r="C1177" s="4">
        <v>46143</v>
      </c>
      <c r="D1177" s="4">
        <v>46173</v>
      </c>
      <c r="E1177" s="3" t="s">
        <v>302</v>
      </c>
      <c r="F1177" s="3" t="s">
        <v>307</v>
      </c>
      <c r="G1177" s="5">
        <v>1E-3</v>
      </c>
      <c r="H1177" s="6" t="s">
        <v>73</v>
      </c>
      <c r="I1177" s="3" t="s">
        <v>45</v>
      </c>
    </row>
    <row r="1178" spans="1:9" ht="48" customHeight="1">
      <c r="A1178" s="3" t="s">
        <v>66</v>
      </c>
      <c r="B1178" s="3" t="s">
        <v>65</v>
      </c>
      <c r="C1178" s="4">
        <v>46143</v>
      </c>
      <c r="D1178" s="4">
        <v>46173</v>
      </c>
      <c r="E1178" s="3" t="s">
        <v>302</v>
      </c>
      <c r="F1178" s="3" t="s">
        <v>308</v>
      </c>
      <c r="G1178" s="5">
        <v>1E-3</v>
      </c>
      <c r="H1178" s="6" t="s">
        <v>73</v>
      </c>
      <c r="I1178" s="3" t="s">
        <v>45</v>
      </c>
    </row>
    <row r="1179" spans="1:9" ht="48" customHeight="1">
      <c r="A1179" s="3" t="s">
        <v>66</v>
      </c>
      <c r="B1179" s="3" t="s">
        <v>65</v>
      </c>
      <c r="C1179" s="4">
        <v>46143</v>
      </c>
      <c r="D1179" s="4">
        <v>46173</v>
      </c>
      <c r="E1179" s="3" t="s">
        <v>302</v>
      </c>
      <c r="F1179" s="3" t="s">
        <v>309</v>
      </c>
      <c r="G1179" s="5">
        <v>1E-3</v>
      </c>
      <c r="H1179" s="6" t="s">
        <v>73</v>
      </c>
      <c r="I1179" s="3" t="s">
        <v>45</v>
      </c>
    </row>
    <row r="1180" spans="1:9" ht="48" customHeight="1">
      <c r="A1180" s="3" t="s">
        <v>66</v>
      </c>
      <c r="B1180" s="3" t="s">
        <v>65</v>
      </c>
      <c r="C1180" s="4">
        <v>46143</v>
      </c>
      <c r="D1180" s="4">
        <v>46173</v>
      </c>
      <c r="E1180" s="3" t="s">
        <v>302</v>
      </c>
      <c r="F1180" s="3" t="s">
        <v>303</v>
      </c>
      <c r="G1180" s="5">
        <v>0</v>
      </c>
      <c r="H1180" s="6" t="s">
        <v>73</v>
      </c>
      <c r="I1180" s="3" t="s">
        <v>45</v>
      </c>
    </row>
    <row r="1181" spans="1:9" ht="48" customHeight="1">
      <c r="A1181" s="3" t="s">
        <v>66</v>
      </c>
      <c r="B1181" s="3" t="s">
        <v>65</v>
      </c>
      <c r="C1181" s="4">
        <v>46143</v>
      </c>
      <c r="D1181" s="4">
        <v>46173</v>
      </c>
      <c r="E1181" s="3" t="s">
        <v>302</v>
      </c>
      <c r="F1181" s="3" t="s">
        <v>310</v>
      </c>
      <c r="G1181" s="5">
        <v>0</v>
      </c>
      <c r="H1181" s="6" t="s">
        <v>73</v>
      </c>
      <c r="I1181" s="3" t="s">
        <v>45</v>
      </c>
    </row>
    <row r="1182" spans="1:9" ht="48" customHeight="1">
      <c r="A1182" s="3" t="s">
        <v>66</v>
      </c>
      <c r="B1182" s="3" t="s">
        <v>65</v>
      </c>
      <c r="C1182" s="4">
        <v>46143</v>
      </c>
      <c r="D1182" s="4">
        <v>46173</v>
      </c>
      <c r="E1182" s="3" t="s">
        <v>302</v>
      </c>
      <c r="F1182" s="3" t="s">
        <v>311</v>
      </c>
      <c r="G1182" s="5">
        <v>0</v>
      </c>
      <c r="H1182" s="6" t="s">
        <v>73</v>
      </c>
      <c r="I1182" s="3" t="s">
        <v>45</v>
      </c>
    </row>
    <row r="1183" spans="1:9" ht="48" customHeight="1">
      <c r="A1183" s="3" t="s">
        <v>66</v>
      </c>
      <c r="B1183" s="3" t="s">
        <v>65</v>
      </c>
      <c r="C1183" s="4">
        <v>46143</v>
      </c>
      <c r="D1183" s="4">
        <v>46173</v>
      </c>
      <c r="E1183" s="3" t="s">
        <v>302</v>
      </c>
      <c r="F1183" s="3" t="s">
        <v>313</v>
      </c>
      <c r="G1183" s="5">
        <v>0</v>
      </c>
      <c r="H1183" s="6" t="s">
        <v>73</v>
      </c>
      <c r="I1183" s="3" t="s">
        <v>45</v>
      </c>
    </row>
    <row r="1184" spans="1:9" ht="48" customHeight="1">
      <c r="A1184" s="3" t="s">
        <v>66</v>
      </c>
      <c r="B1184" s="3" t="s">
        <v>65</v>
      </c>
      <c r="C1184" s="4">
        <v>46143</v>
      </c>
      <c r="D1184" s="4">
        <v>46173</v>
      </c>
      <c r="E1184" s="3" t="s">
        <v>302</v>
      </c>
      <c r="F1184" s="3" t="s">
        <v>314</v>
      </c>
      <c r="G1184" s="5">
        <v>0</v>
      </c>
      <c r="H1184" s="6" t="s">
        <v>73</v>
      </c>
      <c r="I1184" s="3" t="s">
        <v>45</v>
      </c>
    </row>
    <row r="1185" spans="1:9" ht="48" customHeight="1">
      <c r="A1185" s="3" t="s">
        <v>66</v>
      </c>
      <c r="B1185" s="3" t="s">
        <v>65</v>
      </c>
      <c r="C1185" s="4">
        <v>46143</v>
      </c>
      <c r="D1185" s="4">
        <v>46173</v>
      </c>
      <c r="E1185" s="3" t="s">
        <v>302</v>
      </c>
      <c r="F1185" s="3" t="s">
        <v>315</v>
      </c>
      <c r="G1185" s="5">
        <v>0</v>
      </c>
      <c r="H1185" s="6" t="s">
        <v>73</v>
      </c>
      <c r="I1185" s="3" t="s">
        <v>45</v>
      </c>
    </row>
    <row r="1186" spans="1:9" ht="48" customHeight="1">
      <c r="A1186" s="3" t="s">
        <v>66</v>
      </c>
      <c r="B1186" s="3" t="s">
        <v>65</v>
      </c>
      <c r="C1186" s="4">
        <v>46143</v>
      </c>
      <c r="D1186" s="4">
        <v>46173</v>
      </c>
      <c r="E1186" s="3" t="s">
        <v>302</v>
      </c>
      <c r="F1186" s="3" t="s">
        <v>316</v>
      </c>
      <c r="G1186" s="5">
        <v>0</v>
      </c>
      <c r="H1186" s="6" t="s">
        <v>73</v>
      </c>
      <c r="I1186" s="3" t="s">
        <v>45</v>
      </c>
    </row>
    <row r="1187" spans="1:9" ht="48" customHeight="1">
      <c r="A1187" s="3" t="s">
        <v>66</v>
      </c>
      <c r="B1187" s="3" t="s">
        <v>65</v>
      </c>
      <c r="C1187" s="4">
        <v>46143</v>
      </c>
      <c r="D1187" s="4">
        <v>46173</v>
      </c>
      <c r="E1187" s="3" t="s">
        <v>302</v>
      </c>
      <c r="F1187" s="3" t="s">
        <v>317</v>
      </c>
      <c r="G1187" s="5">
        <v>0</v>
      </c>
      <c r="H1187" s="6" t="s">
        <v>73</v>
      </c>
      <c r="I1187" s="3" t="s">
        <v>45</v>
      </c>
    </row>
    <row r="1188" spans="1:9" ht="48" customHeight="1">
      <c r="A1188" s="3" t="s">
        <v>66</v>
      </c>
      <c r="B1188" s="3" t="s">
        <v>65</v>
      </c>
      <c r="C1188" s="4">
        <v>46143</v>
      </c>
      <c r="D1188" s="4">
        <v>46173</v>
      </c>
      <c r="E1188" s="3" t="s">
        <v>302</v>
      </c>
      <c r="F1188" s="3" t="s">
        <v>318</v>
      </c>
      <c r="G1188" s="5">
        <v>0</v>
      </c>
      <c r="H1188" s="6" t="s">
        <v>73</v>
      </c>
      <c r="I1188" s="3" t="s">
        <v>45</v>
      </c>
    </row>
    <row r="1189" spans="1:9" ht="48" customHeight="1">
      <c r="A1189" s="3" t="s">
        <v>66</v>
      </c>
      <c r="B1189" s="3" t="s">
        <v>65</v>
      </c>
      <c r="C1189" s="4">
        <v>46143</v>
      </c>
      <c r="D1189" s="4">
        <v>46173</v>
      </c>
      <c r="E1189" s="3" t="s">
        <v>302</v>
      </c>
      <c r="F1189" s="3" t="s">
        <v>319</v>
      </c>
      <c r="G1189" s="5">
        <v>0</v>
      </c>
      <c r="H1189" s="6" t="s">
        <v>73</v>
      </c>
      <c r="I1189" s="3" t="s">
        <v>45</v>
      </c>
    </row>
    <row r="1190" spans="1:9" ht="48" customHeight="1">
      <c r="A1190" s="3" t="s">
        <v>66</v>
      </c>
      <c r="B1190" s="3" t="s">
        <v>65</v>
      </c>
      <c r="C1190" s="4">
        <v>46143</v>
      </c>
      <c r="D1190" s="4">
        <v>46173</v>
      </c>
      <c r="E1190" s="3" t="s">
        <v>302</v>
      </c>
      <c r="F1190" s="3" t="s">
        <v>320</v>
      </c>
      <c r="G1190" s="5">
        <v>0</v>
      </c>
      <c r="H1190" s="6" t="s">
        <v>73</v>
      </c>
      <c r="I1190" s="3" t="s">
        <v>45</v>
      </c>
    </row>
    <row r="1191" spans="1:9" ht="48" customHeight="1">
      <c r="A1191" s="3" t="s">
        <v>66</v>
      </c>
      <c r="B1191" s="3" t="s">
        <v>65</v>
      </c>
      <c r="C1191" s="4">
        <v>46143</v>
      </c>
      <c r="D1191" s="4">
        <v>46173</v>
      </c>
      <c r="E1191" s="3" t="s">
        <v>302</v>
      </c>
      <c r="F1191" s="3" t="s">
        <v>321</v>
      </c>
      <c r="G1191" s="5">
        <v>0</v>
      </c>
      <c r="H1191" s="6" t="s">
        <v>73</v>
      </c>
      <c r="I1191" s="3" t="s">
        <v>45</v>
      </c>
    </row>
    <row r="1192" spans="1:9" ht="48" customHeight="1">
      <c r="A1192" s="3" t="s">
        <v>66</v>
      </c>
      <c r="B1192" s="3" t="s">
        <v>65</v>
      </c>
      <c r="C1192" s="4">
        <v>46143</v>
      </c>
      <c r="D1192" s="4">
        <v>46173</v>
      </c>
      <c r="E1192" s="3" t="s">
        <v>302</v>
      </c>
      <c r="F1192" s="3" t="s">
        <v>322</v>
      </c>
      <c r="G1192" s="5">
        <v>0</v>
      </c>
      <c r="H1192" s="6" t="s">
        <v>73</v>
      </c>
      <c r="I1192" s="3" t="s">
        <v>45</v>
      </c>
    </row>
    <row r="1193" spans="1:9" ht="48" customHeight="1">
      <c r="A1193" s="3" t="s">
        <v>66</v>
      </c>
      <c r="B1193" s="3" t="s">
        <v>65</v>
      </c>
      <c r="C1193" s="4">
        <v>46143</v>
      </c>
      <c r="D1193" s="4">
        <v>46173</v>
      </c>
      <c r="E1193" s="3" t="s">
        <v>302</v>
      </c>
      <c r="F1193" s="3" t="s">
        <v>323</v>
      </c>
      <c r="G1193" s="5">
        <v>0</v>
      </c>
      <c r="H1193" s="6" t="s">
        <v>73</v>
      </c>
      <c r="I1193" s="3" t="s">
        <v>45</v>
      </c>
    </row>
    <row r="1194" spans="1:9" ht="48" customHeight="1">
      <c r="A1194" s="3" t="s">
        <v>66</v>
      </c>
      <c r="B1194" s="3" t="s">
        <v>65</v>
      </c>
      <c r="C1194" s="4">
        <v>46143</v>
      </c>
      <c r="D1194" s="4">
        <v>46173</v>
      </c>
      <c r="E1194" s="3" t="s">
        <v>302</v>
      </c>
      <c r="F1194" s="3" t="s">
        <v>324</v>
      </c>
      <c r="G1194" s="5">
        <v>0</v>
      </c>
      <c r="H1194" s="6" t="s">
        <v>73</v>
      </c>
      <c r="I1194" s="3" t="s">
        <v>45</v>
      </c>
    </row>
    <row r="1195" spans="1:9" ht="48" customHeight="1">
      <c r="A1195" s="3" t="s">
        <v>66</v>
      </c>
      <c r="B1195" s="3" t="s">
        <v>65</v>
      </c>
      <c r="C1195" s="4">
        <v>46143</v>
      </c>
      <c r="D1195" s="4">
        <v>46173</v>
      </c>
      <c r="E1195" s="3" t="s">
        <v>81</v>
      </c>
      <c r="F1195" s="3" t="s">
        <v>325</v>
      </c>
      <c r="G1195" s="5">
        <v>2E-3</v>
      </c>
      <c r="H1195" s="6" t="s">
        <v>73</v>
      </c>
      <c r="I1195" s="3" t="s">
        <v>45</v>
      </c>
    </row>
    <row r="1196" spans="1:9" ht="48" customHeight="1">
      <c r="A1196" s="3" t="s">
        <v>66</v>
      </c>
      <c r="B1196" s="3" t="s">
        <v>65</v>
      </c>
      <c r="C1196" s="4">
        <v>46143</v>
      </c>
      <c r="D1196" s="4">
        <v>46173</v>
      </c>
      <c r="E1196" s="3" t="s">
        <v>81</v>
      </c>
      <c r="F1196" s="3" t="s">
        <v>326</v>
      </c>
      <c r="G1196" s="5">
        <v>1E-3</v>
      </c>
      <c r="H1196" s="6" t="s">
        <v>73</v>
      </c>
      <c r="I1196" s="3" t="s">
        <v>45</v>
      </c>
    </row>
    <row r="1197" spans="1:9" ht="48" customHeight="1">
      <c r="A1197" s="3" t="s">
        <v>66</v>
      </c>
      <c r="B1197" s="3" t="s">
        <v>65</v>
      </c>
      <c r="C1197" s="4">
        <v>46143</v>
      </c>
      <c r="D1197" s="4">
        <v>46173</v>
      </c>
      <c r="E1197" s="3" t="s">
        <v>81</v>
      </c>
      <c r="F1197" s="3" t="s">
        <v>327</v>
      </c>
      <c r="G1197" s="5">
        <v>1E-3</v>
      </c>
      <c r="H1197" s="6" t="s">
        <v>73</v>
      </c>
      <c r="I1197" s="3" t="s">
        <v>45</v>
      </c>
    </row>
    <row r="1198" spans="1:9" ht="48" customHeight="1">
      <c r="A1198" s="3" t="s">
        <v>66</v>
      </c>
      <c r="B1198" s="3" t="s">
        <v>65</v>
      </c>
      <c r="C1198" s="4">
        <v>46143</v>
      </c>
      <c r="D1198" s="4">
        <v>46173</v>
      </c>
      <c r="E1198" s="3" t="s">
        <v>81</v>
      </c>
      <c r="F1198" s="3" t="s">
        <v>328</v>
      </c>
      <c r="G1198" s="5">
        <v>1E-3</v>
      </c>
      <c r="H1198" s="6" t="s">
        <v>73</v>
      </c>
      <c r="I1198" s="3" t="s">
        <v>45</v>
      </c>
    </row>
    <row r="1199" spans="1:9" ht="48" customHeight="1">
      <c r="A1199" s="3" t="s">
        <v>66</v>
      </c>
      <c r="B1199" s="3" t="s">
        <v>65</v>
      </c>
      <c r="C1199" s="4">
        <v>46143</v>
      </c>
      <c r="D1199" s="4">
        <v>46173</v>
      </c>
      <c r="E1199" s="3" t="s">
        <v>81</v>
      </c>
      <c r="F1199" s="3" t="s">
        <v>329</v>
      </c>
      <c r="G1199" s="5">
        <v>1E-3</v>
      </c>
      <c r="H1199" s="6" t="s">
        <v>73</v>
      </c>
      <c r="I1199" s="3" t="s">
        <v>45</v>
      </c>
    </row>
    <row r="1200" spans="1:9" ht="48" customHeight="1">
      <c r="A1200" s="3" t="s">
        <v>66</v>
      </c>
      <c r="B1200" s="3" t="s">
        <v>65</v>
      </c>
      <c r="C1200" s="4">
        <v>46143</v>
      </c>
      <c r="D1200" s="4">
        <v>46173</v>
      </c>
      <c r="E1200" s="3" t="s">
        <v>81</v>
      </c>
      <c r="F1200" s="3" t="s">
        <v>330</v>
      </c>
      <c r="G1200" s="5">
        <v>1E-3</v>
      </c>
      <c r="H1200" s="6" t="s">
        <v>73</v>
      </c>
      <c r="I1200" s="3" t="s">
        <v>45</v>
      </c>
    </row>
    <row r="1201" spans="1:9" ht="48" customHeight="1">
      <c r="A1201" s="3" t="s">
        <v>66</v>
      </c>
      <c r="B1201" s="3" t="s">
        <v>65</v>
      </c>
      <c r="C1201" s="4">
        <v>46143</v>
      </c>
      <c r="D1201" s="4">
        <v>46173</v>
      </c>
      <c r="E1201" s="3" t="s">
        <v>81</v>
      </c>
      <c r="F1201" s="3" t="s">
        <v>332</v>
      </c>
      <c r="G1201" s="5">
        <v>1E-3</v>
      </c>
      <c r="H1201" s="6" t="s">
        <v>73</v>
      </c>
      <c r="I1201" s="3" t="s">
        <v>45</v>
      </c>
    </row>
    <row r="1202" spans="1:9" ht="48" customHeight="1">
      <c r="A1202" s="3" t="s">
        <v>66</v>
      </c>
      <c r="B1202" s="3" t="s">
        <v>65</v>
      </c>
      <c r="C1202" s="4">
        <v>46143</v>
      </c>
      <c r="D1202" s="4">
        <v>46173</v>
      </c>
      <c r="E1202" s="3" t="s">
        <v>81</v>
      </c>
      <c r="F1202" s="3" t="s">
        <v>343</v>
      </c>
      <c r="G1202" s="5">
        <v>1E-3</v>
      </c>
      <c r="H1202" s="6" t="s">
        <v>73</v>
      </c>
      <c r="I1202" s="3" t="s">
        <v>45</v>
      </c>
    </row>
    <row r="1203" spans="1:9" ht="48" customHeight="1">
      <c r="A1203" s="3" t="s">
        <v>66</v>
      </c>
      <c r="B1203" s="3" t="s">
        <v>65</v>
      </c>
      <c r="C1203" s="4">
        <v>46143</v>
      </c>
      <c r="D1203" s="4">
        <v>46173</v>
      </c>
      <c r="E1203" s="3" t="s">
        <v>81</v>
      </c>
      <c r="F1203" s="3" t="s">
        <v>333</v>
      </c>
      <c r="G1203" s="5">
        <v>0</v>
      </c>
      <c r="H1203" s="6" t="s">
        <v>73</v>
      </c>
      <c r="I1203" s="3" t="s">
        <v>45</v>
      </c>
    </row>
    <row r="1204" spans="1:9" ht="48" customHeight="1">
      <c r="A1204" s="3" t="s">
        <v>66</v>
      </c>
      <c r="B1204" s="3" t="s">
        <v>65</v>
      </c>
      <c r="C1204" s="4">
        <v>46143</v>
      </c>
      <c r="D1204" s="4">
        <v>46173</v>
      </c>
      <c r="E1204" s="3" t="s">
        <v>81</v>
      </c>
      <c r="F1204" s="3" t="s">
        <v>334</v>
      </c>
      <c r="G1204" s="5">
        <v>0</v>
      </c>
      <c r="H1204" s="6" t="s">
        <v>73</v>
      </c>
      <c r="I1204" s="3" t="s">
        <v>45</v>
      </c>
    </row>
    <row r="1205" spans="1:9" ht="48" customHeight="1">
      <c r="A1205" s="3" t="s">
        <v>66</v>
      </c>
      <c r="B1205" s="3" t="s">
        <v>65</v>
      </c>
      <c r="C1205" s="4">
        <v>46143</v>
      </c>
      <c r="D1205" s="4">
        <v>46173</v>
      </c>
      <c r="E1205" s="3" t="s">
        <v>81</v>
      </c>
      <c r="F1205" s="3" t="s">
        <v>331</v>
      </c>
      <c r="G1205" s="5">
        <v>0</v>
      </c>
      <c r="H1205" s="6" t="s">
        <v>73</v>
      </c>
      <c r="I1205" s="3" t="s">
        <v>45</v>
      </c>
    </row>
    <row r="1206" spans="1:9" ht="48" customHeight="1">
      <c r="A1206" s="3" t="s">
        <v>66</v>
      </c>
      <c r="B1206" s="3" t="s">
        <v>65</v>
      </c>
      <c r="C1206" s="4">
        <v>46143</v>
      </c>
      <c r="D1206" s="4">
        <v>46173</v>
      </c>
      <c r="E1206" s="3" t="s">
        <v>81</v>
      </c>
      <c r="F1206" s="3" t="s">
        <v>335</v>
      </c>
      <c r="G1206" s="5">
        <v>0</v>
      </c>
      <c r="H1206" s="6" t="s">
        <v>73</v>
      </c>
      <c r="I1206" s="3" t="s">
        <v>45</v>
      </c>
    </row>
    <row r="1207" spans="1:9" ht="48" customHeight="1">
      <c r="A1207" s="3" t="s">
        <v>66</v>
      </c>
      <c r="B1207" s="3" t="s">
        <v>65</v>
      </c>
      <c r="C1207" s="4">
        <v>46143</v>
      </c>
      <c r="D1207" s="4">
        <v>46173</v>
      </c>
      <c r="E1207" s="3" t="s">
        <v>81</v>
      </c>
      <c r="F1207" s="3" t="s">
        <v>336</v>
      </c>
      <c r="G1207" s="5">
        <v>0</v>
      </c>
      <c r="H1207" s="6" t="s">
        <v>73</v>
      </c>
      <c r="I1207" s="3" t="s">
        <v>45</v>
      </c>
    </row>
    <row r="1208" spans="1:9" ht="48" customHeight="1">
      <c r="A1208" s="3" t="s">
        <v>66</v>
      </c>
      <c r="B1208" s="3" t="s">
        <v>65</v>
      </c>
      <c r="C1208" s="4">
        <v>46143</v>
      </c>
      <c r="D1208" s="4">
        <v>46173</v>
      </c>
      <c r="E1208" s="3" t="s">
        <v>81</v>
      </c>
      <c r="F1208" s="3" t="s">
        <v>337</v>
      </c>
      <c r="G1208" s="5">
        <v>0</v>
      </c>
      <c r="H1208" s="6" t="s">
        <v>73</v>
      </c>
      <c r="I1208" s="3" t="s">
        <v>45</v>
      </c>
    </row>
    <row r="1209" spans="1:9" ht="48" customHeight="1">
      <c r="A1209" s="3" t="s">
        <v>66</v>
      </c>
      <c r="B1209" s="3" t="s">
        <v>65</v>
      </c>
      <c r="C1209" s="4">
        <v>46143</v>
      </c>
      <c r="D1209" s="4">
        <v>46173</v>
      </c>
      <c r="E1209" s="3" t="s">
        <v>81</v>
      </c>
      <c r="F1209" s="3" t="s">
        <v>338</v>
      </c>
      <c r="G1209" s="5">
        <v>0</v>
      </c>
      <c r="H1209" s="6" t="s">
        <v>73</v>
      </c>
      <c r="I1209" s="3" t="s">
        <v>45</v>
      </c>
    </row>
    <row r="1210" spans="1:9" ht="48" customHeight="1">
      <c r="A1210" s="3" t="s">
        <v>66</v>
      </c>
      <c r="B1210" s="3" t="s">
        <v>65</v>
      </c>
      <c r="C1210" s="4">
        <v>46143</v>
      </c>
      <c r="D1210" s="4">
        <v>46173</v>
      </c>
      <c r="E1210" s="3" t="s">
        <v>81</v>
      </c>
      <c r="F1210" s="3" t="s">
        <v>339</v>
      </c>
      <c r="G1210" s="5">
        <v>0</v>
      </c>
      <c r="H1210" s="6" t="s">
        <v>73</v>
      </c>
      <c r="I1210" s="3" t="s">
        <v>45</v>
      </c>
    </row>
    <row r="1211" spans="1:9" ht="48" customHeight="1">
      <c r="A1211" s="3" t="s">
        <v>66</v>
      </c>
      <c r="B1211" s="3" t="s">
        <v>65</v>
      </c>
      <c r="C1211" s="4">
        <v>46143</v>
      </c>
      <c r="D1211" s="4">
        <v>46173</v>
      </c>
      <c r="E1211" s="3" t="s">
        <v>81</v>
      </c>
      <c r="F1211" s="3" t="s">
        <v>340</v>
      </c>
      <c r="G1211" s="5">
        <v>0</v>
      </c>
      <c r="H1211" s="6" t="s">
        <v>73</v>
      </c>
      <c r="I1211" s="3" t="s">
        <v>45</v>
      </c>
    </row>
    <row r="1212" spans="1:9" ht="48" customHeight="1">
      <c r="A1212" s="3" t="s">
        <v>66</v>
      </c>
      <c r="B1212" s="3" t="s">
        <v>65</v>
      </c>
      <c r="C1212" s="4">
        <v>46143</v>
      </c>
      <c r="D1212" s="4">
        <v>46173</v>
      </c>
      <c r="E1212" s="3" t="s">
        <v>81</v>
      </c>
      <c r="F1212" s="3" t="s">
        <v>341</v>
      </c>
      <c r="G1212" s="5">
        <v>0</v>
      </c>
      <c r="H1212" s="6" t="s">
        <v>73</v>
      </c>
      <c r="I1212" s="3" t="s">
        <v>45</v>
      </c>
    </row>
    <row r="1213" spans="1:9" ht="48" customHeight="1">
      <c r="A1213" s="3" t="s">
        <v>66</v>
      </c>
      <c r="B1213" s="3" t="s">
        <v>65</v>
      </c>
      <c r="C1213" s="4">
        <v>46143</v>
      </c>
      <c r="D1213" s="4">
        <v>46173</v>
      </c>
      <c r="E1213" s="3" t="s">
        <v>81</v>
      </c>
      <c r="F1213" s="3" t="s">
        <v>342</v>
      </c>
      <c r="G1213" s="5">
        <v>0</v>
      </c>
      <c r="H1213" s="6" t="s">
        <v>73</v>
      </c>
      <c r="I1213" s="3" t="s">
        <v>45</v>
      </c>
    </row>
    <row r="1214" spans="1:9" ht="48" customHeight="1">
      <c r="A1214" s="3" t="s">
        <v>66</v>
      </c>
      <c r="B1214" s="3" t="s">
        <v>65</v>
      </c>
      <c r="C1214" s="4">
        <v>46143</v>
      </c>
      <c r="D1214" s="4">
        <v>46173</v>
      </c>
      <c r="E1214" s="3" t="s">
        <v>81</v>
      </c>
      <c r="F1214" s="3" t="s">
        <v>344</v>
      </c>
      <c r="G1214" s="5">
        <v>0</v>
      </c>
      <c r="H1214" s="6" t="s">
        <v>73</v>
      </c>
      <c r="I1214" s="3" t="s">
        <v>45</v>
      </c>
    </row>
    <row r="1215" spans="1:9" ht="48" customHeight="1">
      <c r="A1215" s="3" t="s">
        <v>66</v>
      </c>
      <c r="B1215" s="3" t="s">
        <v>65</v>
      </c>
      <c r="C1215" s="4">
        <v>46143</v>
      </c>
      <c r="D1215" s="4">
        <v>46173</v>
      </c>
      <c r="E1215" s="3" t="s">
        <v>81</v>
      </c>
      <c r="F1215" s="3" t="s">
        <v>345</v>
      </c>
      <c r="G1215" s="5">
        <v>0</v>
      </c>
      <c r="H1215" s="6" t="s">
        <v>73</v>
      </c>
      <c r="I1215" s="3" t="s">
        <v>45</v>
      </c>
    </row>
    <row r="1216" spans="1:9" ht="48" customHeight="1">
      <c r="A1216" s="3" t="s">
        <v>66</v>
      </c>
      <c r="B1216" s="3" t="s">
        <v>65</v>
      </c>
      <c r="C1216" s="4">
        <v>46143</v>
      </c>
      <c r="D1216" s="4">
        <v>46173</v>
      </c>
      <c r="E1216" s="3" t="s">
        <v>81</v>
      </c>
      <c r="F1216" s="3" t="s">
        <v>346</v>
      </c>
      <c r="G1216" s="5">
        <v>0</v>
      </c>
      <c r="H1216" s="6" t="s">
        <v>73</v>
      </c>
      <c r="I1216" s="3" t="s">
        <v>45</v>
      </c>
    </row>
    <row r="1217" spans="1:9" ht="48" customHeight="1">
      <c r="A1217" s="3" t="s">
        <v>66</v>
      </c>
      <c r="B1217" s="3" t="s">
        <v>65</v>
      </c>
      <c r="C1217" s="4">
        <v>46143</v>
      </c>
      <c r="D1217" s="4">
        <v>46173</v>
      </c>
      <c r="E1217" s="3" t="s">
        <v>81</v>
      </c>
      <c r="F1217" s="3" t="s">
        <v>347</v>
      </c>
      <c r="G1217" s="5">
        <v>0</v>
      </c>
      <c r="H1217" s="6" t="s">
        <v>73</v>
      </c>
      <c r="I1217" s="3" t="s">
        <v>45</v>
      </c>
    </row>
    <row r="1218" spans="1:9" ht="48" customHeight="1">
      <c r="A1218" s="3" t="s">
        <v>66</v>
      </c>
      <c r="B1218" s="3" t="s">
        <v>65</v>
      </c>
      <c r="C1218" s="4">
        <v>46143</v>
      </c>
      <c r="D1218" s="4">
        <v>46173</v>
      </c>
      <c r="E1218" s="3" t="s">
        <v>47</v>
      </c>
      <c r="F1218" s="3" t="s">
        <v>348</v>
      </c>
      <c r="G1218" s="5">
        <v>2E-3</v>
      </c>
      <c r="H1218" s="6" t="s">
        <v>73</v>
      </c>
      <c r="I1218" s="3" t="s">
        <v>45</v>
      </c>
    </row>
    <row r="1219" spans="1:9" ht="48" customHeight="1">
      <c r="A1219" s="3" t="s">
        <v>66</v>
      </c>
      <c r="B1219" s="3" t="s">
        <v>65</v>
      </c>
      <c r="C1219" s="4">
        <v>46143</v>
      </c>
      <c r="D1219" s="4">
        <v>46173</v>
      </c>
      <c r="E1219" s="3" t="s">
        <v>47</v>
      </c>
      <c r="F1219" s="3" t="s">
        <v>349</v>
      </c>
      <c r="G1219" s="5">
        <v>1E-3</v>
      </c>
      <c r="H1219" s="6" t="s">
        <v>73</v>
      </c>
      <c r="I1219" s="3" t="s">
        <v>45</v>
      </c>
    </row>
    <row r="1220" spans="1:9" ht="48" customHeight="1">
      <c r="A1220" s="3" t="s">
        <v>66</v>
      </c>
      <c r="B1220" s="3" t="s">
        <v>65</v>
      </c>
      <c r="C1220" s="4">
        <v>46143</v>
      </c>
      <c r="D1220" s="4">
        <v>46173</v>
      </c>
      <c r="E1220" s="3" t="s">
        <v>47</v>
      </c>
      <c r="F1220" s="3" t="s">
        <v>350</v>
      </c>
      <c r="G1220" s="5">
        <v>1E-3</v>
      </c>
      <c r="H1220" s="6" t="s">
        <v>73</v>
      </c>
      <c r="I1220" s="3" t="s">
        <v>45</v>
      </c>
    </row>
    <row r="1221" spans="1:9" ht="48" customHeight="1">
      <c r="A1221" s="3" t="s">
        <v>66</v>
      </c>
      <c r="B1221" s="3" t="s">
        <v>65</v>
      </c>
      <c r="C1221" s="4">
        <v>46143</v>
      </c>
      <c r="D1221" s="4">
        <v>46173</v>
      </c>
      <c r="E1221" s="3" t="s">
        <v>47</v>
      </c>
      <c r="F1221" s="3" t="s">
        <v>351</v>
      </c>
      <c r="G1221" s="5">
        <v>0</v>
      </c>
      <c r="H1221" s="6" t="s">
        <v>73</v>
      </c>
      <c r="I1221" s="3" t="s">
        <v>45</v>
      </c>
    </row>
    <row r="1222" spans="1:9" ht="48" customHeight="1">
      <c r="A1222" s="3" t="s">
        <v>66</v>
      </c>
      <c r="B1222" s="3" t="s">
        <v>65</v>
      </c>
      <c r="C1222" s="4">
        <v>46143</v>
      </c>
      <c r="D1222" s="4">
        <v>46173</v>
      </c>
      <c r="E1222" s="3" t="s">
        <v>47</v>
      </c>
      <c r="F1222" s="3" t="s">
        <v>352</v>
      </c>
      <c r="G1222" s="5">
        <v>0</v>
      </c>
      <c r="H1222" s="6" t="s">
        <v>73</v>
      </c>
      <c r="I1222" s="3" t="s">
        <v>45</v>
      </c>
    </row>
    <row r="1223" spans="1:9" ht="48" customHeight="1">
      <c r="A1223" s="3" t="s">
        <v>66</v>
      </c>
      <c r="B1223" s="3" t="s">
        <v>65</v>
      </c>
      <c r="C1223" s="4">
        <v>46143</v>
      </c>
      <c r="D1223" s="4">
        <v>46173</v>
      </c>
      <c r="E1223" s="3" t="s">
        <v>47</v>
      </c>
      <c r="F1223" s="3" t="s">
        <v>353</v>
      </c>
      <c r="G1223" s="5">
        <v>0</v>
      </c>
      <c r="H1223" s="6" t="s">
        <v>73</v>
      </c>
      <c r="I1223" s="3" t="s">
        <v>45</v>
      </c>
    </row>
    <row r="1224" spans="1:9" ht="48" customHeight="1">
      <c r="A1224" s="3" t="s">
        <v>66</v>
      </c>
      <c r="B1224" s="3" t="s">
        <v>65</v>
      </c>
      <c r="C1224" s="4">
        <v>46143</v>
      </c>
      <c r="D1224" s="4">
        <v>46173</v>
      </c>
      <c r="E1224" s="3" t="s">
        <v>47</v>
      </c>
      <c r="F1224" s="3" t="s">
        <v>354</v>
      </c>
      <c r="G1224" s="5">
        <v>0</v>
      </c>
      <c r="H1224" s="6" t="s">
        <v>73</v>
      </c>
      <c r="I1224" s="3" t="s">
        <v>45</v>
      </c>
    </row>
    <row r="1225" spans="1:9" ht="48" customHeight="1">
      <c r="A1225" s="3" t="s">
        <v>66</v>
      </c>
      <c r="B1225" s="3" t="s">
        <v>65</v>
      </c>
      <c r="C1225" s="4">
        <v>46143</v>
      </c>
      <c r="D1225" s="4">
        <v>46173</v>
      </c>
      <c r="E1225" s="3" t="s">
        <v>47</v>
      </c>
      <c r="F1225" s="3" t="s">
        <v>355</v>
      </c>
      <c r="G1225" s="5">
        <v>0</v>
      </c>
      <c r="H1225" s="6" t="s">
        <v>73</v>
      </c>
      <c r="I1225" s="3" t="s">
        <v>45</v>
      </c>
    </row>
    <row r="1226" spans="1:9" ht="48" customHeight="1">
      <c r="A1226" s="3" t="s">
        <v>66</v>
      </c>
      <c r="B1226" s="3" t="s">
        <v>65</v>
      </c>
      <c r="C1226" s="4">
        <v>46143</v>
      </c>
      <c r="D1226" s="4">
        <v>46173</v>
      </c>
      <c r="E1226" s="3" t="s">
        <v>47</v>
      </c>
      <c r="F1226" s="3" t="s">
        <v>356</v>
      </c>
      <c r="G1226" s="5">
        <v>0</v>
      </c>
      <c r="H1226" s="6" t="s">
        <v>73</v>
      </c>
      <c r="I1226" s="3" t="s">
        <v>45</v>
      </c>
    </row>
    <row r="1227" spans="1:9" ht="48" customHeight="1">
      <c r="A1227" s="3" t="s">
        <v>66</v>
      </c>
      <c r="B1227" s="3" t="s">
        <v>65</v>
      </c>
      <c r="C1227" s="4">
        <v>46143</v>
      </c>
      <c r="D1227" s="4">
        <v>46173</v>
      </c>
      <c r="E1227" s="3" t="s">
        <v>47</v>
      </c>
      <c r="F1227" s="3" t="s">
        <v>40</v>
      </c>
      <c r="G1227" s="5">
        <v>0</v>
      </c>
      <c r="H1227" s="6" t="s">
        <v>73</v>
      </c>
      <c r="I1227" s="3" t="s">
        <v>45</v>
      </c>
    </row>
    <row r="1228" spans="1:9" ht="48" customHeight="1">
      <c r="A1228" s="3" t="s">
        <v>66</v>
      </c>
      <c r="B1228" s="3" t="s">
        <v>65</v>
      </c>
      <c r="C1228" s="4">
        <v>46143</v>
      </c>
      <c r="D1228" s="4">
        <v>46173</v>
      </c>
      <c r="E1228" s="3" t="s">
        <v>47</v>
      </c>
      <c r="F1228" s="3" t="s">
        <v>357</v>
      </c>
      <c r="G1228" s="5">
        <v>0</v>
      </c>
      <c r="H1228" s="6" t="s">
        <v>73</v>
      </c>
      <c r="I1228" s="3" t="s">
        <v>45</v>
      </c>
    </row>
    <row r="1229" spans="1:9" ht="48" customHeight="1">
      <c r="A1229" s="3" t="s">
        <v>66</v>
      </c>
      <c r="B1229" s="3" t="s">
        <v>65</v>
      </c>
      <c r="C1229" s="4">
        <v>46143</v>
      </c>
      <c r="D1229" s="4">
        <v>46173</v>
      </c>
      <c r="E1229" s="3" t="s">
        <v>47</v>
      </c>
      <c r="F1229" s="3" t="s">
        <v>358</v>
      </c>
      <c r="G1229" s="5">
        <v>0</v>
      </c>
      <c r="H1229" s="6" t="s">
        <v>73</v>
      </c>
      <c r="I1229" s="3" t="s">
        <v>45</v>
      </c>
    </row>
    <row r="1230" spans="1:9" ht="48" customHeight="1">
      <c r="A1230" s="3" t="s">
        <v>66</v>
      </c>
      <c r="B1230" s="3" t="s">
        <v>65</v>
      </c>
      <c r="C1230" s="4">
        <v>46143</v>
      </c>
      <c r="D1230" s="4">
        <v>46173</v>
      </c>
      <c r="E1230" s="3" t="s">
        <v>47</v>
      </c>
      <c r="F1230" s="3" t="s">
        <v>359</v>
      </c>
      <c r="G1230" s="5">
        <v>0</v>
      </c>
      <c r="H1230" s="6" t="s">
        <v>73</v>
      </c>
      <c r="I1230" s="3" t="s">
        <v>45</v>
      </c>
    </row>
    <row r="1231" spans="1:9" ht="48" customHeight="1">
      <c r="A1231" s="3" t="s">
        <v>66</v>
      </c>
      <c r="B1231" s="3" t="s">
        <v>65</v>
      </c>
      <c r="C1231" s="4">
        <v>46143</v>
      </c>
      <c r="D1231" s="4">
        <v>46173</v>
      </c>
      <c r="E1231" s="3" t="s">
        <v>47</v>
      </c>
      <c r="F1231" s="3" t="s">
        <v>360</v>
      </c>
      <c r="G1231" s="5">
        <v>0</v>
      </c>
      <c r="H1231" s="6" t="s">
        <v>73</v>
      </c>
      <c r="I1231" s="3" t="s">
        <v>45</v>
      </c>
    </row>
    <row r="1232" spans="1:9" ht="48" customHeight="1">
      <c r="A1232" s="3" t="s">
        <v>66</v>
      </c>
      <c r="B1232" s="3" t="s">
        <v>65</v>
      </c>
      <c r="C1232" s="4">
        <v>46143</v>
      </c>
      <c r="D1232" s="4">
        <v>46173</v>
      </c>
      <c r="E1232" s="3" t="s">
        <v>47</v>
      </c>
      <c r="F1232" s="3" t="s">
        <v>361</v>
      </c>
      <c r="G1232" s="5">
        <v>0</v>
      </c>
      <c r="H1232" s="6" t="s">
        <v>73</v>
      </c>
      <c r="I1232" s="3" t="s">
        <v>45</v>
      </c>
    </row>
    <row r="1233" spans="1:9" ht="48" customHeight="1">
      <c r="A1233" s="3" t="s">
        <v>66</v>
      </c>
      <c r="B1233" s="3" t="s">
        <v>65</v>
      </c>
      <c r="C1233" s="4">
        <v>46143</v>
      </c>
      <c r="D1233" s="4">
        <v>46173</v>
      </c>
      <c r="E1233" s="3" t="s">
        <v>47</v>
      </c>
      <c r="F1233" s="3" t="s">
        <v>362</v>
      </c>
      <c r="G1233" s="5">
        <v>0</v>
      </c>
      <c r="H1233" s="6" t="s">
        <v>73</v>
      </c>
      <c r="I1233" s="3" t="s">
        <v>45</v>
      </c>
    </row>
    <row r="1234" spans="1:9" ht="48" customHeight="1">
      <c r="A1234" s="3" t="s">
        <v>66</v>
      </c>
      <c r="B1234" s="3" t="s">
        <v>65</v>
      </c>
      <c r="C1234" s="4">
        <v>46143</v>
      </c>
      <c r="D1234" s="4">
        <v>46173</v>
      </c>
      <c r="E1234" s="3" t="s">
        <v>47</v>
      </c>
      <c r="F1234" s="3" t="s">
        <v>318</v>
      </c>
      <c r="G1234" s="5">
        <v>0</v>
      </c>
      <c r="H1234" s="6" t="s">
        <v>73</v>
      </c>
      <c r="I1234" s="3" t="s">
        <v>45</v>
      </c>
    </row>
    <row r="1235" spans="1:9" ht="48" customHeight="1">
      <c r="A1235" s="3" t="s">
        <v>66</v>
      </c>
      <c r="B1235" s="3" t="s">
        <v>65</v>
      </c>
      <c r="C1235" s="4">
        <v>46143</v>
      </c>
      <c r="D1235" s="4">
        <v>46173</v>
      </c>
      <c r="E1235" s="3" t="s">
        <v>47</v>
      </c>
      <c r="F1235" s="3" t="s">
        <v>363</v>
      </c>
      <c r="G1235" s="5">
        <v>0</v>
      </c>
      <c r="H1235" s="6" t="s">
        <v>73</v>
      </c>
      <c r="I1235" s="3" t="s">
        <v>45</v>
      </c>
    </row>
    <row r="1236" spans="1:9" ht="48" customHeight="1">
      <c r="A1236" s="3" t="s">
        <v>66</v>
      </c>
      <c r="B1236" s="3" t="s">
        <v>65</v>
      </c>
      <c r="C1236" s="4">
        <v>46143</v>
      </c>
      <c r="D1236" s="4">
        <v>46173</v>
      </c>
      <c r="E1236" s="3" t="s">
        <v>364</v>
      </c>
      <c r="F1236" s="3" t="s">
        <v>234</v>
      </c>
      <c r="G1236" s="5">
        <v>1E-3</v>
      </c>
      <c r="H1236" s="6" t="s">
        <v>73</v>
      </c>
      <c r="I1236" s="3" t="s">
        <v>45</v>
      </c>
    </row>
    <row r="1237" spans="1:9" ht="48" customHeight="1">
      <c r="A1237" s="3" t="s">
        <v>66</v>
      </c>
      <c r="B1237" s="3" t="s">
        <v>65</v>
      </c>
      <c r="C1237" s="4">
        <v>46143</v>
      </c>
      <c r="D1237" s="4">
        <v>46173</v>
      </c>
      <c r="E1237" s="3" t="s">
        <v>364</v>
      </c>
      <c r="F1237" s="3" t="s">
        <v>262</v>
      </c>
      <c r="G1237" s="5">
        <v>1E-3</v>
      </c>
      <c r="H1237" s="6" t="s">
        <v>73</v>
      </c>
      <c r="I1237" s="3" t="s">
        <v>45</v>
      </c>
    </row>
    <row r="1238" spans="1:9" ht="48" customHeight="1">
      <c r="A1238" s="3" t="s">
        <v>66</v>
      </c>
      <c r="B1238" s="3" t="s">
        <v>65</v>
      </c>
      <c r="C1238" s="4">
        <v>46143</v>
      </c>
      <c r="D1238" s="4">
        <v>46173</v>
      </c>
      <c r="E1238" s="3" t="s">
        <v>364</v>
      </c>
      <c r="F1238" s="3" t="s">
        <v>365</v>
      </c>
      <c r="G1238" s="5">
        <v>1E-3</v>
      </c>
      <c r="H1238" s="6" t="s">
        <v>73</v>
      </c>
      <c r="I1238" s="3" t="s">
        <v>45</v>
      </c>
    </row>
    <row r="1239" spans="1:9" ht="48" customHeight="1">
      <c r="A1239" s="3" t="s">
        <v>66</v>
      </c>
      <c r="B1239" s="3" t="s">
        <v>65</v>
      </c>
      <c r="C1239" s="4">
        <v>46143</v>
      </c>
      <c r="D1239" s="4">
        <v>46173</v>
      </c>
      <c r="E1239" s="3" t="s">
        <v>364</v>
      </c>
      <c r="F1239" s="3" t="s">
        <v>366</v>
      </c>
      <c r="G1239" s="5">
        <v>1E-3</v>
      </c>
      <c r="H1239" s="6" t="s">
        <v>73</v>
      </c>
      <c r="I1239" s="3" t="s">
        <v>45</v>
      </c>
    </row>
    <row r="1240" spans="1:9" ht="48" customHeight="1">
      <c r="A1240" s="3" t="s">
        <v>66</v>
      </c>
      <c r="B1240" s="3" t="s">
        <v>65</v>
      </c>
      <c r="C1240" s="4">
        <v>46143</v>
      </c>
      <c r="D1240" s="4">
        <v>46173</v>
      </c>
      <c r="E1240" s="3" t="s">
        <v>364</v>
      </c>
      <c r="F1240" s="3" t="s">
        <v>367</v>
      </c>
      <c r="G1240" s="5">
        <v>1E-3</v>
      </c>
      <c r="H1240" s="6" t="s">
        <v>73</v>
      </c>
      <c r="I1240" s="3" t="s">
        <v>45</v>
      </c>
    </row>
    <row r="1241" spans="1:9" ht="48" customHeight="1">
      <c r="A1241" s="3" t="s">
        <v>66</v>
      </c>
      <c r="B1241" s="3" t="s">
        <v>65</v>
      </c>
      <c r="C1241" s="4">
        <v>46143</v>
      </c>
      <c r="D1241" s="4">
        <v>46173</v>
      </c>
      <c r="E1241" s="3" t="s">
        <v>364</v>
      </c>
      <c r="F1241" s="3" t="s">
        <v>230</v>
      </c>
      <c r="G1241" s="5">
        <v>0</v>
      </c>
      <c r="H1241" s="6" t="s">
        <v>73</v>
      </c>
      <c r="I1241" s="3" t="s">
        <v>45</v>
      </c>
    </row>
    <row r="1242" spans="1:9" ht="48" customHeight="1">
      <c r="A1242" s="3" t="s">
        <v>66</v>
      </c>
      <c r="B1242" s="3" t="s">
        <v>65</v>
      </c>
      <c r="C1242" s="4">
        <v>46143</v>
      </c>
      <c r="D1242" s="4">
        <v>46173</v>
      </c>
      <c r="E1242" s="3" t="s">
        <v>364</v>
      </c>
      <c r="F1242" s="3" t="s">
        <v>232</v>
      </c>
      <c r="G1242" s="5">
        <v>0</v>
      </c>
      <c r="H1242" s="6" t="s">
        <v>73</v>
      </c>
      <c r="I1242" s="3" t="s">
        <v>45</v>
      </c>
    </row>
    <row r="1243" spans="1:9" ht="48" customHeight="1">
      <c r="A1243" s="3" t="s">
        <v>66</v>
      </c>
      <c r="B1243" s="3" t="s">
        <v>65</v>
      </c>
      <c r="C1243" s="4">
        <v>46143</v>
      </c>
      <c r="D1243" s="4">
        <v>46173</v>
      </c>
      <c r="E1243" s="3" t="s">
        <v>364</v>
      </c>
      <c r="F1243" s="3" t="s">
        <v>265</v>
      </c>
      <c r="G1243" s="5">
        <v>0</v>
      </c>
      <c r="H1243" s="6" t="s">
        <v>73</v>
      </c>
      <c r="I1243" s="3" t="s">
        <v>45</v>
      </c>
    </row>
    <row r="1244" spans="1:9" ht="48" customHeight="1">
      <c r="A1244" s="3" t="s">
        <v>66</v>
      </c>
      <c r="B1244" s="3" t="s">
        <v>65</v>
      </c>
      <c r="C1244" s="4">
        <v>46143</v>
      </c>
      <c r="D1244" s="4">
        <v>46173</v>
      </c>
      <c r="E1244" s="3" t="s">
        <v>364</v>
      </c>
      <c r="F1244" s="3" t="s">
        <v>79</v>
      </c>
      <c r="G1244" s="5">
        <v>0</v>
      </c>
      <c r="H1244" s="6" t="s">
        <v>73</v>
      </c>
      <c r="I1244" s="3" t="s">
        <v>45</v>
      </c>
    </row>
    <row r="1245" spans="1:9" ht="48" customHeight="1">
      <c r="A1245" s="3" t="s">
        <v>66</v>
      </c>
      <c r="B1245" s="3" t="s">
        <v>65</v>
      </c>
      <c r="C1245" s="4">
        <v>46143</v>
      </c>
      <c r="D1245" s="4">
        <v>46173</v>
      </c>
      <c r="E1245" s="3" t="s">
        <v>368</v>
      </c>
      <c r="F1245" s="3" t="s">
        <v>369</v>
      </c>
      <c r="G1245" s="5">
        <v>1E-3</v>
      </c>
      <c r="H1245" s="6" t="s">
        <v>73</v>
      </c>
      <c r="I1245" s="3" t="s">
        <v>45</v>
      </c>
    </row>
    <row r="1246" spans="1:9" ht="48" customHeight="1">
      <c r="A1246" s="3" t="s">
        <v>66</v>
      </c>
      <c r="B1246" s="3" t="s">
        <v>65</v>
      </c>
      <c r="C1246" s="4">
        <v>46143</v>
      </c>
      <c r="D1246" s="4">
        <v>46173</v>
      </c>
      <c r="E1246" s="3" t="s">
        <v>368</v>
      </c>
      <c r="F1246" s="3" t="s">
        <v>370</v>
      </c>
      <c r="G1246" s="5">
        <v>1E-3</v>
      </c>
      <c r="H1246" s="6" t="s">
        <v>73</v>
      </c>
      <c r="I1246" s="3" t="s">
        <v>45</v>
      </c>
    </row>
    <row r="1247" spans="1:9" ht="48" customHeight="1">
      <c r="A1247" s="3" t="s">
        <v>66</v>
      </c>
      <c r="B1247" s="3" t="s">
        <v>65</v>
      </c>
      <c r="C1247" s="4">
        <v>46143</v>
      </c>
      <c r="D1247" s="4">
        <v>46173</v>
      </c>
      <c r="E1247" s="3" t="s">
        <v>368</v>
      </c>
      <c r="F1247" s="3" t="s">
        <v>371</v>
      </c>
      <c r="G1247" s="5">
        <v>1E-3</v>
      </c>
      <c r="H1247" s="6" t="s">
        <v>73</v>
      </c>
      <c r="I1247" s="3" t="s">
        <v>45</v>
      </c>
    </row>
    <row r="1248" spans="1:9" ht="48" customHeight="1">
      <c r="A1248" s="3" t="s">
        <v>66</v>
      </c>
      <c r="B1248" s="3" t="s">
        <v>65</v>
      </c>
      <c r="C1248" s="4">
        <v>46143</v>
      </c>
      <c r="D1248" s="4">
        <v>46173</v>
      </c>
      <c r="E1248" s="3" t="s">
        <v>368</v>
      </c>
      <c r="F1248" s="3" t="s">
        <v>207</v>
      </c>
      <c r="G1248" s="5">
        <v>1E-3</v>
      </c>
      <c r="H1248" s="6" t="s">
        <v>73</v>
      </c>
      <c r="I1248" s="3" t="s">
        <v>45</v>
      </c>
    </row>
    <row r="1249" spans="1:9" ht="48" customHeight="1">
      <c r="A1249" s="3" t="s">
        <v>66</v>
      </c>
      <c r="B1249" s="3" t="s">
        <v>65</v>
      </c>
      <c r="C1249" s="4">
        <v>46143</v>
      </c>
      <c r="D1249" s="4">
        <v>46173</v>
      </c>
      <c r="E1249" s="3" t="s">
        <v>368</v>
      </c>
      <c r="F1249" s="3" t="s">
        <v>230</v>
      </c>
      <c r="G1249" s="5">
        <v>0</v>
      </c>
      <c r="H1249" s="6" t="s">
        <v>73</v>
      </c>
      <c r="I1249" s="3" t="s">
        <v>45</v>
      </c>
    </row>
    <row r="1250" spans="1:9" ht="48" customHeight="1">
      <c r="A1250" s="3" t="s">
        <v>66</v>
      </c>
      <c r="B1250" s="3" t="s">
        <v>65</v>
      </c>
      <c r="C1250" s="4">
        <v>46143</v>
      </c>
      <c r="D1250" s="4">
        <v>46173</v>
      </c>
      <c r="E1250" s="3" t="s">
        <v>368</v>
      </c>
      <c r="F1250" s="3" t="s">
        <v>232</v>
      </c>
      <c r="G1250" s="5">
        <v>0</v>
      </c>
      <c r="H1250" s="6" t="s">
        <v>73</v>
      </c>
      <c r="I1250" s="3" t="s">
        <v>45</v>
      </c>
    </row>
    <row r="1251" spans="1:9" ht="48" customHeight="1">
      <c r="A1251" s="3" t="s">
        <v>66</v>
      </c>
      <c r="B1251" s="3" t="s">
        <v>65</v>
      </c>
      <c r="C1251" s="4">
        <v>46143</v>
      </c>
      <c r="D1251" s="4">
        <v>46173</v>
      </c>
      <c r="E1251" s="3" t="s">
        <v>368</v>
      </c>
      <c r="F1251" s="3" t="s">
        <v>234</v>
      </c>
      <c r="G1251" s="5">
        <v>0</v>
      </c>
      <c r="H1251" s="6" t="s">
        <v>73</v>
      </c>
      <c r="I1251" s="3" t="s">
        <v>45</v>
      </c>
    </row>
    <row r="1252" spans="1:9" ht="48" customHeight="1">
      <c r="A1252" s="3" t="s">
        <v>66</v>
      </c>
      <c r="B1252" s="3" t="s">
        <v>65</v>
      </c>
      <c r="C1252" s="4">
        <v>46143</v>
      </c>
      <c r="D1252" s="4">
        <v>46173</v>
      </c>
      <c r="E1252" s="3" t="s">
        <v>368</v>
      </c>
      <c r="F1252" s="3" t="s">
        <v>372</v>
      </c>
      <c r="G1252" s="5">
        <v>0</v>
      </c>
      <c r="H1252" s="6" t="s">
        <v>73</v>
      </c>
      <c r="I1252" s="3" t="s">
        <v>45</v>
      </c>
    </row>
    <row r="1253" spans="1:9" ht="48" customHeight="1">
      <c r="A1253" s="3" t="s">
        <v>66</v>
      </c>
      <c r="B1253" s="3" t="s">
        <v>65</v>
      </c>
      <c r="C1253" s="4">
        <v>46143</v>
      </c>
      <c r="D1253" s="4">
        <v>46173</v>
      </c>
      <c r="E1253" s="3" t="s">
        <v>368</v>
      </c>
      <c r="F1253" s="3" t="s">
        <v>373</v>
      </c>
      <c r="G1253" s="5">
        <v>0</v>
      </c>
      <c r="H1253" s="6" t="s">
        <v>73</v>
      </c>
      <c r="I1253" s="3" t="s">
        <v>45</v>
      </c>
    </row>
    <row r="1254" spans="1:9" ht="48" customHeight="1">
      <c r="A1254" s="3" t="s">
        <v>66</v>
      </c>
      <c r="B1254" s="3" t="s">
        <v>65</v>
      </c>
      <c r="C1254" s="4">
        <v>46143</v>
      </c>
      <c r="D1254" s="4">
        <v>46173</v>
      </c>
      <c r="E1254" s="3" t="s">
        <v>368</v>
      </c>
      <c r="F1254" s="3" t="s">
        <v>265</v>
      </c>
      <c r="G1254" s="5">
        <v>0</v>
      </c>
      <c r="H1254" s="6" t="s">
        <v>73</v>
      </c>
      <c r="I1254" s="3" t="s">
        <v>45</v>
      </c>
    </row>
    <row r="1255" spans="1:9" ht="48" customHeight="1">
      <c r="A1255" s="3" t="s">
        <v>66</v>
      </c>
      <c r="B1255" s="3" t="s">
        <v>65</v>
      </c>
      <c r="C1255" s="4">
        <v>46143</v>
      </c>
      <c r="D1255" s="4">
        <v>46173</v>
      </c>
      <c r="E1255" s="3" t="s">
        <v>368</v>
      </c>
      <c r="F1255" s="3" t="s">
        <v>262</v>
      </c>
      <c r="G1255" s="5">
        <v>0</v>
      </c>
      <c r="H1255" s="6" t="s">
        <v>73</v>
      </c>
      <c r="I1255" s="3" t="s">
        <v>45</v>
      </c>
    </row>
    <row r="1256" spans="1:9" ht="48" customHeight="1">
      <c r="A1256" s="3" t="s">
        <v>66</v>
      </c>
      <c r="B1256" s="3" t="s">
        <v>65</v>
      </c>
      <c r="C1256" s="4">
        <v>46143</v>
      </c>
      <c r="D1256" s="4">
        <v>46173</v>
      </c>
      <c r="E1256" s="3" t="s">
        <v>368</v>
      </c>
      <c r="F1256" s="3" t="s">
        <v>374</v>
      </c>
      <c r="G1256" s="5">
        <v>0</v>
      </c>
      <c r="H1256" s="6" t="s">
        <v>73</v>
      </c>
      <c r="I1256" s="3" t="s">
        <v>45</v>
      </c>
    </row>
    <row r="1257" spans="1:9" ht="48" customHeight="1">
      <c r="A1257" s="3" t="s">
        <v>66</v>
      </c>
      <c r="B1257" s="3" t="s">
        <v>65</v>
      </c>
      <c r="C1257" s="4">
        <v>46143</v>
      </c>
      <c r="D1257" s="4">
        <v>46173</v>
      </c>
      <c r="E1257" s="3" t="s">
        <v>368</v>
      </c>
      <c r="F1257" s="3" t="s">
        <v>375</v>
      </c>
      <c r="G1257" s="5">
        <v>0</v>
      </c>
      <c r="H1257" s="6" t="s">
        <v>73</v>
      </c>
      <c r="I1257" s="3" t="s">
        <v>45</v>
      </c>
    </row>
    <row r="1258" spans="1:9" ht="48" customHeight="1">
      <c r="A1258" s="3" t="s">
        <v>66</v>
      </c>
      <c r="B1258" s="3" t="s">
        <v>65</v>
      </c>
      <c r="C1258" s="4">
        <v>46143</v>
      </c>
      <c r="D1258" s="4">
        <v>46173</v>
      </c>
      <c r="E1258" s="3" t="s">
        <v>368</v>
      </c>
      <c r="F1258" s="3" t="s">
        <v>376</v>
      </c>
      <c r="G1258" s="5">
        <v>0</v>
      </c>
      <c r="H1258" s="6" t="s">
        <v>73</v>
      </c>
      <c r="I1258" s="3" t="s">
        <v>45</v>
      </c>
    </row>
    <row r="1259" spans="1:9" ht="48" customHeight="1">
      <c r="A1259" s="3" t="s">
        <v>66</v>
      </c>
      <c r="B1259" s="3" t="s">
        <v>65</v>
      </c>
      <c r="C1259" s="4">
        <v>46143</v>
      </c>
      <c r="D1259" s="4">
        <v>46173</v>
      </c>
      <c r="E1259" s="3" t="s">
        <v>368</v>
      </c>
      <c r="F1259" s="3" t="s">
        <v>377</v>
      </c>
      <c r="G1259" s="5">
        <v>0</v>
      </c>
      <c r="H1259" s="6" t="s">
        <v>73</v>
      </c>
      <c r="I1259" s="3" t="s">
        <v>45</v>
      </c>
    </row>
    <row r="1260" spans="1:9" ht="48" customHeight="1">
      <c r="A1260" s="3" t="s">
        <v>66</v>
      </c>
      <c r="B1260" s="3" t="s">
        <v>65</v>
      </c>
      <c r="C1260" s="4">
        <v>46143</v>
      </c>
      <c r="D1260" s="4">
        <v>46173</v>
      </c>
      <c r="E1260" s="3" t="s">
        <v>368</v>
      </c>
      <c r="F1260" s="3" t="s">
        <v>378</v>
      </c>
      <c r="G1260" s="5">
        <v>0</v>
      </c>
      <c r="H1260" s="6" t="s">
        <v>73</v>
      </c>
      <c r="I1260" s="3" t="s">
        <v>45</v>
      </c>
    </row>
    <row r="1261" spans="1:9" ht="48" customHeight="1">
      <c r="A1261" s="3" t="s">
        <v>66</v>
      </c>
      <c r="B1261" s="3" t="s">
        <v>65</v>
      </c>
      <c r="C1261" s="4">
        <v>46143</v>
      </c>
      <c r="D1261" s="4">
        <v>46173</v>
      </c>
      <c r="E1261" s="3" t="s">
        <v>379</v>
      </c>
      <c r="F1261" s="3" t="s">
        <v>265</v>
      </c>
      <c r="G1261" s="5">
        <v>1E-3</v>
      </c>
      <c r="H1261" s="6" t="s">
        <v>73</v>
      </c>
      <c r="I1261" s="3" t="s">
        <v>45</v>
      </c>
    </row>
    <row r="1262" spans="1:9" ht="48" customHeight="1">
      <c r="A1262" s="3" t="s">
        <v>66</v>
      </c>
      <c r="B1262" s="3" t="s">
        <v>65</v>
      </c>
      <c r="C1262" s="4">
        <v>46143</v>
      </c>
      <c r="D1262" s="4">
        <v>46173</v>
      </c>
      <c r="E1262" s="3" t="s">
        <v>379</v>
      </c>
      <c r="F1262" s="3" t="s">
        <v>262</v>
      </c>
      <c r="G1262" s="5">
        <v>1E-3</v>
      </c>
      <c r="H1262" s="6" t="s">
        <v>73</v>
      </c>
      <c r="I1262" s="3" t="s">
        <v>45</v>
      </c>
    </row>
    <row r="1263" spans="1:9" ht="48" customHeight="1">
      <c r="A1263" s="3" t="s">
        <v>66</v>
      </c>
      <c r="B1263" s="3" t="s">
        <v>65</v>
      </c>
      <c r="C1263" s="4">
        <v>46143</v>
      </c>
      <c r="D1263" s="4">
        <v>46173</v>
      </c>
      <c r="E1263" s="3" t="s">
        <v>379</v>
      </c>
      <c r="F1263" s="3" t="s">
        <v>380</v>
      </c>
      <c r="G1263" s="5">
        <v>1E-3</v>
      </c>
      <c r="H1263" s="6" t="s">
        <v>73</v>
      </c>
      <c r="I1263" s="3" t="s">
        <v>45</v>
      </c>
    </row>
    <row r="1264" spans="1:9" ht="48" customHeight="1">
      <c r="A1264" s="3" t="s">
        <v>66</v>
      </c>
      <c r="B1264" s="3" t="s">
        <v>65</v>
      </c>
      <c r="C1264" s="4">
        <v>46143</v>
      </c>
      <c r="D1264" s="4">
        <v>46173</v>
      </c>
      <c r="E1264" s="3" t="s">
        <v>379</v>
      </c>
      <c r="F1264" s="3" t="s">
        <v>230</v>
      </c>
      <c r="G1264" s="5">
        <v>0</v>
      </c>
      <c r="H1264" s="6" t="s">
        <v>73</v>
      </c>
      <c r="I1264" s="3" t="s">
        <v>45</v>
      </c>
    </row>
    <row r="1265" spans="1:9" ht="48" customHeight="1">
      <c r="A1265" s="3" t="s">
        <v>66</v>
      </c>
      <c r="B1265" s="3" t="s">
        <v>65</v>
      </c>
      <c r="C1265" s="4">
        <v>46143</v>
      </c>
      <c r="D1265" s="4">
        <v>46173</v>
      </c>
      <c r="E1265" s="3" t="s">
        <v>379</v>
      </c>
      <c r="F1265" s="3" t="s">
        <v>234</v>
      </c>
      <c r="G1265" s="5">
        <v>0</v>
      </c>
      <c r="H1265" s="6" t="s">
        <v>73</v>
      </c>
      <c r="I1265" s="3" t="s">
        <v>45</v>
      </c>
    </row>
    <row r="1266" spans="1:9" ht="48" customHeight="1">
      <c r="A1266" s="3" t="s">
        <v>66</v>
      </c>
      <c r="B1266" s="3" t="s">
        <v>65</v>
      </c>
      <c r="C1266" s="4">
        <v>46143</v>
      </c>
      <c r="D1266" s="4">
        <v>46173</v>
      </c>
      <c r="E1266" s="3" t="s">
        <v>381</v>
      </c>
      <c r="F1266" s="3" t="s">
        <v>382</v>
      </c>
      <c r="G1266" s="5">
        <v>1E-3</v>
      </c>
      <c r="H1266" s="6" t="s">
        <v>73</v>
      </c>
      <c r="I1266" s="3" t="s">
        <v>45</v>
      </c>
    </row>
    <row r="1267" spans="1:9" ht="48" customHeight="1">
      <c r="A1267" s="3" t="s">
        <v>66</v>
      </c>
      <c r="B1267" s="3" t="s">
        <v>65</v>
      </c>
      <c r="C1267" s="4">
        <v>46143</v>
      </c>
      <c r="D1267" s="4">
        <v>46173</v>
      </c>
      <c r="E1267" s="3" t="s">
        <v>381</v>
      </c>
      <c r="F1267" s="3" t="s">
        <v>383</v>
      </c>
      <c r="G1267" s="5">
        <v>1E-3</v>
      </c>
      <c r="H1267" s="6" t="s">
        <v>73</v>
      </c>
      <c r="I1267" s="3" t="s">
        <v>45</v>
      </c>
    </row>
    <row r="1268" spans="1:9" ht="48" customHeight="1">
      <c r="A1268" s="3" t="s">
        <v>66</v>
      </c>
      <c r="B1268" s="3" t="s">
        <v>65</v>
      </c>
      <c r="C1268" s="4">
        <v>46174</v>
      </c>
      <c r="D1268" s="4">
        <v>46203</v>
      </c>
      <c r="E1268" s="3" t="s">
        <v>68</v>
      </c>
      <c r="F1268" s="3" t="s">
        <v>146</v>
      </c>
      <c r="G1268" s="5">
        <v>0.192</v>
      </c>
      <c r="H1268" s="6" t="s">
        <v>74</v>
      </c>
      <c r="I1268" s="3" t="s">
        <v>45</v>
      </c>
    </row>
    <row r="1269" spans="1:9" ht="48" customHeight="1">
      <c r="A1269" s="3" t="s">
        <v>66</v>
      </c>
      <c r="B1269" s="3" t="s">
        <v>65</v>
      </c>
      <c r="C1269" s="4">
        <v>46174</v>
      </c>
      <c r="D1269" s="4">
        <v>46203</v>
      </c>
      <c r="E1269" s="3" t="s">
        <v>68</v>
      </c>
      <c r="F1269" s="3" t="s">
        <v>147</v>
      </c>
      <c r="G1269" s="5">
        <v>7.6999999999999999E-2</v>
      </c>
      <c r="H1269" s="6" t="s">
        <v>74</v>
      </c>
      <c r="I1269" s="3" t="s">
        <v>45</v>
      </c>
    </row>
    <row r="1270" spans="1:9" ht="48" customHeight="1">
      <c r="A1270" s="3" t="s">
        <v>66</v>
      </c>
      <c r="B1270" s="3" t="s">
        <v>65</v>
      </c>
      <c r="C1270" s="4">
        <v>46174</v>
      </c>
      <c r="D1270" s="4">
        <v>46203</v>
      </c>
      <c r="E1270" s="3" t="s">
        <v>68</v>
      </c>
      <c r="F1270" s="3" t="s">
        <v>148</v>
      </c>
      <c r="G1270" s="5">
        <v>6.7000000000000004E-2</v>
      </c>
      <c r="H1270" s="6" t="s">
        <v>74</v>
      </c>
      <c r="I1270" s="3" t="s">
        <v>45</v>
      </c>
    </row>
    <row r="1271" spans="1:9" ht="48" customHeight="1">
      <c r="A1271" s="3" t="s">
        <v>66</v>
      </c>
      <c r="B1271" s="3" t="s">
        <v>65</v>
      </c>
      <c r="C1271" s="4">
        <v>46174</v>
      </c>
      <c r="D1271" s="4">
        <v>46203</v>
      </c>
      <c r="E1271" s="3" t="s">
        <v>68</v>
      </c>
      <c r="F1271" s="3" t="s">
        <v>149</v>
      </c>
      <c r="G1271" s="5">
        <v>4.4000000000000004E-2</v>
      </c>
      <c r="H1271" s="6" t="s">
        <v>74</v>
      </c>
      <c r="I1271" s="3" t="s">
        <v>45</v>
      </c>
    </row>
    <row r="1272" spans="1:9" ht="48" customHeight="1">
      <c r="A1272" s="3" t="s">
        <v>66</v>
      </c>
      <c r="B1272" s="3" t="s">
        <v>65</v>
      </c>
      <c r="C1272" s="4">
        <v>46174</v>
      </c>
      <c r="D1272" s="4">
        <v>46203</v>
      </c>
      <c r="E1272" s="3" t="s">
        <v>68</v>
      </c>
      <c r="F1272" s="3" t="s">
        <v>150</v>
      </c>
      <c r="G1272" s="5">
        <v>0.03</v>
      </c>
      <c r="H1272" s="6" t="s">
        <v>74</v>
      </c>
      <c r="I1272" s="3" t="s">
        <v>45</v>
      </c>
    </row>
    <row r="1273" spans="1:9" ht="48" customHeight="1">
      <c r="A1273" s="3" t="s">
        <v>66</v>
      </c>
      <c r="B1273" s="3" t="s">
        <v>65</v>
      </c>
      <c r="C1273" s="4">
        <v>46174</v>
      </c>
      <c r="D1273" s="4">
        <v>46203</v>
      </c>
      <c r="E1273" s="3" t="s">
        <v>68</v>
      </c>
      <c r="F1273" s="3" t="s">
        <v>151</v>
      </c>
      <c r="G1273" s="5">
        <v>2.4E-2</v>
      </c>
      <c r="H1273" s="6" t="s">
        <v>74</v>
      </c>
      <c r="I1273" s="3" t="s">
        <v>45</v>
      </c>
    </row>
    <row r="1274" spans="1:9" ht="48" customHeight="1">
      <c r="A1274" s="3" t="s">
        <v>66</v>
      </c>
      <c r="B1274" s="3" t="s">
        <v>65</v>
      </c>
      <c r="C1274" s="4">
        <v>46174</v>
      </c>
      <c r="D1274" s="4">
        <v>46203</v>
      </c>
      <c r="E1274" s="3" t="s">
        <v>68</v>
      </c>
      <c r="F1274" s="3" t="s">
        <v>152</v>
      </c>
      <c r="G1274" s="5">
        <v>1.8000000000000002E-2</v>
      </c>
      <c r="H1274" s="6" t="s">
        <v>74</v>
      </c>
      <c r="I1274" s="3" t="s">
        <v>45</v>
      </c>
    </row>
    <row r="1275" spans="1:9" ht="48" customHeight="1">
      <c r="A1275" s="3" t="s">
        <v>66</v>
      </c>
      <c r="B1275" s="3" t="s">
        <v>65</v>
      </c>
      <c r="C1275" s="4">
        <v>46174</v>
      </c>
      <c r="D1275" s="4">
        <v>46203</v>
      </c>
      <c r="E1275" s="3" t="s">
        <v>68</v>
      </c>
      <c r="F1275" s="3" t="s">
        <v>153</v>
      </c>
      <c r="G1275" s="5">
        <v>1.7000000000000001E-2</v>
      </c>
      <c r="H1275" s="6" t="s">
        <v>74</v>
      </c>
      <c r="I1275" s="3" t="s">
        <v>45</v>
      </c>
    </row>
    <row r="1276" spans="1:9" ht="48" customHeight="1">
      <c r="A1276" s="3" t="s">
        <v>66</v>
      </c>
      <c r="B1276" s="3" t="s">
        <v>65</v>
      </c>
      <c r="C1276" s="4">
        <v>46174</v>
      </c>
      <c r="D1276" s="4">
        <v>46203</v>
      </c>
      <c r="E1276" s="3" t="s">
        <v>68</v>
      </c>
      <c r="F1276" s="3" t="s">
        <v>155</v>
      </c>
      <c r="G1276" s="5">
        <v>1.1000000000000001E-2</v>
      </c>
      <c r="H1276" s="6" t="s">
        <v>74</v>
      </c>
      <c r="I1276" s="3" t="s">
        <v>45</v>
      </c>
    </row>
    <row r="1277" spans="1:9" ht="48" customHeight="1">
      <c r="A1277" s="3" t="s">
        <v>66</v>
      </c>
      <c r="B1277" s="3" t="s">
        <v>65</v>
      </c>
      <c r="C1277" s="4">
        <v>46174</v>
      </c>
      <c r="D1277" s="4">
        <v>46203</v>
      </c>
      <c r="E1277" s="3" t="s">
        <v>68</v>
      </c>
      <c r="F1277" s="3" t="s">
        <v>154</v>
      </c>
      <c r="G1277" s="5">
        <v>0.01</v>
      </c>
      <c r="H1277" s="6" t="s">
        <v>74</v>
      </c>
      <c r="I1277" s="3" t="s">
        <v>45</v>
      </c>
    </row>
    <row r="1278" spans="1:9" ht="48" customHeight="1">
      <c r="A1278" s="3" t="s">
        <v>66</v>
      </c>
      <c r="B1278" s="3" t="s">
        <v>65</v>
      </c>
      <c r="C1278" s="4">
        <v>46174</v>
      </c>
      <c r="D1278" s="4">
        <v>46203</v>
      </c>
      <c r="E1278" s="3" t="s">
        <v>68</v>
      </c>
      <c r="F1278" s="3" t="s">
        <v>156</v>
      </c>
      <c r="G1278" s="5">
        <v>6.9999999999999993E-3</v>
      </c>
      <c r="H1278" s="6" t="s">
        <v>74</v>
      </c>
      <c r="I1278" s="3" t="s">
        <v>45</v>
      </c>
    </row>
    <row r="1279" spans="1:9" ht="48" customHeight="1">
      <c r="A1279" s="3" t="s">
        <v>66</v>
      </c>
      <c r="B1279" s="3" t="s">
        <v>65</v>
      </c>
      <c r="C1279" s="4">
        <v>46174</v>
      </c>
      <c r="D1279" s="4">
        <v>46203</v>
      </c>
      <c r="E1279" s="3" t="s">
        <v>68</v>
      </c>
      <c r="F1279" s="3" t="s">
        <v>157</v>
      </c>
      <c r="G1279" s="5">
        <v>5.0000000000000001E-3</v>
      </c>
      <c r="H1279" s="6" t="s">
        <v>74</v>
      </c>
      <c r="I1279" s="3" t="s">
        <v>45</v>
      </c>
    </row>
    <row r="1280" spans="1:9" ht="48" customHeight="1">
      <c r="A1280" s="3" t="s">
        <v>66</v>
      </c>
      <c r="B1280" s="3" t="s">
        <v>65</v>
      </c>
      <c r="C1280" s="4">
        <v>46174</v>
      </c>
      <c r="D1280" s="4">
        <v>46203</v>
      </c>
      <c r="E1280" s="3" t="s">
        <v>68</v>
      </c>
      <c r="F1280" s="3" t="s">
        <v>158</v>
      </c>
      <c r="G1280" s="5">
        <v>3.0000000000000001E-3</v>
      </c>
      <c r="H1280" s="6" t="s">
        <v>74</v>
      </c>
      <c r="I1280" s="3" t="s">
        <v>45</v>
      </c>
    </row>
    <row r="1281" spans="1:9" ht="48" customHeight="1">
      <c r="A1281" s="3" t="s">
        <v>66</v>
      </c>
      <c r="B1281" s="3" t="s">
        <v>65</v>
      </c>
      <c r="C1281" s="4">
        <v>46174</v>
      </c>
      <c r="D1281" s="4">
        <v>46203</v>
      </c>
      <c r="E1281" s="3" t="s">
        <v>68</v>
      </c>
      <c r="F1281" s="3" t="s">
        <v>159</v>
      </c>
      <c r="G1281" s="5">
        <v>2E-3</v>
      </c>
      <c r="H1281" s="6" t="s">
        <v>74</v>
      </c>
      <c r="I1281" s="3" t="s">
        <v>45</v>
      </c>
    </row>
    <row r="1282" spans="1:9" ht="48" customHeight="1">
      <c r="A1282" s="3" t="s">
        <v>66</v>
      </c>
      <c r="B1282" s="3" t="s">
        <v>65</v>
      </c>
      <c r="C1282" s="4">
        <v>46174</v>
      </c>
      <c r="D1282" s="4">
        <v>46203</v>
      </c>
      <c r="E1282" s="3" t="s">
        <v>68</v>
      </c>
      <c r="F1282" s="3" t="s">
        <v>160</v>
      </c>
      <c r="G1282" s="5">
        <v>2E-3</v>
      </c>
      <c r="H1282" s="6" t="s">
        <v>74</v>
      </c>
      <c r="I1282" s="3" t="s">
        <v>45</v>
      </c>
    </row>
    <row r="1283" spans="1:9" ht="48" customHeight="1">
      <c r="A1283" s="3" t="s">
        <v>66</v>
      </c>
      <c r="B1283" s="3" t="s">
        <v>65</v>
      </c>
      <c r="C1283" s="4">
        <v>46174</v>
      </c>
      <c r="D1283" s="4">
        <v>46203</v>
      </c>
      <c r="E1283" s="3" t="s">
        <v>161</v>
      </c>
      <c r="F1283" s="3" t="s">
        <v>162</v>
      </c>
      <c r="G1283" s="5">
        <v>1.9E-2</v>
      </c>
      <c r="H1283" s="6" t="s">
        <v>74</v>
      </c>
      <c r="I1283" s="3" t="s">
        <v>45</v>
      </c>
    </row>
    <row r="1284" spans="1:9" ht="48" customHeight="1">
      <c r="A1284" s="3" t="s">
        <v>66</v>
      </c>
      <c r="B1284" s="3" t="s">
        <v>65</v>
      </c>
      <c r="C1284" s="4">
        <v>46174</v>
      </c>
      <c r="D1284" s="4">
        <v>46203</v>
      </c>
      <c r="E1284" s="3" t="s">
        <v>161</v>
      </c>
      <c r="F1284" s="3" t="s">
        <v>163</v>
      </c>
      <c r="G1284" s="5">
        <v>8.0000000000000002E-3</v>
      </c>
      <c r="H1284" s="6" t="s">
        <v>74</v>
      </c>
      <c r="I1284" s="3" t="s">
        <v>45</v>
      </c>
    </row>
    <row r="1285" spans="1:9" ht="48" customHeight="1">
      <c r="A1285" s="3" t="s">
        <v>66</v>
      </c>
      <c r="B1285" s="3" t="s">
        <v>65</v>
      </c>
      <c r="C1285" s="4">
        <v>46174</v>
      </c>
      <c r="D1285" s="4">
        <v>46203</v>
      </c>
      <c r="E1285" s="3" t="s">
        <v>161</v>
      </c>
      <c r="F1285" s="3" t="s">
        <v>384</v>
      </c>
      <c r="G1285" s="5">
        <v>8.0000000000000002E-3</v>
      </c>
      <c r="H1285" s="6" t="s">
        <v>74</v>
      </c>
      <c r="I1285" s="3" t="s">
        <v>45</v>
      </c>
    </row>
    <row r="1286" spans="1:9" ht="48" customHeight="1">
      <c r="A1286" s="3" t="s">
        <v>66</v>
      </c>
      <c r="B1286" s="3" t="s">
        <v>65</v>
      </c>
      <c r="C1286" s="4">
        <v>46174</v>
      </c>
      <c r="D1286" s="4">
        <v>46203</v>
      </c>
      <c r="E1286" s="3" t="s">
        <v>161</v>
      </c>
      <c r="F1286" s="3" t="s">
        <v>164</v>
      </c>
      <c r="G1286" s="5">
        <v>6.9999999999999993E-3</v>
      </c>
      <c r="H1286" s="6" t="s">
        <v>74</v>
      </c>
      <c r="I1286" s="3" t="s">
        <v>45</v>
      </c>
    </row>
    <row r="1287" spans="1:9" ht="48" customHeight="1">
      <c r="A1287" s="3" t="s">
        <v>66</v>
      </c>
      <c r="B1287" s="3" t="s">
        <v>65</v>
      </c>
      <c r="C1287" s="4">
        <v>46174</v>
      </c>
      <c r="D1287" s="4">
        <v>46203</v>
      </c>
      <c r="E1287" s="3" t="s">
        <v>161</v>
      </c>
      <c r="F1287" s="3" t="s">
        <v>165</v>
      </c>
      <c r="G1287" s="5">
        <v>6.0000000000000001E-3</v>
      </c>
      <c r="H1287" s="6" t="s">
        <v>74</v>
      </c>
      <c r="I1287" s="3" t="s">
        <v>45</v>
      </c>
    </row>
    <row r="1288" spans="1:9" ht="48" customHeight="1">
      <c r="A1288" s="3" t="s">
        <v>66</v>
      </c>
      <c r="B1288" s="3" t="s">
        <v>65</v>
      </c>
      <c r="C1288" s="4">
        <v>46174</v>
      </c>
      <c r="D1288" s="4">
        <v>46203</v>
      </c>
      <c r="E1288" s="3" t="s">
        <v>161</v>
      </c>
      <c r="F1288" s="3" t="s">
        <v>171</v>
      </c>
      <c r="G1288" s="5">
        <v>6.0000000000000001E-3</v>
      </c>
      <c r="H1288" s="6" t="s">
        <v>74</v>
      </c>
      <c r="I1288" s="3" t="s">
        <v>45</v>
      </c>
    </row>
    <row r="1289" spans="1:9" ht="48" customHeight="1">
      <c r="A1289" s="3" t="s">
        <v>66</v>
      </c>
      <c r="B1289" s="3" t="s">
        <v>65</v>
      </c>
      <c r="C1289" s="4">
        <v>46174</v>
      </c>
      <c r="D1289" s="4">
        <v>46203</v>
      </c>
      <c r="E1289" s="3" t="s">
        <v>161</v>
      </c>
      <c r="F1289" s="3" t="s">
        <v>166</v>
      </c>
      <c r="G1289" s="5">
        <v>6.0000000000000001E-3</v>
      </c>
      <c r="H1289" s="6" t="s">
        <v>74</v>
      </c>
      <c r="I1289" s="3" t="s">
        <v>45</v>
      </c>
    </row>
    <row r="1290" spans="1:9" ht="48" customHeight="1">
      <c r="A1290" s="3" t="s">
        <v>66</v>
      </c>
      <c r="B1290" s="3" t="s">
        <v>65</v>
      </c>
      <c r="C1290" s="4">
        <v>46174</v>
      </c>
      <c r="D1290" s="4">
        <v>46203</v>
      </c>
      <c r="E1290" s="3" t="s">
        <v>161</v>
      </c>
      <c r="F1290" s="3" t="s">
        <v>173</v>
      </c>
      <c r="G1290" s="5">
        <v>6.0000000000000001E-3</v>
      </c>
      <c r="H1290" s="6" t="s">
        <v>74</v>
      </c>
      <c r="I1290" s="3" t="s">
        <v>45</v>
      </c>
    </row>
    <row r="1291" spans="1:9" ht="48" customHeight="1">
      <c r="A1291" s="3" t="s">
        <v>66</v>
      </c>
      <c r="B1291" s="3" t="s">
        <v>65</v>
      </c>
      <c r="C1291" s="4">
        <v>46174</v>
      </c>
      <c r="D1291" s="4">
        <v>46203</v>
      </c>
      <c r="E1291" s="3" t="s">
        <v>161</v>
      </c>
      <c r="F1291" s="3" t="s">
        <v>167</v>
      </c>
      <c r="G1291" s="5">
        <v>5.0000000000000001E-3</v>
      </c>
      <c r="H1291" s="6" t="s">
        <v>74</v>
      </c>
      <c r="I1291" s="3" t="s">
        <v>45</v>
      </c>
    </row>
    <row r="1292" spans="1:9" ht="48" customHeight="1">
      <c r="A1292" s="3" t="s">
        <v>66</v>
      </c>
      <c r="B1292" s="3" t="s">
        <v>65</v>
      </c>
      <c r="C1292" s="4">
        <v>46174</v>
      </c>
      <c r="D1292" s="4">
        <v>46203</v>
      </c>
      <c r="E1292" s="3" t="s">
        <v>161</v>
      </c>
      <c r="F1292" s="3" t="s">
        <v>168</v>
      </c>
      <c r="G1292" s="5">
        <v>5.0000000000000001E-3</v>
      </c>
      <c r="H1292" s="6" t="s">
        <v>74</v>
      </c>
      <c r="I1292" s="3" t="s">
        <v>45</v>
      </c>
    </row>
    <row r="1293" spans="1:9" ht="48" customHeight="1">
      <c r="A1293" s="3" t="s">
        <v>66</v>
      </c>
      <c r="B1293" s="3" t="s">
        <v>65</v>
      </c>
      <c r="C1293" s="4">
        <v>46174</v>
      </c>
      <c r="D1293" s="4">
        <v>46203</v>
      </c>
      <c r="E1293" s="3" t="s">
        <v>161</v>
      </c>
      <c r="F1293" s="3" t="s">
        <v>169</v>
      </c>
      <c r="G1293" s="5">
        <v>5.0000000000000001E-3</v>
      </c>
      <c r="H1293" s="6" t="s">
        <v>74</v>
      </c>
      <c r="I1293" s="3" t="s">
        <v>45</v>
      </c>
    </row>
    <row r="1294" spans="1:9" ht="48" customHeight="1">
      <c r="A1294" s="3" t="s">
        <v>66</v>
      </c>
      <c r="B1294" s="3" t="s">
        <v>65</v>
      </c>
      <c r="C1294" s="4">
        <v>46174</v>
      </c>
      <c r="D1294" s="4">
        <v>46203</v>
      </c>
      <c r="E1294" s="3" t="s">
        <v>161</v>
      </c>
      <c r="F1294" s="3" t="s">
        <v>170</v>
      </c>
      <c r="G1294" s="5">
        <v>5.0000000000000001E-3</v>
      </c>
      <c r="H1294" s="6" t="s">
        <v>74</v>
      </c>
      <c r="I1294" s="3" t="s">
        <v>45</v>
      </c>
    </row>
    <row r="1295" spans="1:9" ht="48" customHeight="1">
      <c r="A1295" s="3" t="s">
        <v>66</v>
      </c>
      <c r="B1295" s="3" t="s">
        <v>65</v>
      </c>
      <c r="C1295" s="4">
        <v>46174</v>
      </c>
      <c r="D1295" s="4">
        <v>46203</v>
      </c>
      <c r="E1295" s="3" t="s">
        <v>161</v>
      </c>
      <c r="F1295" s="3" t="s">
        <v>172</v>
      </c>
      <c r="G1295" s="5">
        <v>5.0000000000000001E-3</v>
      </c>
      <c r="H1295" s="6" t="s">
        <v>74</v>
      </c>
      <c r="I1295" s="3" t="s">
        <v>45</v>
      </c>
    </row>
    <row r="1296" spans="1:9" ht="48" customHeight="1">
      <c r="A1296" s="3" t="s">
        <v>66</v>
      </c>
      <c r="B1296" s="3" t="s">
        <v>65</v>
      </c>
      <c r="C1296" s="4">
        <v>46174</v>
      </c>
      <c r="D1296" s="4">
        <v>46203</v>
      </c>
      <c r="E1296" s="3" t="s">
        <v>161</v>
      </c>
      <c r="F1296" s="3" t="s">
        <v>178</v>
      </c>
      <c r="G1296" s="5">
        <v>5.0000000000000001E-3</v>
      </c>
      <c r="H1296" s="6" t="s">
        <v>74</v>
      </c>
      <c r="I1296" s="3" t="s">
        <v>45</v>
      </c>
    </row>
    <row r="1297" spans="1:9" ht="48" customHeight="1">
      <c r="A1297" s="3" t="s">
        <v>66</v>
      </c>
      <c r="B1297" s="3" t="s">
        <v>65</v>
      </c>
      <c r="C1297" s="4">
        <v>46174</v>
      </c>
      <c r="D1297" s="4">
        <v>46203</v>
      </c>
      <c r="E1297" s="3" t="s">
        <v>161</v>
      </c>
      <c r="F1297" s="3" t="s">
        <v>385</v>
      </c>
      <c r="G1297" s="5">
        <v>5.0000000000000001E-3</v>
      </c>
      <c r="H1297" s="6" t="s">
        <v>74</v>
      </c>
      <c r="I1297" s="3" t="s">
        <v>45</v>
      </c>
    </row>
    <row r="1298" spans="1:9" ht="48" customHeight="1">
      <c r="A1298" s="3" t="s">
        <v>66</v>
      </c>
      <c r="B1298" s="3" t="s">
        <v>65</v>
      </c>
      <c r="C1298" s="4">
        <v>46174</v>
      </c>
      <c r="D1298" s="4">
        <v>46203</v>
      </c>
      <c r="E1298" s="3" t="s">
        <v>161</v>
      </c>
      <c r="F1298" s="3" t="s">
        <v>174</v>
      </c>
      <c r="G1298" s="5">
        <v>4.0000000000000001E-3</v>
      </c>
      <c r="H1298" s="6" t="s">
        <v>74</v>
      </c>
      <c r="I1298" s="3" t="s">
        <v>45</v>
      </c>
    </row>
    <row r="1299" spans="1:9" ht="48" customHeight="1">
      <c r="A1299" s="3" t="s">
        <v>66</v>
      </c>
      <c r="B1299" s="3" t="s">
        <v>65</v>
      </c>
      <c r="C1299" s="4">
        <v>46174</v>
      </c>
      <c r="D1299" s="4">
        <v>46203</v>
      </c>
      <c r="E1299" s="3" t="s">
        <v>161</v>
      </c>
      <c r="F1299" s="3" t="s">
        <v>176</v>
      </c>
      <c r="G1299" s="5">
        <v>4.0000000000000001E-3</v>
      </c>
      <c r="H1299" s="6" t="s">
        <v>74</v>
      </c>
      <c r="I1299" s="3" t="s">
        <v>45</v>
      </c>
    </row>
    <row r="1300" spans="1:9" ht="48" customHeight="1">
      <c r="A1300" s="3" t="s">
        <v>66</v>
      </c>
      <c r="B1300" s="3" t="s">
        <v>65</v>
      </c>
      <c r="C1300" s="4">
        <v>46174</v>
      </c>
      <c r="D1300" s="4">
        <v>46203</v>
      </c>
      <c r="E1300" s="3" t="s">
        <v>161</v>
      </c>
      <c r="F1300" s="3" t="s">
        <v>186</v>
      </c>
      <c r="G1300" s="5">
        <v>4.0000000000000001E-3</v>
      </c>
      <c r="H1300" s="6" t="s">
        <v>74</v>
      </c>
      <c r="I1300" s="3" t="s">
        <v>45</v>
      </c>
    </row>
    <row r="1301" spans="1:9" ht="48" customHeight="1">
      <c r="A1301" s="3" t="s">
        <v>66</v>
      </c>
      <c r="B1301" s="3" t="s">
        <v>65</v>
      </c>
      <c r="C1301" s="4">
        <v>46174</v>
      </c>
      <c r="D1301" s="4">
        <v>46203</v>
      </c>
      <c r="E1301" s="3" t="s">
        <v>161</v>
      </c>
      <c r="F1301" s="3" t="s">
        <v>177</v>
      </c>
      <c r="G1301" s="5">
        <v>4.0000000000000001E-3</v>
      </c>
      <c r="H1301" s="6" t="s">
        <v>74</v>
      </c>
      <c r="I1301" s="3" t="s">
        <v>45</v>
      </c>
    </row>
    <row r="1302" spans="1:9" ht="48" customHeight="1">
      <c r="A1302" s="3" t="s">
        <v>66</v>
      </c>
      <c r="B1302" s="3" t="s">
        <v>65</v>
      </c>
      <c r="C1302" s="4">
        <v>46174</v>
      </c>
      <c r="D1302" s="4">
        <v>46203</v>
      </c>
      <c r="E1302" s="3" t="s">
        <v>161</v>
      </c>
      <c r="F1302" s="3" t="s">
        <v>179</v>
      </c>
      <c r="G1302" s="5">
        <v>4.0000000000000001E-3</v>
      </c>
      <c r="H1302" s="6" t="s">
        <v>74</v>
      </c>
      <c r="I1302" s="3" t="s">
        <v>45</v>
      </c>
    </row>
    <row r="1303" spans="1:9" ht="48" customHeight="1">
      <c r="A1303" s="3" t="s">
        <v>66</v>
      </c>
      <c r="B1303" s="3" t="s">
        <v>65</v>
      </c>
      <c r="C1303" s="4">
        <v>46174</v>
      </c>
      <c r="D1303" s="4">
        <v>46203</v>
      </c>
      <c r="E1303" s="3" t="s">
        <v>161</v>
      </c>
      <c r="F1303" s="3" t="s">
        <v>180</v>
      </c>
      <c r="G1303" s="5">
        <v>4.0000000000000001E-3</v>
      </c>
      <c r="H1303" s="6" t="s">
        <v>74</v>
      </c>
      <c r="I1303" s="3" t="s">
        <v>45</v>
      </c>
    </row>
    <row r="1304" spans="1:9" ht="48" customHeight="1">
      <c r="A1304" s="3" t="s">
        <v>66</v>
      </c>
      <c r="B1304" s="3" t="s">
        <v>65</v>
      </c>
      <c r="C1304" s="4">
        <v>46174</v>
      </c>
      <c r="D1304" s="4">
        <v>46203</v>
      </c>
      <c r="E1304" s="3" t="s">
        <v>161</v>
      </c>
      <c r="F1304" s="3" t="s">
        <v>181</v>
      </c>
      <c r="G1304" s="5">
        <v>4.0000000000000001E-3</v>
      </c>
      <c r="H1304" s="6" t="s">
        <v>74</v>
      </c>
      <c r="I1304" s="3" t="s">
        <v>45</v>
      </c>
    </row>
    <row r="1305" spans="1:9" ht="48" customHeight="1">
      <c r="A1305" s="3" t="s">
        <v>66</v>
      </c>
      <c r="B1305" s="3" t="s">
        <v>65</v>
      </c>
      <c r="C1305" s="4">
        <v>46174</v>
      </c>
      <c r="D1305" s="4">
        <v>46203</v>
      </c>
      <c r="E1305" s="3" t="s">
        <v>161</v>
      </c>
      <c r="F1305" s="3" t="s">
        <v>182</v>
      </c>
      <c r="G1305" s="5">
        <v>4.0000000000000001E-3</v>
      </c>
      <c r="H1305" s="6" t="s">
        <v>74</v>
      </c>
      <c r="I1305" s="3" t="s">
        <v>45</v>
      </c>
    </row>
    <row r="1306" spans="1:9" ht="48" customHeight="1">
      <c r="A1306" s="3" t="s">
        <v>66</v>
      </c>
      <c r="B1306" s="3" t="s">
        <v>65</v>
      </c>
      <c r="C1306" s="4">
        <v>46174</v>
      </c>
      <c r="D1306" s="4">
        <v>46203</v>
      </c>
      <c r="E1306" s="3" t="s">
        <v>161</v>
      </c>
      <c r="F1306" s="3" t="s">
        <v>183</v>
      </c>
      <c r="G1306" s="5">
        <v>4.0000000000000001E-3</v>
      </c>
      <c r="H1306" s="6" t="s">
        <v>74</v>
      </c>
      <c r="I1306" s="3" t="s">
        <v>45</v>
      </c>
    </row>
    <row r="1307" spans="1:9" ht="48" customHeight="1">
      <c r="A1307" s="3" t="s">
        <v>66</v>
      </c>
      <c r="B1307" s="3" t="s">
        <v>65</v>
      </c>
      <c r="C1307" s="4">
        <v>46174</v>
      </c>
      <c r="D1307" s="4">
        <v>46203</v>
      </c>
      <c r="E1307" s="3" t="s">
        <v>161</v>
      </c>
      <c r="F1307" s="3" t="s">
        <v>386</v>
      </c>
      <c r="G1307" s="5">
        <v>4.0000000000000001E-3</v>
      </c>
      <c r="H1307" s="6" t="s">
        <v>74</v>
      </c>
      <c r="I1307" s="3" t="s">
        <v>45</v>
      </c>
    </row>
    <row r="1308" spans="1:9" ht="48" customHeight="1">
      <c r="A1308" s="3" t="s">
        <v>66</v>
      </c>
      <c r="B1308" s="3" t="s">
        <v>65</v>
      </c>
      <c r="C1308" s="4">
        <v>46174</v>
      </c>
      <c r="D1308" s="4">
        <v>46203</v>
      </c>
      <c r="E1308" s="3" t="s">
        <v>161</v>
      </c>
      <c r="F1308" s="3" t="s">
        <v>184</v>
      </c>
      <c r="G1308" s="5">
        <v>4.0000000000000001E-3</v>
      </c>
      <c r="H1308" s="6" t="s">
        <v>74</v>
      </c>
      <c r="I1308" s="3" t="s">
        <v>45</v>
      </c>
    </row>
    <row r="1309" spans="1:9" ht="48" customHeight="1">
      <c r="A1309" s="3" t="s">
        <v>66</v>
      </c>
      <c r="B1309" s="3" t="s">
        <v>65</v>
      </c>
      <c r="C1309" s="4">
        <v>46174</v>
      </c>
      <c r="D1309" s="4">
        <v>46203</v>
      </c>
      <c r="E1309" s="3" t="s">
        <v>161</v>
      </c>
      <c r="F1309" s="3" t="s">
        <v>175</v>
      </c>
      <c r="G1309" s="5">
        <v>3.0000000000000001E-3</v>
      </c>
      <c r="H1309" s="6" t="s">
        <v>74</v>
      </c>
      <c r="I1309" s="3" t="s">
        <v>45</v>
      </c>
    </row>
    <row r="1310" spans="1:9" ht="48" customHeight="1">
      <c r="A1310" s="3" t="s">
        <v>66</v>
      </c>
      <c r="B1310" s="3" t="s">
        <v>65</v>
      </c>
      <c r="C1310" s="4">
        <v>46174</v>
      </c>
      <c r="D1310" s="4">
        <v>46203</v>
      </c>
      <c r="E1310" s="3" t="s">
        <v>161</v>
      </c>
      <c r="F1310" s="3" t="s">
        <v>185</v>
      </c>
      <c r="G1310" s="5">
        <v>3.0000000000000001E-3</v>
      </c>
      <c r="H1310" s="6" t="s">
        <v>74</v>
      </c>
      <c r="I1310" s="3" t="s">
        <v>45</v>
      </c>
    </row>
    <row r="1311" spans="1:9" ht="48" customHeight="1">
      <c r="A1311" s="3" t="s">
        <v>66</v>
      </c>
      <c r="B1311" s="3" t="s">
        <v>65</v>
      </c>
      <c r="C1311" s="4">
        <v>46174</v>
      </c>
      <c r="D1311" s="4">
        <v>46203</v>
      </c>
      <c r="E1311" s="3" t="s">
        <v>161</v>
      </c>
      <c r="F1311" s="3" t="s">
        <v>192</v>
      </c>
      <c r="G1311" s="5">
        <v>3.0000000000000001E-3</v>
      </c>
      <c r="H1311" s="6" t="s">
        <v>74</v>
      </c>
      <c r="I1311" s="3" t="s">
        <v>45</v>
      </c>
    </row>
    <row r="1312" spans="1:9" ht="48" customHeight="1">
      <c r="A1312" s="3" t="s">
        <v>66</v>
      </c>
      <c r="B1312" s="3" t="s">
        <v>65</v>
      </c>
      <c r="C1312" s="4">
        <v>46174</v>
      </c>
      <c r="D1312" s="4">
        <v>46203</v>
      </c>
      <c r="E1312" s="3" t="s">
        <v>161</v>
      </c>
      <c r="F1312" s="3" t="s">
        <v>194</v>
      </c>
      <c r="G1312" s="5">
        <v>3.0000000000000001E-3</v>
      </c>
      <c r="H1312" s="6" t="s">
        <v>74</v>
      </c>
      <c r="I1312" s="3" t="s">
        <v>45</v>
      </c>
    </row>
    <row r="1313" spans="1:9" ht="48" customHeight="1">
      <c r="A1313" s="3" t="s">
        <v>66</v>
      </c>
      <c r="B1313" s="3" t="s">
        <v>65</v>
      </c>
      <c r="C1313" s="4">
        <v>46174</v>
      </c>
      <c r="D1313" s="4">
        <v>46203</v>
      </c>
      <c r="E1313" s="3" t="s">
        <v>161</v>
      </c>
      <c r="F1313" s="3" t="s">
        <v>188</v>
      </c>
      <c r="G1313" s="5">
        <v>3.0000000000000001E-3</v>
      </c>
      <c r="H1313" s="6" t="s">
        <v>74</v>
      </c>
      <c r="I1313" s="3" t="s">
        <v>45</v>
      </c>
    </row>
    <row r="1314" spans="1:9" ht="48" customHeight="1">
      <c r="A1314" s="3" t="s">
        <v>66</v>
      </c>
      <c r="B1314" s="3" t="s">
        <v>65</v>
      </c>
      <c r="C1314" s="4">
        <v>46174</v>
      </c>
      <c r="D1314" s="4">
        <v>46203</v>
      </c>
      <c r="E1314" s="3" t="s">
        <v>161</v>
      </c>
      <c r="F1314" s="3" t="s">
        <v>387</v>
      </c>
      <c r="G1314" s="5">
        <v>3.0000000000000001E-3</v>
      </c>
      <c r="H1314" s="6" t="s">
        <v>74</v>
      </c>
      <c r="I1314" s="3" t="s">
        <v>45</v>
      </c>
    </row>
    <row r="1315" spans="1:9" ht="48" customHeight="1">
      <c r="A1315" s="3" t="s">
        <v>66</v>
      </c>
      <c r="B1315" s="3" t="s">
        <v>65</v>
      </c>
      <c r="C1315" s="4">
        <v>46174</v>
      </c>
      <c r="D1315" s="4">
        <v>46203</v>
      </c>
      <c r="E1315" s="3" t="s">
        <v>161</v>
      </c>
      <c r="F1315" s="3" t="s">
        <v>189</v>
      </c>
      <c r="G1315" s="5">
        <v>2E-3</v>
      </c>
      <c r="H1315" s="6" t="s">
        <v>74</v>
      </c>
      <c r="I1315" s="3" t="s">
        <v>45</v>
      </c>
    </row>
    <row r="1316" spans="1:9" ht="48" customHeight="1">
      <c r="A1316" s="3" t="s">
        <v>66</v>
      </c>
      <c r="B1316" s="3" t="s">
        <v>65</v>
      </c>
      <c r="C1316" s="4">
        <v>46174</v>
      </c>
      <c r="D1316" s="4">
        <v>46203</v>
      </c>
      <c r="E1316" s="3" t="s">
        <v>161</v>
      </c>
      <c r="F1316" s="3" t="s">
        <v>190</v>
      </c>
      <c r="G1316" s="5">
        <v>2E-3</v>
      </c>
      <c r="H1316" s="6" t="s">
        <v>74</v>
      </c>
      <c r="I1316" s="3" t="s">
        <v>45</v>
      </c>
    </row>
    <row r="1317" spans="1:9" ht="48" customHeight="1">
      <c r="A1317" s="3" t="s">
        <v>66</v>
      </c>
      <c r="B1317" s="3" t="s">
        <v>65</v>
      </c>
      <c r="C1317" s="4">
        <v>46174</v>
      </c>
      <c r="D1317" s="4">
        <v>46203</v>
      </c>
      <c r="E1317" s="3" t="s">
        <v>161</v>
      </c>
      <c r="F1317" s="3" t="s">
        <v>191</v>
      </c>
      <c r="G1317" s="5">
        <v>2E-3</v>
      </c>
      <c r="H1317" s="6" t="s">
        <v>74</v>
      </c>
      <c r="I1317" s="3" t="s">
        <v>45</v>
      </c>
    </row>
    <row r="1318" spans="1:9" ht="48" customHeight="1">
      <c r="A1318" s="3" t="s">
        <v>66</v>
      </c>
      <c r="B1318" s="3" t="s">
        <v>65</v>
      </c>
      <c r="C1318" s="4">
        <v>46174</v>
      </c>
      <c r="D1318" s="4">
        <v>46203</v>
      </c>
      <c r="E1318" s="3" t="s">
        <v>161</v>
      </c>
      <c r="F1318" s="3" t="s">
        <v>187</v>
      </c>
      <c r="G1318" s="5">
        <v>2E-3</v>
      </c>
      <c r="H1318" s="6" t="s">
        <v>74</v>
      </c>
      <c r="I1318" s="3" t="s">
        <v>45</v>
      </c>
    </row>
    <row r="1319" spans="1:9" ht="48" customHeight="1">
      <c r="A1319" s="3" t="s">
        <v>66</v>
      </c>
      <c r="B1319" s="3" t="s">
        <v>65</v>
      </c>
      <c r="C1319" s="4">
        <v>46174</v>
      </c>
      <c r="D1319" s="4">
        <v>46203</v>
      </c>
      <c r="E1319" s="3" t="s">
        <v>161</v>
      </c>
      <c r="F1319" s="3" t="s">
        <v>195</v>
      </c>
      <c r="G1319" s="5">
        <v>2E-3</v>
      </c>
      <c r="H1319" s="6" t="s">
        <v>74</v>
      </c>
      <c r="I1319" s="3" t="s">
        <v>45</v>
      </c>
    </row>
    <row r="1320" spans="1:9" ht="48" customHeight="1">
      <c r="A1320" s="3" t="s">
        <v>66</v>
      </c>
      <c r="B1320" s="3" t="s">
        <v>65</v>
      </c>
      <c r="C1320" s="4">
        <v>46174</v>
      </c>
      <c r="D1320" s="4">
        <v>46203</v>
      </c>
      <c r="E1320" s="3" t="s">
        <v>161</v>
      </c>
      <c r="F1320" s="3" t="s">
        <v>196</v>
      </c>
      <c r="G1320" s="5">
        <v>2E-3</v>
      </c>
      <c r="H1320" s="6" t="s">
        <v>74</v>
      </c>
      <c r="I1320" s="3" t="s">
        <v>45</v>
      </c>
    </row>
    <row r="1321" spans="1:9" ht="48" customHeight="1">
      <c r="A1321" s="3" t="s">
        <v>66</v>
      </c>
      <c r="B1321" s="3" t="s">
        <v>65</v>
      </c>
      <c r="C1321" s="4">
        <v>46174</v>
      </c>
      <c r="D1321" s="4">
        <v>46203</v>
      </c>
      <c r="E1321" s="3" t="s">
        <v>161</v>
      </c>
      <c r="F1321" s="3" t="s">
        <v>197</v>
      </c>
      <c r="G1321" s="5">
        <v>1E-3</v>
      </c>
      <c r="H1321" s="6" t="s">
        <v>74</v>
      </c>
      <c r="I1321" s="3" t="s">
        <v>45</v>
      </c>
    </row>
    <row r="1322" spans="1:9" ht="48" customHeight="1">
      <c r="A1322" s="3" t="s">
        <v>66</v>
      </c>
      <c r="B1322" s="3" t="s">
        <v>65</v>
      </c>
      <c r="C1322" s="4">
        <v>46174</v>
      </c>
      <c r="D1322" s="4">
        <v>46203</v>
      </c>
      <c r="E1322" s="3" t="s">
        <v>161</v>
      </c>
      <c r="F1322" s="3" t="s">
        <v>198</v>
      </c>
      <c r="G1322" s="5">
        <v>1E-3</v>
      </c>
      <c r="H1322" s="6" t="s">
        <v>74</v>
      </c>
      <c r="I1322" s="3" t="s">
        <v>45</v>
      </c>
    </row>
    <row r="1323" spans="1:9" ht="48" customHeight="1">
      <c r="A1323" s="3" t="s">
        <v>66</v>
      </c>
      <c r="B1323" s="3" t="s">
        <v>65</v>
      </c>
      <c r="C1323" s="4">
        <v>46174</v>
      </c>
      <c r="D1323" s="4">
        <v>46203</v>
      </c>
      <c r="E1323" s="3" t="s">
        <v>161</v>
      </c>
      <c r="F1323" s="3" t="s">
        <v>193</v>
      </c>
      <c r="G1323" s="5">
        <v>1E-3</v>
      </c>
      <c r="H1323" s="6" t="s">
        <v>74</v>
      </c>
      <c r="I1323" s="3" t="s">
        <v>45</v>
      </c>
    </row>
    <row r="1324" spans="1:9" ht="48" customHeight="1">
      <c r="A1324" s="3" t="s">
        <v>66</v>
      </c>
      <c r="B1324" s="3" t="s">
        <v>65</v>
      </c>
      <c r="C1324" s="4">
        <v>46174</v>
      </c>
      <c r="D1324" s="4">
        <v>46203</v>
      </c>
      <c r="E1324" s="3" t="s">
        <v>161</v>
      </c>
      <c r="F1324" s="3" t="s">
        <v>199</v>
      </c>
      <c r="G1324" s="5">
        <v>1E-3</v>
      </c>
      <c r="H1324" s="6" t="s">
        <v>74</v>
      </c>
      <c r="I1324" s="3" t="s">
        <v>45</v>
      </c>
    </row>
    <row r="1325" spans="1:9" ht="48" customHeight="1">
      <c r="A1325" s="3" t="s">
        <v>66</v>
      </c>
      <c r="B1325" s="3" t="s">
        <v>65</v>
      </c>
      <c r="C1325" s="4">
        <v>46174</v>
      </c>
      <c r="D1325" s="4">
        <v>46203</v>
      </c>
      <c r="E1325" s="3" t="s">
        <v>161</v>
      </c>
      <c r="F1325" s="3" t="s">
        <v>200</v>
      </c>
      <c r="G1325" s="5">
        <v>1E-3</v>
      </c>
      <c r="H1325" s="6" t="s">
        <v>74</v>
      </c>
      <c r="I1325" s="3" t="s">
        <v>45</v>
      </c>
    </row>
    <row r="1326" spans="1:9" ht="48" customHeight="1">
      <c r="A1326" s="3" t="s">
        <v>66</v>
      </c>
      <c r="B1326" s="3" t="s">
        <v>65</v>
      </c>
      <c r="C1326" s="4">
        <v>46174</v>
      </c>
      <c r="D1326" s="4">
        <v>46203</v>
      </c>
      <c r="E1326" s="3" t="s">
        <v>161</v>
      </c>
      <c r="F1326" s="3" t="s">
        <v>204</v>
      </c>
      <c r="G1326" s="5">
        <v>1E-3</v>
      </c>
      <c r="H1326" s="6" t="s">
        <v>74</v>
      </c>
      <c r="I1326" s="3" t="s">
        <v>45</v>
      </c>
    </row>
    <row r="1327" spans="1:9" ht="48" customHeight="1">
      <c r="A1327" s="3" t="s">
        <v>66</v>
      </c>
      <c r="B1327" s="3" t="s">
        <v>65</v>
      </c>
      <c r="C1327" s="4">
        <v>46174</v>
      </c>
      <c r="D1327" s="4">
        <v>46203</v>
      </c>
      <c r="E1327" s="3" t="s">
        <v>161</v>
      </c>
      <c r="F1327" s="3" t="s">
        <v>201</v>
      </c>
      <c r="G1327" s="5">
        <v>1E-3</v>
      </c>
      <c r="H1327" s="6" t="s">
        <v>74</v>
      </c>
      <c r="I1327" s="3" t="s">
        <v>45</v>
      </c>
    </row>
    <row r="1328" spans="1:9" ht="48" customHeight="1">
      <c r="A1328" s="3" t="s">
        <v>66</v>
      </c>
      <c r="B1328" s="3" t="s">
        <v>65</v>
      </c>
      <c r="C1328" s="4">
        <v>46174</v>
      </c>
      <c r="D1328" s="4">
        <v>46203</v>
      </c>
      <c r="E1328" s="3" t="s">
        <v>161</v>
      </c>
      <c r="F1328" s="3" t="s">
        <v>202</v>
      </c>
      <c r="G1328" s="5">
        <v>0</v>
      </c>
      <c r="H1328" s="6" t="s">
        <v>74</v>
      </c>
      <c r="I1328" s="3" t="s">
        <v>45</v>
      </c>
    </row>
    <row r="1329" spans="1:9" ht="48" customHeight="1">
      <c r="A1329" s="3" t="s">
        <v>66</v>
      </c>
      <c r="B1329" s="3" t="s">
        <v>65</v>
      </c>
      <c r="C1329" s="4">
        <v>46174</v>
      </c>
      <c r="D1329" s="4">
        <v>46203</v>
      </c>
      <c r="E1329" s="3" t="s">
        <v>161</v>
      </c>
      <c r="F1329" s="3" t="s">
        <v>203</v>
      </c>
      <c r="G1329" s="5">
        <v>0</v>
      </c>
      <c r="H1329" s="6" t="s">
        <v>74</v>
      </c>
      <c r="I1329" s="3" t="s">
        <v>45</v>
      </c>
    </row>
    <row r="1330" spans="1:9" ht="48" customHeight="1">
      <c r="A1330" s="3" t="s">
        <v>66</v>
      </c>
      <c r="B1330" s="3" t="s">
        <v>65</v>
      </c>
      <c r="C1330" s="4">
        <v>46174</v>
      </c>
      <c r="D1330" s="4">
        <v>46203</v>
      </c>
      <c r="E1330" s="3" t="s">
        <v>205</v>
      </c>
      <c r="F1330" s="3" t="s">
        <v>207</v>
      </c>
      <c r="G1330" s="5">
        <v>6.0000000000000001E-3</v>
      </c>
      <c r="H1330" s="6" t="s">
        <v>74</v>
      </c>
      <c r="I1330" s="3" t="s">
        <v>45</v>
      </c>
    </row>
    <row r="1331" spans="1:9" ht="48" customHeight="1">
      <c r="A1331" s="3" t="s">
        <v>66</v>
      </c>
      <c r="B1331" s="3" t="s">
        <v>65</v>
      </c>
      <c r="C1331" s="4">
        <v>46174</v>
      </c>
      <c r="D1331" s="4">
        <v>46203</v>
      </c>
      <c r="E1331" s="3" t="s">
        <v>205</v>
      </c>
      <c r="F1331" s="3" t="s">
        <v>208</v>
      </c>
      <c r="G1331" s="5">
        <v>5.0000000000000001E-3</v>
      </c>
      <c r="H1331" s="6" t="s">
        <v>74</v>
      </c>
      <c r="I1331" s="3" t="s">
        <v>45</v>
      </c>
    </row>
    <row r="1332" spans="1:9" ht="48" customHeight="1">
      <c r="A1332" s="3" t="s">
        <v>66</v>
      </c>
      <c r="B1332" s="3" t="s">
        <v>65</v>
      </c>
      <c r="C1332" s="4">
        <v>46174</v>
      </c>
      <c r="D1332" s="4">
        <v>46203</v>
      </c>
      <c r="E1332" s="3" t="s">
        <v>205</v>
      </c>
      <c r="F1332" s="3" t="s">
        <v>213</v>
      </c>
      <c r="G1332" s="5">
        <v>5.0000000000000001E-3</v>
      </c>
      <c r="H1332" s="6" t="s">
        <v>74</v>
      </c>
      <c r="I1332" s="3" t="s">
        <v>45</v>
      </c>
    </row>
    <row r="1333" spans="1:9" ht="48" customHeight="1">
      <c r="A1333" s="3" t="s">
        <v>66</v>
      </c>
      <c r="B1333" s="3" t="s">
        <v>65</v>
      </c>
      <c r="C1333" s="4">
        <v>46174</v>
      </c>
      <c r="D1333" s="4">
        <v>46203</v>
      </c>
      <c r="E1333" s="3" t="s">
        <v>205</v>
      </c>
      <c r="F1333" s="3" t="s">
        <v>214</v>
      </c>
      <c r="G1333" s="5">
        <v>5.0000000000000001E-3</v>
      </c>
      <c r="H1333" s="6" t="s">
        <v>74</v>
      </c>
      <c r="I1333" s="3" t="s">
        <v>45</v>
      </c>
    </row>
    <row r="1334" spans="1:9" ht="48" customHeight="1">
      <c r="A1334" s="3" t="s">
        <v>66</v>
      </c>
      <c r="B1334" s="3" t="s">
        <v>65</v>
      </c>
      <c r="C1334" s="4">
        <v>46174</v>
      </c>
      <c r="D1334" s="4">
        <v>46203</v>
      </c>
      <c r="E1334" s="3" t="s">
        <v>205</v>
      </c>
      <c r="F1334" s="3" t="s">
        <v>206</v>
      </c>
      <c r="G1334" s="5">
        <v>5.0000000000000001E-3</v>
      </c>
      <c r="H1334" s="6" t="s">
        <v>74</v>
      </c>
      <c r="I1334" s="3" t="s">
        <v>45</v>
      </c>
    </row>
    <row r="1335" spans="1:9" ht="48" customHeight="1">
      <c r="A1335" s="3" t="s">
        <v>66</v>
      </c>
      <c r="B1335" s="3" t="s">
        <v>65</v>
      </c>
      <c r="C1335" s="4">
        <v>46174</v>
      </c>
      <c r="D1335" s="4">
        <v>46203</v>
      </c>
      <c r="E1335" s="3" t="s">
        <v>205</v>
      </c>
      <c r="F1335" s="3" t="s">
        <v>210</v>
      </c>
      <c r="G1335" s="5">
        <v>5.0000000000000001E-3</v>
      </c>
      <c r="H1335" s="6" t="s">
        <v>74</v>
      </c>
      <c r="I1335" s="3" t="s">
        <v>45</v>
      </c>
    </row>
    <row r="1336" spans="1:9" ht="48" customHeight="1">
      <c r="A1336" s="3" t="s">
        <v>66</v>
      </c>
      <c r="B1336" s="3" t="s">
        <v>65</v>
      </c>
      <c r="C1336" s="4">
        <v>46174</v>
      </c>
      <c r="D1336" s="4">
        <v>46203</v>
      </c>
      <c r="E1336" s="3" t="s">
        <v>205</v>
      </c>
      <c r="F1336" s="3" t="s">
        <v>211</v>
      </c>
      <c r="G1336" s="5">
        <v>4.0000000000000001E-3</v>
      </c>
      <c r="H1336" s="6" t="s">
        <v>74</v>
      </c>
      <c r="I1336" s="3" t="s">
        <v>45</v>
      </c>
    </row>
    <row r="1337" spans="1:9" ht="48" customHeight="1">
      <c r="A1337" s="3" t="s">
        <v>66</v>
      </c>
      <c r="B1337" s="3" t="s">
        <v>65</v>
      </c>
      <c r="C1337" s="4">
        <v>46174</v>
      </c>
      <c r="D1337" s="4">
        <v>46203</v>
      </c>
      <c r="E1337" s="3" t="s">
        <v>205</v>
      </c>
      <c r="F1337" s="3" t="s">
        <v>212</v>
      </c>
      <c r="G1337" s="5">
        <v>4.0000000000000001E-3</v>
      </c>
      <c r="H1337" s="6" t="s">
        <v>74</v>
      </c>
      <c r="I1337" s="3" t="s">
        <v>45</v>
      </c>
    </row>
    <row r="1338" spans="1:9" ht="48" customHeight="1">
      <c r="A1338" s="3" t="s">
        <v>66</v>
      </c>
      <c r="B1338" s="3" t="s">
        <v>65</v>
      </c>
      <c r="C1338" s="4">
        <v>46174</v>
      </c>
      <c r="D1338" s="4">
        <v>46203</v>
      </c>
      <c r="E1338" s="3" t="s">
        <v>205</v>
      </c>
      <c r="F1338" s="3" t="s">
        <v>209</v>
      </c>
      <c r="G1338" s="5">
        <v>4.0000000000000001E-3</v>
      </c>
      <c r="H1338" s="6" t="s">
        <v>74</v>
      </c>
      <c r="I1338" s="3" t="s">
        <v>45</v>
      </c>
    </row>
    <row r="1339" spans="1:9" ht="48" customHeight="1">
      <c r="A1339" s="3" t="s">
        <v>66</v>
      </c>
      <c r="B1339" s="3" t="s">
        <v>65</v>
      </c>
      <c r="C1339" s="4">
        <v>46174</v>
      </c>
      <c r="D1339" s="4">
        <v>46203</v>
      </c>
      <c r="E1339" s="3" t="s">
        <v>205</v>
      </c>
      <c r="F1339" s="3" t="s">
        <v>216</v>
      </c>
      <c r="G1339" s="5">
        <v>4.0000000000000001E-3</v>
      </c>
      <c r="H1339" s="6" t="s">
        <v>74</v>
      </c>
      <c r="I1339" s="3" t="s">
        <v>45</v>
      </c>
    </row>
    <row r="1340" spans="1:9" ht="48" customHeight="1">
      <c r="A1340" s="3" t="s">
        <v>66</v>
      </c>
      <c r="B1340" s="3" t="s">
        <v>65</v>
      </c>
      <c r="C1340" s="4">
        <v>46174</v>
      </c>
      <c r="D1340" s="4">
        <v>46203</v>
      </c>
      <c r="E1340" s="3" t="s">
        <v>205</v>
      </c>
      <c r="F1340" s="3" t="s">
        <v>217</v>
      </c>
      <c r="G1340" s="5">
        <v>3.0000000000000001E-3</v>
      </c>
      <c r="H1340" s="6" t="s">
        <v>74</v>
      </c>
      <c r="I1340" s="3" t="s">
        <v>45</v>
      </c>
    </row>
    <row r="1341" spans="1:9" ht="48" customHeight="1">
      <c r="A1341" s="3" t="s">
        <v>66</v>
      </c>
      <c r="B1341" s="3" t="s">
        <v>65</v>
      </c>
      <c r="C1341" s="4">
        <v>46174</v>
      </c>
      <c r="D1341" s="4">
        <v>46203</v>
      </c>
      <c r="E1341" s="3" t="s">
        <v>205</v>
      </c>
      <c r="F1341" s="3" t="s">
        <v>219</v>
      </c>
      <c r="G1341" s="5">
        <v>3.0000000000000001E-3</v>
      </c>
      <c r="H1341" s="6" t="s">
        <v>74</v>
      </c>
      <c r="I1341" s="3" t="s">
        <v>45</v>
      </c>
    </row>
    <row r="1342" spans="1:9" ht="48" customHeight="1">
      <c r="A1342" s="3" t="s">
        <v>66</v>
      </c>
      <c r="B1342" s="3" t="s">
        <v>65</v>
      </c>
      <c r="C1342" s="4">
        <v>46174</v>
      </c>
      <c r="D1342" s="4">
        <v>46203</v>
      </c>
      <c r="E1342" s="3" t="s">
        <v>205</v>
      </c>
      <c r="F1342" s="3" t="s">
        <v>220</v>
      </c>
      <c r="G1342" s="5">
        <v>3.0000000000000001E-3</v>
      </c>
      <c r="H1342" s="6" t="s">
        <v>74</v>
      </c>
      <c r="I1342" s="3" t="s">
        <v>45</v>
      </c>
    </row>
    <row r="1343" spans="1:9" ht="48" customHeight="1">
      <c r="A1343" s="3" t="s">
        <v>66</v>
      </c>
      <c r="B1343" s="3" t="s">
        <v>65</v>
      </c>
      <c r="C1343" s="4">
        <v>46174</v>
      </c>
      <c r="D1343" s="4">
        <v>46203</v>
      </c>
      <c r="E1343" s="3" t="s">
        <v>205</v>
      </c>
      <c r="F1343" s="3" t="s">
        <v>221</v>
      </c>
      <c r="G1343" s="5">
        <v>3.0000000000000001E-3</v>
      </c>
      <c r="H1343" s="6" t="s">
        <v>74</v>
      </c>
      <c r="I1343" s="3" t="s">
        <v>45</v>
      </c>
    </row>
    <row r="1344" spans="1:9" ht="48" customHeight="1">
      <c r="A1344" s="3" t="s">
        <v>66</v>
      </c>
      <c r="B1344" s="3" t="s">
        <v>65</v>
      </c>
      <c r="C1344" s="4">
        <v>46174</v>
      </c>
      <c r="D1344" s="4">
        <v>46203</v>
      </c>
      <c r="E1344" s="3" t="s">
        <v>205</v>
      </c>
      <c r="F1344" s="3" t="s">
        <v>222</v>
      </c>
      <c r="G1344" s="5">
        <v>3.0000000000000001E-3</v>
      </c>
      <c r="H1344" s="6" t="s">
        <v>74</v>
      </c>
      <c r="I1344" s="3" t="s">
        <v>45</v>
      </c>
    </row>
    <row r="1345" spans="1:9" ht="48" customHeight="1">
      <c r="A1345" s="3" t="s">
        <v>66</v>
      </c>
      <c r="B1345" s="3" t="s">
        <v>65</v>
      </c>
      <c r="C1345" s="4">
        <v>46174</v>
      </c>
      <c r="D1345" s="4">
        <v>46203</v>
      </c>
      <c r="E1345" s="3" t="s">
        <v>205</v>
      </c>
      <c r="F1345" s="3" t="s">
        <v>228</v>
      </c>
      <c r="G1345" s="5">
        <v>3.0000000000000001E-3</v>
      </c>
      <c r="H1345" s="6" t="s">
        <v>74</v>
      </c>
      <c r="I1345" s="3" t="s">
        <v>45</v>
      </c>
    </row>
    <row r="1346" spans="1:9" ht="48" customHeight="1">
      <c r="A1346" s="3" t="s">
        <v>66</v>
      </c>
      <c r="B1346" s="3" t="s">
        <v>65</v>
      </c>
      <c r="C1346" s="4">
        <v>46174</v>
      </c>
      <c r="D1346" s="4">
        <v>46203</v>
      </c>
      <c r="E1346" s="3" t="s">
        <v>205</v>
      </c>
      <c r="F1346" s="3" t="s">
        <v>215</v>
      </c>
      <c r="G1346" s="5">
        <v>3.0000000000000001E-3</v>
      </c>
      <c r="H1346" s="6" t="s">
        <v>74</v>
      </c>
      <c r="I1346" s="3" t="s">
        <v>45</v>
      </c>
    </row>
    <row r="1347" spans="1:9" ht="48" customHeight="1">
      <c r="A1347" s="3" t="s">
        <v>66</v>
      </c>
      <c r="B1347" s="3" t="s">
        <v>65</v>
      </c>
      <c r="C1347" s="4">
        <v>46174</v>
      </c>
      <c r="D1347" s="4">
        <v>46203</v>
      </c>
      <c r="E1347" s="3" t="s">
        <v>205</v>
      </c>
      <c r="F1347" s="3" t="s">
        <v>223</v>
      </c>
      <c r="G1347" s="5">
        <v>2E-3</v>
      </c>
      <c r="H1347" s="6" t="s">
        <v>74</v>
      </c>
      <c r="I1347" s="3" t="s">
        <v>45</v>
      </c>
    </row>
    <row r="1348" spans="1:9" ht="48" customHeight="1">
      <c r="A1348" s="3" t="s">
        <v>66</v>
      </c>
      <c r="B1348" s="3" t="s">
        <v>65</v>
      </c>
      <c r="C1348" s="4">
        <v>46174</v>
      </c>
      <c r="D1348" s="4">
        <v>46203</v>
      </c>
      <c r="E1348" s="3" t="s">
        <v>205</v>
      </c>
      <c r="F1348" s="3" t="s">
        <v>224</v>
      </c>
      <c r="G1348" s="5">
        <v>2E-3</v>
      </c>
      <c r="H1348" s="6" t="s">
        <v>74</v>
      </c>
      <c r="I1348" s="3" t="s">
        <v>45</v>
      </c>
    </row>
    <row r="1349" spans="1:9" ht="48" customHeight="1">
      <c r="A1349" s="3" t="s">
        <v>66</v>
      </c>
      <c r="B1349" s="3" t="s">
        <v>65</v>
      </c>
      <c r="C1349" s="4">
        <v>46174</v>
      </c>
      <c r="D1349" s="4">
        <v>46203</v>
      </c>
      <c r="E1349" s="3" t="s">
        <v>205</v>
      </c>
      <c r="F1349" s="3" t="s">
        <v>218</v>
      </c>
      <c r="G1349" s="5">
        <v>2E-3</v>
      </c>
      <c r="H1349" s="6" t="s">
        <v>74</v>
      </c>
      <c r="I1349" s="3" t="s">
        <v>45</v>
      </c>
    </row>
    <row r="1350" spans="1:9" ht="48" customHeight="1">
      <c r="A1350" s="3" t="s">
        <v>66</v>
      </c>
      <c r="B1350" s="3" t="s">
        <v>65</v>
      </c>
      <c r="C1350" s="4">
        <v>46174</v>
      </c>
      <c r="D1350" s="4">
        <v>46203</v>
      </c>
      <c r="E1350" s="3" t="s">
        <v>205</v>
      </c>
      <c r="F1350" s="3" t="s">
        <v>225</v>
      </c>
      <c r="G1350" s="5">
        <v>2E-3</v>
      </c>
      <c r="H1350" s="6" t="s">
        <v>74</v>
      </c>
      <c r="I1350" s="3" t="s">
        <v>45</v>
      </c>
    </row>
    <row r="1351" spans="1:9" ht="48" customHeight="1">
      <c r="A1351" s="3" t="s">
        <v>66</v>
      </c>
      <c r="B1351" s="3" t="s">
        <v>65</v>
      </c>
      <c r="C1351" s="4">
        <v>46174</v>
      </c>
      <c r="D1351" s="4">
        <v>46203</v>
      </c>
      <c r="E1351" s="3" t="s">
        <v>205</v>
      </c>
      <c r="F1351" s="3" t="s">
        <v>226</v>
      </c>
      <c r="G1351" s="5">
        <v>2E-3</v>
      </c>
      <c r="H1351" s="6" t="s">
        <v>74</v>
      </c>
      <c r="I1351" s="3" t="s">
        <v>45</v>
      </c>
    </row>
    <row r="1352" spans="1:9" ht="48" customHeight="1">
      <c r="A1352" s="3" t="s">
        <v>66</v>
      </c>
      <c r="B1352" s="3" t="s">
        <v>65</v>
      </c>
      <c r="C1352" s="4">
        <v>46174</v>
      </c>
      <c r="D1352" s="4">
        <v>46203</v>
      </c>
      <c r="E1352" s="3" t="s">
        <v>205</v>
      </c>
      <c r="F1352" s="3" t="s">
        <v>227</v>
      </c>
      <c r="G1352" s="5">
        <v>2E-3</v>
      </c>
      <c r="H1352" s="6" t="s">
        <v>74</v>
      </c>
      <c r="I1352" s="3" t="s">
        <v>45</v>
      </c>
    </row>
    <row r="1353" spans="1:9" ht="48" customHeight="1">
      <c r="A1353" s="3" t="s">
        <v>66</v>
      </c>
      <c r="B1353" s="3" t="s">
        <v>65</v>
      </c>
      <c r="C1353" s="4">
        <v>46174</v>
      </c>
      <c r="D1353" s="4">
        <v>46203</v>
      </c>
      <c r="E1353" s="3" t="s">
        <v>205</v>
      </c>
      <c r="F1353" s="3" t="s">
        <v>229</v>
      </c>
      <c r="G1353" s="5">
        <v>1E-3</v>
      </c>
      <c r="H1353" s="6" t="s">
        <v>74</v>
      </c>
      <c r="I1353" s="3" t="s">
        <v>45</v>
      </c>
    </row>
    <row r="1354" spans="1:9" ht="48" customHeight="1">
      <c r="A1354" s="3" t="s">
        <v>66</v>
      </c>
      <c r="B1354" s="3" t="s">
        <v>65</v>
      </c>
      <c r="C1354" s="4">
        <v>46174</v>
      </c>
      <c r="D1354" s="4">
        <v>46203</v>
      </c>
      <c r="E1354" s="3" t="s">
        <v>205</v>
      </c>
      <c r="F1354" s="3" t="s">
        <v>230</v>
      </c>
      <c r="G1354" s="5">
        <v>1E-3</v>
      </c>
      <c r="H1354" s="6" t="s">
        <v>74</v>
      </c>
      <c r="I1354" s="3" t="s">
        <v>45</v>
      </c>
    </row>
    <row r="1355" spans="1:9" ht="48" customHeight="1">
      <c r="A1355" s="3" t="s">
        <v>66</v>
      </c>
      <c r="B1355" s="3" t="s">
        <v>65</v>
      </c>
      <c r="C1355" s="4">
        <v>46174</v>
      </c>
      <c r="D1355" s="4">
        <v>46203</v>
      </c>
      <c r="E1355" s="3" t="s">
        <v>231</v>
      </c>
      <c r="F1355" s="3" t="s">
        <v>232</v>
      </c>
      <c r="G1355" s="5">
        <v>1.8000000000000002E-2</v>
      </c>
      <c r="H1355" s="6" t="s">
        <v>74</v>
      </c>
      <c r="I1355" s="3" t="s">
        <v>45</v>
      </c>
    </row>
    <row r="1356" spans="1:9" ht="48" customHeight="1">
      <c r="A1356" s="3" t="s">
        <v>66</v>
      </c>
      <c r="B1356" s="3" t="s">
        <v>65</v>
      </c>
      <c r="C1356" s="4">
        <v>46174</v>
      </c>
      <c r="D1356" s="4">
        <v>46203</v>
      </c>
      <c r="E1356" s="3" t="s">
        <v>231</v>
      </c>
      <c r="F1356" s="3" t="s">
        <v>233</v>
      </c>
      <c r="G1356" s="5">
        <v>1.6E-2</v>
      </c>
      <c r="H1356" s="6" t="s">
        <v>74</v>
      </c>
      <c r="I1356" s="3" t="s">
        <v>45</v>
      </c>
    </row>
    <row r="1357" spans="1:9" ht="48" customHeight="1">
      <c r="A1357" s="3" t="s">
        <v>66</v>
      </c>
      <c r="B1357" s="3" t="s">
        <v>65</v>
      </c>
      <c r="C1357" s="4">
        <v>46174</v>
      </c>
      <c r="D1357" s="4">
        <v>46203</v>
      </c>
      <c r="E1357" s="3" t="s">
        <v>231</v>
      </c>
      <c r="F1357" s="3" t="s">
        <v>230</v>
      </c>
      <c r="G1357" s="5">
        <v>8.0000000000000002E-3</v>
      </c>
      <c r="H1357" s="6" t="s">
        <v>74</v>
      </c>
      <c r="I1357" s="3" t="s">
        <v>45</v>
      </c>
    </row>
    <row r="1358" spans="1:9" ht="48" customHeight="1">
      <c r="A1358" s="3" t="s">
        <v>66</v>
      </c>
      <c r="B1358" s="3" t="s">
        <v>65</v>
      </c>
      <c r="C1358" s="4">
        <v>46174</v>
      </c>
      <c r="D1358" s="4">
        <v>46203</v>
      </c>
      <c r="E1358" s="3" t="s">
        <v>231</v>
      </c>
      <c r="F1358" s="3" t="s">
        <v>234</v>
      </c>
      <c r="G1358" s="5">
        <v>6.9999999999999993E-3</v>
      </c>
      <c r="H1358" s="6" t="s">
        <v>74</v>
      </c>
      <c r="I1358" s="3" t="s">
        <v>45</v>
      </c>
    </row>
    <row r="1359" spans="1:9" ht="48" customHeight="1">
      <c r="A1359" s="3" t="s">
        <v>66</v>
      </c>
      <c r="B1359" s="3" t="s">
        <v>65</v>
      </c>
      <c r="C1359" s="4">
        <v>46174</v>
      </c>
      <c r="D1359" s="4">
        <v>46203</v>
      </c>
      <c r="E1359" s="3" t="s">
        <v>231</v>
      </c>
      <c r="F1359" s="3" t="s">
        <v>235</v>
      </c>
      <c r="G1359" s="5">
        <v>6.0000000000000001E-3</v>
      </c>
      <c r="H1359" s="6" t="s">
        <v>74</v>
      </c>
      <c r="I1359" s="3" t="s">
        <v>45</v>
      </c>
    </row>
    <row r="1360" spans="1:9" ht="48" customHeight="1">
      <c r="A1360" s="3" t="s">
        <v>66</v>
      </c>
      <c r="B1360" s="3" t="s">
        <v>65</v>
      </c>
      <c r="C1360" s="4">
        <v>46174</v>
      </c>
      <c r="D1360" s="4">
        <v>46203</v>
      </c>
      <c r="E1360" s="3" t="s">
        <v>236</v>
      </c>
      <c r="F1360" s="3" t="s">
        <v>232</v>
      </c>
      <c r="G1360" s="5">
        <v>9.0000000000000011E-3</v>
      </c>
      <c r="H1360" s="6" t="s">
        <v>74</v>
      </c>
      <c r="I1360" s="3" t="s">
        <v>45</v>
      </c>
    </row>
    <row r="1361" spans="1:9" ht="48" customHeight="1">
      <c r="A1361" s="3" t="s">
        <v>66</v>
      </c>
      <c r="B1361" s="3" t="s">
        <v>65</v>
      </c>
      <c r="C1361" s="4">
        <v>46174</v>
      </c>
      <c r="D1361" s="4">
        <v>46203</v>
      </c>
      <c r="E1361" s="3" t="s">
        <v>236</v>
      </c>
      <c r="F1361" s="3" t="s">
        <v>237</v>
      </c>
      <c r="G1361" s="5">
        <v>6.0000000000000001E-3</v>
      </c>
      <c r="H1361" s="6" t="s">
        <v>74</v>
      </c>
      <c r="I1361" s="3" t="s">
        <v>45</v>
      </c>
    </row>
    <row r="1362" spans="1:9" ht="48" customHeight="1">
      <c r="A1362" s="3" t="s">
        <v>66</v>
      </c>
      <c r="B1362" s="3" t="s">
        <v>65</v>
      </c>
      <c r="C1362" s="4">
        <v>46174</v>
      </c>
      <c r="D1362" s="4">
        <v>46203</v>
      </c>
      <c r="E1362" s="3" t="s">
        <v>236</v>
      </c>
      <c r="F1362" s="3" t="s">
        <v>238</v>
      </c>
      <c r="G1362" s="5">
        <v>6.0000000000000001E-3</v>
      </c>
      <c r="H1362" s="6" t="s">
        <v>74</v>
      </c>
      <c r="I1362" s="3" t="s">
        <v>45</v>
      </c>
    </row>
    <row r="1363" spans="1:9" ht="48" customHeight="1">
      <c r="A1363" s="3" t="s">
        <v>66</v>
      </c>
      <c r="B1363" s="3" t="s">
        <v>65</v>
      </c>
      <c r="C1363" s="4">
        <v>46174</v>
      </c>
      <c r="D1363" s="4">
        <v>46203</v>
      </c>
      <c r="E1363" s="3" t="s">
        <v>236</v>
      </c>
      <c r="F1363" s="3" t="s">
        <v>239</v>
      </c>
      <c r="G1363" s="5">
        <v>6.0000000000000001E-3</v>
      </c>
      <c r="H1363" s="6" t="s">
        <v>74</v>
      </c>
      <c r="I1363" s="3" t="s">
        <v>45</v>
      </c>
    </row>
    <row r="1364" spans="1:9" ht="48" customHeight="1">
      <c r="A1364" s="3" t="s">
        <v>66</v>
      </c>
      <c r="B1364" s="3" t="s">
        <v>65</v>
      </c>
      <c r="C1364" s="4">
        <v>46174</v>
      </c>
      <c r="D1364" s="4">
        <v>46203</v>
      </c>
      <c r="E1364" s="3" t="s">
        <v>236</v>
      </c>
      <c r="F1364" s="3" t="s">
        <v>240</v>
      </c>
      <c r="G1364" s="5">
        <v>5.0000000000000001E-3</v>
      </c>
      <c r="H1364" s="6" t="s">
        <v>74</v>
      </c>
      <c r="I1364" s="3" t="s">
        <v>45</v>
      </c>
    </row>
    <row r="1365" spans="1:9" ht="48" customHeight="1">
      <c r="A1365" s="3" t="s">
        <v>66</v>
      </c>
      <c r="B1365" s="3" t="s">
        <v>65</v>
      </c>
      <c r="C1365" s="4">
        <v>46174</v>
      </c>
      <c r="D1365" s="4">
        <v>46203</v>
      </c>
      <c r="E1365" s="3" t="s">
        <v>236</v>
      </c>
      <c r="F1365" s="3" t="s">
        <v>241</v>
      </c>
      <c r="G1365" s="5">
        <v>3.0000000000000001E-3</v>
      </c>
      <c r="H1365" s="6" t="s">
        <v>74</v>
      </c>
      <c r="I1365" s="3" t="s">
        <v>45</v>
      </c>
    </row>
    <row r="1366" spans="1:9" ht="48" customHeight="1">
      <c r="A1366" s="3" t="s">
        <v>66</v>
      </c>
      <c r="B1366" s="3" t="s">
        <v>65</v>
      </c>
      <c r="C1366" s="4">
        <v>46174</v>
      </c>
      <c r="D1366" s="4">
        <v>46203</v>
      </c>
      <c r="E1366" s="3" t="s">
        <v>236</v>
      </c>
      <c r="F1366" s="3" t="s">
        <v>230</v>
      </c>
      <c r="G1366" s="5">
        <v>2E-3</v>
      </c>
      <c r="H1366" s="6" t="s">
        <v>74</v>
      </c>
      <c r="I1366" s="3" t="s">
        <v>45</v>
      </c>
    </row>
    <row r="1367" spans="1:9" ht="48" customHeight="1">
      <c r="A1367" s="3" t="s">
        <v>66</v>
      </c>
      <c r="B1367" s="3" t="s">
        <v>65</v>
      </c>
      <c r="C1367" s="4">
        <v>46174</v>
      </c>
      <c r="D1367" s="4">
        <v>46203</v>
      </c>
      <c r="E1367" s="3" t="s">
        <v>236</v>
      </c>
      <c r="F1367" s="3" t="s">
        <v>234</v>
      </c>
      <c r="G1367" s="5">
        <v>1E-3</v>
      </c>
      <c r="H1367" s="6" t="s">
        <v>74</v>
      </c>
      <c r="I1367" s="3" t="s">
        <v>45</v>
      </c>
    </row>
    <row r="1368" spans="1:9" ht="48" customHeight="1">
      <c r="A1368" s="3" t="s">
        <v>66</v>
      </c>
      <c r="B1368" s="3" t="s">
        <v>65</v>
      </c>
      <c r="C1368" s="4">
        <v>46174</v>
      </c>
      <c r="D1368" s="4">
        <v>46203</v>
      </c>
      <c r="E1368" s="3" t="s">
        <v>236</v>
      </c>
      <c r="F1368" s="3" t="s">
        <v>242</v>
      </c>
      <c r="G1368" s="5">
        <v>1E-3</v>
      </c>
      <c r="H1368" s="6" t="s">
        <v>74</v>
      </c>
      <c r="I1368" s="3" t="s">
        <v>45</v>
      </c>
    </row>
    <row r="1369" spans="1:9" ht="48" customHeight="1">
      <c r="A1369" s="3" t="s">
        <v>66</v>
      </c>
      <c r="B1369" s="3" t="s">
        <v>65</v>
      </c>
      <c r="C1369" s="4">
        <v>46174</v>
      </c>
      <c r="D1369" s="4">
        <v>46203</v>
      </c>
      <c r="E1369" s="3" t="s">
        <v>236</v>
      </c>
      <c r="F1369" s="3" t="s">
        <v>243</v>
      </c>
      <c r="G1369" s="5">
        <v>0</v>
      </c>
      <c r="H1369" s="6" t="s">
        <v>74</v>
      </c>
      <c r="I1369" s="3" t="s">
        <v>45</v>
      </c>
    </row>
    <row r="1370" spans="1:9" ht="48" customHeight="1">
      <c r="A1370" s="3" t="s">
        <v>66</v>
      </c>
      <c r="B1370" s="3" t="s">
        <v>65</v>
      </c>
      <c r="C1370" s="4">
        <v>46174</v>
      </c>
      <c r="D1370" s="4">
        <v>46203</v>
      </c>
      <c r="E1370" s="3" t="s">
        <v>244</v>
      </c>
      <c r="F1370" s="3" t="s">
        <v>245</v>
      </c>
      <c r="G1370" s="5">
        <v>6.9999999999999993E-3</v>
      </c>
      <c r="H1370" s="6" t="s">
        <v>74</v>
      </c>
      <c r="I1370" s="3" t="s">
        <v>45</v>
      </c>
    </row>
    <row r="1371" spans="1:9" ht="48" customHeight="1">
      <c r="A1371" s="3" t="s">
        <v>66</v>
      </c>
      <c r="B1371" s="3" t="s">
        <v>65</v>
      </c>
      <c r="C1371" s="4">
        <v>46174</v>
      </c>
      <c r="D1371" s="4">
        <v>46203</v>
      </c>
      <c r="E1371" s="3" t="s">
        <v>244</v>
      </c>
      <c r="F1371" s="3" t="s">
        <v>246</v>
      </c>
      <c r="G1371" s="5">
        <v>5.0000000000000001E-3</v>
      </c>
      <c r="H1371" s="6" t="s">
        <v>74</v>
      </c>
      <c r="I1371" s="3" t="s">
        <v>45</v>
      </c>
    </row>
    <row r="1372" spans="1:9" ht="48" customHeight="1">
      <c r="A1372" s="3" t="s">
        <v>66</v>
      </c>
      <c r="B1372" s="3" t="s">
        <v>65</v>
      </c>
      <c r="C1372" s="4">
        <v>46174</v>
      </c>
      <c r="D1372" s="4">
        <v>46203</v>
      </c>
      <c r="E1372" s="3" t="s">
        <v>244</v>
      </c>
      <c r="F1372" s="3" t="s">
        <v>247</v>
      </c>
      <c r="G1372" s="5">
        <v>4.0000000000000001E-3</v>
      </c>
      <c r="H1372" s="6" t="s">
        <v>74</v>
      </c>
      <c r="I1372" s="3" t="s">
        <v>45</v>
      </c>
    </row>
    <row r="1373" spans="1:9" ht="48" customHeight="1">
      <c r="A1373" s="3" t="s">
        <v>66</v>
      </c>
      <c r="B1373" s="3" t="s">
        <v>65</v>
      </c>
      <c r="C1373" s="4">
        <v>46174</v>
      </c>
      <c r="D1373" s="4">
        <v>46203</v>
      </c>
      <c r="E1373" s="3" t="s">
        <v>244</v>
      </c>
      <c r="F1373" s="3" t="s">
        <v>248</v>
      </c>
      <c r="G1373" s="5">
        <v>3.0000000000000001E-3</v>
      </c>
      <c r="H1373" s="6" t="s">
        <v>74</v>
      </c>
      <c r="I1373" s="3" t="s">
        <v>45</v>
      </c>
    </row>
    <row r="1374" spans="1:9" ht="48" customHeight="1">
      <c r="A1374" s="3" t="s">
        <v>66</v>
      </c>
      <c r="B1374" s="3" t="s">
        <v>65</v>
      </c>
      <c r="C1374" s="4">
        <v>46174</v>
      </c>
      <c r="D1374" s="4">
        <v>46203</v>
      </c>
      <c r="E1374" s="3" t="s">
        <v>244</v>
      </c>
      <c r="F1374" s="3" t="s">
        <v>249</v>
      </c>
      <c r="G1374" s="5">
        <v>2E-3</v>
      </c>
      <c r="H1374" s="6" t="s">
        <v>74</v>
      </c>
      <c r="I1374" s="3" t="s">
        <v>45</v>
      </c>
    </row>
    <row r="1375" spans="1:9" ht="48" customHeight="1">
      <c r="A1375" s="3" t="s">
        <v>66</v>
      </c>
      <c r="B1375" s="3" t="s">
        <v>65</v>
      </c>
      <c r="C1375" s="4">
        <v>46174</v>
      </c>
      <c r="D1375" s="4">
        <v>46203</v>
      </c>
      <c r="E1375" s="3" t="s">
        <v>244</v>
      </c>
      <c r="F1375" s="3" t="s">
        <v>250</v>
      </c>
      <c r="G1375" s="5">
        <v>1E-3</v>
      </c>
      <c r="H1375" s="6" t="s">
        <v>74</v>
      </c>
      <c r="I1375" s="3" t="s">
        <v>45</v>
      </c>
    </row>
    <row r="1376" spans="1:9" ht="48" customHeight="1">
      <c r="A1376" s="3" t="s">
        <v>66</v>
      </c>
      <c r="B1376" s="3" t="s">
        <v>65</v>
      </c>
      <c r="C1376" s="4">
        <v>46174</v>
      </c>
      <c r="D1376" s="4">
        <v>46203</v>
      </c>
      <c r="E1376" s="3" t="s">
        <v>244</v>
      </c>
      <c r="F1376" s="3" t="s">
        <v>251</v>
      </c>
      <c r="G1376" s="5">
        <v>1E-3</v>
      </c>
      <c r="H1376" s="6" t="s">
        <v>74</v>
      </c>
      <c r="I1376" s="3" t="s">
        <v>45</v>
      </c>
    </row>
    <row r="1377" spans="1:9" ht="48" customHeight="1">
      <c r="A1377" s="3" t="s">
        <v>66</v>
      </c>
      <c r="B1377" s="3" t="s">
        <v>65</v>
      </c>
      <c r="C1377" s="4">
        <v>46174</v>
      </c>
      <c r="D1377" s="4">
        <v>46203</v>
      </c>
      <c r="E1377" s="3" t="s">
        <v>244</v>
      </c>
      <c r="F1377" s="3" t="s">
        <v>252</v>
      </c>
      <c r="G1377" s="5">
        <v>1E-3</v>
      </c>
      <c r="H1377" s="6" t="s">
        <v>74</v>
      </c>
      <c r="I1377" s="3" t="s">
        <v>45</v>
      </c>
    </row>
    <row r="1378" spans="1:9" ht="48" customHeight="1">
      <c r="A1378" s="3" t="s">
        <v>66</v>
      </c>
      <c r="B1378" s="3" t="s">
        <v>65</v>
      </c>
      <c r="C1378" s="4">
        <v>46174</v>
      </c>
      <c r="D1378" s="4">
        <v>46203</v>
      </c>
      <c r="E1378" s="3" t="s">
        <v>244</v>
      </c>
      <c r="F1378" s="3" t="s">
        <v>253</v>
      </c>
      <c r="G1378" s="5">
        <v>1E-3</v>
      </c>
      <c r="H1378" s="6" t="s">
        <v>74</v>
      </c>
      <c r="I1378" s="3" t="s">
        <v>45</v>
      </c>
    </row>
    <row r="1379" spans="1:9" ht="48" customHeight="1">
      <c r="A1379" s="3" t="s">
        <v>66</v>
      </c>
      <c r="B1379" s="3" t="s">
        <v>65</v>
      </c>
      <c r="C1379" s="4">
        <v>46174</v>
      </c>
      <c r="D1379" s="4">
        <v>46203</v>
      </c>
      <c r="E1379" s="3" t="s">
        <v>244</v>
      </c>
      <c r="F1379" s="3" t="s">
        <v>254</v>
      </c>
      <c r="G1379" s="5">
        <v>1E-3</v>
      </c>
      <c r="H1379" s="6" t="s">
        <v>74</v>
      </c>
      <c r="I1379" s="3" t="s">
        <v>45</v>
      </c>
    </row>
    <row r="1380" spans="1:9" ht="48" customHeight="1">
      <c r="A1380" s="3" t="s">
        <v>66</v>
      </c>
      <c r="B1380" s="3" t="s">
        <v>65</v>
      </c>
      <c r="C1380" s="4">
        <v>46174</v>
      </c>
      <c r="D1380" s="4">
        <v>46203</v>
      </c>
      <c r="E1380" s="3" t="s">
        <v>244</v>
      </c>
      <c r="F1380" s="3" t="s">
        <v>255</v>
      </c>
      <c r="G1380" s="5">
        <v>0</v>
      </c>
      <c r="H1380" s="6" t="s">
        <v>74</v>
      </c>
      <c r="I1380" s="3" t="s">
        <v>45</v>
      </c>
    </row>
    <row r="1381" spans="1:9" ht="48" customHeight="1">
      <c r="A1381" s="3" t="s">
        <v>66</v>
      </c>
      <c r="B1381" s="3" t="s">
        <v>65</v>
      </c>
      <c r="C1381" s="4">
        <v>46174</v>
      </c>
      <c r="D1381" s="4">
        <v>46203</v>
      </c>
      <c r="E1381" s="3" t="s">
        <v>244</v>
      </c>
      <c r="F1381" s="3" t="s">
        <v>256</v>
      </c>
      <c r="G1381" s="5">
        <v>0</v>
      </c>
      <c r="H1381" s="6" t="s">
        <v>74</v>
      </c>
      <c r="I1381" s="3" t="s">
        <v>45</v>
      </c>
    </row>
    <row r="1382" spans="1:9" ht="48" customHeight="1">
      <c r="A1382" s="3" t="s">
        <v>66</v>
      </c>
      <c r="B1382" s="3" t="s">
        <v>65</v>
      </c>
      <c r="C1382" s="4">
        <v>46174</v>
      </c>
      <c r="D1382" s="4">
        <v>46203</v>
      </c>
      <c r="E1382" s="3" t="s">
        <v>244</v>
      </c>
      <c r="F1382" s="3" t="s">
        <v>257</v>
      </c>
      <c r="G1382" s="5">
        <v>0</v>
      </c>
      <c r="H1382" s="6" t="s">
        <v>74</v>
      </c>
      <c r="I1382" s="3" t="s">
        <v>45</v>
      </c>
    </row>
    <row r="1383" spans="1:9" ht="48" customHeight="1">
      <c r="A1383" s="3" t="s">
        <v>66</v>
      </c>
      <c r="B1383" s="3" t="s">
        <v>65</v>
      </c>
      <c r="C1383" s="4">
        <v>46174</v>
      </c>
      <c r="D1383" s="4">
        <v>46203</v>
      </c>
      <c r="E1383" s="3" t="s">
        <v>244</v>
      </c>
      <c r="F1383" s="3" t="s">
        <v>258</v>
      </c>
      <c r="G1383" s="5">
        <v>0</v>
      </c>
      <c r="H1383" s="6" t="s">
        <v>74</v>
      </c>
      <c r="I1383" s="3" t="s">
        <v>45</v>
      </c>
    </row>
    <row r="1384" spans="1:9" ht="48" customHeight="1">
      <c r="A1384" s="3" t="s">
        <v>66</v>
      </c>
      <c r="B1384" s="3" t="s">
        <v>65</v>
      </c>
      <c r="C1384" s="4">
        <v>46174</v>
      </c>
      <c r="D1384" s="4">
        <v>46203</v>
      </c>
      <c r="E1384" s="3" t="s">
        <v>244</v>
      </c>
      <c r="F1384" s="3" t="s">
        <v>259</v>
      </c>
      <c r="G1384" s="5">
        <v>0</v>
      </c>
      <c r="H1384" s="6" t="s">
        <v>74</v>
      </c>
      <c r="I1384" s="3" t="s">
        <v>45</v>
      </c>
    </row>
    <row r="1385" spans="1:9" ht="48" customHeight="1">
      <c r="A1385" s="3" t="s">
        <v>66</v>
      </c>
      <c r="B1385" s="3" t="s">
        <v>65</v>
      </c>
      <c r="C1385" s="4">
        <v>46174</v>
      </c>
      <c r="D1385" s="4">
        <v>46203</v>
      </c>
      <c r="E1385" s="3" t="s">
        <v>260</v>
      </c>
      <c r="F1385" s="3" t="s">
        <v>261</v>
      </c>
      <c r="G1385" s="5">
        <v>4.0000000000000001E-3</v>
      </c>
      <c r="H1385" s="6" t="s">
        <v>74</v>
      </c>
      <c r="I1385" s="3" t="s">
        <v>45</v>
      </c>
    </row>
    <row r="1386" spans="1:9" ht="48" customHeight="1">
      <c r="A1386" s="3" t="s">
        <v>66</v>
      </c>
      <c r="B1386" s="3" t="s">
        <v>65</v>
      </c>
      <c r="C1386" s="4">
        <v>46174</v>
      </c>
      <c r="D1386" s="4">
        <v>46203</v>
      </c>
      <c r="E1386" s="3" t="s">
        <v>260</v>
      </c>
      <c r="F1386" s="3" t="s">
        <v>262</v>
      </c>
      <c r="G1386" s="5">
        <v>3.0000000000000001E-3</v>
      </c>
      <c r="H1386" s="6" t="s">
        <v>74</v>
      </c>
      <c r="I1386" s="3" t="s">
        <v>45</v>
      </c>
    </row>
    <row r="1387" spans="1:9" ht="48" customHeight="1">
      <c r="A1387" s="3" t="s">
        <v>66</v>
      </c>
      <c r="B1387" s="3" t="s">
        <v>65</v>
      </c>
      <c r="C1387" s="4">
        <v>46174</v>
      </c>
      <c r="D1387" s="4">
        <v>46203</v>
      </c>
      <c r="E1387" s="3" t="s">
        <v>260</v>
      </c>
      <c r="F1387" s="3" t="s">
        <v>232</v>
      </c>
      <c r="G1387" s="5">
        <v>2E-3</v>
      </c>
      <c r="H1387" s="6" t="s">
        <v>74</v>
      </c>
      <c r="I1387" s="3" t="s">
        <v>45</v>
      </c>
    </row>
    <row r="1388" spans="1:9" ht="48" customHeight="1">
      <c r="A1388" s="3" t="s">
        <v>66</v>
      </c>
      <c r="B1388" s="3" t="s">
        <v>65</v>
      </c>
      <c r="C1388" s="4">
        <v>46174</v>
      </c>
      <c r="D1388" s="4">
        <v>46203</v>
      </c>
      <c r="E1388" s="3" t="s">
        <v>260</v>
      </c>
      <c r="F1388" s="3" t="s">
        <v>263</v>
      </c>
      <c r="G1388" s="5">
        <v>2E-3</v>
      </c>
      <c r="H1388" s="6" t="s">
        <v>74</v>
      </c>
      <c r="I1388" s="3" t="s">
        <v>45</v>
      </c>
    </row>
    <row r="1389" spans="1:9" ht="48" customHeight="1">
      <c r="A1389" s="3" t="s">
        <v>66</v>
      </c>
      <c r="B1389" s="3" t="s">
        <v>65</v>
      </c>
      <c r="C1389" s="4">
        <v>46174</v>
      </c>
      <c r="D1389" s="4">
        <v>46203</v>
      </c>
      <c r="E1389" s="3" t="s">
        <v>260</v>
      </c>
      <c r="F1389" s="3" t="s">
        <v>234</v>
      </c>
      <c r="G1389" s="5">
        <v>1E-3</v>
      </c>
      <c r="H1389" s="6" t="s">
        <v>74</v>
      </c>
      <c r="I1389" s="3" t="s">
        <v>45</v>
      </c>
    </row>
    <row r="1390" spans="1:9" ht="48" customHeight="1">
      <c r="A1390" s="3" t="s">
        <v>66</v>
      </c>
      <c r="B1390" s="3" t="s">
        <v>65</v>
      </c>
      <c r="C1390" s="4">
        <v>46174</v>
      </c>
      <c r="D1390" s="4">
        <v>46203</v>
      </c>
      <c r="E1390" s="3" t="s">
        <v>260</v>
      </c>
      <c r="F1390" s="3" t="s">
        <v>265</v>
      </c>
      <c r="G1390" s="5">
        <v>1E-3</v>
      </c>
      <c r="H1390" s="6" t="s">
        <v>74</v>
      </c>
      <c r="I1390" s="3" t="s">
        <v>45</v>
      </c>
    </row>
    <row r="1391" spans="1:9" ht="48" customHeight="1">
      <c r="A1391" s="3" t="s">
        <v>66</v>
      </c>
      <c r="B1391" s="3" t="s">
        <v>65</v>
      </c>
      <c r="C1391" s="4">
        <v>46174</v>
      </c>
      <c r="D1391" s="4">
        <v>46203</v>
      </c>
      <c r="E1391" s="3" t="s">
        <v>260</v>
      </c>
      <c r="F1391" s="3" t="s">
        <v>266</v>
      </c>
      <c r="G1391" s="5">
        <v>1E-3</v>
      </c>
      <c r="H1391" s="6" t="s">
        <v>74</v>
      </c>
      <c r="I1391" s="3" t="s">
        <v>45</v>
      </c>
    </row>
    <row r="1392" spans="1:9" ht="48" customHeight="1">
      <c r="A1392" s="3" t="s">
        <v>66</v>
      </c>
      <c r="B1392" s="3" t="s">
        <v>65</v>
      </c>
      <c r="C1392" s="4">
        <v>46174</v>
      </c>
      <c r="D1392" s="4">
        <v>46203</v>
      </c>
      <c r="E1392" s="3" t="s">
        <v>260</v>
      </c>
      <c r="F1392" s="3" t="s">
        <v>264</v>
      </c>
      <c r="G1392" s="5">
        <v>1E-3</v>
      </c>
      <c r="H1392" s="6" t="s">
        <v>74</v>
      </c>
      <c r="I1392" s="3" t="s">
        <v>45</v>
      </c>
    </row>
    <row r="1393" spans="1:9" ht="48" customHeight="1">
      <c r="A1393" s="3" t="s">
        <v>66</v>
      </c>
      <c r="B1393" s="3" t="s">
        <v>65</v>
      </c>
      <c r="C1393" s="4">
        <v>46174</v>
      </c>
      <c r="D1393" s="4">
        <v>46203</v>
      </c>
      <c r="E1393" s="3" t="s">
        <v>260</v>
      </c>
      <c r="F1393" s="3" t="s">
        <v>267</v>
      </c>
      <c r="G1393" s="5">
        <v>1E-3</v>
      </c>
      <c r="H1393" s="6" t="s">
        <v>74</v>
      </c>
      <c r="I1393" s="3" t="s">
        <v>45</v>
      </c>
    </row>
    <row r="1394" spans="1:9" ht="48" customHeight="1">
      <c r="A1394" s="3" t="s">
        <v>66</v>
      </c>
      <c r="B1394" s="3" t="s">
        <v>65</v>
      </c>
      <c r="C1394" s="4">
        <v>46174</v>
      </c>
      <c r="D1394" s="4">
        <v>46203</v>
      </c>
      <c r="E1394" s="3" t="s">
        <v>260</v>
      </c>
      <c r="F1394" s="3" t="s">
        <v>268</v>
      </c>
      <c r="G1394" s="5">
        <v>1E-3</v>
      </c>
      <c r="H1394" s="6" t="s">
        <v>74</v>
      </c>
      <c r="I1394" s="3" t="s">
        <v>45</v>
      </c>
    </row>
    <row r="1395" spans="1:9" ht="48" customHeight="1">
      <c r="A1395" s="3" t="s">
        <v>66</v>
      </c>
      <c r="B1395" s="3" t="s">
        <v>65</v>
      </c>
      <c r="C1395" s="4">
        <v>46174</v>
      </c>
      <c r="D1395" s="4">
        <v>46203</v>
      </c>
      <c r="E1395" s="3" t="s">
        <v>260</v>
      </c>
      <c r="F1395" s="3" t="s">
        <v>270</v>
      </c>
      <c r="G1395" s="5">
        <v>1E-3</v>
      </c>
      <c r="H1395" s="6" t="s">
        <v>74</v>
      </c>
      <c r="I1395" s="3" t="s">
        <v>45</v>
      </c>
    </row>
    <row r="1396" spans="1:9" ht="48" customHeight="1">
      <c r="A1396" s="3" t="s">
        <v>66</v>
      </c>
      <c r="B1396" s="3" t="s">
        <v>65</v>
      </c>
      <c r="C1396" s="4">
        <v>46174</v>
      </c>
      <c r="D1396" s="4">
        <v>46203</v>
      </c>
      <c r="E1396" s="3" t="s">
        <v>260</v>
      </c>
      <c r="F1396" s="3" t="s">
        <v>271</v>
      </c>
      <c r="G1396" s="5">
        <v>1E-3</v>
      </c>
      <c r="H1396" s="6" t="s">
        <v>74</v>
      </c>
      <c r="I1396" s="3" t="s">
        <v>45</v>
      </c>
    </row>
    <row r="1397" spans="1:9" ht="48" customHeight="1">
      <c r="A1397" s="3" t="s">
        <v>66</v>
      </c>
      <c r="B1397" s="3" t="s">
        <v>65</v>
      </c>
      <c r="C1397" s="4">
        <v>46174</v>
      </c>
      <c r="D1397" s="4">
        <v>46203</v>
      </c>
      <c r="E1397" s="3" t="s">
        <v>260</v>
      </c>
      <c r="F1397" s="3" t="s">
        <v>272</v>
      </c>
      <c r="G1397" s="5">
        <v>1E-3</v>
      </c>
      <c r="H1397" s="6" t="s">
        <v>74</v>
      </c>
      <c r="I1397" s="3" t="s">
        <v>45</v>
      </c>
    </row>
    <row r="1398" spans="1:9" ht="48" customHeight="1">
      <c r="A1398" s="3" t="s">
        <v>66</v>
      </c>
      <c r="B1398" s="3" t="s">
        <v>65</v>
      </c>
      <c r="C1398" s="4">
        <v>46174</v>
      </c>
      <c r="D1398" s="4">
        <v>46203</v>
      </c>
      <c r="E1398" s="3" t="s">
        <v>260</v>
      </c>
      <c r="F1398" s="3" t="s">
        <v>282</v>
      </c>
      <c r="G1398" s="5">
        <v>1E-3</v>
      </c>
      <c r="H1398" s="6" t="s">
        <v>74</v>
      </c>
      <c r="I1398" s="3" t="s">
        <v>45</v>
      </c>
    </row>
    <row r="1399" spans="1:9" ht="48" customHeight="1">
      <c r="A1399" s="3" t="s">
        <v>66</v>
      </c>
      <c r="B1399" s="3" t="s">
        <v>65</v>
      </c>
      <c r="C1399" s="4">
        <v>46174</v>
      </c>
      <c r="D1399" s="4">
        <v>46203</v>
      </c>
      <c r="E1399" s="3" t="s">
        <v>260</v>
      </c>
      <c r="F1399" s="3" t="s">
        <v>273</v>
      </c>
      <c r="G1399" s="5">
        <v>0</v>
      </c>
      <c r="H1399" s="6" t="s">
        <v>74</v>
      </c>
      <c r="I1399" s="3" t="s">
        <v>45</v>
      </c>
    </row>
    <row r="1400" spans="1:9" ht="48" customHeight="1">
      <c r="A1400" s="3" t="s">
        <v>66</v>
      </c>
      <c r="B1400" s="3" t="s">
        <v>65</v>
      </c>
      <c r="C1400" s="4">
        <v>46174</v>
      </c>
      <c r="D1400" s="4">
        <v>46203</v>
      </c>
      <c r="E1400" s="3" t="s">
        <v>260</v>
      </c>
      <c r="F1400" s="3" t="s">
        <v>274</v>
      </c>
      <c r="G1400" s="5">
        <v>0</v>
      </c>
      <c r="H1400" s="6" t="s">
        <v>74</v>
      </c>
      <c r="I1400" s="3" t="s">
        <v>45</v>
      </c>
    </row>
    <row r="1401" spans="1:9" ht="48" customHeight="1">
      <c r="A1401" s="3" t="s">
        <v>66</v>
      </c>
      <c r="B1401" s="3" t="s">
        <v>65</v>
      </c>
      <c r="C1401" s="4">
        <v>46174</v>
      </c>
      <c r="D1401" s="4">
        <v>46203</v>
      </c>
      <c r="E1401" s="3" t="s">
        <v>260</v>
      </c>
      <c r="F1401" s="3" t="s">
        <v>275</v>
      </c>
      <c r="G1401" s="5">
        <v>0</v>
      </c>
      <c r="H1401" s="6" t="s">
        <v>74</v>
      </c>
      <c r="I1401" s="3" t="s">
        <v>45</v>
      </c>
    </row>
    <row r="1402" spans="1:9" ht="48" customHeight="1">
      <c r="A1402" s="3" t="s">
        <v>66</v>
      </c>
      <c r="B1402" s="3" t="s">
        <v>65</v>
      </c>
      <c r="C1402" s="4">
        <v>46174</v>
      </c>
      <c r="D1402" s="4">
        <v>46203</v>
      </c>
      <c r="E1402" s="3" t="s">
        <v>260</v>
      </c>
      <c r="F1402" s="3" t="s">
        <v>276</v>
      </c>
      <c r="G1402" s="5">
        <v>0</v>
      </c>
      <c r="H1402" s="6" t="s">
        <v>74</v>
      </c>
      <c r="I1402" s="3" t="s">
        <v>45</v>
      </c>
    </row>
    <row r="1403" spans="1:9" ht="48" customHeight="1">
      <c r="A1403" s="3" t="s">
        <v>66</v>
      </c>
      <c r="B1403" s="3" t="s">
        <v>65</v>
      </c>
      <c r="C1403" s="4">
        <v>46174</v>
      </c>
      <c r="D1403" s="4">
        <v>46203</v>
      </c>
      <c r="E1403" s="3" t="s">
        <v>260</v>
      </c>
      <c r="F1403" s="3" t="s">
        <v>277</v>
      </c>
      <c r="G1403" s="5">
        <v>0</v>
      </c>
      <c r="H1403" s="6" t="s">
        <v>74</v>
      </c>
      <c r="I1403" s="3" t="s">
        <v>45</v>
      </c>
    </row>
    <row r="1404" spans="1:9" ht="48" customHeight="1">
      <c r="A1404" s="3" t="s">
        <v>66</v>
      </c>
      <c r="B1404" s="3" t="s">
        <v>65</v>
      </c>
      <c r="C1404" s="4">
        <v>46174</v>
      </c>
      <c r="D1404" s="4">
        <v>46203</v>
      </c>
      <c r="E1404" s="3" t="s">
        <v>260</v>
      </c>
      <c r="F1404" s="3" t="s">
        <v>278</v>
      </c>
      <c r="G1404" s="5">
        <v>0</v>
      </c>
      <c r="H1404" s="6" t="s">
        <v>74</v>
      </c>
      <c r="I1404" s="3" t="s">
        <v>45</v>
      </c>
    </row>
    <row r="1405" spans="1:9" ht="48" customHeight="1">
      <c r="A1405" s="3" t="s">
        <v>66</v>
      </c>
      <c r="B1405" s="3" t="s">
        <v>65</v>
      </c>
      <c r="C1405" s="4">
        <v>46174</v>
      </c>
      <c r="D1405" s="4">
        <v>46203</v>
      </c>
      <c r="E1405" s="3" t="s">
        <v>260</v>
      </c>
      <c r="F1405" s="3" t="s">
        <v>269</v>
      </c>
      <c r="G1405" s="5">
        <v>0</v>
      </c>
      <c r="H1405" s="6" t="s">
        <v>74</v>
      </c>
      <c r="I1405" s="3" t="s">
        <v>45</v>
      </c>
    </row>
    <row r="1406" spans="1:9" ht="48" customHeight="1">
      <c r="A1406" s="3" t="s">
        <v>66</v>
      </c>
      <c r="B1406" s="3" t="s">
        <v>65</v>
      </c>
      <c r="C1406" s="4">
        <v>46174</v>
      </c>
      <c r="D1406" s="4">
        <v>46203</v>
      </c>
      <c r="E1406" s="3" t="s">
        <v>260</v>
      </c>
      <c r="F1406" s="3" t="s">
        <v>279</v>
      </c>
      <c r="G1406" s="5">
        <v>0</v>
      </c>
      <c r="H1406" s="6" t="s">
        <v>74</v>
      </c>
      <c r="I1406" s="3" t="s">
        <v>45</v>
      </c>
    </row>
    <row r="1407" spans="1:9" ht="48" customHeight="1">
      <c r="A1407" s="3" t="s">
        <v>66</v>
      </c>
      <c r="B1407" s="3" t="s">
        <v>65</v>
      </c>
      <c r="C1407" s="4">
        <v>46174</v>
      </c>
      <c r="D1407" s="4">
        <v>46203</v>
      </c>
      <c r="E1407" s="3" t="s">
        <v>260</v>
      </c>
      <c r="F1407" s="3" t="s">
        <v>280</v>
      </c>
      <c r="G1407" s="5">
        <v>0</v>
      </c>
      <c r="H1407" s="6" t="s">
        <v>74</v>
      </c>
      <c r="I1407" s="3" t="s">
        <v>45</v>
      </c>
    </row>
    <row r="1408" spans="1:9" ht="48" customHeight="1">
      <c r="A1408" s="3" t="s">
        <v>66</v>
      </c>
      <c r="B1408" s="3" t="s">
        <v>65</v>
      </c>
      <c r="C1408" s="4">
        <v>46174</v>
      </c>
      <c r="D1408" s="4">
        <v>46203</v>
      </c>
      <c r="E1408" s="3" t="s">
        <v>260</v>
      </c>
      <c r="F1408" s="3" t="s">
        <v>281</v>
      </c>
      <c r="G1408" s="5">
        <v>0</v>
      </c>
      <c r="H1408" s="6" t="s">
        <v>74</v>
      </c>
      <c r="I1408" s="3" t="s">
        <v>45</v>
      </c>
    </row>
    <row r="1409" spans="1:9" ht="48" customHeight="1">
      <c r="A1409" s="3" t="s">
        <v>66</v>
      </c>
      <c r="B1409" s="3" t="s">
        <v>65</v>
      </c>
      <c r="C1409" s="4">
        <v>46174</v>
      </c>
      <c r="D1409" s="4">
        <v>46203</v>
      </c>
      <c r="E1409" s="3" t="s">
        <v>260</v>
      </c>
      <c r="F1409" s="3" t="s">
        <v>283</v>
      </c>
      <c r="G1409" s="5">
        <v>0</v>
      </c>
      <c r="H1409" s="6" t="s">
        <v>74</v>
      </c>
      <c r="I1409" s="3" t="s">
        <v>45</v>
      </c>
    </row>
    <row r="1410" spans="1:9" ht="48" customHeight="1">
      <c r="A1410" s="3" t="s">
        <v>66</v>
      </c>
      <c r="B1410" s="3" t="s">
        <v>65</v>
      </c>
      <c r="C1410" s="4">
        <v>46174</v>
      </c>
      <c r="D1410" s="4">
        <v>46203</v>
      </c>
      <c r="E1410" s="3" t="s">
        <v>260</v>
      </c>
      <c r="F1410" s="3" t="s">
        <v>284</v>
      </c>
      <c r="G1410" s="5">
        <v>0</v>
      </c>
      <c r="H1410" s="6" t="s">
        <v>74</v>
      </c>
      <c r="I1410" s="3" t="s">
        <v>45</v>
      </c>
    </row>
    <row r="1411" spans="1:9" ht="48" customHeight="1">
      <c r="A1411" s="3" t="s">
        <v>66</v>
      </c>
      <c r="B1411" s="3" t="s">
        <v>65</v>
      </c>
      <c r="C1411" s="4">
        <v>46174</v>
      </c>
      <c r="D1411" s="4">
        <v>46203</v>
      </c>
      <c r="E1411" s="3" t="s">
        <v>260</v>
      </c>
      <c r="F1411" s="3" t="s">
        <v>285</v>
      </c>
      <c r="G1411" s="5">
        <v>0</v>
      </c>
      <c r="H1411" s="6" t="s">
        <v>74</v>
      </c>
      <c r="I1411" s="3" t="s">
        <v>45</v>
      </c>
    </row>
    <row r="1412" spans="1:9" ht="48" customHeight="1">
      <c r="A1412" s="3" t="s">
        <v>66</v>
      </c>
      <c r="B1412" s="3" t="s">
        <v>65</v>
      </c>
      <c r="C1412" s="4">
        <v>46174</v>
      </c>
      <c r="D1412" s="4">
        <v>46203</v>
      </c>
      <c r="E1412" s="3" t="s">
        <v>286</v>
      </c>
      <c r="F1412" s="3" t="s">
        <v>287</v>
      </c>
      <c r="G1412" s="5">
        <v>5.0000000000000001E-3</v>
      </c>
      <c r="H1412" s="6" t="s">
        <v>74</v>
      </c>
      <c r="I1412" s="3" t="s">
        <v>45</v>
      </c>
    </row>
    <row r="1413" spans="1:9" ht="48" customHeight="1">
      <c r="A1413" s="3" t="s">
        <v>66</v>
      </c>
      <c r="B1413" s="3" t="s">
        <v>65</v>
      </c>
      <c r="C1413" s="4">
        <v>46174</v>
      </c>
      <c r="D1413" s="4">
        <v>46203</v>
      </c>
      <c r="E1413" s="3" t="s">
        <v>286</v>
      </c>
      <c r="F1413" s="3" t="s">
        <v>288</v>
      </c>
      <c r="G1413" s="5">
        <v>3.0000000000000001E-3</v>
      </c>
      <c r="H1413" s="6" t="s">
        <v>74</v>
      </c>
      <c r="I1413" s="3" t="s">
        <v>45</v>
      </c>
    </row>
    <row r="1414" spans="1:9" ht="48" customHeight="1">
      <c r="A1414" s="3" t="s">
        <v>66</v>
      </c>
      <c r="B1414" s="3" t="s">
        <v>65</v>
      </c>
      <c r="C1414" s="4">
        <v>46174</v>
      </c>
      <c r="D1414" s="4">
        <v>46203</v>
      </c>
      <c r="E1414" s="3" t="s">
        <v>286</v>
      </c>
      <c r="F1414" s="3" t="s">
        <v>289</v>
      </c>
      <c r="G1414" s="5">
        <v>3.0000000000000001E-3</v>
      </c>
      <c r="H1414" s="6" t="s">
        <v>74</v>
      </c>
      <c r="I1414" s="3" t="s">
        <v>45</v>
      </c>
    </row>
    <row r="1415" spans="1:9" ht="48" customHeight="1">
      <c r="A1415" s="3" t="s">
        <v>66</v>
      </c>
      <c r="B1415" s="3" t="s">
        <v>65</v>
      </c>
      <c r="C1415" s="4">
        <v>46174</v>
      </c>
      <c r="D1415" s="4">
        <v>46203</v>
      </c>
      <c r="E1415" s="3" t="s">
        <v>286</v>
      </c>
      <c r="F1415" s="3" t="s">
        <v>290</v>
      </c>
      <c r="G1415" s="5">
        <v>2E-3</v>
      </c>
      <c r="H1415" s="6" t="s">
        <v>74</v>
      </c>
      <c r="I1415" s="3" t="s">
        <v>45</v>
      </c>
    </row>
    <row r="1416" spans="1:9" ht="48" customHeight="1">
      <c r="A1416" s="3" t="s">
        <v>66</v>
      </c>
      <c r="B1416" s="3" t="s">
        <v>65</v>
      </c>
      <c r="C1416" s="4">
        <v>46174</v>
      </c>
      <c r="D1416" s="4">
        <v>46203</v>
      </c>
      <c r="E1416" s="3" t="s">
        <v>286</v>
      </c>
      <c r="F1416" s="3" t="s">
        <v>291</v>
      </c>
      <c r="G1416" s="5">
        <v>2E-3</v>
      </c>
      <c r="H1416" s="6" t="s">
        <v>74</v>
      </c>
      <c r="I1416" s="3" t="s">
        <v>45</v>
      </c>
    </row>
    <row r="1417" spans="1:9" ht="48" customHeight="1">
      <c r="A1417" s="3" t="s">
        <v>66</v>
      </c>
      <c r="B1417" s="3" t="s">
        <v>65</v>
      </c>
      <c r="C1417" s="4">
        <v>46174</v>
      </c>
      <c r="D1417" s="4">
        <v>46203</v>
      </c>
      <c r="E1417" s="3" t="s">
        <v>286</v>
      </c>
      <c r="F1417" s="3" t="s">
        <v>297</v>
      </c>
      <c r="G1417" s="5">
        <v>2E-3</v>
      </c>
      <c r="H1417" s="6" t="s">
        <v>74</v>
      </c>
      <c r="I1417" s="3" t="s">
        <v>45</v>
      </c>
    </row>
    <row r="1418" spans="1:9" ht="48" customHeight="1">
      <c r="A1418" s="3" t="s">
        <v>66</v>
      </c>
      <c r="B1418" s="3" t="s">
        <v>65</v>
      </c>
      <c r="C1418" s="4">
        <v>46174</v>
      </c>
      <c r="D1418" s="4">
        <v>46203</v>
      </c>
      <c r="E1418" s="3" t="s">
        <v>286</v>
      </c>
      <c r="F1418" s="3" t="s">
        <v>292</v>
      </c>
      <c r="G1418" s="5">
        <v>2E-3</v>
      </c>
      <c r="H1418" s="6" t="s">
        <v>74</v>
      </c>
      <c r="I1418" s="3" t="s">
        <v>45</v>
      </c>
    </row>
    <row r="1419" spans="1:9" ht="48" customHeight="1">
      <c r="A1419" s="3" t="s">
        <v>66</v>
      </c>
      <c r="B1419" s="3" t="s">
        <v>65</v>
      </c>
      <c r="C1419" s="4">
        <v>46174</v>
      </c>
      <c r="D1419" s="4">
        <v>46203</v>
      </c>
      <c r="E1419" s="3" t="s">
        <v>286</v>
      </c>
      <c r="F1419" s="3" t="s">
        <v>293</v>
      </c>
      <c r="G1419" s="5">
        <v>1E-3</v>
      </c>
      <c r="H1419" s="6" t="s">
        <v>74</v>
      </c>
      <c r="I1419" s="3" t="s">
        <v>45</v>
      </c>
    </row>
    <row r="1420" spans="1:9" ht="48" customHeight="1">
      <c r="A1420" s="3" t="s">
        <v>66</v>
      </c>
      <c r="B1420" s="3" t="s">
        <v>65</v>
      </c>
      <c r="C1420" s="4">
        <v>46174</v>
      </c>
      <c r="D1420" s="4">
        <v>46203</v>
      </c>
      <c r="E1420" s="3" t="s">
        <v>286</v>
      </c>
      <c r="F1420" s="3" t="s">
        <v>295</v>
      </c>
      <c r="G1420" s="5">
        <v>1E-3</v>
      </c>
      <c r="H1420" s="6" t="s">
        <v>74</v>
      </c>
      <c r="I1420" s="3" t="s">
        <v>45</v>
      </c>
    </row>
    <row r="1421" spans="1:9" ht="48" customHeight="1">
      <c r="A1421" s="3" t="s">
        <v>66</v>
      </c>
      <c r="B1421" s="3" t="s">
        <v>65</v>
      </c>
      <c r="C1421" s="4">
        <v>46174</v>
      </c>
      <c r="D1421" s="4">
        <v>46203</v>
      </c>
      <c r="E1421" s="3" t="s">
        <v>286</v>
      </c>
      <c r="F1421" s="3" t="s">
        <v>298</v>
      </c>
      <c r="G1421" s="5">
        <v>1E-3</v>
      </c>
      <c r="H1421" s="6" t="s">
        <v>74</v>
      </c>
      <c r="I1421" s="3" t="s">
        <v>45</v>
      </c>
    </row>
    <row r="1422" spans="1:9" ht="48" customHeight="1">
      <c r="A1422" s="3" t="s">
        <v>66</v>
      </c>
      <c r="B1422" s="3" t="s">
        <v>65</v>
      </c>
      <c r="C1422" s="4">
        <v>46174</v>
      </c>
      <c r="D1422" s="4">
        <v>46203</v>
      </c>
      <c r="E1422" s="3" t="s">
        <v>286</v>
      </c>
      <c r="F1422" s="3" t="s">
        <v>294</v>
      </c>
      <c r="G1422" s="5">
        <v>0</v>
      </c>
      <c r="H1422" s="6" t="s">
        <v>74</v>
      </c>
      <c r="I1422" s="3" t="s">
        <v>45</v>
      </c>
    </row>
    <row r="1423" spans="1:9" ht="48" customHeight="1">
      <c r="A1423" s="3" t="s">
        <v>66</v>
      </c>
      <c r="B1423" s="3" t="s">
        <v>65</v>
      </c>
      <c r="C1423" s="4">
        <v>46174</v>
      </c>
      <c r="D1423" s="4">
        <v>46203</v>
      </c>
      <c r="E1423" s="3" t="s">
        <v>286</v>
      </c>
      <c r="F1423" s="3" t="s">
        <v>296</v>
      </c>
      <c r="G1423" s="5">
        <v>0</v>
      </c>
      <c r="H1423" s="6" t="s">
        <v>74</v>
      </c>
      <c r="I1423" s="3" t="s">
        <v>45</v>
      </c>
    </row>
    <row r="1424" spans="1:9" ht="48" customHeight="1">
      <c r="A1424" s="3" t="s">
        <v>66</v>
      </c>
      <c r="B1424" s="3" t="s">
        <v>65</v>
      </c>
      <c r="C1424" s="4">
        <v>46174</v>
      </c>
      <c r="D1424" s="4">
        <v>46203</v>
      </c>
      <c r="E1424" s="3" t="s">
        <v>286</v>
      </c>
      <c r="F1424" s="3" t="s">
        <v>299</v>
      </c>
      <c r="G1424" s="5">
        <v>0</v>
      </c>
      <c r="H1424" s="6" t="s">
        <v>74</v>
      </c>
      <c r="I1424" s="3" t="s">
        <v>45</v>
      </c>
    </row>
    <row r="1425" spans="1:9" ht="48" customHeight="1">
      <c r="A1425" s="3" t="s">
        <v>66</v>
      </c>
      <c r="B1425" s="3" t="s">
        <v>65</v>
      </c>
      <c r="C1425" s="4">
        <v>46174</v>
      </c>
      <c r="D1425" s="4">
        <v>46203</v>
      </c>
      <c r="E1425" s="3" t="s">
        <v>286</v>
      </c>
      <c r="F1425" s="3" t="s">
        <v>300</v>
      </c>
      <c r="G1425" s="5">
        <v>0</v>
      </c>
      <c r="H1425" s="6" t="s">
        <v>74</v>
      </c>
      <c r="I1425" s="3" t="s">
        <v>45</v>
      </c>
    </row>
    <row r="1426" spans="1:9" ht="48" customHeight="1">
      <c r="A1426" s="3" t="s">
        <v>66</v>
      </c>
      <c r="B1426" s="3" t="s">
        <v>65</v>
      </c>
      <c r="C1426" s="4">
        <v>46174</v>
      </c>
      <c r="D1426" s="4">
        <v>46203</v>
      </c>
      <c r="E1426" s="3" t="s">
        <v>301</v>
      </c>
      <c r="F1426" s="3" t="s">
        <v>301</v>
      </c>
      <c r="G1426" s="5">
        <v>1.8000000000000002E-2</v>
      </c>
      <c r="H1426" s="6" t="s">
        <v>74</v>
      </c>
      <c r="I1426" s="3" t="s">
        <v>45</v>
      </c>
    </row>
    <row r="1427" spans="1:9" ht="48" customHeight="1">
      <c r="A1427" s="3" t="s">
        <v>66</v>
      </c>
      <c r="B1427" s="3" t="s">
        <v>65</v>
      </c>
      <c r="C1427" s="4">
        <v>46174</v>
      </c>
      <c r="D1427" s="4">
        <v>46203</v>
      </c>
      <c r="E1427" s="3" t="s">
        <v>81</v>
      </c>
      <c r="F1427" s="3" t="s">
        <v>325</v>
      </c>
      <c r="G1427" s="5">
        <v>2E-3</v>
      </c>
      <c r="H1427" s="6" t="s">
        <v>74</v>
      </c>
      <c r="I1427" s="3" t="s">
        <v>45</v>
      </c>
    </row>
    <row r="1428" spans="1:9" ht="48" customHeight="1">
      <c r="A1428" s="3" t="s">
        <v>66</v>
      </c>
      <c r="B1428" s="3" t="s">
        <v>65</v>
      </c>
      <c r="C1428" s="4">
        <v>46174</v>
      </c>
      <c r="D1428" s="4">
        <v>46203</v>
      </c>
      <c r="E1428" s="3" t="s">
        <v>81</v>
      </c>
      <c r="F1428" s="3" t="s">
        <v>326</v>
      </c>
      <c r="G1428" s="5">
        <v>1E-3</v>
      </c>
      <c r="H1428" s="6" t="s">
        <v>74</v>
      </c>
      <c r="I1428" s="3" t="s">
        <v>45</v>
      </c>
    </row>
    <row r="1429" spans="1:9" ht="48" customHeight="1">
      <c r="A1429" s="3" t="s">
        <v>66</v>
      </c>
      <c r="B1429" s="3" t="s">
        <v>65</v>
      </c>
      <c r="C1429" s="4">
        <v>46174</v>
      </c>
      <c r="D1429" s="4">
        <v>46203</v>
      </c>
      <c r="E1429" s="3" t="s">
        <v>81</v>
      </c>
      <c r="F1429" s="3" t="s">
        <v>327</v>
      </c>
      <c r="G1429" s="5">
        <v>1E-3</v>
      </c>
      <c r="H1429" s="6" t="s">
        <v>74</v>
      </c>
      <c r="I1429" s="3" t="s">
        <v>45</v>
      </c>
    </row>
    <row r="1430" spans="1:9" ht="48" customHeight="1">
      <c r="A1430" s="3" t="s">
        <v>66</v>
      </c>
      <c r="B1430" s="3" t="s">
        <v>65</v>
      </c>
      <c r="C1430" s="4">
        <v>46174</v>
      </c>
      <c r="D1430" s="4">
        <v>46203</v>
      </c>
      <c r="E1430" s="3" t="s">
        <v>81</v>
      </c>
      <c r="F1430" s="3" t="s">
        <v>328</v>
      </c>
      <c r="G1430" s="5">
        <v>1E-3</v>
      </c>
      <c r="H1430" s="6" t="s">
        <v>74</v>
      </c>
      <c r="I1430" s="3" t="s">
        <v>45</v>
      </c>
    </row>
    <row r="1431" spans="1:9" ht="48" customHeight="1">
      <c r="A1431" s="3" t="s">
        <v>66</v>
      </c>
      <c r="B1431" s="3" t="s">
        <v>65</v>
      </c>
      <c r="C1431" s="4">
        <v>46174</v>
      </c>
      <c r="D1431" s="4">
        <v>46203</v>
      </c>
      <c r="E1431" s="3" t="s">
        <v>81</v>
      </c>
      <c r="F1431" s="3" t="s">
        <v>329</v>
      </c>
      <c r="G1431" s="5">
        <v>1E-3</v>
      </c>
      <c r="H1431" s="6" t="s">
        <v>74</v>
      </c>
      <c r="I1431" s="3" t="s">
        <v>45</v>
      </c>
    </row>
    <row r="1432" spans="1:9" ht="48" customHeight="1">
      <c r="A1432" s="3" t="s">
        <v>66</v>
      </c>
      <c r="B1432" s="3" t="s">
        <v>65</v>
      </c>
      <c r="C1432" s="4">
        <v>46174</v>
      </c>
      <c r="D1432" s="4">
        <v>46203</v>
      </c>
      <c r="E1432" s="3" t="s">
        <v>81</v>
      </c>
      <c r="F1432" s="3" t="s">
        <v>330</v>
      </c>
      <c r="G1432" s="5">
        <v>1E-3</v>
      </c>
      <c r="H1432" s="6" t="s">
        <v>74</v>
      </c>
      <c r="I1432" s="3" t="s">
        <v>45</v>
      </c>
    </row>
    <row r="1433" spans="1:9" ht="48" customHeight="1">
      <c r="A1433" s="3" t="s">
        <v>66</v>
      </c>
      <c r="B1433" s="3" t="s">
        <v>65</v>
      </c>
      <c r="C1433" s="4">
        <v>46174</v>
      </c>
      <c r="D1433" s="4">
        <v>46203</v>
      </c>
      <c r="E1433" s="3" t="s">
        <v>81</v>
      </c>
      <c r="F1433" s="3" t="s">
        <v>335</v>
      </c>
      <c r="G1433" s="5">
        <v>1E-3</v>
      </c>
      <c r="H1433" s="6" t="s">
        <v>74</v>
      </c>
      <c r="I1433" s="3" t="s">
        <v>45</v>
      </c>
    </row>
    <row r="1434" spans="1:9" ht="48" customHeight="1">
      <c r="A1434" s="3" t="s">
        <v>66</v>
      </c>
      <c r="B1434" s="3" t="s">
        <v>65</v>
      </c>
      <c r="C1434" s="4">
        <v>46174</v>
      </c>
      <c r="D1434" s="4">
        <v>46203</v>
      </c>
      <c r="E1434" s="3" t="s">
        <v>81</v>
      </c>
      <c r="F1434" s="3" t="s">
        <v>332</v>
      </c>
      <c r="G1434" s="5">
        <v>1E-3</v>
      </c>
      <c r="H1434" s="6" t="s">
        <v>74</v>
      </c>
      <c r="I1434" s="3" t="s">
        <v>45</v>
      </c>
    </row>
    <row r="1435" spans="1:9" ht="48" customHeight="1">
      <c r="A1435" s="3" t="s">
        <v>66</v>
      </c>
      <c r="B1435" s="3" t="s">
        <v>65</v>
      </c>
      <c r="C1435" s="4">
        <v>46174</v>
      </c>
      <c r="D1435" s="4">
        <v>46203</v>
      </c>
      <c r="E1435" s="3" t="s">
        <v>81</v>
      </c>
      <c r="F1435" s="3" t="s">
        <v>343</v>
      </c>
      <c r="G1435" s="5">
        <v>1E-3</v>
      </c>
      <c r="H1435" s="6" t="s">
        <v>74</v>
      </c>
      <c r="I1435" s="3" t="s">
        <v>45</v>
      </c>
    </row>
    <row r="1436" spans="1:9" ht="48" customHeight="1">
      <c r="A1436" s="3" t="s">
        <v>66</v>
      </c>
      <c r="B1436" s="3" t="s">
        <v>65</v>
      </c>
      <c r="C1436" s="4">
        <v>46174</v>
      </c>
      <c r="D1436" s="4">
        <v>46203</v>
      </c>
      <c r="E1436" s="3" t="s">
        <v>81</v>
      </c>
      <c r="F1436" s="3" t="s">
        <v>333</v>
      </c>
      <c r="G1436" s="5">
        <v>0</v>
      </c>
      <c r="H1436" s="6" t="s">
        <v>74</v>
      </c>
      <c r="I1436" s="3" t="s">
        <v>45</v>
      </c>
    </row>
    <row r="1437" spans="1:9" ht="48" customHeight="1">
      <c r="A1437" s="3" t="s">
        <v>66</v>
      </c>
      <c r="B1437" s="3" t="s">
        <v>65</v>
      </c>
      <c r="C1437" s="4">
        <v>46174</v>
      </c>
      <c r="D1437" s="4">
        <v>46203</v>
      </c>
      <c r="E1437" s="3" t="s">
        <v>81</v>
      </c>
      <c r="F1437" s="3" t="s">
        <v>334</v>
      </c>
      <c r="G1437" s="5">
        <v>0</v>
      </c>
      <c r="H1437" s="6" t="s">
        <v>74</v>
      </c>
      <c r="I1437" s="3" t="s">
        <v>45</v>
      </c>
    </row>
    <row r="1438" spans="1:9" ht="48" customHeight="1">
      <c r="A1438" s="3" t="s">
        <v>66</v>
      </c>
      <c r="B1438" s="3" t="s">
        <v>65</v>
      </c>
      <c r="C1438" s="4">
        <v>46174</v>
      </c>
      <c r="D1438" s="4">
        <v>46203</v>
      </c>
      <c r="E1438" s="3" t="s">
        <v>81</v>
      </c>
      <c r="F1438" s="3" t="s">
        <v>331</v>
      </c>
      <c r="G1438" s="5">
        <v>0</v>
      </c>
      <c r="H1438" s="6" t="s">
        <v>74</v>
      </c>
      <c r="I1438" s="3" t="s">
        <v>45</v>
      </c>
    </row>
    <row r="1439" spans="1:9" ht="48" customHeight="1">
      <c r="A1439" s="3" t="s">
        <v>66</v>
      </c>
      <c r="B1439" s="3" t="s">
        <v>65</v>
      </c>
      <c r="C1439" s="4">
        <v>46174</v>
      </c>
      <c r="D1439" s="4">
        <v>46203</v>
      </c>
      <c r="E1439" s="3" t="s">
        <v>81</v>
      </c>
      <c r="F1439" s="3" t="s">
        <v>336</v>
      </c>
      <c r="G1439" s="5">
        <v>0</v>
      </c>
      <c r="H1439" s="6" t="s">
        <v>74</v>
      </c>
      <c r="I1439" s="3" t="s">
        <v>45</v>
      </c>
    </row>
    <row r="1440" spans="1:9" ht="48" customHeight="1">
      <c r="A1440" s="3" t="s">
        <v>66</v>
      </c>
      <c r="B1440" s="3" t="s">
        <v>65</v>
      </c>
      <c r="C1440" s="4">
        <v>46174</v>
      </c>
      <c r="D1440" s="4">
        <v>46203</v>
      </c>
      <c r="E1440" s="3" t="s">
        <v>81</v>
      </c>
      <c r="F1440" s="3" t="s">
        <v>337</v>
      </c>
      <c r="G1440" s="5">
        <v>0</v>
      </c>
      <c r="H1440" s="6" t="s">
        <v>74</v>
      </c>
      <c r="I1440" s="3" t="s">
        <v>45</v>
      </c>
    </row>
    <row r="1441" spans="1:9" ht="48" customHeight="1">
      <c r="A1441" s="3" t="s">
        <v>66</v>
      </c>
      <c r="B1441" s="3" t="s">
        <v>65</v>
      </c>
      <c r="C1441" s="4">
        <v>46174</v>
      </c>
      <c r="D1441" s="4">
        <v>46203</v>
      </c>
      <c r="E1441" s="3" t="s">
        <v>81</v>
      </c>
      <c r="F1441" s="3" t="s">
        <v>338</v>
      </c>
      <c r="G1441" s="5">
        <v>0</v>
      </c>
      <c r="H1441" s="6" t="s">
        <v>74</v>
      </c>
      <c r="I1441" s="3" t="s">
        <v>45</v>
      </c>
    </row>
    <row r="1442" spans="1:9" ht="48" customHeight="1">
      <c r="A1442" s="3" t="s">
        <v>66</v>
      </c>
      <c r="B1442" s="3" t="s">
        <v>65</v>
      </c>
      <c r="C1442" s="4">
        <v>46174</v>
      </c>
      <c r="D1442" s="4">
        <v>46203</v>
      </c>
      <c r="E1442" s="3" t="s">
        <v>81</v>
      </c>
      <c r="F1442" s="3" t="s">
        <v>339</v>
      </c>
      <c r="G1442" s="5">
        <v>0</v>
      </c>
      <c r="H1442" s="6" t="s">
        <v>74</v>
      </c>
      <c r="I1442" s="3" t="s">
        <v>45</v>
      </c>
    </row>
    <row r="1443" spans="1:9" ht="48" customHeight="1">
      <c r="A1443" s="3" t="s">
        <v>66</v>
      </c>
      <c r="B1443" s="3" t="s">
        <v>65</v>
      </c>
      <c r="C1443" s="4">
        <v>46174</v>
      </c>
      <c r="D1443" s="4">
        <v>46203</v>
      </c>
      <c r="E1443" s="3" t="s">
        <v>81</v>
      </c>
      <c r="F1443" s="3" t="s">
        <v>340</v>
      </c>
      <c r="G1443" s="5">
        <v>0</v>
      </c>
      <c r="H1443" s="6" t="s">
        <v>74</v>
      </c>
      <c r="I1443" s="3" t="s">
        <v>45</v>
      </c>
    </row>
    <row r="1444" spans="1:9" ht="48" customHeight="1">
      <c r="A1444" s="3" t="s">
        <v>66</v>
      </c>
      <c r="B1444" s="3" t="s">
        <v>65</v>
      </c>
      <c r="C1444" s="4">
        <v>46174</v>
      </c>
      <c r="D1444" s="4">
        <v>46203</v>
      </c>
      <c r="E1444" s="3" t="s">
        <v>81</v>
      </c>
      <c r="F1444" s="3" t="s">
        <v>341</v>
      </c>
      <c r="G1444" s="5">
        <v>0</v>
      </c>
      <c r="H1444" s="6" t="s">
        <v>74</v>
      </c>
      <c r="I1444" s="3" t="s">
        <v>45</v>
      </c>
    </row>
    <row r="1445" spans="1:9" ht="48" customHeight="1">
      <c r="A1445" s="3" t="s">
        <v>66</v>
      </c>
      <c r="B1445" s="3" t="s">
        <v>65</v>
      </c>
      <c r="C1445" s="4">
        <v>46174</v>
      </c>
      <c r="D1445" s="4">
        <v>46203</v>
      </c>
      <c r="E1445" s="3" t="s">
        <v>81</v>
      </c>
      <c r="F1445" s="3" t="s">
        <v>342</v>
      </c>
      <c r="G1445" s="5">
        <v>0</v>
      </c>
      <c r="H1445" s="6" t="s">
        <v>74</v>
      </c>
      <c r="I1445" s="3" t="s">
        <v>45</v>
      </c>
    </row>
    <row r="1446" spans="1:9" ht="48" customHeight="1">
      <c r="A1446" s="3" t="s">
        <v>66</v>
      </c>
      <c r="B1446" s="3" t="s">
        <v>65</v>
      </c>
      <c r="C1446" s="4">
        <v>46174</v>
      </c>
      <c r="D1446" s="4">
        <v>46203</v>
      </c>
      <c r="E1446" s="3" t="s">
        <v>81</v>
      </c>
      <c r="F1446" s="3" t="s">
        <v>344</v>
      </c>
      <c r="G1446" s="5">
        <v>0</v>
      </c>
      <c r="H1446" s="6" t="s">
        <v>74</v>
      </c>
      <c r="I1446" s="3" t="s">
        <v>45</v>
      </c>
    </row>
    <row r="1447" spans="1:9" ht="48" customHeight="1">
      <c r="A1447" s="3" t="s">
        <v>66</v>
      </c>
      <c r="B1447" s="3" t="s">
        <v>65</v>
      </c>
      <c r="C1447" s="4">
        <v>46174</v>
      </c>
      <c r="D1447" s="4">
        <v>46203</v>
      </c>
      <c r="E1447" s="3" t="s">
        <v>81</v>
      </c>
      <c r="F1447" s="3" t="s">
        <v>345</v>
      </c>
      <c r="G1447" s="5">
        <v>0</v>
      </c>
      <c r="H1447" s="6" t="s">
        <v>74</v>
      </c>
      <c r="I1447" s="3" t="s">
        <v>45</v>
      </c>
    </row>
    <row r="1448" spans="1:9" ht="48" customHeight="1">
      <c r="A1448" s="3" t="s">
        <v>66</v>
      </c>
      <c r="B1448" s="3" t="s">
        <v>65</v>
      </c>
      <c r="C1448" s="4">
        <v>46174</v>
      </c>
      <c r="D1448" s="4">
        <v>46203</v>
      </c>
      <c r="E1448" s="3" t="s">
        <v>81</v>
      </c>
      <c r="F1448" s="3" t="s">
        <v>346</v>
      </c>
      <c r="G1448" s="5">
        <v>0</v>
      </c>
      <c r="H1448" s="6" t="s">
        <v>74</v>
      </c>
      <c r="I1448" s="3" t="s">
        <v>45</v>
      </c>
    </row>
    <row r="1449" spans="1:9" ht="48" customHeight="1">
      <c r="A1449" s="3" t="s">
        <v>66</v>
      </c>
      <c r="B1449" s="3" t="s">
        <v>65</v>
      </c>
      <c r="C1449" s="4">
        <v>46174</v>
      </c>
      <c r="D1449" s="4">
        <v>46203</v>
      </c>
      <c r="E1449" s="3" t="s">
        <v>81</v>
      </c>
      <c r="F1449" s="3" t="s">
        <v>347</v>
      </c>
      <c r="G1449" s="5">
        <v>0</v>
      </c>
      <c r="H1449" s="6" t="s">
        <v>74</v>
      </c>
      <c r="I1449" s="3" t="s">
        <v>45</v>
      </c>
    </row>
    <row r="1450" spans="1:9" ht="48" customHeight="1">
      <c r="A1450" s="3" t="s">
        <v>66</v>
      </c>
      <c r="B1450" s="3" t="s">
        <v>65</v>
      </c>
      <c r="C1450" s="4">
        <v>46174</v>
      </c>
      <c r="D1450" s="4">
        <v>46203</v>
      </c>
      <c r="E1450" s="3" t="s">
        <v>47</v>
      </c>
      <c r="F1450" s="3" t="s">
        <v>349</v>
      </c>
      <c r="G1450" s="5">
        <v>1E-3</v>
      </c>
      <c r="H1450" s="6" t="s">
        <v>74</v>
      </c>
      <c r="I1450" s="3" t="s">
        <v>45</v>
      </c>
    </row>
    <row r="1451" spans="1:9" ht="48" customHeight="1">
      <c r="A1451" s="3" t="s">
        <v>66</v>
      </c>
      <c r="B1451" s="3" t="s">
        <v>65</v>
      </c>
      <c r="C1451" s="4">
        <v>46174</v>
      </c>
      <c r="D1451" s="4">
        <v>46203</v>
      </c>
      <c r="E1451" s="3" t="s">
        <v>47</v>
      </c>
      <c r="F1451" s="3" t="s">
        <v>348</v>
      </c>
      <c r="G1451" s="5">
        <v>1E-3</v>
      </c>
      <c r="H1451" s="6" t="s">
        <v>74</v>
      </c>
      <c r="I1451" s="3" t="s">
        <v>45</v>
      </c>
    </row>
    <row r="1452" spans="1:9" ht="48" customHeight="1">
      <c r="A1452" s="3" t="s">
        <v>66</v>
      </c>
      <c r="B1452" s="3" t="s">
        <v>65</v>
      </c>
      <c r="C1452" s="4">
        <v>46174</v>
      </c>
      <c r="D1452" s="4">
        <v>46203</v>
      </c>
      <c r="E1452" s="3" t="s">
        <v>47</v>
      </c>
      <c r="F1452" s="3" t="s">
        <v>350</v>
      </c>
      <c r="G1452" s="5">
        <v>1E-3</v>
      </c>
      <c r="H1452" s="6" t="s">
        <v>74</v>
      </c>
      <c r="I1452" s="3" t="s">
        <v>45</v>
      </c>
    </row>
    <row r="1453" spans="1:9" ht="48" customHeight="1">
      <c r="A1453" s="3" t="s">
        <v>66</v>
      </c>
      <c r="B1453" s="3" t="s">
        <v>65</v>
      </c>
      <c r="C1453" s="4">
        <v>46174</v>
      </c>
      <c r="D1453" s="4">
        <v>46203</v>
      </c>
      <c r="E1453" s="3" t="s">
        <v>47</v>
      </c>
      <c r="F1453" s="3" t="s">
        <v>351</v>
      </c>
      <c r="G1453" s="5">
        <v>0</v>
      </c>
      <c r="H1453" s="6" t="s">
        <v>74</v>
      </c>
      <c r="I1453" s="3" t="s">
        <v>45</v>
      </c>
    </row>
    <row r="1454" spans="1:9" ht="48" customHeight="1">
      <c r="A1454" s="3" t="s">
        <v>66</v>
      </c>
      <c r="B1454" s="3" t="s">
        <v>65</v>
      </c>
      <c r="C1454" s="4">
        <v>46174</v>
      </c>
      <c r="D1454" s="4">
        <v>46203</v>
      </c>
      <c r="E1454" s="3" t="s">
        <v>47</v>
      </c>
      <c r="F1454" s="3" t="s">
        <v>352</v>
      </c>
      <c r="G1454" s="5">
        <v>0</v>
      </c>
      <c r="H1454" s="6" t="s">
        <v>74</v>
      </c>
      <c r="I1454" s="3" t="s">
        <v>45</v>
      </c>
    </row>
    <row r="1455" spans="1:9" ht="48" customHeight="1">
      <c r="A1455" s="3" t="s">
        <v>66</v>
      </c>
      <c r="B1455" s="3" t="s">
        <v>65</v>
      </c>
      <c r="C1455" s="4">
        <v>46174</v>
      </c>
      <c r="D1455" s="4">
        <v>46203</v>
      </c>
      <c r="E1455" s="3" t="s">
        <v>47</v>
      </c>
      <c r="F1455" s="3" t="s">
        <v>353</v>
      </c>
      <c r="G1455" s="5">
        <v>0</v>
      </c>
      <c r="H1455" s="6" t="s">
        <v>74</v>
      </c>
      <c r="I1455" s="3" t="s">
        <v>45</v>
      </c>
    </row>
    <row r="1456" spans="1:9" ht="48" customHeight="1">
      <c r="A1456" s="3" t="s">
        <v>66</v>
      </c>
      <c r="B1456" s="3" t="s">
        <v>65</v>
      </c>
      <c r="C1456" s="4">
        <v>46174</v>
      </c>
      <c r="D1456" s="4">
        <v>46203</v>
      </c>
      <c r="E1456" s="3" t="s">
        <v>47</v>
      </c>
      <c r="F1456" s="3" t="s">
        <v>354</v>
      </c>
      <c r="G1456" s="5">
        <v>0</v>
      </c>
      <c r="H1456" s="6" t="s">
        <v>74</v>
      </c>
      <c r="I1456" s="3" t="s">
        <v>45</v>
      </c>
    </row>
    <row r="1457" spans="1:9" ht="48" customHeight="1">
      <c r="A1457" s="3" t="s">
        <v>66</v>
      </c>
      <c r="B1457" s="3" t="s">
        <v>65</v>
      </c>
      <c r="C1457" s="4">
        <v>46174</v>
      </c>
      <c r="D1457" s="4">
        <v>46203</v>
      </c>
      <c r="E1457" s="3" t="s">
        <v>47</v>
      </c>
      <c r="F1457" s="3" t="s">
        <v>355</v>
      </c>
      <c r="G1457" s="5">
        <v>0</v>
      </c>
      <c r="H1457" s="6" t="s">
        <v>74</v>
      </c>
      <c r="I1457" s="3" t="s">
        <v>45</v>
      </c>
    </row>
    <row r="1458" spans="1:9" ht="48" customHeight="1">
      <c r="A1458" s="3" t="s">
        <v>66</v>
      </c>
      <c r="B1458" s="3" t="s">
        <v>65</v>
      </c>
      <c r="C1458" s="4">
        <v>46174</v>
      </c>
      <c r="D1458" s="4">
        <v>46203</v>
      </c>
      <c r="E1458" s="3" t="s">
        <v>47</v>
      </c>
      <c r="F1458" s="3" t="s">
        <v>356</v>
      </c>
      <c r="G1458" s="5">
        <v>0</v>
      </c>
      <c r="H1458" s="6" t="s">
        <v>74</v>
      </c>
      <c r="I1458" s="3" t="s">
        <v>45</v>
      </c>
    </row>
    <row r="1459" spans="1:9" ht="48" customHeight="1">
      <c r="A1459" s="3" t="s">
        <v>66</v>
      </c>
      <c r="B1459" s="3" t="s">
        <v>65</v>
      </c>
      <c r="C1459" s="4">
        <v>46174</v>
      </c>
      <c r="D1459" s="4">
        <v>46203</v>
      </c>
      <c r="E1459" s="3" t="s">
        <v>47</v>
      </c>
      <c r="F1459" s="3" t="s">
        <v>40</v>
      </c>
      <c r="G1459" s="5">
        <v>0</v>
      </c>
      <c r="H1459" s="6" t="s">
        <v>74</v>
      </c>
      <c r="I1459" s="3" t="s">
        <v>45</v>
      </c>
    </row>
    <row r="1460" spans="1:9" ht="48" customHeight="1">
      <c r="A1460" s="3" t="s">
        <v>66</v>
      </c>
      <c r="B1460" s="3" t="s">
        <v>65</v>
      </c>
      <c r="C1460" s="4">
        <v>46174</v>
      </c>
      <c r="D1460" s="4">
        <v>46203</v>
      </c>
      <c r="E1460" s="3" t="s">
        <v>47</v>
      </c>
      <c r="F1460" s="3" t="s">
        <v>357</v>
      </c>
      <c r="G1460" s="5">
        <v>0</v>
      </c>
      <c r="H1460" s="6" t="s">
        <v>74</v>
      </c>
      <c r="I1460" s="3" t="s">
        <v>45</v>
      </c>
    </row>
    <row r="1461" spans="1:9" ht="48" customHeight="1">
      <c r="A1461" s="3" t="s">
        <v>66</v>
      </c>
      <c r="B1461" s="3" t="s">
        <v>65</v>
      </c>
      <c r="C1461" s="4">
        <v>46174</v>
      </c>
      <c r="D1461" s="4">
        <v>46203</v>
      </c>
      <c r="E1461" s="3" t="s">
        <v>47</v>
      </c>
      <c r="F1461" s="3" t="s">
        <v>358</v>
      </c>
      <c r="G1461" s="5">
        <v>0</v>
      </c>
      <c r="H1461" s="6" t="s">
        <v>74</v>
      </c>
      <c r="I1461" s="3" t="s">
        <v>45</v>
      </c>
    </row>
    <row r="1462" spans="1:9" ht="48" customHeight="1">
      <c r="A1462" s="3" t="s">
        <v>66</v>
      </c>
      <c r="B1462" s="3" t="s">
        <v>65</v>
      </c>
      <c r="C1462" s="4">
        <v>46174</v>
      </c>
      <c r="D1462" s="4">
        <v>46203</v>
      </c>
      <c r="E1462" s="3" t="s">
        <v>47</v>
      </c>
      <c r="F1462" s="3" t="s">
        <v>359</v>
      </c>
      <c r="G1462" s="5">
        <v>0</v>
      </c>
      <c r="H1462" s="6" t="s">
        <v>74</v>
      </c>
      <c r="I1462" s="3" t="s">
        <v>45</v>
      </c>
    </row>
    <row r="1463" spans="1:9" ht="48" customHeight="1">
      <c r="A1463" s="3" t="s">
        <v>66</v>
      </c>
      <c r="B1463" s="3" t="s">
        <v>65</v>
      </c>
      <c r="C1463" s="4">
        <v>46174</v>
      </c>
      <c r="D1463" s="4">
        <v>46203</v>
      </c>
      <c r="E1463" s="3" t="s">
        <v>47</v>
      </c>
      <c r="F1463" s="3" t="s">
        <v>360</v>
      </c>
      <c r="G1463" s="5">
        <v>0</v>
      </c>
      <c r="H1463" s="6" t="s">
        <v>74</v>
      </c>
      <c r="I1463" s="3" t="s">
        <v>45</v>
      </c>
    </row>
    <row r="1464" spans="1:9" ht="48" customHeight="1">
      <c r="A1464" s="3" t="s">
        <v>66</v>
      </c>
      <c r="B1464" s="3" t="s">
        <v>65</v>
      </c>
      <c r="C1464" s="4">
        <v>46174</v>
      </c>
      <c r="D1464" s="4">
        <v>46203</v>
      </c>
      <c r="E1464" s="3" t="s">
        <v>47</v>
      </c>
      <c r="F1464" s="3" t="s">
        <v>361</v>
      </c>
      <c r="G1464" s="5">
        <v>0</v>
      </c>
      <c r="H1464" s="6" t="s">
        <v>74</v>
      </c>
      <c r="I1464" s="3" t="s">
        <v>45</v>
      </c>
    </row>
    <row r="1465" spans="1:9" ht="48" customHeight="1">
      <c r="A1465" s="3" t="s">
        <v>66</v>
      </c>
      <c r="B1465" s="3" t="s">
        <v>65</v>
      </c>
      <c r="C1465" s="4">
        <v>46174</v>
      </c>
      <c r="D1465" s="4">
        <v>46203</v>
      </c>
      <c r="E1465" s="3" t="s">
        <v>47</v>
      </c>
      <c r="F1465" s="3" t="s">
        <v>362</v>
      </c>
      <c r="G1465" s="5">
        <v>0</v>
      </c>
      <c r="H1465" s="6" t="s">
        <v>74</v>
      </c>
      <c r="I1465" s="3" t="s">
        <v>45</v>
      </c>
    </row>
    <row r="1466" spans="1:9" ht="48" customHeight="1">
      <c r="A1466" s="3" t="s">
        <v>66</v>
      </c>
      <c r="B1466" s="3" t="s">
        <v>65</v>
      </c>
      <c r="C1466" s="4">
        <v>46174</v>
      </c>
      <c r="D1466" s="4">
        <v>46203</v>
      </c>
      <c r="E1466" s="3" t="s">
        <v>47</v>
      </c>
      <c r="F1466" s="3" t="s">
        <v>318</v>
      </c>
      <c r="G1466" s="5">
        <v>0</v>
      </c>
      <c r="H1466" s="6" t="s">
        <v>74</v>
      </c>
      <c r="I1466" s="3" t="s">
        <v>45</v>
      </c>
    </row>
    <row r="1467" spans="1:9" ht="48" customHeight="1">
      <c r="A1467" s="3" t="s">
        <v>66</v>
      </c>
      <c r="B1467" s="3" t="s">
        <v>65</v>
      </c>
      <c r="C1467" s="4">
        <v>46174</v>
      </c>
      <c r="D1467" s="4">
        <v>46203</v>
      </c>
      <c r="E1467" s="3" t="s">
        <v>47</v>
      </c>
      <c r="F1467" s="3" t="s">
        <v>363</v>
      </c>
      <c r="G1467" s="5">
        <v>0</v>
      </c>
      <c r="H1467" s="6" t="s">
        <v>74</v>
      </c>
      <c r="I1467" s="3" t="s">
        <v>45</v>
      </c>
    </row>
    <row r="1468" spans="1:9" ht="48" customHeight="1">
      <c r="A1468" s="3" t="s">
        <v>66</v>
      </c>
      <c r="B1468" s="3" t="s">
        <v>65</v>
      </c>
      <c r="C1468" s="4">
        <v>46174</v>
      </c>
      <c r="D1468" s="4">
        <v>46203</v>
      </c>
      <c r="E1468" s="3" t="s">
        <v>302</v>
      </c>
      <c r="F1468" s="3" t="s">
        <v>305</v>
      </c>
      <c r="G1468" s="5">
        <v>1E-3</v>
      </c>
      <c r="H1468" s="6" t="s">
        <v>74</v>
      </c>
      <c r="I1468" s="3" t="s">
        <v>45</v>
      </c>
    </row>
    <row r="1469" spans="1:9" ht="48" customHeight="1">
      <c r="A1469" s="3" t="s">
        <v>66</v>
      </c>
      <c r="B1469" s="3" t="s">
        <v>65</v>
      </c>
      <c r="C1469" s="4">
        <v>46174</v>
      </c>
      <c r="D1469" s="4">
        <v>46203</v>
      </c>
      <c r="E1469" s="3" t="s">
        <v>302</v>
      </c>
      <c r="F1469" s="3" t="s">
        <v>306</v>
      </c>
      <c r="G1469" s="5">
        <v>1E-3</v>
      </c>
      <c r="H1469" s="6" t="s">
        <v>74</v>
      </c>
      <c r="I1469" s="3" t="s">
        <v>45</v>
      </c>
    </row>
    <row r="1470" spans="1:9" ht="48" customHeight="1">
      <c r="A1470" s="3" t="s">
        <v>66</v>
      </c>
      <c r="B1470" s="3" t="s">
        <v>65</v>
      </c>
      <c r="C1470" s="4">
        <v>46174</v>
      </c>
      <c r="D1470" s="4">
        <v>46203</v>
      </c>
      <c r="E1470" s="3" t="s">
        <v>302</v>
      </c>
      <c r="F1470" s="3" t="s">
        <v>307</v>
      </c>
      <c r="G1470" s="5">
        <v>1E-3</v>
      </c>
      <c r="H1470" s="6" t="s">
        <v>74</v>
      </c>
      <c r="I1470" s="3" t="s">
        <v>45</v>
      </c>
    </row>
    <row r="1471" spans="1:9" ht="48" customHeight="1">
      <c r="A1471" s="3" t="s">
        <v>66</v>
      </c>
      <c r="B1471" s="3" t="s">
        <v>65</v>
      </c>
      <c r="C1471" s="4">
        <v>46174</v>
      </c>
      <c r="D1471" s="4">
        <v>46203</v>
      </c>
      <c r="E1471" s="3" t="s">
        <v>302</v>
      </c>
      <c r="F1471" s="3" t="s">
        <v>309</v>
      </c>
      <c r="G1471" s="5">
        <v>1E-3</v>
      </c>
      <c r="H1471" s="6" t="s">
        <v>74</v>
      </c>
      <c r="I1471" s="3" t="s">
        <v>45</v>
      </c>
    </row>
    <row r="1472" spans="1:9" ht="48" customHeight="1">
      <c r="A1472" s="3" t="s">
        <v>66</v>
      </c>
      <c r="B1472" s="3" t="s">
        <v>65</v>
      </c>
      <c r="C1472" s="4">
        <v>46174</v>
      </c>
      <c r="D1472" s="4">
        <v>46203</v>
      </c>
      <c r="E1472" s="3" t="s">
        <v>302</v>
      </c>
      <c r="F1472" s="3" t="s">
        <v>303</v>
      </c>
      <c r="G1472" s="5">
        <v>0</v>
      </c>
      <c r="H1472" s="6" t="s">
        <v>74</v>
      </c>
      <c r="I1472" s="3" t="s">
        <v>45</v>
      </c>
    </row>
    <row r="1473" spans="1:9" ht="48" customHeight="1">
      <c r="A1473" s="3" t="s">
        <v>66</v>
      </c>
      <c r="B1473" s="3" t="s">
        <v>65</v>
      </c>
      <c r="C1473" s="4">
        <v>46174</v>
      </c>
      <c r="D1473" s="4">
        <v>46203</v>
      </c>
      <c r="E1473" s="3" t="s">
        <v>302</v>
      </c>
      <c r="F1473" s="3" t="s">
        <v>304</v>
      </c>
      <c r="G1473" s="5">
        <v>0</v>
      </c>
      <c r="H1473" s="6" t="s">
        <v>74</v>
      </c>
      <c r="I1473" s="3" t="s">
        <v>45</v>
      </c>
    </row>
    <row r="1474" spans="1:9" ht="48" customHeight="1">
      <c r="A1474" s="3" t="s">
        <v>66</v>
      </c>
      <c r="B1474" s="3" t="s">
        <v>65</v>
      </c>
      <c r="C1474" s="4">
        <v>46174</v>
      </c>
      <c r="D1474" s="4">
        <v>46203</v>
      </c>
      <c r="E1474" s="3" t="s">
        <v>302</v>
      </c>
      <c r="F1474" s="3" t="s">
        <v>310</v>
      </c>
      <c r="G1474" s="5">
        <v>0</v>
      </c>
      <c r="H1474" s="6" t="s">
        <v>74</v>
      </c>
      <c r="I1474" s="3" t="s">
        <v>45</v>
      </c>
    </row>
    <row r="1475" spans="1:9" ht="48" customHeight="1">
      <c r="A1475" s="3" t="s">
        <v>66</v>
      </c>
      <c r="B1475" s="3" t="s">
        <v>65</v>
      </c>
      <c r="C1475" s="4">
        <v>46174</v>
      </c>
      <c r="D1475" s="4">
        <v>46203</v>
      </c>
      <c r="E1475" s="3" t="s">
        <v>302</v>
      </c>
      <c r="F1475" s="3" t="s">
        <v>311</v>
      </c>
      <c r="G1475" s="5">
        <v>0</v>
      </c>
      <c r="H1475" s="6" t="s">
        <v>74</v>
      </c>
      <c r="I1475" s="3" t="s">
        <v>45</v>
      </c>
    </row>
    <row r="1476" spans="1:9" ht="48" customHeight="1">
      <c r="A1476" s="3" t="s">
        <v>66</v>
      </c>
      <c r="B1476" s="3" t="s">
        <v>65</v>
      </c>
      <c r="C1476" s="4">
        <v>46174</v>
      </c>
      <c r="D1476" s="4">
        <v>46203</v>
      </c>
      <c r="E1476" s="3" t="s">
        <v>302</v>
      </c>
      <c r="F1476" s="3" t="s">
        <v>312</v>
      </c>
      <c r="G1476" s="5">
        <v>0</v>
      </c>
      <c r="H1476" s="6" t="s">
        <v>74</v>
      </c>
      <c r="I1476" s="3" t="s">
        <v>45</v>
      </c>
    </row>
    <row r="1477" spans="1:9" ht="48" customHeight="1">
      <c r="A1477" s="3" t="s">
        <v>66</v>
      </c>
      <c r="B1477" s="3" t="s">
        <v>65</v>
      </c>
      <c r="C1477" s="4">
        <v>46174</v>
      </c>
      <c r="D1477" s="4">
        <v>46203</v>
      </c>
      <c r="E1477" s="3" t="s">
        <v>302</v>
      </c>
      <c r="F1477" s="3" t="s">
        <v>313</v>
      </c>
      <c r="G1477" s="5">
        <v>0</v>
      </c>
      <c r="H1477" s="6" t="s">
        <v>74</v>
      </c>
      <c r="I1477" s="3" t="s">
        <v>45</v>
      </c>
    </row>
    <row r="1478" spans="1:9" ht="48" customHeight="1">
      <c r="A1478" s="3" t="s">
        <v>66</v>
      </c>
      <c r="B1478" s="3" t="s">
        <v>65</v>
      </c>
      <c r="C1478" s="4">
        <v>46174</v>
      </c>
      <c r="D1478" s="4">
        <v>46203</v>
      </c>
      <c r="E1478" s="3" t="s">
        <v>302</v>
      </c>
      <c r="F1478" s="3" t="s">
        <v>314</v>
      </c>
      <c r="G1478" s="5">
        <v>0</v>
      </c>
      <c r="H1478" s="6" t="s">
        <v>74</v>
      </c>
      <c r="I1478" s="3" t="s">
        <v>45</v>
      </c>
    </row>
    <row r="1479" spans="1:9" ht="48" customHeight="1">
      <c r="A1479" s="3" t="s">
        <v>66</v>
      </c>
      <c r="B1479" s="3" t="s">
        <v>65</v>
      </c>
      <c r="C1479" s="4">
        <v>46174</v>
      </c>
      <c r="D1479" s="4">
        <v>46203</v>
      </c>
      <c r="E1479" s="3" t="s">
        <v>302</v>
      </c>
      <c r="F1479" s="3" t="s">
        <v>308</v>
      </c>
      <c r="G1479" s="5">
        <v>0</v>
      </c>
      <c r="H1479" s="6" t="s">
        <v>74</v>
      </c>
      <c r="I1479" s="3" t="s">
        <v>45</v>
      </c>
    </row>
    <row r="1480" spans="1:9" ht="48" customHeight="1">
      <c r="A1480" s="3" t="s">
        <v>66</v>
      </c>
      <c r="B1480" s="3" t="s">
        <v>65</v>
      </c>
      <c r="C1480" s="4">
        <v>46174</v>
      </c>
      <c r="D1480" s="4">
        <v>46203</v>
      </c>
      <c r="E1480" s="3" t="s">
        <v>302</v>
      </c>
      <c r="F1480" s="3" t="s">
        <v>315</v>
      </c>
      <c r="G1480" s="5">
        <v>0</v>
      </c>
      <c r="H1480" s="6" t="s">
        <v>74</v>
      </c>
      <c r="I1480" s="3" t="s">
        <v>45</v>
      </c>
    </row>
    <row r="1481" spans="1:9" ht="48" customHeight="1">
      <c r="A1481" s="3" t="s">
        <v>66</v>
      </c>
      <c r="B1481" s="3" t="s">
        <v>65</v>
      </c>
      <c r="C1481" s="4">
        <v>46174</v>
      </c>
      <c r="D1481" s="4">
        <v>46203</v>
      </c>
      <c r="E1481" s="3" t="s">
        <v>302</v>
      </c>
      <c r="F1481" s="3" t="s">
        <v>316</v>
      </c>
      <c r="G1481" s="5">
        <v>0</v>
      </c>
      <c r="H1481" s="6" t="s">
        <v>74</v>
      </c>
      <c r="I1481" s="3" t="s">
        <v>45</v>
      </c>
    </row>
    <row r="1482" spans="1:9" ht="48" customHeight="1">
      <c r="A1482" s="3" t="s">
        <v>66</v>
      </c>
      <c r="B1482" s="3" t="s">
        <v>65</v>
      </c>
      <c r="C1482" s="4">
        <v>46174</v>
      </c>
      <c r="D1482" s="4">
        <v>46203</v>
      </c>
      <c r="E1482" s="3" t="s">
        <v>302</v>
      </c>
      <c r="F1482" s="3" t="s">
        <v>317</v>
      </c>
      <c r="G1482" s="5">
        <v>0</v>
      </c>
      <c r="H1482" s="6" t="s">
        <v>74</v>
      </c>
      <c r="I1482" s="3" t="s">
        <v>45</v>
      </c>
    </row>
    <row r="1483" spans="1:9" ht="48" customHeight="1">
      <c r="A1483" s="3" t="s">
        <v>66</v>
      </c>
      <c r="B1483" s="3" t="s">
        <v>65</v>
      </c>
      <c r="C1483" s="4">
        <v>46174</v>
      </c>
      <c r="D1483" s="4">
        <v>46203</v>
      </c>
      <c r="E1483" s="3" t="s">
        <v>302</v>
      </c>
      <c r="F1483" s="3" t="s">
        <v>318</v>
      </c>
      <c r="G1483" s="5">
        <v>0</v>
      </c>
      <c r="H1483" s="6" t="s">
        <v>74</v>
      </c>
      <c r="I1483" s="3" t="s">
        <v>45</v>
      </c>
    </row>
    <row r="1484" spans="1:9" ht="48" customHeight="1">
      <c r="A1484" s="3" t="s">
        <v>66</v>
      </c>
      <c r="B1484" s="3" t="s">
        <v>65</v>
      </c>
      <c r="C1484" s="4">
        <v>46174</v>
      </c>
      <c r="D1484" s="4">
        <v>46203</v>
      </c>
      <c r="E1484" s="3" t="s">
        <v>302</v>
      </c>
      <c r="F1484" s="3" t="s">
        <v>319</v>
      </c>
      <c r="G1484" s="5">
        <v>0</v>
      </c>
      <c r="H1484" s="6" t="s">
        <v>74</v>
      </c>
      <c r="I1484" s="3" t="s">
        <v>45</v>
      </c>
    </row>
    <row r="1485" spans="1:9" ht="48" customHeight="1">
      <c r="A1485" s="3" t="s">
        <v>66</v>
      </c>
      <c r="B1485" s="3" t="s">
        <v>65</v>
      </c>
      <c r="C1485" s="4">
        <v>46174</v>
      </c>
      <c r="D1485" s="4">
        <v>46203</v>
      </c>
      <c r="E1485" s="3" t="s">
        <v>302</v>
      </c>
      <c r="F1485" s="3" t="s">
        <v>320</v>
      </c>
      <c r="G1485" s="5">
        <v>0</v>
      </c>
      <c r="H1485" s="6" t="s">
        <v>74</v>
      </c>
      <c r="I1485" s="3" t="s">
        <v>45</v>
      </c>
    </row>
    <row r="1486" spans="1:9" ht="48" customHeight="1">
      <c r="A1486" s="3" t="s">
        <v>66</v>
      </c>
      <c r="B1486" s="3" t="s">
        <v>65</v>
      </c>
      <c r="C1486" s="4">
        <v>46174</v>
      </c>
      <c r="D1486" s="4">
        <v>46203</v>
      </c>
      <c r="E1486" s="3" t="s">
        <v>302</v>
      </c>
      <c r="F1486" s="3" t="s">
        <v>321</v>
      </c>
      <c r="G1486" s="5">
        <v>0</v>
      </c>
      <c r="H1486" s="6" t="s">
        <v>74</v>
      </c>
      <c r="I1486" s="3" t="s">
        <v>45</v>
      </c>
    </row>
    <row r="1487" spans="1:9" ht="48" customHeight="1">
      <c r="A1487" s="3" t="s">
        <v>66</v>
      </c>
      <c r="B1487" s="3" t="s">
        <v>65</v>
      </c>
      <c r="C1487" s="4">
        <v>46174</v>
      </c>
      <c r="D1487" s="4">
        <v>46203</v>
      </c>
      <c r="E1487" s="3" t="s">
        <v>302</v>
      </c>
      <c r="F1487" s="3" t="s">
        <v>322</v>
      </c>
      <c r="G1487" s="5">
        <v>0</v>
      </c>
      <c r="H1487" s="6" t="s">
        <v>74</v>
      </c>
      <c r="I1487" s="3" t="s">
        <v>45</v>
      </c>
    </row>
    <row r="1488" spans="1:9" ht="48" customHeight="1">
      <c r="A1488" s="3" t="s">
        <v>66</v>
      </c>
      <c r="B1488" s="3" t="s">
        <v>65</v>
      </c>
      <c r="C1488" s="4">
        <v>46174</v>
      </c>
      <c r="D1488" s="4">
        <v>46203</v>
      </c>
      <c r="E1488" s="3" t="s">
        <v>302</v>
      </c>
      <c r="F1488" s="3" t="s">
        <v>323</v>
      </c>
      <c r="G1488" s="5">
        <v>0</v>
      </c>
      <c r="H1488" s="6" t="s">
        <v>74</v>
      </c>
      <c r="I1488" s="3" t="s">
        <v>45</v>
      </c>
    </row>
    <row r="1489" spans="1:9" ht="48" customHeight="1">
      <c r="A1489" s="3" t="s">
        <v>66</v>
      </c>
      <c r="B1489" s="3" t="s">
        <v>65</v>
      </c>
      <c r="C1489" s="4">
        <v>46174</v>
      </c>
      <c r="D1489" s="4">
        <v>46203</v>
      </c>
      <c r="E1489" s="3" t="s">
        <v>302</v>
      </c>
      <c r="F1489" s="3" t="s">
        <v>324</v>
      </c>
      <c r="G1489" s="5">
        <v>0</v>
      </c>
      <c r="H1489" s="6" t="s">
        <v>74</v>
      </c>
      <c r="I1489" s="3" t="s">
        <v>45</v>
      </c>
    </row>
    <row r="1490" spans="1:9" ht="48" customHeight="1">
      <c r="A1490" s="3" t="s">
        <v>66</v>
      </c>
      <c r="B1490" s="3" t="s">
        <v>65</v>
      </c>
      <c r="C1490" s="4">
        <v>46174</v>
      </c>
      <c r="D1490" s="4">
        <v>46203</v>
      </c>
      <c r="E1490" s="3" t="s">
        <v>364</v>
      </c>
      <c r="F1490" s="3" t="s">
        <v>234</v>
      </c>
      <c r="G1490" s="5">
        <v>1E-3</v>
      </c>
      <c r="H1490" s="6" t="s">
        <v>74</v>
      </c>
      <c r="I1490" s="3" t="s">
        <v>45</v>
      </c>
    </row>
    <row r="1491" spans="1:9" ht="48" customHeight="1">
      <c r="A1491" s="3" t="s">
        <v>66</v>
      </c>
      <c r="B1491" s="3" t="s">
        <v>65</v>
      </c>
      <c r="C1491" s="4">
        <v>46174</v>
      </c>
      <c r="D1491" s="4">
        <v>46203</v>
      </c>
      <c r="E1491" s="3" t="s">
        <v>364</v>
      </c>
      <c r="F1491" s="3" t="s">
        <v>262</v>
      </c>
      <c r="G1491" s="5">
        <v>1E-3</v>
      </c>
      <c r="H1491" s="6" t="s">
        <v>74</v>
      </c>
      <c r="I1491" s="3" t="s">
        <v>45</v>
      </c>
    </row>
    <row r="1492" spans="1:9" ht="48" customHeight="1">
      <c r="A1492" s="3" t="s">
        <v>66</v>
      </c>
      <c r="B1492" s="3" t="s">
        <v>65</v>
      </c>
      <c r="C1492" s="4">
        <v>46174</v>
      </c>
      <c r="D1492" s="4">
        <v>46203</v>
      </c>
      <c r="E1492" s="3" t="s">
        <v>364</v>
      </c>
      <c r="F1492" s="3" t="s">
        <v>365</v>
      </c>
      <c r="G1492" s="5">
        <v>1E-3</v>
      </c>
      <c r="H1492" s="6" t="s">
        <v>74</v>
      </c>
      <c r="I1492" s="3" t="s">
        <v>45</v>
      </c>
    </row>
    <row r="1493" spans="1:9" ht="48" customHeight="1">
      <c r="A1493" s="3" t="s">
        <v>66</v>
      </c>
      <c r="B1493" s="3" t="s">
        <v>65</v>
      </c>
      <c r="C1493" s="4">
        <v>46174</v>
      </c>
      <c r="D1493" s="4">
        <v>46203</v>
      </c>
      <c r="E1493" s="3" t="s">
        <v>364</v>
      </c>
      <c r="F1493" s="3" t="s">
        <v>366</v>
      </c>
      <c r="G1493" s="5">
        <v>1E-3</v>
      </c>
      <c r="H1493" s="6" t="s">
        <v>74</v>
      </c>
      <c r="I1493" s="3" t="s">
        <v>45</v>
      </c>
    </row>
    <row r="1494" spans="1:9" ht="48" customHeight="1">
      <c r="A1494" s="3" t="s">
        <v>66</v>
      </c>
      <c r="B1494" s="3" t="s">
        <v>65</v>
      </c>
      <c r="C1494" s="4">
        <v>46174</v>
      </c>
      <c r="D1494" s="4">
        <v>46203</v>
      </c>
      <c r="E1494" s="3" t="s">
        <v>364</v>
      </c>
      <c r="F1494" s="3" t="s">
        <v>367</v>
      </c>
      <c r="G1494" s="5">
        <v>1E-3</v>
      </c>
      <c r="H1494" s="6" t="s">
        <v>74</v>
      </c>
      <c r="I1494" s="3" t="s">
        <v>45</v>
      </c>
    </row>
    <row r="1495" spans="1:9" ht="48" customHeight="1">
      <c r="A1495" s="3" t="s">
        <v>66</v>
      </c>
      <c r="B1495" s="3" t="s">
        <v>65</v>
      </c>
      <c r="C1495" s="4">
        <v>46174</v>
      </c>
      <c r="D1495" s="4">
        <v>46203</v>
      </c>
      <c r="E1495" s="3" t="s">
        <v>364</v>
      </c>
      <c r="F1495" s="3" t="s">
        <v>230</v>
      </c>
      <c r="G1495" s="5">
        <v>0</v>
      </c>
      <c r="H1495" s="6" t="s">
        <v>74</v>
      </c>
      <c r="I1495" s="3" t="s">
        <v>45</v>
      </c>
    </row>
    <row r="1496" spans="1:9" ht="48" customHeight="1">
      <c r="A1496" s="3" t="s">
        <v>66</v>
      </c>
      <c r="B1496" s="3" t="s">
        <v>65</v>
      </c>
      <c r="C1496" s="4">
        <v>46174</v>
      </c>
      <c r="D1496" s="4">
        <v>46203</v>
      </c>
      <c r="E1496" s="3" t="s">
        <v>364</v>
      </c>
      <c r="F1496" s="3" t="s">
        <v>232</v>
      </c>
      <c r="G1496" s="5">
        <v>0</v>
      </c>
      <c r="H1496" s="6" t="s">
        <v>74</v>
      </c>
      <c r="I1496" s="3" t="s">
        <v>45</v>
      </c>
    </row>
    <row r="1497" spans="1:9" ht="48" customHeight="1">
      <c r="A1497" s="3" t="s">
        <v>66</v>
      </c>
      <c r="B1497" s="3" t="s">
        <v>65</v>
      </c>
      <c r="C1497" s="4">
        <v>46174</v>
      </c>
      <c r="D1497" s="4">
        <v>46203</v>
      </c>
      <c r="E1497" s="3" t="s">
        <v>364</v>
      </c>
      <c r="F1497" s="3" t="s">
        <v>265</v>
      </c>
      <c r="G1497" s="5">
        <v>0</v>
      </c>
      <c r="H1497" s="6" t="s">
        <v>74</v>
      </c>
      <c r="I1497" s="3" t="s">
        <v>45</v>
      </c>
    </row>
    <row r="1498" spans="1:9" ht="48" customHeight="1">
      <c r="A1498" s="3" t="s">
        <v>66</v>
      </c>
      <c r="B1498" s="3" t="s">
        <v>65</v>
      </c>
      <c r="C1498" s="4">
        <v>46174</v>
      </c>
      <c r="D1498" s="4">
        <v>46203</v>
      </c>
      <c r="E1498" s="3" t="s">
        <v>364</v>
      </c>
      <c r="F1498" s="3" t="s">
        <v>79</v>
      </c>
      <c r="G1498" s="5">
        <v>0</v>
      </c>
      <c r="H1498" s="6" t="s">
        <v>74</v>
      </c>
      <c r="I1498" s="3" t="s">
        <v>45</v>
      </c>
    </row>
    <row r="1499" spans="1:9" ht="48" customHeight="1">
      <c r="A1499" s="3" t="s">
        <v>66</v>
      </c>
      <c r="B1499" s="3" t="s">
        <v>65</v>
      </c>
      <c r="C1499" s="4">
        <v>46174</v>
      </c>
      <c r="D1499" s="4">
        <v>46203</v>
      </c>
      <c r="E1499" s="3" t="s">
        <v>368</v>
      </c>
      <c r="F1499" s="3" t="s">
        <v>265</v>
      </c>
      <c r="G1499" s="5">
        <v>1E-3</v>
      </c>
      <c r="H1499" s="6" t="s">
        <v>74</v>
      </c>
      <c r="I1499" s="3" t="s">
        <v>45</v>
      </c>
    </row>
    <row r="1500" spans="1:9" ht="48" customHeight="1">
      <c r="A1500" s="3" t="s">
        <v>66</v>
      </c>
      <c r="B1500" s="3" t="s">
        <v>65</v>
      </c>
      <c r="C1500" s="4">
        <v>46174</v>
      </c>
      <c r="D1500" s="4">
        <v>46203</v>
      </c>
      <c r="E1500" s="3" t="s">
        <v>368</v>
      </c>
      <c r="F1500" s="3" t="s">
        <v>370</v>
      </c>
      <c r="G1500" s="5">
        <v>1E-3</v>
      </c>
      <c r="H1500" s="6" t="s">
        <v>74</v>
      </c>
      <c r="I1500" s="3" t="s">
        <v>45</v>
      </c>
    </row>
    <row r="1501" spans="1:9" ht="48" customHeight="1">
      <c r="A1501" s="3" t="s">
        <v>66</v>
      </c>
      <c r="B1501" s="3" t="s">
        <v>65</v>
      </c>
      <c r="C1501" s="4">
        <v>46174</v>
      </c>
      <c r="D1501" s="4">
        <v>46203</v>
      </c>
      <c r="E1501" s="3" t="s">
        <v>368</v>
      </c>
      <c r="F1501" s="3" t="s">
        <v>371</v>
      </c>
      <c r="G1501" s="5">
        <v>1E-3</v>
      </c>
      <c r="H1501" s="6" t="s">
        <v>74</v>
      </c>
      <c r="I1501" s="3" t="s">
        <v>45</v>
      </c>
    </row>
    <row r="1502" spans="1:9" ht="48" customHeight="1">
      <c r="A1502" s="3" t="s">
        <v>66</v>
      </c>
      <c r="B1502" s="3" t="s">
        <v>65</v>
      </c>
      <c r="C1502" s="4">
        <v>46174</v>
      </c>
      <c r="D1502" s="4">
        <v>46203</v>
      </c>
      <c r="E1502" s="3" t="s">
        <v>368</v>
      </c>
      <c r="F1502" s="3" t="s">
        <v>230</v>
      </c>
      <c r="G1502" s="5">
        <v>0</v>
      </c>
      <c r="H1502" s="6" t="s">
        <v>74</v>
      </c>
      <c r="I1502" s="3" t="s">
        <v>45</v>
      </c>
    </row>
    <row r="1503" spans="1:9" ht="48" customHeight="1">
      <c r="A1503" s="3" t="s">
        <v>66</v>
      </c>
      <c r="B1503" s="3" t="s">
        <v>65</v>
      </c>
      <c r="C1503" s="4">
        <v>46174</v>
      </c>
      <c r="D1503" s="4">
        <v>46203</v>
      </c>
      <c r="E1503" s="3" t="s">
        <v>368</v>
      </c>
      <c r="F1503" s="3" t="s">
        <v>232</v>
      </c>
      <c r="G1503" s="5">
        <v>0</v>
      </c>
      <c r="H1503" s="6" t="s">
        <v>74</v>
      </c>
      <c r="I1503" s="3" t="s">
        <v>45</v>
      </c>
    </row>
    <row r="1504" spans="1:9" ht="48" customHeight="1">
      <c r="A1504" s="3" t="s">
        <v>66</v>
      </c>
      <c r="B1504" s="3" t="s">
        <v>65</v>
      </c>
      <c r="C1504" s="4">
        <v>46174</v>
      </c>
      <c r="D1504" s="4">
        <v>46203</v>
      </c>
      <c r="E1504" s="3" t="s">
        <v>368</v>
      </c>
      <c r="F1504" s="3" t="s">
        <v>234</v>
      </c>
      <c r="G1504" s="5">
        <v>0</v>
      </c>
      <c r="H1504" s="6" t="s">
        <v>74</v>
      </c>
      <c r="I1504" s="3" t="s">
        <v>45</v>
      </c>
    </row>
    <row r="1505" spans="1:9" ht="48" customHeight="1">
      <c r="A1505" s="3" t="s">
        <v>66</v>
      </c>
      <c r="B1505" s="3" t="s">
        <v>65</v>
      </c>
      <c r="C1505" s="4">
        <v>46174</v>
      </c>
      <c r="D1505" s="4">
        <v>46203</v>
      </c>
      <c r="E1505" s="3" t="s">
        <v>368</v>
      </c>
      <c r="F1505" s="3" t="s">
        <v>372</v>
      </c>
      <c r="G1505" s="5">
        <v>0</v>
      </c>
      <c r="H1505" s="6" t="s">
        <v>74</v>
      </c>
      <c r="I1505" s="3" t="s">
        <v>45</v>
      </c>
    </row>
    <row r="1506" spans="1:9" ht="48" customHeight="1">
      <c r="A1506" s="3" t="s">
        <v>66</v>
      </c>
      <c r="B1506" s="3" t="s">
        <v>65</v>
      </c>
      <c r="C1506" s="4">
        <v>46174</v>
      </c>
      <c r="D1506" s="4">
        <v>46203</v>
      </c>
      <c r="E1506" s="3" t="s">
        <v>368</v>
      </c>
      <c r="F1506" s="3" t="s">
        <v>369</v>
      </c>
      <c r="G1506" s="5">
        <v>0</v>
      </c>
      <c r="H1506" s="6" t="s">
        <v>74</v>
      </c>
      <c r="I1506" s="3" t="s">
        <v>45</v>
      </c>
    </row>
    <row r="1507" spans="1:9" ht="48" customHeight="1">
      <c r="A1507" s="3" t="s">
        <v>66</v>
      </c>
      <c r="B1507" s="3" t="s">
        <v>65</v>
      </c>
      <c r="C1507" s="4">
        <v>46174</v>
      </c>
      <c r="D1507" s="4">
        <v>46203</v>
      </c>
      <c r="E1507" s="3" t="s">
        <v>368</v>
      </c>
      <c r="F1507" s="3" t="s">
        <v>373</v>
      </c>
      <c r="G1507" s="5">
        <v>0</v>
      </c>
      <c r="H1507" s="6" t="s">
        <v>74</v>
      </c>
      <c r="I1507" s="3" t="s">
        <v>45</v>
      </c>
    </row>
    <row r="1508" spans="1:9" ht="48" customHeight="1">
      <c r="A1508" s="3" t="s">
        <v>66</v>
      </c>
      <c r="B1508" s="3" t="s">
        <v>65</v>
      </c>
      <c r="C1508" s="4">
        <v>46174</v>
      </c>
      <c r="D1508" s="4">
        <v>46203</v>
      </c>
      <c r="E1508" s="3" t="s">
        <v>368</v>
      </c>
      <c r="F1508" s="3" t="s">
        <v>262</v>
      </c>
      <c r="G1508" s="5">
        <v>0</v>
      </c>
      <c r="H1508" s="6" t="s">
        <v>74</v>
      </c>
      <c r="I1508" s="3" t="s">
        <v>45</v>
      </c>
    </row>
    <row r="1509" spans="1:9" ht="48" customHeight="1">
      <c r="A1509" s="3" t="s">
        <v>66</v>
      </c>
      <c r="B1509" s="3" t="s">
        <v>65</v>
      </c>
      <c r="C1509" s="4">
        <v>46174</v>
      </c>
      <c r="D1509" s="4">
        <v>46203</v>
      </c>
      <c r="E1509" s="3" t="s">
        <v>368</v>
      </c>
      <c r="F1509" s="3" t="s">
        <v>374</v>
      </c>
      <c r="G1509" s="5">
        <v>0</v>
      </c>
      <c r="H1509" s="6" t="s">
        <v>74</v>
      </c>
      <c r="I1509" s="3" t="s">
        <v>45</v>
      </c>
    </row>
    <row r="1510" spans="1:9" ht="48" customHeight="1">
      <c r="A1510" s="3" t="s">
        <v>66</v>
      </c>
      <c r="B1510" s="3" t="s">
        <v>65</v>
      </c>
      <c r="C1510" s="4">
        <v>46174</v>
      </c>
      <c r="D1510" s="4">
        <v>46203</v>
      </c>
      <c r="E1510" s="3" t="s">
        <v>368</v>
      </c>
      <c r="F1510" s="3" t="s">
        <v>207</v>
      </c>
      <c r="G1510" s="5">
        <v>0</v>
      </c>
      <c r="H1510" s="6" t="s">
        <v>74</v>
      </c>
      <c r="I1510" s="3" t="s">
        <v>45</v>
      </c>
    </row>
    <row r="1511" spans="1:9" ht="48" customHeight="1">
      <c r="A1511" s="3" t="s">
        <v>66</v>
      </c>
      <c r="B1511" s="3" t="s">
        <v>65</v>
      </c>
      <c r="C1511" s="4">
        <v>46174</v>
      </c>
      <c r="D1511" s="4">
        <v>46203</v>
      </c>
      <c r="E1511" s="3" t="s">
        <v>368</v>
      </c>
      <c r="F1511" s="3" t="s">
        <v>375</v>
      </c>
      <c r="G1511" s="5">
        <v>0</v>
      </c>
      <c r="H1511" s="6" t="s">
        <v>74</v>
      </c>
      <c r="I1511" s="3" t="s">
        <v>45</v>
      </c>
    </row>
    <row r="1512" spans="1:9" ht="48" customHeight="1">
      <c r="A1512" s="3" t="s">
        <v>66</v>
      </c>
      <c r="B1512" s="3" t="s">
        <v>65</v>
      </c>
      <c r="C1512" s="4">
        <v>46174</v>
      </c>
      <c r="D1512" s="4">
        <v>46203</v>
      </c>
      <c r="E1512" s="3" t="s">
        <v>368</v>
      </c>
      <c r="F1512" s="3" t="s">
        <v>376</v>
      </c>
      <c r="G1512" s="5">
        <v>0</v>
      </c>
      <c r="H1512" s="6" t="s">
        <v>74</v>
      </c>
      <c r="I1512" s="3" t="s">
        <v>45</v>
      </c>
    </row>
    <row r="1513" spans="1:9" ht="48" customHeight="1">
      <c r="A1513" s="3" t="s">
        <v>66</v>
      </c>
      <c r="B1513" s="3" t="s">
        <v>65</v>
      </c>
      <c r="C1513" s="4">
        <v>46174</v>
      </c>
      <c r="D1513" s="4">
        <v>46203</v>
      </c>
      <c r="E1513" s="3" t="s">
        <v>368</v>
      </c>
      <c r="F1513" s="3" t="s">
        <v>377</v>
      </c>
      <c r="G1513" s="5">
        <v>0</v>
      </c>
      <c r="H1513" s="6" t="s">
        <v>74</v>
      </c>
      <c r="I1513" s="3" t="s">
        <v>45</v>
      </c>
    </row>
    <row r="1514" spans="1:9" ht="48" customHeight="1">
      <c r="A1514" s="3" t="s">
        <v>66</v>
      </c>
      <c r="B1514" s="3" t="s">
        <v>65</v>
      </c>
      <c r="C1514" s="4">
        <v>46174</v>
      </c>
      <c r="D1514" s="4">
        <v>46203</v>
      </c>
      <c r="E1514" s="3" t="s">
        <v>368</v>
      </c>
      <c r="F1514" s="3" t="s">
        <v>378</v>
      </c>
      <c r="G1514" s="5">
        <v>0</v>
      </c>
      <c r="H1514" s="6" t="s">
        <v>74</v>
      </c>
      <c r="I1514" s="3" t="s">
        <v>45</v>
      </c>
    </row>
    <row r="1515" spans="1:9" ht="48" customHeight="1">
      <c r="A1515" s="3" t="s">
        <v>66</v>
      </c>
      <c r="B1515" s="3" t="s">
        <v>65</v>
      </c>
      <c r="C1515" s="4">
        <v>46174</v>
      </c>
      <c r="D1515" s="4">
        <v>46203</v>
      </c>
      <c r="E1515" s="3" t="s">
        <v>379</v>
      </c>
      <c r="F1515" s="3" t="s">
        <v>380</v>
      </c>
      <c r="G1515" s="5">
        <v>1E-3</v>
      </c>
      <c r="H1515" s="6" t="s">
        <v>74</v>
      </c>
      <c r="I1515" s="3" t="s">
        <v>45</v>
      </c>
    </row>
    <row r="1516" spans="1:9" ht="48" customHeight="1">
      <c r="A1516" s="3" t="s">
        <v>66</v>
      </c>
      <c r="B1516" s="3" t="s">
        <v>65</v>
      </c>
      <c r="C1516" s="4">
        <v>46174</v>
      </c>
      <c r="D1516" s="4">
        <v>46203</v>
      </c>
      <c r="E1516" s="3" t="s">
        <v>379</v>
      </c>
      <c r="F1516" s="3" t="s">
        <v>230</v>
      </c>
      <c r="G1516" s="5">
        <v>0</v>
      </c>
      <c r="H1516" s="6" t="s">
        <v>74</v>
      </c>
      <c r="I1516" s="3" t="s">
        <v>45</v>
      </c>
    </row>
    <row r="1517" spans="1:9" ht="48" customHeight="1">
      <c r="A1517" s="3" t="s">
        <v>66</v>
      </c>
      <c r="B1517" s="3" t="s">
        <v>65</v>
      </c>
      <c r="C1517" s="4">
        <v>46174</v>
      </c>
      <c r="D1517" s="4">
        <v>46203</v>
      </c>
      <c r="E1517" s="3" t="s">
        <v>379</v>
      </c>
      <c r="F1517" s="3" t="s">
        <v>265</v>
      </c>
      <c r="G1517" s="5">
        <v>0</v>
      </c>
      <c r="H1517" s="6" t="s">
        <v>74</v>
      </c>
      <c r="I1517" s="3" t="s">
        <v>45</v>
      </c>
    </row>
    <row r="1518" spans="1:9" ht="48" customHeight="1">
      <c r="A1518" s="3" t="s">
        <v>66</v>
      </c>
      <c r="B1518" s="3" t="s">
        <v>65</v>
      </c>
      <c r="C1518" s="4">
        <v>46174</v>
      </c>
      <c r="D1518" s="4">
        <v>46203</v>
      </c>
      <c r="E1518" s="3" t="s">
        <v>379</v>
      </c>
      <c r="F1518" s="3" t="s">
        <v>234</v>
      </c>
      <c r="G1518" s="5">
        <v>0</v>
      </c>
      <c r="H1518" s="6" t="s">
        <v>74</v>
      </c>
      <c r="I1518" s="3" t="s">
        <v>45</v>
      </c>
    </row>
    <row r="1519" spans="1:9" ht="48" customHeight="1">
      <c r="A1519" s="3" t="s">
        <v>66</v>
      </c>
      <c r="B1519" s="3" t="s">
        <v>65</v>
      </c>
      <c r="C1519" s="4">
        <v>46174</v>
      </c>
      <c r="D1519" s="4">
        <v>46203</v>
      </c>
      <c r="E1519" s="3" t="s">
        <v>379</v>
      </c>
      <c r="F1519" s="3" t="s">
        <v>262</v>
      </c>
      <c r="G1519" s="5">
        <v>0</v>
      </c>
      <c r="H1519" s="6" t="s">
        <v>74</v>
      </c>
      <c r="I1519" s="3" t="s">
        <v>45</v>
      </c>
    </row>
    <row r="1520" spans="1:9" ht="48" customHeight="1">
      <c r="A1520" s="3" t="s">
        <v>66</v>
      </c>
      <c r="B1520" s="3" t="s">
        <v>65</v>
      </c>
      <c r="C1520" s="4">
        <v>46174</v>
      </c>
      <c r="D1520" s="4">
        <v>46203</v>
      </c>
      <c r="E1520" s="3" t="s">
        <v>381</v>
      </c>
      <c r="F1520" s="3" t="s">
        <v>382</v>
      </c>
      <c r="G1520" s="5">
        <v>1E-3</v>
      </c>
      <c r="H1520" s="6" t="s">
        <v>74</v>
      </c>
      <c r="I1520" s="3" t="s">
        <v>45</v>
      </c>
    </row>
    <row r="1521" spans="1:9" ht="48" customHeight="1">
      <c r="A1521" s="3" t="s">
        <v>66</v>
      </c>
      <c r="B1521" s="3" t="s">
        <v>65</v>
      </c>
      <c r="C1521" s="4">
        <v>46174</v>
      </c>
      <c r="D1521" s="4">
        <v>46203</v>
      </c>
      <c r="E1521" s="3" t="s">
        <v>381</v>
      </c>
      <c r="F1521" s="3" t="s">
        <v>383</v>
      </c>
      <c r="G1521" s="5">
        <v>1E-3</v>
      </c>
      <c r="H1521" s="6" t="s">
        <v>74</v>
      </c>
      <c r="I1521" s="3" t="s">
        <v>45</v>
      </c>
    </row>
    <row r="1522" spans="1:9" ht="48" customHeight="1">
      <c r="A1522" s="3" t="s">
        <v>66</v>
      </c>
      <c r="B1522" s="3" t="s">
        <v>65</v>
      </c>
      <c r="C1522" s="4">
        <v>46204</v>
      </c>
      <c r="D1522" s="4">
        <v>46234</v>
      </c>
      <c r="E1522" s="3" t="s">
        <v>68</v>
      </c>
      <c r="F1522" s="3" t="s">
        <v>146</v>
      </c>
      <c r="G1522" s="5">
        <v>0.184</v>
      </c>
      <c r="H1522" s="6" t="s">
        <v>75</v>
      </c>
      <c r="I1522" s="3" t="s">
        <v>45</v>
      </c>
    </row>
    <row r="1523" spans="1:9" ht="48" customHeight="1">
      <c r="A1523" s="3" t="s">
        <v>66</v>
      </c>
      <c r="B1523" s="3" t="s">
        <v>65</v>
      </c>
      <c r="C1523" s="4">
        <v>46204</v>
      </c>
      <c r="D1523" s="4">
        <v>46234</v>
      </c>
      <c r="E1523" s="3" t="s">
        <v>68</v>
      </c>
      <c r="F1523" s="3" t="s">
        <v>147</v>
      </c>
      <c r="G1523" s="5">
        <v>7.0999999999999994E-2</v>
      </c>
      <c r="H1523" s="6" t="s">
        <v>75</v>
      </c>
      <c r="I1523" s="3" t="s">
        <v>45</v>
      </c>
    </row>
    <row r="1524" spans="1:9" ht="48" customHeight="1">
      <c r="A1524" s="3" t="s">
        <v>66</v>
      </c>
      <c r="B1524" s="3" t="s">
        <v>65</v>
      </c>
      <c r="C1524" s="4">
        <v>46204</v>
      </c>
      <c r="D1524" s="4">
        <v>46234</v>
      </c>
      <c r="E1524" s="3" t="s">
        <v>68</v>
      </c>
      <c r="F1524" s="3" t="s">
        <v>148</v>
      </c>
      <c r="G1524" s="5">
        <v>6.4000000000000001E-2</v>
      </c>
      <c r="H1524" s="6" t="s">
        <v>75</v>
      </c>
      <c r="I1524" s="3" t="s">
        <v>45</v>
      </c>
    </row>
    <row r="1525" spans="1:9" ht="48" customHeight="1">
      <c r="A1525" s="3" t="s">
        <v>66</v>
      </c>
      <c r="B1525" s="3" t="s">
        <v>65</v>
      </c>
      <c r="C1525" s="4">
        <v>46204</v>
      </c>
      <c r="D1525" s="4">
        <v>46234</v>
      </c>
      <c r="E1525" s="3" t="s">
        <v>68</v>
      </c>
      <c r="F1525" s="3" t="s">
        <v>149</v>
      </c>
      <c r="G1525" s="5">
        <v>4.4999999999999998E-2</v>
      </c>
      <c r="H1525" s="6" t="s">
        <v>75</v>
      </c>
      <c r="I1525" s="3" t="s">
        <v>45</v>
      </c>
    </row>
    <row r="1526" spans="1:9" ht="48" customHeight="1">
      <c r="A1526" s="3" t="s">
        <v>66</v>
      </c>
      <c r="B1526" s="3" t="s">
        <v>65</v>
      </c>
      <c r="C1526" s="4">
        <v>46204</v>
      </c>
      <c r="D1526" s="4">
        <v>46234</v>
      </c>
      <c r="E1526" s="3" t="s">
        <v>68</v>
      </c>
      <c r="F1526" s="3" t="s">
        <v>150</v>
      </c>
      <c r="G1526" s="5">
        <v>2.7999999999999997E-2</v>
      </c>
      <c r="H1526" s="6" t="s">
        <v>75</v>
      </c>
      <c r="I1526" s="3" t="s">
        <v>45</v>
      </c>
    </row>
    <row r="1527" spans="1:9" ht="48" customHeight="1">
      <c r="A1527" s="3" t="s">
        <v>66</v>
      </c>
      <c r="B1527" s="3" t="s">
        <v>65</v>
      </c>
      <c r="C1527" s="4">
        <v>46204</v>
      </c>
      <c r="D1527" s="4">
        <v>46234</v>
      </c>
      <c r="E1527" s="3" t="s">
        <v>68</v>
      </c>
      <c r="F1527" s="3" t="s">
        <v>151</v>
      </c>
      <c r="G1527" s="5">
        <v>2.5000000000000001E-2</v>
      </c>
      <c r="H1527" s="6" t="s">
        <v>75</v>
      </c>
      <c r="I1527" s="3" t="s">
        <v>45</v>
      </c>
    </row>
    <row r="1528" spans="1:9" ht="48" customHeight="1">
      <c r="A1528" s="3" t="s">
        <v>66</v>
      </c>
      <c r="B1528" s="3" t="s">
        <v>65</v>
      </c>
      <c r="C1528" s="4">
        <v>46204</v>
      </c>
      <c r="D1528" s="4">
        <v>46234</v>
      </c>
      <c r="E1528" s="3" t="s">
        <v>68</v>
      </c>
      <c r="F1528" s="3" t="s">
        <v>152</v>
      </c>
      <c r="G1528" s="5">
        <v>1.8000000000000002E-2</v>
      </c>
      <c r="H1528" s="6" t="s">
        <v>75</v>
      </c>
      <c r="I1528" s="3" t="s">
        <v>45</v>
      </c>
    </row>
    <row r="1529" spans="1:9" ht="48" customHeight="1">
      <c r="A1529" s="3" t="s">
        <v>66</v>
      </c>
      <c r="B1529" s="3" t="s">
        <v>65</v>
      </c>
      <c r="C1529" s="4">
        <v>46204</v>
      </c>
      <c r="D1529" s="4">
        <v>46234</v>
      </c>
      <c r="E1529" s="3" t="s">
        <v>68</v>
      </c>
      <c r="F1529" s="3" t="s">
        <v>153</v>
      </c>
      <c r="G1529" s="5">
        <v>1.7000000000000001E-2</v>
      </c>
      <c r="H1529" s="6" t="s">
        <v>75</v>
      </c>
      <c r="I1529" s="3" t="s">
        <v>45</v>
      </c>
    </row>
    <row r="1530" spans="1:9" ht="48" customHeight="1">
      <c r="A1530" s="3" t="s">
        <v>66</v>
      </c>
      <c r="B1530" s="3" t="s">
        <v>65</v>
      </c>
      <c r="C1530" s="4">
        <v>46204</v>
      </c>
      <c r="D1530" s="4">
        <v>46234</v>
      </c>
      <c r="E1530" s="3" t="s">
        <v>68</v>
      </c>
      <c r="F1530" s="3" t="s">
        <v>155</v>
      </c>
      <c r="G1530" s="5">
        <v>1.2E-2</v>
      </c>
      <c r="H1530" s="6" t="s">
        <v>75</v>
      </c>
      <c r="I1530" s="3" t="s">
        <v>45</v>
      </c>
    </row>
    <row r="1531" spans="1:9" ht="48" customHeight="1">
      <c r="A1531" s="3" t="s">
        <v>66</v>
      </c>
      <c r="B1531" s="3" t="s">
        <v>65</v>
      </c>
      <c r="C1531" s="4">
        <v>46204</v>
      </c>
      <c r="D1531" s="4">
        <v>46234</v>
      </c>
      <c r="E1531" s="3" t="s">
        <v>68</v>
      </c>
      <c r="F1531" s="3" t="s">
        <v>154</v>
      </c>
      <c r="G1531" s="5">
        <v>1.1000000000000001E-2</v>
      </c>
      <c r="H1531" s="6" t="s">
        <v>75</v>
      </c>
      <c r="I1531" s="3" t="s">
        <v>45</v>
      </c>
    </row>
    <row r="1532" spans="1:9" ht="48" customHeight="1">
      <c r="A1532" s="3" t="s">
        <v>66</v>
      </c>
      <c r="B1532" s="3" t="s">
        <v>65</v>
      </c>
      <c r="C1532" s="4">
        <v>46204</v>
      </c>
      <c r="D1532" s="4">
        <v>46234</v>
      </c>
      <c r="E1532" s="3" t="s">
        <v>68</v>
      </c>
      <c r="F1532" s="3" t="s">
        <v>156</v>
      </c>
      <c r="G1532" s="5">
        <v>6.0000000000000001E-3</v>
      </c>
      <c r="H1532" s="6" t="s">
        <v>75</v>
      </c>
      <c r="I1532" s="3" t="s">
        <v>45</v>
      </c>
    </row>
    <row r="1533" spans="1:9" ht="48" customHeight="1">
      <c r="A1533" s="3" t="s">
        <v>66</v>
      </c>
      <c r="B1533" s="3" t="s">
        <v>65</v>
      </c>
      <c r="C1533" s="4">
        <v>46204</v>
      </c>
      <c r="D1533" s="4">
        <v>46234</v>
      </c>
      <c r="E1533" s="3" t="s">
        <v>68</v>
      </c>
      <c r="F1533" s="3" t="s">
        <v>157</v>
      </c>
      <c r="G1533" s="5">
        <v>5.0000000000000001E-3</v>
      </c>
      <c r="H1533" s="6" t="s">
        <v>75</v>
      </c>
      <c r="I1533" s="3" t="s">
        <v>45</v>
      </c>
    </row>
    <row r="1534" spans="1:9" ht="48" customHeight="1">
      <c r="A1534" s="3" t="s">
        <v>66</v>
      </c>
      <c r="B1534" s="3" t="s">
        <v>65</v>
      </c>
      <c r="C1534" s="4">
        <v>46204</v>
      </c>
      <c r="D1534" s="4">
        <v>46234</v>
      </c>
      <c r="E1534" s="3" t="s">
        <v>68</v>
      </c>
      <c r="F1534" s="3" t="s">
        <v>158</v>
      </c>
      <c r="G1534" s="5">
        <v>3.0000000000000001E-3</v>
      </c>
      <c r="H1534" s="6" t="s">
        <v>75</v>
      </c>
      <c r="I1534" s="3" t="s">
        <v>45</v>
      </c>
    </row>
    <row r="1535" spans="1:9" ht="48" customHeight="1">
      <c r="A1535" s="3" t="s">
        <v>66</v>
      </c>
      <c r="B1535" s="3" t="s">
        <v>65</v>
      </c>
      <c r="C1535" s="4">
        <v>46204</v>
      </c>
      <c r="D1535" s="4">
        <v>46234</v>
      </c>
      <c r="E1535" s="3" t="s">
        <v>68</v>
      </c>
      <c r="F1535" s="3" t="s">
        <v>159</v>
      </c>
      <c r="G1535" s="5">
        <v>2E-3</v>
      </c>
      <c r="H1535" s="6" t="s">
        <v>75</v>
      </c>
      <c r="I1535" s="3" t="s">
        <v>45</v>
      </c>
    </row>
    <row r="1536" spans="1:9" ht="48" customHeight="1">
      <c r="A1536" s="3" t="s">
        <v>66</v>
      </c>
      <c r="B1536" s="3" t="s">
        <v>65</v>
      </c>
      <c r="C1536" s="4">
        <v>46204</v>
      </c>
      <c r="D1536" s="4">
        <v>46234</v>
      </c>
      <c r="E1536" s="3" t="s">
        <v>68</v>
      </c>
      <c r="F1536" s="3" t="s">
        <v>160</v>
      </c>
      <c r="G1536" s="5">
        <v>2E-3</v>
      </c>
      <c r="H1536" s="6" t="s">
        <v>75</v>
      </c>
      <c r="I1536" s="3" t="s">
        <v>45</v>
      </c>
    </row>
    <row r="1537" spans="1:9" ht="48" customHeight="1">
      <c r="A1537" s="3" t="s">
        <v>66</v>
      </c>
      <c r="B1537" s="3" t="s">
        <v>65</v>
      </c>
      <c r="C1537" s="4">
        <v>46204</v>
      </c>
      <c r="D1537" s="4">
        <v>46234</v>
      </c>
      <c r="E1537" s="3" t="s">
        <v>161</v>
      </c>
      <c r="F1537" s="3" t="s">
        <v>162</v>
      </c>
      <c r="G1537" s="5">
        <v>1.8000000000000002E-2</v>
      </c>
      <c r="H1537" s="6" t="s">
        <v>75</v>
      </c>
      <c r="I1537" s="3" t="s">
        <v>45</v>
      </c>
    </row>
    <row r="1538" spans="1:9" ht="48" customHeight="1">
      <c r="A1538" s="3" t="s">
        <v>66</v>
      </c>
      <c r="B1538" s="3" t="s">
        <v>65</v>
      </c>
      <c r="C1538" s="4">
        <v>46204</v>
      </c>
      <c r="D1538" s="4">
        <v>46234</v>
      </c>
      <c r="E1538" s="3" t="s">
        <v>161</v>
      </c>
      <c r="F1538" s="3" t="s">
        <v>163</v>
      </c>
      <c r="G1538" s="5">
        <v>9.0000000000000011E-3</v>
      </c>
      <c r="H1538" s="6" t="s">
        <v>75</v>
      </c>
      <c r="I1538" s="3" t="s">
        <v>45</v>
      </c>
    </row>
    <row r="1539" spans="1:9" ht="48" customHeight="1">
      <c r="A1539" s="3" t="s">
        <v>66</v>
      </c>
      <c r="B1539" s="3" t="s">
        <v>65</v>
      </c>
      <c r="C1539" s="4">
        <v>46204</v>
      </c>
      <c r="D1539" s="4">
        <v>46234</v>
      </c>
      <c r="E1539" s="3" t="s">
        <v>161</v>
      </c>
      <c r="F1539" s="3" t="s">
        <v>384</v>
      </c>
      <c r="G1539" s="5">
        <v>8.0000000000000002E-3</v>
      </c>
      <c r="H1539" s="6" t="s">
        <v>75</v>
      </c>
      <c r="I1539" s="3" t="s">
        <v>45</v>
      </c>
    </row>
    <row r="1540" spans="1:9" ht="48" customHeight="1">
      <c r="A1540" s="3" t="s">
        <v>66</v>
      </c>
      <c r="B1540" s="3" t="s">
        <v>65</v>
      </c>
      <c r="C1540" s="4">
        <v>46204</v>
      </c>
      <c r="D1540" s="4">
        <v>46234</v>
      </c>
      <c r="E1540" s="3" t="s">
        <v>161</v>
      </c>
      <c r="F1540" s="3" t="s">
        <v>164</v>
      </c>
      <c r="G1540" s="5">
        <v>6.9999999999999993E-3</v>
      </c>
      <c r="H1540" s="6" t="s">
        <v>75</v>
      </c>
      <c r="I1540" s="3" t="s">
        <v>45</v>
      </c>
    </row>
    <row r="1541" spans="1:9" ht="48" customHeight="1">
      <c r="A1541" s="3" t="s">
        <v>66</v>
      </c>
      <c r="B1541" s="3" t="s">
        <v>65</v>
      </c>
      <c r="C1541" s="4">
        <v>46204</v>
      </c>
      <c r="D1541" s="4">
        <v>46234</v>
      </c>
      <c r="E1541" s="3" t="s">
        <v>161</v>
      </c>
      <c r="F1541" s="3" t="s">
        <v>165</v>
      </c>
      <c r="G1541" s="5">
        <v>6.0000000000000001E-3</v>
      </c>
      <c r="H1541" s="6" t="s">
        <v>75</v>
      </c>
      <c r="I1541" s="3" t="s">
        <v>45</v>
      </c>
    </row>
    <row r="1542" spans="1:9" ht="48" customHeight="1">
      <c r="A1542" s="3" t="s">
        <v>66</v>
      </c>
      <c r="B1542" s="3" t="s">
        <v>65</v>
      </c>
      <c r="C1542" s="4">
        <v>46204</v>
      </c>
      <c r="D1542" s="4">
        <v>46234</v>
      </c>
      <c r="E1542" s="3" t="s">
        <v>161</v>
      </c>
      <c r="F1542" s="3" t="s">
        <v>166</v>
      </c>
      <c r="G1542" s="5">
        <v>6.0000000000000001E-3</v>
      </c>
      <c r="H1542" s="6" t="s">
        <v>75</v>
      </c>
      <c r="I1542" s="3" t="s">
        <v>45</v>
      </c>
    </row>
    <row r="1543" spans="1:9" ht="48" customHeight="1">
      <c r="A1543" s="3" t="s">
        <v>66</v>
      </c>
      <c r="B1543" s="3" t="s">
        <v>65</v>
      </c>
      <c r="C1543" s="4">
        <v>46204</v>
      </c>
      <c r="D1543" s="4">
        <v>46234</v>
      </c>
      <c r="E1543" s="3" t="s">
        <v>161</v>
      </c>
      <c r="F1543" s="3" t="s">
        <v>173</v>
      </c>
      <c r="G1543" s="5">
        <v>6.0000000000000001E-3</v>
      </c>
      <c r="H1543" s="6" t="s">
        <v>75</v>
      </c>
      <c r="I1543" s="3" t="s">
        <v>45</v>
      </c>
    </row>
    <row r="1544" spans="1:9" ht="48" customHeight="1">
      <c r="A1544" s="3" t="s">
        <v>66</v>
      </c>
      <c r="B1544" s="3" t="s">
        <v>65</v>
      </c>
      <c r="C1544" s="4">
        <v>46204</v>
      </c>
      <c r="D1544" s="4">
        <v>46234</v>
      </c>
      <c r="E1544" s="3" t="s">
        <v>161</v>
      </c>
      <c r="F1544" s="3" t="s">
        <v>385</v>
      </c>
      <c r="G1544" s="5">
        <v>6.0000000000000001E-3</v>
      </c>
      <c r="H1544" s="6" t="s">
        <v>75</v>
      </c>
      <c r="I1544" s="3" t="s">
        <v>45</v>
      </c>
    </row>
    <row r="1545" spans="1:9" ht="48" customHeight="1">
      <c r="A1545" s="3" t="s">
        <v>66</v>
      </c>
      <c r="B1545" s="3" t="s">
        <v>65</v>
      </c>
      <c r="C1545" s="4">
        <v>46204</v>
      </c>
      <c r="D1545" s="4">
        <v>46234</v>
      </c>
      <c r="E1545" s="3" t="s">
        <v>161</v>
      </c>
      <c r="F1545" s="3" t="s">
        <v>167</v>
      </c>
      <c r="G1545" s="5">
        <v>5.0000000000000001E-3</v>
      </c>
      <c r="H1545" s="6" t="s">
        <v>75</v>
      </c>
      <c r="I1545" s="3" t="s">
        <v>45</v>
      </c>
    </row>
    <row r="1546" spans="1:9" ht="48" customHeight="1">
      <c r="A1546" s="3" t="s">
        <v>66</v>
      </c>
      <c r="B1546" s="3" t="s">
        <v>65</v>
      </c>
      <c r="C1546" s="4">
        <v>46204</v>
      </c>
      <c r="D1546" s="4">
        <v>46234</v>
      </c>
      <c r="E1546" s="3" t="s">
        <v>161</v>
      </c>
      <c r="F1546" s="3" t="s">
        <v>168</v>
      </c>
      <c r="G1546" s="5">
        <v>5.0000000000000001E-3</v>
      </c>
      <c r="H1546" s="6" t="s">
        <v>75</v>
      </c>
      <c r="I1546" s="3" t="s">
        <v>45</v>
      </c>
    </row>
    <row r="1547" spans="1:9" ht="48" customHeight="1">
      <c r="A1547" s="3" t="s">
        <v>66</v>
      </c>
      <c r="B1547" s="3" t="s">
        <v>65</v>
      </c>
      <c r="C1547" s="4">
        <v>46204</v>
      </c>
      <c r="D1547" s="4">
        <v>46234</v>
      </c>
      <c r="E1547" s="3" t="s">
        <v>161</v>
      </c>
      <c r="F1547" s="3" t="s">
        <v>169</v>
      </c>
      <c r="G1547" s="5">
        <v>5.0000000000000001E-3</v>
      </c>
      <c r="H1547" s="6" t="s">
        <v>75</v>
      </c>
      <c r="I1547" s="3" t="s">
        <v>45</v>
      </c>
    </row>
    <row r="1548" spans="1:9" ht="48" customHeight="1">
      <c r="A1548" s="3" t="s">
        <v>66</v>
      </c>
      <c r="B1548" s="3" t="s">
        <v>65</v>
      </c>
      <c r="C1548" s="4">
        <v>46204</v>
      </c>
      <c r="D1548" s="4">
        <v>46234</v>
      </c>
      <c r="E1548" s="3" t="s">
        <v>161</v>
      </c>
      <c r="F1548" s="3" t="s">
        <v>170</v>
      </c>
      <c r="G1548" s="5">
        <v>5.0000000000000001E-3</v>
      </c>
      <c r="H1548" s="6" t="s">
        <v>75</v>
      </c>
      <c r="I1548" s="3" t="s">
        <v>45</v>
      </c>
    </row>
    <row r="1549" spans="1:9" ht="48" customHeight="1">
      <c r="A1549" s="3" t="s">
        <v>66</v>
      </c>
      <c r="B1549" s="3" t="s">
        <v>65</v>
      </c>
      <c r="C1549" s="4">
        <v>46204</v>
      </c>
      <c r="D1549" s="4">
        <v>46234</v>
      </c>
      <c r="E1549" s="3" t="s">
        <v>161</v>
      </c>
      <c r="F1549" s="3" t="s">
        <v>171</v>
      </c>
      <c r="G1549" s="5">
        <v>5.0000000000000001E-3</v>
      </c>
      <c r="H1549" s="6" t="s">
        <v>75</v>
      </c>
      <c r="I1549" s="3" t="s">
        <v>45</v>
      </c>
    </row>
    <row r="1550" spans="1:9" ht="48" customHeight="1">
      <c r="A1550" s="3" t="s">
        <v>66</v>
      </c>
      <c r="B1550" s="3" t="s">
        <v>65</v>
      </c>
      <c r="C1550" s="4">
        <v>46204</v>
      </c>
      <c r="D1550" s="4">
        <v>46234</v>
      </c>
      <c r="E1550" s="3" t="s">
        <v>161</v>
      </c>
      <c r="F1550" s="3" t="s">
        <v>177</v>
      </c>
      <c r="G1550" s="5">
        <v>5.0000000000000001E-3</v>
      </c>
      <c r="H1550" s="6" t="s">
        <v>75</v>
      </c>
      <c r="I1550" s="3" t="s">
        <v>45</v>
      </c>
    </row>
    <row r="1551" spans="1:9" ht="48" customHeight="1">
      <c r="A1551" s="3" t="s">
        <v>66</v>
      </c>
      <c r="B1551" s="3" t="s">
        <v>65</v>
      </c>
      <c r="C1551" s="4">
        <v>46204</v>
      </c>
      <c r="D1551" s="4">
        <v>46234</v>
      </c>
      <c r="E1551" s="3" t="s">
        <v>161</v>
      </c>
      <c r="F1551" s="3" t="s">
        <v>172</v>
      </c>
      <c r="G1551" s="5">
        <v>5.0000000000000001E-3</v>
      </c>
      <c r="H1551" s="6" t="s">
        <v>75</v>
      </c>
      <c r="I1551" s="3" t="s">
        <v>45</v>
      </c>
    </row>
    <row r="1552" spans="1:9" ht="48" customHeight="1">
      <c r="A1552" s="3" t="s">
        <v>66</v>
      </c>
      <c r="B1552" s="3" t="s">
        <v>65</v>
      </c>
      <c r="C1552" s="4">
        <v>46204</v>
      </c>
      <c r="D1552" s="4">
        <v>46234</v>
      </c>
      <c r="E1552" s="3" t="s">
        <v>161</v>
      </c>
      <c r="F1552" s="3" t="s">
        <v>181</v>
      </c>
      <c r="G1552" s="5">
        <v>5.0000000000000001E-3</v>
      </c>
      <c r="H1552" s="6" t="s">
        <v>75</v>
      </c>
      <c r="I1552" s="3" t="s">
        <v>45</v>
      </c>
    </row>
    <row r="1553" spans="1:9" ht="48" customHeight="1">
      <c r="A1553" s="3" t="s">
        <v>66</v>
      </c>
      <c r="B1553" s="3" t="s">
        <v>65</v>
      </c>
      <c r="C1553" s="4">
        <v>46204</v>
      </c>
      <c r="D1553" s="4">
        <v>46234</v>
      </c>
      <c r="E1553" s="3" t="s">
        <v>161</v>
      </c>
      <c r="F1553" s="3" t="s">
        <v>183</v>
      </c>
      <c r="G1553" s="5">
        <v>5.0000000000000001E-3</v>
      </c>
      <c r="H1553" s="6" t="s">
        <v>75</v>
      </c>
      <c r="I1553" s="3" t="s">
        <v>45</v>
      </c>
    </row>
    <row r="1554" spans="1:9" ht="48" customHeight="1">
      <c r="A1554" s="3" t="s">
        <v>66</v>
      </c>
      <c r="B1554" s="3" t="s">
        <v>65</v>
      </c>
      <c r="C1554" s="4">
        <v>46204</v>
      </c>
      <c r="D1554" s="4">
        <v>46234</v>
      </c>
      <c r="E1554" s="3" t="s">
        <v>161</v>
      </c>
      <c r="F1554" s="3" t="s">
        <v>174</v>
      </c>
      <c r="G1554" s="5">
        <v>4.0000000000000001E-3</v>
      </c>
      <c r="H1554" s="6" t="s">
        <v>75</v>
      </c>
      <c r="I1554" s="3" t="s">
        <v>45</v>
      </c>
    </row>
    <row r="1555" spans="1:9" ht="48" customHeight="1">
      <c r="A1555" s="3" t="s">
        <v>66</v>
      </c>
      <c r="B1555" s="3" t="s">
        <v>65</v>
      </c>
      <c r="C1555" s="4">
        <v>46204</v>
      </c>
      <c r="D1555" s="4">
        <v>46234</v>
      </c>
      <c r="E1555" s="3" t="s">
        <v>161</v>
      </c>
      <c r="F1555" s="3" t="s">
        <v>176</v>
      </c>
      <c r="G1555" s="5">
        <v>4.0000000000000001E-3</v>
      </c>
      <c r="H1555" s="6" t="s">
        <v>75</v>
      </c>
      <c r="I1555" s="3" t="s">
        <v>45</v>
      </c>
    </row>
    <row r="1556" spans="1:9" ht="48" customHeight="1">
      <c r="A1556" s="3" t="s">
        <v>66</v>
      </c>
      <c r="B1556" s="3" t="s">
        <v>65</v>
      </c>
      <c r="C1556" s="4">
        <v>46204</v>
      </c>
      <c r="D1556" s="4">
        <v>46234</v>
      </c>
      <c r="E1556" s="3" t="s">
        <v>161</v>
      </c>
      <c r="F1556" s="3" t="s">
        <v>186</v>
      </c>
      <c r="G1556" s="5">
        <v>4.0000000000000001E-3</v>
      </c>
      <c r="H1556" s="6" t="s">
        <v>75</v>
      </c>
      <c r="I1556" s="3" t="s">
        <v>45</v>
      </c>
    </row>
    <row r="1557" spans="1:9" ht="48" customHeight="1">
      <c r="A1557" s="3" t="s">
        <v>66</v>
      </c>
      <c r="B1557" s="3" t="s">
        <v>65</v>
      </c>
      <c r="C1557" s="4">
        <v>46204</v>
      </c>
      <c r="D1557" s="4">
        <v>46234</v>
      </c>
      <c r="E1557" s="3" t="s">
        <v>161</v>
      </c>
      <c r="F1557" s="3" t="s">
        <v>178</v>
      </c>
      <c r="G1557" s="5">
        <v>4.0000000000000001E-3</v>
      </c>
      <c r="H1557" s="6" t="s">
        <v>75</v>
      </c>
      <c r="I1557" s="3" t="s">
        <v>45</v>
      </c>
    </row>
    <row r="1558" spans="1:9" ht="48" customHeight="1">
      <c r="A1558" s="3" t="s">
        <v>66</v>
      </c>
      <c r="B1558" s="3" t="s">
        <v>65</v>
      </c>
      <c r="C1558" s="4">
        <v>46204</v>
      </c>
      <c r="D1558" s="4">
        <v>46234</v>
      </c>
      <c r="E1558" s="3" t="s">
        <v>161</v>
      </c>
      <c r="F1558" s="3" t="s">
        <v>179</v>
      </c>
      <c r="G1558" s="5">
        <v>4.0000000000000001E-3</v>
      </c>
      <c r="H1558" s="6" t="s">
        <v>75</v>
      </c>
      <c r="I1558" s="3" t="s">
        <v>45</v>
      </c>
    </row>
    <row r="1559" spans="1:9" ht="48" customHeight="1">
      <c r="A1559" s="3" t="s">
        <v>66</v>
      </c>
      <c r="B1559" s="3" t="s">
        <v>65</v>
      </c>
      <c r="C1559" s="4">
        <v>46204</v>
      </c>
      <c r="D1559" s="4">
        <v>46234</v>
      </c>
      <c r="E1559" s="3" t="s">
        <v>161</v>
      </c>
      <c r="F1559" s="3" t="s">
        <v>180</v>
      </c>
      <c r="G1559" s="5">
        <v>4.0000000000000001E-3</v>
      </c>
      <c r="H1559" s="6" t="s">
        <v>75</v>
      </c>
      <c r="I1559" s="3" t="s">
        <v>45</v>
      </c>
    </row>
    <row r="1560" spans="1:9" ht="48" customHeight="1">
      <c r="A1560" s="3" t="s">
        <v>66</v>
      </c>
      <c r="B1560" s="3" t="s">
        <v>65</v>
      </c>
      <c r="C1560" s="4">
        <v>46204</v>
      </c>
      <c r="D1560" s="4">
        <v>46234</v>
      </c>
      <c r="E1560" s="3" t="s">
        <v>161</v>
      </c>
      <c r="F1560" s="3" t="s">
        <v>182</v>
      </c>
      <c r="G1560" s="5">
        <v>4.0000000000000001E-3</v>
      </c>
      <c r="H1560" s="6" t="s">
        <v>75</v>
      </c>
      <c r="I1560" s="3" t="s">
        <v>45</v>
      </c>
    </row>
    <row r="1561" spans="1:9" ht="48" customHeight="1">
      <c r="A1561" s="3" t="s">
        <v>66</v>
      </c>
      <c r="B1561" s="3" t="s">
        <v>65</v>
      </c>
      <c r="C1561" s="4">
        <v>46204</v>
      </c>
      <c r="D1561" s="4">
        <v>46234</v>
      </c>
      <c r="E1561" s="3" t="s">
        <v>161</v>
      </c>
      <c r="F1561" s="3" t="s">
        <v>184</v>
      </c>
      <c r="G1561" s="5">
        <v>4.0000000000000001E-3</v>
      </c>
      <c r="H1561" s="6" t="s">
        <v>75</v>
      </c>
      <c r="I1561" s="3" t="s">
        <v>45</v>
      </c>
    </row>
    <row r="1562" spans="1:9" ht="48" customHeight="1">
      <c r="A1562" s="3" t="s">
        <v>66</v>
      </c>
      <c r="B1562" s="3" t="s">
        <v>65</v>
      </c>
      <c r="C1562" s="4">
        <v>46204</v>
      </c>
      <c r="D1562" s="4">
        <v>46234</v>
      </c>
      <c r="E1562" s="3" t="s">
        <v>161</v>
      </c>
      <c r="F1562" s="3" t="s">
        <v>175</v>
      </c>
      <c r="G1562" s="5">
        <v>3.0000000000000001E-3</v>
      </c>
      <c r="H1562" s="6" t="s">
        <v>75</v>
      </c>
      <c r="I1562" s="3" t="s">
        <v>45</v>
      </c>
    </row>
    <row r="1563" spans="1:9" ht="48" customHeight="1">
      <c r="A1563" s="3" t="s">
        <v>66</v>
      </c>
      <c r="B1563" s="3" t="s">
        <v>65</v>
      </c>
      <c r="C1563" s="4">
        <v>46204</v>
      </c>
      <c r="D1563" s="4">
        <v>46234</v>
      </c>
      <c r="E1563" s="3" t="s">
        <v>161</v>
      </c>
      <c r="F1563" s="3" t="s">
        <v>189</v>
      </c>
      <c r="G1563" s="5">
        <v>3.0000000000000001E-3</v>
      </c>
      <c r="H1563" s="6" t="s">
        <v>75</v>
      </c>
      <c r="I1563" s="3" t="s">
        <v>45</v>
      </c>
    </row>
    <row r="1564" spans="1:9" ht="48" customHeight="1">
      <c r="A1564" s="3" t="s">
        <v>66</v>
      </c>
      <c r="B1564" s="3" t="s">
        <v>65</v>
      </c>
      <c r="C1564" s="4">
        <v>46204</v>
      </c>
      <c r="D1564" s="4">
        <v>46234</v>
      </c>
      <c r="E1564" s="3" t="s">
        <v>161</v>
      </c>
      <c r="F1564" s="3" t="s">
        <v>191</v>
      </c>
      <c r="G1564" s="5">
        <v>3.0000000000000001E-3</v>
      </c>
      <c r="H1564" s="6" t="s">
        <v>75</v>
      </c>
      <c r="I1564" s="3" t="s">
        <v>45</v>
      </c>
    </row>
    <row r="1565" spans="1:9" ht="48" customHeight="1">
      <c r="A1565" s="3" t="s">
        <v>66</v>
      </c>
      <c r="B1565" s="3" t="s">
        <v>65</v>
      </c>
      <c r="C1565" s="4">
        <v>46204</v>
      </c>
      <c r="D1565" s="4">
        <v>46234</v>
      </c>
      <c r="E1565" s="3" t="s">
        <v>161</v>
      </c>
      <c r="F1565" s="3" t="s">
        <v>185</v>
      </c>
      <c r="G1565" s="5">
        <v>3.0000000000000001E-3</v>
      </c>
      <c r="H1565" s="6" t="s">
        <v>75</v>
      </c>
      <c r="I1565" s="3" t="s">
        <v>45</v>
      </c>
    </row>
    <row r="1566" spans="1:9" ht="48" customHeight="1">
      <c r="A1566" s="3" t="s">
        <v>66</v>
      </c>
      <c r="B1566" s="3" t="s">
        <v>65</v>
      </c>
      <c r="C1566" s="4">
        <v>46204</v>
      </c>
      <c r="D1566" s="4">
        <v>46234</v>
      </c>
      <c r="E1566" s="3" t="s">
        <v>161</v>
      </c>
      <c r="F1566" s="3" t="s">
        <v>187</v>
      </c>
      <c r="G1566" s="5">
        <v>3.0000000000000001E-3</v>
      </c>
      <c r="H1566" s="6" t="s">
        <v>75</v>
      </c>
      <c r="I1566" s="3" t="s">
        <v>45</v>
      </c>
    </row>
    <row r="1567" spans="1:9" ht="48" customHeight="1">
      <c r="A1567" s="3" t="s">
        <v>66</v>
      </c>
      <c r="B1567" s="3" t="s">
        <v>65</v>
      </c>
      <c r="C1567" s="4">
        <v>46204</v>
      </c>
      <c r="D1567" s="4">
        <v>46234</v>
      </c>
      <c r="E1567" s="3" t="s">
        <v>161</v>
      </c>
      <c r="F1567" s="3" t="s">
        <v>192</v>
      </c>
      <c r="G1567" s="5">
        <v>3.0000000000000001E-3</v>
      </c>
      <c r="H1567" s="6" t="s">
        <v>75</v>
      </c>
      <c r="I1567" s="3" t="s">
        <v>45</v>
      </c>
    </row>
    <row r="1568" spans="1:9" ht="48" customHeight="1">
      <c r="A1568" s="3" t="s">
        <v>66</v>
      </c>
      <c r="B1568" s="3" t="s">
        <v>65</v>
      </c>
      <c r="C1568" s="4">
        <v>46204</v>
      </c>
      <c r="D1568" s="4">
        <v>46234</v>
      </c>
      <c r="E1568" s="3" t="s">
        <v>161</v>
      </c>
      <c r="F1568" s="3" t="s">
        <v>194</v>
      </c>
      <c r="G1568" s="5">
        <v>3.0000000000000001E-3</v>
      </c>
      <c r="H1568" s="6" t="s">
        <v>75</v>
      </c>
      <c r="I1568" s="3" t="s">
        <v>45</v>
      </c>
    </row>
    <row r="1569" spans="1:9" ht="48" customHeight="1">
      <c r="A1569" s="3" t="s">
        <v>66</v>
      </c>
      <c r="B1569" s="3" t="s">
        <v>65</v>
      </c>
      <c r="C1569" s="4">
        <v>46204</v>
      </c>
      <c r="D1569" s="4">
        <v>46234</v>
      </c>
      <c r="E1569" s="3" t="s">
        <v>161</v>
      </c>
      <c r="F1569" s="3" t="s">
        <v>188</v>
      </c>
      <c r="G1569" s="5">
        <v>3.0000000000000001E-3</v>
      </c>
      <c r="H1569" s="6" t="s">
        <v>75</v>
      </c>
      <c r="I1569" s="3" t="s">
        <v>45</v>
      </c>
    </row>
    <row r="1570" spans="1:9" ht="48" customHeight="1">
      <c r="A1570" s="3" t="s">
        <v>66</v>
      </c>
      <c r="B1570" s="3" t="s">
        <v>65</v>
      </c>
      <c r="C1570" s="4">
        <v>46204</v>
      </c>
      <c r="D1570" s="4">
        <v>46234</v>
      </c>
      <c r="E1570" s="3" t="s">
        <v>161</v>
      </c>
      <c r="F1570" s="3" t="s">
        <v>386</v>
      </c>
      <c r="G1570" s="5">
        <v>3.0000000000000001E-3</v>
      </c>
      <c r="H1570" s="6" t="s">
        <v>75</v>
      </c>
      <c r="I1570" s="3" t="s">
        <v>45</v>
      </c>
    </row>
    <row r="1571" spans="1:9" ht="48" customHeight="1">
      <c r="A1571" s="3" t="s">
        <v>66</v>
      </c>
      <c r="B1571" s="3" t="s">
        <v>65</v>
      </c>
      <c r="C1571" s="4">
        <v>46204</v>
      </c>
      <c r="D1571" s="4">
        <v>46234</v>
      </c>
      <c r="E1571" s="3" t="s">
        <v>161</v>
      </c>
      <c r="F1571" s="3" t="s">
        <v>387</v>
      </c>
      <c r="G1571" s="5">
        <v>3.0000000000000001E-3</v>
      </c>
      <c r="H1571" s="6" t="s">
        <v>75</v>
      </c>
      <c r="I1571" s="3" t="s">
        <v>45</v>
      </c>
    </row>
    <row r="1572" spans="1:9" ht="48" customHeight="1">
      <c r="A1572" s="3" t="s">
        <v>66</v>
      </c>
      <c r="B1572" s="3" t="s">
        <v>65</v>
      </c>
      <c r="C1572" s="4">
        <v>46204</v>
      </c>
      <c r="D1572" s="4">
        <v>46234</v>
      </c>
      <c r="E1572" s="3" t="s">
        <v>161</v>
      </c>
      <c r="F1572" s="3" t="s">
        <v>190</v>
      </c>
      <c r="G1572" s="5">
        <v>2E-3</v>
      </c>
      <c r="H1572" s="6" t="s">
        <v>75</v>
      </c>
      <c r="I1572" s="3" t="s">
        <v>45</v>
      </c>
    </row>
    <row r="1573" spans="1:9" ht="48" customHeight="1">
      <c r="A1573" s="3" t="s">
        <v>66</v>
      </c>
      <c r="B1573" s="3" t="s">
        <v>65</v>
      </c>
      <c r="C1573" s="4">
        <v>46204</v>
      </c>
      <c r="D1573" s="4">
        <v>46234</v>
      </c>
      <c r="E1573" s="3" t="s">
        <v>161</v>
      </c>
      <c r="F1573" s="3" t="s">
        <v>195</v>
      </c>
      <c r="G1573" s="5">
        <v>2E-3</v>
      </c>
      <c r="H1573" s="6" t="s">
        <v>75</v>
      </c>
      <c r="I1573" s="3" t="s">
        <v>45</v>
      </c>
    </row>
    <row r="1574" spans="1:9" ht="48" customHeight="1">
      <c r="A1574" s="3" t="s">
        <v>66</v>
      </c>
      <c r="B1574" s="3" t="s">
        <v>65</v>
      </c>
      <c r="C1574" s="4">
        <v>46204</v>
      </c>
      <c r="D1574" s="4">
        <v>46234</v>
      </c>
      <c r="E1574" s="3" t="s">
        <v>161</v>
      </c>
      <c r="F1574" s="3" t="s">
        <v>196</v>
      </c>
      <c r="G1574" s="5">
        <v>2E-3</v>
      </c>
      <c r="H1574" s="6" t="s">
        <v>75</v>
      </c>
      <c r="I1574" s="3" t="s">
        <v>45</v>
      </c>
    </row>
    <row r="1575" spans="1:9" ht="48" customHeight="1">
      <c r="A1575" s="3" t="s">
        <v>66</v>
      </c>
      <c r="B1575" s="3" t="s">
        <v>65</v>
      </c>
      <c r="C1575" s="4">
        <v>46204</v>
      </c>
      <c r="D1575" s="4">
        <v>46234</v>
      </c>
      <c r="E1575" s="3" t="s">
        <v>161</v>
      </c>
      <c r="F1575" s="3" t="s">
        <v>197</v>
      </c>
      <c r="G1575" s="5">
        <v>1E-3</v>
      </c>
      <c r="H1575" s="6" t="s">
        <v>75</v>
      </c>
      <c r="I1575" s="3" t="s">
        <v>45</v>
      </c>
    </row>
    <row r="1576" spans="1:9" ht="48" customHeight="1">
      <c r="A1576" s="3" t="s">
        <v>66</v>
      </c>
      <c r="B1576" s="3" t="s">
        <v>65</v>
      </c>
      <c r="C1576" s="4">
        <v>46204</v>
      </c>
      <c r="D1576" s="4">
        <v>46234</v>
      </c>
      <c r="E1576" s="3" t="s">
        <v>161</v>
      </c>
      <c r="F1576" s="3" t="s">
        <v>198</v>
      </c>
      <c r="G1576" s="5">
        <v>1E-3</v>
      </c>
      <c r="H1576" s="6" t="s">
        <v>75</v>
      </c>
      <c r="I1576" s="3" t="s">
        <v>45</v>
      </c>
    </row>
    <row r="1577" spans="1:9" ht="48" customHeight="1">
      <c r="A1577" s="3" t="s">
        <v>66</v>
      </c>
      <c r="B1577" s="3" t="s">
        <v>65</v>
      </c>
      <c r="C1577" s="4">
        <v>46204</v>
      </c>
      <c r="D1577" s="4">
        <v>46234</v>
      </c>
      <c r="E1577" s="3" t="s">
        <v>161</v>
      </c>
      <c r="F1577" s="3" t="s">
        <v>193</v>
      </c>
      <c r="G1577" s="5">
        <v>1E-3</v>
      </c>
      <c r="H1577" s="6" t="s">
        <v>75</v>
      </c>
      <c r="I1577" s="3" t="s">
        <v>45</v>
      </c>
    </row>
    <row r="1578" spans="1:9" ht="48" customHeight="1">
      <c r="A1578" s="3" t="s">
        <v>66</v>
      </c>
      <c r="B1578" s="3" t="s">
        <v>65</v>
      </c>
      <c r="C1578" s="4">
        <v>46204</v>
      </c>
      <c r="D1578" s="4">
        <v>46234</v>
      </c>
      <c r="E1578" s="3" t="s">
        <v>161</v>
      </c>
      <c r="F1578" s="3" t="s">
        <v>199</v>
      </c>
      <c r="G1578" s="5">
        <v>1E-3</v>
      </c>
      <c r="H1578" s="6" t="s">
        <v>75</v>
      </c>
      <c r="I1578" s="3" t="s">
        <v>45</v>
      </c>
    </row>
    <row r="1579" spans="1:9" ht="48" customHeight="1">
      <c r="A1579" s="3" t="s">
        <v>66</v>
      </c>
      <c r="B1579" s="3" t="s">
        <v>65</v>
      </c>
      <c r="C1579" s="4">
        <v>46204</v>
      </c>
      <c r="D1579" s="4">
        <v>46234</v>
      </c>
      <c r="E1579" s="3" t="s">
        <v>161</v>
      </c>
      <c r="F1579" s="3" t="s">
        <v>200</v>
      </c>
      <c r="G1579" s="5">
        <v>1E-3</v>
      </c>
      <c r="H1579" s="6" t="s">
        <v>75</v>
      </c>
      <c r="I1579" s="3" t="s">
        <v>45</v>
      </c>
    </row>
    <row r="1580" spans="1:9" ht="48" customHeight="1">
      <c r="A1580" s="3" t="s">
        <v>66</v>
      </c>
      <c r="B1580" s="3" t="s">
        <v>65</v>
      </c>
      <c r="C1580" s="4">
        <v>46204</v>
      </c>
      <c r="D1580" s="4">
        <v>46234</v>
      </c>
      <c r="E1580" s="3" t="s">
        <v>161</v>
      </c>
      <c r="F1580" s="3" t="s">
        <v>203</v>
      </c>
      <c r="G1580" s="5">
        <v>1E-3</v>
      </c>
      <c r="H1580" s="6" t="s">
        <v>75</v>
      </c>
      <c r="I1580" s="3" t="s">
        <v>45</v>
      </c>
    </row>
    <row r="1581" spans="1:9" ht="48" customHeight="1">
      <c r="A1581" s="3" t="s">
        <v>66</v>
      </c>
      <c r="B1581" s="3" t="s">
        <v>65</v>
      </c>
      <c r="C1581" s="4">
        <v>46204</v>
      </c>
      <c r="D1581" s="4">
        <v>46234</v>
      </c>
      <c r="E1581" s="3" t="s">
        <v>161</v>
      </c>
      <c r="F1581" s="3" t="s">
        <v>204</v>
      </c>
      <c r="G1581" s="5">
        <v>1E-3</v>
      </c>
      <c r="H1581" s="6" t="s">
        <v>75</v>
      </c>
      <c r="I1581" s="3" t="s">
        <v>45</v>
      </c>
    </row>
    <row r="1582" spans="1:9" ht="48" customHeight="1">
      <c r="A1582" s="3" t="s">
        <v>66</v>
      </c>
      <c r="B1582" s="3" t="s">
        <v>65</v>
      </c>
      <c r="C1582" s="4">
        <v>46204</v>
      </c>
      <c r="D1582" s="4">
        <v>46234</v>
      </c>
      <c r="E1582" s="3" t="s">
        <v>161</v>
      </c>
      <c r="F1582" s="3" t="s">
        <v>201</v>
      </c>
      <c r="G1582" s="5">
        <v>1E-3</v>
      </c>
      <c r="H1582" s="6" t="s">
        <v>75</v>
      </c>
      <c r="I1582" s="3" t="s">
        <v>45</v>
      </c>
    </row>
    <row r="1583" spans="1:9" ht="48" customHeight="1">
      <c r="A1583" s="3" t="s">
        <v>66</v>
      </c>
      <c r="B1583" s="3" t="s">
        <v>65</v>
      </c>
      <c r="C1583" s="4">
        <v>46204</v>
      </c>
      <c r="D1583" s="4">
        <v>46234</v>
      </c>
      <c r="E1583" s="3" t="s">
        <v>161</v>
      </c>
      <c r="F1583" s="3" t="s">
        <v>202</v>
      </c>
      <c r="G1583" s="5">
        <v>0</v>
      </c>
      <c r="H1583" s="6" t="s">
        <v>75</v>
      </c>
      <c r="I1583" s="3" t="s">
        <v>45</v>
      </c>
    </row>
    <row r="1584" spans="1:9" ht="48" customHeight="1">
      <c r="A1584" s="3" t="s">
        <v>66</v>
      </c>
      <c r="B1584" s="3" t="s">
        <v>65</v>
      </c>
      <c r="C1584" s="4">
        <v>46204</v>
      </c>
      <c r="D1584" s="4">
        <v>46234</v>
      </c>
      <c r="E1584" s="3" t="s">
        <v>205</v>
      </c>
      <c r="F1584" s="3" t="s">
        <v>207</v>
      </c>
      <c r="G1584" s="5">
        <v>6.0000000000000001E-3</v>
      </c>
      <c r="H1584" s="6" t="s">
        <v>75</v>
      </c>
      <c r="I1584" s="3" t="s">
        <v>45</v>
      </c>
    </row>
    <row r="1585" spans="1:9" ht="48" customHeight="1">
      <c r="A1585" s="3" t="s">
        <v>66</v>
      </c>
      <c r="B1585" s="3" t="s">
        <v>65</v>
      </c>
      <c r="C1585" s="4">
        <v>46204</v>
      </c>
      <c r="D1585" s="4">
        <v>46234</v>
      </c>
      <c r="E1585" s="3" t="s">
        <v>205</v>
      </c>
      <c r="F1585" s="3" t="s">
        <v>206</v>
      </c>
      <c r="G1585" s="5">
        <v>6.0000000000000001E-3</v>
      </c>
      <c r="H1585" s="6" t="s">
        <v>75</v>
      </c>
      <c r="I1585" s="3" t="s">
        <v>45</v>
      </c>
    </row>
    <row r="1586" spans="1:9" ht="48" customHeight="1">
      <c r="A1586" s="3" t="s">
        <v>66</v>
      </c>
      <c r="B1586" s="3" t="s">
        <v>65</v>
      </c>
      <c r="C1586" s="4">
        <v>46204</v>
      </c>
      <c r="D1586" s="4">
        <v>46234</v>
      </c>
      <c r="E1586" s="3" t="s">
        <v>205</v>
      </c>
      <c r="F1586" s="3" t="s">
        <v>208</v>
      </c>
      <c r="G1586" s="5">
        <v>5.0000000000000001E-3</v>
      </c>
      <c r="H1586" s="6" t="s">
        <v>75</v>
      </c>
      <c r="I1586" s="3" t="s">
        <v>45</v>
      </c>
    </row>
    <row r="1587" spans="1:9" ht="48" customHeight="1">
      <c r="A1587" s="3" t="s">
        <v>66</v>
      </c>
      <c r="B1587" s="3" t="s">
        <v>65</v>
      </c>
      <c r="C1587" s="4">
        <v>46204</v>
      </c>
      <c r="D1587" s="4">
        <v>46234</v>
      </c>
      <c r="E1587" s="3" t="s">
        <v>205</v>
      </c>
      <c r="F1587" s="3" t="s">
        <v>213</v>
      </c>
      <c r="G1587" s="5">
        <v>5.0000000000000001E-3</v>
      </c>
      <c r="H1587" s="6" t="s">
        <v>75</v>
      </c>
      <c r="I1587" s="3" t="s">
        <v>45</v>
      </c>
    </row>
    <row r="1588" spans="1:9" ht="48" customHeight="1">
      <c r="A1588" s="3" t="s">
        <v>66</v>
      </c>
      <c r="B1588" s="3" t="s">
        <v>65</v>
      </c>
      <c r="C1588" s="4">
        <v>46204</v>
      </c>
      <c r="D1588" s="4">
        <v>46234</v>
      </c>
      <c r="E1588" s="3" t="s">
        <v>205</v>
      </c>
      <c r="F1588" s="3" t="s">
        <v>214</v>
      </c>
      <c r="G1588" s="5">
        <v>5.0000000000000001E-3</v>
      </c>
      <c r="H1588" s="6" t="s">
        <v>75</v>
      </c>
      <c r="I1588" s="3" t="s">
        <v>45</v>
      </c>
    </row>
    <row r="1589" spans="1:9" ht="48" customHeight="1">
      <c r="A1589" s="3" t="s">
        <v>66</v>
      </c>
      <c r="B1589" s="3" t="s">
        <v>65</v>
      </c>
      <c r="C1589" s="4">
        <v>46204</v>
      </c>
      <c r="D1589" s="4">
        <v>46234</v>
      </c>
      <c r="E1589" s="3" t="s">
        <v>205</v>
      </c>
      <c r="F1589" s="3" t="s">
        <v>209</v>
      </c>
      <c r="G1589" s="5">
        <v>5.0000000000000001E-3</v>
      </c>
      <c r="H1589" s="6" t="s">
        <v>75</v>
      </c>
      <c r="I1589" s="3" t="s">
        <v>45</v>
      </c>
    </row>
    <row r="1590" spans="1:9" ht="48" customHeight="1">
      <c r="A1590" s="3" t="s">
        <v>66</v>
      </c>
      <c r="B1590" s="3" t="s">
        <v>65</v>
      </c>
      <c r="C1590" s="4">
        <v>46204</v>
      </c>
      <c r="D1590" s="4">
        <v>46234</v>
      </c>
      <c r="E1590" s="3" t="s">
        <v>205</v>
      </c>
      <c r="F1590" s="3" t="s">
        <v>210</v>
      </c>
      <c r="G1590" s="5">
        <v>5.0000000000000001E-3</v>
      </c>
      <c r="H1590" s="6" t="s">
        <v>75</v>
      </c>
      <c r="I1590" s="3" t="s">
        <v>45</v>
      </c>
    </row>
    <row r="1591" spans="1:9" ht="48" customHeight="1">
      <c r="A1591" s="3" t="s">
        <v>66</v>
      </c>
      <c r="B1591" s="3" t="s">
        <v>65</v>
      </c>
      <c r="C1591" s="4">
        <v>46204</v>
      </c>
      <c r="D1591" s="4">
        <v>46234</v>
      </c>
      <c r="E1591" s="3" t="s">
        <v>205</v>
      </c>
      <c r="F1591" s="3" t="s">
        <v>216</v>
      </c>
      <c r="G1591" s="5">
        <v>5.0000000000000001E-3</v>
      </c>
      <c r="H1591" s="6" t="s">
        <v>75</v>
      </c>
      <c r="I1591" s="3" t="s">
        <v>45</v>
      </c>
    </row>
    <row r="1592" spans="1:9" ht="48" customHeight="1">
      <c r="A1592" s="3" t="s">
        <v>66</v>
      </c>
      <c r="B1592" s="3" t="s">
        <v>65</v>
      </c>
      <c r="C1592" s="4">
        <v>46204</v>
      </c>
      <c r="D1592" s="4">
        <v>46234</v>
      </c>
      <c r="E1592" s="3" t="s">
        <v>205</v>
      </c>
      <c r="F1592" s="3" t="s">
        <v>211</v>
      </c>
      <c r="G1592" s="5">
        <v>4.0000000000000001E-3</v>
      </c>
      <c r="H1592" s="6" t="s">
        <v>75</v>
      </c>
      <c r="I1592" s="3" t="s">
        <v>45</v>
      </c>
    </row>
    <row r="1593" spans="1:9" ht="48" customHeight="1">
      <c r="A1593" s="3" t="s">
        <v>66</v>
      </c>
      <c r="B1593" s="3" t="s">
        <v>65</v>
      </c>
      <c r="C1593" s="4">
        <v>46204</v>
      </c>
      <c r="D1593" s="4">
        <v>46234</v>
      </c>
      <c r="E1593" s="3" t="s">
        <v>205</v>
      </c>
      <c r="F1593" s="3" t="s">
        <v>221</v>
      </c>
      <c r="G1593" s="5">
        <v>4.0000000000000001E-3</v>
      </c>
      <c r="H1593" s="6" t="s">
        <v>75</v>
      </c>
      <c r="I1593" s="3" t="s">
        <v>45</v>
      </c>
    </row>
    <row r="1594" spans="1:9" ht="48" customHeight="1">
      <c r="A1594" s="3" t="s">
        <v>66</v>
      </c>
      <c r="B1594" s="3" t="s">
        <v>65</v>
      </c>
      <c r="C1594" s="4">
        <v>46204</v>
      </c>
      <c r="D1594" s="4">
        <v>46234</v>
      </c>
      <c r="E1594" s="3" t="s">
        <v>205</v>
      </c>
      <c r="F1594" s="3" t="s">
        <v>222</v>
      </c>
      <c r="G1594" s="5">
        <v>4.0000000000000001E-3</v>
      </c>
      <c r="H1594" s="6" t="s">
        <v>75</v>
      </c>
      <c r="I1594" s="3" t="s">
        <v>45</v>
      </c>
    </row>
    <row r="1595" spans="1:9" ht="48" customHeight="1">
      <c r="A1595" s="3" t="s">
        <v>66</v>
      </c>
      <c r="B1595" s="3" t="s">
        <v>65</v>
      </c>
      <c r="C1595" s="4">
        <v>46204</v>
      </c>
      <c r="D1595" s="4">
        <v>46234</v>
      </c>
      <c r="E1595" s="3" t="s">
        <v>205</v>
      </c>
      <c r="F1595" s="3" t="s">
        <v>212</v>
      </c>
      <c r="G1595" s="5">
        <v>4.0000000000000001E-3</v>
      </c>
      <c r="H1595" s="6" t="s">
        <v>75</v>
      </c>
      <c r="I1595" s="3" t="s">
        <v>45</v>
      </c>
    </row>
    <row r="1596" spans="1:9" ht="48" customHeight="1">
      <c r="A1596" s="3" t="s">
        <v>66</v>
      </c>
      <c r="B1596" s="3" t="s">
        <v>65</v>
      </c>
      <c r="C1596" s="4">
        <v>46204</v>
      </c>
      <c r="D1596" s="4">
        <v>46234</v>
      </c>
      <c r="E1596" s="3" t="s">
        <v>205</v>
      </c>
      <c r="F1596" s="3" t="s">
        <v>215</v>
      </c>
      <c r="G1596" s="5">
        <v>4.0000000000000001E-3</v>
      </c>
      <c r="H1596" s="6" t="s">
        <v>75</v>
      </c>
      <c r="I1596" s="3" t="s">
        <v>45</v>
      </c>
    </row>
    <row r="1597" spans="1:9" ht="48" customHeight="1">
      <c r="A1597" s="3" t="s">
        <v>66</v>
      </c>
      <c r="B1597" s="3" t="s">
        <v>65</v>
      </c>
      <c r="C1597" s="4">
        <v>46204</v>
      </c>
      <c r="D1597" s="4">
        <v>46234</v>
      </c>
      <c r="E1597" s="3" t="s">
        <v>205</v>
      </c>
      <c r="F1597" s="3" t="s">
        <v>224</v>
      </c>
      <c r="G1597" s="5">
        <v>3.0000000000000001E-3</v>
      </c>
      <c r="H1597" s="6" t="s">
        <v>75</v>
      </c>
      <c r="I1597" s="3" t="s">
        <v>45</v>
      </c>
    </row>
    <row r="1598" spans="1:9" ht="48" customHeight="1">
      <c r="A1598" s="3" t="s">
        <v>66</v>
      </c>
      <c r="B1598" s="3" t="s">
        <v>65</v>
      </c>
      <c r="C1598" s="4">
        <v>46204</v>
      </c>
      <c r="D1598" s="4">
        <v>46234</v>
      </c>
      <c r="E1598" s="3" t="s">
        <v>205</v>
      </c>
      <c r="F1598" s="3" t="s">
        <v>217</v>
      </c>
      <c r="G1598" s="5">
        <v>3.0000000000000001E-3</v>
      </c>
      <c r="H1598" s="6" t="s">
        <v>75</v>
      </c>
      <c r="I1598" s="3" t="s">
        <v>45</v>
      </c>
    </row>
    <row r="1599" spans="1:9" ht="48" customHeight="1">
      <c r="A1599" s="3" t="s">
        <v>66</v>
      </c>
      <c r="B1599" s="3" t="s">
        <v>65</v>
      </c>
      <c r="C1599" s="4">
        <v>46204</v>
      </c>
      <c r="D1599" s="4">
        <v>46234</v>
      </c>
      <c r="E1599" s="3" t="s">
        <v>205</v>
      </c>
      <c r="F1599" s="3" t="s">
        <v>218</v>
      </c>
      <c r="G1599" s="5">
        <v>3.0000000000000001E-3</v>
      </c>
      <c r="H1599" s="6" t="s">
        <v>75</v>
      </c>
      <c r="I1599" s="3" t="s">
        <v>45</v>
      </c>
    </row>
    <row r="1600" spans="1:9" ht="48" customHeight="1">
      <c r="A1600" s="3" t="s">
        <v>66</v>
      </c>
      <c r="B1600" s="3" t="s">
        <v>65</v>
      </c>
      <c r="C1600" s="4">
        <v>46204</v>
      </c>
      <c r="D1600" s="4">
        <v>46234</v>
      </c>
      <c r="E1600" s="3" t="s">
        <v>205</v>
      </c>
      <c r="F1600" s="3" t="s">
        <v>225</v>
      </c>
      <c r="G1600" s="5">
        <v>3.0000000000000001E-3</v>
      </c>
      <c r="H1600" s="6" t="s">
        <v>75</v>
      </c>
      <c r="I1600" s="3" t="s">
        <v>45</v>
      </c>
    </row>
    <row r="1601" spans="1:9" ht="48" customHeight="1">
      <c r="A1601" s="3" t="s">
        <v>66</v>
      </c>
      <c r="B1601" s="3" t="s">
        <v>65</v>
      </c>
      <c r="C1601" s="4">
        <v>46204</v>
      </c>
      <c r="D1601" s="4">
        <v>46234</v>
      </c>
      <c r="E1601" s="3" t="s">
        <v>205</v>
      </c>
      <c r="F1601" s="3" t="s">
        <v>219</v>
      </c>
      <c r="G1601" s="5">
        <v>3.0000000000000001E-3</v>
      </c>
      <c r="H1601" s="6" t="s">
        <v>75</v>
      </c>
      <c r="I1601" s="3" t="s">
        <v>45</v>
      </c>
    </row>
    <row r="1602" spans="1:9" ht="48" customHeight="1">
      <c r="A1602" s="3" t="s">
        <v>66</v>
      </c>
      <c r="B1602" s="3" t="s">
        <v>65</v>
      </c>
      <c r="C1602" s="4">
        <v>46204</v>
      </c>
      <c r="D1602" s="4">
        <v>46234</v>
      </c>
      <c r="E1602" s="3" t="s">
        <v>205</v>
      </c>
      <c r="F1602" s="3" t="s">
        <v>220</v>
      </c>
      <c r="G1602" s="5">
        <v>3.0000000000000001E-3</v>
      </c>
      <c r="H1602" s="6" t="s">
        <v>75</v>
      </c>
      <c r="I1602" s="3" t="s">
        <v>45</v>
      </c>
    </row>
    <row r="1603" spans="1:9" ht="48" customHeight="1">
      <c r="A1603" s="3" t="s">
        <v>66</v>
      </c>
      <c r="B1603" s="3" t="s">
        <v>65</v>
      </c>
      <c r="C1603" s="4">
        <v>46204</v>
      </c>
      <c r="D1603" s="4">
        <v>46234</v>
      </c>
      <c r="E1603" s="3" t="s">
        <v>205</v>
      </c>
      <c r="F1603" s="3" t="s">
        <v>223</v>
      </c>
      <c r="G1603" s="5">
        <v>2E-3</v>
      </c>
      <c r="H1603" s="6" t="s">
        <v>75</v>
      </c>
      <c r="I1603" s="3" t="s">
        <v>45</v>
      </c>
    </row>
    <row r="1604" spans="1:9" ht="48" customHeight="1">
      <c r="A1604" s="3" t="s">
        <v>66</v>
      </c>
      <c r="B1604" s="3" t="s">
        <v>65</v>
      </c>
      <c r="C1604" s="4">
        <v>46204</v>
      </c>
      <c r="D1604" s="4">
        <v>46234</v>
      </c>
      <c r="E1604" s="3" t="s">
        <v>205</v>
      </c>
      <c r="F1604" s="3" t="s">
        <v>226</v>
      </c>
      <c r="G1604" s="5">
        <v>2E-3</v>
      </c>
      <c r="H1604" s="6" t="s">
        <v>75</v>
      </c>
      <c r="I1604" s="3" t="s">
        <v>45</v>
      </c>
    </row>
    <row r="1605" spans="1:9" ht="48" customHeight="1">
      <c r="A1605" s="3" t="s">
        <v>66</v>
      </c>
      <c r="B1605" s="3" t="s">
        <v>65</v>
      </c>
      <c r="C1605" s="4">
        <v>46204</v>
      </c>
      <c r="D1605" s="4">
        <v>46234</v>
      </c>
      <c r="E1605" s="3" t="s">
        <v>205</v>
      </c>
      <c r="F1605" s="3" t="s">
        <v>227</v>
      </c>
      <c r="G1605" s="5">
        <v>2E-3</v>
      </c>
      <c r="H1605" s="6" t="s">
        <v>75</v>
      </c>
      <c r="I1605" s="3" t="s">
        <v>45</v>
      </c>
    </row>
    <row r="1606" spans="1:9" ht="48" customHeight="1">
      <c r="A1606" s="3" t="s">
        <v>66</v>
      </c>
      <c r="B1606" s="3" t="s">
        <v>65</v>
      </c>
      <c r="C1606" s="4">
        <v>46204</v>
      </c>
      <c r="D1606" s="4">
        <v>46234</v>
      </c>
      <c r="E1606" s="3" t="s">
        <v>205</v>
      </c>
      <c r="F1606" s="3" t="s">
        <v>228</v>
      </c>
      <c r="G1606" s="5">
        <v>2E-3</v>
      </c>
      <c r="H1606" s="6" t="s">
        <v>75</v>
      </c>
      <c r="I1606" s="3" t="s">
        <v>45</v>
      </c>
    </row>
    <row r="1607" spans="1:9" ht="48" customHeight="1">
      <c r="A1607" s="3" t="s">
        <v>66</v>
      </c>
      <c r="B1607" s="3" t="s">
        <v>65</v>
      </c>
      <c r="C1607" s="4">
        <v>46204</v>
      </c>
      <c r="D1607" s="4">
        <v>46234</v>
      </c>
      <c r="E1607" s="3" t="s">
        <v>205</v>
      </c>
      <c r="F1607" s="3" t="s">
        <v>229</v>
      </c>
      <c r="G1607" s="5">
        <v>1E-3</v>
      </c>
      <c r="H1607" s="6" t="s">
        <v>75</v>
      </c>
      <c r="I1607" s="3" t="s">
        <v>45</v>
      </c>
    </row>
    <row r="1608" spans="1:9" ht="48" customHeight="1">
      <c r="A1608" s="3" t="s">
        <v>66</v>
      </c>
      <c r="B1608" s="3" t="s">
        <v>65</v>
      </c>
      <c r="C1608" s="4">
        <v>46204</v>
      </c>
      <c r="D1608" s="4">
        <v>46234</v>
      </c>
      <c r="E1608" s="3" t="s">
        <v>205</v>
      </c>
      <c r="F1608" s="3" t="s">
        <v>230</v>
      </c>
      <c r="G1608" s="5">
        <v>1E-3</v>
      </c>
      <c r="H1608" s="6" t="s">
        <v>75</v>
      </c>
      <c r="I1608" s="3" t="s">
        <v>45</v>
      </c>
    </row>
    <row r="1609" spans="1:9" ht="48" customHeight="1">
      <c r="A1609" s="3" t="s">
        <v>66</v>
      </c>
      <c r="B1609" s="3" t="s">
        <v>65</v>
      </c>
      <c r="C1609" s="4">
        <v>46204</v>
      </c>
      <c r="D1609" s="4">
        <v>46234</v>
      </c>
      <c r="E1609" s="3" t="s">
        <v>231</v>
      </c>
      <c r="F1609" s="3" t="s">
        <v>232</v>
      </c>
      <c r="G1609" s="5">
        <v>1.8000000000000002E-2</v>
      </c>
      <c r="H1609" s="6" t="s">
        <v>75</v>
      </c>
      <c r="I1609" s="3" t="s">
        <v>45</v>
      </c>
    </row>
    <row r="1610" spans="1:9" ht="48" customHeight="1">
      <c r="A1610" s="3" t="s">
        <v>66</v>
      </c>
      <c r="B1610" s="3" t="s">
        <v>65</v>
      </c>
      <c r="C1610" s="4">
        <v>46204</v>
      </c>
      <c r="D1610" s="4">
        <v>46234</v>
      </c>
      <c r="E1610" s="3" t="s">
        <v>231</v>
      </c>
      <c r="F1610" s="3" t="s">
        <v>233</v>
      </c>
      <c r="G1610" s="5">
        <v>1.7000000000000001E-2</v>
      </c>
      <c r="H1610" s="6" t="s">
        <v>75</v>
      </c>
      <c r="I1610" s="3" t="s">
        <v>45</v>
      </c>
    </row>
    <row r="1611" spans="1:9" ht="48" customHeight="1">
      <c r="A1611" s="3" t="s">
        <v>66</v>
      </c>
      <c r="B1611" s="3" t="s">
        <v>65</v>
      </c>
      <c r="C1611" s="4">
        <v>46204</v>
      </c>
      <c r="D1611" s="4">
        <v>46234</v>
      </c>
      <c r="E1611" s="3" t="s">
        <v>231</v>
      </c>
      <c r="F1611" s="3" t="s">
        <v>234</v>
      </c>
      <c r="G1611" s="5">
        <v>8.0000000000000002E-3</v>
      </c>
      <c r="H1611" s="6" t="s">
        <v>75</v>
      </c>
      <c r="I1611" s="3" t="s">
        <v>45</v>
      </c>
    </row>
    <row r="1612" spans="1:9" ht="48" customHeight="1">
      <c r="A1612" s="3" t="s">
        <v>66</v>
      </c>
      <c r="B1612" s="3" t="s">
        <v>65</v>
      </c>
      <c r="C1612" s="4">
        <v>46204</v>
      </c>
      <c r="D1612" s="4">
        <v>46234</v>
      </c>
      <c r="E1612" s="3" t="s">
        <v>231</v>
      </c>
      <c r="F1612" s="3" t="s">
        <v>230</v>
      </c>
      <c r="G1612" s="5">
        <v>8.0000000000000002E-3</v>
      </c>
      <c r="H1612" s="6" t="s">
        <v>75</v>
      </c>
      <c r="I1612" s="3" t="s">
        <v>45</v>
      </c>
    </row>
    <row r="1613" spans="1:9" ht="48" customHeight="1">
      <c r="A1613" s="3" t="s">
        <v>66</v>
      </c>
      <c r="B1613" s="3" t="s">
        <v>65</v>
      </c>
      <c r="C1613" s="4">
        <v>46204</v>
      </c>
      <c r="D1613" s="4">
        <v>46234</v>
      </c>
      <c r="E1613" s="3" t="s">
        <v>231</v>
      </c>
      <c r="F1613" s="3" t="s">
        <v>235</v>
      </c>
      <c r="G1613" s="5">
        <v>6.0000000000000001E-3</v>
      </c>
      <c r="H1613" s="6" t="s">
        <v>75</v>
      </c>
      <c r="I1613" s="3" t="s">
        <v>45</v>
      </c>
    </row>
    <row r="1614" spans="1:9" ht="48" customHeight="1">
      <c r="A1614" s="3" t="s">
        <v>66</v>
      </c>
      <c r="B1614" s="3" t="s">
        <v>65</v>
      </c>
      <c r="C1614" s="4">
        <v>46204</v>
      </c>
      <c r="D1614" s="4">
        <v>46234</v>
      </c>
      <c r="E1614" s="3" t="s">
        <v>236</v>
      </c>
      <c r="F1614" s="3" t="s">
        <v>237</v>
      </c>
      <c r="G1614" s="5">
        <v>6.9999999999999993E-3</v>
      </c>
      <c r="H1614" s="6" t="s">
        <v>75</v>
      </c>
      <c r="I1614" s="3" t="s">
        <v>45</v>
      </c>
    </row>
    <row r="1615" spans="1:9" ht="48" customHeight="1">
      <c r="A1615" s="3" t="s">
        <v>66</v>
      </c>
      <c r="B1615" s="3" t="s">
        <v>65</v>
      </c>
      <c r="C1615" s="4">
        <v>46204</v>
      </c>
      <c r="D1615" s="4">
        <v>46234</v>
      </c>
      <c r="E1615" s="3" t="s">
        <v>236</v>
      </c>
      <c r="F1615" s="3" t="s">
        <v>240</v>
      </c>
      <c r="G1615" s="5">
        <v>6.0000000000000001E-3</v>
      </c>
      <c r="H1615" s="6" t="s">
        <v>75</v>
      </c>
      <c r="I1615" s="3" t="s">
        <v>45</v>
      </c>
    </row>
    <row r="1616" spans="1:9" ht="48" customHeight="1">
      <c r="A1616" s="3" t="s">
        <v>66</v>
      </c>
      <c r="B1616" s="3" t="s">
        <v>65</v>
      </c>
      <c r="C1616" s="4">
        <v>46204</v>
      </c>
      <c r="D1616" s="4">
        <v>46234</v>
      </c>
      <c r="E1616" s="3" t="s">
        <v>236</v>
      </c>
      <c r="F1616" s="3" t="s">
        <v>238</v>
      </c>
      <c r="G1616" s="5">
        <v>6.0000000000000001E-3</v>
      </c>
      <c r="H1616" s="6" t="s">
        <v>75</v>
      </c>
      <c r="I1616" s="3" t="s">
        <v>45</v>
      </c>
    </row>
    <row r="1617" spans="1:9" ht="48" customHeight="1">
      <c r="A1617" s="3" t="s">
        <v>66</v>
      </c>
      <c r="B1617" s="3" t="s">
        <v>65</v>
      </c>
      <c r="C1617" s="4">
        <v>46204</v>
      </c>
      <c r="D1617" s="4">
        <v>46234</v>
      </c>
      <c r="E1617" s="3" t="s">
        <v>236</v>
      </c>
      <c r="F1617" s="3" t="s">
        <v>239</v>
      </c>
      <c r="G1617" s="5">
        <v>6.0000000000000001E-3</v>
      </c>
      <c r="H1617" s="6" t="s">
        <v>75</v>
      </c>
      <c r="I1617" s="3" t="s">
        <v>45</v>
      </c>
    </row>
    <row r="1618" spans="1:9" ht="48" customHeight="1">
      <c r="A1618" s="3" t="s">
        <v>66</v>
      </c>
      <c r="B1618" s="3" t="s">
        <v>65</v>
      </c>
      <c r="C1618" s="4">
        <v>46204</v>
      </c>
      <c r="D1618" s="4">
        <v>46234</v>
      </c>
      <c r="E1618" s="3" t="s">
        <v>236</v>
      </c>
      <c r="F1618" s="3" t="s">
        <v>388</v>
      </c>
      <c r="G1618" s="5">
        <v>6.0000000000000001E-3</v>
      </c>
      <c r="H1618" s="6" t="s">
        <v>75</v>
      </c>
      <c r="I1618" s="3" t="s">
        <v>45</v>
      </c>
    </row>
    <row r="1619" spans="1:9" ht="48" customHeight="1">
      <c r="A1619" s="3" t="s">
        <v>66</v>
      </c>
      <c r="B1619" s="3" t="s">
        <v>65</v>
      </c>
      <c r="C1619" s="4">
        <v>46204</v>
      </c>
      <c r="D1619" s="4">
        <v>46234</v>
      </c>
      <c r="E1619" s="3" t="s">
        <v>236</v>
      </c>
      <c r="F1619" s="3" t="s">
        <v>241</v>
      </c>
      <c r="G1619" s="5">
        <v>4.0000000000000001E-3</v>
      </c>
      <c r="H1619" s="6" t="s">
        <v>75</v>
      </c>
      <c r="I1619" s="3" t="s">
        <v>45</v>
      </c>
    </row>
    <row r="1620" spans="1:9" ht="48" customHeight="1">
      <c r="A1620" s="3" t="s">
        <v>66</v>
      </c>
      <c r="B1620" s="3" t="s">
        <v>65</v>
      </c>
      <c r="C1620" s="4">
        <v>46204</v>
      </c>
      <c r="D1620" s="4">
        <v>46234</v>
      </c>
      <c r="E1620" s="3" t="s">
        <v>236</v>
      </c>
      <c r="F1620" s="3" t="s">
        <v>389</v>
      </c>
      <c r="G1620" s="5">
        <v>4.0000000000000001E-3</v>
      </c>
      <c r="H1620" s="6" t="s">
        <v>75</v>
      </c>
      <c r="I1620" s="3" t="s">
        <v>45</v>
      </c>
    </row>
    <row r="1621" spans="1:9" ht="48" customHeight="1">
      <c r="A1621" s="3" t="s">
        <v>66</v>
      </c>
      <c r="B1621" s="3" t="s">
        <v>65</v>
      </c>
      <c r="C1621" s="4">
        <v>46204</v>
      </c>
      <c r="D1621" s="4">
        <v>46234</v>
      </c>
      <c r="E1621" s="3" t="s">
        <v>236</v>
      </c>
      <c r="F1621" s="3" t="s">
        <v>390</v>
      </c>
      <c r="G1621" s="5">
        <v>2E-3</v>
      </c>
      <c r="H1621" s="6" t="s">
        <v>75</v>
      </c>
      <c r="I1621" s="3" t="s">
        <v>45</v>
      </c>
    </row>
    <row r="1622" spans="1:9" ht="48" customHeight="1">
      <c r="A1622" s="3" t="s">
        <v>66</v>
      </c>
      <c r="B1622" s="3" t="s">
        <v>65</v>
      </c>
      <c r="C1622" s="4">
        <v>46204</v>
      </c>
      <c r="D1622" s="4">
        <v>46234</v>
      </c>
      <c r="E1622" s="3" t="s">
        <v>236</v>
      </c>
      <c r="F1622" s="3" t="s">
        <v>391</v>
      </c>
      <c r="G1622" s="5">
        <v>1E-3</v>
      </c>
      <c r="H1622" s="6" t="s">
        <v>75</v>
      </c>
      <c r="I1622" s="3" t="s">
        <v>45</v>
      </c>
    </row>
    <row r="1623" spans="1:9" ht="48" customHeight="1">
      <c r="A1623" s="3" t="s">
        <v>66</v>
      </c>
      <c r="B1623" s="3" t="s">
        <v>65</v>
      </c>
      <c r="C1623" s="4">
        <v>46204</v>
      </c>
      <c r="D1623" s="4">
        <v>46234</v>
      </c>
      <c r="E1623" s="3" t="s">
        <v>236</v>
      </c>
      <c r="F1623" s="3" t="s">
        <v>242</v>
      </c>
      <c r="G1623" s="5">
        <v>1E-3</v>
      </c>
      <c r="H1623" s="6" t="s">
        <v>75</v>
      </c>
      <c r="I1623" s="3" t="s">
        <v>45</v>
      </c>
    </row>
    <row r="1624" spans="1:9" ht="48" customHeight="1">
      <c r="A1624" s="3" t="s">
        <v>66</v>
      </c>
      <c r="B1624" s="3" t="s">
        <v>65</v>
      </c>
      <c r="C1624" s="4">
        <v>46204</v>
      </c>
      <c r="D1624" s="4">
        <v>46234</v>
      </c>
      <c r="E1624" s="3" t="s">
        <v>236</v>
      </c>
      <c r="F1624" s="3" t="s">
        <v>243</v>
      </c>
      <c r="G1624" s="5">
        <v>0</v>
      </c>
      <c r="H1624" s="6" t="s">
        <v>75</v>
      </c>
      <c r="I1624" s="3" t="s">
        <v>45</v>
      </c>
    </row>
    <row r="1625" spans="1:9" ht="48" customHeight="1">
      <c r="A1625" s="3" t="s">
        <v>66</v>
      </c>
      <c r="B1625" s="3" t="s">
        <v>65</v>
      </c>
      <c r="C1625" s="4">
        <v>46204</v>
      </c>
      <c r="D1625" s="4">
        <v>46234</v>
      </c>
      <c r="E1625" s="3" t="s">
        <v>244</v>
      </c>
      <c r="F1625" s="3" t="s">
        <v>245</v>
      </c>
      <c r="G1625" s="5">
        <v>8.0000000000000002E-3</v>
      </c>
      <c r="H1625" s="6" t="s">
        <v>75</v>
      </c>
      <c r="I1625" s="3" t="s">
        <v>45</v>
      </c>
    </row>
    <row r="1626" spans="1:9" ht="48" customHeight="1">
      <c r="A1626" s="3" t="s">
        <v>66</v>
      </c>
      <c r="B1626" s="3" t="s">
        <v>65</v>
      </c>
      <c r="C1626" s="4">
        <v>46204</v>
      </c>
      <c r="D1626" s="4">
        <v>46234</v>
      </c>
      <c r="E1626" s="3" t="s">
        <v>244</v>
      </c>
      <c r="F1626" s="3" t="s">
        <v>246</v>
      </c>
      <c r="G1626" s="5">
        <v>5.0000000000000001E-3</v>
      </c>
      <c r="H1626" s="6" t="s">
        <v>75</v>
      </c>
      <c r="I1626" s="3" t="s">
        <v>45</v>
      </c>
    </row>
    <row r="1627" spans="1:9" ht="48" customHeight="1">
      <c r="A1627" s="3" t="s">
        <v>66</v>
      </c>
      <c r="B1627" s="3" t="s">
        <v>65</v>
      </c>
      <c r="C1627" s="4">
        <v>46204</v>
      </c>
      <c r="D1627" s="4">
        <v>46234</v>
      </c>
      <c r="E1627" s="3" t="s">
        <v>244</v>
      </c>
      <c r="F1627" s="3" t="s">
        <v>247</v>
      </c>
      <c r="G1627" s="5">
        <v>4.0000000000000001E-3</v>
      </c>
      <c r="H1627" s="6" t="s">
        <v>75</v>
      </c>
      <c r="I1627" s="3" t="s">
        <v>45</v>
      </c>
    </row>
    <row r="1628" spans="1:9" ht="48" customHeight="1">
      <c r="A1628" s="3" t="s">
        <v>66</v>
      </c>
      <c r="B1628" s="3" t="s">
        <v>65</v>
      </c>
      <c r="C1628" s="4">
        <v>46204</v>
      </c>
      <c r="D1628" s="4">
        <v>46234</v>
      </c>
      <c r="E1628" s="3" t="s">
        <v>244</v>
      </c>
      <c r="F1628" s="3" t="s">
        <v>248</v>
      </c>
      <c r="G1628" s="5">
        <v>3.0000000000000001E-3</v>
      </c>
      <c r="H1628" s="6" t="s">
        <v>75</v>
      </c>
      <c r="I1628" s="3" t="s">
        <v>45</v>
      </c>
    </row>
    <row r="1629" spans="1:9" ht="48" customHeight="1">
      <c r="A1629" s="3" t="s">
        <v>66</v>
      </c>
      <c r="B1629" s="3" t="s">
        <v>65</v>
      </c>
      <c r="C1629" s="4">
        <v>46204</v>
      </c>
      <c r="D1629" s="4">
        <v>46234</v>
      </c>
      <c r="E1629" s="3" t="s">
        <v>244</v>
      </c>
      <c r="F1629" s="3" t="s">
        <v>249</v>
      </c>
      <c r="G1629" s="5">
        <v>2E-3</v>
      </c>
      <c r="H1629" s="6" t="s">
        <v>75</v>
      </c>
      <c r="I1629" s="3" t="s">
        <v>45</v>
      </c>
    </row>
    <row r="1630" spans="1:9" ht="48" customHeight="1">
      <c r="A1630" s="3" t="s">
        <v>66</v>
      </c>
      <c r="B1630" s="3" t="s">
        <v>65</v>
      </c>
      <c r="C1630" s="4">
        <v>46204</v>
      </c>
      <c r="D1630" s="4">
        <v>46234</v>
      </c>
      <c r="E1630" s="3" t="s">
        <v>244</v>
      </c>
      <c r="F1630" s="3" t="s">
        <v>250</v>
      </c>
      <c r="G1630" s="5">
        <v>1E-3</v>
      </c>
      <c r="H1630" s="6" t="s">
        <v>75</v>
      </c>
      <c r="I1630" s="3" t="s">
        <v>45</v>
      </c>
    </row>
    <row r="1631" spans="1:9" ht="48" customHeight="1">
      <c r="A1631" s="3" t="s">
        <v>66</v>
      </c>
      <c r="B1631" s="3" t="s">
        <v>65</v>
      </c>
      <c r="C1631" s="4">
        <v>46204</v>
      </c>
      <c r="D1631" s="4">
        <v>46234</v>
      </c>
      <c r="E1631" s="3" t="s">
        <v>244</v>
      </c>
      <c r="F1631" s="3" t="s">
        <v>251</v>
      </c>
      <c r="G1631" s="5">
        <v>1E-3</v>
      </c>
      <c r="H1631" s="6" t="s">
        <v>75</v>
      </c>
      <c r="I1631" s="3" t="s">
        <v>45</v>
      </c>
    </row>
    <row r="1632" spans="1:9" ht="48" customHeight="1">
      <c r="A1632" s="3" t="s">
        <v>66</v>
      </c>
      <c r="B1632" s="3" t="s">
        <v>65</v>
      </c>
      <c r="C1632" s="4">
        <v>46204</v>
      </c>
      <c r="D1632" s="4">
        <v>46234</v>
      </c>
      <c r="E1632" s="3" t="s">
        <v>244</v>
      </c>
      <c r="F1632" s="3" t="s">
        <v>252</v>
      </c>
      <c r="G1632" s="5">
        <v>1E-3</v>
      </c>
      <c r="H1632" s="6" t="s">
        <v>75</v>
      </c>
      <c r="I1632" s="3" t="s">
        <v>45</v>
      </c>
    </row>
    <row r="1633" spans="1:9" ht="48" customHeight="1">
      <c r="A1633" s="3" t="s">
        <v>66</v>
      </c>
      <c r="B1633" s="3" t="s">
        <v>65</v>
      </c>
      <c r="C1633" s="4">
        <v>46204</v>
      </c>
      <c r="D1633" s="4">
        <v>46234</v>
      </c>
      <c r="E1633" s="3" t="s">
        <v>244</v>
      </c>
      <c r="F1633" s="3" t="s">
        <v>253</v>
      </c>
      <c r="G1633" s="5">
        <v>1E-3</v>
      </c>
      <c r="H1633" s="6" t="s">
        <v>75</v>
      </c>
      <c r="I1633" s="3" t="s">
        <v>45</v>
      </c>
    </row>
    <row r="1634" spans="1:9" ht="48" customHeight="1">
      <c r="A1634" s="3" t="s">
        <v>66</v>
      </c>
      <c r="B1634" s="3" t="s">
        <v>65</v>
      </c>
      <c r="C1634" s="4">
        <v>46204</v>
      </c>
      <c r="D1634" s="4">
        <v>46234</v>
      </c>
      <c r="E1634" s="3" t="s">
        <v>244</v>
      </c>
      <c r="F1634" s="3" t="s">
        <v>254</v>
      </c>
      <c r="G1634" s="5">
        <v>1E-3</v>
      </c>
      <c r="H1634" s="6" t="s">
        <v>75</v>
      </c>
      <c r="I1634" s="3" t="s">
        <v>45</v>
      </c>
    </row>
    <row r="1635" spans="1:9" ht="48" customHeight="1">
      <c r="A1635" s="3" t="s">
        <v>66</v>
      </c>
      <c r="B1635" s="3" t="s">
        <v>65</v>
      </c>
      <c r="C1635" s="4">
        <v>46204</v>
      </c>
      <c r="D1635" s="4">
        <v>46234</v>
      </c>
      <c r="E1635" s="3" t="s">
        <v>244</v>
      </c>
      <c r="F1635" s="3" t="s">
        <v>255</v>
      </c>
      <c r="G1635" s="5">
        <v>0</v>
      </c>
      <c r="H1635" s="6" t="s">
        <v>75</v>
      </c>
      <c r="I1635" s="3" t="s">
        <v>45</v>
      </c>
    </row>
    <row r="1636" spans="1:9" ht="48" customHeight="1">
      <c r="A1636" s="3" t="s">
        <v>66</v>
      </c>
      <c r="B1636" s="3" t="s">
        <v>65</v>
      </c>
      <c r="C1636" s="4">
        <v>46204</v>
      </c>
      <c r="D1636" s="4">
        <v>46234</v>
      </c>
      <c r="E1636" s="3" t="s">
        <v>244</v>
      </c>
      <c r="F1636" s="3" t="s">
        <v>256</v>
      </c>
      <c r="G1636" s="5">
        <v>0</v>
      </c>
      <c r="H1636" s="6" t="s">
        <v>75</v>
      </c>
      <c r="I1636" s="3" t="s">
        <v>45</v>
      </c>
    </row>
    <row r="1637" spans="1:9" ht="48" customHeight="1">
      <c r="A1637" s="3" t="s">
        <v>66</v>
      </c>
      <c r="B1637" s="3" t="s">
        <v>65</v>
      </c>
      <c r="C1637" s="4">
        <v>46204</v>
      </c>
      <c r="D1637" s="4">
        <v>46234</v>
      </c>
      <c r="E1637" s="3" t="s">
        <v>244</v>
      </c>
      <c r="F1637" s="3" t="s">
        <v>257</v>
      </c>
      <c r="G1637" s="5">
        <v>0</v>
      </c>
      <c r="H1637" s="6" t="s">
        <v>75</v>
      </c>
      <c r="I1637" s="3" t="s">
        <v>45</v>
      </c>
    </row>
    <row r="1638" spans="1:9" ht="48" customHeight="1">
      <c r="A1638" s="3" t="s">
        <v>66</v>
      </c>
      <c r="B1638" s="3" t="s">
        <v>65</v>
      </c>
      <c r="C1638" s="4">
        <v>46204</v>
      </c>
      <c r="D1638" s="4">
        <v>46234</v>
      </c>
      <c r="E1638" s="3" t="s">
        <v>244</v>
      </c>
      <c r="F1638" s="3" t="s">
        <v>258</v>
      </c>
      <c r="G1638" s="5">
        <v>0</v>
      </c>
      <c r="H1638" s="6" t="s">
        <v>75</v>
      </c>
      <c r="I1638" s="3" t="s">
        <v>45</v>
      </c>
    </row>
    <row r="1639" spans="1:9" ht="48" customHeight="1">
      <c r="A1639" s="3" t="s">
        <v>66</v>
      </c>
      <c r="B1639" s="3" t="s">
        <v>65</v>
      </c>
      <c r="C1639" s="4">
        <v>46204</v>
      </c>
      <c r="D1639" s="4">
        <v>46234</v>
      </c>
      <c r="E1639" s="3" t="s">
        <v>244</v>
      </c>
      <c r="F1639" s="3" t="s">
        <v>259</v>
      </c>
      <c r="G1639" s="5">
        <v>0</v>
      </c>
      <c r="H1639" s="6" t="s">
        <v>75</v>
      </c>
      <c r="I1639" s="3" t="s">
        <v>45</v>
      </c>
    </row>
    <row r="1640" spans="1:9" ht="48" customHeight="1">
      <c r="A1640" s="3" t="s">
        <v>66</v>
      </c>
      <c r="B1640" s="3" t="s">
        <v>65</v>
      </c>
      <c r="C1640" s="4">
        <v>46204</v>
      </c>
      <c r="D1640" s="4">
        <v>46234</v>
      </c>
      <c r="E1640" s="3" t="s">
        <v>260</v>
      </c>
      <c r="F1640" s="3" t="s">
        <v>262</v>
      </c>
      <c r="G1640" s="5">
        <v>4.0000000000000001E-3</v>
      </c>
      <c r="H1640" s="6" t="s">
        <v>75</v>
      </c>
      <c r="I1640" s="3" t="s">
        <v>45</v>
      </c>
    </row>
    <row r="1641" spans="1:9" ht="48" customHeight="1">
      <c r="A1641" s="3" t="s">
        <v>66</v>
      </c>
      <c r="B1641" s="3" t="s">
        <v>65</v>
      </c>
      <c r="C1641" s="4">
        <v>46204</v>
      </c>
      <c r="D1641" s="4">
        <v>46234</v>
      </c>
      <c r="E1641" s="3" t="s">
        <v>260</v>
      </c>
      <c r="F1641" s="3" t="s">
        <v>261</v>
      </c>
      <c r="G1641" s="5">
        <v>4.0000000000000001E-3</v>
      </c>
      <c r="H1641" s="6" t="s">
        <v>75</v>
      </c>
      <c r="I1641" s="3" t="s">
        <v>45</v>
      </c>
    </row>
    <row r="1642" spans="1:9" ht="48" customHeight="1">
      <c r="A1642" s="3" t="s">
        <v>66</v>
      </c>
      <c r="B1642" s="3" t="s">
        <v>65</v>
      </c>
      <c r="C1642" s="4">
        <v>46204</v>
      </c>
      <c r="D1642" s="4">
        <v>46234</v>
      </c>
      <c r="E1642" s="3" t="s">
        <v>260</v>
      </c>
      <c r="F1642" s="3" t="s">
        <v>263</v>
      </c>
      <c r="G1642" s="5">
        <v>2E-3</v>
      </c>
      <c r="H1642" s="6" t="s">
        <v>75</v>
      </c>
      <c r="I1642" s="3" t="s">
        <v>45</v>
      </c>
    </row>
    <row r="1643" spans="1:9" ht="48" customHeight="1">
      <c r="A1643" s="3" t="s">
        <v>66</v>
      </c>
      <c r="B1643" s="3" t="s">
        <v>65</v>
      </c>
      <c r="C1643" s="4">
        <v>46204</v>
      </c>
      <c r="D1643" s="4">
        <v>46234</v>
      </c>
      <c r="E1643" s="3" t="s">
        <v>260</v>
      </c>
      <c r="F1643" s="3" t="s">
        <v>232</v>
      </c>
      <c r="G1643" s="5">
        <v>2E-3</v>
      </c>
      <c r="H1643" s="6" t="s">
        <v>75</v>
      </c>
      <c r="I1643" s="3" t="s">
        <v>45</v>
      </c>
    </row>
    <row r="1644" spans="1:9" ht="48" customHeight="1">
      <c r="A1644" s="3" t="s">
        <v>66</v>
      </c>
      <c r="B1644" s="3" t="s">
        <v>65</v>
      </c>
      <c r="C1644" s="4">
        <v>46204</v>
      </c>
      <c r="D1644" s="4">
        <v>46234</v>
      </c>
      <c r="E1644" s="3" t="s">
        <v>260</v>
      </c>
      <c r="F1644" s="3" t="s">
        <v>266</v>
      </c>
      <c r="G1644" s="5">
        <v>1E-3</v>
      </c>
      <c r="H1644" s="6" t="s">
        <v>75</v>
      </c>
      <c r="I1644" s="3" t="s">
        <v>45</v>
      </c>
    </row>
    <row r="1645" spans="1:9" ht="48" customHeight="1">
      <c r="A1645" s="3" t="s">
        <v>66</v>
      </c>
      <c r="B1645" s="3" t="s">
        <v>65</v>
      </c>
      <c r="C1645" s="4">
        <v>46204</v>
      </c>
      <c r="D1645" s="4">
        <v>46234</v>
      </c>
      <c r="E1645" s="3" t="s">
        <v>260</v>
      </c>
      <c r="F1645" s="3" t="s">
        <v>264</v>
      </c>
      <c r="G1645" s="5">
        <v>1E-3</v>
      </c>
      <c r="H1645" s="6" t="s">
        <v>75</v>
      </c>
      <c r="I1645" s="3" t="s">
        <v>45</v>
      </c>
    </row>
    <row r="1646" spans="1:9" ht="48" customHeight="1">
      <c r="A1646" s="3" t="s">
        <v>66</v>
      </c>
      <c r="B1646" s="3" t="s">
        <v>65</v>
      </c>
      <c r="C1646" s="4">
        <v>46204</v>
      </c>
      <c r="D1646" s="4">
        <v>46234</v>
      </c>
      <c r="E1646" s="3" t="s">
        <v>260</v>
      </c>
      <c r="F1646" s="3" t="s">
        <v>267</v>
      </c>
      <c r="G1646" s="5">
        <v>1E-3</v>
      </c>
      <c r="H1646" s="6" t="s">
        <v>75</v>
      </c>
      <c r="I1646" s="3" t="s">
        <v>45</v>
      </c>
    </row>
    <row r="1647" spans="1:9" ht="48" customHeight="1">
      <c r="A1647" s="3" t="s">
        <v>66</v>
      </c>
      <c r="B1647" s="3" t="s">
        <v>65</v>
      </c>
      <c r="C1647" s="4">
        <v>46204</v>
      </c>
      <c r="D1647" s="4">
        <v>46234</v>
      </c>
      <c r="E1647" s="3" t="s">
        <v>260</v>
      </c>
      <c r="F1647" s="3" t="s">
        <v>268</v>
      </c>
      <c r="G1647" s="5">
        <v>1E-3</v>
      </c>
      <c r="H1647" s="6" t="s">
        <v>75</v>
      </c>
      <c r="I1647" s="3" t="s">
        <v>45</v>
      </c>
    </row>
    <row r="1648" spans="1:9" ht="48" customHeight="1">
      <c r="A1648" s="3" t="s">
        <v>66</v>
      </c>
      <c r="B1648" s="3" t="s">
        <v>65</v>
      </c>
      <c r="C1648" s="4">
        <v>46204</v>
      </c>
      <c r="D1648" s="4">
        <v>46234</v>
      </c>
      <c r="E1648" s="3" t="s">
        <v>260</v>
      </c>
      <c r="F1648" s="3" t="s">
        <v>234</v>
      </c>
      <c r="G1648" s="5">
        <v>1E-3</v>
      </c>
      <c r="H1648" s="6" t="s">
        <v>75</v>
      </c>
      <c r="I1648" s="3" t="s">
        <v>45</v>
      </c>
    </row>
    <row r="1649" spans="1:9" ht="48" customHeight="1">
      <c r="A1649" s="3" t="s">
        <v>66</v>
      </c>
      <c r="B1649" s="3" t="s">
        <v>65</v>
      </c>
      <c r="C1649" s="4">
        <v>46204</v>
      </c>
      <c r="D1649" s="4">
        <v>46234</v>
      </c>
      <c r="E1649" s="3" t="s">
        <v>260</v>
      </c>
      <c r="F1649" s="3" t="s">
        <v>265</v>
      </c>
      <c r="G1649" s="5">
        <v>1E-3</v>
      </c>
      <c r="H1649" s="6" t="s">
        <v>75</v>
      </c>
      <c r="I1649" s="3" t="s">
        <v>45</v>
      </c>
    </row>
    <row r="1650" spans="1:9" ht="48" customHeight="1">
      <c r="A1650" s="3" t="s">
        <v>66</v>
      </c>
      <c r="B1650" s="3" t="s">
        <v>65</v>
      </c>
      <c r="C1650" s="4">
        <v>46204</v>
      </c>
      <c r="D1650" s="4">
        <v>46234</v>
      </c>
      <c r="E1650" s="3" t="s">
        <v>260</v>
      </c>
      <c r="F1650" s="3" t="s">
        <v>271</v>
      </c>
      <c r="G1650" s="5">
        <v>1E-3</v>
      </c>
      <c r="H1650" s="6" t="s">
        <v>75</v>
      </c>
      <c r="I1650" s="3" t="s">
        <v>45</v>
      </c>
    </row>
    <row r="1651" spans="1:9" ht="48" customHeight="1">
      <c r="A1651" s="3" t="s">
        <v>66</v>
      </c>
      <c r="B1651" s="3" t="s">
        <v>65</v>
      </c>
      <c r="C1651" s="4">
        <v>46204</v>
      </c>
      <c r="D1651" s="4">
        <v>46234</v>
      </c>
      <c r="E1651" s="3" t="s">
        <v>260</v>
      </c>
      <c r="F1651" s="3" t="s">
        <v>272</v>
      </c>
      <c r="G1651" s="5">
        <v>1E-3</v>
      </c>
      <c r="H1651" s="6" t="s">
        <v>75</v>
      </c>
      <c r="I1651" s="3" t="s">
        <v>45</v>
      </c>
    </row>
    <row r="1652" spans="1:9" ht="48" customHeight="1">
      <c r="A1652" s="3" t="s">
        <v>66</v>
      </c>
      <c r="B1652" s="3" t="s">
        <v>65</v>
      </c>
      <c r="C1652" s="4">
        <v>46204</v>
      </c>
      <c r="D1652" s="4">
        <v>46234</v>
      </c>
      <c r="E1652" s="3" t="s">
        <v>260</v>
      </c>
      <c r="F1652" s="3" t="s">
        <v>282</v>
      </c>
      <c r="G1652" s="5">
        <v>1E-3</v>
      </c>
      <c r="H1652" s="6" t="s">
        <v>75</v>
      </c>
      <c r="I1652" s="3" t="s">
        <v>45</v>
      </c>
    </row>
    <row r="1653" spans="1:9" ht="48" customHeight="1">
      <c r="A1653" s="3" t="s">
        <v>66</v>
      </c>
      <c r="B1653" s="3" t="s">
        <v>65</v>
      </c>
      <c r="C1653" s="4">
        <v>46204</v>
      </c>
      <c r="D1653" s="4">
        <v>46234</v>
      </c>
      <c r="E1653" s="3" t="s">
        <v>260</v>
      </c>
      <c r="F1653" s="3" t="s">
        <v>283</v>
      </c>
      <c r="G1653" s="5">
        <v>1E-3</v>
      </c>
      <c r="H1653" s="6" t="s">
        <v>75</v>
      </c>
      <c r="I1653" s="3" t="s">
        <v>45</v>
      </c>
    </row>
    <row r="1654" spans="1:9" ht="48" customHeight="1">
      <c r="A1654" s="3" t="s">
        <v>66</v>
      </c>
      <c r="B1654" s="3" t="s">
        <v>65</v>
      </c>
      <c r="C1654" s="4">
        <v>46204</v>
      </c>
      <c r="D1654" s="4">
        <v>46234</v>
      </c>
      <c r="E1654" s="3" t="s">
        <v>260</v>
      </c>
      <c r="F1654" s="3" t="s">
        <v>273</v>
      </c>
      <c r="G1654" s="5">
        <v>0</v>
      </c>
      <c r="H1654" s="6" t="s">
        <v>75</v>
      </c>
      <c r="I1654" s="3" t="s">
        <v>45</v>
      </c>
    </row>
    <row r="1655" spans="1:9" ht="48" customHeight="1">
      <c r="A1655" s="3" t="s">
        <v>66</v>
      </c>
      <c r="B1655" s="3" t="s">
        <v>65</v>
      </c>
      <c r="C1655" s="4">
        <v>46204</v>
      </c>
      <c r="D1655" s="4">
        <v>46234</v>
      </c>
      <c r="E1655" s="3" t="s">
        <v>260</v>
      </c>
      <c r="F1655" s="3" t="s">
        <v>274</v>
      </c>
      <c r="G1655" s="5">
        <v>0</v>
      </c>
      <c r="H1655" s="6" t="s">
        <v>75</v>
      </c>
      <c r="I1655" s="3" t="s">
        <v>45</v>
      </c>
    </row>
    <row r="1656" spans="1:9" ht="48" customHeight="1">
      <c r="A1656" s="3" t="s">
        <v>66</v>
      </c>
      <c r="B1656" s="3" t="s">
        <v>65</v>
      </c>
      <c r="C1656" s="4">
        <v>46204</v>
      </c>
      <c r="D1656" s="4">
        <v>46234</v>
      </c>
      <c r="E1656" s="3" t="s">
        <v>260</v>
      </c>
      <c r="F1656" s="3" t="s">
        <v>275</v>
      </c>
      <c r="G1656" s="5">
        <v>0</v>
      </c>
      <c r="H1656" s="6" t="s">
        <v>75</v>
      </c>
      <c r="I1656" s="3" t="s">
        <v>45</v>
      </c>
    </row>
    <row r="1657" spans="1:9" ht="48" customHeight="1">
      <c r="A1657" s="3" t="s">
        <v>66</v>
      </c>
      <c r="B1657" s="3" t="s">
        <v>65</v>
      </c>
      <c r="C1657" s="4">
        <v>46204</v>
      </c>
      <c r="D1657" s="4">
        <v>46234</v>
      </c>
      <c r="E1657" s="3" t="s">
        <v>260</v>
      </c>
      <c r="F1657" s="3" t="s">
        <v>276</v>
      </c>
      <c r="G1657" s="5">
        <v>0</v>
      </c>
      <c r="H1657" s="6" t="s">
        <v>75</v>
      </c>
      <c r="I1657" s="3" t="s">
        <v>45</v>
      </c>
    </row>
    <row r="1658" spans="1:9" ht="48" customHeight="1">
      <c r="A1658" s="3" t="s">
        <v>66</v>
      </c>
      <c r="B1658" s="3" t="s">
        <v>65</v>
      </c>
      <c r="C1658" s="4">
        <v>46204</v>
      </c>
      <c r="D1658" s="4">
        <v>46234</v>
      </c>
      <c r="E1658" s="3" t="s">
        <v>260</v>
      </c>
      <c r="F1658" s="3" t="s">
        <v>277</v>
      </c>
      <c r="G1658" s="5">
        <v>0</v>
      </c>
      <c r="H1658" s="6" t="s">
        <v>75</v>
      </c>
      <c r="I1658" s="3" t="s">
        <v>45</v>
      </c>
    </row>
    <row r="1659" spans="1:9" ht="48" customHeight="1">
      <c r="A1659" s="3" t="s">
        <v>66</v>
      </c>
      <c r="B1659" s="3" t="s">
        <v>65</v>
      </c>
      <c r="C1659" s="4">
        <v>46204</v>
      </c>
      <c r="D1659" s="4">
        <v>46234</v>
      </c>
      <c r="E1659" s="3" t="s">
        <v>260</v>
      </c>
      <c r="F1659" s="3" t="s">
        <v>278</v>
      </c>
      <c r="G1659" s="5">
        <v>0</v>
      </c>
      <c r="H1659" s="6" t="s">
        <v>75</v>
      </c>
      <c r="I1659" s="3" t="s">
        <v>45</v>
      </c>
    </row>
    <row r="1660" spans="1:9" ht="48" customHeight="1">
      <c r="A1660" s="3" t="s">
        <v>66</v>
      </c>
      <c r="B1660" s="3" t="s">
        <v>65</v>
      </c>
      <c r="C1660" s="4">
        <v>46204</v>
      </c>
      <c r="D1660" s="4">
        <v>46234</v>
      </c>
      <c r="E1660" s="3" t="s">
        <v>260</v>
      </c>
      <c r="F1660" s="3" t="s">
        <v>269</v>
      </c>
      <c r="G1660" s="5">
        <v>0</v>
      </c>
      <c r="H1660" s="6" t="s">
        <v>75</v>
      </c>
      <c r="I1660" s="3" t="s">
        <v>45</v>
      </c>
    </row>
    <row r="1661" spans="1:9" ht="48" customHeight="1">
      <c r="A1661" s="3" t="s">
        <v>66</v>
      </c>
      <c r="B1661" s="3" t="s">
        <v>65</v>
      </c>
      <c r="C1661" s="4">
        <v>46204</v>
      </c>
      <c r="D1661" s="4">
        <v>46234</v>
      </c>
      <c r="E1661" s="3" t="s">
        <v>260</v>
      </c>
      <c r="F1661" s="3" t="s">
        <v>279</v>
      </c>
      <c r="G1661" s="5">
        <v>0</v>
      </c>
      <c r="H1661" s="6" t="s">
        <v>75</v>
      </c>
      <c r="I1661" s="3" t="s">
        <v>45</v>
      </c>
    </row>
    <row r="1662" spans="1:9" ht="48" customHeight="1">
      <c r="A1662" s="3" t="s">
        <v>66</v>
      </c>
      <c r="B1662" s="3" t="s">
        <v>65</v>
      </c>
      <c r="C1662" s="4">
        <v>46204</v>
      </c>
      <c r="D1662" s="4">
        <v>46234</v>
      </c>
      <c r="E1662" s="3" t="s">
        <v>260</v>
      </c>
      <c r="F1662" s="3" t="s">
        <v>270</v>
      </c>
      <c r="G1662" s="5">
        <v>0</v>
      </c>
      <c r="H1662" s="6" t="s">
        <v>75</v>
      </c>
      <c r="I1662" s="3" t="s">
        <v>45</v>
      </c>
    </row>
    <row r="1663" spans="1:9" ht="48" customHeight="1">
      <c r="A1663" s="3" t="s">
        <v>66</v>
      </c>
      <c r="B1663" s="3" t="s">
        <v>65</v>
      </c>
      <c r="C1663" s="4">
        <v>46204</v>
      </c>
      <c r="D1663" s="4">
        <v>46234</v>
      </c>
      <c r="E1663" s="3" t="s">
        <v>260</v>
      </c>
      <c r="F1663" s="3" t="s">
        <v>280</v>
      </c>
      <c r="G1663" s="5">
        <v>0</v>
      </c>
      <c r="H1663" s="6" t="s">
        <v>75</v>
      </c>
      <c r="I1663" s="3" t="s">
        <v>45</v>
      </c>
    </row>
    <row r="1664" spans="1:9" ht="48" customHeight="1">
      <c r="A1664" s="3" t="s">
        <v>66</v>
      </c>
      <c r="B1664" s="3" t="s">
        <v>65</v>
      </c>
      <c r="C1664" s="4">
        <v>46204</v>
      </c>
      <c r="D1664" s="4">
        <v>46234</v>
      </c>
      <c r="E1664" s="3" t="s">
        <v>260</v>
      </c>
      <c r="F1664" s="3" t="s">
        <v>281</v>
      </c>
      <c r="G1664" s="5">
        <v>0</v>
      </c>
      <c r="H1664" s="6" t="s">
        <v>75</v>
      </c>
      <c r="I1664" s="3" t="s">
        <v>45</v>
      </c>
    </row>
    <row r="1665" spans="1:9" ht="48" customHeight="1">
      <c r="A1665" s="3" t="s">
        <v>66</v>
      </c>
      <c r="B1665" s="3" t="s">
        <v>65</v>
      </c>
      <c r="C1665" s="4">
        <v>46204</v>
      </c>
      <c r="D1665" s="4">
        <v>46234</v>
      </c>
      <c r="E1665" s="3" t="s">
        <v>260</v>
      </c>
      <c r="F1665" s="3" t="s">
        <v>284</v>
      </c>
      <c r="G1665" s="5">
        <v>0</v>
      </c>
      <c r="H1665" s="6" t="s">
        <v>75</v>
      </c>
      <c r="I1665" s="3" t="s">
        <v>45</v>
      </c>
    </row>
    <row r="1666" spans="1:9" ht="48" customHeight="1">
      <c r="A1666" s="3" t="s">
        <v>66</v>
      </c>
      <c r="B1666" s="3" t="s">
        <v>65</v>
      </c>
      <c r="C1666" s="4">
        <v>46204</v>
      </c>
      <c r="D1666" s="4">
        <v>46234</v>
      </c>
      <c r="E1666" s="3" t="s">
        <v>260</v>
      </c>
      <c r="F1666" s="3" t="s">
        <v>285</v>
      </c>
      <c r="G1666" s="5">
        <v>0</v>
      </c>
      <c r="H1666" s="6" t="s">
        <v>75</v>
      </c>
      <c r="I1666" s="3" t="s">
        <v>45</v>
      </c>
    </row>
    <row r="1667" spans="1:9" ht="48" customHeight="1">
      <c r="A1667" s="3" t="s">
        <v>66</v>
      </c>
      <c r="B1667" s="3" t="s">
        <v>65</v>
      </c>
      <c r="C1667" s="4">
        <v>46204</v>
      </c>
      <c r="D1667" s="4">
        <v>46234</v>
      </c>
      <c r="E1667" s="3" t="s">
        <v>286</v>
      </c>
      <c r="F1667" s="3" t="s">
        <v>287</v>
      </c>
      <c r="G1667" s="5">
        <v>5.0000000000000001E-3</v>
      </c>
      <c r="H1667" s="6" t="s">
        <v>75</v>
      </c>
      <c r="I1667" s="3" t="s">
        <v>45</v>
      </c>
    </row>
    <row r="1668" spans="1:9" ht="48" customHeight="1">
      <c r="A1668" s="3" t="s">
        <v>66</v>
      </c>
      <c r="B1668" s="3" t="s">
        <v>65</v>
      </c>
      <c r="C1668" s="4">
        <v>46204</v>
      </c>
      <c r="D1668" s="4">
        <v>46234</v>
      </c>
      <c r="E1668" s="3" t="s">
        <v>286</v>
      </c>
      <c r="F1668" s="3" t="s">
        <v>288</v>
      </c>
      <c r="G1668" s="5">
        <v>3.0000000000000001E-3</v>
      </c>
      <c r="H1668" s="6" t="s">
        <v>75</v>
      </c>
      <c r="I1668" s="3" t="s">
        <v>45</v>
      </c>
    </row>
    <row r="1669" spans="1:9" ht="48" customHeight="1">
      <c r="A1669" s="3" t="s">
        <v>66</v>
      </c>
      <c r="B1669" s="3" t="s">
        <v>65</v>
      </c>
      <c r="C1669" s="4">
        <v>46204</v>
      </c>
      <c r="D1669" s="4">
        <v>46234</v>
      </c>
      <c r="E1669" s="3" t="s">
        <v>286</v>
      </c>
      <c r="F1669" s="3" t="s">
        <v>289</v>
      </c>
      <c r="G1669" s="5">
        <v>3.0000000000000001E-3</v>
      </c>
      <c r="H1669" s="6" t="s">
        <v>75</v>
      </c>
      <c r="I1669" s="3" t="s">
        <v>45</v>
      </c>
    </row>
    <row r="1670" spans="1:9" ht="48" customHeight="1">
      <c r="A1670" s="3" t="s">
        <v>66</v>
      </c>
      <c r="B1670" s="3" t="s">
        <v>65</v>
      </c>
      <c r="C1670" s="4">
        <v>46204</v>
      </c>
      <c r="D1670" s="4">
        <v>46234</v>
      </c>
      <c r="E1670" s="3" t="s">
        <v>286</v>
      </c>
      <c r="F1670" s="3" t="s">
        <v>290</v>
      </c>
      <c r="G1670" s="5">
        <v>2E-3</v>
      </c>
      <c r="H1670" s="6" t="s">
        <v>75</v>
      </c>
      <c r="I1670" s="3" t="s">
        <v>45</v>
      </c>
    </row>
    <row r="1671" spans="1:9" ht="48" customHeight="1">
      <c r="A1671" s="3" t="s">
        <v>66</v>
      </c>
      <c r="B1671" s="3" t="s">
        <v>65</v>
      </c>
      <c r="C1671" s="4">
        <v>46204</v>
      </c>
      <c r="D1671" s="4">
        <v>46234</v>
      </c>
      <c r="E1671" s="3" t="s">
        <v>286</v>
      </c>
      <c r="F1671" s="3" t="s">
        <v>291</v>
      </c>
      <c r="G1671" s="5">
        <v>2E-3</v>
      </c>
      <c r="H1671" s="6" t="s">
        <v>75</v>
      </c>
      <c r="I1671" s="3" t="s">
        <v>45</v>
      </c>
    </row>
    <row r="1672" spans="1:9" ht="48" customHeight="1">
      <c r="A1672" s="3" t="s">
        <v>66</v>
      </c>
      <c r="B1672" s="3" t="s">
        <v>65</v>
      </c>
      <c r="C1672" s="4">
        <v>46204</v>
      </c>
      <c r="D1672" s="4">
        <v>46234</v>
      </c>
      <c r="E1672" s="3" t="s">
        <v>286</v>
      </c>
      <c r="F1672" s="3" t="s">
        <v>297</v>
      </c>
      <c r="G1672" s="5">
        <v>2E-3</v>
      </c>
      <c r="H1672" s="6" t="s">
        <v>75</v>
      </c>
      <c r="I1672" s="3" t="s">
        <v>45</v>
      </c>
    </row>
    <row r="1673" spans="1:9" ht="48" customHeight="1">
      <c r="A1673" s="3" t="s">
        <v>66</v>
      </c>
      <c r="B1673" s="3" t="s">
        <v>65</v>
      </c>
      <c r="C1673" s="4">
        <v>46204</v>
      </c>
      <c r="D1673" s="4">
        <v>46234</v>
      </c>
      <c r="E1673" s="3" t="s">
        <v>286</v>
      </c>
      <c r="F1673" s="3" t="s">
        <v>292</v>
      </c>
      <c r="G1673" s="5">
        <v>2E-3</v>
      </c>
      <c r="H1673" s="6" t="s">
        <v>75</v>
      </c>
      <c r="I1673" s="3" t="s">
        <v>45</v>
      </c>
    </row>
    <row r="1674" spans="1:9" ht="48" customHeight="1">
      <c r="A1674" s="3" t="s">
        <v>66</v>
      </c>
      <c r="B1674" s="3" t="s">
        <v>65</v>
      </c>
      <c r="C1674" s="4">
        <v>46204</v>
      </c>
      <c r="D1674" s="4">
        <v>46234</v>
      </c>
      <c r="E1674" s="3" t="s">
        <v>286</v>
      </c>
      <c r="F1674" s="3" t="s">
        <v>293</v>
      </c>
      <c r="G1674" s="5">
        <v>1E-3</v>
      </c>
      <c r="H1674" s="6" t="s">
        <v>75</v>
      </c>
      <c r="I1674" s="3" t="s">
        <v>45</v>
      </c>
    </row>
    <row r="1675" spans="1:9" ht="48" customHeight="1">
      <c r="A1675" s="3" t="s">
        <v>66</v>
      </c>
      <c r="B1675" s="3" t="s">
        <v>65</v>
      </c>
      <c r="C1675" s="4">
        <v>46204</v>
      </c>
      <c r="D1675" s="4">
        <v>46234</v>
      </c>
      <c r="E1675" s="3" t="s">
        <v>286</v>
      </c>
      <c r="F1675" s="3" t="s">
        <v>295</v>
      </c>
      <c r="G1675" s="5">
        <v>1E-3</v>
      </c>
      <c r="H1675" s="6" t="s">
        <v>75</v>
      </c>
      <c r="I1675" s="3" t="s">
        <v>45</v>
      </c>
    </row>
    <row r="1676" spans="1:9" ht="48" customHeight="1">
      <c r="A1676" s="3" t="s">
        <v>66</v>
      </c>
      <c r="B1676" s="3" t="s">
        <v>65</v>
      </c>
      <c r="C1676" s="4">
        <v>46204</v>
      </c>
      <c r="D1676" s="4">
        <v>46234</v>
      </c>
      <c r="E1676" s="3" t="s">
        <v>286</v>
      </c>
      <c r="F1676" s="3" t="s">
        <v>296</v>
      </c>
      <c r="G1676" s="5">
        <v>1E-3</v>
      </c>
      <c r="H1676" s="6" t="s">
        <v>75</v>
      </c>
      <c r="I1676" s="3" t="s">
        <v>45</v>
      </c>
    </row>
    <row r="1677" spans="1:9" ht="48" customHeight="1">
      <c r="A1677" s="3" t="s">
        <v>66</v>
      </c>
      <c r="B1677" s="3" t="s">
        <v>65</v>
      </c>
      <c r="C1677" s="4">
        <v>46204</v>
      </c>
      <c r="D1677" s="4">
        <v>46234</v>
      </c>
      <c r="E1677" s="3" t="s">
        <v>286</v>
      </c>
      <c r="F1677" s="3" t="s">
        <v>298</v>
      </c>
      <c r="G1677" s="5">
        <v>1E-3</v>
      </c>
      <c r="H1677" s="6" t="s">
        <v>75</v>
      </c>
      <c r="I1677" s="3" t="s">
        <v>45</v>
      </c>
    </row>
    <row r="1678" spans="1:9" ht="48" customHeight="1">
      <c r="A1678" s="3" t="s">
        <v>66</v>
      </c>
      <c r="B1678" s="3" t="s">
        <v>65</v>
      </c>
      <c r="C1678" s="4">
        <v>46204</v>
      </c>
      <c r="D1678" s="4">
        <v>46234</v>
      </c>
      <c r="E1678" s="3" t="s">
        <v>286</v>
      </c>
      <c r="F1678" s="3" t="s">
        <v>299</v>
      </c>
      <c r="G1678" s="5">
        <v>1E-3</v>
      </c>
      <c r="H1678" s="6" t="s">
        <v>75</v>
      </c>
      <c r="I1678" s="3" t="s">
        <v>45</v>
      </c>
    </row>
    <row r="1679" spans="1:9" ht="48" customHeight="1">
      <c r="A1679" s="3" t="s">
        <v>66</v>
      </c>
      <c r="B1679" s="3" t="s">
        <v>65</v>
      </c>
      <c r="C1679" s="4">
        <v>46204</v>
      </c>
      <c r="D1679" s="4">
        <v>46234</v>
      </c>
      <c r="E1679" s="3" t="s">
        <v>286</v>
      </c>
      <c r="F1679" s="3" t="s">
        <v>294</v>
      </c>
      <c r="G1679" s="5">
        <v>0</v>
      </c>
      <c r="H1679" s="6" t="s">
        <v>75</v>
      </c>
      <c r="I1679" s="3" t="s">
        <v>45</v>
      </c>
    </row>
    <row r="1680" spans="1:9" ht="48" customHeight="1">
      <c r="A1680" s="3" t="s">
        <v>66</v>
      </c>
      <c r="B1680" s="3" t="s">
        <v>65</v>
      </c>
      <c r="C1680" s="4">
        <v>46204</v>
      </c>
      <c r="D1680" s="4">
        <v>46234</v>
      </c>
      <c r="E1680" s="3" t="s">
        <v>286</v>
      </c>
      <c r="F1680" s="3" t="s">
        <v>300</v>
      </c>
      <c r="G1680" s="5">
        <v>0</v>
      </c>
      <c r="H1680" s="6" t="s">
        <v>75</v>
      </c>
      <c r="I1680" s="3" t="s">
        <v>45</v>
      </c>
    </row>
    <row r="1681" spans="1:9" ht="48" customHeight="1">
      <c r="A1681" s="3" t="s">
        <v>66</v>
      </c>
      <c r="B1681" s="3" t="s">
        <v>65</v>
      </c>
      <c r="C1681" s="4">
        <v>46204</v>
      </c>
      <c r="D1681" s="4">
        <v>46234</v>
      </c>
      <c r="E1681" s="3" t="s">
        <v>301</v>
      </c>
      <c r="F1681" s="3" t="s">
        <v>301</v>
      </c>
      <c r="G1681" s="5">
        <v>1.7000000000000001E-2</v>
      </c>
      <c r="H1681" s="6" t="s">
        <v>75</v>
      </c>
      <c r="I1681" s="3" t="s">
        <v>45</v>
      </c>
    </row>
    <row r="1682" spans="1:9" ht="48" customHeight="1">
      <c r="A1682" s="3" t="s">
        <v>66</v>
      </c>
      <c r="B1682" s="3" t="s">
        <v>65</v>
      </c>
      <c r="C1682" s="4">
        <v>46204</v>
      </c>
      <c r="D1682" s="4">
        <v>46234</v>
      </c>
      <c r="E1682" s="3" t="s">
        <v>81</v>
      </c>
      <c r="F1682" s="3" t="s">
        <v>326</v>
      </c>
      <c r="G1682" s="5">
        <v>1E-3</v>
      </c>
      <c r="H1682" s="6" t="s">
        <v>75</v>
      </c>
      <c r="I1682" s="3" t="s">
        <v>45</v>
      </c>
    </row>
    <row r="1683" spans="1:9" ht="48" customHeight="1">
      <c r="A1683" s="3" t="s">
        <v>66</v>
      </c>
      <c r="B1683" s="3" t="s">
        <v>65</v>
      </c>
      <c r="C1683" s="4">
        <v>46204</v>
      </c>
      <c r="D1683" s="4">
        <v>46234</v>
      </c>
      <c r="E1683" s="3" t="s">
        <v>81</v>
      </c>
      <c r="F1683" s="3" t="s">
        <v>327</v>
      </c>
      <c r="G1683" s="5">
        <v>1E-3</v>
      </c>
      <c r="H1683" s="6" t="s">
        <v>75</v>
      </c>
      <c r="I1683" s="3" t="s">
        <v>45</v>
      </c>
    </row>
    <row r="1684" spans="1:9" ht="48" customHeight="1">
      <c r="A1684" s="3" t="s">
        <v>66</v>
      </c>
      <c r="B1684" s="3" t="s">
        <v>65</v>
      </c>
      <c r="C1684" s="4">
        <v>46204</v>
      </c>
      <c r="D1684" s="4">
        <v>46234</v>
      </c>
      <c r="E1684" s="3" t="s">
        <v>81</v>
      </c>
      <c r="F1684" s="3" t="s">
        <v>328</v>
      </c>
      <c r="G1684" s="5">
        <v>1E-3</v>
      </c>
      <c r="H1684" s="6" t="s">
        <v>75</v>
      </c>
      <c r="I1684" s="3" t="s">
        <v>45</v>
      </c>
    </row>
    <row r="1685" spans="1:9" ht="48" customHeight="1">
      <c r="A1685" s="3" t="s">
        <v>66</v>
      </c>
      <c r="B1685" s="3" t="s">
        <v>65</v>
      </c>
      <c r="C1685" s="4">
        <v>46204</v>
      </c>
      <c r="D1685" s="4">
        <v>46234</v>
      </c>
      <c r="E1685" s="3" t="s">
        <v>81</v>
      </c>
      <c r="F1685" s="3" t="s">
        <v>329</v>
      </c>
      <c r="G1685" s="5">
        <v>1E-3</v>
      </c>
      <c r="H1685" s="6" t="s">
        <v>75</v>
      </c>
      <c r="I1685" s="3" t="s">
        <v>45</v>
      </c>
    </row>
    <row r="1686" spans="1:9" ht="48" customHeight="1">
      <c r="A1686" s="3" t="s">
        <v>66</v>
      </c>
      <c r="B1686" s="3" t="s">
        <v>65</v>
      </c>
      <c r="C1686" s="4">
        <v>46204</v>
      </c>
      <c r="D1686" s="4">
        <v>46234</v>
      </c>
      <c r="E1686" s="3" t="s">
        <v>81</v>
      </c>
      <c r="F1686" s="3" t="s">
        <v>330</v>
      </c>
      <c r="G1686" s="5">
        <v>1E-3</v>
      </c>
      <c r="H1686" s="6" t="s">
        <v>75</v>
      </c>
      <c r="I1686" s="3" t="s">
        <v>45</v>
      </c>
    </row>
    <row r="1687" spans="1:9" ht="48" customHeight="1">
      <c r="A1687" s="3" t="s">
        <v>66</v>
      </c>
      <c r="B1687" s="3" t="s">
        <v>65</v>
      </c>
      <c r="C1687" s="4">
        <v>46204</v>
      </c>
      <c r="D1687" s="4">
        <v>46234</v>
      </c>
      <c r="E1687" s="3" t="s">
        <v>81</v>
      </c>
      <c r="F1687" s="3" t="s">
        <v>325</v>
      </c>
      <c r="G1687" s="5">
        <v>1E-3</v>
      </c>
      <c r="H1687" s="6" t="s">
        <v>75</v>
      </c>
      <c r="I1687" s="3" t="s">
        <v>45</v>
      </c>
    </row>
    <row r="1688" spans="1:9" ht="48" customHeight="1">
      <c r="A1688" s="3" t="s">
        <v>66</v>
      </c>
      <c r="B1688" s="3" t="s">
        <v>65</v>
      </c>
      <c r="C1688" s="4">
        <v>46204</v>
      </c>
      <c r="D1688" s="4">
        <v>46234</v>
      </c>
      <c r="E1688" s="3" t="s">
        <v>81</v>
      </c>
      <c r="F1688" s="3" t="s">
        <v>331</v>
      </c>
      <c r="G1688" s="5">
        <v>1E-3</v>
      </c>
      <c r="H1688" s="6" t="s">
        <v>75</v>
      </c>
      <c r="I1688" s="3" t="s">
        <v>45</v>
      </c>
    </row>
    <row r="1689" spans="1:9" ht="48" customHeight="1">
      <c r="A1689" s="3" t="s">
        <v>66</v>
      </c>
      <c r="B1689" s="3" t="s">
        <v>65</v>
      </c>
      <c r="C1689" s="4">
        <v>46204</v>
      </c>
      <c r="D1689" s="4">
        <v>46234</v>
      </c>
      <c r="E1689" s="3" t="s">
        <v>81</v>
      </c>
      <c r="F1689" s="3" t="s">
        <v>332</v>
      </c>
      <c r="G1689" s="5">
        <v>1E-3</v>
      </c>
      <c r="H1689" s="6" t="s">
        <v>75</v>
      </c>
      <c r="I1689" s="3" t="s">
        <v>45</v>
      </c>
    </row>
    <row r="1690" spans="1:9" ht="48" customHeight="1">
      <c r="A1690" s="3" t="s">
        <v>66</v>
      </c>
      <c r="B1690" s="3" t="s">
        <v>65</v>
      </c>
      <c r="C1690" s="4">
        <v>46204</v>
      </c>
      <c r="D1690" s="4">
        <v>46234</v>
      </c>
      <c r="E1690" s="3" t="s">
        <v>81</v>
      </c>
      <c r="F1690" s="3" t="s">
        <v>345</v>
      </c>
      <c r="G1690" s="5">
        <v>1E-3</v>
      </c>
      <c r="H1690" s="6" t="s">
        <v>75</v>
      </c>
      <c r="I1690" s="3" t="s">
        <v>45</v>
      </c>
    </row>
    <row r="1691" spans="1:9" ht="48" customHeight="1">
      <c r="A1691" s="3" t="s">
        <v>66</v>
      </c>
      <c r="B1691" s="3" t="s">
        <v>65</v>
      </c>
      <c r="C1691" s="4">
        <v>46204</v>
      </c>
      <c r="D1691" s="4">
        <v>46234</v>
      </c>
      <c r="E1691" s="3" t="s">
        <v>81</v>
      </c>
      <c r="F1691" s="3" t="s">
        <v>333</v>
      </c>
      <c r="G1691" s="5">
        <v>0</v>
      </c>
      <c r="H1691" s="6" t="s">
        <v>75</v>
      </c>
      <c r="I1691" s="3" t="s">
        <v>45</v>
      </c>
    </row>
    <row r="1692" spans="1:9" ht="48" customHeight="1">
      <c r="A1692" s="3" t="s">
        <v>66</v>
      </c>
      <c r="B1692" s="3" t="s">
        <v>65</v>
      </c>
      <c r="C1692" s="4">
        <v>46204</v>
      </c>
      <c r="D1692" s="4">
        <v>46234</v>
      </c>
      <c r="E1692" s="3" t="s">
        <v>81</v>
      </c>
      <c r="F1692" s="3" t="s">
        <v>334</v>
      </c>
      <c r="G1692" s="5">
        <v>0</v>
      </c>
      <c r="H1692" s="6" t="s">
        <v>75</v>
      </c>
      <c r="I1692" s="3" t="s">
        <v>45</v>
      </c>
    </row>
    <row r="1693" spans="1:9" ht="48" customHeight="1">
      <c r="A1693" s="3" t="s">
        <v>66</v>
      </c>
      <c r="B1693" s="3" t="s">
        <v>65</v>
      </c>
      <c r="C1693" s="4">
        <v>46204</v>
      </c>
      <c r="D1693" s="4">
        <v>46234</v>
      </c>
      <c r="E1693" s="3" t="s">
        <v>81</v>
      </c>
      <c r="F1693" s="3" t="s">
        <v>335</v>
      </c>
      <c r="G1693" s="5">
        <v>0</v>
      </c>
      <c r="H1693" s="6" t="s">
        <v>75</v>
      </c>
      <c r="I1693" s="3" t="s">
        <v>45</v>
      </c>
    </row>
    <row r="1694" spans="1:9" ht="48" customHeight="1">
      <c r="A1694" s="3" t="s">
        <v>66</v>
      </c>
      <c r="B1694" s="3" t="s">
        <v>65</v>
      </c>
      <c r="C1694" s="4">
        <v>46204</v>
      </c>
      <c r="D1694" s="4">
        <v>46234</v>
      </c>
      <c r="E1694" s="3" t="s">
        <v>81</v>
      </c>
      <c r="F1694" s="3" t="s">
        <v>336</v>
      </c>
      <c r="G1694" s="5">
        <v>0</v>
      </c>
      <c r="H1694" s="6" t="s">
        <v>75</v>
      </c>
      <c r="I1694" s="3" t="s">
        <v>45</v>
      </c>
    </row>
    <row r="1695" spans="1:9" ht="48" customHeight="1">
      <c r="A1695" s="3" t="s">
        <v>66</v>
      </c>
      <c r="B1695" s="3" t="s">
        <v>65</v>
      </c>
      <c r="C1695" s="4">
        <v>46204</v>
      </c>
      <c r="D1695" s="4">
        <v>46234</v>
      </c>
      <c r="E1695" s="3" t="s">
        <v>81</v>
      </c>
      <c r="F1695" s="3" t="s">
        <v>337</v>
      </c>
      <c r="G1695" s="5">
        <v>0</v>
      </c>
      <c r="H1695" s="6" t="s">
        <v>75</v>
      </c>
      <c r="I1695" s="3" t="s">
        <v>45</v>
      </c>
    </row>
    <row r="1696" spans="1:9" ht="48" customHeight="1">
      <c r="A1696" s="3" t="s">
        <v>66</v>
      </c>
      <c r="B1696" s="3" t="s">
        <v>65</v>
      </c>
      <c r="C1696" s="4">
        <v>46204</v>
      </c>
      <c r="D1696" s="4">
        <v>46234</v>
      </c>
      <c r="E1696" s="3" t="s">
        <v>81</v>
      </c>
      <c r="F1696" s="3" t="s">
        <v>338</v>
      </c>
      <c r="G1696" s="5">
        <v>0</v>
      </c>
      <c r="H1696" s="6" t="s">
        <v>75</v>
      </c>
      <c r="I1696" s="3" t="s">
        <v>45</v>
      </c>
    </row>
    <row r="1697" spans="1:9" ht="48" customHeight="1">
      <c r="A1697" s="3" t="s">
        <v>66</v>
      </c>
      <c r="B1697" s="3" t="s">
        <v>65</v>
      </c>
      <c r="C1697" s="4">
        <v>46204</v>
      </c>
      <c r="D1697" s="4">
        <v>46234</v>
      </c>
      <c r="E1697" s="3" t="s">
        <v>81</v>
      </c>
      <c r="F1697" s="3" t="s">
        <v>339</v>
      </c>
      <c r="G1697" s="5">
        <v>0</v>
      </c>
      <c r="H1697" s="6" t="s">
        <v>75</v>
      </c>
      <c r="I1697" s="3" t="s">
        <v>45</v>
      </c>
    </row>
    <row r="1698" spans="1:9" ht="48" customHeight="1">
      <c r="A1698" s="3" t="s">
        <v>66</v>
      </c>
      <c r="B1698" s="3" t="s">
        <v>65</v>
      </c>
      <c r="C1698" s="4">
        <v>46204</v>
      </c>
      <c r="D1698" s="4">
        <v>46234</v>
      </c>
      <c r="E1698" s="3" t="s">
        <v>81</v>
      </c>
      <c r="F1698" s="3" t="s">
        <v>340</v>
      </c>
      <c r="G1698" s="5">
        <v>0</v>
      </c>
      <c r="H1698" s="6" t="s">
        <v>75</v>
      </c>
      <c r="I1698" s="3" t="s">
        <v>45</v>
      </c>
    </row>
    <row r="1699" spans="1:9" ht="48" customHeight="1">
      <c r="A1699" s="3" t="s">
        <v>66</v>
      </c>
      <c r="B1699" s="3" t="s">
        <v>65</v>
      </c>
      <c r="C1699" s="4">
        <v>46204</v>
      </c>
      <c r="D1699" s="4">
        <v>46234</v>
      </c>
      <c r="E1699" s="3" t="s">
        <v>81</v>
      </c>
      <c r="F1699" s="3" t="s">
        <v>341</v>
      </c>
      <c r="G1699" s="5">
        <v>0</v>
      </c>
      <c r="H1699" s="6" t="s">
        <v>75</v>
      </c>
      <c r="I1699" s="3" t="s">
        <v>45</v>
      </c>
    </row>
    <row r="1700" spans="1:9" ht="48" customHeight="1">
      <c r="A1700" s="3" t="s">
        <v>66</v>
      </c>
      <c r="B1700" s="3" t="s">
        <v>65</v>
      </c>
      <c r="C1700" s="4">
        <v>46204</v>
      </c>
      <c r="D1700" s="4">
        <v>46234</v>
      </c>
      <c r="E1700" s="3" t="s">
        <v>81</v>
      </c>
      <c r="F1700" s="3" t="s">
        <v>342</v>
      </c>
      <c r="G1700" s="5">
        <v>0</v>
      </c>
      <c r="H1700" s="6" t="s">
        <v>75</v>
      </c>
      <c r="I1700" s="3" t="s">
        <v>45</v>
      </c>
    </row>
    <row r="1701" spans="1:9" ht="48" customHeight="1">
      <c r="A1701" s="3" t="s">
        <v>66</v>
      </c>
      <c r="B1701" s="3" t="s">
        <v>65</v>
      </c>
      <c r="C1701" s="4">
        <v>46204</v>
      </c>
      <c r="D1701" s="4">
        <v>46234</v>
      </c>
      <c r="E1701" s="3" t="s">
        <v>81</v>
      </c>
      <c r="F1701" s="3" t="s">
        <v>343</v>
      </c>
      <c r="G1701" s="5">
        <v>0</v>
      </c>
      <c r="H1701" s="6" t="s">
        <v>75</v>
      </c>
      <c r="I1701" s="3" t="s">
        <v>45</v>
      </c>
    </row>
    <row r="1702" spans="1:9" ht="48" customHeight="1">
      <c r="A1702" s="3" t="s">
        <v>66</v>
      </c>
      <c r="B1702" s="3" t="s">
        <v>65</v>
      </c>
      <c r="C1702" s="4">
        <v>46204</v>
      </c>
      <c r="D1702" s="4">
        <v>46234</v>
      </c>
      <c r="E1702" s="3" t="s">
        <v>81</v>
      </c>
      <c r="F1702" s="3" t="s">
        <v>344</v>
      </c>
      <c r="G1702" s="5">
        <v>0</v>
      </c>
      <c r="H1702" s="6" t="s">
        <v>75</v>
      </c>
      <c r="I1702" s="3" t="s">
        <v>45</v>
      </c>
    </row>
    <row r="1703" spans="1:9" ht="48" customHeight="1">
      <c r="A1703" s="3" t="s">
        <v>66</v>
      </c>
      <c r="B1703" s="3" t="s">
        <v>65</v>
      </c>
      <c r="C1703" s="4">
        <v>46204</v>
      </c>
      <c r="D1703" s="4">
        <v>46234</v>
      </c>
      <c r="E1703" s="3" t="s">
        <v>81</v>
      </c>
      <c r="F1703" s="3" t="s">
        <v>346</v>
      </c>
      <c r="G1703" s="5">
        <v>0</v>
      </c>
      <c r="H1703" s="6" t="s">
        <v>75</v>
      </c>
      <c r="I1703" s="3" t="s">
        <v>45</v>
      </c>
    </row>
    <row r="1704" spans="1:9" ht="48" customHeight="1">
      <c r="A1704" s="3" t="s">
        <v>66</v>
      </c>
      <c r="B1704" s="3" t="s">
        <v>65</v>
      </c>
      <c r="C1704" s="4">
        <v>46204</v>
      </c>
      <c r="D1704" s="4">
        <v>46234</v>
      </c>
      <c r="E1704" s="3" t="s">
        <v>81</v>
      </c>
      <c r="F1704" s="3" t="s">
        <v>347</v>
      </c>
      <c r="G1704" s="5">
        <v>0</v>
      </c>
      <c r="H1704" s="6" t="s">
        <v>75</v>
      </c>
      <c r="I1704" s="3" t="s">
        <v>45</v>
      </c>
    </row>
    <row r="1705" spans="1:9" ht="48" customHeight="1">
      <c r="A1705" s="3" t="s">
        <v>66</v>
      </c>
      <c r="B1705" s="3" t="s">
        <v>65</v>
      </c>
      <c r="C1705" s="4">
        <v>46204</v>
      </c>
      <c r="D1705" s="4">
        <v>46234</v>
      </c>
      <c r="E1705" s="3" t="s">
        <v>302</v>
      </c>
      <c r="F1705" s="3" t="s">
        <v>305</v>
      </c>
      <c r="G1705" s="5">
        <v>1E-3</v>
      </c>
      <c r="H1705" s="6" t="s">
        <v>75</v>
      </c>
      <c r="I1705" s="3" t="s">
        <v>45</v>
      </c>
    </row>
    <row r="1706" spans="1:9" ht="48" customHeight="1">
      <c r="A1706" s="3" t="s">
        <v>66</v>
      </c>
      <c r="B1706" s="3" t="s">
        <v>65</v>
      </c>
      <c r="C1706" s="4">
        <v>46204</v>
      </c>
      <c r="D1706" s="4">
        <v>46234</v>
      </c>
      <c r="E1706" s="3" t="s">
        <v>302</v>
      </c>
      <c r="F1706" s="3" t="s">
        <v>306</v>
      </c>
      <c r="G1706" s="5">
        <v>1E-3</v>
      </c>
      <c r="H1706" s="6" t="s">
        <v>75</v>
      </c>
      <c r="I1706" s="3" t="s">
        <v>45</v>
      </c>
    </row>
    <row r="1707" spans="1:9" ht="48" customHeight="1">
      <c r="A1707" s="3" t="s">
        <v>66</v>
      </c>
      <c r="B1707" s="3" t="s">
        <v>65</v>
      </c>
      <c r="C1707" s="4">
        <v>46204</v>
      </c>
      <c r="D1707" s="4">
        <v>46234</v>
      </c>
      <c r="E1707" s="3" t="s">
        <v>302</v>
      </c>
      <c r="F1707" s="3" t="s">
        <v>307</v>
      </c>
      <c r="G1707" s="5">
        <v>1E-3</v>
      </c>
      <c r="H1707" s="6" t="s">
        <v>75</v>
      </c>
      <c r="I1707" s="3" t="s">
        <v>45</v>
      </c>
    </row>
    <row r="1708" spans="1:9" ht="48" customHeight="1">
      <c r="A1708" s="3" t="s">
        <v>66</v>
      </c>
      <c r="B1708" s="3" t="s">
        <v>65</v>
      </c>
      <c r="C1708" s="4">
        <v>46204</v>
      </c>
      <c r="D1708" s="4">
        <v>46234</v>
      </c>
      <c r="E1708" s="3" t="s">
        <v>302</v>
      </c>
      <c r="F1708" s="3" t="s">
        <v>308</v>
      </c>
      <c r="G1708" s="5">
        <v>1E-3</v>
      </c>
      <c r="H1708" s="6" t="s">
        <v>75</v>
      </c>
      <c r="I1708" s="3" t="s">
        <v>45</v>
      </c>
    </row>
    <row r="1709" spans="1:9" ht="48" customHeight="1">
      <c r="A1709" s="3" t="s">
        <v>66</v>
      </c>
      <c r="B1709" s="3" t="s">
        <v>65</v>
      </c>
      <c r="C1709" s="4">
        <v>46204</v>
      </c>
      <c r="D1709" s="4">
        <v>46234</v>
      </c>
      <c r="E1709" s="3" t="s">
        <v>302</v>
      </c>
      <c r="F1709" s="3" t="s">
        <v>309</v>
      </c>
      <c r="G1709" s="5">
        <v>1E-3</v>
      </c>
      <c r="H1709" s="6" t="s">
        <v>75</v>
      </c>
      <c r="I1709" s="3" t="s">
        <v>45</v>
      </c>
    </row>
    <row r="1710" spans="1:9" ht="48" customHeight="1">
      <c r="A1710" s="3" t="s">
        <v>66</v>
      </c>
      <c r="B1710" s="3" t="s">
        <v>65</v>
      </c>
      <c r="C1710" s="4">
        <v>46204</v>
      </c>
      <c r="D1710" s="4">
        <v>46234</v>
      </c>
      <c r="E1710" s="3" t="s">
        <v>302</v>
      </c>
      <c r="F1710" s="3" t="s">
        <v>303</v>
      </c>
      <c r="G1710" s="5">
        <v>0</v>
      </c>
      <c r="H1710" s="6" t="s">
        <v>75</v>
      </c>
      <c r="I1710" s="3" t="s">
        <v>45</v>
      </c>
    </row>
    <row r="1711" spans="1:9" ht="48" customHeight="1">
      <c r="A1711" s="3" t="s">
        <v>66</v>
      </c>
      <c r="B1711" s="3" t="s">
        <v>65</v>
      </c>
      <c r="C1711" s="4">
        <v>46204</v>
      </c>
      <c r="D1711" s="4">
        <v>46234</v>
      </c>
      <c r="E1711" s="3" t="s">
        <v>302</v>
      </c>
      <c r="F1711" s="3" t="s">
        <v>304</v>
      </c>
      <c r="G1711" s="5">
        <v>0</v>
      </c>
      <c r="H1711" s="6" t="s">
        <v>75</v>
      </c>
      <c r="I1711" s="3" t="s">
        <v>45</v>
      </c>
    </row>
    <row r="1712" spans="1:9" ht="48" customHeight="1">
      <c r="A1712" s="3" t="s">
        <v>66</v>
      </c>
      <c r="B1712" s="3" t="s">
        <v>65</v>
      </c>
      <c r="C1712" s="4">
        <v>46204</v>
      </c>
      <c r="D1712" s="4">
        <v>46234</v>
      </c>
      <c r="E1712" s="3" t="s">
        <v>302</v>
      </c>
      <c r="F1712" s="3" t="s">
        <v>310</v>
      </c>
      <c r="G1712" s="5">
        <v>0</v>
      </c>
      <c r="H1712" s="6" t="s">
        <v>75</v>
      </c>
      <c r="I1712" s="3" t="s">
        <v>45</v>
      </c>
    </row>
    <row r="1713" spans="1:9" ht="48" customHeight="1">
      <c r="A1713" s="3" t="s">
        <v>66</v>
      </c>
      <c r="B1713" s="3" t="s">
        <v>65</v>
      </c>
      <c r="C1713" s="4">
        <v>46204</v>
      </c>
      <c r="D1713" s="4">
        <v>46234</v>
      </c>
      <c r="E1713" s="3" t="s">
        <v>302</v>
      </c>
      <c r="F1713" s="3" t="s">
        <v>311</v>
      </c>
      <c r="G1713" s="5">
        <v>0</v>
      </c>
      <c r="H1713" s="6" t="s">
        <v>75</v>
      </c>
      <c r="I1713" s="3" t="s">
        <v>45</v>
      </c>
    </row>
    <row r="1714" spans="1:9" ht="48" customHeight="1">
      <c r="A1714" s="3" t="s">
        <v>66</v>
      </c>
      <c r="B1714" s="3" t="s">
        <v>65</v>
      </c>
      <c r="C1714" s="4">
        <v>46204</v>
      </c>
      <c r="D1714" s="4">
        <v>46234</v>
      </c>
      <c r="E1714" s="3" t="s">
        <v>302</v>
      </c>
      <c r="F1714" s="3" t="s">
        <v>312</v>
      </c>
      <c r="G1714" s="5">
        <v>0</v>
      </c>
      <c r="H1714" s="6" t="s">
        <v>75</v>
      </c>
      <c r="I1714" s="3" t="s">
        <v>45</v>
      </c>
    </row>
    <row r="1715" spans="1:9" ht="48" customHeight="1">
      <c r="A1715" s="3" t="s">
        <v>66</v>
      </c>
      <c r="B1715" s="3" t="s">
        <v>65</v>
      </c>
      <c r="C1715" s="4">
        <v>46204</v>
      </c>
      <c r="D1715" s="4">
        <v>46234</v>
      </c>
      <c r="E1715" s="3" t="s">
        <v>302</v>
      </c>
      <c r="F1715" s="3" t="s">
        <v>313</v>
      </c>
      <c r="G1715" s="5">
        <v>0</v>
      </c>
      <c r="H1715" s="6" t="s">
        <v>75</v>
      </c>
      <c r="I1715" s="3" t="s">
        <v>45</v>
      </c>
    </row>
    <row r="1716" spans="1:9" ht="48" customHeight="1">
      <c r="A1716" s="3" t="s">
        <v>66</v>
      </c>
      <c r="B1716" s="3" t="s">
        <v>65</v>
      </c>
      <c r="C1716" s="4">
        <v>46204</v>
      </c>
      <c r="D1716" s="4">
        <v>46234</v>
      </c>
      <c r="E1716" s="3" t="s">
        <v>302</v>
      </c>
      <c r="F1716" s="3" t="s">
        <v>314</v>
      </c>
      <c r="G1716" s="5">
        <v>0</v>
      </c>
      <c r="H1716" s="6" t="s">
        <v>75</v>
      </c>
      <c r="I1716" s="3" t="s">
        <v>45</v>
      </c>
    </row>
    <row r="1717" spans="1:9" ht="48" customHeight="1">
      <c r="A1717" s="3" t="s">
        <v>66</v>
      </c>
      <c r="B1717" s="3" t="s">
        <v>65</v>
      </c>
      <c r="C1717" s="4">
        <v>46204</v>
      </c>
      <c r="D1717" s="4">
        <v>46234</v>
      </c>
      <c r="E1717" s="3" t="s">
        <v>302</v>
      </c>
      <c r="F1717" s="3" t="s">
        <v>315</v>
      </c>
      <c r="G1717" s="5">
        <v>0</v>
      </c>
      <c r="H1717" s="6" t="s">
        <v>75</v>
      </c>
      <c r="I1717" s="3" t="s">
        <v>45</v>
      </c>
    </row>
    <row r="1718" spans="1:9" ht="48" customHeight="1">
      <c r="A1718" s="3" t="s">
        <v>66</v>
      </c>
      <c r="B1718" s="3" t="s">
        <v>65</v>
      </c>
      <c r="C1718" s="4">
        <v>46204</v>
      </c>
      <c r="D1718" s="4">
        <v>46234</v>
      </c>
      <c r="E1718" s="3" t="s">
        <v>302</v>
      </c>
      <c r="F1718" s="3" t="s">
        <v>316</v>
      </c>
      <c r="G1718" s="5">
        <v>0</v>
      </c>
      <c r="H1718" s="6" t="s">
        <v>75</v>
      </c>
      <c r="I1718" s="3" t="s">
        <v>45</v>
      </c>
    </row>
    <row r="1719" spans="1:9" ht="48" customHeight="1">
      <c r="A1719" s="3" t="s">
        <v>66</v>
      </c>
      <c r="B1719" s="3" t="s">
        <v>65</v>
      </c>
      <c r="C1719" s="4">
        <v>46204</v>
      </c>
      <c r="D1719" s="4">
        <v>46234</v>
      </c>
      <c r="E1719" s="3" t="s">
        <v>302</v>
      </c>
      <c r="F1719" s="3" t="s">
        <v>317</v>
      </c>
      <c r="G1719" s="5">
        <v>0</v>
      </c>
      <c r="H1719" s="6" t="s">
        <v>75</v>
      </c>
      <c r="I1719" s="3" t="s">
        <v>45</v>
      </c>
    </row>
    <row r="1720" spans="1:9" ht="48" customHeight="1">
      <c r="A1720" s="3" t="s">
        <v>66</v>
      </c>
      <c r="B1720" s="3" t="s">
        <v>65</v>
      </c>
      <c r="C1720" s="4">
        <v>46204</v>
      </c>
      <c r="D1720" s="4">
        <v>46234</v>
      </c>
      <c r="E1720" s="3" t="s">
        <v>302</v>
      </c>
      <c r="F1720" s="3" t="s">
        <v>318</v>
      </c>
      <c r="G1720" s="5">
        <v>0</v>
      </c>
      <c r="H1720" s="6" t="s">
        <v>75</v>
      </c>
      <c r="I1720" s="3" t="s">
        <v>45</v>
      </c>
    </row>
    <row r="1721" spans="1:9" ht="48" customHeight="1">
      <c r="A1721" s="3" t="s">
        <v>66</v>
      </c>
      <c r="B1721" s="3" t="s">
        <v>65</v>
      </c>
      <c r="C1721" s="4">
        <v>46204</v>
      </c>
      <c r="D1721" s="4">
        <v>46234</v>
      </c>
      <c r="E1721" s="3" t="s">
        <v>302</v>
      </c>
      <c r="F1721" s="3" t="s">
        <v>319</v>
      </c>
      <c r="G1721" s="5">
        <v>0</v>
      </c>
      <c r="H1721" s="6" t="s">
        <v>75</v>
      </c>
      <c r="I1721" s="3" t="s">
        <v>45</v>
      </c>
    </row>
    <row r="1722" spans="1:9" ht="48" customHeight="1">
      <c r="A1722" s="3" t="s">
        <v>66</v>
      </c>
      <c r="B1722" s="3" t="s">
        <v>65</v>
      </c>
      <c r="C1722" s="4">
        <v>46204</v>
      </c>
      <c r="D1722" s="4">
        <v>46234</v>
      </c>
      <c r="E1722" s="3" t="s">
        <v>302</v>
      </c>
      <c r="F1722" s="3" t="s">
        <v>320</v>
      </c>
      <c r="G1722" s="5">
        <v>0</v>
      </c>
      <c r="H1722" s="6" t="s">
        <v>75</v>
      </c>
      <c r="I1722" s="3" t="s">
        <v>45</v>
      </c>
    </row>
    <row r="1723" spans="1:9" ht="48" customHeight="1">
      <c r="A1723" s="3" t="s">
        <v>66</v>
      </c>
      <c r="B1723" s="3" t="s">
        <v>65</v>
      </c>
      <c r="C1723" s="4">
        <v>46204</v>
      </c>
      <c r="D1723" s="4">
        <v>46234</v>
      </c>
      <c r="E1723" s="3" t="s">
        <v>302</v>
      </c>
      <c r="F1723" s="3" t="s">
        <v>321</v>
      </c>
      <c r="G1723" s="5">
        <v>0</v>
      </c>
      <c r="H1723" s="6" t="s">
        <v>75</v>
      </c>
      <c r="I1723" s="3" t="s">
        <v>45</v>
      </c>
    </row>
    <row r="1724" spans="1:9" ht="48" customHeight="1">
      <c r="A1724" s="3" t="s">
        <v>66</v>
      </c>
      <c r="B1724" s="3" t="s">
        <v>65</v>
      </c>
      <c r="C1724" s="4">
        <v>46204</v>
      </c>
      <c r="D1724" s="4">
        <v>46234</v>
      </c>
      <c r="E1724" s="3" t="s">
        <v>302</v>
      </c>
      <c r="F1724" s="3" t="s">
        <v>322</v>
      </c>
      <c r="G1724" s="5">
        <v>0</v>
      </c>
      <c r="H1724" s="6" t="s">
        <v>75</v>
      </c>
      <c r="I1724" s="3" t="s">
        <v>45</v>
      </c>
    </row>
    <row r="1725" spans="1:9" ht="48" customHeight="1">
      <c r="A1725" s="3" t="s">
        <v>66</v>
      </c>
      <c r="B1725" s="3" t="s">
        <v>65</v>
      </c>
      <c r="C1725" s="4">
        <v>46204</v>
      </c>
      <c r="D1725" s="4">
        <v>46234</v>
      </c>
      <c r="E1725" s="3" t="s">
        <v>302</v>
      </c>
      <c r="F1725" s="3" t="s">
        <v>323</v>
      </c>
      <c r="G1725" s="5">
        <v>0</v>
      </c>
      <c r="H1725" s="6" t="s">
        <v>75</v>
      </c>
      <c r="I1725" s="3" t="s">
        <v>45</v>
      </c>
    </row>
    <row r="1726" spans="1:9" ht="48" customHeight="1">
      <c r="A1726" s="3" t="s">
        <v>66</v>
      </c>
      <c r="B1726" s="3" t="s">
        <v>65</v>
      </c>
      <c r="C1726" s="4">
        <v>46204</v>
      </c>
      <c r="D1726" s="4">
        <v>46234</v>
      </c>
      <c r="E1726" s="3" t="s">
        <v>302</v>
      </c>
      <c r="F1726" s="3" t="s">
        <v>324</v>
      </c>
      <c r="G1726" s="5">
        <v>0</v>
      </c>
      <c r="H1726" s="6" t="s">
        <v>75</v>
      </c>
      <c r="I1726" s="3" t="s">
        <v>45</v>
      </c>
    </row>
    <row r="1727" spans="1:9" ht="48" customHeight="1">
      <c r="A1727" s="3" t="s">
        <v>66</v>
      </c>
      <c r="B1727" s="3" t="s">
        <v>65</v>
      </c>
      <c r="C1727" s="4">
        <v>46204</v>
      </c>
      <c r="D1727" s="4">
        <v>46234</v>
      </c>
      <c r="E1727" s="3" t="s">
        <v>47</v>
      </c>
      <c r="F1727" s="3" t="s">
        <v>349</v>
      </c>
      <c r="G1727" s="5">
        <v>1E-3</v>
      </c>
      <c r="H1727" s="6" t="s">
        <v>75</v>
      </c>
      <c r="I1727" s="3" t="s">
        <v>45</v>
      </c>
    </row>
    <row r="1728" spans="1:9" ht="48" customHeight="1">
      <c r="A1728" s="3" t="s">
        <v>66</v>
      </c>
      <c r="B1728" s="3" t="s">
        <v>65</v>
      </c>
      <c r="C1728" s="4">
        <v>46204</v>
      </c>
      <c r="D1728" s="4">
        <v>46234</v>
      </c>
      <c r="E1728" s="3" t="s">
        <v>47</v>
      </c>
      <c r="F1728" s="3" t="s">
        <v>348</v>
      </c>
      <c r="G1728" s="5">
        <v>1E-3</v>
      </c>
      <c r="H1728" s="6" t="s">
        <v>75</v>
      </c>
      <c r="I1728" s="3" t="s">
        <v>45</v>
      </c>
    </row>
    <row r="1729" spans="1:9" ht="48" customHeight="1">
      <c r="A1729" s="3" t="s">
        <v>66</v>
      </c>
      <c r="B1729" s="3" t="s">
        <v>65</v>
      </c>
      <c r="C1729" s="4">
        <v>46204</v>
      </c>
      <c r="D1729" s="4">
        <v>46234</v>
      </c>
      <c r="E1729" s="3" t="s">
        <v>47</v>
      </c>
      <c r="F1729" s="3" t="s">
        <v>350</v>
      </c>
      <c r="G1729" s="5">
        <v>1E-3</v>
      </c>
      <c r="H1729" s="6" t="s">
        <v>75</v>
      </c>
      <c r="I1729" s="3" t="s">
        <v>45</v>
      </c>
    </row>
    <row r="1730" spans="1:9" ht="48" customHeight="1">
      <c r="A1730" s="3" t="s">
        <v>66</v>
      </c>
      <c r="B1730" s="3" t="s">
        <v>65</v>
      </c>
      <c r="C1730" s="4">
        <v>46204</v>
      </c>
      <c r="D1730" s="4">
        <v>46234</v>
      </c>
      <c r="E1730" s="3" t="s">
        <v>47</v>
      </c>
      <c r="F1730" s="3" t="s">
        <v>355</v>
      </c>
      <c r="G1730" s="5">
        <v>1E-3</v>
      </c>
      <c r="H1730" s="6" t="s">
        <v>75</v>
      </c>
      <c r="I1730" s="3" t="s">
        <v>45</v>
      </c>
    </row>
    <row r="1731" spans="1:9" ht="48" customHeight="1">
      <c r="A1731" s="3" t="s">
        <v>66</v>
      </c>
      <c r="B1731" s="3" t="s">
        <v>65</v>
      </c>
      <c r="C1731" s="4">
        <v>46204</v>
      </c>
      <c r="D1731" s="4">
        <v>46234</v>
      </c>
      <c r="E1731" s="3" t="s">
        <v>47</v>
      </c>
      <c r="F1731" s="3" t="s">
        <v>351</v>
      </c>
      <c r="G1731" s="5">
        <v>0</v>
      </c>
      <c r="H1731" s="6" t="s">
        <v>75</v>
      </c>
      <c r="I1731" s="3" t="s">
        <v>45</v>
      </c>
    </row>
    <row r="1732" spans="1:9" ht="48" customHeight="1">
      <c r="A1732" s="3" t="s">
        <v>66</v>
      </c>
      <c r="B1732" s="3" t="s">
        <v>65</v>
      </c>
      <c r="C1732" s="4">
        <v>46204</v>
      </c>
      <c r="D1732" s="4">
        <v>46234</v>
      </c>
      <c r="E1732" s="3" t="s">
        <v>47</v>
      </c>
      <c r="F1732" s="3" t="s">
        <v>352</v>
      </c>
      <c r="G1732" s="5">
        <v>0</v>
      </c>
      <c r="H1732" s="6" t="s">
        <v>75</v>
      </c>
      <c r="I1732" s="3" t="s">
        <v>45</v>
      </c>
    </row>
    <row r="1733" spans="1:9" ht="48" customHeight="1">
      <c r="A1733" s="3" t="s">
        <v>66</v>
      </c>
      <c r="B1733" s="3" t="s">
        <v>65</v>
      </c>
      <c r="C1733" s="4">
        <v>46204</v>
      </c>
      <c r="D1733" s="4">
        <v>46234</v>
      </c>
      <c r="E1733" s="3" t="s">
        <v>47</v>
      </c>
      <c r="F1733" s="3" t="s">
        <v>353</v>
      </c>
      <c r="G1733" s="5">
        <v>0</v>
      </c>
      <c r="H1733" s="6" t="s">
        <v>75</v>
      </c>
      <c r="I1733" s="3" t="s">
        <v>45</v>
      </c>
    </row>
    <row r="1734" spans="1:9" ht="48" customHeight="1">
      <c r="A1734" s="3" t="s">
        <v>66</v>
      </c>
      <c r="B1734" s="3" t="s">
        <v>65</v>
      </c>
      <c r="C1734" s="4">
        <v>46204</v>
      </c>
      <c r="D1734" s="4">
        <v>46234</v>
      </c>
      <c r="E1734" s="3" t="s">
        <v>47</v>
      </c>
      <c r="F1734" s="3" t="s">
        <v>354</v>
      </c>
      <c r="G1734" s="5">
        <v>0</v>
      </c>
      <c r="H1734" s="6" t="s">
        <v>75</v>
      </c>
      <c r="I1734" s="3" t="s">
        <v>45</v>
      </c>
    </row>
    <row r="1735" spans="1:9" ht="48" customHeight="1">
      <c r="A1735" s="3" t="s">
        <v>66</v>
      </c>
      <c r="B1735" s="3" t="s">
        <v>65</v>
      </c>
      <c r="C1735" s="4">
        <v>46204</v>
      </c>
      <c r="D1735" s="4">
        <v>46234</v>
      </c>
      <c r="E1735" s="3" t="s">
        <v>47</v>
      </c>
      <c r="F1735" s="3" t="s">
        <v>356</v>
      </c>
      <c r="G1735" s="5">
        <v>0</v>
      </c>
      <c r="H1735" s="6" t="s">
        <v>75</v>
      </c>
      <c r="I1735" s="3" t="s">
        <v>45</v>
      </c>
    </row>
    <row r="1736" spans="1:9" ht="48" customHeight="1">
      <c r="A1736" s="3" t="s">
        <v>66</v>
      </c>
      <c r="B1736" s="3" t="s">
        <v>65</v>
      </c>
      <c r="C1736" s="4">
        <v>46204</v>
      </c>
      <c r="D1736" s="4">
        <v>46234</v>
      </c>
      <c r="E1736" s="3" t="s">
        <v>47</v>
      </c>
      <c r="F1736" s="3" t="s">
        <v>40</v>
      </c>
      <c r="G1736" s="5">
        <v>0</v>
      </c>
      <c r="H1736" s="6" t="s">
        <v>75</v>
      </c>
      <c r="I1736" s="3" t="s">
        <v>45</v>
      </c>
    </row>
    <row r="1737" spans="1:9" ht="48" customHeight="1">
      <c r="A1737" s="3" t="s">
        <v>66</v>
      </c>
      <c r="B1737" s="3" t="s">
        <v>65</v>
      </c>
      <c r="C1737" s="4">
        <v>46204</v>
      </c>
      <c r="D1737" s="4">
        <v>46234</v>
      </c>
      <c r="E1737" s="3" t="s">
        <v>47</v>
      </c>
      <c r="F1737" s="3" t="s">
        <v>357</v>
      </c>
      <c r="G1737" s="5">
        <v>0</v>
      </c>
      <c r="H1737" s="6" t="s">
        <v>75</v>
      </c>
      <c r="I1737" s="3" t="s">
        <v>45</v>
      </c>
    </row>
    <row r="1738" spans="1:9" ht="48" customHeight="1">
      <c r="A1738" s="3" t="s">
        <v>66</v>
      </c>
      <c r="B1738" s="3" t="s">
        <v>65</v>
      </c>
      <c r="C1738" s="4">
        <v>46204</v>
      </c>
      <c r="D1738" s="4">
        <v>46234</v>
      </c>
      <c r="E1738" s="3" t="s">
        <v>47</v>
      </c>
      <c r="F1738" s="3" t="s">
        <v>358</v>
      </c>
      <c r="G1738" s="5">
        <v>0</v>
      </c>
      <c r="H1738" s="6" t="s">
        <v>75</v>
      </c>
      <c r="I1738" s="3" t="s">
        <v>45</v>
      </c>
    </row>
    <row r="1739" spans="1:9" ht="48" customHeight="1">
      <c r="A1739" s="3" t="s">
        <v>66</v>
      </c>
      <c r="B1739" s="3" t="s">
        <v>65</v>
      </c>
      <c r="C1739" s="4">
        <v>46204</v>
      </c>
      <c r="D1739" s="4">
        <v>46234</v>
      </c>
      <c r="E1739" s="3" t="s">
        <v>47</v>
      </c>
      <c r="F1739" s="3" t="s">
        <v>359</v>
      </c>
      <c r="G1739" s="5">
        <v>0</v>
      </c>
      <c r="H1739" s="6" t="s">
        <v>75</v>
      </c>
      <c r="I1739" s="3" t="s">
        <v>45</v>
      </c>
    </row>
    <row r="1740" spans="1:9" ht="48" customHeight="1">
      <c r="A1740" s="3" t="s">
        <v>66</v>
      </c>
      <c r="B1740" s="3" t="s">
        <v>65</v>
      </c>
      <c r="C1740" s="4">
        <v>46204</v>
      </c>
      <c r="D1740" s="4">
        <v>46234</v>
      </c>
      <c r="E1740" s="3" t="s">
        <v>47</v>
      </c>
      <c r="F1740" s="3" t="s">
        <v>360</v>
      </c>
      <c r="G1740" s="5">
        <v>0</v>
      </c>
      <c r="H1740" s="6" t="s">
        <v>75</v>
      </c>
      <c r="I1740" s="3" t="s">
        <v>45</v>
      </c>
    </row>
    <row r="1741" spans="1:9" ht="48" customHeight="1">
      <c r="A1741" s="3" t="s">
        <v>66</v>
      </c>
      <c r="B1741" s="3" t="s">
        <v>65</v>
      </c>
      <c r="C1741" s="4">
        <v>46204</v>
      </c>
      <c r="D1741" s="4">
        <v>46234</v>
      </c>
      <c r="E1741" s="3" t="s">
        <v>47</v>
      </c>
      <c r="F1741" s="3" t="s">
        <v>361</v>
      </c>
      <c r="G1741" s="5">
        <v>0</v>
      </c>
      <c r="H1741" s="6" t="s">
        <v>75</v>
      </c>
      <c r="I1741" s="3" t="s">
        <v>45</v>
      </c>
    </row>
    <row r="1742" spans="1:9" ht="48" customHeight="1">
      <c r="A1742" s="3" t="s">
        <v>66</v>
      </c>
      <c r="B1742" s="3" t="s">
        <v>65</v>
      </c>
      <c r="C1742" s="4">
        <v>46204</v>
      </c>
      <c r="D1742" s="4">
        <v>46234</v>
      </c>
      <c r="E1742" s="3" t="s">
        <v>47</v>
      </c>
      <c r="F1742" s="3" t="s">
        <v>362</v>
      </c>
      <c r="G1742" s="5">
        <v>0</v>
      </c>
      <c r="H1742" s="6" t="s">
        <v>75</v>
      </c>
      <c r="I1742" s="3" t="s">
        <v>45</v>
      </c>
    </row>
    <row r="1743" spans="1:9" ht="48" customHeight="1">
      <c r="A1743" s="3" t="s">
        <v>66</v>
      </c>
      <c r="B1743" s="3" t="s">
        <v>65</v>
      </c>
      <c r="C1743" s="4">
        <v>46204</v>
      </c>
      <c r="D1743" s="4">
        <v>46234</v>
      </c>
      <c r="E1743" s="3" t="s">
        <v>47</v>
      </c>
      <c r="F1743" s="3" t="s">
        <v>318</v>
      </c>
      <c r="G1743" s="5">
        <v>0</v>
      </c>
      <c r="H1743" s="6" t="s">
        <v>75</v>
      </c>
      <c r="I1743" s="3" t="s">
        <v>45</v>
      </c>
    </row>
    <row r="1744" spans="1:9" ht="48" customHeight="1">
      <c r="A1744" s="3" t="s">
        <v>66</v>
      </c>
      <c r="B1744" s="3" t="s">
        <v>65</v>
      </c>
      <c r="C1744" s="4">
        <v>46204</v>
      </c>
      <c r="D1744" s="4">
        <v>46234</v>
      </c>
      <c r="E1744" s="3" t="s">
        <v>47</v>
      </c>
      <c r="F1744" s="3" t="s">
        <v>363</v>
      </c>
      <c r="G1744" s="5">
        <v>0</v>
      </c>
      <c r="H1744" s="6" t="s">
        <v>75</v>
      </c>
      <c r="I1744" s="3" t="s">
        <v>45</v>
      </c>
    </row>
    <row r="1745" spans="1:9" ht="48" customHeight="1">
      <c r="A1745" s="3" t="s">
        <v>66</v>
      </c>
      <c r="B1745" s="3" t="s">
        <v>65</v>
      </c>
      <c r="C1745" s="4">
        <v>46204</v>
      </c>
      <c r="D1745" s="4">
        <v>46234</v>
      </c>
      <c r="E1745" s="3" t="s">
        <v>364</v>
      </c>
      <c r="F1745" s="3" t="s">
        <v>366</v>
      </c>
      <c r="G1745" s="5">
        <v>2E-3</v>
      </c>
      <c r="H1745" s="6" t="s">
        <v>75</v>
      </c>
      <c r="I1745" s="3" t="s">
        <v>45</v>
      </c>
    </row>
    <row r="1746" spans="1:9" ht="48" customHeight="1">
      <c r="A1746" s="3" t="s">
        <v>66</v>
      </c>
      <c r="B1746" s="3" t="s">
        <v>65</v>
      </c>
      <c r="C1746" s="4">
        <v>46204</v>
      </c>
      <c r="D1746" s="4">
        <v>46234</v>
      </c>
      <c r="E1746" s="3" t="s">
        <v>364</v>
      </c>
      <c r="F1746" s="3" t="s">
        <v>234</v>
      </c>
      <c r="G1746" s="5">
        <v>1E-3</v>
      </c>
      <c r="H1746" s="6" t="s">
        <v>75</v>
      </c>
      <c r="I1746" s="3" t="s">
        <v>45</v>
      </c>
    </row>
    <row r="1747" spans="1:9" ht="48" customHeight="1">
      <c r="A1747" s="3" t="s">
        <v>66</v>
      </c>
      <c r="B1747" s="3" t="s">
        <v>65</v>
      </c>
      <c r="C1747" s="4">
        <v>46204</v>
      </c>
      <c r="D1747" s="4">
        <v>46234</v>
      </c>
      <c r="E1747" s="3" t="s">
        <v>364</v>
      </c>
      <c r="F1747" s="3" t="s">
        <v>262</v>
      </c>
      <c r="G1747" s="5">
        <v>1E-3</v>
      </c>
      <c r="H1747" s="6" t="s">
        <v>75</v>
      </c>
      <c r="I1747" s="3" t="s">
        <v>45</v>
      </c>
    </row>
    <row r="1748" spans="1:9" ht="48" customHeight="1">
      <c r="A1748" s="3" t="s">
        <v>66</v>
      </c>
      <c r="B1748" s="3" t="s">
        <v>65</v>
      </c>
      <c r="C1748" s="4">
        <v>46204</v>
      </c>
      <c r="D1748" s="4">
        <v>46234</v>
      </c>
      <c r="E1748" s="3" t="s">
        <v>364</v>
      </c>
      <c r="F1748" s="3" t="s">
        <v>365</v>
      </c>
      <c r="G1748" s="5">
        <v>1E-3</v>
      </c>
      <c r="H1748" s="6" t="s">
        <v>75</v>
      </c>
      <c r="I1748" s="3" t="s">
        <v>45</v>
      </c>
    </row>
    <row r="1749" spans="1:9" ht="48" customHeight="1">
      <c r="A1749" s="3" t="s">
        <v>66</v>
      </c>
      <c r="B1749" s="3" t="s">
        <v>65</v>
      </c>
      <c r="C1749" s="4">
        <v>46204</v>
      </c>
      <c r="D1749" s="4">
        <v>46234</v>
      </c>
      <c r="E1749" s="3" t="s">
        <v>364</v>
      </c>
      <c r="F1749" s="3" t="s">
        <v>367</v>
      </c>
      <c r="G1749" s="5">
        <v>1E-3</v>
      </c>
      <c r="H1749" s="6" t="s">
        <v>75</v>
      </c>
      <c r="I1749" s="3" t="s">
        <v>45</v>
      </c>
    </row>
    <row r="1750" spans="1:9" ht="48" customHeight="1">
      <c r="A1750" s="3" t="s">
        <v>66</v>
      </c>
      <c r="B1750" s="3" t="s">
        <v>65</v>
      </c>
      <c r="C1750" s="4">
        <v>46204</v>
      </c>
      <c r="D1750" s="4">
        <v>46234</v>
      </c>
      <c r="E1750" s="3" t="s">
        <v>364</v>
      </c>
      <c r="F1750" s="3" t="s">
        <v>230</v>
      </c>
      <c r="G1750" s="5">
        <v>0</v>
      </c>
      <c r="H1750" s="6" t="s">
        <v>75</v>
      </c>
      <c r="I1750" s="3" t="s">
        <v>45</v>
      </c>
    </row>
    <row r="1751" spans="1:9" ht="48" customHeight="1">
      <c r="A1751" s="3" t="s">
        <v>66</v>
      </c>
      <c r="B1751" s="3" t="s">
        <v>65</v>
      </c>
      <c r="C1751" s="4">
        <v>46204</v>
      </c>
      <c r="D1751" s="4">
        <v>46234</v>
      </c>
      <c r="E1751" s="3" t="s">
        <v>364</v>
      </c>
      <c r="F1751" s="3" t="s">
        <v>232</v>
      </c>
      <c r="G1751" s="5">
        <v>0</v>
      </c>
      <c r="H1751" s="6" t="s">
        <v>75</v>
      </c>
      <c r="I1751" s="3" t="s">
        <v>45</v>
      </c>
    </row>
    <row r="1752" spans="1:9" ht="48" customHeight="1">
      <c r="A1752" s="3" t="s">
        <v>66</v>
      </c>
      <c r="B1752" s="3" t="s">
        <v>65</v>
      </c>
      <c r="C1752" s="4">
        <v>46204</v>
      </c>
      <c r="D1752" s="4">
        <v>46234</v>
      </c>
      <c r="E1752" s="3" t="s">
        <v>364</v>
      </c>
      <c r="F1752" s="3" t="s">
        <v>265</v>
      </c>
      <c r="G1752" s="5">
        <v>0</v>
      </c>
      <c r="H1752" s="6" t="s">
        <v>75</v>
      </c>
      <c r="I1752" s="3" t="s">
        <v>45</v>
      </c>
    </row>
    <row r="1753" spans="1:9" ht="48" customHeight="1">
      <c r="A1753" s="3" t="s">
        <v>66</v>
      </c>
      <c r="B1753" s="3" t="s">
        <v>65</v>
      </c>
      <c r="C1753" s="4">
        <v>46204</v>
      </c>
      <c r="D1753" s="4">
        <v>46234</v>
      </c>
      <c r="E1753" s="3" t="s">
        <v>364</v>
      </c>
      <c r="F1753" s="3" t="s">
        <v>79</v>
      </c>
      <c r="G1753" s="5">
        <v>0</v>
      </c>
      <c r="H1753" s="6" t="s">
        <v>75</v>
      </c>
      <c r="I1753" s="3" t="s">
        <v>45</v>
      </c>
    </row>
    <row r="1754" spans="1:9" ht="48" customHeight="1">
      <c r="A1754" s="3" t="s">
        <v>66</v>
      </c>
      <c r="B1754" s="3" t="s">
        <v>65</v>
      </c>
      <c r="C1754" s="4">
        <v>46204</v>
      </c>
      <c r="D1754" s="4">
        <v>46234</v>
      </c>
      <c r="E1754" s="3" t="s">
        <v>368</v>
      </c>
      <c r="F1754" s="3" t="s">
        <v>369</v>
      </c>
      <c r="G1754" s="5">
        <v>1E-3</v>
      </c>
      <c r="H1754" s="6" t="s">
        <v>75</v>
      </c>
      <c r="I1754" s="3" t="s">
        <v>45</v>
      </c>
    </row>
    <row r="1755" spans="1:9" ht="48" customHeight="1">
      <c r="A1755" s="3" t="s">
        <v>66</v>
      </c>
      <c r="B1755" s="3" t="s">
        <v>65</v>
      </c>
      <c r="C1755" s="4">
        <v>46204</v>
      </c>
      <c r="D1755" s="4">
        <v>46234</v>
      </c>
      <c r="E1755" s="3" t="s">
        <v>368</v>
      </c>
      <c r="F1755" s="3" t="s">
        <v>370</v>
      </c>
      <c r="G1755" s="5">
        <v>1E-3</v>
      </c>
      <c r="H1755" s="6" t="s">
        <v>75</v>
      </c>
      <c r="I1755" s="3" t="s">
        <v>45</v>
      </c>
    </row>
    <row r="1756" spans="1:9" ht="48" customHeight="1">
      <c r="A1756" s="3" t="s">
        <v>66</v>
      </c>
      <c r="B1756" s="3" t="s">
        <v>65</v>
      </c>
      <c r="C1756" s="4">
        <v>46204</v>
      </c>
      <c r="D1756" s="4">
        <v>46234</v>
      </c>
      <c r="E1756" s="3" t="s">
        <v>368</v>
      </c>
      <c r="F1756" s="3" t="s">
        <v>378</v>
      </c>
      <c r="G1756" s="5">
        <v>1E-3</v>
      </c>
      <c r="H1756" s="6" t="s">
        <v>75</v>
      </c>
      <c r="I1756" s="3" t="s">
        <v>45</v>
      </c>
    </row>
    <row r="1757" spans="1:9" ht="48" customHeight="1">
      <c r="A1757" s="3" t="s">
        <v>66</v>
      </c>
      <c r="B1757" s="3" t="s">
        <v>65</v>
      </c>
      <c r="C1757" s="4">
        <v>46204</v>
      </c>
      <c r="D1757" s="4">
        <v>46234</v>
      </c>
      <c r="E1757" s="3" t="s">
        <v>368</v>
      </c>
      <c r="F1757" s="3" t="s">
        <v>230</v>
      </c>
      <c r="G1757" s="5">
        <v>0</v>
      </c>
      <c r="H1757" s="6" t="s">
        <v>75</v>
      </c>
      <c r="I1757" s="3" t="s">
        <v>45</v>
      </c>
    </row>
    <row r="1758" spans="1:9" ht="48" customHeight="1">
      <c r="A1758" s="3" t="s">
        <v>66</v>
      </c>
      <c r="B1758" s="3" t="s">
        <v>65</v>
      </c>
      <c r="C1758" s="4">
        <v>46204</v>
      </c>
      <c r="D1758" s="4">
        <v>46234</v>
      </c>
      <c r="E1758" s="3" t="s">
        <v>368</v>
      </c>
      <c r="F1758" s="3" t="s">
        <v>232</v>
      </c>
      <c r="G1758" s="5">
        <v>0</v>
      </c>
      <c r="H1758" s="6" t="s">
        <v>75</v>
      </c>
      <c r="I1758" s="3" t="s">
        <v>45</v>
      </c>
    </row>
    <row r="1759" spans="1:9" ht="48" customHeight="1">
      <c r="A1759" s="3" t="s">
        <v>66</v>
      </c>
      <c r="B1759" s="3" t="s">
        <v>65</v>
      </c>
      <c r="C1759" s="4">
        <v>46204</v>
      </c>
      <c r="D1759" s="4">
        <v>46234</v>
      </c>
      <c r="E1759" s="3" t="s">
        <v>368</v>
      </c>
      <c r="F1759" s="3" t="s">
        <v>234</v>
      </c>
      <c r="G1759" s="5">
        <v>0</v>
      </c>
      <c r="H1759" s="6" t="s">
        <v>75</v>
      </c>
      <c r="I1759" s="3" t="s">
        <v>45</v>
      </c>
    </row>
    <row r="1760" spans="1:9" ht="48" customHeight="1">
      <c r="A1760" s="3" t="s">
        <v>66</v>
      </c>
      <c r="B1760" s="3" t="s">
        <v>65</v>
      </c>
      <c r="C1760" s="4">
        <v>46204</v>
      </c>
      <c r="D1760" s="4">
        <v>46234</v>
      </c>
      <c r="E1760" s="3" t="s">
        <v>368</v>
      </c>
      <c r="F1760" s="3" t="s">
        <v>372</v>
      </c>
      <c r="G1760" s="5">
        <v>0</v>
      </c>
      <c r="H1760" s="6" t="s">
        <v>75</v>
      </c>
      <c r="I1760" s="3" t="s">
        <v>45</v>
      </c>
    </row>
    <row r="1761" spans="1:9" ht="48" customHeight="1">
      <c r="A1761" s="3" t="s">
        <v>66</v>
      </c>
      <c r="B1761" s="3" t="s">
        <v>65</v>
      </c>
      <c r="C1761" s="4">
        <v>46204</v>
      </c>
      <c r="D1761" s="4">
        <v>46234</v>
      </c>
      <c r="E1761" s="3" t="s">
        <v>368</v>
      </c>
      <c r="F1761" s="3" t="s">
        <v>373</v>
      </c>
      <c r="G1761" s="5">
        <v>0</v>
      </c>
      <c r="H1761" s="6" t="s">
        <v>75</v>
      </c>
      <c r="I1761" s="3" t="s">
        <v>45</v>
      </c>
    </row>
    <row r="1762" spans="1:9" ht="48" customHeight="1">
      <c r="A1762" s="3" t="s">
        <v>66</v>
      </c>
      <c r="B1762" s="3" t="s">
        <v>65</v>
      </c>
      <c r="C1762" s="4">
        <v>46204</v>
      </c>
      <c r="D1762" s="4">
        <v>46234</v>
      </c>
      <c r="E1762" s="3" t="s">
        <v>368</v>
      </c>
      <c r="F1762" s="3" t="s">
        <v>265</v>
      </c>
      <c r="G1762" s="5">
        <v>0</v>
      </c>
      <c r="H1762" s="6" t="s">
        <v>75</v>
      </c>
      <c r="I1762" s="3" t="s">
        <v>45</v>
      </c>
    </row>
    <row r="1763" spans="1:9" ht="48" customHeight="1">
      <c r="A1763" s="3" t="s">
        <v>66</v>
      </c>
      <c r="B1763" s="3" t="s">
        <v>65</v>
      </c>
      <c r="C1763" s="4">
        <v>46204</v>
      </c>
      <c r="D1763" s="4">
        <v>46234</v>
      </c>
      <c r="E1763" s="3" t="s">
        <v>368</v>
      </c>
      <c r="F1763" s="3" t="s">
        <v>262</v>
      </c>
      <c r="G1763" s="5">
        <v>0</v>
      </c>
      <c r="H1763" s="6" t="s">
        <v>75</v>
      </c>
      <c r="I1763" s="3" t="s">
        <v>45</v>
      </c>
    </row>
    <row r="1764" spans="1:9" ht="48" customHeight="1">
      <c r="A1764" s="3" t="s">
        <v>66</v>
      </c>
      <c r="B1764" s="3" t="s">
        <v>65</v>
      </c>
      <c r="C1764" s="4">
        <v>46204</v>
      </c>
      <c r="D1764" s="4">
        <v>46234</v>
      </c>
      <c r="E1764" s="3" t="s">
        <v>368</v>
      </c>
      <c r="F1764" s="3" t="s">
        <v>371</v>
      </c>
      <c r="G1764" s="5">
        <v>0</v>
      </c>
      <c r="H1764" s="6" t="s">
        <v>75</v>
      </c>
      <c r="I1764" s="3" t="s">
        <v>45</v>
      </c>
    </row>
    <row r="1765" spans="1:9" ht="48" customHeight="1">
      <c r="A1765" s="3" t="s">
        <v>66</v>
      </c>
      <c r="B1765" s="3" t="s">
        <v>65</v>
      </c>
      <c r="C1765" s="4">
        <v>46204</v>
      </c>
      <c r="D1765" s="4">
        <v>46234</v>
      </c>
      <c r="E1765" s="3" t="s">
        <v>368</v>
      </c>
      <c r="F1765" s="3" t="s">
        <v>374</v>
      </c>
      <c r="G1765" s="5">
        <v>0</v>
      </c>
      <c r="H1765" s="6" t="s">
        <v>75</v>
      </c>
      <c r="I1765" s="3" t="s">
        <v>45</v>
      </c>
    </row>
    <row r="1766" spans="1:9" ht="48" customHeight="1">
      <c r="A1766" s="3" t="s">
        <v>66</v>
      </c>
      <c r="B1766" s="3" t="s">
        <v>65</v>
      </c>
      <c r="C1766" s="4">
        <v>46204</v>
      </c>
      <c r="D1766" s="4">
        <v>46234</v>
      </c>
      <c r="E1766" s="3" t="s">
        <v>368</v>
      </c>
      <c r="F1766" s="3" t="s">
        <v>207</v>
      </c>
      <c r="G1766" s="5">
        <v>0</v>
      </c>
      <c r="H1766" s="6" t="s">
        <v>75</v>
      </c>
      <c r="I1766" s="3" t="s">
        <v>45</v>
      </c>
    </row>
    <row r="1767" spans="1:9" ht="48" customHeight="1">
      <c r="A1767" s="3" t="s">
        <v>66</v>
      </c>
      <c r="B1767" s="3" t="s">
        <v>65</v>
      </c>
      <c r="C1767" s="4">
        <v>46204</v>
      </c>
      <c r="D1767" s="4">
        <v>46234</v>
      </c>
      <c r="E1767" s="3" t="s">
        <v>368</v>
      </c>
      <c r="F1767" s="3" t="s">
        <v>375</v>
      </c>
      <c r="G1767" s="5">
        <v>0</v>
      </c>
      <c r="H1767" s="6" t="s">
        <v>75</v>
      </c>
      <c r="I1767" s="3" t="s">
        <v>45</v>
      </c>
    </row>
    <row r="1768" spans="1:9" ht="48" customHeight="1">
      <c r="A1768" s="3" t="s">
        <v>66</v>
      </c>
      <c r="B1768" s="3" t="s">
        <v>65</v>
      </c>
      <c r="C1768" s="4">
        <v>46204</v>
      </c>
      <c r="D1768" s="4">
        <v>46234</v>
      </c>
      <c r="E1768" s="3" t="s">
        <v>368</v>
      </c>
      <c r="F1768" s="3" t="s">
        <v>376</v>
      </c>
      <c r="G1768" s="5">
        <v>0</v>
      </c>
      <c r="H1768" s="6" t="s">
        <v>75</v>
      </c>
      <c r="I1768" s="3" t="s">
        <v>45</v>
      </c>
    </row>
    <row r="1769" spans="1:9" ht="48" customHeight="1">
      <c r="A1769" s="3" t="s">
        <v>66</v>
      </c>
      <c r="B1769" s="3" t="s">
        <v>65</v>
      </c>
      <c r="C1769" s="4">
        <v>46204</v>
      </c>
      <c r="D1769" s="4">
        <v>46234</v>
      </c>
      <c r="E1769" s="3" t="s">
        <v>368</v>
      </c>
      <c r="F1769" s="3" t="s">
        <v>377</v>
      </c>
      <c r="G1769" s="5">
        <v>0</v>
      </c>
      <c r="H1769" s="6" t="s">
        <v>75</v>
      </c>
      <c r="I1769" s="3" t="s">
        <v>45</v>
      </c>
    </row>
    <row r="1770" spans="1:9" ht="48" customHeight="1">
      <c r="A1770" s="3" t="s">
        <v>66</v>
      </c>
      <c r="B1770" s="3" t="s">
        <v>65</v>
      </c>
      <c r="C1770" s="4">
        <v>46204</v>
      </c>
      <c r="D1770" s="4">
        <v>46234</v>
      </c>
      <c r="E1770" s="3" t="s">
        <v>379</v>
      </c>
      <c r="F1770" s="3" t="s">
        <v>265</v>
      </c>
      <c r="G1770" s="5">
        <v>1E-3</v>
      </c>
      <c r="H1770" s="6" t="s">
        <v>75</v>
      </c>
      <c r="I1770" s="3" t="s">
        <v>45</v>
      </c>
    </row>
    <row r="1771" spans="1:9" ht="48" customHeight="1">
      <c r="A1771" s="3" t="s">
        <v>66</v>
      </c>
      <c r="B1771" s="3" t="s">
        <v>65</v>
      </c>
      <c r="C1771" s="4">
        <v>46204</v>
      </c>
      <c r="D1771" s="4">
        <v>46234</v>
      </c>
      <c r="E1771" s="3" t="s">
        <v>379</v>
      </c>
      <c r="F1771" s="3" t="s">
        <v>262</v>
      </c>
      <c r="G1771" s="5">
        <v>1E-3</v>
      </c>
      <c r="H1771" s="6" t="s">
        <v>75</v>
      </c>
      <c r="I1771" s="3" t="s">
        <v>45</v>
      </c>
    </row>
    <row r="1772" spans="1:9" ht="48" customHeight="1">
      <c r="A1772" s="3" t="s">
        <v>66</v>
      </c>
      <c r="B1772" s="3" t="s">
        <v>65</v>
      </c>
      <c r="C1772" s="4">
        <v>46204</v>
      </c>
      <c r="D1772" s="4">
        <v>46234</v>
      </c>
      <c r="E1772" s="3" t="s">
        <v>379</v>
      </c>
      <c r="F1772" s="3" t="s">
        <v>380</v>
      </c>
      <c r="G1772" s="5">
        <v>1E-3</v>
      </c>
      <c r="H1772" s="6" t="s">
        <v>75</v>
      </c>
      <c r="I1772" s="3" t="s">
        <v>45</v>
      </c>
    </row>
    <row r="1773" spans="1:9" ht="48" customHeight="1">
      <c r="A1773" s="3" t="s">
        <v>66</v>
      </c>
      <c r="B1773" s="3" t="s">
        <v>65</v>
      </c>
      <c r="C1773" s="4">
        <v>46204</v>
      </c>
      <c r="D1773" s="4">
        <v>46234</v>
      </c>
      <c r="E1773" s="3" t="s">
        <v>379</v>
      </c>
      <c r="F1773" s="3" t="s">
        <v>230</v>
      </c>
      <c r="G1773" s="5">
        <v>0</v>
      </c>
      <c r="H1773" s="6" t="s">
        <v>75</v>
      </c>
      <c r="I1773" s="3" t="s">
        <v>45</v>
      </c>
    </row>
    <row r="1774" spans="1:9" ht="48" customHeight="1">
      <c r="A1774" s="3" t="s">
        <v>66</v>
      </c>
      <c r="B1774" s="3" t="s">
        <v>65</v>
      </c>
      <c r="C1774" s="4">
        <v>46204</v>
      </c>
      <c r="D1774" s="4">
        <v>46234</v>
      </c>
      <c r="E1774" s="3" t="s">
        <v>379</v>
      </c>
      <c r="F1774" s="3" t="s">
        <v>234</v>
      </c>
      <c r="G1774" s="5">
        <v>0</v>
      </c>
      <c r="H1774" s="6" t="s">
        <v>75</v>
      </c>
      <c r="I1774" s="3" t="s">
        <v>45</v>
      </c>
    </row>
    <row r="1775" spans="1:9" ht="48" customHeight="1">
      <c r="A1775" s="3" t="s">
        <v>66</v>
      </c>
      <c r="B1775" s="3" t="s">
        <v>65</v>
      </c>
      <c r="C1775" s="4">
        <v>46204</v>
      </c>
      <c r="D1775" s="4">
        <v>46234</v>
      </c>
      <c r="E1775" s="3" t="s">
        <v>381</v>
      </c>
      <c r="F1775" s="3" t="s">
        <v>382</v>
      </c>
      <c r="G1775" s="5">
        <v>2E-3</v>
      </c>
      <c r="H1775" s="6" t="s">
        <v>75</v>
      </c>
      <c r="I1775" s="3" t="s">
        <v>45</v>
      </c>
    </row>
    <row r="1776" spans="1:9" ht="48" customHeight="1">
      <c r="A1776" s="3" t="s">
        <v>66</v>
      </c>
      <c r="B1776" s="3" t="s">
        <v>65</v>
      </c>
      <c r="C1776" s="4">
        <v>46204</v>
      </c>
      <c r="D1776" s="4">
        <v>46234</v>
      </c>
      <c r="E1776" s="3" t="s">
        <v>381</v>
      </c>
      <c r="F1776" s="3" t="s">
        <v>383</v>
      </c>
      <c r="G1776" s="5">
        <v>1E-3</v>
      </c>
      <c r="H1776" s="6" t="s">
        <v>75</v>
      </c>
      <c r="I1776" s="3" t="s">
        <v>45</v>
      </c>
    </row>
    <row r="1777" spans="1:9" ht="48" customHeight="1">
      <c r="A1777" s="3" t="s">
        <v>66</v>
      </c>
      <c r="B1777" s="3" t="s">
        <v>65</v>
      </c>
      <c r="C1777" s="4">
        <v>46235</v>
      </c>
      <c r="D1777" s="4">
        <v>46265</v>
      </c>
      <c r="E1777" s="3" t="s">
        <v>68</v>
      </c>
      <c r="F1777" s="3" t="s">
        <v>146</v>
      </c>
      <c r="G1777" s="5">
        <v>0.18</v>
      </c>
      <c r="H1777" s="6" t="s">
        <v>76</v>
      </c>
      <c r="I1777" s="3" t="s">
        <v>45</v>
      </c>
    </row>
    <row r="1778" spans="1:9" ht="48" customHeight="1">
      <c r="A1778" s="3" t="s">
        <v>66</v>
      </c>
      <c r="B1778" s="3" t="s">
        <v>65</v>
      </c>
      <c r="C1778" s="4">
        <v>46235</v>
      </c>
      <c r="D1778" s="4">
        <v>46265</v>
      </c>
      <c r="E1778" s="3" t="s">
        <v>68</v>
      </c>
      <c r="F1778" s="3" t="s">
        <v>147</v>
      </c>
      <c r="G1778" s="5">
        <v>7.400000000000001E-2</v>
      </c>
      <c r="H1778" s="6" t="s">
        <v>76</v>
      </c>
      <c r="I1778" s="3" t="s">
        <v>45</v>
      </c>
    </row>
    <row r="1779" spans="1:9" ht="48" customHeight="1">
      <c r="A1779" s="3" t="s">
        <v>66</v>
      </c>
      <c r="B1779" s="3" t="s">
        <v>65</v>
      </c>
      <c r="C1779" s="4">
        <v>46235</v>
      </c>
      <c r="D1779" s="4">
        <v>46265</v>
      </c>
      <c r="E1779" s="3" t="s">
        <v>68</v>
      </c>
      <c r="F1779" s="3" t="s">
        <v>148</v>
      </c>
      <c r="G1779" s="5">
        <v>6.4000000000000001E-2</v>
      </c>
      <c r="H1779" s="6" t="s">
        <v>76</v>
      </c>
      <c r="I1779" s="3" t="s">
        <v>45</v>
      </c>
    </row>
    <row r="1780" spans="1:9" ht="48" customHeight="1">
      <c r="A1780" s="3" t="s">
        <v>66</v>
      </c>
      <c r="B1780" s="3" t="s">
        <v>65</v>
      </c>
      <c r="C1780" s="4">
        <v>46235</v>
      </c>
      <c r="D1780" s="4">
        <v>46265</v>
      </c>
      <c r="E1780" s="3" t="s">
        <v>68</v>
      </c>
      <c r="F1780" s="3" t="s">
        <v>149</v>
      </c>
      <c r="G1780" s="5">
        <v>4.4999999999999998E-2</v>
      </c>
      <c r="H1780" s="6" t="s">
        <v>76</v>
      </c>
      <c r="I1780" s="3" t="s">
        <v>45</v>
      </c>
    </row>
    <row r="1781" spans="1:9" ht="48" customHeight="1">
      <c r="A1781" s="3" t="s">
        <v>66</v>
      </c>
      <c r="B1781" s="3" t="s">
        <v>65</v>
      </c>
      <c r="C1781" s="4">
        <v>46235</v>
      </c>
      <c r="D1781" s="4">
        <v>46265</v>
      </c>
      <c r="E1781" s="3" t="s">
        <v>68</v>
      </c>
      <c r="F1781" s="3" t="s">
        <v>150</v>
      </c>
      <c r="G1781" s="5">
        <v>2.7999999999999997E-2</v>
      </c>
      <c r="H1781" s="6" t="s">
        <v>76</v>
      </c>
      <c r="I1781" s="3" t="s">
        <v>45</v>
      </c>
    </row>
    <row r="1782" spans="1:9" ht="48" customHeight="1">
      <c r="A1782" s="3" t="s">
        <v>66</v>
      </c>
      <c r="B1782" s="3" t="s">
        <v>65</v>
      </c>
      <c r="C1782" s="4">
        <v>46235</v>
      </c>
      <c r="D1782" s="4">
        <v>46265</v>
      </c>
      <c r="E1782" s="3" t="s">
        <v>68</v>
      </c>
      <c r="F1782" s="3" t="s">
        <v>151</v>
      </c>
      <c r="G1782" s="5">
        <v>2.2000000000000002E-2</v>
      </c>
      <c r="H1782" s="6" t="s">
        <v>76</v>
      </c>
      <c r="I1782" s="3" t="s">
        <v>45</v>
      </c>
    </row>
    <row r="1783" spans="1:9" ht="48" customHeight="1">
      <c r="A1783" s="3" t="s">
        <v>66</v>
      </c>
      <c r="B1783" s="3" t="s">
        <v>65</v>
      </c>
      <c r="C1783" s="4">
        <v>46235</v>
      </c>
      <c r="D1783" s="4">
        <v>46265</v>
      </c>
      <c r="E1783" s="3" t="s">
        <v>68</v>
      </c>
      <c r="F1783" s="3" t="s">
        <v>152</v>
      </c>
      <c r="G1783" s="5">
        <v>1.7000000000000001E-2</v>
      </c>
      <c r="H1783" s="6" t="s">
        <v>76</v>
      </c>
      <c r="I1783" s="3" t="s">
        <v>45</v>
      </c>
    </row>
    <row r="1784" spans="1:9" ht="48" customHeight="1">
      <c r="A1784" s="3" t="s">
        <v>66</v>
      </c>
      <c r="B1784" s="3" t="s">
        <v>65</v>
      </c>
      <c r="C1784" s="4">
        <v>46235</v>
      </c>
      <c r="D1784" s="4">
        <v>46265</v>
      </c>
      <c r="E1784" s="3" t="s">
        <v>68</v>
      </c>
      <c r="F1784" s="3" t="s">
        <v>153</v>
      </c>
      <c r="G1784" s="5">
        <v>1.7000000000000001E-2</v>
      </c>
      <c r="H1784" s="6" t="s">
        <v>76</v>
      </c>
      <c r="I1784" s="3" t="s">
        <v>45</v>
      </c>
    </row>
    <row r="1785" spans="1:9" ht="48" customHeight="1">
      <c r="A1785" s="3" t="s">
        <v>66</v>
      </c>
      <c r="B1785" s="3" t="s">
        <v>65</v>
      </c>
      <c r="C1785" s="4">
        <v>46235</v>
      </c>
      <c r="D1785" s="4">
        <v>46265</v>
      </c>
      <c r="E1785" s="3" t="s">
        <v>68</v>
      </c>
      <c r="F1785" s="3" t="s">
        <v>155</v>
      </c>
      <c r="G1785" s="5">
        <v>1.1000000000000001E-2</v>
      </c>
      <c r="H1785" s="6" t="s">
        <v>76</v>
      </c>
      <c r="I1785" s="3" t="s">
        <v>45</v>
      </c>
    </row>
    <row r="1786" spans="1:9" ht="48" customHeight="1">
      <c r="A1786" s="3" t="s">
        <v>66</v>
      </c>
      <c r="B1786" s="3" t="s">
        <v>65</v>
      </c>
      <c r="C1786" s="4">
        <v>46235</v>
      </c>
      <c r="D1786" s="4">
        <v>46265</v>
      </c>
      <c r="E1786" s="3" t="s">
        <v>68</v>
      </c>
      <c r="F1786" s="3" t="s">
        <v>154</v>
      </c>
      <c r="G1786" s="5">
        <v>0.01</v>
      </c>
      <c r="H1786" s="6" t="s">
        <v>76</v>
      </c>
      <c r="I1786" s="3" t="s">
        <v>45</v>
      </c>
    </row>
    <row r="1787" spans="1:9" ht="48" customHeight="1">
      <c r="A1787" s="3" t="s">
        <v>66</v>
      </c>
      <c r="B1787" s="3" t="s">
        <v>65</v>
      </c>
      <c r="C1787" s="4">
        <v>46235</v>
      </c>
      <c r="D1787" s="4">
        <v>46265</v>
      </c>
      <c r="E1787" s="3" t="s">
        <v>68</v>
      </c>
      <c r="F1787" s="3" t="s">
        <v>156</v>
      </c>
      <c r="G1787" s="5">
        <v>6.0000000000000001E-3</v>
      </c>
      <c r="H1787" s="6" t="s">
        <v>76</v>
      </c>
      <c r="I1787" s="3" t="s">
        <v>45</v>
      </c>
    </row>
    <row r="1788" spans="1:9" ht="48" customHeight="1">
      <c r="A1788" s="3" t="s">
        <v>66</v>
      </c>
      <c r="B1788" s="3" t="s">
        <v>65</v>
      </c>
      <c r="C1788" s="4">
        <v>46235</v>
      </c>
      <c r="D1788" s="4">
        <v>46265</v>
      </c>
      <c r="E1788" s="3" t="s">
        <v>68</v>
      </c>
      <c r="F1788" s="3" t="s">
        <v>157</v>
      </c>
      <c r="G1788" s="5">
        <v>5.0000000000000001E-3</v>
      </c>
      <c r="H1788" s="6" t="s">
        <v>76</v>
      </c>
      <c r="I1788" s="3" t="s">
        <v>45</v>
      </c>
    </row>
    <row r="1789" spans="1:9" ht="48" customHeight="1">
      <c r="A1789" s="3" t="s">
        <v>66</v>
      </c>
      <c r="B1789" s="3" t="s">
        <v>65</v>
      </c>
      <c r="C1789" s="4">
        <v>46235</v>
      </c>
      <c r="D1789" s="4">
        <v>46265</v>
      </c>
      <c r="E1789" s="3" t="s">
        <v>68</v>
      </c>
      <c r="F1789" s="3" t="s">
        <v>158</v>
      </c>
      <c r="G1789" s="5">
        <v>3.0000000000000001E-3</v>
      </c>
      <c r="H1789" s="6" t="s">
        <v>76</v>
      </c>
      <c r="I1789" s="3" t="s">
        <v>45</v>
      </c>
    </row>
    <row r="1790" spans="1:9" ht="48" customHeight="1">
      <c r="A1790" s="3" t="s">
        <v>66</v>
      </c>
      <c r="B1790" s="3" t="s">
        <v>65</v>
      </c>
      <c r="C1790" s="4">
        <v>46235</v>
      </c>
      <c r="D1790" s="4">
        <v>46265</v>
      </c>
      <c r="E1790" s="3" t="s">
        <v>68</v>
      </c>
      <c r="F1790" s="3" t="s">
        <v>159</v>
      </c>
      <c r="G1790" s="5">
        <v>2E-3</v>
      </c>
      <c r="H1790" s="6" t="s">
        <v>76</v>
      </c>
      <c r="I1790" s="3" t="s">
        <v>45</v>
      </c>
    </row>
    <row r="1791" spans="1:9" ht="48" customHeight="1">
      <c r="A1791" s="3" t="s">
        <v>66</v>
      </c>
      <c r="B1791" s="3" t="s">
        <v>65</v>
      </c>
      <c r="C1791" s="4">
        <v>46235</v>
      </c>
      <c r="D1791" s="4">
        <v>46265</v>
      </c>
      <c r="E1791" s="3" t="s">
        <v>68</v>
      </c>
      <c r="F1791" s="3" t="s">
        <v>160</v>
      </c>
      <c r="G1791" s="5">
        <v>2E-3</v>
      </c>
      <c r="H1791" s="6" t="s">
        <v>76</v>
      </c>
      <c r="I1791" s="3" t="s">
        <v>45</v>
      </c>
    </row>
    <row r="1792" spans="1:9" ht="48" customHeight="1">
      <c r="A1792" s="3" t="s">
        <v>66</v>
      </c>
      <c r="B1792" s="3" t="s">
        <v>65</v>
      </c>
      <c r="C1792" s="4">
        <v>46235</v>
      </c>
      <c r="D1792" s="4">
        <v>46265</v>
      </c>
      <c r="E1792" s="3" t="s">
        <v>161</v>
      </c>
      <c r="F1792" s="3" t="s">
        <v>162</v>
      </c>
      <c r="G1792" s="5">
        <v>1.9E-2</v>
      </c>
      <c r="H1792" s="6" t="s">
        <v>76</v>
      </c>
      <c r="I1792" s="3" t="s">
        <v>45</v>
      </c>
    </row>
    <row r="1793" spans="1:9" ht="48" customHeight="1">
      <c r="A1793" s="3" t="s">
        <v>66</v>
      </c>
      <c r="B1793" s="3" t="s">
        <v>65</v>
      </c>
      <c r="C1793" s="4">
        <v>46235</v>
      </c>
      <c r="D1793" s="4">
        <v>46265</v>
      </c>
      <c r="E1793" s="3" t="s">
        <v>161</v>
      </c>
      <c r="F1793" s="3" t="s">
        <v>163</v>
      </c>
      <c r="G1793" s="5">
        <v>9.0000000000000011E-3</v>
      </c>
      <c r="H1793" s="6" t="s">
        <v>76</v>
      </c>
      <c r="I1793" s="3" t="s">
        <v>45</v>
      </c>
    </row>
    <row r="1794" spans="1:9" ht="48" customHeight="1">
      <c r="A1794" s="3" t="s">
        <v>66</v>
      </c>
      <c r="B1794" s="3" t="s">
        <v>65</v>
      </c>
      <c r="C1794" s="4">
        <v>46235</v>
      </c>
      <c r="D1794" s="4">
        <v>46265</v>
      </c>
      <c r="E1794" s="3" t="s">
        <v>161</v>
      </c>
      <c r="F1794" s="3" t="s">
        <v>164</v>
      </c>
      <c r="G1794" s="5">
        <v>8.0000000000000002E-3</v>
      </c>
      <c r="H1794" s="6" t="s">
        <v>76</v>
      </c>
      <c r="I1794" s="3" t="s">
        <v>45</v>
      </c>
    </row>
    <row r="1795" spans="1:9" ht="48" customHeight="1">
      <c r="A1795" s="3" t="s">
        <v>66</v>
      </c>
      <c r="B1795" s="3" t="s">
        <v>65</v>
      </c>
      <c r="C1795" s="4">
        <v>46235</v>
      </c>
      <c r="D1795" s="4">
        <v>46265</v>
      </c>
      <c r="E1795" s="3" t="s">
        <v>161</v>
      </c>
      <c r="F1795" s="3" t="s">
        <v>384</v>
      </c>
      <c r="G1795" s="5">
        <v>8.0000000000000002E-3</v>
      </c>
      <c r="H1795" s="6" t="s">
        <v>76</v>
      </c>
      <c r="I1795" s="3" t="s">
        <v>45</v>
      </c>
    </row>
    <row r="1796" spans="1:9" ht="48" customHeight="1">
      <c r="A1796" s="3" t="s">
        <v>66</v>
      </c>
      <c r="B1796" s="3" t="s">
        <v>65</v>
      </c>
      <c r="C1796" s="4">
        <v>46235</v>
      </c>
      <c r="D1796" s="4">
        <v>46265</v>
      </c>
      <c r="E1796" s="3" t="s">
        <v>161</v>
      </c>
      <c r="F1796" s="3" t="s">
        <v>169</v>
      </c>
      <c r="G1796" s="5">
        <v>6.0000000000000001E-3</v>
      </c>
      <c r="H1796" s="6" t="s">
        <v>76</v>
      </c>
      <c r="I1796" s="3" t="s">
        <v>45</v>
      </c>
    </row>
    <row r="1797" spans="1:9" ht="48" customHeight="1">
      <c r="A1797" s="3" t="s">
        <v>66</v>
      </c>
      <c r="B1797" s="3" t="s">
        <v>65</v>
      </c>
      <c r="C1797" s="4">
        <v>46235</v>
      </c>
      <c r="D1797" s="4">
        <v>46265</v>
      </c>
      <c r="E1797" s="3" t="s">
        <v>161</v>
      </c>
      <c r="F1797" s="3" t="s">
        <v>165</v>
      </c>
      <c r="G1797" s="5">
        <v>6.0000000000000001E-3</v>
      </c>
      <c r="H1797" s="6" t="s">
        <v>76</v>
      </c>
      <c r="I1797" s="3" t="s">
        <v>45</v>
      </c>
    </row>
    <row r="1798" spans="1:9" ht="48" customHeight="1">
      <c r="A1798" s="3" t="s">
        <v>66</v>
      </c>
      <c r="B1798" s="3" t="s">
        <v>65</v>
      </c>
      <c r="C1798" s="4">
        <v>46235</v>
      </c>
      <c r="D1798" s="4">
        <v>46265</v>
      </c>
      <c r="E1798" s="3" t="s">
        <v>161</v>
      </c>
      <c r="F1798" s="3" t="s">
        <v>170</v>
      </c>
      <c r="G1798" s="5">
        <v>6.0000000000000001E-3</v>
      </c>
      <c r="H1798" s="6" t="s">
        <v>76</v>
      </c>
      <c r="I1798" s="3" t="s">
        <v>45</v>
      </c>
    </row>
    <row r="1799" spans="1:9" ht="48" customHeight="1">
      <c r="A1799" s="3" t="s">
        <v>66</v>
      </c>
      <c r="B1799" s="3" t="s">
        <v>65</v>
      </c>
      <c r="C1799" s="4">
        <v>46235</v>
      </c>
      <c r="D1799" s="4">
        <v>46265</v>
      </c>
      <c r="E1799" s="3" t="s">
        <v>161</v>
      </c>
      <c r="F1799" s="3" t="s">
        <v>171</v>
      </c>
      <c r="G1799" s="5">
        <v>6.0000000000000001E-3</v>
      </c>
      <c r="H1799" s="6" t="s">
        <v>76</v>
      </c>
      <c r="I1799" s="3" t="s">
        <v>45</v>
      </c>
    </row>
    <row r="1800" spans="1:9" ht="48" customHeight="1">
      <c r="A1800" s="3" t="s">
        <v>66</v>
      </c>
      <c r="B1800" s="3" t="s">
        <v>65</v>
      </c>
      <c r="C1800" s="4">
        <v>46235</v>
      </c>
      <c r="D1800" s="4">
        <v>46265</v>
      </c>
      <c r="E1800" s="3" t="s">
        <v>161</v>
      </c>
      <c r="F1800" s="3" t="s">
        <v>166</v>
      </c>
      <c r="G1800" s="5">
        <v>6.0000000000000001E-3</v>
      </c>
      <c r="H1800" s="6" t="s">
        <v>76</v>
      </c>
      <c r="I1800" s="3" t="s">
        <v>45</v>
      </c>
    </row>
    <row r="1801" spans="1:9" ht="48" customHeight="1">
      <c r="A1801" s="3" t="s">
        <v>66</v>
      </c>
      <c r="B1801" s="3" t="s">
        <v>65</v>
      </c>
      <c r="C1801" s="4">
        <v>46235</v>
      </c>
      <c r="D1801" s="4">
        <v>46265</v>
      </c>
      <c r="E1801" s="3" t="s">
        <v>161</v>
      </c>
      <c r="F1801" s="3" t="s">
        <v>173</v>
      </c>
      <c r="G1801" s="5">
        <v>6.0000000000000001E-3</v>
      </c>
      <c r="H1801" s="6" t="s">
        <v>76</v>
      </c>
      <c r="I1801" s="3" t="s">
        <v>45</v>
      </c>
    </row>
    <row r="1802" spans="1:9" ht="48" customHeight="1">
      <c r="A1802" s="3" t="s">
        <v>66</v>
      </c>
      <c r="B1802" s="3" t="s">
        <v>65</v>
      </c>
      <c r="C1802" s="4">
        <v>46235</v>
      </c>
      <c r="D1802" s="4">
        <v>46265</v>
      </c>
      <c r="E1802" s="3" t="s">
        <v>161</v>
      </c>
      <c r="F1802" s="3" t="s">
        <v>385</v>
      </c>
      <c r="G1802" s="5">
        <v>6.0000000000000001E-3</v>
      </c>
      <c r="H1802" s="6" t="s">
        <v>76</v>
      </c>
      <c r="I1802" s="3" t="s">
        <v>45</v>
      </c>
    </row>
    <row r="1803" spans="1:9" ht="48" customHeight="1">
      <c r="A1803" s="3" t="s">
        <v>66</v>
      </c>
      <c r="B1803" s="3" t="s">
        <v>65</v>
      </c>
      <c r="C1803" s="4">
        <v>46235</v>
      </c>
      <c r="D1803" s="4">
        <v>46265</v>
      </c>
      <c r="E1803" s="3" t="s">
        <v>161</v>
      </c>
      <c r="F1803" s="3" t="s">
        <v>167</v>
      </c>
      <c r="G1803" s="5">
        <v>5.0000000000000001E-3</v>
      </c>
      <c r="H1803" s="6" t="s">
        <v>76</v>
      </c>
      <c r="I1803" s="3" t="s">
        <v>45</v>
      </c>
    </row>
    <row r="1804" spans="1:9" ht="48" customHeight="1">
      <c r="A1804" s="3" t="s">
        <v>66</v>
      </c>
      <c r="B1804" s="3" t="s">
        <v>65</v>
      </c>
      <c r="C1804" s="4">
        <v>46235</v>
      </c>
      <c r="D1804" s="4">
        <v>46265</v>
      </c>
      <c r="E1804" s="3" t="s">
        <v>161</v>
      </c>
      <c r="F1804" s="3" t="s">
        <v>168</v>
      </c>
      <c r="G1804" s="5">
        <v>5.0000000000000001E-3</v>
      </c>
      <c r="H1804" s="6" t="s">
        <v>76</v>
      </c>
      <c r="I1804" s="3" t="s">
        <v>45</v>
      </c>
    </row>
    <row r="1805" spans="1:9" ht="48" customHeight="1">
      <c r="A1805" s="3" t="s">
        <v>66</v>
      </c>
      <c r="B1805" s="3" t="s">
        <v>65</v>
      </c>
      <c r="C1805" s="4">
        <v>46235</v>
      </c>
      <c r="D1805" s="4">
        <v>46265</v>
      </c>
      <c r="E1805" s="3" t="s">
        <v>161</v>
      </c>
      <c r="F1805" s="3" t="s">
        <v>186</v>
      </c>
      <c r="G1805" s="5">
        <v>5.0000000000000001E-3</v>
      </c>
      <c r="H1805" s="6" t="s">
        <v>76</v>
      </c>
      <c r="I1805" s="3" t="s">
        <v>45</v>
      </c>
    </row>
    <row r="1806" spans="1:9" ht="48" customHeight="1">
      <c r="A1806" s="3" t="s">
        <v>66</v>
      </c>
      <c r="B1806" s="3" t="s">
        <v>65</v>
      </c>
      <c r="C1806" s="4">
        <v>46235</v>
      </c>
      <c r="D1806" s="4">
        <v>46265</v>
      </c>
      <c r="E1806" s="3" t="s">
        <v>161</v>
      </c>
      <c r="F1806" s="3" t="s">
        <v>172</v>
      </c>
      <c r="G1806" s="5">
        <v>5.0000000000000001E-3</v>
      </c>
      <c r="H1806" s="6" t="s">
        <v>76</v>
      </c>
      <c r="I1806" s="3" t="s">
        <v>45</v>
      </c>
    </row>
    <row r="1807" spans="1:9" ht="48" customHeight="1">
      <c r="A1807" s="3" t="s">
        <v>66</v>
      </c>
      <c r="B1807" s="3" t="s">
        <v>65</v>
      </c>
      <c r="C1807" s="4">
        <v>46235</v>
      </c>
      <c r="D1807" s="4">
        <v>46265</v>
      </c>
      <c r="E1807" s="3" t="s">
        <v>161</v>
      </c>
      <c r="F1807" s="3" t="s">
        <v>178</v>
      </c>
      <c r="G1807" s="5">
        <v>5.0000000000000001E-3</v>
      </c>
      <c r="H1807" s="6" t="s">
        <v>76</v>
      </c>
      <c r="I1807" s="3" t="s">
        <v>45</v>
      </c>
    </row>
    <row r="1808" spans="1:9" ht="48" customHeight="1">
      <c r="A1808" s="3" t="s">
        <v>66</v>
      </c>
      <c r="B1808" s="3" t="s">
        <v>65</v>
      </c>
      <c r="C1808" s="4">
        <v>46235</v>
      </c>
      <c r="D1808" s="4">
        <v>46265</v>
      </c>
      <c r="E1808" s="3" t="s">
        <v>161</v>
      </c>
      <c r="F1808" s="3" t="s">
        <v>182</v>
      </c>
      <c r="G1808" s="5">
        <v>5.0000000000000001E-3</v>
      </c>
      <c r="H1808" s="6" t="s">
        <v>76</v>
      </c>
      <c r="I1808" s="3" t="s">
        <v>45</v>
      </c>
    </row>
    <row r="1809" spans="1:9" ht="48" customHeight="1">
      <c r="A1809" s="3" t="s">
        <v>66</v>
      </c>
      <c r="B1809" s="3" t="s">
        <v>65</v>
      </c>
      <c r="C1809" s="4">
        <v>46235</v>
      </c>
      <c r="D1809" s="4">
        <v>46265</v>
      </c>
      <c r="E1809" s="3" t="s">
        <v>161</v>
      </c>
      <c r="F1809" s="3" t="s">
        <v>183</v>
      </c>
      <c r="G1809" s="5">
        <v>5.0000000000000001E-3</v>
      </c>
      <c r="H1809" s="6" t="s">
        <v>76</v>
      </c>
      <c r="I1809" s="3" t="s">
        <v>45</v>
      </c>
    </row>
    <row r="1810" spans="1:9" ht="48" customHeight="1">
      <c r="A1810" s="3" t="s">
        <v>66</v>
      </c>
      <c r="B1810" s="3" t="s">
        <v>65</v>
      </c>
      <c r="C1810" s="4">
        <v>46235</v>
      </c>
      <c r="D1810" s="4">
        <v>46265</v>
      </c>
      <c r="E1810" s="3" t="s">
        <v>161</v>
      </c>
      <c r="F1810" s="3" t="s">
        <v>174</v>
      </c>
      <c r="G1810" s="5">
        <v>4.0000000000000001E-3</v>
      </c>
      <c r="H1810" s="6" t="s">
        <v>76</v>
      </c>
      <c r="I1810" s="3" t="s">
        <v>45</v>
      </c>
    </row>
    <row r="1811" spans="1:9" ht="48" customHeight="1">
      <c r="A1811" s="3" t="s">
        <v>66</v>
      </c>
      <c r="B1811" s="3" t="s">
        <v>65</v>
      </c>
      <c r="C1811" s="4">
        <v>46235</v>
      </c>
      <c r="D1811" s="4">
        <v>46265</v>
      </c>
      <c r="E1811" s="3" t="s">
        <v>161</v>
      </c>
      <c r="F1811" s="3" t="s">
        <v>176</v>
      </c>
      <c r="G1811" s="5">
        <v>4.0000000000000001E-3</v>
      </c>
      <c r="H1811" s="6" t="s">
        <v>76</v>
      </c>
      <c r="I1811" s="3" t="s">
        <v>45</v>
      </c>
    </row>
    <row r="1812" spans="1:9" ht="48" customHeight="1">
      <c r="A1812" s="3" t="s">
        <v>66</v>
      </c>
      <c r="B1812" s="3" t="s">
        <v>65</v>
      </c>
      <c r="C1812" s="4">
        <v>46235</v>
      </c>
      <c r="D1812" s="4">
        <v>46265</v>
      </c>
      <c r="E1812" s="3" t="s">
        <v>161</v>
      </c>
      <c r="F1812" s="3" t="s">
        <v>185</v>
      </c>
      <c r="G1812" s="5">
        <v>4.0000000000000001E-3</v>
      </c>
      <c r="H1812" s="6" t="s">
        <v>76</v>
      </c>
      <c r="I1812" s="3" t="s">
        <v>45</v>
      </c>
    </row>
    <row r="1813" spans="1:9" ht="48" customHeight="1">
      <c r="A1813" s="3" t="s">
        <v>66</v>
      </c>
      <c r="B1813" s="3" t="s">
        <v>65</v>
      </c>
      <c r="C1813" s="4">
        <v>46235</v>
      </c>
      <c r="D1813" s="4">
        <v>46265</v>
      </c>
      <c r="E1813" s="3" t="s">
        <v>161</v>
      </c>
      <c r="F1813" s="3" t="s">
        <v>177</v>
      </c>
      <c r="G1813" s="5">
        <v>4.0000000000000001E-3</v>
      </c>
      <c r="H1813" s="6" t="s">
        <v>76</v>
      </c>
      <c r="I1813" s="3" t="s">
        <v>45</v>
      </c>
    </row>
    <row r="1814" spans="1:9" ht="48" customHeight="1">
      <c r="A1814" s="3" t="s">
        <v>66</v>
      </c>
      <c r="B1814" s="3" t="s">
        <v>65</v>
      </c>
      <c r="C1814" s="4">
        <v>46235</v>
      </c>
      <c r="D1814" s="4">
        <v>46265</v>
      </c>
      <c r="E1814" s="3" t="s">
        <v>161</v>
      </c>
      <c r="F1814" s="3" t="s">
        <v>179</v>
      </c>
      <c r="G1814" s="5">
        <v>4.0000000000000001E-3</v>
      </c>
      <c r="H1814" s="6" t="s">
        <v>76</v>
      </c>
      <c r="I1814" s="3" t="s">
        <v>45</v>
      </c>
    </row>
    <row r="1815" spans="1:9" ht="48" customHeight="1">
      <c r="A1815" s="3" t="s">
        <v>66</v>
      </c>
      <c r="B1815" s="3" t="s">
        <v>65</v>
      </c>
      <c r="C1815" s="4">
        <v>46235</v>
      </c>
      <c r="D1815" s="4">
        <v>46265</v>
      </c>
      <c r="E1815" s="3" t="s">
        <v>161</v>
      </c>
      <c r="F1815" s="3" t="s">
        <v>180</v>
      </c>
      <c r="G1815" s="5">
        <v>4.0000000000000001E-3</v>
      </c>
      <c r="H1815" s="6" t="s">
        <v>76</v>
      </c>
      <c r="I1815" s="3" t="s">
        <v>45</v>
      </c>
    </row>
    <row r="1816" spans="1:9" ht="48" customHeight="1">
      <c r="A1816" s="3" t="s">
        <v>66</v>
      </c>
      <c r="B1816" s="3" t="s">
        <v>65</v>
      </c>
      <c r="C1816" s="4">
        <v>46235</v>
      </c>
      <c r="D1816" s="4">
        <v>46265</v>
      </c>
      <c r="E1816" s="3" t="s">
        <v>161</v>
      </c>
      <c r="F1816" s="3" t="s">
        <v>181</v>
      </c>
      <c r="G1816" s="5">
        <v>4.0000000000000001E-3</v>
      </c>
      <c r="H1816" s="6" t="s">
        <v>76</v>
      </c>
      <c r="I1816" s="3" t="s">
        <v>45</v>
      </c>
    </row>
    <row r="1817" spans="1:9" ht="48" customHeight="1">
      <c r="A1817" s="3" t="s">
        <v>66</v>
      </c>
      <c r="B1817" s="3" t="s">
        <v>65</v>
      </c>
      <c r="C1817" s="4">
        <v>46235</v>
      </c>
      <c r="D1817" s="4">
        <v>46265</v>
      </c>
      <c r="E1817" s="3" t="s">
        <v>161</v>
      </c>
      <c r="F1817" s="3" t="s">
        <v>184</v>
      </c>
      <c r="G1817" s="5">
        <v>4.0000000000000001E-3</v>
      </c>
      <c r="H1817" s="6" t="s">
        <v>76</v>
      </c>
      <c r="I1817" s="3" t="s">
        <v>45</v>
      </c>
    </row>
    <row r="1818" spans="1:9" ht="48" customHeight="1">
      <c r="A1818" s="3" t="s">
        <v>66</v>
      </c>
      <c r="B1818" s="3" t="s">
        <v>65</v>
      </c>
      <c r="C1818" s="4">
        <v>46235</v>
      </c>
      <c r="D1818" s="4">
        <v>46265</v>
      </c>
      <c r="E1818" s="3" t="s">
        <v>161</v>
      </c>
      <c r="F1818" s="3" t="s">
        <v>175</v>
      </c>
      <c r="G1818" s="5">
        <v>3.0000000000000001E-3</v>
      </c>
      <c r="H1818" s="6" t="s">
        <v>76</v>
      </c>
      <c r="I1818" s="3" t="s">
        <v>45</v>
      </c>
    </row>
    <row r="1819" spans="1:9" ht="48" customHeight="1">
      <c r="A1819" s="3" t="s">
        <v>66</v>
      </c>
      <c r="B1819" s="3" t="s">
        <v>65</v>
      </c>
      <c r="C1819" s="4">
        <v>46235</v>
      </c>
      <c r="D1819" s="4">
        <v>46265</v>
      </c>
      <c r="E1819" s="3" t="s">
        <v>161</v>
      </c>
      <c r="F1819" s="3" t="s">
        <v>191</v>
      </c>
      <c r="G1819" s="5">
        <v>3.0000000000000001E-3</v>
      </c>
      <c r="H1819" s="6" t="s">
        <v>76</v>
      </c>
      <c r="I1819" s="3" t="s">
        <v>45</v>
      </c>
    </row>
    <row r="1820" spans="1:9" ht="48" customHeight="1">
      <c r="A1820" s="3" t="s">
        <v>66</v>
      </c>
      <c r="B1820" s="3" t="s">
        <v>65</v>
      </c>
      <c r="C1820" s="4">
        <v>46235</v>
      </c>
      <c r="D1820" s="4">
        <v>46265</v>
      </c>
      <c r="E1820" s="3" t="s">
        <v>161</v>
      </c>
      <c r="F1820" s="3" t="s">
        <v>187</v>
      </c>
      <c r="G1820" s="5">
        <v>3.0000000000000001E-3</v>
      </c>
      <c r="H1820" s="6" t="s">
        <v>76</v>
      </c>
      <c r="I1820" s="3" t="s">
        <v>45</v>
      </c>
    </row>
    <row r="1821" spans="1:9" ht="48" customHeight="1">
      <c r="A1821" s="3" t="s">
        <v>66</v>
      </c>
      <c r="B1821" s="3" t="s">
        <v>65</v>
      </c>
      <c r="C1821" s="4">
        <v>46235</v>
      </c>
      <c r="D1821" s="4">
        <v>46265</v>
      </c>
      <c r="E1821" s="3" t="s">
        <v>161</v>
      </c>
      <c r="F1821" s="3" t="s">
        <v>192</v>
      </c>
      <c r="G1821" s="5">
        <v>3.0000000000000001E-3</v>
      </c>
      <c r="H1821" s="6" t="s">
        <v>76</v>
      </c>
      <c r="I1821" s="3" t="s">
        <v>45</v>
      </c>
    </row>
    <row r="1822" spans="1:9" ht="48" customHeight="1">
      <c r="A1822" s="3" t="s">
        <v>66</v>
      </c>
      <c r="B1822" s="3" t="s">
        <v>65</v>
      </c>
      <c r="C1822" s="4">
        <v>46235</v>
      </c>
      <c r="D1822" s="4">
        <v>46265</v>
      </c>
      <c r="E1822" s="3" t="s">
        <v>161</v>
      </c>
      <c r="F1822" s="3" t="s">
        <v>194</v>
      </c>
      <c r="G1822" s="5">
        <v>3.0000000000000001E-3</v>
      </c>
      <c r="H1822" s="6" t="s">
        <v>76</v>
      </c>
      <c r="I1822" s="3" t="s">
        <v>45</v>
      </c>
    </row>
    <row r="1823" spans="1:9" ht="48" customHeight="1">
      <c r="A1823" s="3" t="s">
        <v>66</v>
      </c>
      <c r="B1823" s="3" t="s">
        <v>65</v>
      </c>
      <c r="C1823" s="4">
        <v>46235</v>
      </c>
      <c r="D1823" s="4">
        <v>46265</v>
      </c>
      <c r="E1823" s="3" t="s">
        <v>161</v>
      </c>
      <c r="F1823" s="3" t="s">
        <v>188</v>
      </c>
      <c r="G1823" s="5">
        <v>3.0000000000000001E-3</v>
      </c>
      <c r="H1823" s="6" t="s">
        <v>76</v>
      </c>
      <c r="I1823" s="3" t="s">
        <v>45</v>
      </c>
    </row>
    <row r="1824" spans="1:9" ht="48" customHeight="1">
      <c r="A1824" s="3" t="s">
        <v>66</v>
      </c>
      <c r="B1824" s="3" t="s">
        <v>65</v>
      </c>
      <c r="C1824" s="4">
        <v>46235</v>
      </c>
      <c r="D1824" s="4">
        <v>46265</v>
      </c>
      <c r="E1824" s="3" t="s">
        <v>161</v>
      </c>
      <c r="F1824" s="3" t="s">
        <v>386</v>
      </c>
      <c r="G1824" s="5">
        <v>3.0000000000000001E-3</v>
      </c>
      <c r="H1824" s="6" t="s">
        <v>76</v>
      </c>
      <c r="I1824" s="3" t="s">
        <v>45</v>
      </c>
    </row>
    <row r="1825" spans="1:9" ht="48" customHeight="1">
      <c r="A1825" s="3" t="s">
        <v>66</v>
      </c>
      <c r="B1825" s="3" t="s">
        <v>65</v>
      </c>
      <c r="C1825" s="4">
        <v>46235</v>
      </c>
      <c r="D1825" s="4">
        <v>46265</v>
      </c>
      <c r="E1825" s="3" t="s">
        <v>161</v>
      </c>
      <c r="F1825" s="3" t="s">
        <v>387</v>
      </c>
      <c r="G1825" s="5">
        <v>3.0000000000000001E-3</v>
      </c>
      <c r="H1825" s="6" t="s">
        <v>76</v>
      </c>
      <c r="I1825" s="3" t="s">
        <v>45</v>
      </c>
    </row>
    <row r="1826" spans="1:9" ht="48" customHeight="1">
      <c r="A1826" s="3" t="s">
        <v>66</v>
      </c>
      <c r="B1826" s="3" t="s">
        <v>65</v>
      </c>
      <c r="C1826" s="4">
        <v>46235</v>
      </c>
      <c r="D1826" s="4">
        <v>46265</v>
      </c>
      <c r="E1826" s="3" t="s">
        <v>161</v>
      </c>
      <c r="F1826" s="3" t="s">
        <v>189</v>
      </c>
      <c r="G1826" s="5">
        <v>2E-3</v>
      </c>
      <c r="H1826" s="6" t="s">
        <v>76</v>
      </c>
      <c r="I1826" s="3" t="s">
        <v>45</v>
      </c>
    </row>
    <row r="1827" spans="1:9" ht="48" customHeight="1">
      <c r="A1827" s="3" t="s">
        <v>66</v>
      </c>
      <c r="B1827" s="3" t="s">
        <v>65</v>
      </c>
      <c r="C1827" s="4">
        <v>46235</v>
      </c>
      <c r="D1827" s="4">
        <v>46265</v>
      </c>
      <c r="E1827" s="3" t="s">
        <v>161</v>
      </c>
      <c r="F1827" s="3" t="s">
        <v>190</v>
      </c>
      <c r="G1827" s="5">
        <v>2E-3</v>
      </c>
      <c r="H1827" s="6" t="s">
        <v>76</v>
      </c>
      <c r="I1827" s="3" t="s">
        <v>45</v>
      </c>
    </row>
    <row r="1828" spans="1:9" ht="48" customHeight="1">
      <c r="A1828" s="3" t="s">
        <v>66</v>
      </c>
      <c r="B1828" s="3" t="s">
        <v>65</v>
      </c>
      <c r="C1828" s="4">
        <v>46235</v>
      </c>
      <c r="D1828" s="4">
        <v>46265</v>
      </c>
      <c r="E1828" s="3" t="s">
        <v>161</v>
      </c>
      <c r="F1828" s="3" t="s">
        <v>193</v>
      </c>
      <c r="G1828" s="5">
        <v>2E-3</v>
      </c>
      <c r="H1828" s="6" t="s">
        <v>76</v>
      </c>
      <c r="I1828" s="3" t="s">
        <v>45</v>
      </c>
    </row>
    <row r="1829" spans="1:9" ht="48" customHeight="1">
      <c r="A1829" s="3" t="s">
        <v>66</v>
      </c>
      <c r="B1829" s="3" t="s">
        <v>65</v>
      </c>
      <c r="C1829" s="4">
        <v>46235</v>
      </c>
      <c r="D1829" s="4">
        <v>46265</v>
      </c>
      <c r="E1829" s="3" t="s">
        <v>161</v>
      </c>
      <c r="F1829" s="3" t="s">
        <v>195</v>
      </c>
      <c r="G1829" s="5">
        <v>2E-3</v>
      </c>
      <c r="H1829" s="6" t="s">
        <v>76</v>
      </c>
      <c r="I1829" s="3" t="s">
        <v>45</v>
      </c>
    </row>
    <row r="1830" spans="1:9" ht="48" customHeight="1">
      <c r="A1830" s="3" t="s">
        <v>66</v>
      </c>
      <c r="B1830" s="3" t="s">
        <v>65</v>
      </c>
      <c r="C1830" s="4">
        <v>46235</v>
      </c>
      <c r="D1830" s="4">
        <v>46265</v>
      </c>
      <c r="E1830" s="3" t="s">
        <v>161</v>
      </c>
      <c r="F1830" s="3" t="s">
        <v>196</v>
      </c>
      <c r="G1830" s="5">
        <v>2E-3</v>
      </c>
      <c r="H1830" s="6" t="s">
        <v>76</v>
      </c>
      <c r="I1830" s="3" t="s">
        <v>45</v>
      </c>
    </row>
    <row r="1831" spans="1:9" ht="48" customHeight="1">
      <c r="A1831" s="3" t="s">
        <v>66</v>
      </c>
      <c r="B1831" s="3" t="s">
        <v>65</v>
      </c>
      <c r="C1831" s="4">
        <v>46235</v>
      </c>
      <c r="D1831" s="4">
        <v>46265</v>
      </c>
      <c r="E1831" s="3" t="s">
        <v>161</v>
      </c>
      <c r="F1831" s="3" t="s">
        <v>197</v>
      </c>
      <c r="G1831" s="5">
        <v>1E-3</v>
      </c>
      <c r="H1831" s="6" t="s">
        <v>76</v>
      </c>
      <c r="I1831" s="3" t="s">
        <v>45</v>
      </c>
    </row>
    <row r="1832" spans="1:9" ht="48" customHeight="1">
      <c r="A1832" s="3" t="s">
        <v>66</v>
      </c>
      <c r="B1832" s="3" t="s">
        <v>65</v>
      </c>
      <c r="C1832" s="4">
        <v>46235</v>
      </c>
      <c r="D1832" s="4">
        <v>46265</v>
      </c>
      <c r="E1832" s="3" t="s">
        <v>161</v>
      </c>
      <c r="F1832" s="3" t="s">
        <v>198</v>
      </c>
      <c r="G1832" s="5">
        <v>1E-3</v>
      </c>
      <c r="H1832" s="6" t="s">
        <v>76</v>
      </c>
      <c r="I1832" s="3" t="s">
        <v>45</v>
      </c>
    </row>
    <row r="1833" spans="1:9" ht="48" customHeight="1">
      <c r="A1833" s="3" t="s">
        <v>66</v>
      </c>
      <c r="B1833" s="3" t="s">
        <v>65</v>
      </c>
      <c r="C1833" s="4">
        <v>46235</v>
      </c>
      <c r="D1833" s="4">
        <v>46265</v>
      </c>
      <c r="E1833" s="3" t="s">
        <v>161</v>
      </c>
      <c r="F1833" s="3" t="s">
        <v>199</v>
      </c>
      <c r="G1833" s="5">
        <v>1E-3</v>
      </c>
      <c r="H1833" s="6" t="s">
        <v>76</v>
      </c>
      <c r="I1833" s="3" t="s">
        <v>45</v>
      </c>
    </row>
    <row r="1834" spans="1:9" ht="48" customHeight="1">
      <c r="A1834" s="3" t="s">
        <v>66</v>
      </c>
      <c r="B1834" s="3" t="s">
        <v>65</v>
      </c>
      <c r="C1834" s="4">
        <v>46235</v>
      </c>
      <c r="D1834" s="4">
        <v>46265</v>
      </c>
      <c r="E1834" s="3" t="s">
        <v>161</v>
      </c>
      <c r="F1834" s="3" t="s">
        <v>200</v>
      </c>
      <c r="G1834" s="5">
        <v>1E-3</v>
      </c>
      <c r="H1834" s="6" t="s">
        <v>76</v>
      </c>
      <c r="I1834" s="3" t="s">
        <v>45</v>
      </c>
    </row>
    <row r="1835" spans="1:9" ht="48" customHeight="1">
      <c r="A1835" s="3" t="s">
        <v>66</v>
      </c>
      <c r="B1835" s="3" t="s">
        <v>65</v>
      </c>
      <c r="C1835" s="4">
        <v>46235</v>
      </c>
      <c r="D1835" s="4">
        <v>46265</v>
      </c>
      <c r="E1835" s="3" t="s">
        <v>161</v>
      </c>
      <c r="F1835" s="3" t="s">
        <v>201</v>
      </c>
      <c r="G1835" s="5">
        <v>1E-3</v>
      </c>
      <c r="H1835" s="6" t="s">
        <v>76</v>
      </c>
      <c r="I1835" s="3" t="s">
        <v>45</v>
      </c>
    </row>
    <row r="1836" spans="1:9" ht="48" customHeight="1">
      <c r="A1836" s="3" t="s">
        <v>66</v>
      </c>
      <c r="B1836" s="3" t="s">
        <v>65</v>
      </c>
      <c r="C1836" s="4">
        <v>46235</v>
      </c>
      <c r="D1836" s="4">
        <v>46265</v>
      </c>
      <c r="E1836" s="3" t="s">
        <v>161</v>
      </c>
      <c r="F1836" s="3" t="s">
        <v>202</v>
      </c>
      <c r="G1836" s="5">
        <v>0</v>
      </c>
      <c r="H1836" s="6" t="s">
        <v>76</v>
      </c>
      <c r="I1836" s="3" t="s">
        <v>45</v>
      </c>
    </row>
    <row r="1837" spans="1:9" ht="48" customHeight="1">
      <c r="A1837" s="3" t="s">
        <v>66</v>
      </c>
      <c r="B1837" s="3" t="s">
        <v>65</v>
      </c>
      <c r="C1837" s="4">
        <v>46235</v>
      </c>
      <c r="D1837" s="4">
        <v>46265</v>
      </c>
      <c r="E1837" s="3" t="s">
        <v>161</v>
      </c>
      <c r="F1837" s="3" t="s">
        <v>203</v>
      </c>
      <c r="G1837" s="5">
        <v>0</v>
      </c>
      <c r="H1837" s="6" t="s">
        <v>76</v>
      </c>
      <c r="I1837" s="3" t="s">
        <v>45</v>
      </c>
    </row>
    <row r="1838" spans="1:9" ht="48" customHeight="1">
      <c r="A1838" s="3" t="s">
        <v>66</v>
      </c>
      <c r="B1838" s="3" t="s">
        <v>65</v>
      </c>
      <c r="C1838" s="4">
        <v>46235</v>
      </c>
      <c r="D1838" s="4">
        <v>46265</v>
      </c>
      <c r="E1838" s="3" t="s">
        <v>161</v>
      </c>
      <c r="F1838" s="3" t="s">
        <v>204</v>
      </c>
      <c r="G1838" s="5">
        <v>0</v>
      </c>
      <c r="H1838" s="6" t="s">
        <v>76</v>
      </c>
      <c r="I1838" s="3" t="s">
        <v>45</v>
      </c>
    </row>
    <row r="1839" spans="1:9" ht="48" customHeight="1">
      <c r="A1839" s="3" t="s">
        <v>66</v>
      </c>
      <c r="B1839" s="3" t="s">
        <v>65</v>
      </c>
      <c r="C1839" s="4">
        <v>46235</v>
      </c>
      <c r="D1839" s="4">
        <v>46265</v>
      </c>
      <c r="E1839" s="3" t="s">
        <v>205</v>
      </c>
      <c r="F1839" s="3" t="s">
        <v>207</v>
      </c>
      <c r="G1839" s="5">
        <v>6.0000000000000001E-3</v>
      </c>
      <c r="H1839" s="6" t="s">
        <v>76</v>
      </c>
      <c r="I1839" s="3" t="s">
        <v>45</v>
      </c>
    </row>
    <row r="1840" spans="1:9" ht="48" customHeight="1">
      <c r="A1840" s="3" t="s">
        <v>66</v>
      </c>
      <c r="B1840" s="3" t="s">
        <v>65</v>
      </c>
      <c r="C1840" s="4">
        <v>46235</v>
      </c>
      <c r="D1840" s="4">
        <v>46265</v>
      </c>
      <c r="E1840" s="3" t="s">
        <v>205</v>
      </c>
      <c r="F1840" s="3" t="s">
        <v>206</v>
      </c>
      <c r="G1840" s="5">
        <v>6.0000000000000001E-3</v>
      </c>
      <c r="H1840" s="6" t="s">
        <v>76</v>
      </c>
      <c r="I1840" s="3" t="s">
        <v>45</v>
      </c>
    </row>
    <row r="1841" spans="1:9" ht="48" customHeight="1">
      <c r="A1841" s="3" t="s">
        <v>66</v>
      </c>
      <c r="B1841" s="3" t="s">
        <v>65</v>
      </c>
      <c r="C1841" s="4">
        <v>46235</v>
      </c>
      <c r="D1841" s="4">
        <v>46265</v>
      </c>
      <c r="E1841" s="3" t="s">
        <v>205</v>
      </c>
      <c r="F1841" s="3" t="s">
        <v>210</v>
      </c>
      <c r="G1841" s="5">
        <v>6.0000000000000001E-3</v>
      </c>
      <c r="H1841" s="6" t="s">
        <v>76</v>
      </c>
      <c r="I1841" s="3" t="s">
        <v>45</v>
      </c>
    </row>
    <row r="1842" spans="1:9" ht="48" customHeight="1">
      <c r="A1842" s="3" t="s">
        <v>66</v>
      </c>
      <c r="B1842" s="3" t="s">
        <v>65</v>
      </c>
      <c r="C1842" s="4">
        <v>46235</v>
      </c>
      <c r="D1842" s="4">
        <v>46265</v>
      </c>
      <c r="E1842" s="3" t="s">
        <v>205</v>
      </c>
      <c r="F1842" s="3" t="s">
        <v>208</v>
      </c>
      <c r="G1842" s="5">
        <v>5.0000000000000001E-3</v>
      </c>
      <c r="H1842" s="6" t="s">
        <v>76</v>
      </c>
      <c r="I1842" s="3" t="s">
        <v>45</v>
      </c>
    </row>
    <row r="1843" spans="1:9" ht="48" customHeight="1">
      <c r="A1843" s="3" t="s">
        <v>66</v>
      </c>
      <c r="B1843" s="3" t="s">
        <v>65</v>
      </c>
      <c r="C1843" s="4">
        <v>46235</v>
      </c>
      <c r="D1843" s="4">
        <v>46265</v>
      </c>
      <c r="E1843" s="3" t="s">
        <v>205</v>
      </c>
      <c r="F1843" s="3" t="s">
        <v>213</v>
      </c>
      <c r="G1843" s="5">
        <v>5.0000000000000001E-3</v>
      </c>
      <c r="H1843" s="6" t="s">
        <v>76</v>
      </c>
      <c r="I1843" s="3" t="s">
        <v>45</v>
      </c>
    </row>
    <row r="1844" spans="1:9" ht="48" customHeight="1">
      <c r="A1844" s="3" t="s">
        <v>66</v>
      </c>
      <c r="B1844" s="3" t="s">
        <v>65</v>
      </c>
      <c r="C1844" s="4">
        <v>46235</v>
      </c>
      <c r="D1844" s="4">
        <v>46265</v>
      </c>
      <c r="E1844" s="3" t="s">
        <v>205</v>
      </c>
      <c r="F1844" s="3" t="s">
        <v>214</v>
      </c>
      <c r="G1844" s="5">
        <v>5.0000000000000001E-3</v>
      </c>
      <c r="H1844" s="6" t="s">
        <v>76</v>
      </c>
      <c r="I1844" s="3" t="s">
        <v>45</v>
      </c>
    </row>
    <row r="1845" spans="1:9" ht="48" customHeight="1">
      <c r="A1845" s="3" t="s">
        <v>66</v>
      </c>
      <c r="B1845" s="3" t="s">
        <v>65</v>
      </c>
      <c r="C1845" s="4">
        <v>46235</v>
      </c>
      <c r="D1845" s="4">
        <v>46265</v>
      </c>
      <c r="E1845" s="3" t="s">
        <v>205</v>
      </c>
      <c r="F1845" s="3" t="s">
        <v>209</v>
      </c>
      <c r="G1845" s="5">
        <v>5.0000000000000001E-3</v>
      </c>
      <c r="H1845" s="6" t="s">
        <v>76</v>
      </c>
      <c r="I1845" s="3" t="s">
        <v>45</v>
      </c>
    </row>
    <row r="1846" spans="1:9" ht="48" customHeight="1">
      <c r="A1846" s="3" t="s">
        <v>66</v>
      </c>
      <c r="B1846" s="3" t="s">
        <v>65</v>
      </c>
      <c r="C1846" s="4">
        <v>46235</v>
      </c>
      <c r="D1846" s="4">
        <v>46265</v>
      </c>
      <c r="E1846" s="3" t="s">
        <v>205</v>
      </c>
      <c r="F1846" s="3" t="s">
        <v>216</v>
      </c>
      <c r="G1846" s="5">
        <v>5.0000000000000001E-3</v>
      </c>
      <c r="H1846" s="6" t="s">
        <v>76</v>
      </c>
      <c r="I1846" s="3" t="s">
        <v>45</v>
      </c>
    </row>
    <row r="1847" spans="1:9" ht="48" customHeight="1">
      <c r="A1847" s="3" t="s">
        <v>66</v>
      </c>
      <c r="B1847" s="3" t="s">
        <v>65</v>
      </c>
      <c r="C1847" s="4">
        <v>46235</v>
      </c>
      <c r="D1847" s="4">
        <v>46265</v>
      </c>
      <c r="E1847" s="3" t="s">
        <v>205</v>
      </c>
      <c r="F1847" s="3" t="s">
        <v>219</v>
      </c>
      <c r="G1847" s="5">
        <v>4.0000000000000001E-3</v>
      </c>
      <c r="H1847" s="6" t="s">
        <v>76</v>
      </c>
      <c r="I1847" s="3" t="s">
        <v>45</v>
      </c>
    </row>
    <row r="1848" spans="1:9" ht="48" customHeight="1">
      <c r="A1848" s="3" t="s">
        <v>66</v>
      </c>
      <c r="B1848" s="3" t="s">
        <v>65</v>
      </c>
      <c r="C1848" s="4">
        <v>46235</v>
      </c>
      <c r="D1848" s="4">
        <v>46265</v>
      </c>
      <c r="E1848" s="3" t="s">
        <v>205</v>
      </c>
      <c r="F1848" s="3" t="s">
        <v>220</v>
      </c>
      <c r="G1848" s="5">
        <v>4.0000000000000001E-3</v>
      </c>
      <c r="H1848" s="6" t="s">
        <v>76</v>
      </c>
      <c r="I1848" s="3" t="s">
        <v>45</v>
      </c>
    </row>
    <row r="1849" spans="1:9" ht="48" customHeight="1">
      <c r="A1849" s="3" t="s">
        <v>66</v>
      </c>
      <c r="B1849" s="3" t="s">
        <v>65</v>
      </c>
      <c r="C1849" s="4">
        <v>46235</v>
      </c>
      <c r="D1849" s="4">
        <v>46265</v>
      </c>
      <c r="E1849" s="3" t="s">
        <v>205</v>
      </c>
      <c r="F1849" s="3" t="s">
        <v>211</v>
      </c>
      <c r="G1849" s="5">
        <v>4.0000000000000001E-3</v>
      </c>
      <c r="H1849" s="6" t="s">
        <v>76</v>
      </c>
      <c r="I1849" s="3" t="s">
        <v>45</v>
      </c>
    </row>
    <row r="1850" spans="1:9" ht="48" customHeight="1">
      <c r="A1850" s="3" t="s">
        <v>66</v>
      </c>
      <c r="B1850" s="3" t="s">
        <v>65</v>
      </c>
      <c r="C1850" s="4">
        <v>46235</v>
      </c>
      <c r="D1850" s="4">
        <v>46265</v>
      </c>
      <c r="E1850" s="3" t="s">
        <v>205</v>
      </c>
      <c r="F1850" s="3" t="s">
        <v>221</v>
      </c>
      <c r="G1850" s="5">
        <v>4.0000000000000001E-3</v>
      </c>
      <c r="H1850" s="6" t="s">
        <v>76</v>
      </c>
      <c r="I1850" s="3" t="s">
        <v>45</v>
      </c>
    </row>
    <row r="1851" spans="1:9" ht="48" customHeight="1">
      <c r="A1851" s="3" t="s">
        <v>66</v>
      </c>
      <c r="B1851" s="3" t="s">
        <v>65</v>
      </c>
      <c r="C1851" s="4">
        <v>46235</v>
      </c>
      <c r="D1851" s="4">
        <v>46265</v>
      </c>
      <c r="E1851" s="3" t="s">
        <v>205</v>
      </c>
      <c r="F1851" s="3" t="s">
        <v>222</v>
      </c>
      <c r="G1851" s="5">
        <v>4.0000000000000001E-3</v>
      </c>
      <c r="H1851" s="6" t="s">
        <v>76</v>
      </c>
      <c r="I1851" s="3" t="s">
        <v>45</v>
      </c>
    </row>
    <row r="1852" spans="1:9" ht="48" customHeight="1">
      <c r="A1852" s="3" t="s">
        <v>66</v>
      </c>
      <c r="B1852" s="3" t="s">
        <v>65</v>
      </c>
      <c r="C1852" s="4">
        <v>46235</v>
      </c>
      <c r="D1852" s="4">
        <v>46265</v>
      </c>
      <c r="E1852" s="3" t="s">
        <v>205</v>
      </c>
      <c r="F1852" s="3" t="s">
        <v>212</v>
      </c>
      <c r="G1852" s="5">
        <v>4.0000000000000001E-3</v>
      </c>
      <c r="H1852" s="6" t="s">
        <v>76</v>
      </c>
      <c r="I1852" s="3" t="s">
        <v>45</v>
      </c>
    </row>
    <row r="1853" spans="1:9" ht="48" customHeight="1">
      <c r="A1853" s="3" t="s">
        <v>66</v>
      </c>
      <c r="B1853" s="3" t="s">
        <v>65</v>
      </c>
      <c r="C1853" s="4">
        <v>46235</v>
      </c>
      <c r="D1853" s="4">
        <v>46265</v>
      </c>
      <c r="E1853" s="3" t="s">
        <v>205</v>
      </c>
      <c r="F1853" s="3" t="s">
        <v>215</v>
      </c>
      <c r="G1853" s="5">
        <v>4.0000000000000001E-3</v>
      </c>
      <c r="H1853" s="6" t="s">
        <v>76</v>
      </c>
      <c r="I1853" s="3" t="s">
        <v>45</v>
      </c>
    </row>
    <row r="1854" spans="1:9" ht="48" customHeight="1">
      <c r="A1854" s="3" t="s">
        <v>66</v>
      </c>
      <c r="B1854" s="3" t="s">
        <v>65</v>
      </c>
      <c r="C1854" s="4">
        <v>46235</v>
      </c>
      <c r="D1854" s="4">
        <v>46265</v>
      </c>
      <c r="E1854" s="3" t="s">
        <v>205</v>
      </c>
      <c r="F1854" s="3" t="s">
        <v>224</v>
      </c>
      <c r="G1854" s="5">
        <v>3.0000000000000001E-3</v>
      </c>
      <c r="H1854" s="6" t="s">
        <v>76</v>
      </c>
      <c r="I1854" s="3" t="s">
        <v>45</v>
      </c>
    </row>
    <row r="1855" spans="1:9" ht="48" customHeight="1">
      <c r="A1855" s="3" t="s">
        <v>66</v>
      </c>
      <c r="B1855" s="3" t="s">
        <v>65</v>
      </c>
      <c r="C1855" s="4">
        <v>46235</v>
      </c>
      <c r="D1855" s="4">
        <v>46265</v>
      </c>
      <c r="E1855" s="3" t="s">
        <v>205</v>
      </c>
      <c r="F1855" s="3" t="s">
        <v>217</v>
      </c>
      <c r="G1855" s="5">
        <v>3.0000000000000001E-3</v>
      </c>
      <c r="H1855" s="6" t="s">
        <v>76</v>
      </c>
      <c r="I1855" s="3" t="s">
        <v>45</v>
      </c>
    </row>
    <row r="1856" spans="1:9" ht="48" customHeight="1">
      <c r="A1856" s="3" t="s">
        <v>66</v>
      </c>
      <c r="B1856" s="3" t="s">
        <v>65</v>
      </c>
      <c r="C1856" s="4">
        <v>46235</v>
      </c>
      <c r="D1856" s="4">
        <v>46265</v>
      </c>
      <c r="E1856" s="3" t="s">
        <v>205</v>
      </c>
      <c r="F1856" s="3" t="s">
        <v>218</v>
      </c>
      <c r="G1856" s="5">
        <v>3.0000000000000001E-3</v>
      </c>
      <c r="H1856" s="6" t="s">
        <v>76</v>
      </c>
      <c r="I1856" s="3" t="s">
        <v>45</v>
      </c>
    </row>
    <row r="1857" spans="1:9" ht="48" customHeight="1">
      <c r="A1857" s="3" t="s">
        <v>66</v>
      </c>
      <c r="B1857" s="3" t="s">
        <v>65</v>
      </c>
      <c r="C1857" s="4">
        <v>46235</v>
      </c>
      <c r="D1857" s="4">
        <v>46265</v>
      </c>
      <c r="E1857" s="3" t="s">
        <v>205</v>
      </c>
      <c r="F1857" s="3" t="s">
        <v>225</v>
      </c>
      <c r="G1857" s="5">
        <v>3.0000000000000001E-3</v>
      </c>
      <c r="H1857" s="6" t="s">
        <v>76</v>
      </c>
      <c r="I1857" s="3" t="s">
        <v>45</v>
      </c>
    </row>
    <row r="1858" spans="1:9" ht="48" customHeight="1">
      <c r="A1858" s="3" t="s">
        <v>66</v>
      </c>
      <c r="B1858" s="3" t="s">
        <v>65</v>
      </c>
      <c r="C1858" s="4">
        <v>46235</v>
      </c>
      <c r="D1858" s="4">
        <v>46265</v>
      </c>
      <c r="E1858" s="3" t="s">
        <v>205</v>
      </c>
      <c r="F1858" s="3" t="s">
        <v>228</v>
      </c>
      <c r="G1858" s="5">
        <v>3.0000000000000001E-3</v>
      </c>
      <c r="H1858" s="6" t="s">
        <v>76</v>
      </c>
      <c r="I1858" s="3" t="s">
        <v>45</v>
      </c>
    </row>
    <row r="1859" spans="1:9" ht="48" customHeight="1">
      <c r="A1859" s="3" t="s">
        <v>66</v>
      </c>
      <c r="B1859" s="3" t="s">
        <v>65</v>
      </c>
      <c r="C1859" s="4">
        <v>46235</v>
      </c>
      <c r="D1859" s="4">
        <v>46265</v>
      </c>
      <c r="E1859" s="3" t="s">
        <v>205</v>
      </c>
      <c r="F1859" s="3" t="s">
        <v>223</v>
      </c>
      <c r="G1859" s="5">
        <v>2E-3</v>
      </c>
      <c r="H1859" s="6" t="s">
        <v>76</v>
      </c>
      <c r="I1859" s="3" t="s">
        <v>45</v>
      </c>
    </row>
    <row r="1860" spans="1:9" ht="48" customHeight="1">
      <c r="A1860" s="3" t="s">
        <v>66</v>
      </c>
      <c r="B1860" s="3" t="s">
        <v>65</v>
      </c>
      <c r="C1860" s="4">
        <v>46235</v>
      </c>
      <c r="D1860" s="4">
        <v>46265</v>
      </c>
      <c r="E1860" s="3" t="s">
        <v>205</v>
      </c>
      <c r="F1860" s="3" t="s">
        <v>226</v>
      </c>
      <c r="G1860" s="5">
        <v>2E-3</v>
      </c>
      <c r="H1860" s="6" t="s">
        <v>76</v>
      </c>
      <c r="I1860" s="3" t="s">
        <v>45</v>
      </c>
    </row>
    <row r="1861" spans="1:9" ht="48" customHeight="1">
      <c r="A1861" s="3" t="s">
        <v>66</v>
      </c>
      <c r="B1861" s="3" t="s">
        <v>65</v>
      </c>
      <c r="C1861" s="4">
        <v>46235</v>
      </c>
      <c r="D1861" s="4">
        <v>46265</v>
      </c>
      <c r="E1861" s="3" t="s">
        <v>205</v>
      </c>
      <c r="F1861" s="3" t="s">
        <v>227</v>
      </c>
      <c r="G1861" s="5">
        <v>2E-3</v>
      </c>
      <c r="H1861" s="6" t="s">
        <v>76</v>
      </c>
      <c r="I1861" s="3" t="s">
        <v>45</v>
      </c>
    </row>
    <row r="1862" spans="1:9" ht="48" customHeight="1">
      <c r="A1862" s="3" t="s">
        <v>66</v>
      </c>
      <c r="B1862" s="3" t="s">
        <v>65</v>
      </c>
      <c r="C1862" s="4">
        <v>46235</v>
      </c>
      <c r="D1862" s="4">
        <v>46265</v>
      </c>
      <c r="E1862" s="3" t="s">
        <v>205</v>
      </c>
      <c r="F1862" s="3" t="s">
        <v>229</v>
      </c>
      <c r="G1862" s="5">
        <v>1E-3</v>
      </c>
      <c r="H1862" s="6" t="s">
        <v>76</v>
      </c>
      <c r="I1862" s="3" t="s">
        <v>45</v>
      </c>
    </row>
    <row r="1863" spans="1:9" ht="48" customHeight="1">
      <c r="A1863" s="3" t="s">
        <v>66</v>
      </c>
      <c r="B1863" s="3" t="s">
        <v>65</v>
      </c>
      <c r="C1863" s="4">
        <v>46235</v>
      </c>
      <c r="D1863" s="4">
        <v>46265</v>
      </c>
      <c r="E1863" s="3" t="s">
        <v>205</v>
      </c>
      <c r="F1863" s="3" t="s">
        <v>230</v>
      </c>
      <c r="G1863" s="5">
        <v>1E-3</v>
      </c>
      <c r="H1863" s="6" t="s">
        <v>76</v>
      </c>
      <c r="I1863" s="3" t="s">
        <v>45</v>
      </c>
    </row>
    <row r="1864" spans="1:9" ht="48" customHeight="1">
      <c r="A1864" s="3" t="s">
        <v>66</v>
      </c>
      <c r="B1864" s="3" t="s">
        <v>65</v>
      </c>
      <c r="C1864" s="4">
        <v>46235</v>
      </c>
      <c r="D1864" s="4">
        <v>46265</v>
      </c>
      <c r="E1864" s="3" t="s">
        <v>231</v>
      </c>
      <c r="F1864" s="3" t="s">
        <v>232</v>
      </c>
      <c r="G1864" s="5">
        <v>1.7000000000000001E-2</v>
      </c>
      <c r="H1864" s="6" t="s">
        <v>76</v>
      </c>
      <c r="I1864" s="3" t="s">
        <v>45</v>
      </c>
    </row>
    <row r="1865" spans="1:9" ht="48" customHeight="1">
      <c r="A1865" s="3" t="s">
        <v>66</v>
      </c>
      <c r="B1865" s="3" t="s">
        <v>65</v>
      </c>
      <c r="C1865" s="4">
        <v>46235</v>
      </c>
      <c r="D1865" s="4">
        <v>46265</v>
      </c>
      <c r="E1865" s="3" t="s">
        <v>231</v>
      </c>
      <c r="F1865" s="3" t="s">
        <v>233</v>
      </c>
      <c r="G1865" s="5">
        <v>1.6E-2</v>
      </c>
      <c r="H1865" s="6" t="s">
        <v>76</v>
      </c>
      <c r="I1865" s="3" t="s">
        <v>45</v>
      </c>
    </row>
    <row r="1866" spans="1:9" ht="48" customHeight="1">
      <c r="A1866" s="3" t="s">
        <v>66</v>
      </c>
      <c r="B1866" s="3" t="s">
        <v>65</v>
      </c>
      <c r="C1866" s="4">
        <v>46235</v>
      </c>
      <c r="D1866" s="4">
        <v>46265</v>
      </c>
      <c r="E1866" s="3" t="s">
        <v>231</v>
      </c>
      <c r="F1866" s="3" t="s">
        <v>230</v>
      </c>
      <c r="G1866" s="5">
        <v>8.0000000000000002E-3</v>
      </c>
      <c r="H1866" s="6" t="s">
        <v>76</v>
      </c>
      <c r="I1866" s="3" t="s">
        <v>45</v>
      </c>
    </row>
    <row r="1867" spans="1:9" ht="48" customHeight="1">
      <c r="A1867" s="3" t="s">
        <v>66</v>
      </c>
      <c r="B1867" s="3" t="s">
        <v>65</v>
      </c>
      <c r="C1867" s="4">
        <v>46235</v>
      </c>
      <c r="D1867" s="4">
        <v>46265</v>
      </c>
      <c r="E1867" s="3" t="s">
        <v>231</v>
      </c>
      <c r="F1867" s="3" t="s">
        <v>234</v>
      </c>
      <c r="G1867" s="5">
        <v>6.9999999999999993E-3</v>
      </c>
      <c r="H1867" s="6" t="s">
        <v>76</v>
      </c>
      <c r="I1867" s="3" t="s">
        <v>45</v>
      </c>
    </row>
    <row r="1868" spans="1:9" ht="48" customHeight="1">
      <c r="A1868" s="3" t="s">
        <v>66</v>
      </c>
      <c r="B1868" s="3" t="s">
        <v>65</v>
      </c>
      <c r="C1868" s="4">
        <v>46235</v>
      </c>
      <c r="D1868" s="4">
        <v>46265</v>
      </c>
      <c r="E1868" s="3" t="s">
        <v>231</v>
      </c>
      <c r="F1868" s="3" t="s">
        <v>235</v>
      </c>
      <c r="G1868" s="5">
        <v>5.0000000000000001E-3</v>
      </c>
      <c r="H1868" s="6" t="s">
        <v>76</v>
      </c>
      <c r="I1868" s="3" t="s">
        <v>45</v>
      </c>
    </row>
    <row r="1869" spans="1:9" ht="48" customHeight="1">
      <c r="A1869" s="3" t="s">
        <v>66</v>
      </c>
      <c r="B1869" s="3" t="s">
        <v>65</v>
      </c>
      <c r="C1869" s="4">
        <v>46235</v>
      </c>
      <c r="D1869" s="4">
        <v>46265</v>
      </c>
      <c r="E1869" s="3" t="s">
        <v>236</v>
      </c>
      <c r="F1869" s="3" t="s">
        <v>237</v>
      </c>
      <c r="G1869" s="5">
        <v>6.9999999999999993E-3</v>
      </c>
      <c r="H1869" s="6" t="s">
        <v>76</v>
      </c>
      <c r="I1869" s="3" t="s">
        <v>45</v>
      </c>
    </row>
    <row r="1870" spans="1:9" ht="48" customHeight="1">
      <c r="A1870" s="3" t="s">
        <v>66</v>
      </c>
      <c r="B1870" s="3" t="s">
        <v>65</v>
      </c>
      <c r="C1870" s="4">
        <v>46235</v>
      </c>
      <c r="D1870" s="4">
        <v>46265</v>
      </c>
      <c r="E1870" s="3" t="s">
        <v>236</v>
      </c>
      <c r="F1870" s="3" t="s">
        <v>238</v>
      </c>
      <c r="G1870" s="5">
        <v>6.9999999999999993E-3</v>
      </c>
      <c r="H1870" s="6" t="s">
        <v>76</v>
      </c>
      <c r="I1870" s="3" t="s">
        <v>45</v>
      </c>
    </row>
    <row r="1871" spans="1:9" ht="48" customHeight="1">
      <c r="A1871" s="3" t="s">
        <v>66</v>
      </c>
      <c r="B1871" s="3" t="s">
        <v>65</v>
      </c>
      <c r="C1871" s="4">
        <v>46235</v>
      </c>
      <c r="D1871" s="4">
        <v>46265</v>
      </c>
      <c r="E1871" s="3" t="s">
        <v>236</v>
      </c>
      <c r="F1871" s="3" t="s">
        <v>239</v>
      </c>
      <c r="G1871" s="5">
        <v>6.0000000000000001E-3</v>
      </c>
      <c r="H1871" s="6" t="s">
        <v>76</v>
      </c>
      <c r="I1871" s="3" t="s">
        <v>45</v>
      </c>
    </row>
    <row r="1872" spans="1:9" ht="48" customHeight="1">
      <c r="A1872" s="3" t="s">
        <v>66</v>
      </c>
      <c r="B1872" s="3" t="s">
        <v>65</v>
      </c>
      <c r="C1872" s="4">
        <v>46235</v>
      </c>
      <c r="D1872" s="4">
        <v>46265</v>
      </c>
      <c r="E1872" s="3" t="s">
        <v>236</v>
      </c>
      <c r="F1872" s="3" t="s">
        <v>240</v>
      </c>
      <c r="G1872" s="5">
        <v>5.0000000000000001E-3</v>
      </c>
      <c r="H1872" s="6" t="s">
        <v>76</v>
      </c>
      <c r="I1872" s="3" t="s">
        <v>45</v>
      </c>
    </row>
    <row r="1873" spans="1:9" ht="48" customHeight="1">
      <c r="A1873" s="3" t="s">
        <v>66</v>
      </c>
      <c r="B1873" s="3" t="s">
        <v>65</v>
      </c>
      <c r="C1873" s="4">
        <v>46235</v>
      </c>
      <c r="D1873" s="4">
        <v>46265</v>
      </c>
      <c r="E1873" s="3" t="s">
        <v>236</v>
      </c>
      <c r="F1873" s="3" t="s">
        <v>388</v>
      </c>
      <c r="G1873" s="5">
        <v>5.0000000000000001E-3</v>
      </c>
      <c r="H1873" s="6" t="s">
        <v>76</v>
      </c>
      <c r="I1873" s="3" t="s">
        <v>45</v>
      </c>
    </row>
    <row r="1874" spans="1:9" ht="48" customHeight="1">
      <c r="A1874" s="3" t="s">
        <v>66</v>
      </c>
      <c r="B1874" s="3" t="s">
        <v>65</v>
      </c>
      <c r="C1874" s="4">
        <v>46235</v>
      </c>
      <c r="D1874" s="4">
        <v>46265</v>
      </c>
      <c r="E1874" s="3" t="s">
        <v>236</v>
      </c>
      <c r="F1874" s="3" t="s">
        <v>241</v>
      </c>
      <c r="G1874" s="5">
        <v>4.0000000000000001E-3</v>
      </c>
      <c r="H1874" s="6" t="s">
        <v>76</v>
      </c>
      <c r="I1874" s="3" t="s">
        <v>45</v>
      </c>
    </row>
    <row r="1875" spans="1:9" ht="48" customHeight="1">
      <c r="A1875" s="3" t="s">
        <v>66</v>
      </c>
      <c r="B1875" s="3" t="s">
        <v>65</v>
      </c>
      <c r="C1875" s="4">
        <v>46235</v>
      </c>
      <c r="D1875" s="4">
        <v>46265</v>
      </c>
      <c r="E1875" s="3" t="s">
        <v>236</v>
      </c>
      <c r="F1875" s="3" t="s">
        <v>389</v>
      </c>
      <c r="G1875" s="5">
        <v>4.0000000000000001E-3</v>
      </c>
      <c r="H1875" s="6" t="s">
        <v>76</v>
      </c>
      <c r="I1875" s="3" t="s">
        <v>45</v>
      </c>
    </row>
    <row r="1876" spans="1:9" ht="48" customHeight="1">
      <c r="A1876" s="3" t="s">
        <v>66</v>
      </c>
      <c r="B1876" s="3" t="s">
        <v>65</v>
      </c>
      <c r="C1876" s="4">
        <v>46235</v>
      </c>
      <c r="D1876" s="4">
        <v>46265</v>
      </c>
      <c r="E1876" s="3" t="s">
        <v>236</v>
      </c>
      <c r="F1876" s="3" t="s">
        <v>390</v>
      </c>
      <c r="G1876" s="5">
        <v>2E-3</v>
      </c>
      <c r="H1876" s="6" t="s">
        <v>76</v>
      </c>
      <c r="I1876" s="3" t="s">
        <v>45</v>
      </c>
    </row>
    <row r="1877" spans="1:9" ht="48" customHeight="1">
      <c r="A1877" s="3" t="s">
        <v>66</v>
      </c>
      <c r="B1877" s="3" t="s">
        <v>65</v>
      </c>
      <c r="C1877" s="4">
        <v>46235</v>
      </c>
      <c r="D1877" s="4">
        <v>46265</v>
      </c>
      <c r="E1877" s="3" t="s">
        <v>236</v>
      </c>
      <c r="F1877" s="3" t="s">
        <v>391</v>
      </c>
      <c r="G1877" s="5">
        <v>1E-3</v>
      </c>
      <c r="H1877" s="6" t="s">
        <v>76</v>
      </c>
      <c r="I1877" s="3" t="s">
        <v>45</v>
      </c>
    </row>
    <row r="1878" spans="1:9" ht="48" customHeight="1">
      <c r="A1878" s="3" t="s">
        <v>66</v>
      </c>
      <c r="B1878" s="3" t="s">
        <v>65</v>
      </c>
      <c r="C1878" s="4">
        <v>46235</v>
      </c>
      <c r="D1878" s="4">
        <v>46265</v>
      </c>
      <c r="E1878" s="3" t="s">
        <v>236</v>
      </c>
      <c r="F1878" s="3" t="s">
        <v>242</v>
      </c>
      <c r="G1878" s="5">
        <v>1E-3</v>
      </c>
      <c r="H1878" s="6" t="s">
        <v>76</v>
      </c>
      <c r="I1878" s="3" t="s">
        <v>45</v>
      </c>
    </row>
    <row r="1879" spans="1:9" ht="48" customHeight="1">
      <c r="A1879" s="3" t="s">
        <v>66</v>
      </c>
      <c r="B1879" s="3" t="s">
        <v>65</v>
      </c>
      <c r="C1879" s="4">
        <v>46235</v>
      </c>
      <c r="D1879" s="4">
        <v>46265</v>
      </c>
      <c r="E1879" s="3" t="s">
        <v>236</v>
      </c>
      <c r="F1879" s="3" t="s">
        <v>243</v>
      </c>
      <c r="G1879" s="5">
        <v>0</v>
      </c>
      <c r="H1879" s="6" t="s">
        <v>76</v>
      </c>
      <c r="I1879" s="3" t="s">
        <v>45</v>
      </c>
    </row>
    <row r="1880" spans="1:9" ht="48" customHeight="1">
      <c r="A1880" s="3" t="s">
        <v>66</v>
      </c>
      <c r="B1880" s="3" t="s">
        <v>65</v>
      </c>
      <c r="C1880" s="4">
        <v>46235</v>
      </c>
      <c r="D1880" s="4">
        <v>46265</v>
      </c>
      <c r="E1880" s="3" t="s">
        <v>244</v>
      </c>
      <c r="F1880" s="3" t="s">
        <v>245</v>
      </c>
      <c r="G1880" s="5">
        <v>8.0000000000000002E-3</v>
      </c>
      <c r="H1880" s="6" t="s">
        <v>76</v>
      </c>
      <c r="I1880" s="3" t="s">
        <v>45</v>
      </c>
    </row>
    <row r="1881" spans="1:9" ht="48" customHeight="1">
      <c r="A1881" s="3" t="s">
        <v>66</v>
      </c>
      <c r="B1881" s="3" t="s">
        <v>65</v>
      </c>
      <c r="C1881" s="4">
        <v>46235</v>
      </c>
      <c r="D1881" s="4">
        <v>46265</v>
      </c>
      <c r="E1881" s="3" t="s">
        <v>244</v>
      </c>
      <c r="F1881" s="3" t="s">
        <v>246</v>
      </c>
      <c r="G1881" s="5">
        <v>5.0000000000000001E-3</v>
      </c>
      <c r="H1881" s="6" t="s">
        <v>76</v>
      </c>
      <c r="I1881" s="3" t="s">
        <v>45</v>
      </c>
    </row>
    <row r="1882" spans="1:9" ht="48" customHeight="1">
      <c r="A1882" s="3" t="s">
        <v>66</v>
      </c>
      <c r="B1882" s="3" t="s">
        <v>65</v>
      </c>
      <c r="C1882" s="4">
        <v>46235</v>
      </c>
      <c r="D1882" s="4">
        <v>46265</v>
      </c>
      <c r="E1882" s="3" t="s">
        <v>244</v>
      </c>
      <c r="F1882" s="3" t="s">
        <v>247</v>
      </c>
      <c r="G1882" s="5">
        <v>4.0000000000000001E-3</v>
      </c>
      <c r="H1882" s="6" t="s">
        <v>76</v>
      </c>
      <c r="I1882" s="3" t="s">
        <v>45</v>
      </c>
    </row>
    <row r="1883" spans="1:9" ht="48" customHeight="1">
      <c r="A1883" s="3" t="s">
        <v>66</v>
      </c>
      <c r="B1883" s="3" t="s">
        <v>65</v>
      </c>
      <c r="C1883" s="4">
        <v>46235</v>
      </c>
      <c r="D1883" s="4">
        <v>46265</v>
      </c>
      <c r="E1883" s="3" t="s">
        <v>244</v>
      </c>
      <c r="F1883" s="3" t="s">
        <v>248</v>
      </c>
      <c r="G1883" s="5">
        <v>3.0000000000000001E-3</v>
      </c>
      <c r="H1883" s="6" t="s">
        <v>76</v>
      </c>
      <c r="I1883" s="3" t="s">
        <v>45</v>
      </c>
    </row>
    <row r="1884" spans="1:9" ht="48" customHeight="1">
      <c r="A1884" s="3" t="s">
        <v>66</v>
      </c>
      <c r="B1884" s="3" t="s">
        <v>65</v>
      </c>
      <c r="C1884" s="4">
        <v>46235</v>
      </c>
      <c r="D1884" s="4">
        <v>46265</v>
      </c>
      <c r="E1884" s="3" t="s">
        <v>244</v>
      </c>
      <c r="F1884" s="3" t="s">
        <v>249</v>
      </c>
      <c r="G1884" s="5">
        <v>2E-3</v>
      </c>
      <c r="H1884" s="6" t="s">
        <v>76</v>
      </c>
      <c r="I1884" s="3" t="s">
        <v>45</v>
      </c>
    </row>
    <row r="1885" spans="1:9" ht="48" customHeight="1">
      <c r="A1885" s="3" t="s">
        <v>66</v>
      </c>
      <c r="B1885" s="3" t="s">
        <v>65</v>
      </c>
      <c r="C1885" s="4">
        <v>46235</v>
      </c>
      <c r="D1885" s="4">
        <v>46265</v>
      </c>
      <c r="E1885" s="3" t="s">
        <v>244</v>
      </c>
      <c r="F1885" s="3" t="s">
        <v>250</v>
      </c>
      <c r="G1885" s="5">
        <v>1E-3</v>
      </c>
      <c r="H1885" s="6" t="s">
        <v>76</v>
      </c>
      <c r="I1885" s="3" t="s">
        <v>45</v>
      </c>
    </row>
    <row r="1886" spans="1:9" ht="48" customHeight="1">
      <c r="A1886" s="3" t="s">
        <v>66</v>
      </c>
      <c r="B1886" s="3" t="s">
        <v>65</v>
      </c>
      <c r="C1886" s="4">
        <v>46235</v>
      </c>
      <c r="D1886" s="4">
        <v>46265</v>
      </c>
      <c r="E1886" s="3" t="s">
        <v>244</v>
      </c>
      <c r="F1886" s="3" t="s">
        <v>251</v>
      </c>
      <c r="G1886" s="5">
        <v>1E-3</v>
      </c>
      <c r="H1886" s="6" t="s">
        <v>76</v>
      </c>
      <c r="I1886" s="3" t="s">
        <v>45</v>
      </c>
    </row>
    <row r="1887" spans="1:9" ht="48" customHeight="1">
      <c r="A1887" s="3" t="s">
        <v>66</v>
      </c>
      <c r="B1887" s="3" t="s">
        <v>65</v>
      </c>
      <c r="C1887" s="4">
        <v>46235</v>
      </c>
      <c r="D1887" s="4">
        <v>46265</v>
      </c>
      <c r="E1887" s="3" t="s">
        <v>244</v>
      </c>
      <c r="F1887" s="3" t="s">
        <v>252</v>
      </c>
      <c r="G1887" s="5">
        <v>1E-3</v>
      </c>
      <c r="H1887" s="6" t="s">
        <v>76</v>
      </c>
      <c r="I1887" s="3" t="s">
        <v>45</v>
      </c>
    </row>
    <row r="1888" spans="1:9" ht="48" customHeight="1">
      <c r="A1888" s="3" t="s">
        <v>66</v>
      </c>
      <c r="B1888" s="3" t="s">
        <v>65</v>
      </c>
      <c r="C1888" s="4">
        <v>46235</v>
      </c>
      <c r="D1888" s="4">
        <v>46265</v>
      </c>
      <c r="E1888" s="3" t="s">
        <v>244</v>
      </c>
      <c r="F1888" s="3" t="s">
        <v>253</v>
      </c>
      <c r="G1888" s="5">
        <v>1E-3</v>
      </c>
      <c r="H1888" s="6" t="s">
        <v>76</v>
      </c>
      <c r="I1888" s="3" t="s">
        <v>45</v>
      </c>
    </row>
    <row r="1889" spans="1:9" ht="48" customHeight="1">
      <c r="A1889" s="3" t="s">
        <v>66</v>
      </c>
      <c r="B1889" s="3" t="s">
        <v>65</v>
      </c>
      <c r="C1889" s="4">
        <v>46235</v>
      </c>
      <c r="D1889" s="4">
        <v>46265</v>
      </c>
      <c r="E1889" s="3" t="s">
        <v>244</v>
      </c>
      <c r="F1889" s="3" t="s">
        <v>254</v>
      </c>
      <c r="G1889" s="5">
        <v>1E-3</v>
      </c>
      <c r="H1889" s="6" t="s">
        <v>76</v>
      </c>
      <c r="I1889" s="3" t="s">
        <v>45</v>
      </c>
    </row>
    <row r="1890" spans="1:9" ht="48" customHeight="1">
      <c r="A1890" s="3" t="s">
        <v>66</v>
      </c>
      <c r="B1890" s="3" t="s">
        <v>65</v>
      </c>
      <c r="C1890" s="4">
        <v>46235</v>
      </c>
      <c r="D1890" s="4">
        <v>46265</v>
      </c>
      <c r="E1890" s="3" t="s">
        <v>244</v>
      </c>
      <c r="F1890" s="3" t="s">
        <v>255</v>
      </c>
      <c r="G1890" s="5">
        <v>0</v>
      </c>
      <c r="H1890" s="6" t="s">
        <v>76</v>
      </c>
      <c r="I1890" s="3" t="s">
        <v>45</v>
      </c>
    </row>
    <row r="1891" spans="1:9" ht="48" customHeight="1">
      <c r="A1891" s="3" t="s">
        <v>66</v>
      </c>
      <c r="B1891" s="3" t="s">
        <v>65</v>
      </c>
      <c r="C1891" s="4">
        <v>46235</v>
      </c>
      <c r="D1891" s="4">
        <v>46265</v>
      </c>
      <c r="E1891" s="3" t="s">
        <v>244</v>
      </c>
      <c r="F1891" s="3" t="s">
        <v>256</v>
      </c>
      <c r="G1891" s="5">
        <v>0</v>
      </c>
      <c r="H1891" s="6" t="s">
        <v>76</v>
      </c>
      <c r="I1891" s="3" t="s">
        <v>45</v>
      </c>
    </row>
    <row r="1892" spans="1:9" ht="48" customHeight="1">
      <c r="A1892" s="3" t="s">
        <v>66</v>
      </c>
      <c r="B1892" s="3" t="s">
        <v>65</v>
      </c>
      <c r="C1892" s="4">
        <v>46235</v>
      </c>
      <c r="D1892" s="4">
        <v>46265</v>
      </c>
      <c r="E1892" s="3" t="s">
        <v>244</v>
      </c>
      <c r="F1892" s="3" t="s">
        <v>257</v>
      </c>
      <c r="G1892" s="5">
        <v>0</v>
      </c>
      <c r="H1892" s="6" t="s">
        <v>76</v>
      </c>
      <c r="I1892" s="3" t="s">
        <v>45</v>
      </c>
    </row>
    <row r="1893" spans="1:9" ht="48" customHeight="1">
      <c r="A1893" s="3" t="s">
        <v>66</v>
      </c>
      <c r="B1893" s="3" t="s">
        <v>65</v>
      </c>
      <c r="C1893" s="4">
        <v>46235</v>
      </c>
      <c r="D1893" s="4">
        <v>46265</v>
      </c>
      <c r="E1893" s="3" t="s">
        <v>244</v>
      </c>
      <c r="F1893" s="3" t="s">
        <v>258</v>
      </c>
      <c r="G1893" s="5">
        <v>0</v>
      </c>
      <c r="H1893" s="6" t="s">
        <v>76</v>
      </c>
      <c r="I1893" s="3" t="s">
        <v>45</v>
      </c>
    </row>
    <row r="1894" spans="1:9" ht="48" customHeight="1">
      <c r="A1894" s="3" t="s">
        <v>66</v>
      </c>
      <c r="B1894" s="3" t="s">
        <v>65</v>
      </c>
      <c r="C1894" s="4">
        <v>46235</v>
      </c>
      <c r="D1894" s="4">
        <v>46265</v>
      </c>
      <c r="E1894" s="3" t="s">
        <v>244</v>
      </c>
      <c r="F1894" s="3" t="s">
        <v>259</v>
      </c>
      <c r="G1894" s="5">
        <v>0</v>
      </c>
      <c r="H1894" s="6" t="s">
        <v>76</v>
      </c>
      <c r="I1894" s="3" t="s">
        <v>45</v>
      </c>
    </row>
    <row r="1895" spans="1:9" ht="48" customHeight="1">
      <c r="A1895" s="3" t="s">
        <v>66</v>
      </c>
      <c r="B1895" s="3" t="s">
        <v>65</v>
      </c>
      <c r="C1895" s="4">
        <v>46235</v>
      </c>
      <c r="D1895" s="4">
        <v>46265</v>
      </c>
      <c r="E1895" s="3" t="s">
        <v>260</v>
      </c>
      <c r="F1895" s="3" t="s">
        <v>262</v>
      </c>
      <c r="G1895" s="5">
        <v>4.0000000000000001E-3</v>
      </c>
      <c r="H1895" s="6" t="s">
        <v>76</v>
      </c>
      <c r="I1895" s="3" t="s">
        <v>45</v>
      </c>
    </row>
    <row r="1896" spans="1:9" ht="48" customHeight="1">
      <c r="A1896" s="3" t="s">
        <v>66</v>
      </c>
      <c r="B1896" s="3" t="s">
        <v>65</v>
      </c>
      <c r="C1896" s="4">
        <v>46235</v>
      </c>
      <c r="D1896" s="4">
        <v>46265</v>
      </c>
      <c r="E1896" s="3" t="s">
        <v>260</v>
      </c>
      <c r="F1896" s="3" t="s">
        <v>261</v>
      </c>
      <c r="G1896" s="5">
        <v>4.0000000000000001E-3</v>
      </c>
      <c r="H1896" s="6" t="s">
        <v>76</v>
      </c>
      <c r="I1896" s="3" t="s">
        <v>45</v>
      </c>
    </row>
    <row r="1897" spans="1:9" ht="48" customHeight="1">
      <c r="A1897" s="3" t="s">
        <v>66</v>
      </c>
      <c r="B1897" s="3" t="s">
        <v>65</v>
      </c>
      <c r="C1897" s="4">
        <v>46235</v>
      </c>
      <c r="D1897" s="4">
        <v>46265</v>
      </c>
      <c r="E1897" s="3" t="s">
        <v>260</v>
      </c>
      <c r="F1897" s="3" t="s">
        <v>263</v>
      </c>
      <c r="G1897" s="5">
        <v>2E-3</v>
      </c>
      <c r="H1897" s="6" t="s">
        <v>76</v>
      </c>
      <c r="I1897" s="3" t="s">
        <v>45</v>
      </c>
    </row>
    <row r="1898" spans="1:9" ht="48" customHeight="1">
      <c r="A1898" s="3" t="s">
        <v>66</v>
      </c>
      <c r="B1898" s="3" t="s">
        <v>65</v>
      </c>
      <c r="C1898" s="4">
        <v>46235</v>
      </c>
      <c r="D1898" s="4">
        <v>46265</v>
      </c>
      <c r="E1898" s="3" t="s">
        <v>260</v>
      </c>
      <c r="F1898" s="3" t="s">
        <v>232</v>
      </c>
      <c r="G1898" s="5">
        <v>2E-3</v>
      </c>
      <c r="H1898" s="6" t="s">
        <v>76</v>
      </c>
      <c r="I1898" s="3" t="s">
        <v>45</v>
      </c>
    </row>
    <row r="1899" spans="1:9" ht="48" customHeight="1">
      <c r="A1899" s="3" t="s">
        <v>66</v>
      </c>
      <c r="B1899" s="3" t="s">
        <v>65</v>
      </c>
      <c r="C1899" s="4">
        <v>46235</v>
      </c>
      <c r="D1899" s="4">
        <v>46265</v>
      </c>
      <c r="E1899" s="3" t="s">
        <v>260</v>
      </c>
      <c r="F1899" s="3" t="s">
        <v>265</v>
      </c>
      <c r="G1899" s="5">
        <v>2E-3</v>
      </c>
      <c r="H1899" s="6" t="s">
        <v>76</v>
      </c>
      <c r="I1899" s="3" t="s">
        <v>45</v>
      </c>
    </row>
    <row r="1900" spans="1:9" ht="48" customHeight="1">
      <c r="A1900" s="3" t="s">
        <v>66</v>
      </c>
      <c r="B1900" s="3" t="s">
        <v>65</v>
      </c>
      <c r="C1900" s="4">
        <v>46235</v>
      </c>
      <c r="D1900" s="4">
        <v>46265</v>
      </c>
      <c r="E1900" s="3" t="s">
        <v>260</v>
      </c>
      <c r="F1900" s="3" t="s">
        <v>266</v>
      </c>
      <c r="G1900" s="5">
        <v>1E-3</v>
      </c>
      <c r="H1900" s="6" t="s">
        <v>76</v>
      </c>
      <c r="I1900" s="3" t="s">
        <v>45</v>
      </c>
    </row>
    <row r="1901" spans="1:9" ht="48" customHeight="1">
      <c r="A1901" s="3" t="s">
        <v>66</v>
      </c>
      <c r="B1901" s="3" t="s">
        <v>65</v>
      </c>
      <c r="C1901" s="4">
        <v>46235</v>
      </c>
      <c r="D1901" s="4">
        <v>46265</v>
      </c>
      <c r="E1901" s="3" t="s">
        <v>260</v>
      </c>
      <c r="F1901" s="3" t="s">
        <v>264</v>
      </c>
      <c r="G1901" s="5">
        <v>1E-3</v>
      </c>
      <c r="H1901" s="6" t="s">
        <v>76</v>
      </c>
      <c r="I1901" s="3" t="s">
        <v>45</v>
      </c>
    </row>
    <row r="1902" spans="1:9" ht="48" customHeight="1">
      <c r="A1902" s="3" t="s">
        <v>66</v>
      </c>
      <c r="B1902" s="3" t="s">
        <v>65</v>
      </c>
      <c r="C1902" s="4">
        <v>46235</v>
      </c>
      <c r="D1902" s="4">
        <v>46265</v>
      </c>
      <c r="E1902" s="3" t="s">
        <v>260</v>
      </c>
      <c r="F1902" s="3" t="s">
        <v>267</v>
      </c>
      <c r="G1902" s="5">
        <v>1E-3</v>
      </c>
      <c r="H1902" s="6" t="s">
        <v>76</v>
      </c>
      <c r="I1902" s="3" t="s">
        <v>45</v>
      </c>
    </row>
    <row r="1903" spans="1:9" ht="48" customHeight="1">
      <c r="A1903" s="3" t="s">
        <v>66</v>
      </c>
      <c r="B1903" s="3" t="s">
        <v>65</v>
      </c>
      <c r="C1903" s="4">
        <v>46235</v>
      </c>
      <c r="D1903" s="4">
        <v>46265</v>
      </c>
      <c r="E1903" s="3" t="s">
        <v>260</v>
      </c>
      <c r="F1903" s="3" t="s">
        <v>268</v>
      </c>
      <c r="G1903" s="5">
        <v>1E-3</v>
      </c>
      <c r="H1903" s="6" t="s">
        <v>76</v>
      </c>
      <c r="I1903" s="3" t="s">
        <v>45</v>
      </c>
    </row>
    <row r="1904" spans="1:9" ht="48" customHeight="1">
      <c r="A1904" s="3" t="s">
        <v>66</v>
      </c>
      <c r="B1904" s="3" t="s">
        <v>65</v>
      </c>
      <c r="C1904" s="4">
        <v>46235</v>
      </c>
      <c r="D1904" s="4">
        <v>46265</v>
      </c>
      <c r="E1904" s="3" t="s">
        <v>260</v>
      </c>
      <c r="F1904" s="3" t="s">
        <v>234</v>
      </c>
      <c r="G1904" s="5">
        <v>1E-3</v>
      </c>
      <c r="H1904" s="6" t="s">
        <v>76</v>
      </c>
      <c r="I1904" s="3" t="s">
        <v>45</v>
      </c>
    </row>
    <row r="1905" spans="1:9" ht="48" customHeight="1">
      <c r="A1905" s="3" t="s">
        <v>66</v>
      </c>
      <c r="B1905" s="3" t="s">
        <v>65</v>
      </c>
      <c r="C1905" s="4">
        <v>46235</v>
      </c>
      <c r="D1905" s="4">
        <v>46265</v>
      </c>
      <c r="E1905" s="3" t="s">
        <v>260</v>
      </c>
      <c r="F1905" s="3" t="s">
        <v>271</v>
      </c>
      <c r="G1905" s="5">
        <v>1E-3</v>
      </c>
      <c r="H1905" s="6" t="s">
        <v>76</v>
      </c>
      <c r="I1905" s="3" t="s">
        <v>45</v>
      </c>
    </row>
    <row r="1906" spans="1:9" ht="48" customHeight="1">
      <c r="A1906" s="3" t="s">
        <v>66</v>
      </c>
      <c r="B1906" s="3" t="s">
        <v>65</v>
      </c>
      <c r="C1906" s="4">
        <v>46235</v>
      </c>
      <c r="D1906" s="4">
        <v>46265</v>
      </c>
      <c r="E1906" s="3" t="s">
        <v>260</v>
      </c>
      <c r="F1906" s="3" t="s">
        <v>272</v>
      </c>
      <c r="G1906" s="5">
        <v>1E-3</v>
      </c>
      <c r="H1906" s="6" t="s">
        <v>76</v>
      </c>
      <c r="I1906" s="3" t="s">
        <v>45</v>
      </c>
    </row>
    <row r="1907" spans="1:9" ht="48" customHeight="1">
      <c r="A1907" s="3" t="s">
        <v>66</v>
      </c>
      <c r="B1907" s="3" t="s">
        <v>65</v>
      </c>
      <c r="C1907" s="4">
        <v>46235</v>
      </c>
      <c r="D1907" s="4">
        <v>46265</v>
      </c>
      <c r="E1907" s="3" t="s">
        <v>260</v>
      </c>
      <c r="F1907" s="3" t="s">
        <v>282</v>
      </c>
      <c r="G1907" s="5">
        <v>1E-3</v>
      </c>
      <c r="H1907" s="6" t="s">
        <v>76</v>
      </c>
      <c r="I1907" s="3" t="s">
        <v>45</v>
      </c>
    </row>
    <row r="1908" spans="1:9" ht="48" customHeight="1">
      <c r="A1908" s="3" t="s">
        <v>66</v>
      </c>
      <c r="B1908" s="3" t="s">
        <v>65</v>
      </c>
      <c r="C1908" s="4">
        <v>46235</v>
      </c>
      <c r="D1908" s="4">
        <v>46265</v>
      </c>
      <c r="E1908" s="3" t="s">
        <v>260</v>
      </c>
      <c r="F1908" s="3" t="s">
        <v>283</v>
      </c>
      <c r="G1908" s="5">
        <v>1E-3</v>
      </c>
      <c r="H1908" s="6" t="s">
        <v>76</v>
      </c>
      <c r="I1908" s="3" t="s">
        <v>45</v>
      </c>
    </row>
    <row r="1909" spans="1:9" ht="48" customHeight="1">
      <c r="A1909" s="3" t="s">
        <v>66</v>
      </c>
      <c r="B1909" s="3" t="s">
        <v>65</v>
      </c>
      <c r="C1909" s="4">
        <v>46235</v>
      </c>
      <c r="D1909" s="4">
        <v>46265</v>
      </c>
      <c r="E1909" s="3" t="s">
        <v>260</v>
      </c>
      <c r="F1909" s="3" t="s">
        <v>273</v>
      </c>
      <c r="G1909" s="5">
        <v>0</v>
      </c>
      <c r="H1909" s="6" t="s">
        <v>76</v>
      </c>
      <c r="I1909" s="3" t="s">
        <v>45</v>
      </c>
    </row>
    <row r="1910" spans="1:9" ht="48" customHeight="1">
      <c r="A1910" s="3" t="s">
        <v>66</v>
      </c>
      <c r="B1910" s="3" t="s">
        <v>65</v>
      </c>
      <c r="C1910" s="4">
        <v>46235</v>
      </c>
      <c r="D1910" s="4">
        <v>46265</v>
      </c>
      <c r="E1910" s="3" t="s">
        <v>260</v>
      </c>
      <c r="F1910" s="3" t="s">
        <v>274</v>
      </c>
      <c r="G1910" s="5">
        <v>0</v>
      </c>
      <c r="H1910" s="6" t="s">
        <v>76</v>
      </c>
      <c r="I1910" s="3" t="s">
        <v>45</v>
      </c>
    </row>
    <row r="1911" spans="1:9" ht="48" customHeight="1">
      <c r="A1911" s="3" t="s">
        <v>66</v>
      </c>
      <c r="B1911" s="3" t="s">
        <v>65</v>
      </c>
      <c r="C1911" s="4">
        <v>46235</v>
      </c>
      <c r="D1911" s="4">
        <v>46265</v>
      </c>
      <c r="E1911" s="3" t="s">
        <v>260</v>
      </c>
      <c r="F1911" s="3" t="s">
        <v>275</v>
      </c>
      <c r="G1911" s="5">
        <v>0</v>
      </c>
      <c r="H1911" s="6" t="s">
        <v>76</v>
      </c>
      <c r="I1911" s="3" t="s">
        <v>45</v>
      </c>
    </row>
    <row r="1912" spans="1:9" ht="48" customHeight="1">
      <c r="A1912" s="3" t="s">
        <v>66</v>
      </c>
      <c r="B1912" s="3" t="s">
        <v>65</v>
      </c>
      <c r="C1912" s="4">
        <v>46235</v>
      </c>
      <c r="D1912" s="4">
        <v>46265</v>
      </c>
      <c r="E1912" s="3" t="s">
        <v>260</v>
      </c>
      <c r="F1912" s="3" t="s">
        <v>276</v>
      </c>
      <c r="G1912" s="5">
        <v>0</v>
      </c>
      <c r="H1912" s="6" t="s">
        <v>76</v>
      </c>
      <c r="I1912" s="3" t="s">
        <v>45</v>
      </c>
    </row>
    <row r="1913" spans="1:9" ht="48" customHeight="1">
      <c r="A1913" s="3" t="s">
        <v>66</v>
      </c>
      <c r="B1913" s="3" t="s">
        <v>65</v>
      </c>
      <c r="C1913" s="4">
        <v>46235</v>
      </c>
      <c r="D1913" s="4">
        <v>46265</v>
      </c>
      <c r="E1913" s="3" t="s">
        <v>260</v>
      </c>
      <c r="F1913" s="3" t="s">
        <v>277</v>
      </c>
      <c r="G1913" s="5">
        <v>0</v>
      </c>
      <c r="H1913" s="6" t="s">
        <v>76</v>
      </c>
      <c r="I1913" s="3" t="s">
        <v>45</v>
      </c>
    </row>
    <row r="1914" spans="1:9" ht="48" customHeight="1">
      <c r="A1914" s="3" t="s">
        <v>66</v>
      </c>
      <c r="B1914" s="3" t="s">
        <v>65</v>
      </c>
      <c r="C1914" s="4">
        <v>46235</v>
      </c>
      <c r="D1914" s="4">
        <v>46265</v>
      </c>
      <c r="E1914" s="3" t="s">
        <v>260</v>
      </c>
      <c r="F1914" s="3" t="s">
        <v>278</v>
      </c>
      <c r="G1914" s="5">
        <v>0</v>
      </c>
      <c r="H1914" s="6" t="s">
        <v>76</v>
      </c>
      <c r="I1914" s="3" t="s">
        <v>45</v>
      </c>
    </row>
    <row r="1915" spans="1:9" ht="48" customHeight="1">
      <c r="A1915" s="3" t="s">
        <v>66</v>
      </c>
      <c r="B1915" s="3" t="s">
        <v>65</v>
      </c>
      <c r="C1915" s="4">
        <v>46235</v>
      </c>
      <c r="D1915" s="4">
        <v>46265</v>
      </c>
      <c r="E1915" s="3" t="s">
        <v>260</v>
      </c>
      <c r="F1915" s="3" t="s">
        <v>269</v>
      </c>
      <c r="G1915" s="5">
        <v>0</v>
      </c>
      <c r="H1915" s="6" t="s">
        <v>76</v>
      </c>
      <c r="I1915" s="3" t="s">
        <v>45</v>
      </c>
    </row>
    <row r="1916" spans="1:9" ht="48" customHeight="1">
      <c r="A1916" s="3" t="s">
        <v>66</v>
      </c>
      <c r="B1916" s="3" t="s">
        <v>65</v>
      </c>
      <c r="C1916" s="4">
        <v>46235</v>
      </c>
      <c r="D1916" s="4">
        <v>46265</v>
      </c>
      <c r="E1916" s="3" t="s">
        <v>260</v>
      </c>
      <c r="F1916" s="3" t="s">
        <v>279</v>
      </c>
      <c r="G1916" s="5">
        <v>0</v>
      </c>
      <c r="H1916" s="6" t="s">
        <v>76</v>
      </c>
      <c r="I1916" s="3" t="s">
        <v>45</v>
      </c>
    </row>
    <row r="1917" spans="1:9" ht="48" customHeight="1">
      <c r="A1917" s="3" t="s">
        <v>66</v>
      </c>
      <c r="B1917" s="3" t="s">
        <v>65</v>
      </c>
      <c r="C1917" s="4">
        <v>46235</v>
      </c>
      <c r="D1917" s="4">
        <v>46265</v>
      </c>
      <c r="E1917" s="3" t="s">
        <v>260</v>
      </c>
      <c r="F1917" s="3" t="s">
        <v>270</v>
      </c>
      <c r="G1917" s="5">
        <v>0</v>
      </c>
      <c r="H1917" s="6" t="s">
        <v>76</v>
      </c>
      <c r="I1917" s="3" t="s">
        <v>45</v>
      </c>
    </row>
    <row r="1918" spans="1:9" ht="48" customHeight="1">
      <c r="A1918" s="3" t="s">
        <v>66</v>
      </c>
      <c r="B1918" s="3" t="s">
        <v>65</v>
      </c>
      <c r="C1918" s="4">
        <v>46235</v>
      </c>
      <c r="D1918" s="4">
        <v>46265</v>
      </c>
      <c r="E1918" s="3" t="s">
        <v>260</v>
      </c>
      <c r="F1918" s="3" t="s">
        <v>280</v>
      </c>
      <c r="G1918" s="5">
        <v>0</v>
      </c>
      <c r="H1918" s="6" t="s">
        <v>76</v>
      </c>
      <c r="I1918" s="3" t="s">
        <v>45</v>
      </c>
    </row>
    <row r="1919" spans="1:9" ht="48" customHeight="1">
      <c r="A1919" s="3" t="s">
        <v>66</v>
      </c>
      <c r="B1919" s="3" t="s">
        <v>65</v>
      </c>
      <c r="C1919" s="4">
        <v>46235</v>
      </c>
      <c r="D1919" s="4">
        <v>46265</v>
      </c>
      <c r="E1919" s="3" t="s">
        <v>260</v>
      </c>
      <c r="F1919" s="3" t="s">
        <v>281</v>
      </c>
      <c r="G1919" s="5">
        <v>0</v>
      </c>
      <c r="H1919" s="6" t="s">
        <v>76</v>
      </c>
      <c r="I1919" s="3" t="s">
        <v>45</v>
      </c>
    </row>
    <row r="1920" spans="1:9" ht="48" customHeight="1">
      <c r="A1920" s="3" t="s">
        <v>66</v>
      </c>
      <c r="B1920" s="3" t="s">
        <v>65</v>
      </c>
      <c r="C1920" s="4">
        <v>46235</v>
      </c>
      <c r="D1920" s="4">
        <v>46265</v>
      </c>
      <c r="E1920" s="3" t="s">
        <v>260</v>
      </c>
      <c r="F1920" s="3" t="s">
        <v>284</v>
      </c>
      <c r="G1920" s="5">
        <v>0</v>
      </c>
      <c r="H1920" s="6" t="s">
        <v>76</v>
      </c>
      <c r="I1920" s="3" t="s">
        <v>45</v>
      </c>
    </row>
    <row r="1921" spans="1:9" ht="48" customHeight="1">
      <c r="A1921" s="3" t="s">
        <v>66</v>
      </c>
      <c r="B1921" s="3" t="s">
        <v>65</v>
      </c>
      <c r="C1921" s="4">
        <v>46235</v>
      </c>
      <c r="D1921" s="4">
        <v>46265</v>
      </c>
      <c r="E1921" s="3" t="s">
        <v>260</v>
      </c>
      <c r="F1921" s="3" t="s">
        <v>285</v>
      </c>
      <c r="G1921" s="5">
        <v>0</v>
      </c>
      <c r="H1921" s="6" t="s">
        <v>76</v>
      </c>
      <c r="I1921" s="3" t="s">
        <v>45</v>
      </c>
    </row>
    <row r="1922" spans="1:9" ht="48" customHeight="1">
      <c r="A1922" s="3" t="s">
        <v>66</v>
      </c>
      <c r="B1922" s="3" t="s">
        <v>65</v>
      </c>
      <c r="C1922" s="4">
        <v>46235</v>
      </c>
      <c r="D1922" s="4">
        <v>46265</v>
      </c>
      <c r="E1922" s="3" t="s">
        <v>286</v>
      </c>
      <c r="F1922" s="3" t="s">
        <v>287</v>
      </c>
      <c r="G1922" s="5">
        <v>5.0000000000000001E-3</v>
      </c>
      <c r="H1922" s="6" t="s">
        <v>76</v>
      </c>
      <c r="I1922" s="3" t="s">
        <v>45</v>
      </c>
    </row>
    <row r="1923" spans="1:9" ht="48" customHeight="1">
      <c r="A1923" s="3" t="s">
        <v>66</v>
      </c>
      <c r="B1923" s="3" t="s">
        <v>65</v>
      </c>
      <c r="C1923" s="4">
        <v>46235</v>
      </c>
      <c r="D1923" s="4">
        <v>46265</v>
      </c>
      <c r="E1923" s="3" t="s">
        <v>286</v>
      </c>
      <c r="F1923" s="3" t="s">
        <v>288</v>
      </c>
      <c r="G1923" s="5">
        <v>4.0000000000000001E-3</v>
      </c>
      <c r="H1923" s="6" t="s">
        <v>76</v>
      </c>
      <c r="I1923" s="3" t="s">
        <v>45</v>
      </c>
    </row>
    <row r="1924" spans="1:9" ht="48" customHeight="1">
      <c r="A1924" s="3" t="s">
        <v>66</v>
      </c>
      <c r="B1924" s="3" t="s">
        <v>65</v>
      </c>
      <c r="C1924" s="4">
        <v>46235</v>
      </c>
      <c r="D1924" s="4">
        <v>46265</v>
      </c>
      <c r="E1924" s="3" t="s">
        <v>286</v>
      </c>
      <c r="F1924" s="3" t="s">
        <v>289</v>
      </c>
      <c r="G1924" s="5">
        <v>3.0000000000000001E-3</v>
      </c>
      <c r="H1924" s="6" t="s">
        <v>76</v>
      </c>
      <c r="I1924" s="3" t="s">
        <v>45</v>
      </c>
    </row>
    <row r="1925" spans="1:9" ht="48" customHeight="1">
      <c r="A1925" s="3" t="s">
        <v>66</v>
      </c>
      <c r="B1925" s="3" t="s">
        <v>65</v>
      </c>
      <c r="C1925" s="4">
        <v>46235</v>
      </c>
      <c r="D1925" s="4">
        <v>46265</v>
      </c>
      <c r="E1925" s="3" t="s">
        <v>286</v>
      </c>
      <c r="F1925" s="3" t="s">
        <v>290</v>
      </c>
      <c r="G1925" s="5">
        <v>2E-3</v>
      </c>
      <c r="H1925" s="6" t="s">
        <v>76</v>
      </c>
      <c r="I1925" s="3" t="s">
        <v>45</v>
      </c>
    </row>
    <row r="1926" spans="1:9" ht="48" customHeight="1">
      <c r="A1926" s="3" t="s">
        <v>66</v>
      </c>
      <c r="B1926" s="3" t="s">
        <v>65</v>
      </c>
      <c r="C1926" s="4">
        <v>46235</v>
      </c>
      <c r="D1926" s="4">
        <v>46265</v>
      </c>
      <c r="E1926" s="3" t="s">
        <v>286</v>
      </c>
      <c r="F1926" s="3" t="s">
        <v>291</v>
      </c>
      <c r="G1926" s="5">
        <v>2E-3</v>
      </c>
      <c r="H1926" s="6" t="s">
        <v>76</v>
      </c>
      <c r="I1926" s="3" t="s">
        <v>45</v>
      </c>
    </row>
    <row r="1927" spans="1:9" ht="48" customHeight="1">
      <c r="A1927" s="3" t="s">
        <v>66</v>
      </c>
      <c r="B1927" s="3" t="s">
        <v>65</v>
      </c>
      <c r="C1927" s="4">
        <v>46235</v>
      </c>
      <c r="D1927" s="4">
        <v>46265</v>
      </c>
      <c r="E1927" s="3" t="s">
        <v>286</v>
      </c>
      <c r="F1927" s="3" t="s">
        <v>297</v>
      </c>
      <c r="G1927" s="5">
        <v>2E-3</v>
      </c>
      <c r="H1927" s="6" t="s">
        <v>76</v>
      </c>
      <c r="I1927" s="3" t="s">
        <v>45</v>
      </c>
    </row>
    <row r="1928" spans="1:9" ht="48" customHeight="1">
      <c r="A1928" s="3" t="s">
        <v>66</v>
      </c>
      <c r="B1928" s="3" t="s">
        <v>65</v>
      </c>
      <c r="C1928" s="4">
        <v>46235</v>
      </c>
      <c r="D1928" s="4">
        <v>46265</v>
      </c>
      <c r="E1928" s="3" t="s">
        <v>286</v>
      </c>
      <c r="F1928" s="3" t="s">
        <v>292</v>
      </c>
      <c r="G1928" s="5">
        <v>2E-3</v>
      </c>
      <c r="H1928" s="6" t="s">
        <v>76</v>
      </c>
      <c r="I1928" s="3" t="s">
        <v>45</v>
      </c>
    </row>
    <row r="1929" spans="1:9" ht="48" customHeight="1">
      <c r="A1929" s="3" t="s">
        <v>66</v>
      </c>
      <c r="B1929" s="3" t="s">
        <v>65</v>
      </c>
      <c r="C1929" s="4">
        <v>46235</v>
      </c>
      <c r="D1929" s="4">
        <v>46265</v>
      </c>
      <c r="E1929" s="3" t="s">
        <v>286</v>
      </c>
      <c r="F1929" s="3" t="s">
        <v>293</v>
      </c>
      <c r="G1929" s="5">
        <v>1E-3</v>
      </c>
      <c r="H1929" s="6" t="s">
        <v>76</v>
      </c>
      <c r="I1929" s="3" t="s">
        <v>45</v>
      </c>
    </row>
    <row r="1930" spans="1:9" ht="48" customHeight="1">
      <c r="A1930" s="3" t="s">
        <v>66</v>
      </c>
      <c r="B1930" s="3" t="s">
        <v>65</v>
      </c>
      <c r="C1930" s="4">
        <v>46235</v>
      </c>
      <c r="D1930" s="4">
        <v>46265</v>
      </c>
      <c r="E1930" s="3" t="s">
        <v>286</v>
      </c>
      <c r="F1930" s="3" t="s">
        <v>295</v>
      </c>
      <c r="G1930" s="5">
        <v>1E-3</v>
      </c>
      <c r="H1930" s="6" t="s">
        <v>76</v>
      </c>
      <c r="I1930" s="3" t="s">
        <v>45</v>
      </c>
    </row>
    <row r="1931" spans="1:9" ht="48" customHeight="1">
      <c r="A1931" s="3" t="s">
        <v>66</v>
      </c>
      <c r="B1931" s="3" t="s">
        <v>65</v>
      </c>
      <c r="C1931" s="4">
        <v>46235</v>
      </c>
      <c r="D1931" s="4">
        <v>46265</v>
      </c>
      <c r="E1931" s="3" t="s">
        <v>286</v>
      </c>
      <c r="F1931" s="3" t="s">
        <v>296</v>
      </c>
      <c r="G1931" s="5">
        <v>1E-3</v>
      </c>
      <c r="H1931" s="6" t="s">
        <v>76</v>
      </c>
      <c r="I1931" s="3" t="s">
        <v>45</v>
      </c>
    </row>
    <row r="1932" spans="1:9" ht="48" customHeight="1">
      <c r="A1932" s="3" t="s">
        <v>66</v>
      </c>
      <c r="B1932" s="3" t="s">
        <v>65</v>
      </c>
      <c r="C1932" s="4">
        <v>46235</v>
      </c>
      <c r="D1932" s="4">
        <v>46265</v>
      </c>
      <c r="E1932" s="3" t="s">
        <v>286</v>
      </c>
      <c r="F1932" s="3" t="s">
        <v>298</v>
      </c>
      <c r="G1932" s="5">
        <v>1E-3</v>
      </c>
      <c r="H1932" s="6" t="s">
        <v>76</v>
      </c>
      <c r="I1932" s="3" t="s">
        <v>45</v>
      </c>
    </row>
    <row r="1933" spans="1:9" ht="48" customHeight="1">
      <c r="A1933" s="3" t="s">
        <v>66</v>
      </c>
      <c r="B1933" s="3" t="s">
        <v>65</v>
      </c>
      <c r="C1933" s="4">
        <v>46235</v>
      </c>
      <c r="D1933" s="4">
        <v>46265</v>
      </c>
      <c r="E1933" s="3" t="s">
        <v>286</v>
      </c>
      <c r="F1933" s="3" t="s">
        <v>294</v>
      </c>
      <c r="G1933" s="5">
        <v>0</v>
      </c>
      <c r="H1933" s="6" t="s">
        <v>76</v>
      </c>
      <c r="I1933" s="3" t="s">
        <v>45</v>
      </c>
    </row>
    <row r="1934" spans="1:9" ht="48" customHeight="1">
      <c r="A1934" s="3" t="s">
        <v>66</v>
      </c>
      <c r="B1934" s="3" t="s">
        <v>65</v>
      </c>
      <c r="C1934" s="4">
        <v>46235</v>
      </c>
      <c r="D1934" s="4">
        <v>46265</v>
      </c>
      <c r="E1934" s="3" t="s">
        <v>286</v>
      </c>
      <c r="F1934" s="3" t="s">
        <v>299</v>
      </c>
      <c r="G1934" s="5">
        <v>0</v>
      </c>
      <c r="H1934" s="6" t="s">
        <v>76</v>
      </c>
      <c r="I1934" s="3" t="s">
        <v>45</v>
      </c>
    </row>
    <row r="1935" spans="1:9" ht="48" customHeight="1">
      <c r="A1935" s="3" t="s">
        <v>66</v>
      </c>
      <c r="B1935" s="3" t="s">
        <v>65</v>
      </c>
      <c r="C1935" s="4">
        <v>46235</v>
      </c>
      <c r="D1935" s="4">
        <v>46265</v>
      </c>
      <c r="E1935" s="3" t="s">
        <v>286</v>
      </c>
      <c r="F1935" s="3" t="s">
        <v>300</v>
      </c>
      <c r="G1935" s="5">
        <v>0</v>
      </c>
      <c r="H1935" s="6" t="s">
        <v>76</v>
      </c>
      <c r="I1935" s="3" t="s">
        <v>45</v>
      </c>
    </row>
    <row r="1936" spans="1:9" ht="48" customHeight="1">
      <c r="A1936" s="3" t="s">
        <v>66</v>
      </c>
      <c r="B1936" s="3" t="s">
        <v>65</v>
      </c>
      <c r="C1936" s="4">
        <v>46235</v>
      </c>
      <c r="D1936" s="4">
        <v>46265</v>
      </c>
      <c r="E1936" s="3" t="s">
        <v>301</v>
      </c>
      <c r="F1936" s="3" t="s">
        <v>301</v>
      </c>
      <c r="G1936" s="5">
        <v>1.7000000000000001E-2</v>
      </c>
      <c r="H1936" s="6" t="s">
        <v>76</v>
      </c>
      <c r="I1936" s="3" t="s">
        <v>45</v>
      </c>
    </row>
    <row r="1937" spans="1:9" ht="48" customHeight="1">
      <c r="A1937" s="3" t="s">
        <v>66</v>
      </c>
      <c r="B1937" s="3" t="s">
        <v>65</v>
      </c>
      <c r="C1937" s="4">
        <v>46235</v>
      </c>
      <c r="D1937" s="4">
        <v>46265</v>
      </c>
      <c r="E1937" s="3" t="s">
        <v>302</v>
      </c>
      <c r="F1937" s="3" t="s">
        <v>304</v>
      </c>
      <c r="G1937" s="5">
        <v>1E-3</v>
      </c>
      <c r="H1937" s="6" t="s">
        <v>76</v>
      </c>
      <c r="I1937" s="3" t="s">
        <v>45</v>
      </c>
    </row>
    <row r="1938" spans="1:9" ht="48" customHeight="1">
      <c r="A1938" s="3" t="s">
        <v>66</v>
      </c>
      <c r="B1938" s="3" t="s">
        <v>65</v>
      </c>
      <c r="C1938" s="4">
        <v>46235</v>
      </c>
      <c r="D1938" s="4">
        <v>46265</v>
      </c>
      <c r="E1938" s="3" t="s">
        <v>302</v>
      </c>
      <c r="F1938" s="3" t="s">
        <v>306</v>
      </c>
      <c r="G1938" s="5">
        <v>1E-3</v>
      </c>
      <c r="H1938" s="6" t="s">
        <v>76</v>
      </c>
      <c r="I1938" s="3" t="s">
        <v>45</v>
      </c>
    </row>
    <row r="1939" spans="1:9" ht="48" customHeight="1">
      <c r="A1939" s="3" t="s">
        <v>66</v>
      </c>
      <c r="B1939" s="3" t="s">
        <v>65</v>
      </c>
      <c r="C1939" s="4">
        <v>46235</v>
      </c>
      <c r="D1939" s="4">
        <v>46265</v>
      </c>
      <c r="E1939" s="3" t="s">
        <v>302</v>
      </c>
      <c r="F1939" s="3" t="s">
        <v>307</v>
      </c>
      <c r="G1939" s="5">
        <v>1E-3</v>
      </c>
      <c r="H1939" s="6" t="s">
        <v>76</v>
      </c>
      <c r="I1939" s="3" t="s">
        <v>45</v>
      </c>
    </row>
    <row r="1940" spans="1:9" ht="48" customHeight="1">
      <c r="A1940" s="3" t="s">
        <v>66</v>
      </c>
      <c r="B1940" s="3" t="s">
        <v>65</v>
      </c>
      <c r="C1940" s="4">
        <v>46235</v>
      </c>
      <c r="D1940" s="4">
        <v>46265</v>
      </c>
      <c r="E1940" s="3" t="s">
        <v>302</v>
      </c>
      <c r="F1940" s="3" t="s">
        <v>308</v>
      </c>
      <c r="G1940" s="5">
        <v>1E-3</v>
      </c>
      <c r="H1940" s="6" t="s">
        <v>76</v>
      </c>
      <c r="I1940" s="3" t="s">
        <v>45</v>
      </c>
    </row>
    <row r="1941" spans="1:9" ht="48" customHeight="1">
      <c r="A1941" s="3" t="s">
        <v>66</v>
      </c>
      <c r="B1941" s="3" t="s">
        <v>65</v>
      </c>
      <c r="C1941" s="4">
        <v>46235</v>
      </c>
      <c r="D1941" s="4">
        <v>46265</v>
      </c>
      <c r="E1941" s="3" t="s">
        <v>302</v>
      </c>
      <c r="F1941" s="3" t="s">
        <v>309</v>
      </c>
      <c r="G1941" s="5">
        <v>1E-3</v>
      </c>
      <c r="H1941" s="6" t="s">
        <v>76</v>
      </c>
      <c r="I1941" s="3" t="s">
        <v>45</v>
      </c>
    </row>
    <row r="1942" spans="1:9" ht="48" customHeight="1">
      <c r="A1942" s="3" t="s">
        <v>66</v>
      </c>
      <c r="B1942" s="3" t="s">
        <v>65</v>
      </c>
      <c r="C1942" s="4">
        <v>46235</v>
      </c>
      <c r="D1942" s="4">
        <v>46265</v>
      </c>
      <c r="E1942" s="3" t="s">
        <v>302</v>
      </c>
      <c r="F1942" s="3" t="s">
        <v>303</v>
      </c>
      <c r="G1942" s="5">
        <v>0</v>
      </c>
      <c r="H1942" s="6" t="s">
        <v>76</v>
      </c>
      <c r="I1942" s="3" t="s">
        <v>45</v>
      </c>
    </row>
    <row r="1943" spans="1:9" ht="48" customHeight="1">
      <c r="A1943" s="3" t="s">
        <v>66</v>
      </c>
      <c r="B1943" s="3" t="s">
        <v>65</v>
      </c>
      <c r="C1943" s="4">
        <v>46235</v>
      </c>
      <c r="D1943" s="4">
        <v>46265</v>
      </c>
      <c r="E1943" s="3" t="s">
        <v>302</v>
      </c>
      <c r="F1943" s="3" t="s">
        <v>310</v>
      </c>
      <c r="G1943" s="5">
        <v>0</v>
      </c>
      <c r="H1943" s="6" t="s">
        <v>76</v>
      </c>
      <c r="I1943" s="3" t="s">
        <v>45</v>
      </c>
    </row>
    <row r="1944" spans="1:9" ht="48" customHeight="1">
      <c r="A1944" s="3" t="s">
        <v>66</v>
      </c>
      <c r="B1944" s="3" t="s">
        <v>65</v>
      </c>
      <c r="C1944" s="4">
        <v>46235</v>
      </c>
      <c r="D1944" s="4">
        <v>46265</v>
      </c>
      <c r="E1944" s="3" t="s">
        <v>302</v>
      </c>
      <c r="F1944" s="3" t="s">
        <v>311</v>
      </c>
      <c r="G1944" s="5">
        <v>0</v>
      </c>
      <c r="H1944" s="6" t="s">
        <v>76</v>
      </c>
      <c r="I1944" s="3" t="s">
        <v>45</v>
      </c>
    </row>
    <row r="1945" spans="1:9" ht="48" customHeight="1">
      <c r="A1945" s="3" t="s">
        <v>66</v>
      </c>
      <c r="B1945" s="3" t="s">
        <v>65</v>
      </c>
      <c r="C1945" s="4">
        <v>46235</v>
      </c>
      <c r="D1945" s="4">
        <v>46265</v>
      </c>
      <c r="E1945" s="3" t="s">
        <v>302</v>
      </c>
      <c r="F1945" s="3" t="s">
        <v>305</v>
      </c>
      <c r="G1945" s="5">
        <v>0</v>
      </c>
      <c r="H1945" s="6" t="s">
        <v>76</v>
      </c>
      <c r="I1945" s="3" t="s">
        <v>45</v>
      </c>
    </row>
    <row r="1946" spans="1:9" ht="48" customHeight="1">
      <c r="A1946" s="3" t="s">
        <v>66</v>
      </c>
      <c r="B1946" s="3" t="s">
        <v>65</v>
      </c>
      <c r="C1946" s="4">
        <v>46235</v>
      </c>
      <c r="D1946" s="4">
        <v>46265</v>
      </c>
      <c r="E1946" s="3" t="s">
        <v>302</v>
      </c>
      <c r="F1946" s="3" t="s">
        <v>312</v>
      </c>
      <c r="G1946" s="5">
        <v>0</v>
      </c>
      <c r="H1946" s="6" t="s">
        <v>76</v>
      </c>
      <c r="I1946" s="3" t="s">
        <v>45</v>
      </c>
    </row>
    <row r="1947" spans="1:9" ht="48" customHeight="1">
      <c r="A1947" s="3" t="s">
        <v>66</v>
      </c>
      <c r="B1947" s="3" t="s">
        <v>65</v>
      </c>
      <c r="C1947" s="4">
        <v>46235</v>
      </c>
      <c r="D1947" s="4">
        <v>46265</v>
      </c>
      <c r="E1947" s="3" t="s">
        <v>302</v>
      </c>
      <c r="F1947" s="3" t="s">
        <v>313</v>
      </c>
      <c r="G1947" s="5">
        <v>0</v>
      </c>
      <c r="H1947" s="6" t="s">
        <v>76</v>
      </c>
      <c r="I1947" s="3" t="s">
        <v>45</v>
      </c>
    </row>
    <row r="1948" spans="1:9" ht="48" customHeight="1">
      <c r="A1948" s="3" t="s">
        <v>66</v>
      </c>
      <c r="B1948" s="3" t="s">
        <v>65</v>
      </c>
      <c r="C1948" s="4">
        <v>46235</v>
      </c>
      <c r="D1948" s="4">
        <v>46265</v>
      </c>
      <c r="E1948" s="3" t="s">
        <v>302</v>
      </c>
      <c r="F1948" s="3" t="s">
        <v>314</v>
      </c>
      <c r="G1948" s="5">
        <v>0</v>
      </c>
      <c r="H1948" s="6" t="s">
        <v>76</v>
      </c>
      <c r="I1948" s="3" t="s">
        <v>45</v>
      </c>
    </row>
    <row r="1949" spans="1:9" ht="48" customHeight="1">
      <c r="A1949" s="3" t="s">
        <v>66</v>
      </c>
      <c r="B1949" s="3" t="s">
        <v>65</v>
      </c>
      <c r="C1949" s="4">
        <v>46235</v>
      </c>
      <c r="D1949" s="4">
        <v>46265</v>
      </c>
      <c r="E1949" s="3" t="s">
        <v>302</v>
      </c>
      <c r="F1949" s="3" t="s">
        <v>315</v>
      </c>
      <c r="G1949" s="5">
        <v>0</v>
      </c>
      <c r="H1949" s="6" t="s">
        <v>76</v>
      </c>
      <c r="I1949" s="3" t="s">
        <v>45</v>
      </c>
    </row>
    <row r="1950" spans="1:9" ht="48" customHeight="1">
      <c r="A1950" s="3" t="s">
        <v>66</v>
      </c>
      <c r="B1950" s="3" t="s">
        <v>65</v>
      </c>
      <c r="C1950" s="4">
        <v>46235</v>
      </c>
      <c r="D1950" s="4">
        <v>46265</v>
      </c>
      <c r="E1950" s="3" t="s">
        <v>302</v>
      </c>
      <c r="F1950" s="3" t="s">
        <v>316</v>
      </c>
      <c r="G1950" s="5">
        <v>0</v>
      </c>
      <c r="H1950" s="6" t="s">
        <v>76</v>
      </c>
      <c r="I1950" s="3" t="s">
        <v>45</v>
      </c>
    </row>
    <row r="1951" spans="1:9" ht="48" customHeight="1">
      <c r="A1951" s="3" t="s">
        <v>66</v>
      </c>
      <c r="B1951" s="3" t="s">
        <v>65</v>
      </c>
      <c r="C1951" s="4">
        <v>46235</v>
      </c>
      <c r="D1951" s="4">
        <v>46265</v>
      </c>
      <c r="E1951" s="3" t="s">
        <v>302</v>
      </c>
      <c r="F1951" s="3" t="s">
        <v>317</v>
      </c>
      <c r="G1951" s="5">
        <v>0</v>
      </c>
      <c r="H1951" s="6" t="s">
        <v>76</v>
      </c>
      <c r="I1951" s="3" t="s">
        <v>45</v>
      </c>
    </row>
    <row r="1952" spans="1:9" ht="48" customHeight="1">
      <c r="A1952" s="3" t="s">
        <v>66</v>
      </c>
      <c r="B1952" s="3" t="s">
        <v>65</v>
      </c>
      <c r="C1952" s="4">
        <v>46235</v>
      </c>
      <c r="D1952" s="4">
        <v>46265</v>
      </c>
      <c r="E1952" s="3" t="s">
        <v>302</v>
      </c>
      <c r="F1952" s="3" t="s">
        <v>318</v>
      </c>
      <c r="G1952" s="5">
        <v>0</v>
      </c>
      <c r="H1952" s="6" t="s">
        <v>76</v>
      </c>
      <c r="I1952" s="3" t="s">
        <v>45</v>
      </c>
    </row>
    <row r="1953" spans="1:9" ht="48" customHeight="1">
      <c r="A1953" s="3" t="s">
        <v>66</v>
      </c>
      <c r="B1953" s="3" t="s">
        <v>65</v>
      </c>
      <c r="C1953" s="4">
        <v>46235</v>
      </c>
      <c r="D1953" s="4">
        <v>46265</v>
      </c>
      <c r="E1953" s="3" t="s">
        <v>302</v>
      </c>
      <c r="F1953" s="3" t="s">
        <v>319</v>
      </c>
      <c r="G1953" s="5">
        <v>0</v>
      </c>
      <c r="H1953" s="6" t="s">
        <v>76</v>
      </c>
      <c r="I1953" s="3" t="s">
        <v>45</v>
      </c>
    </row>
    <row r="1954" spans="1:9" ht="48" customHeight="1">
      <c r="A1954" s="3" t="s">
        <v>66</v>
      </c>
      <c r="B1954" s="3" t="s">
        <v>65</v>
      </c>
      <c r="C1954" s="4">
        <v>46235</v>
      </c>
      <c r="D1954" s="4">
        <v>46265</v>
      </c>
      <c r="E1954" s="3" t="s">
        <v>302</v>
      </c>
      <c r="F1954" s="3" t="s">
        <v>320</v>
      </c>
      <c r="G1954" s="5">
        <v>0</v>
      </c>
      <c r="H1954" s="6" t="s">
        <v>76</v>
      </c>
      <c r="I1954" s="3" t="s">
        <v>45</v>
      </c>
    </row>
    <row r="1955" spans="1:9" ht="48" customHeight="1">
      <c r="A1955" s="3" t="s">
        <v>66</v>
      </c>
      <c r="B1955" s="3" t="s">
        <v>65</v>
      </c>
      <c r="C1955" s="4">
        <v>46235</v>
      </c>
      <c r="D1955" s="4">
        <v>46265</v>
      </c>
      <c r="E1955" s="3" t="s">
        <v>302</v>
      </c>
      <c r="F1955" s="3" t="s">
        <v>321</v>
      </c>
      <c r="G1955" s="5">
        <v>0</v>
      </c>
      <c r="H1955" s="6" t="s">
        <v>76</v>
      </c>
      <c r="I1955" s="3" t="s">
        <v>45</v>
      </c>
    </row>
    <row r="1956" spans="1:9" ht="48" customHeight="1">
      <c r="A1956" s="3" t="s">
        <v>66</v>
      </c>
      <c r="B1956" s="3" t="s">
        <v>65</v>
      </c>
      <c r="C1956" s="4">
        <v>46235</v>
      </c>
      <c r="D1956" s="4">
        <v>46265</v>
      </c>
      <c r="E1956" s="3" t="s">
        <v>302</v>
      </c>
      <c r="F1956" s="3" t="s">
        <v>322</v>
      </c>
      <c r="G1956" s="5">
        <v>0</v>
      </c>
      <c r="H1956" s="6" t="s">
        <v>76</v>
      </c>
      <c r="I1956" s="3" t="s">
        <v>45</v>
      </c>
    </row>
    <row r="1957" spans="1:9" ht="48" customHeight="1">
      <c r="A1957" s="3" t="s">
        <v>66</v>
      </c>
      <c r="B1957" s="3" t="s">
        <v>65</v>
      </c>
      <c r="C1957" s="4">
        <v>46235</v>
      </c>
      <c r="D1957" s="4">
        <v>46265</v>
      </c>
      <c r="E1957" s="3" t="s">
        <v>302</v>
      </c>
      <c r="F1957" s="3" t="s">
        <v>323</v>
      </c>
      <c r="G1957" s="5">
        <v>0</v>
      </c>
      <c r="H1957" s="6" t="s">
        <v>76</v>
      </c>
      <c r="I1957" s="3" t="s">
        <v>45</v>
      </c>
    </row>
    <row r="1958" spans="1:9" ht="48" customHeight="1">
      <c r="A1958" s="3" t="s">
        <v>66</v>
      </c>
      <c r="B1958" s="3" t="s">
        <v>65</v>
      </c>
      <c r="C1958" s="4">
        <v>46235</v>
      </c>
      <c r="D1958" s="4">
        <v>46265</v>
      </c>
      <c r="E1958" s="3" t="s">
        <v>302</v>
      </c>
      <c r="F1958" s="3" t="s">
        <v>324</v>
      </c>
      <c r="G1958" s="5">
        <v>0</v>
      </c>
      <c r="H1958" s="6" t="s">
        <v>76</v>
      </c>
      <c r="I1958" s="3" t="s">
        <v>45</v>
      </c>
    </row>
    <row r="1959" spans="1:9" ht="48" customHeight="1">
      <c r="A1959" s="3" t="s">
        <v>66</v>
      </c>
      <c r="B1959" s="3" t="s">
        <v>65</v>
      </c>
      <c r="C1959" s="4">
        <v>46235</v>
      </c>
      <c r="D1959" s="4">
        <v>46265</v>
      </c>
      <c r="E1959" s="3" t="s">
        <v>81</v>
      </c>
      <c r="F1959" s="3" t="s">
        <v>326</v>
      </c>
      <c r="G1959" s="5">
        <v>1E-3</v>
      </c>
      <c r="H1959" s="6" t="s">
        <v>76</v>
      </c>
      <c r="I1959" s="3" t="s">
        <v>45</v>
      </c>
    </row>
    <row r="1960" spans="1:9" ht="48" customHeight="1">
      <c r="A1960" s="3" t="s">
        <v>66</v>
      </c>
      <c r="B1960" s="3" t="s">
        <v>65</v>
      </c>
      <c r="C1960" s="4">
        <v>46235</v>
      </c>
      <c r="D1960" s="4">
        <v>46265</v>
      </c>
      <c r="E1960" s="3" t="s">
        <v>81</v>
      </c>
      <c r="F1960" s="3" t="s">
        <v>327</v>
      </c>
      <c r="G1960" s="5">
        <v>1E-3</v>
      </c>
      <c r="H1960" s="6" t="s">
        <v>76</v>
      </c>
      <c r="I1960" s="3" t="s">
        <v>45</v>
      </c>
    </row>
    <row r="1961" spans="1:9" ht="48" customHeight="1">
      <c r="A1961" s="3" t="s">
        <v>66</v>
      </c>
      <c r="B1961" s="3" t="s">
        <v>65</v>
      </c>
      <c r="C1961" s="4">
        <v>46235</v>
      </c>
      <c r="D1961" s="4">
        <v>46265</v>
      </c>
      <c r="E1961" s="3" t="s">
        <v>81</v>
      </c>
      <c r="F1961" s="3" t="s">
        <v>328</v>
      </c>
      <c r="G1961" s="5">
        <v>1E-3</v>
      </c>
      <c r="H1961" s="6" t="s">
        <v>76</v>
      </c>
      <c r="I1961" s="3" t="s">
        <v>45</v>
      </c>
    </row>
    <row r="1962" spans="1:9" ht="48" customHeight="1">
      <c r="A1962" s="3" t="s">
        <v>66</v>
      </c>
      <c r="B1962" s="3" t="s">
        <v>65</v>
      </c>
      <c r="C1962" s="4">
        <v>46235</v>
      </c>
      <c r="D1962" s="4">
        <v>46265</v>
      </c>
      <c r="E1962" s="3" t="s">
        <v>81</v>
      </c>
      <c r="F1962" s="3" t="s">
        <v>329</v>
      </c>
      <c r="G1962" s="5">
        <v>1E-3</v>
      </c>
      <c r="H1962" s="6" t="s">
        <v>76</v>
      </c>
      <c r="I1962" s="3" t="s">
        <v>45</v>
      </c>
    </row>
    <row r="1963" spans="1:9" ht="48" customHeight="1">
      <c r="A1963" s="3" t="s">
        <v>66</v>
      </c>
      <c r="B1963" s="3" t="s">
        <v>65</v>
      </c>
      <c r="C1963" s="4">
        <v>46235</v>
      </c>
      <c r="D1963" s="4">
        <v>46265</v>
      </c>
      <c r="E1963" s="3" t="s">
        <v>81</v>
      </c>
      <c r="F1963" s="3" t="s">
        <v>330</v>
      </c>
      <c r="G1963" s="5">
        <v>1E-3</v>
      </c>
      <c r="H1963" s="6" t="s">
        <v>76</v>
      </c>
      <c r="I1963" s="3" t="s">
        <v>45</v>
      </c>
    </row>
    <row r="1964" spans="1:9" ht="48" customHeight="1">
      <c r="A1964" s="3" t="s">
        <v>66</v>
      </c>
      <c r="B1964" s="3" t="s">
        <v>65</v>
      </c>
      <c r="C1964" s="4">
        <v>46235</v>
      </c>
      <c r="D1964" s="4">
        <v>46265</v>
      </c>
      <c r="E1964" s="3" t="s">
        <v>81</v>
      </c>
      <c r="F1964" s="3" t="s">
        <v>325</v>
      </c>
      <c r="G1964" s="5">
        <v>1E-3</v>
      </c>
      <c r="H1964" s="6" t="s">
        <v>76</v>
      </c>
      <c r="I1964" s="3" t="s">
        <v>45</v>
      </c>
    </row>
    <row r="1965" spans="1:9" ht="48" customHeight="1">
      <c r="A1965" s="3" t="s">
        <v>66</v>
      </c>
      <c r="B1965" s="3" t="s">
        <v>65</v>
      </c>
      <c r="C1965" s="4">
        <v>46235</v>
      </c>
      <c r="D1965" s="4">
        <v>46265</v>
      </c>
      <c r="E1965" s="3" t="s">
        <v>81</v>
      </c>
      <c r="F1965" s="3" t="s">
        <v>332</v>
      </c>
      <c r="G1965" s="5">
        <v>1E-3</v>
      </c>
      <c r="H1965" s="6" t="s">
        <v>76</v>
      </c>
      <c r="I1965" s="3" t="s">
        <v>45</v>
      </c>
    </row>
    <row r="1966" spans="1:9" ht="48" customHeight="1">
      <c r="A1966" s="3" t="s">
        <v>66</v>
      </c>
      <c r="B1966" s="3" t="s">
        <v>65</v>
      </c>
      <c r="C1966" s="4">
        <v>46235</v>
      </c>
      <c r="D1966" s="4">
        <v>46265</v>
      </c>
      <c r="E1966" s="3" t="s">
        <v>81</v>
      </c>
      <c r="F1966" s="3" t="s">
        <v>333</v>
      </c>
      <c r="G1966" s="5">
        <v>0</v>
      </c>
      <c r="H1966" s="6" t="s">
        <v>76</v>
      </c>
      <c r="I1966" s="3" t="s">
        <v>45</v>
      </c>
    </row>
    <row r="1967" spans="1:9" ht="48" customHeight="1">
      <c r="A1967" s="3" t="s">
        <v>66</v>
      </c>
      <c r="B1967" s="3" t="s">
        <v>65</v>
      </c>
      <c r="C1967" s="4">
        <v>46235</v>
      </c>
      <c r="D1967" s="4">
        <v>46265</v>
      </c>
      <c r="E1967" s="3" t="s">
        <v>81</v>
      </c>
      <c r="F1967" s="3" t="s">
        <v>334</v>
      </c>
      <c r="G1967" s="5">
        <v>0</v>
      </c>
      <c r="H1967" s="6" t="s">
        <v>76</v>
      </c>
      <c r="I1967" s="3" t="s">
        <v>45</v>
      </c>
    </row>
    <row r="1968" spans="1:9" ht="48" customHeight="1">
      <c r="A1968" s="3" t="s">
        <v>66</v>
      </c>
      <c r="B1968" s="3" t="s">
        <v>65</v>
      </c>
      <c r="C1968" s="4">
        <v>46235</v>
      </c>
      <c r="D1968" s="4">
        <v>46265</v>
      </c>
      <c r="E1968" s="3" t="s">
        <v>81</v>
      </c>
      <c r="F1968" s="3" t="s">
        <v>331</v>
      </c>
      <c r="G1968" s="5">
        <v>0</v>
      </c>
      <c r="H1968" s="6" t="s">
        <v>76</v>
      </c>
      <c r="I1968" s="3" t="s">
        <v>45</v>
      </c>
    </row>
    <row r="1969" spans="1:9" ht="48" customHeight="1">
      <c r="A1969" s="3" t="s">
        <v>66</v>
      </c>
      <c r="B1969" s="3" t="s">
        <v>65</v>
      </c>
      <c r="C1969" s="4">
        <v>46235</v>
      </c>
      <c r="D1969" s="4">
        <v>46265</v>
      </c>
      <c r="E1969" s="3" t="s">
        <v>81</v>
      </c>
      <c r="F1969" s="3" t="s">
        <v>335</v>
      </c>
      <c r="G1969" s="5">
        <v>0</v>
      </c>
      <c r="H1969" s="6" t="s">
        <v>76</v>
      </c>
      <c r="I1969" s="3" t="s">
        <v>45</v>
      </c>
    </row>
    <row r="1970" spans="1:9" ht="48" customHeight="1">
      <c r="A1970" s="3" t="s">
        <v>66</v>
      </c>
      <c r="B1970" s="3" t="s">
        <v>65</v>
      </c>
      <c r="C1970" s="4">
        <v>46235</v>
      </c>
      <c r="D1970" s="4">
        <v>46265</v>
      </c>
      <c r="E1970" s="3" t="s">
        <v>81</v>
      </c>
      <c r="F1970" s="3" t="s">
        <v>336</v>
      </c>
      <c r="G1970" s="5">
        <v>0</v>
      </c>
      <c r="H1970" s="6" t="s">
        <v>76</v>
      </c>
      <c r="I1970" s="3" t="s">
        <v>45</v>
      </c>
    </row>
    <row r="1971" spans="1:9" ht="48" customHeight="1">
      <c r="A1971" s="3" t="s">
        <v>66</v>
      </c>
      <c r="B1971" s="3" t="s">
        <v>65</v>
      </c>
      <c r="C1971" s="4">
        <v>46235</v>
      </c>
      <c r="D1971" s="4">
        <v>46265</v>
      </c>
      <c r="E1971" s="3" t="s">
        <v>81</v>
      </c>
      <c r="F1971" s="3" t="s">
        <v>337</v>
      </c>
      <c r="G1971" s="5">
        <v>0</v>
      </c>
      <c r="H1971" s="6" t="s">
        <v>76</v>
      </c>
      <c r="I1971" s="3" t="s">
        <v>45</v>
      </c>
    </row>
    <row r="1972" spans="1:9" ht="48" customHeight="1">
      <c r="A1972" s="3" t="s">
        <v>66</v>
      </c>
      <c r="B1972" s="3" t="s">
        <v>65</v>
      </c>
      <c r="C1972" s="4">
        <v>46235</v>
      </c>
      <c r="D1972" s="4">
        <v>46265</v>
      </c>
      <c r="E1972" s="3" t="s">
        <v>81</v>
      </c>
      <c r="F1972" s="3" t="s">
        <v>338</v>
      </c>
      <c r="G1972" s="5">
        <v>0</v>
      </c>
      <c r="H1972" s="6" t="s">
        <v>76</v>
      </c>
      <c r="I1972" s="3" t="s">
        <v>45</v>
      </c>
    </row>
    <row r="1973" spans="1:9" ht="48" customHeight="1">
      <c r="A1973" s="3" t="s">
        <v>66</v>
      </c>
      <c r="B1973" s="3" t="s">
        <v>65</v>
      </c>
      <c r="C1973" s="4">
        <v>46235</v>
      </c>
      <c r="D1973" s="4">
        <v>46265</v>
      </c>
      <c r="E1973" s="3" t="s">
        <v>81</v>
      </c>
      <c r="F1973" s="3" t="s">
        <v>339</v>
      </c>
      <c r="G1973" s="5">
        <v>0</v>
      </c>
      <c r="H1973" s="6" t="s">
        <v>76</v>
      </c>
      <c r="I1973" s="3" t="s">
        <v>45</v>
      </c>
    </row>
    <row r="1974" spans="1:9" ht="48" customHeight="1">
      <c r="A1974" s="3" t="s">
        <v>66</v>
      </c>
      <c r="B1974" s="3" t="s">
        <v>65</v>
      </c>
      <c r="C1974" s="4">
        <v>46235</v>
      </c>
      <c r="D1974" s="4">
        <v>46265</v>
      </c>
      <c r="E1974" s="3" t="s">
        <v>81</v>
      </c>
      <c r="F1974" s="3" t="s">
        <v>340</v>
      </c>
      <c r="G1974" s="5">
        <v>0</v>
      </c>
      <c r="H1974" s="6" t="s">
        <v>76</v>
      </c>
      <c r="I1974" s="3" t="s">
        <v>45</v>
      </c>
    </row>
    <row r="1975" spans="1:9" ht="48" customHeight="1">
      <c r="A1975" s="3" t="s">
        <v>66</v>
      </c>
      <c r="B1975" s="3" t="s">
        <v>65</v>
      </c>
      <c r="C1975" s="4">
        <v>46235</v>
      </c>
      <c r="D1975" s="4">
        <v>46265</v>
      </c>
      <c r="E1975" s="3" t="s">
        <v>81</v>
      </c>
      <c r="F1975" s="3" t="s">
        <v>341</v>
      </c>
      <c r="G1975" s="5">
        <v>0</v>
      </c>
      <c r="H1975" s="6" t="s">
        <v>76</v>
      </c>
      <c r="I1975" s="3" t="s">
        <v>45</v>
      </c>
    </row>
    <row r="1976" spans="1:9" ht="48" customHeight="1">
      <c r="A1976" s="3" t="s">
        <v>66</v>
      </c>
      <c r="B1976" s="3" t="s">
        <v>65</v>
      </c>
      <c r="C1976" s="4">
        <v>46235</v>
      </c>
      <c r="D1976" s="4">
        <v>46265</v>
      </c>
      <c r="E1976" s="3" t="s">
        <v>81</v>
      </c>
      <c r="F1976" s="3" t="s">
        <v>342</v>
      </c>
      <c r="G1976" s="5">
        <v>0</v>
      </c>
      <c r="H1976" s="6" t="s">
        <v>76</v>
      </c>
      <c r="I1976" s="3" t="s">
        <v>45</v>
      </c>
    </row>
    <row r="1977" spans="1:9" ht="48" customHeight="1">
      <c r="A1977" s="3" t="s">
        <v>66</v>
      </c>
      <c r="B1977" s="3" t="s">
        <v>65</v>
      </c>
      <c r="C1977" s="4">
        <v>46235</v>
      </c>
      <c r="D1977" s="4">
        <v>46265</v>
      </c>
      <c r="E1977" s="3" t="s">
        <v>81</v>
      </c>
      <c r="F1977" s="3" t="s">
        <v>343</v>
      </c>
      <c r="G1977" s="5">
        <v>0</v>
      </c>
      <c r="H1977" s="6" t="s">
        <v>76</v>
      </c>
      <c r="I1977" s="3" t="s">
        <v>45</v>
      </c>
    </row>
    <row r="1978" spans="1:9" ht="48" customHeight="1">
      <c r="A1978" s="3" t="s">
        <v>66</v>
      </c>
      <c r="B1978" s="3" t="s">
        <v>65</v>
      </c>
      <c r="C1978" s="4">
        <v>46235</v>
      </c>
      <c r="D1978" s="4">
        <v>46265</v>
      </c>
      <c r="E1978" s="3" t="s">
        <v>81</v>
      </c>
      <c r="F1978" s="3" t="s">
        <v>344</v>
      </c>
      <c r="G1978" s="5">
        <v>0</v>
      </c>
      <c r="H1978" s="6" t="s">
        <v>76</v>
      </c>
      <c r="I1978" s="3" t="s">
        <v>45</v>
      </c>
    </row>
    <row r="1979" spans="1:9" ht="48" customHeight="1">
      <c r="A1979" s="3" t="s">
        <v>66</v>
      </c>
      <c r="B1979" s="3" t="s">
        <v>65</v>
      </c>
      <c r="C1979" s="4">
        <v>46235</v>
      </c>
      <c r="D1979" s="4">
        <v>46265</v>
      </c>
      <c r="E1979" s="3" t="s">
        <v>81</v>
      </c>
      <c r="F1979" s="3" t="s">
        <v>345</v>
      </c>
      <c r="G1979" s="5">
        <v>0</v>
      </c>
      <c r="H1979" s="6" t="s">
        <v>76</v>
      </c>
      <c r="I1979" s="3" t="s">
        <v>45</v>
      </c>
    </row>
    <row r="1980" spans="1:9" ht="48" customHeight="1">
      <c r="A1980" s="3" t="s">
        <v>66</v>
      </c>
      <c r="B1980" s="3" t="s">
        <v>65</v>
      </c>
      <c r="C1980" s="4">
        <v>46235</v>
      </c>
      <c r="D1980" s="4">
        <v>46265</v>
      </c>
      <c r="E1980" s="3" t="s">
        <v>81</v>
      </c>
      <c r="F1980" s="3" t="s">
        <v>346</v>
      </c>
      <c r="G1980" s="5">
        <v>0</v>
      </c>
      <c r="H1980" s="6" t="s">
        <v>76</v>
      </c>
      <c r="I1980" s="3" t="s">
        <v>45</v>
      </c>
    </row>
    <row r="1981" spans="1:9" ht="48" customHeight="1">
      <c r="A1981" s="3" t="s">
        <v>66</v>
      </c>
      <c r="B1981" s="3" t="s">
        <v>65</v>
      </c>
      <c r="C1981" s="4">
        <v>46235</v>
      </c>
      <c r="D1981" s="4">
        <v>46265</v>
      </c>
      <c r="E1981" s="3" t="s">
        <v>81</v>
      </c>
      <c r="F1981" s="3" t="s">
        <v>347</v>
      </c>
      <c r="G1981" s="5">
        <v>0</v>
      </c>
      <c r="H1981" s="6" t="s">
        <v>76</v>
      </c>
      <c r="I1981" s="3" t="s">
        <v>45</v>
      </c>
    </row>
    <row r="1982" spans="1:9" ht="48" customHeight="1">
      <c r="A1982" s="3" t="s">
        <v>66</v>
      </c>
      <c r="B1982" s="3" t="s">
        <v>65</v>
      </c>
      <c r="C1982" s="4">
        <v>46235</v>
      </c>
      <c r="D1982" s="4">
        <v>46265</v>
      </c>
      <c r="E1982" s="3" t="s">
        <v>47</v>
      </c>
      <c r="F1982" s="3" t="s">
        <v>349</v>
      </c>
      <c r="G1982" s="5">
        <v>1E-3</v>
      </c>
      <c r="H1982" s="6" t="s">
        <v>76</v>
      </c>
      <c r="I1982" s="3" t="s">
        <v>45</v>
      </c>
    </row>
    <row r="1983" spans="1:9" ht="48" customHeight="1">
      <c r="A1983" s="3" t="s">
        <v>66</v>
      </c>
      <c r="B1983" s="3" t="s">
        <v>65</v>
      </c>
      <c r="C1983" s="4">
        <v>46235</v>
      </c>
      <c r="D1983" s="4">
        <v>46265</v>
      </c>
      <c r="E1983" s="3" t="s">
        <v>47</v>
      </c>
      <c r="F1983" s="3" t="s">
        <v>348</v>
      </c>
      <c r="G1983" s="5">
        <v>1E-3</v>
      </c>
      <c r="H1983" s="6" t="s">
        <v>76</v>
      </c>
      <c r="I1983" s="3" t="s">
        <v>45</v>
      </c>
    </row>
    <row r="1984" spans="1:9" ht="48" customHeight="1">
      <c r="A1984" s="3" t="s">
        <v>66</v>
      </c>
      <c r="B1984" s="3" t="s">
        <v>65</v>
      </c>
      <c r="C1984" s="4">
        <v>46235</v>
      </c>
      <c r="D1984" s="4">
        <v>46265</v>
      </c>
      <c r="E1984" s="3" t="s">
        <v>47</v>
      </c>
      <c r="F1984" s="3" t="s">
        <v>350</v>
      </c>
      <c r="G1984" s="5">
        <v>1E-3</v>
      </c>
      <c r="H1984" s="6" t="s">
        <v>76</v>
      </c>
      <c r="I1984" s="3" t="s">
        <v>45</v>
      </c>
    </row>
    <row r="1985" spans="1:9" ht="48" customHeight="1">
      <c r="A1985" s="3" t="s">
        <v>66</v>
      </c>
      <c r="B1985" s="3" t="s">
        <v>65</v>
      </c>
      <c r="C1985" s="4">
        <v>46235</v>
      </c>
      <c r="D1985" s="4">
        <v>46265</v>
      </c>
      <c r="E1985" s="3" t="s">
        <v>47</v>
      </c>
      <c r="F1985" s="3" t="s">
        <v>355</v>
      </c>
      <c r="G1985" s="5">
        <v>1E-3</v>
      </c>
      <c r="H1985" s="6" t="s">
        <v>76</v>
      </c>
      <c r="I1985" s="3" t="s">
        <v>45</v>
      </c>
    </row>
    <row r="1986" spans="1:9" ht="48" customHeight="1">
      <c r="A1986" s="3" t="s">
        <v>66</v>
      </c>
      <c r="B1986" s="3" t="s">
        <v>65</v>
      </c>
      <c r="C1986" s="4">
        <v>46235</v>
      </c>
      <c r="D1986" s="4">
        <v>46265</v>
      </c>
      <c r="E1986" s="3" t="s">
        <v>47</v>
      </c>
      <c r="F1986" s="3" t="s">
        <v>351</v>
      </c>
      <c r="G1986" s="5">
        <v>0</v>
      </c>
      <c r="H1986" s="6" t="s">
        <v>76</v>
      </c>
      <c r="I1986" s="3" t="s">
        <v>45</v>
      </c>
    </row>
    <row r="1987" spans="1:9" ht="48" customHeight="1">
      <c r="A1987" s="3" t="s">
        <v>66</v>
      </c>
      <c r="B1987" s="3" t="s">
        <v>65</v>
      </c>
      <c r="C1987" s="4">
        <v>46235</v>
      </c>
      <c r="D1987" s="4">
        <v>46265</v>
      </c>
      <c r="E1987" s="3" t="s">
        <v>47</v>
      </c>
      <c r="F1987" s="3" t="s">
        <v>352</v>
      </c>
      <c r="G1987" s="5">
        <v>0</v>
      </c>
      <c r="H1987" s="6" t="s">
        <v>76</v>
      </c>
      <c r="I1987" s="3" t="s">
        <v>45</v>
      </c>
    </row>
    <row r="1988" spans="1:9" ht="48" customHeight="1">
      <c r="A1988" s="3" t="s">
        <v>66</v>
      </c>
      <c r="B1988" s="3" t="s">
        <v>65</v>
      </c>
      <c r="C1988" s="4">
        <v>46235</v>
      </c>
      <c r="D1988" s="4">
        <v>46265</v>
      </c>
      <c r="E1988" s="3" t="s">
        <v>47</v>
      </c>
      <c r="F1988" s="3" t="s">
        <v>353</v>
      </c>
      <c r="G1988" s="5">
        <v>0</v>
      </c>
      <c r="H1988" s="6" t="s">
        <v>76</v>
      </c>
      <c r="I1988" s="3" t="s">
        <v>45</v>
      </c>
    </row>
    <row r="1989" spans="1:9" ht="48" customHeight="1">
      <c r="A1989" s="3" t="s">
        <v>66</v>
      </c>
      <c r="B1989" s="3" t="s">
        <v>65</v>
      </c>
      <c r="C1989" s="4">
        <v>46235</v>
      </c>
      <c r="D1989" s="4">
        <v>46265</v>
      </c>
      <c r="E1989" s="3" t="s">
        <v>47</v>
      </c>
      <c r="F1989" s="3" t="s">
        <v>354</v>
      </c>
      <c r="G1989" s="5">
        <v>0</v>
      </c>
      <c r="H1989" s="6" t="s">
        <v>76</v>
      </c>
      <c r="I1989" s="3" t="s">
        <v>45</v>
      </c>
    </row>
    <row r="1990" spans="1:9" ht="48" customHeight="1">
      <c r="A1990" s="3" t="s">
        <v>66</v>
      </c>
      <c r="B1990" s="3" t="s">
        <v>65</v>
      </c>
      <c r="C1990" s="4">
        <v>46235</v>
      </c>
      <c r="D1990" s="4">
        <v>46265</v>
      </c>
      <c r="E1990" s="3" t="s">
        <v>47</v>
      </c>
      <c r="F1990" s="3" t="s">
        <v>356</v>
      </c>
      <c r="G1990" s="5">
        <v>0</v>
      </c>
      <c r="H1990" s="6" t="s">
        <v>76</v>
      </c>
      <c r="I1990" s="3" t="s">
        <v>45</v>
      </c>
    </row>
    <row r="1991" spans="1:9" ht="48" customHeight="1">
      <c r="A1991" s="3" t="s">
        <v>66</v>
      </c>
      <c r="B1991" s="3" t="s">
        <v>65</v>
      </c>
      <c r="C1991" s="4">
        <v>46235</v>
      </c>
      <c r="D1991" s="4">
        <v>46265</v>
      </c>
      <c r="E1991" s="3" t="s">
        <v>47</v>
      </c>
      <c r="F1991" s="3" t="s">
        <v>40</v>
      </c>
      <c r="G1991" s="5">
        <v>0</v>
      </c>
      <c r="H1991" s="6" t="s">
        <v>76</v>
      </c>
      <c r="I1991" s="3" t="s">
        <v>45</v>
      </c>
    </row>
    <row r="1992" spans="1:9" ht="48" customHeight="1">
      <c r="A1992" s="3" t="s">
        <v>66</v>
      </c>
      <c r="B1992" s="3" t="s">
        <v>65</v>
      </c>
      <c r="C1992" s="4">
        <v>46235</v>
      </c>
      <c r="D1992" s="4">
        <v>46265</v>
      </c>
      <c r="E1992" s="3" t="s">
        <v>47</v>
      </c>
      <c r="F1992" s="3" t="s">
        <v>357</v>
      </c>
      <c r="G1992" s="5">
        <v>0</v>
      </c>
      <c r="H1992" s="6" t="s">
        <v>76</v>
      </c>
      <c r="I1992" s="3" t="s">
        <v>45</v>
      </c>
    </row>
    <row r="1993" spans="1:9" ht="48" customHeight="1">
      <c r="A1993" s="3" t="s">
        <v>66</v>
      </c>
      <c r="B1993" s="3" t="s">
        <v>65</v>
      </c>
      <c r="C1993" s="4">
        <v>46235</v>
      </c>
      <c r="D1993" s="4">
        <v>46265</v>
      </c>
      <c r="E1993" s="3" t="s">
        <v>47</v>
      </c>
      <c r="F1993" s="3" t="s">
        <v>358</v>
      </c>
      <c r="G1993" s="5">
        <v>0</v>
      </c>
      <c r="H1993" s="6" t="s">
        <v>76</v>
      </c>
      <c r="I1993" s="3" t="s">
        <v>45</v>
      </c>
    </row>
    <row r="1994" spans="1:9" ht="48" customHeight="1">
      <c r="A1994" s="3" t="s">
        <v>66</v>
      </c>
      <c r="B1994" s="3" t="s">
        <v>65</v>
      </c>
      <c r="C1994" s="4">
        <v>46235</v>
      </c>
      <c r="D1994" s="4">
        <v>46265</v>
      </c>
      <c r="E1994" s="3" t="s">
        <v>47</v>
      </c>
      <c r="F1994" s="3" t="s">
        <v>359</v>
      </c>
      <c r="G1994" s="5">
        <v>0</v>
      </c>
      <c r="H1994" s="6" t="s">
        <v>76</v>
      </c>
      <c r="I1994" s="3" t="s">
        <v>45</v>
      </c>
    </row>
    <row r="1995" spans="1:9" ht="48" customHeight="1">
      <c r="A1995" s="3" t="s">
        <v>66</v>
      </c>
      <c r="B1995" s="3" t="s">
        <v>65</v>
      </c>
      <c r="C1995" s="4">
        <v>46235</v>
      </c>
      <c r="D1995" s="4">
        <v>46265</v>
      </c>
      <c r="E1995" s="3" t="s">
        <v>47</v>
      </c>
      <c r="F1995" s="3" t="s">
        <v>360</v>
      </c>
      <c r="G1995" s="5">
        <v>0</v>
      </c>
      <c r="H1995" s="6" t="s">
        <v>76</v>
      </c>
      <c r="I1995" s="3" t="s">
        <v>45</v>
      </c>
    </row>
    <row r="1996" spans="1:9" ht="48" customHeight="1">
      <c r="A1996" s="3" t="s">
        <v>66</v>
      </c>
      <c r="B1996" s="3" t="s">
        <v>65</v>
      </c>
      <c r="C1996" s="4">
        <v>46235</v>
      </c>
      <c r="D1996" s="4">
        <v>46265</v>
      </c>
      <c r="E1996" s="3" t="s">
        <v>47</v>
      </c>
      <c r="F1996" s="3" t="s">
        <v>361</v>
      </c>
      <c r="G1996" s="5">
        <v>0</v>
      </c>
      <c r="H1996" s="6" t="s">
        <v>76</v>
      </c>
      <c r="I1996" s="3" t="s">
        <v>45</v>
      </c>
    </row>
    <row r="1997" spans="1:9" ht="48" customHeight="1">
      <c r="A1997" s="3" t="s">
        <v>66</v>
      </c>
      <c r="B1997" s="3" t="s">
        <v>65</v>
      </c>
      <c r="C1997" s="4">
        <v>46235</v>
      </c>
      <c r="D1997" s="4">
        <v>46265</v>
      </c>
      <c r="E1997" s="3" t="s">
        <v>47</v>
      </c>
      <c r="F1997" s="3" t="s">
        <v>362</v>
      </c>
      <c r="G1997" s="5">
        <v>0</v>
      </c>
      <c r="H1997" s="6" t="s">
        <v>76</v>
      </c>
      <c r="I1997" s="3" t="s">
        <v>45</v>
      </c>
    </row>
    <row r="1998" spans="1:9" ht="48" customHeight="1">
      <c r="A1998" s="3" t="s">
        <v>66</v>
      </c>
      <c r="B1998" s="3" t="s">
        <v>65</v>
      </c>
      <c r="C1998" s="4">
        <v>46235</v>
      </c>
      <c r="D1998" s="4">
        <v>46265</v>
      </c>
      <c r="E1998" s="3" t="s">
        <v>47</v>
      </c>
      <c r="F1998" s="3" t="s">
        <v>318</v>
      </c>
      <c r="G1998" s="5">
        <v>0</v>
      </c>
      <c r="H1998" s="6" t="s">
        <v>76</v>
      </c>
      <c r="I1998" s="3" t="s">
        <v>45</v>
      </c>
    </row>
    <row r="1999" spans="1:9" ht="48" customHeight="1">
      <c r="A1999" s="3" t="s">
        <v>66</v>
      </c>
      <c r="B1999" s="3" t="s">
        <v>65</v>
      </c>
      <c r="C1999" s="4">
        <v>46235</v>
      </c>
      <c r="D1999" s="4">
        <v>46265</v>
      </c>
      <c r="E1999" s="3" t="s">
        <v>47</v>
      </c>
      <c r="F1999" s="3" t="s">
        <v>363</v>
      </c>
      <c r="G1999" s="5">
        <v>0</v>
      </c>
      <c r="H1999" s="6" t="s">
        <v>76</v>
      </c>
      <c r="I1999" s="3" t="s">
        <v>45</v>
      </c>
    </row>
    <row r="2000" spans="1:9" ht="48" customHeight="1">
      <c r="A2000" s="3" t="s">
        <v>66</v>
      </c>
      <c r="B2000" s="3" t="s">
        <v>65</v>
      </c>
      <c r="C2000" s="4">
        <v>46235</v>
      </c>
      <c r="D2000" s="4">
        <v>46265</v>
      </c>
      <c r="E2000" s="3" t="s">
        <v>364</v>
      </c>
      <c r="F2000" s="3" t="s">
        <v>234</v>
      </c>
      <c r="G2000" s="5">
        <v>1E-3</v>
      </c>
      <c r="H2000" s="6" t="s">
        <v>76</v>
      </c>
      <c r="I2000" s="3" t="s">
        <v>45</v>
      </c>
    </row>
    <row r="2001" spans="1:9" ht="48" customHeight="1">
      <c r="A2001" s="3" t="s">
        <v>66</v>
      </c>
      <c r="B2001" s="3" t="s">
        <v>65</v>
      </c>
      <c r="C2001" s="4">
        <v>46235</v>
      </c>
      <c r="D2001" s="4">
        <v>46265</v>
      </c>
      <c r="E2001" s="3" t="s">
        <v>364</v>
      </c>
      <c r="F2001" s="3" t="s">
        <v>232</v>
      </c>
      <c r="G2001" s="5">
        <v>1E-3</v>
      </c>
      <c r="H2001" s="6" t="s">
        <v>76</v>
      </c>
      <c r="I2001" s="3" t="s">
        <v>45</v>
      </c>
    </row>
    <row r="2002" spans="1:9" ht="48" customHeight="1">
      <c r="A2002" s="3" t="s">
        <v>66</v>
      </c>
      <c r="B2002" s="3" t="s">
        <v>65</v>
      </c>
      <c r="C2002" s="4">
        <v>46235</v>
      </c>
      <c r="D2002" s="4">
        <v>46265</v>
      </c>
      <c r="E2002" s="3" t="s">
        <v>364</v>
      </c>
      <c r="F2002" s="3" t="s">
        <v>265</v>
      </c>
      <c r="G2002" s="5">
        <v>1E-3</v>
      </c>
      <c r="H2002" s="6" t="s">
        <v>76</v>
      </c>
      <c r="I2002" s="3" t="s">
        <v>45</v>
      </c>
    </row>
    <row r="2003" spans="1:9" ht="48" customHeight="1">
      <c r="A2003" s="3" t="s">
        <v>66</v>
      </c>
      <c r="B2003" s="3" t="s">
        <v>65</v>
      </c>
      <c r="C2003" s="4">
        <v>46235</v>
      </c>
      <c r="D2003" s="4">
        <v>46265</v>
      </c>
      <c r="E2003" s="3" t="s">
        <v>364</v>
      </c>
      <c r="F2003" s="3" t="s">
        <v>262</v>
      </c>
      <c r="G2003" s="5">
        <v>1E-3</v>
      </c>
      <c r="H2003" s="6" t="s">
        <v>76</v>
      </c>
      <c r="I2003" s="3" t="s">
        <v>45</v>
      </c>
    </row>
    <row r="2004" spans="1:9" ht="48" customHeight="1">
      <c r="A2004" s="3" t="s">
        <v>66</v>
      </c>
      <c r="B2004" s="3" t="s">
        <v>65</v>
      </c>
      <c r="C2004" s="4">
        <v>46235</v>
      </c>
      <c r="D2004" s="4">
        <v>46265</v>
      </c>
      <c r="E2004" s="3" t="s">
        <v>364</v>
      </c>
      <c r="F2004" s="3" t="s">
        <v>365</v>
      </c>
      <c r="G2004" s="5">
        <v>1E-3</v>
      </c>
      <c r="H2004" s="6" t="s">
        <v>76</v>
      </c>
      <c r="I2004" s="3" t="s">
        <v>45</v>
      </c>
    </row>
    <row r="2005" spans="1:9" ht="48" customHeight="1">
      <c r="A2005" s="3" t="s">
        <v>66</v>
      </c>
      <c r="B2005" s="3" t="s">
        <v>65</v>
      </c>
      <c r="C2005" s="4">
        <v>46235</v>
      </c>
      <c r="D2005" s="4">
        <v>46265</v>
      </c>
      <c r="E2005" s="3" t="s">
        <v>364</v>
      </c>
      <c r="F2005" s="3" t="s">
        <v>366</v>
      </c>
      <c r="G2005" s="5">
        <v>1E-3</v>
      </c>
      <c r="H2005" s="6" t="s">
        <v>76</v>
      </c>
      <c r="I2005" s="3" t="s">
        <v>45</v>
      </c>
    </row>
    <row r="2006" spans="1:9" ht="48" customHeight="1">
      <c r="A2006" s="3" t="s">
        <v>66</v>
      </c>
      <c r="B2006" s="3" t="s">
        <v>65</v>
      </c>
      <c r="C2006" s="4">
        <v>46235</v>
      </c>
      <c r="D2006" s="4">
        <v>46265</v>
      </c>
      <c r="E2006" s="3" t="s">
        <v>364</v>
      </c>
      <c r="F2006" s="3" t="s">
        <v>367</v>
      </c>
      <c r="G2006" s="5">
        <v>1E-3</v>
      </c>
      <c r="H2006" s="6" t="s">
        <v>76</v>
      </c>
      <c r="I2006" s="3" t="s">
        <v>45</v>
      </c>
    </row>
    <row r="2007" spans="1:9" ht="48" customHeight="1">
      <c r="A2007" s="3" t="s">
        <v>66</v>
      </c>
      <c r="B2007" s="3" t="s">
        <v>65</v>
      </c>
      <c r="C2007" s="4">
        <v>46235</v>
      </c>
      <c r="D2007" s="4">
        <v>46265</v>
      </c>
      <c r="E2007" s="3" t="s">
        <v>364</v>
      </c>
      <c r="F2007" s="3" t="s">
        <v>230</v>
      </c>
      <c r="G2007" s="5">
        <v>0</v>
      </c>
      <c r="H2007" s="6" t="s">
        <v>76</v>
      </c>
      <c r="I2007" s="3" t="s">
        <v>45</v>
      </c>
    </row>
    <row r="2008" spans="1:9" ht="48" customHeight="1">
      <c r="A2008" s="3" t="s">
        <v>66</v>
      </c>
      <c r="B2008" s="3" t="s">
        <v>65</v>
      </c>
      <c r="C2008" s="4">
        <v>46235</v>
      </c>
      <c r="D2008" s="4">
        <v>46265</v>
      </c>
      <c r="E2008" s="3" t="s">
        <v>364</v>
      </c>
      <c r="F2008" s="3" t="s">
        <v>79</v>
      </c>
      <c r="G2008" s="5">
        <v>0</v>
      </c>
      <c r="H2008" s="6" t="s">
        <v>76</v>
      </c>
      <c r="I2008" s="3" t="s">
        <v>45</v>
      </c>
    </row>
    <row r="2009" spans="1:9" ht="48" customHeight="1">
      <c r="A2009" s="3" t="s">
        <v>66</v>
      </c>
      <c r="B2009" s="3" t="s">
        <v>65</v>
      </c>
      <c r="C2009" s="4">
        <v>46235</v>
      </c>
      <c r="D2009" s="4">
        <v>46265</v>
      </c>
      <c r="E2009" s="3" t="s">
        <v>368</v>
      </c>
      <c r="F2009" s="3" t="s">
        <v>369</v>
      </c>
      <c r="G2009" s="5">
        <v>1E-3</v>
      </c>
      <c r="H2009" s="6" t="s">
        <v>76</v>
      </c>
      <c r="I2009" s="3" t="s">
        <v>45</v>
      </c>
    </row>
    <row r="2010" spans="1:9" ht="48" customHeight="1">
      <c r="A2010" s="3" t="s">
        <v>66</v>
      </c>
      <c r="B2010" s="3" t="s">
        <v>65</v>
      </c>
      <c r="C2010" s="4">
        <v>46235</v>
      </c>
      <c r="D2010" s="4">
        <v>46265</v>
      </c>
      <c r="E2010" s="3" t="s">
        <v>368</v>
      </c>
      <c r="F2010" s="3" t="s">
        <v>370</v>
      </c>
      <c r="G2010" s="5">
        <v>1E-3</v>
      </c>
      <c r="H2010" s="6" t="s">
        <v>76</v>
      </c>
      <c r="I2010" s="3" t="s">
        <v>45</v>
      </c>
    </row>
    <row r="2011" spans="1:9" ht="48" customHeight="1">
      <c r="A2011" s="3" t="s">
        <v>66</v>
      </c>
      <c r="B2011" s="3" t="s">
        <v>65</v>
      </c>
      <c r="C2011" s="4">
        <v>46235</v>
      </c>
      <c r="D2011" s="4">
        <v>46265</v>
      </c>
      <c r="E2011" s="3" t="s">
        <v>368</v>
      </c>
      <c r="F2011" s="3" t="s">
        <v>371</v>
      </c>
      <c r="G2011" s="5">
        <v>1E-3</v>
      </c>
      <c r="H2011" s="6" t="s">
        <v>76</v>
      </c>
      <c r="I2011" s="3" t="s">
        <v>45</v>
      </c>
    </row>
    <row r="2012" spans="1:9" ht="48" customHeight="1">
      <c r="A2012" s="3" t="s">
        <v>66</v>
      </c>
      <c r="B2012" s="3" t="s">
        <v>65</v>
      </c>
      <c r="C2012" s="4">
        <v>46235</v>
      </c>
      <c r="D2012" s="4">
        <v>46265</v>
      </c>
      <c r="E2012" s="3" t="s">
        <v>368</v>
      </c>
      <c r="F2012" s="3" t="s">
        <v>230</v>
      </c>
      <c r="G2012" s="5">
        <v>0</v>
      </c>
      <c r="H2012" s="6" t="s">
        <v>76</v>
      </c>
      <c r="I2012" s="3" t="s">
        <v>45</v>
      </c>
    </row>
    <row r="2013" spans="1:9" ht="48" customHeight="1">
      <c r="A2013" s="3" t="s">
        <v>66</v>
      </c>
      <c r="B2013" s="3" t="s">
        <v>65</v>
      </c>
      <c r="C2013" s="4">
        <v>46235</v>
      </c>
      <c r="D2013" s="4">
        <v>46265</v>
      </c>
      <c r="E2013" s="3" t="s">
        <v>368</v>
      </c>
      <c r="F2013" s="3" t="s">
        <v>232</v>
      </c>
      <c r="G2013" s="5">
        <v>0</v>
      </c>
      <c r="H2013" s="6" t="s">
        <v>76</v>
      </c>
      <c r="I2013" s="3" t="s">
        <v>45</v>
      </c>
    </row>
    <row r="2014" spans="1:9" ht="48" customHeight="1">
      <c r="A2014" s="3" t="s">
        <v>66</v>
      </c>
      <c r="B2014" s="3" t="s">
        <v>65</v>
      </c>
      <c r="C2014" s="4">
        <v>46235</v>
      </c>
      <c r="D2014" s="4">
        <v>46265</v>
      </c>
      <c r="E2014" s="3" t="s">
        <v>368</v>
      </c>
      <c r="F2014" s="3" t="s">
        <v>234</v>
      </c>
      <c r="G2014" s="5">
        <v>0</v>
      </c>
      <c r="H2014" s="6" t="s">
        <v>76</v>
      </c>
      <c r="I2014" s="3" t="s">
        <v>45</v>
      </c>
    </row>
    <row r="2015" spans="1:9" ht="48" customHeight="1">
      <c r="A2015" s="3" t="s">
        <v>66</v>
      </c>
      <c r="B2015" s="3" t="s">
        <v>65</v>
      </c>
      <c r="C2015" s="4">
        <v>46235</v>
      </c>
      <c r="D2015" s="4">
        <v>46265</v>
      </c>
      <c r="E2015" s="3" t="s">
        <v>368</v>
      </c>
      <c r="F2015" s="3" t="s">
        <v>372</v>
      </c>
      <c r="G2015" s="5">
        <v>0</v>
      </c>
      <c r="H2015" s="6" t="s">
        <v>76</v>
      </c>
      <c r="I2015" s="3" t="s">
        <v>45</v>
      </c>
    </row>
    <row r="2016" spans="1:9" ht="48" customHeight="1">
      <c r="A2016" s="3" t="s">
        <v>66</v>
      </c>
      <c r="B2016" s="3" t="s">
        <v>65</v>
      </c>
      <c r="C2016" s="4">
        <v>46235</v>
      </c>
      <c r="D2016" s="4">
        <v>46265</v>
      </c>
      <c r="E2016" s="3" t="s">
        <v>368</v>
      </c>
      <c r="F2016" s="3" t="s">
        <v>373</v>
      </c>
      <c r="G2016" s="5">
        <v>0</v>
      </c>
      <c r="H2016" s="6" t="s">
        <v>76</v>
      </c>
      <c r="I2016" s="3" t="s">
        <v>45</v>
      </c>
    </row>
    <row r="2017" spans="1:9" ht="48" customHeight="1">
      <c r="A2017" s="3" t="s">
        <v>66</v>
      </c>
      <c r="B2017" s="3" t="s">
        <v>65</v>
      </c>
      <c r="C2017" s="4">
        <v>46235</v>
      </c>
      <c r="D2017" s="4">
        <v>46265</v>
      </c>
      <c r="E2017" s="3" t="s">
        <v>368</v>
      </c>
      <c r="F2017" s="3" t="s">
        <v>265</v>
      </c>
      <c r="G2017" s="5">
        <v>0</v>
      </c>
      <c r="H2017" s="6" t="s">
        <v>76</v>
      </c>
      <c r="I2017" s="3" t="s">
        <v>45</v>
      </c>
    </row>
    <row r="2018" spans="1:9" ht="48" customHeight="1">
      <c r="A2018" s="3" t="s">
        <v>66</v>
      </c>
      <c r="B2018" s="3" t="s">
        <v>65</v>
      </c>
      <c r="C2018" s="4">
        <v>46235</v>
      </c>
      <c r="D2018" s="4">
        <v>46265</v>
      </c>
      <c r="E2018" s="3" t="s">
        <v>368</v>
      </c>
      <c r="F2018" s="3" t="s">
        <v>262</v>
      </c>
      <c r="G2018" s="5">
        <v>0</v>
      </c>
      <c r="H2018" s="6" t="s">
        <v>76</v>
      </c>
      <c r="I2018" s="3" t="s">
        <v>45</v>
      </c>
    </row>
    <row r="2019" spans="1:9" ht="48" customHeight="1">
      <c r="A2019" s="3" t="s">
        <v>66</v>
      </c>
      <c r="B2019" s="3" t="s">
        <v>65</v>
      </c>
      <c r="C2019" s="4">
        <v>46235</v>
      </c>
      <c r="D2019" s="4">
        <v>46265</v>
      </c>
      <c r="E2019" s="3" t="s">
        <v>368</v>
      </c>
      <c r="F2019" s="3" t="s">
        <v>374</v>
      </c>
      <c r="G2019" s="5">
        <v>0</v>
      </c>
      <c r="H2019" s="6" t="s">
        <v>76</v>
      </c>
      <c r="I2019" s="3" t="s">
        <v>45</v>
      </c>
    </row>
    <row r="2020" spans="1:9" ht="48" customHeight="1">
      <c r="A2020" s="3" t="s">
        <v>66</v>
      </c>
      <c r="B2020" s="3" t="s">
        <v>65</v>
      </c>
      <c r="C2020" s="4">
        <v>46235</v>
      </c>
      <c r="D2020" s="4">
        <v>46265</v>
      </c>
      <c r="E2020" s="3" t="s">
        <v>368</v>
      </c>
      <c r="F2020" s="3" t="s">
        <v>207</v>
      </c>
      <c r="G2020" s="5">
        <v>0</v>
      </c>
      <c r="H2020" s="6" t="s">
        <v>76</v>
      </c>
      <c r="I2020" s="3" t="s">
        <v>45</v>
      </c>
    </row>
    <row r="2021" spans="1:9" ht="48" customHeight="1">
      <c r="A2021" s="3" t="s">
        <v>66</v>
      </c>
      <c r="B2021" s="3" t="s">
        <v>65</v>
      </c>
      <c r="C2021" s="4">
        <v>46235</v>
      </c>
      <c r="D2021" s="4">
        <v>46265</v>
      </c>
      <c r="E2021" s="3" t="s">
        <v>368</v>
      </c>
      <c r="F2021" s="3" t="s">
        <v>375</v>
      </c>
      <c r="G2021" s="5">
        <v>0</v>
      </c>
      <c r="H2021" s="6" t="s">
        <v>76</v>
      </c>
      <c r="I2021" s="3" t="s">
        <v>45</v>
      </c>
    </row>
    <row r="2022" spans="1:9" ht="48" customHeight="1">
      <c r="A2022" s="3" t="s">
        <v>66</v>
      </c>
      <c r="B2022" s="3" t="s">
        <v>65</v>
      </c>
      <c r="C2022" s="4">
        <v>46235</v>
      </c>
      <c r="D2022" s="4">
        <v>46265</v>
      </c>
      <c r="E2022" s="3" t="s">
        <v>368</v>
      </c>
      <c r="F2022" s="3" t="s">
        <v>376</v>
      </c>
      <c r="G2022" s="5">
        <v>0</v>
      </c>
      <c r="H2022" s="6" t="s">
        <v>76</v>
      </c>
      <c r="I2022" s="3" t="s">
        <v>45</v>
      </c>
    </row>
    <row r="2023" spans="1:9" ht="48" customHeight="1">
      <c r="A2023" s="3" t="s">
        <v>66</v>
      </c>
      <c r="B2023" s="3" t="s">
        <v>65</v>
      </c>
      <c r="C2023" s="4">
        <v>46235</v>
      </c>
      <c r="D2023" s="4">
        <v>46265</v>
      </c>
      <c r="E2023" s="3" t="s">
        <v>368</v>
      </c>
      <c r="F2023" s="3" t="s">
        <v>377</v>
      </c>
      <c r="G2023" s="5">
        <v>0</v>
      </c>
      <c r="H2023" s="6" t="s">
        <v>76</v>
      </c>
      <c r="I2023" s="3" t="s">
        <v>45</v>
      </c>
    </row>
    <row r="2024" spans="1:9" ht="48" customHeight="1">
      <c r="A2024" s="3" t="s">
        <v>66</v>
      </c>
      <c r="B2024" s="3" t="s">
        <v>65</v>
      </c>
      <c r="C2024" s="4">
        <v>46235</v>
      </c>
      <c r="D2024" s="4">
        <v>46265</v>
      </c>
      <c r="E2024" s="3" t="s">
        <v>368</v>
      </c>
      <c r="F2024" s="3" t="s">
        <v>378</v>
      </c>
      <c r="G2024" s="5">
        <v>0</v>
      </c>
      <c r="H2024" s="6" t="s">
        <v>76</v>
      </c>
      <c r="I2024" s="3" t="s">
        <v>45</v>
      </c>
    </row>
    <row r="2025" spans="1:9" ht="48" customHeight="1">
      <c r="A2025" s="3" t="s">
        <v>66</v>
      </c>
      <c r="B2025" s="3" t="s">
        <v>65</v>
      </c>
      <c r="C2025" s="4">
        <v>46235</v>
      </c>
      <c r="D2025" s="4">
        <v>46265</v>
      </c>
      <c r="E2025" s="3" t="s">
        <v>379</v>
      </c>
      <c r="F2025" s="3" t="s">
        <v>265</v>
      </c>
      <c r="G2025" s="5">
        <v>1E-3</v>
      </c>
      <c r="H2025" s="6" t="s">
        <v>76</v>
      </c>
      <c r="I2025" s="3" t="s">
        <v>45</v>
      </c>
    </row>
    <row r="2026" spans="1:9" ht="48" customHeight="1">
      <c r="A2026" s="3" t="s">
        <v>66</v>
      </c>
      <c r="B2026" s="3" t="s">
        <v>65</v>
      </c>
      <c r="C2026" s="4">
        <v>46235</v>
      </c>
      <c r="D2026" s="4">
        <v>46265</v>
      </c>
      <c r="E2026" s="3" t="s">
        <v>379</v>
      </c>
      <c r="F2026" s="3" t="s">
        <v>262</v>
      </c>
      <c r="G2026" s="5">
        <v>1E-3</v>
      </c>
      <c r="H2026" s="6" t="s">
        <v>76</v>
      </c>
      <c r="I2026" s="3" t="s">
        <v>45</v>
      </c>
    </row>
    <row r="2027" spans="1:9" ht="48" customHeight="1">
      <c r="A2027" s="3" t="s">
        <v>66</v>
      </c>
      <c r="B2027" s="3" t="s">
        <v>65</v>
      </c>
      <c r="C2027" s="4">
        <v>46235</v>
      </c>
      <c r="D2027" s="4">
        <v>46265</v>
      </c>
      <c r="E2027" s="3" t="s">
        <v>379</v>
      </c>
      <c r="F2027" s="3" t="s">
        <v>380</v>
      </c>
      <c r="G2027" s="5">
        <v>1E-3</v>
      </c>
      <c r="H2027" s="6" t="s">
        <v>76</v>
      </c>
      <c r="I2027" s="3" t="s">
        <v>45</v>
      </c>
    </row>
    <row r="2028" spans="1:9" ht="48" customHeight="1">
      <c r="A2028" s="3" t="s">
        <v>66</v>
      </c>
      <c r="B2028" s="3" t="s">
        <v>65</v>
      </c>
      <c r="C2028" s="4">
        <v>46235</v>
      </c>
      <c r="D2028" s="4">
        <v>46265</v>
      </c>
      <c r="E2028" s="3" t="s">
        <v>379</v>
      </c>
      <c r="F2028" s="3" t="s">
        <v>230</v>
      </c>
      <c r="G2028" s="5">
        <v>0</v>
      </c>
      <c r="H2028" s="6" t="s">
        <v>76</v>
      </c>
      <c r="I2028" s="3" t="s">
        <v>45</v>
      </c>
    </row>
    <row r="2029" spans="1:9" ht="48" customHeight="1">
      <c r="A2029" s="3" t="s">
        <v>66</v>
      </c>
      <c r="B2029" s="3" t="s">
        <v>65</v>
      </c>
      <c r="C2029" s="4">
        <v>46235</v>
      </c>
      <c r="D2029" s="4">
        <v>46265</v>
      </c>
      <c r="E2029" s="3" t="s">
        <v>379</v>
      </c>
      <c r="F2029" s="3" t="s">
        <v>234</v>
      </c>
      <c r="G2029" s="5">
        <v>0</v>
      </c>
      <c r="H2029" s="6" t="s">
        <v>76</v>
      </c>
      <c r="I2029" s="3" t="s">
        <v>45</v>
      </c>
    </row>
    <row r="2030" spans="1:9" ht="48" customHeight="1">
      <c r="A2030" s="3" t="s">
        <v>66</v>
      </c>
      <c r="B2030" s="3" t="s">
        <v>65</v>
      </c>
      <c r="C2030" s="4">
        <v>46235</v>
      </c>
      <c r="D2030" s="4">
        <v>46265</v>
      </c>
      <c r="E2030" s="3" t="s">
        <v>381</v>
      </c>
      <c r="F2030" s="3" t="s">
        <v>382</v>
      </c>
      <c r="G2030" s="5">
        <v>1E-3</v>
      </c>
      <c r="H2030" s="6" t="s">
        <v>76</v>
      </c>
      <c r="I2030" s="3" t="s">
        <v>45</v>
      </c>
    </row>
    <row r="2031" spans="1:9" ht="48" customHeight="1">
      <c r="A2031" s="3" t="s">
        <v>66</v>
      </c>
      <c r="B2031" s="3" t="s">
        <v>65</v>
      </c>
      <c r="C2031" s="4">
        <v>46235</v>
      </c>
      <c r="D2031" s="4">
        <v>46265</v>
      </c>
      <c r="E2031" s="3" t="s">
        <v>381</v>
      </c>
      <c r="F2031" s="3" t="s">
        <v>383</v>
      </c>
      <c r="G2031" s="5">
        <v>1E-3</v>
      </c>
      <c r="H2031" s="6" t="s">
        <v>76</v>
      </c>
      <c r="I2031" s="3" t="s">
        <v>45</v>
      </c>
    </row>
    <row r="2032" spans="1:9" ht="48" customHeight="1">
      <c r="A2032" s="3" t="s">
        <v>66</v>
      </c>
      <c r="B2032" s="3" t="s">
        <v>65</v>
      </c>
      <c r="C2032" s="4">
        <v>46266</v>
      </c>
      <c r="D2032" s="4">
        <v>46276</v>
      </c>
      <c r="E2032" s="3" t="s">
        <v>68</v>
      </c>
      <c r="F2032" s="3" t="s">
        <v>146</v>
      </c>
      <c r="G2032" s="5">
        <v>0.21199999999999999</v>
      </c>
      <c r="H2032" s="6" t="s">
        <v>77</v>
      </c>
      <c r="I2032" s="3" t="s">
        <v>45</v>
      </c>
    </row>
    <row r="2033" spans="1:9" ht="48" customHeight="1">
      <c r="A2033" s="3" t="s">
        <v>66</v>
      </c>
      <c r="B2033" s="3" t="s">
        <v>65</v>
      </c>
      <c r="C2033" s="4">
        <v>46266</v>
      </c>
      <c r="D2033" s="4">
        <v>46276</v>
      </c>
      <c r="E2033" s="3" t="s">
        <v>68</v>
      </c>
      <c r="F2033" s="3" t="s">
        <v>147</v>
      </c>
      <c r="G2033" s="5">
        <v>8.199999999999999E-2</v>
      </c>
      <c r="H2033" s="6" t="s">
        <v>77</v>
      </c>
      <c r="I2033" s="3" t="s">
        <v>45</v>
      </c>
    </row>
    <row r="2034" spans="1:9" ht="48" customHeight="1">
      <c r="A2034" s="3" t="s">
        <v>66</v>
      </c>
      <c r="B2034" s="3" t="s">
        <v>65</v>
      </c>
      <c r="C2034" s="4">
        <v>46266</v>
      </c>
      <c r="D2034" s="4">
        <v>46276</v>
      </c>
      <c r="E2034" s="3" t="s">
        <v>68</v>
      </c>
      <c r="F2034" s="3" t="s">
        <v>148</v>
      </c>
      <c r="G2034" s="5">
        <v>6.5000000000000002E-2</v>
      </c>
      <c r="H2034" s="6" t="s">
        <v>77</v>
      </c>
      <c r="I2034" s="3" t="s">
        <v>45</v>
      </c>
    </row>
    <row r="2035" spans="1:9" ht="48" customHeight="1">
      <c r="A2035" s="3" t="s">
        <v>66</v>
      </c>
      <c r="B2035" s="3" t="s">
        <v>65</v>
      </c>
      <c r="C2035" s="4">
        <v>46266</v>
      </c>
      <c r="D2035" s="4">
        <v>46276</v>
      </c>
      <c r="E2035" s="3" t="s">
        <v>68</v>
      </c>
      <c r="F2035" s="3" t="s">
        <v>149</v>
      </c>
      <c r="G2035" s="5">
        <v>4.4999999999999998E-2</v>
      </c>
      <c r="H2035" s="6" t="s">
        <v>77</v>
      </c>
      <c r="I2035" s="3" t="s">
        <v>45</v>
      </c>
    </row>
    <row r="2036" spans="1:9" ht="48" customHeight="1">
      <c r="A2036" s="3" t="s">
        <v>66</v>
      </c>
      <c r="B2036" s="3" t="s">
        <v>65</v>
      </c>
      <c r="C2036" s="4">
        <v>46266</v>
      </c>
      <c r="D2036" s="4">
        <v>46276</v>
      </c>
      <c r="E2036" s="3" t="s">
        <v>68</v>
      </c>
      <c r="F2036" s="3" t="s">
        <v>150</v>
      </c>
      <c r="G2036" s="5">
        <v>0.03</v>
      </c>
      <c r="H2036" s="6" t="s">
        <v>77</v>
      </c>
      <c r="I2036" s="3" t="s">
        <v>45</v>
      </c>
    </row>
    <row r="2037" spans="1:9" ht="48" customHeight="1">
      <c r="A2037" s="3" t="s">
        <v>66</v>
      </c>
      <c r="B2037" s="3" t="s">
        <v>65</v>
      </c>
      <c r="C2037" s="4">
        <v>46266</v>
      </c>
      <c r="D2037" s="4">
        <v>46276</v>
      </c>
      <c r="E2037" s="3" t="s">
        <v>68</v>
      </c>
      <c r="F2037" s="3" t="s">
        <v>151</v>
      </c>
      <c r="G2037" s="5">
        <v>2.4E-2</v>
      </c>
      <c r="H2037" s="6" t="s">
        <v>77</v>
      </c>
      <c r="I2037" s="3" t="s">
        <v>45</v>
      </c>
    </row>
    <row r="2038" spans="1:9" ht="48" customHeight="1">
      <c r="A2038" s="3" t="s">
        <v>66</v>
      </c>
      <c r="B2038" s="3" t="s">
        <v>65</v>
      </c>
      <c r="C2038" s="4">
        <v>46266</v>
      </c>
      <c r="D2038" s="4">
        <v>46276</v>
      </c>
      <c r="E2038" s="3" t="s">
        <v>68</v>
      </c>
      <c r="F2038" s="3" t="s">
        <v>153</v>
      </c>
      <c r="G2038" s="5">
        <v>1.9E-2</v>
      </c>
      <c r="H2038" s="6" t="s">
        <v>77</v>
      </c>
      <c r="I2038" s="3" t="s">
        <v>45</v>
      </c>
    </row>
    <row r="2039" spans="1:9" ht="48" customHeight="1">
      <c r="A2039" s="3" t="s">
        <v>66</v>
      </c>
      <c r="B2039" s="3" t="s">
        <v>65</v>
      </c>
      <c r="C2039" s="4">
        <v>46266</v>
      </c>
      <c r="D2039" s="4">
        <v>46276</v>
      </c>
      <c r="E2039" s="3" t="s">
        <v>68</v>
      </c>
      <c r="F2039" s="3" t="s">
        <v>152</v>
      </c>
      <c r="G2039" s="5">
        <v>1.8000000000000002E-2</v>
      </c>
      <c r="H2039" s="6" t="s">
        <v>77</v>
      </c>
      <c r="I2039" s="3" t="s">
        <v>45</v>
      </c>
    </row>
    <row r="2040" spans="1:9" ht="48" customHeight="1">
      <c r="A2040" s="3" t="s">
        <v>66</v>
      </c>
      <c r="B2040" s="3" t="s">
        <v>65</v>
      </c>
      <c r="C2040" s="4">
        <v>46266</v>
      </c>
      <c r="D2040" s="4">
        <v>46276</v>
      </c>
      <c r="E2040" s="3" t="s">
        <v>68</v>
      </c>
      <c r="F2040" s="3" t="s">
        <v>155</v>
      </c>
      <c r="G2040" s="5">
        <v>1.3000000000000001E-2</v>
      </c>
      <c r="H2040" s="6" t="s">
        <v>77</v>
      </c>
      <c r="I2040" s="3" t="s">
        <v>45</v>
      </c>
    </row>
    <row r="2041" spans="1:9" ht="48" customHeight="1">
      <c r="A2041" s="3" t="s">
        <v>66</v>
      </c>
      <c r="B2041" s="3" t="s">
        <v>65</v>
      </c>
      <c r="C2041" s="4">
        <v>46266</v>
      </c>
      <c r="D2041" s="4">
        <v>46276</v>
      </c>
      <c r="E2041" s="3" t="s">
        <v>68</v>
      </c>
      <c r="F2041" s="3" t="s">
        <v>154</v>
      </c>
      <c r="G2041" s="5">
        <v>1.1000000000000001E-2</v>
      </c>
      <c r="H2041" s="6" t="s">
        <v>77</v>
      </c>
      <c r="I2041" s="3" t="s">
        <v>45</v>
      </c>
    </row>
    <row r="2042" spans="1:9" ht="48" customHeight="1">
      <c r="A2042" s="3" t="s">
        <v>66</v>
      </c>
      <c r="B2042" s="3" t="s">
        <v>65</v>
      </c>
      <c r="C2042" s="4">
        <v>46266</v>
      </c>
      <c r="D2042" s="4">
        <v>46276</v>
      </c>
      <c r="E2042" s="3" t="s">
        <v>68</v>
      </c>
      <c r="F2042" s="3" t="s">
        <v>156</v>
      </c>
      <c r="G2042" s="5">
        <v>6.9999999999999993E-3</v>
      </c>
      <c r="H2042" s="6" t="s">
        <v>77</v>
      </c>
      <c r="I2042" s="3" t="s">
        <v>45</v>
      </c>
    </row>
    <row r="2043" spans="1:9" ht="48" customHeight="1">
      <c r="A2043" s="3" t="s">
        <v>66</v>
      </c>
      <c r="B2043" s="3" t="s">
        <v>65</v>
      </c>
      <c r="C2043" s="4">
        <v>46266</v>
      </c>
      <c r="D2043" s="4">
        <v>46276</v>
      </c>
      <c r="E2043" s="3" t="s">
        <v>68</v>
      </c>
      <c r="F2043" s="3" t="s">
        <v>157</v>
      </c>
      <c r="G2043" s="5">
        <v>5.0000000000000001E-3</v>
      </c>
      <c r="H2043" s="6" t="s">
        <v>77</v>
      </c>
      <c r="I2043" s="3" t="s">
        <v>45</v>
      </c>
    </row>
    <row r="2044" spans="1:9" ht="48" customHeight="1">
      <c r="A2044" s="3" t="s">
        <v>66</v>
      </c>
      <c r="B2044" s="3" t="s">
        <v>65</v>
      </c>
      <c r="C2044" s="4">
        <v>46266</v>
      </c>
      <c r="D2044" s="4">
        <v>46276</v>
      </c>
      <c r="E2044" s="3" t="s">
        <v>68</v>
      </c>
      <c r="F2044" s="3" t="s">
        <v>158</v>
      </c>
      <c r="G2044" s="5">
        <v>4.0000000000000001E-3</v>
      </c>
      <c r="H2044" s="6" t="s">
        <v>77</v>
      </c>
      <c r="I2044" s="3" t="s">
        <v>45</v>
      </c>
    </row>
    <row r="2045" spans="1:9" ht="48" customHeight="1">
      <c r="A2045" s="3" t="s">
        <v>66</v>
      </c>
      <c r="B2045" s="3" t="s">
        <v>65</v>
      </c>
      <c r="C2045" s="4">
        <v>46266</v>
      </c>
      <c r="D2045" s="4">
        <v>46276</v>
      </c>
      <c r="E2045" s="3" t="s">
        <v>68</v>
      </c>
      <c r="F2045" s="3" t="s">
        <v>160</v>
      </c>
      <c r="G2045" s="5">
        <v>3.0000000000000001E-3</v>
      </c>
      <c r="H2045" s="6" t="s">
        <v>77</v>
      </c>
      <c r="I2045" s="3" t="s">
        <v>45</v>
      </c>
    </row>
    <row r="2046" spans="1:9" ht="48" customHeight="1">
      <c r="A2046" s="3" t="s">
        <v>66</v>
      </c>
      <c r="B2046" s="3" t="s">
        <v>65</v>
      </c>
      <c r="C2046" s="4">
        <v>46266</v>
      </c>
      <c r="D2046" s="4">
        <v>46276</v>
      </c>
      <c r="E2046" s="3" t="s">
        <v>68</v>
      </c>
      <c r="F2046" s="3" t="s">
        <v>159</v>
      </c>
      <c r="G2046" s="5">
        <v>2E-3</v>
      </c>
      <c r="H2046" s="6" t="s">
        <v>77</v>
      </c>
      <c r="I2046" s="3" t="s">
        <v>45</v>
      </c>
    </row>
    <row r="2047" spans="1:9" ht="48" customHeight="1">
      <c r="A2047" s="3" t="s">
        <v>66</v>
      </c>
      <c r="B2047" s="3" t="s">
        <v>65</v>
      </c>
      <c r="C2047" s="4">
        <v>46266</v>
      </c>
      <c r="D2047" s="4">
        <v>46276</v>
      </c>
      <c r="E2047" s="3" t="s">
        <v>161</v>
      </c>
      <c r="F2047" s="3" t="s">
        <v>162</v>
      </c>
      <c r="G2047" s="5">
        <v>1.9E-2</v>
      </c>
      <c r="H2047" s="6" t="s">
        <v>77</v>
      </c>
      <c r="I2047" s="3" t="s">
        <v>45</v>
      </c>
    </row>
    <row r="2048" spans="1:9" ht="48" customHeight="1">
      <c r="A2048" s="3" t="s">
        <v>66</v>
      </c>
      <c r="B2048" s="3" t="s">
        <v>65</v>
      </c>
      <c r="C2048" s="4">
        <v>46266</v>
      </c>
      <c r="D2048" s="4">
        <v>46276</v>
      </c>
      <c r="E2048" s="3" t="s">
        <v>161</v>
      </c>
      <c r="F2048" s="3" t="s">
        <v>163</v>
      </c>
      <c r="G2048" s="5">
        <v>8.0000000000000002E-3</v>
      </c>
      <c r="H2048" s="6" t="s">
        <v>77</v>
      </c>
      <c r="I2048" s="3" t="s">
        <v>45</v>
      </c>
    </row>
    <row r="2049" spans="1:9" ht="48" customHeight="1">
      <c r="A2049" s="3" t="s">
        <v>66</v>
      </c>
      <c r="B2049" s="3" t="s">
        <v>65</v>
      </c>
      <c r="C2049" s="4">
        <v>46266</v>
      </c>
      <c r="D2049" s="4">
        <v>46276</v>
      </c>
      <c r="E2049" s="3" t="s">
        <v>161</v>
      </c>
      <c r="F2049" s="3" t="s">
        <v>384</v>
      </c>
      <c r="G2049" s="5">
        <v>8.0000000000000002E-3</v>
      </c>
      <c r="H2049" s="6" t="s">
        <v>77</v>
      </c>
      <c r="I2049" s="3" t="s">
        <v>45</v>
      </c>
    </row>
    <row r="2050" spans="1:9" ht="48" customHeight="1">
      <c r="A2050" s="3" t="s">
        <v>66</v>
      </c>
      <c r="B2050" s="3" t="s">
        <v>65</v>
      </c>
      <c r="C2050" s="4">
        <v>46266</v>
      </c>
      <c r="D2050" s="4">
        <v>46276</v>
      </c>
      <c r="E2050" s="3" t="s">
        <v>161</v>
      </c>
      <c r="F2050" s="3" t="s">
        <v>164</v>
      </c>
      <c r="G2050" s="5">
        <v>6.9999999999999993E-3</v>
      </c>
      <c r="H2050" s="6" t="s">
        <v>77</v>
      </c>
      <c r="I2050" s="3" t="s">
        <v>45</v>
      </c>
    </row>
    <row r="2051" spans="1:9" ht="48" customHeight="1">
      <c r="A2051" s="3" t="s">
        <v>66</v>
      </c>
      <c r="B2051" s="3" t="s">
        <v>65</v>
      </c>
      <c r="C2051" s="4">
        <v>46266</v>
      </c>
      <c r="D2051" s="4">
        <v>46276</v>
      </c>
      <c r="E2051" s="3" t="s">
        <v>161</v>
      </c>
      <c r="F2051" s="3" t="s">
        <v>170</v>
      </c>
      <c r="G2051" s="5">
        <v>6.0000000000000001E-3</v>
      </c>
      <c r="H2051" s="6" t="s">
        <v>77</v>
      </c>
      <c r="I2051" s="3" t="s">
        <v>45</v>
      </c>
    </row>
    <row r="2052" spans="1:9" ht="48" customHeight="1">
      <c r="A2052" s="3" t="s">
        <v>66</v>
      </c>
      <c r="B2052" s="3" t="s">
        <v>65</v>
      </c>
      <c r="C2052" s="4">
        <v>46266</v>
      </c>
      <c r="D2052" s="4">
        <v>46276</v>
      </c>
      <c r="E2052" s="3" t="s">
        <v>161</v>
      </c>
      <c r="F2052" s="3" t="s">
        <v>169</v>
      </c>
      <c r="G2052" s="5">
        <v>5.0000000000000001E-3</v>
      </c>
      <c r="H2052" s="6" t="s">
        <v>77</v>
      </c>
      <c r="I2052" s="3" t="s">
        <v>45</v>
      </c>
    </row>
    <row r="2053" spans="1:9" ht="48" customHeight="1">
      <c r="A2053" s="3" t="s">
        <v>66</v>
      </c>
      <c r="B2053" s="3" t="s">
        <v>65</v>
      </c>
      <c r="C2053" s="4">
        <v>46266</v>
      </c>
      <c r="D2053" s="4">
        <v>46276</v>
      </c>
      <c r="E2053" s="3" t="s">
        <v>161</v>
      </c>
      <c r="F2053" s="3" t="s">
        <v>165</v>
      </c>
      <c r="G2053" s="5">
        <v>5.0000000000000001E-3</v>
      </c>
      <c r="H2053" s="6" t="s">
        <v>77</v>
      </c>
      <c r="I2053" s="3" t="s">
        <v>45</v>
      </c>
    </row>
    <row r="2054" spans="1:9" ht="48" customHeight="1">
      <c r="A2054" s="3" t="s">
        <v>66</v>
      </c>
      <c r="B2054" s="3" t="s">
        <v>65</v>
      </c>
      <c r="C2054" s="4">
        <v>46266</v>
      </c>
      <c r="D2054" s="4">
        <v>46276</v>
      </c>
      <c r="E2054" s="3" t="s">
        <v>161</v>
      </c>
      <c r="F2054" s="3" t="s">
        <v>171</v>
      </c>
      <c r="G2054" s="5">
        <v>5.0000000000000001E-3</v>
      </c>
      <c r="H2054" s="6" t="s">
        <v>77</v>
      </c>
      <c r="I2054" s="3" t="s">
        <v>45</v>
      </c>
    </row>
    <row r="2055" spans="1:9" ht="48" customHeight="1">
      <c r="A2055" s="3" t="s">
        <v>66</v>
      </c>
      <c r="B2055" s="3" t="s">
        <v>65</v>
      </c>
      <c r="C2055" s="4">
        <v>46266</v>
      </c>
      <c r="D2055" s="4">
        <v>46276</v>
      </c>
      <c r="E2055" s="3" t="s">
        <v>161</v>
      </c>
      <c r="F2055" s="3" t="s">
        <v>172</v>
      </c>
      <c r="G2055" s="5">
        <v>5.0000000000000001E-3</v>
      </c>
      <c r="H2055" s="6" t="s">
        <v>77</v>
      </c>
      <c r="I2055" s="3" t="s">
        <v>45</v>
      </c>
    </row>
    <row r="2056" spans="1:9" ht="48" customHeight="1">
      <c r="A2056" s="3" t="s">
        <v>66</v>
      </c>
      <c r="B2056" s="3" t="s">
        <v>65</v>
      </c>
      <c r="C2056" s="4">
        <v>46266</v>
      </c>
      <c r="D2056" s="4">
        <v>46276</v>
      </c>
      <c r="E2056" s="3" t="s">
        <v>161</v>
      </c>
      <c r="F2056" s="3" t="s">
        <v>180</v>
      </c>
      <c r="G2056" s="5">
        <v>5.0000000000000001E-3</v>
      </c>
      <c r="H2056" s="6" t="s">
        <v>77</v>
      </c>
      <c r="I2056" s="3" t="s">
        <v>45</v>
      </c>
    </row>
    <row r="2057" spans="1:9" ht="48" customHeight="1">
      <c r="A2057" s="3" t="s">
        <v>66</v>
      </c>
      <c r="B2057" s="3" t="s">
        <v>65</v>
      </c>
      <c r="C2057" s="4">
        <v>46266</v>
      </c>
      <c r="D2057" s="4">
        <v>46276</v>
      </c>
      <c r="E2057" s="3" t="s">
        <v>161</v>
      </c>
      <c r="F2057" s="3" t="s">
        <v>166</v>
      </c>
      <c r="G2057" s="5">
        <v>5.0000000000000001E-3</v>
      </c>
      <c r="H2057" s="6" t="s">
        <v>77</v>
      </c>
      <c r="I2057" s="3" t="s">
        <v>45</v>
      </c>
    </row>
    <row r="2058" spans="1:9" ht="48" customHeight="1">
      <c r="A2058" s="3" t="s">
        <v>66</v>
      </c>
      <c r="B2058" s="3" t="s">
        <v>65</v>
      </c>
      <c r="C2058" s="4">
        <v>46266</v>
      </c>
      <c r="D2058" s="4">
        <v>46276</v>
      </c>
      <c r="E2058" s="3" t="s">
        <v>161</v>
      </c>
      <c r="F2058" s="3" t="s">
        <v>173</v>
      </c>
      <c r="G2058" s="5">
        <v>5.0000000000000001E-3</v>
      </c>
      <c r="H2058" s="6" t="s">
        <v>77</v>
      </c>
      <c r="I2058" s="3" t="s">
        <v>45</v>
      </c>
    </row>
    <row r="2059" spans="1:9" ht="48" customHeight="1">
      <c r="A2059" s="3" t="s">
        <v>66</v>
      </c>
      <c r="B2059" s="3" t="s">
        <v>65</v>
      </c>
      <c r="C2059" s="4">
        <v>46266</v>
      </c>
      <c r="D2059" s="4">
        <v>46276</v>
      </c>
      <c r="E2059" s="3" t="s">
        <v>161</v>
      </c>
      <c r="F2059" s="3" t="s">
        <v>385</v>
      </c>
      <c r="G2059" s="5">
        <v>5.0000000000000001E-3</v>
      </c>
      <c r="H2059" s="6" t="s">
        <v>77</v>
      </c>
      <c r="I2059" s="3" t="s">
        <v>45</v>
      </c>
    </row>
    <row r="2060" spans="1:9" ht="48" customHeight="1">
      <c r="A2060" s="3" t="s">
        <v>66</v>
      </c>
      <c r="B2060" s="3" t="s">
        <v>65</v>
      </c>
      <c r="C2060" s="4">
        <v>46266</v>
      </c>
      <c r="D2060" s="4">
        <v>46276</v>
      </c>
      <c r="E2060" s="3" t="s">
        <v>161</v>
      </c>
      <c r="F2060" s="3" t="s">
        <v>174</v>
      </c>
      <c r="G2060" s="5">
        <v>4.0000000000000001E-3</v>
      </c>
      <c r="H2060" s="6" t="s">
        <v>77</v>
      </c>
      <c r="I2060" s="3" t="s">
        <v>45</v>
      </c>
    </row>
    <row r="2061" spans="1:9" ht="48" customHeight="1">
      <c r="A2061" s="3" t="s">
        <v>66</v>
      </c>
      <c r="B2061" s="3" t="s">
        <v>65</v>
      </c>
      <c r="C2061" s="4">
        <v>46266</v>
      </c>
      <c r="D2061" s="4">
        <v>46276</v>
      </c>
      <c r="E2061" s="3" t="s">
        <v>161</v>
      </c>
      <c r="F2061" s="3" t="s">
        <v>167</v>
      </c>
      <c r="G2061" s="5">
        <v>4.0000000000000001E-3</v>
      </c>
      <c r="H2061" s="6" t="s">
        <v>77</v>
      </c>
      <c r="I2061" s="3" t="s">
        <v>45</v>
      </c>
    </row>
    <row r="2062" spans="1:9" ht="48" customHeight="1">
      <c r="A2062" s="3" t="s">
        <v>66</v>
      </c>
      <c r="B2062" s="3" t="s">
        <v>65</v>
      </c>
      <c r="C2062" s="4">
        <v>46266</v>
      </c>
      <c r="D2062" s="4">
        <v>46276</v>
      </c>
      <c r="E2062" s="3" t="s">
        <v>161</v>
      </c>
      <c r="F2062" s="3" t="s">
        <v>168</v>
      </c>
      <c r="G2062" s="5">
        <v>4.0000000000000001E-3</v>
      </c>
      <c r="H2062" s="6" t="s">
        <v>77</v>
      </c>
      <c r="I2062" s="3" t="s">
        <v>45</v>
      </c>
    </row>
    <row r="2063" spans="1:9" ht="48" customHeight="1">
      <c r="A2063" s="3" t="s">
        <v>66</v>
      </c>
      <c r="B2063" s="3" t="s">
        <v>65</v>
      </c>
      <c r="C2063" s="4">
        <v>46266</v>
      </c>
      <c r="D2063" s="4">
        <v>46276</v>
      </c>
      <c r="E2063" s="3" t="s">
        <v>161</v>
      </c>
      <c r="F2063" s="3" t="s">
        <v>186</v>
      </c>
      <c r="G2063" s="5">
        <v>4.0000000000000001E-3</v>
      </c>
      <c r="H2063" s="6" t="s">
        <v>77</v>
      </c>
      <c r="I2063" s="3" t="s">
        <v>45</v>
      </c>
    </row>
    <row r="2064" spans="1:9" ht="48" customHeight="1">
      <c r="A2064" s="3" t="s">
        <v>66</v>
      </c>
      <c r="B2064" s="3" t="s">
        <v>65</v>
      </c>
      <c r="C2064" s="4">
        <v>46266</v>
      </c>
      <c r="D2064" s="4">
        <v>46276</v>
      </c>
      <c r="E2064" s="3" t="s">
        <v>161</v>
      </c>
      <c r="F2064" s="3" t="s">
        <v>177</v>
      </c>
      <c r="G2064" s="5">
        <v>4.0000000000000001E-3</v>
      </c>
      <c r="H2064" s="6" t="s">
        <v>77</v>
      </c>
      <c r="I2064" s="3" t="s">
        <v>45</v>
      </c>
    </row>
    <row r="2065" spans="1:9" ht="48" customHeight="1">
      <c r="A2065" s="3" t="s">
        <v>66</v>
      </c>
      <c r="B2065" s="3" t="s">
        <v>65</v>
      </c>
      <c r="C2065" s="4">
        <v>46266</v>
      </c>
      <c r="D2065" s="4">
        <v>46276</v>
      </c>
      <c r="E2065" s="3" t="s">
        <v>161</v>
      </c>
      <c r="F2065" s="3" t="s">
        <v>178</v>
      </c>
      <c r="G2065" s="5">
        <v>4.0000000000000001E-3</v>
      </c>
      <c r="H2065" s="6" t="s">
        <v>77</v>
      </c>
      <c r="I2065" s="3" t="s">
        <v>45</v>
      </c>
    </row>
    <row r="2066" spans="1:9" ht="48" customHeight="1">
      <c r="A2066" s="3" t="s">
        <v>66</v>
      </c>
      <c r="B2066" s="3" t="s">
        <v>65</v>
      </c>
      <c r="C2066" s="4">
        <v>46266</v>
      </c>
      <c r="D2066" s="4">
        <v>46276</v>
      </c>
      <c r="E2066" s="3" t="s">
        <v>161</v>
      </c>
      <c r="F2066" s="3" t="s">
        <v>179</v>
      </c>
      <c r="G2066" s="5">
        <v>4.0000000000000001E-3</v>
      </c>
      <c r="H2066" s="6" t="s">
        <v>77</v>
      </c>
      <c r="I2066" s="3" t="s">
        <v>45</v>
      </c>
    </row>
    <row r="2067" spans="1:9" ht="48" customHeight="1">
      <c r="A2067" s="3" t="s">
        <v>66</v>
      </c>
      <c r="B2067" s="3" t="s">
        <v>65</v>
      </c>
      <c r="C2067" s="4">
        <v>46266</v>
      </c>
      <c r="D2067" s="4">
        <v>46276</v>
      </c>
      <c r="E2067" s="3" t="s">
        <v>161</v>
      </c>
      <c r="F2067" s="3" t="s">
        <v>181</v>
      </c>
      <c r="G2067" s="5">
        <v>4.0000000000000001E-3</v>
      </c>
      <c r="H2067" s="6" t="s">
        <v>77</v>
      </c>
      <c r="I2067" s="3" t="s">
        <v>45</v>
      </c>
    </row>
    <row r="2068" spans="1:9" ht="48" customHeight="1">
      <c r="A2068" s="3" t="s">
        <v>66</v>
      </c>
      <c r="B2068" s="3" t="s">
        <v>65</v>
      </c>
      <c r="C2068" s="4">
        <v>46266</v>
      </c>
      <c r="D2068" s="4">
        <v>46276</v>
      </c>
      <c r="E2068" s="3" t="s">
        <v>161</v>
      </c>
      <c r="F2068" s="3" t="s">
        <v>182</v>
      </c>
      <c r="G2068" s="5">
        <v>4.0000000000000001E-3</v>
      </c>
      <c r="H2068" s="6" t="s">
        <v>77</v>
      </c>
      <c r="I2068" s="3" t="s">
        <v>45</v>
      </c>
    </row>
    <row r="2069" spans="1:9" ht="48" customHeight="1">
      <c r="A2069" s="3" t="s">
        <v>66</v>
      </c>
      <c r="B2069" s="3" t="s">
        <v>65</v>
      </c>
      <c r="C2069" s="4">
        <v>46266</v>
      </c>
      <c r="D2069" s="4">
        <v>46276</v>
      </c>
      <c r="E2069" s="3" t="s">
        <v>161</v>
      </c>
      <c r="F2069" s="3" t="s">
        <v>183</v>
      </c>
      <c r="G2069" s="5">
        <v>4.0000000000000001E-3</v>
      </c>
      <c r="H2069" s="6" t="s">
        <v>77</v>
      </c>
      <c r="I2069" s="3" t="s">
        <v>45</v>
      </c>
    </row>
    <row r="2070" spans="1:9" ht="48" customHeight="1">
      <c r="A2070" s="3" t="s">
        <v>66</v>
      </c>
      <c r="B2070" s="3" t="s">
        <v>65</v>
      </c>
      <c r="C2070" s="4">
        <v>46266</v>
      </c>
      <c r="D2070" s="4">
        <v>46276</v>
      </c>
      <c r="E2070" s="3" t="s">
        <v>161</v>
      </c>
      <c r="F2070" s="3" t="s">
        <v>386</v>
      </c>
      <c r="G2070" s="5">
        <v>4.0000000000000001E-3</v>
      </c>
      <c r="H2070" s="6" t="s">
        <v>77</v>
      </c>
      <c r="I2070" s="3" t="s">
        <v>45</v>
      </c>
    </row>
    <row r="2071" spans="1:9" ht="48" customHeight="1">
      <c r="A2071" s="3" t="s">
        <v>66</v>
      </c>
      <c r="B2071" s="3" t="s">
        <v>65</v>
      </c>
      <c r="C2071" s="4">
        <v>46266</v>
      </c>
      <c r="D2071" s="4">
        <v>46276</v>
      </c>
      <c r="E2071" s="3" t="s">
        <v>161</v>
      </c>
      <c r="F2071" s="3" t="s">
        <v>175</v>
      </c>
      <c r="G2071" s="5">
        <v>3.0000000000000001E-3</v>
      </c>
      <c r="H2071" s="6" t="s">
        <v>77</v>
      </c>
      <c r="I2071" s="3" t="s">
        <v>45</v>
      </c>
    </row>
    <row r="2072" spans="1:9" ht="48" customHeight="1">
      <c r="A2072" s="3" t="s">
        <v>66</v>
      </c>
      <c r="B2072" s="3" t="s">
        <v>65</v>
      </c>
      <c r="C2072" s="4">
        <v>46266</v>
      </c>
      <c r="D2072" s="4">
        <v>46276</v>
      </c>
      <c r="E2072" s="3" t="s">
        <v>161</v>
      </c>
      <c r="F2072" s="3" t="s">
        <v>191</v>
      </c>
      <c r="G2072" s="5">
        <v>3.0000000000000001E-3</v>
      </c>
      <c r="H2072" s="6" t="s">
        <v>77</v>
      </c>
      <c r="I2072" s="3" t="s">
        <v>45</v>
      </c>
    </row>
    <row r="2073" spans="1:9" ht="48" customHeight="1">
      <c r="A2073" s="3" t="s">
        <v>66</v>
      </c>
      <c r="B2073" s="3" t="s">
        <v>65</v>
      </c>
      <c r="C2073" s="4">
        <v>46266</v>
      </c>
      <c r="D2073" s="4">
        <v>46276</v>
      </c>
      <c r="E2073" s="3" t="s">
        <v>161</v>
      </c>
      <c r="F2073" s="3" t="s">
        <v>176</v>
      </c>
      <c r="G2073" s="5">
        <v>3.0000000000000001E-3</v>
      </c>
      <c r="H2073" s="6" t="s">
        <v>77</v>
      </c>
      <c r="I2073" s="3" t="s">
        <v>45</v>
      </c>
    </row>
    <row r="2074" spans="1:9" ht="48" customHeight="1">
      <c r="A2074" s="3" t="s">
        <v>66</v>
      </c>
      <c r="B2074" s="3" t="s">
        <v>65</v>
      </c>
      <c r="C2074" s="4">
        <v>46266</v>
      </c>
      <c r="D2074" s="4">
        <v>46276</v>
      </c>
      <c r="E2074" s="3" t="s">
        <v>161</v>
      </c>
      <c r="F2074" s="3" t="s">
        <v>185</v>
      </c>
      <c r="G2074" s="5">
        <v>3.0000000000000001E-3</v>
      </c>
      <c r="H2074" s="6" t="s">
        <v>77</v>
      </c>
      <c r="I2074" s="3" t="s">
        <v>45</v>
      </c>
    </row>
    <row r="2075" spans="1:9" ht="48" customHeight="1">
      <c r="A2075" s="3" t="s">
        <v>66</v>
      </c>
      <c r="B2075" s="3" t="s">
        <v>65</v>
      </c>
      <c r="C2075" s="4">
        <v>46266</v>
      </c>
      <c r="D2075" s="4">
        <v>46276</v>
      </c>
      <c r="E2075" s="3" t="s">
        <v>161</v>
      </c>
      <c r="F2075" s="3" t="s">
        <v>187</v>
      </c>
      <c r="G2075" s="5">
        <v>3.0000000000000001E-3</v>
      </c>
      <c r="H2075" s="6" t="s">
        <v>77</v>
      </c>
      <c r="I2075" s="3" t="s">
        <v>45</v>
      </c>
    </row>
    <row r="2076" spans="1:9" ht="48" customHeight="1">
      <c r="A2076" s="3" t="s">
        <v>66</v>
      </c>
      <c r="B2076" s="3" t="s">
        <v>65</v>
      </c>
      <c r="C2076" s="4">
        <v>46266</v>
      </c>
      <c r="D2076" s="4">
        <v>46276</v>
      </c>
      <c r="E2076" s="3" t="s">
        <v>161</v>
      </c>
      <c r="F2076" s="3" t="s">
        <v>192</v>
      </c>
      <c r="G2076" s="5">
        <v>3.0000000000000001E-3</v>
      </c>
      <c r="H2076" s="6" t="s">
        <v>77</v>
      </c>
      <c r="I2076" s="3" t="s">
        <v>45</v>
      </c>
    </row>
    <row r="2077" spans="1:9" ht="48" customHeight="1">
      <c r="A2077" s="3" t="s">
        <v>66</v>
      </c>
      <c r="B2077" s="3" t="s">
        <v>65</v>
      </c>
      <c r="C2077" s="4">
        <v>46266</v>
      </c>
      <c r="D2077" s="4">
        <v>46276</v>
      </c>
      <c r="E2077" s="3" t="s">
        <v>161</v>
      </c>
      <c r="F2077" s="3" t="s">
        <v>194</v>
      </c>
      <c r="G2077" s="5">
        <v>3.0000000000000001E-3</v>
      </c>
      <c r="H2077" s="6" t="s">
        <v>77</v>
      </c>
      <c r="I2077" s="3" t="s">
        <v>45</v>
      </c>
    </row>
    <row r="2078" spans="1:9" ht="48" customHeight="1">
      <c r="A2078" s="3" t="s">
        <v>66</v>
      </c>
      <c r="B2078" s="3" t="s">
        <v>65</v>
      </c>
      <c r="C2078" s="4">
        <v>46266</v>
      </c>
      <c r="D2078" s="4">
        <v>46276</v>
      </c>
      <c r="E2078" s="3" t="s">
        <v>161</v>
      </c>
      <c r="F2078" s="3" t="s">
        <v>188</v>
      </c>
      <c r="G2078" s="5">
        <v>3.0000000000000001E-3</v>
      </c>
      <c r="H2078" s="6" t="s">
        <v>77</v>
      </c>
      <c r="I2078" s="3" t="s">
        <v>45</v>
      </c>
    </row>
    <row r="2079" spans="1:9" ht="48" customHeight="1">
      <c r="A2079" s="3" t="s">
        <v>66</v>
      </c>
      <c r="B2079" s="3" t="s">
        <v>65</v>
      </c>
      <c r="C2079" s="4">
        <v>46266</v>
      </c>
      <c r="D2079" s="4">
        <v>46276</v>
      </c>
      <c r="E2079" s="3" t="s">
        <v>161</v>
      </c>
      <c r="F2079" s="3" t="s">
        <v>387</v>
      </c>
      <c r="G2079" s="5">
        <v>3.0000000000000001E-3</v>
      </c>
      <c r="H2079" s="6" t="s">
        <v>77</v>
      </c>
      <c r="I2079" s="3" t="s">
        <v>45</v>
      </c>
    </row>
    <row r="2080" spans="1:9" ht="48" customHeight="1">
      <c r="A2080" s="3" t="s">
        <v>66</v>
      </c>
      <c r="B2080" s="3" t="s">
        <v>65</v>
      </c>
      <c r="C2080" s="4">
        <v>46266</v>
      </c>
      <c r="D2080" s="4">
        <v>46276</v>
      </c>
      <c r="E2080" s="3" t="s">
        <v>161</v>
      </c>
      <c r="F2080" s="3" t="s">
        <v>184</v>
      </c>
      <c r="G2080" s="5">
        <v>3.0000000000000001E-3</v>
      </c>
      <c r="H2080" s="6" t="s">
        <v>77</v>
      </c>
      <c r="I2080" s="3" t="s">
        <v>45</v>
      </c>
    </row>
    <row r="2081" spans="1:9" ht="48" customHeight="1">
      <c r="A2081" s="3" t="s">
        <v>66</v>
      </c>
      <c r="B2081" s="3" t="s">
        <v>65</v>
      </c>
      <c r="C2081" s="4">
        <v>46266</v>
      </c>
      <c r="D2081" s="4">
        <v>46276</v>
      </c>
      <c r="E2081" s="3" t="s">
        <v>161</v>
      </c>
      <c r="F2081" s="3" t="s">
        <v>197</v>
      </c>
      <c r="G2081" s="5">
        <v>2E-3</v>
      </c>
      <c r="H2081" s="6" t="s">
        <v>77</v>
      </c>
      <c r="I2081" s="3" t="s">
        <v>45</v>
      </c>
    </row>
    <row r="2082" spans="1:9" ht="48" customHeight="1">
      <c r="A2082" s="3" t="s">
        <v>66</v>
      </c>
      <c r="B2082" s="3" t="s">
        <v>65</v>
      </c>
      <c r="C2082" s="4">
        <v>46266</v>
      </c>
      <c r="D2082" s="4">
        <v>46276</v>
      </c>
      <c r="E2082" s="3" t="s">
        <v>161</v>
      </c>
      <c r="F2082" s="3" t="s">
        <v>195</v>
      </c>
      <c r="G2082" s="5">
        <v>2E-3</v>
      </c>
      <c r="H2082" s="6" t="s">
        <v>77</v>
      </c>
      <c r="I2082" s="3" t="s">
        <v>45</v>
      </c>
    </row>
    <row r="2083" spans="1:9" ht="48" customHeight="1">
      <c r="A2083" s="3" t="s">
        <v>66</v>
      </c>
      <c r="B2083" s="3" t="s">
        <v>65</v>
      </c>
      <c r="C2083" s="4">
        <v>46266</v>
      </c>
      <c r="D2083" s="4">
        <v>46276</v>
      </c>
      <c r="E2083" s="3" t="s">
        <v>161</v>
      </c>
      <c r="F2083" s="3" t="s">
        <v>196</v>
      </c>
      <c r="G2083" s="5">
        <v>2E-3</v>
      </c>
      <c r="H2083" s="6" t="s">
        <v>77</v>
      </c>
      <c r="I2083" s="3" t="s">
        <v>45</v>
      </c>
    </row>
    <row r="2084" spans="1:9" ht="48" customHeight="1">
      <c r="A2084" s="3" t="s">
        <v>66</v>
      </c>
      <c r="B2084" s="3" t="s">
        <v>65</v>
      </c>
      <c r="C2084" s="4">
        <v>46266</v>
      </c>
      <c r="D2084" s="4">
        <v>46276</v>
      </c>
      <c r="E2084" s="3" t="s">
        <v>161</v>
      </c>
      <c r="F2084" s="3" t="s">
        <v>189</v>
      </c>
      <c r="G2084" s="5">
        <v>1E-3</v>
      </c>
      <c r="H2084" s="6" t="s">
        <v>77</v>
      </c>
      <c r="I2084" s="3" t="s">
        <v>45</v>
      </c>
    </row>
    <row r="2085" spans="1:9" ht="48" customHeight="1">
      <c r="A2085" s="3" t="s">
        <v>66</v>
      </c>
      <c r="B2085" s="3" t="s">
        <v>65</v>
      </c>
      <c r="C2085" s="4">
        <v>46266</v>
      </c>
      <c r="D2085" s="4">
        <v>46276</v>
      </c>
      <c r="E2085" s="3" t="s">
        <v>161</v>
      </c>
      <c r="F2085" s="3" t="s">
        <v>190</v>
      </c>
      <c r="G2085" s="5">
        <v>1E-3</v>
      </c>
      <c r="H2085" s="6" t="s">
        <v>77</v>
      </c>
      <c r="I2085" s="3" t="s">
        <v>45</v>
      </c>
    </row>
    <row r="2086" spans="1:9" ht="48" customHeight="1">
      <c r="A2086" s="3" t="s">
        <v>66</v>
      </c>
      <c r="B2086" s="3" t="s">
        <v>65</v>
      </c>
      <c r="C2086" s="4">
        <v>46266</v>
      </c>
      <c r="D2086" s="4">
        <v>46276</v>
      </c>
      <c r="E2086" s="3" t="s">
        <v>161</v>
      </c>
      <c r="F2086" s="3" t="s">
        <v>198</v>
      </c>
      <c r="G2086" s="5">
        <v>1E-3</v>
      </c>
      <c r="H2086" s="6" t="s">
        <v>77</v>
      </c>
      <c r="I2086" s="3" t="s">
        <v>45</v>
      </c>
    </row>
    <row r="2087" spans="1:9" ht="48" customHeight="1">
      <c r="A2087" s="3" t="s">
        <v>66</v>
      </c>
      <c r="B2087" s="3" t="s">
        <v>65</v>
      </c>
      <c r="C2087" s="4">
        <v>46266</v>
      </c>
      <c r="D2087" s="4">
        <v>46276</v>
      </c>
      <c r="E2087" s="3" t="s">
        <v>161</v>
      </c>
      <c r="F2087" s="3" t="s">
        <v>193</v>
      </c>
      <c r="G2087" s="5">
        <v>1E-3</v>
      </c>
      <c r="H2087" s="6" t="s">
        <v>77</v>
      </c>
      <c r="I2087" s="3" t="s">
        <v>45</v>
      </c>
    </row>
    <row r="2088" spans="1:9" ht="48" customHeight="1">
      <c r="A2088" s="3" t="s">
        <v>66</v>
      </c>
      <c r="B2088" s="3" t="s">
        <v>65</v>
      </c>
      <c r="C2088" s="4">
        <v>46266</v>
      </c>
      <c r="D2088" s="4">
        <v>46276</v>
      </c>
      <c r="E2088" s="3" t="s">
        <v>161</v>
      </c>
      <c r="F2088" s="3" t="s">
        <v>199</v>
      </c>
      <c r="G2088" s="5">
        <v>1E-3</v>
      </c>
      <c r="H2088" s="6" t="s">
        <v>77</v>
      </c>
      <c r="I2088" s="3" t="s">
        <v>45</v>
      </c>
    </row>
    <row r="2089" spans="1:9" ht="48" customHeight="1">
      <c r="A2089" s="3" t="s">
        <v>66</v>
      </c>
      <c r="B2089" s="3" t="s">
        <v>65</v>
      </c>
      <c r="C2089" s="4">
        <v>46266</v>
      </c>
      <c r="D2089" s="4">
        <v>46276</v>
      </c>
      <c r="E2089" s="3" t="s">
        <v>161</v>
      </c>
      <c r="F2089" s="3" t="s">
        <v>200</v>
      </c>
      <c r="G2089" s="5">
        <v>1E-3</v>
      </c>
      <c r="H2089" s="6" t="s">
        <v>77</v>
      </c>
      <c r="I2089" s="3" t="s">
        <v>45</v>
      </c>
    </row>
    <row r="2090" spans="1:9" ht="48" customHeight="1">
      <c r="A2090" s="3" t="s">
        <v>66</v>
      </c>
      <c r="B2090" s="3" t="s">
        <v>65</v>
      </c>
      <c r="C2090" s="4">
        <v>46266</v>
      </c>
      <c r="D2090" s="4">
        <v>46276</v>
      </c>
      <c r="E2090" s="3" t="s">
        <v>161</v>
      </c>
      <c r="F2090" s="3" t="s">
        <v>204</v>
      </c>
      <c r="G2090" s="5">
        <v>1E-3</v>
      </c>
      <c r="H2090" s="6" t="s">
        <v>77</v>
      </c>
      <c r="I2090" s="3" t="s">
        <v>45</v>
      </c>
    </row>
    <row r="2091" spans="1:9" ht="48" customHeight="1">
      <c r="A2091" s="3" t="s">
        <v>66</v>
      </c>
      <c r="B2091" s="3" t="s">
        <v>65</v>
      </c>
      <c r="C2091" s="4">
        <v>46266</v>
      </c>
      <c r="D2091" s="4">
        <v>46276</v>
      </c>
      <c r="E2091" s="3" t="s">
        <v>161</v>
      </c>
      <c r="F2091" s="3" t="s">
        <v>201</v>
      </c>
      <c r="G2091" s="5">
        <v>1E-3</v>
      </c>
      <c r="H2091" s="6" t="s">
        <v>77</v>
      </c>
      <c r="I2091" s="3" t="s">
        <v>45</v>
      </c>
    </row>
    <row r="2092" spans="1:9" ht="48" customHeight="1">
      <c r="A2092" s="3" t="s">
        <v>66</v>
      </c>
      <c r="B2092" s="3" t="s">
        <v>65</v>
      </c>
      <c r="C2092" s="4">
        <v>46266</v>
      </c>
      <c r="D2092" s="4">
        <v>46276</v>
      </c>
      <c r="E2092" s="3" t="s">
        <v>161</v>
      </c>
      <c r="F2092" s="3" t="s">
        <v>202</v>
      </c>
      <c r="G2092" s="5">
        <v>0</v>
      </c>
      <c r="H2092" s="6" t="s">
        <v>77</v>
      </c>
      <c r="I2092" s="3" t="s">
        <v>45</v>
      </c>
    </row>
    <row r="2093" spans="1:9" ht="48" customHeight="1">
      <c r="A2093" s="3" t="s">
        <v>66</v>
      </c>
      <c r="B2093" s="3" t="s">
        <v>65</v>
      </c>
      <c r="C2093" s="4">
        <v>46266</v>
      </c>
      <c r="D2093" s="4">
        <v>46276</v>
      </c>
      <c r="E2093" s="3" t="s">
        <v>161</v>
      </c>
      <c r="F2093" s="3" t="s">
        <v>203</v>
      </c>
      <c r="G2093" s="5">
        <v>0</v>
      </c>
      <c r="H2093" s="6" t="s">
        <v>77</v>
      </c>
      <c r="I2093" s="3" t="s">
        <v>45</v>
      </c>
    </row>
    <row r="2094" spans="1:9" ht="48" customHeight="1">
      <c r="A2094" s="3" t="s">
        <v>66</v>
      </c>
      <c r="B2094" s="3" t="s">
        <v>65</v>
      </c>
      <c r="C2094" s="4">
        <v>46266</v>
      </c>
      <c r="D2094" s="4">
        <v>46276</v>
      </c>
      <c r="E2094" s="3" t="s">
        <v>205</v>
      </c>
      <c r="F2094" s="3" t="s">
        <v>207</v>
      </c>
      <c r="G2094" s="5">
        <v>5.0000000000000001E-3</v>
      </c>
      <c r="H2094" s="6" t="s">
        <v>77</v>
      </c>
      <c r="I2094" s="3" t="s">
        <v>45</v>
      </c>
    </row>
    <row r="2095" spans="1:9" ht="48" customHeight="1">
      <c r="A2095" s="3" t="s">
        <v>66</v>
      </c>
      <c r="B2095" s="3" t="s">
        <v>65</v>
      </c>
      <c r="C2095" s="4">
        <v>46266</v>
      </c>
      <c r="D2095" s="4">
        <v>46276</v>
      </c>
      <c r="E2095" s="3" t="s">
        <v>205</v>
      </c>
      <c r="F2095" s="3" t="s">
        <v>208</v>
      </c>
      <c r="G2095" s="5">
        <v>5.0000000000000001E-3</v>
      </c>
      <c r="H2095" s="6" t="s">
        <v>77</v>
      </c>
      <c r="I2095" s="3" t="s">
        <v>45</v>
      </c>
    </row>
    <row r="2096" spans="1:9" ht="48" customHeight="1">
      <c r="A2096" s="3" t="s">
        <v>66</v>
      </c>
      <c r="B2096" s="3" t="s">
        <v>65</v>
      </c>
      <c r="C2096" s="4">
        <v>46266</v>
      </c>
      <c r="D2096" s="4">
        <v>46276</v>
      </c>
      <c r="E2096" s="3" t="s">
        <v>205</v>
      </c>
      <c r="F2096" s="3" t="s">
        <v>206</v>
      </c>
      <c r="G2096" s="5">
        <v>5.0000000000000001E-3</v>
      </c>
      <c r="H2096" s="6" t="s">
        <v>77</v>
      </c>
      <c r="I2096" s="3" t="s">
        <v>45</v>
      </c>
    </row>
    <row r="2097" spans="1:9" ht="48" customHeight="1">
      <c r="A2097" s="3" t="s">
        <v>66</v>
      </c>
      <c r="B2097" s="3" t="s">
        <v>65</v>
      </c>
      <c r="C2097" s="4">
        <v>46266</v>
      </c>
      <c r="D2097" s="4">
        <v>46276</v>
      </c>
      <c r="E2097" s="3" t="s">
        <v>205</v>
      </c>
      <c r="F2097" s="3" t="s">
        <v>210</v>
      </c>
      <c r="G2097" s="5">
        <v>5.0000000000000001E-3</v>
      </c>
      <c r="H2097" s="6" t="s">
        <v>77</v>
      </c>
      <c r="I2097" s="3" t="s">
        <v>45</v>
      </c>
    </row>
    <row r="2098" spans="1:9" ht="48" customHeight="1">
      <c r="A2098" s="3" t="s">
        <v>66</v>
      </c>
      <c r="B2098" s="3" t="s">
        <v>65</v>
      </c>
      <c r="C2098" s="4">
        <v>46266</v>
      </c>
      <c r="D2098" s="4">
        <v>46276</v>
      </c>
      <c r="E2098" s="3" t="s">
        <v>205</v>
      </c>
      <c r="F2098" s="3" t="s">
        <v>213</v>
      </c>
      <c r="G2098" s="5">
        <v>4.0000000000000001E-3</v>
      </c>
      <c r="H2098" s="6" t="s">
        <v>77</v>
      </c>
      <c r="I2098" s="3" t="s">
        <v>45</v>
      </c>
    </row>
    <row r="2099" spans="1:9" ht="48" customHeight="1">
      <c r="A2099" s="3" t="s">
        <v>66</v>
      </c>
      <c r="B2099" s="3" t="s">
        <v>65</v>
      </c>
      <c r="C2099" s="4">
        <v>46266</v>
      </c>
      <c r="D2099" s="4">
        <v>46276</v>
      </c>
      <c r="E2099" s="3" t="s">
        <v>205</v>
      </c>
      <c r="F2099" s="3" t="s">
        <v>214</v>
      </c>
      <c r="G2099" s="5">
        <v>4.0000000000000001E-3</v>
      </c>
      <c r="H2099" s="6" t="s">
        <v>77</v>
      </c>
      <c r="I2099" s="3" t="s">
        <v>45</v>
      </c>
    </row>
    <row r="2100" spans="1:9" ht="48" customHeight="1">
      <c r="A2100" s="3" t="s">
        <v>66</v>
      </c>
      <c r="B2100" s="3" t="s">
        <v>65</v>
      </c>
      <c r="C2100" s="4">
        <v>46266</v>
      </c>
      <c r="D2100" s="4">
        <v>46276</v>
      </c>
      <c r="E2100" s="3" t="s">
        <v>205</v>
      </c>
      <c r="F2100" s="3" t="s">
        <v>216</v>
      </c>
      <c r="G2100" s="5">
        <v>4.0000000000000001E-3</v>
      </c>
      <c r="H2100" s="6" t="s">
        <v>77</v>
      </c>
      <c r="I2100" s="3" t="s">
        <v>45</v>
      </c>
    </row>
    <row r="2101" spans="1:9" ht="48" customHeight="1">
      <c r="A2101" s="3" t="s">
        <v>66</v>
      </c>
      <c r="B2101" s="3" t="s">
        <v>65</v>
      </c>
      <c r="C2101" s="4">
        <v>46266</v>
      </c>
      <c r="D2101" s="4">
        <v>46276</v>
      </c>
      <c r="E2101" s="3" t="s">
        <v>205</v>
      </c>
      <c r="F2101" s="3" t="s">
        <v>217</v>
      </c>
      <c r="G2101" s="5">
        <v>3.0000000000000001E-3</v>
      </c>
      <c r="H2101" s="6" t="s">
        <v>77</v>
      </c>
      <c r="I2101" s="3" t="s">
        <v>45</v>
      </c>
    </row>
    <row r="2102" spans="1:9" ht="48" customHeight="1">
      <c r="A2102" s="3" t="s">
        <v>66</v>
      </c>
      <c r="B2102" s="3" t="s">
        <v>65</v>
      </c>
      <c r="C2102" s="4">
        <v>46266</v>
      </c>
      <c r="D2102" s="4">
        <v>46276</v>
      </c>
      <c r="E2102" s="3" t="s">
        <v>205</v>
      </c>
      <c r="F2102" s="3" t="s">
        <v>220</v>
      </c>
      <c r="G2102" s="5">
        <v>3.0000000000000001E-3</v>
      </c>
      <c r="H2102" s="6" t="s">
        <v>77</v>
      </c>
      <c r="I2102" s="3" t="s">
        <v>45</v>
      </c>
    </row>
    <row r="2103" spans="1:9" ht="48" customHeight="1">
      <c r="A2103" s="3" t="s">
        <v>66</v>
      </c>
      <c r="B2103" s="3" t="s">
        <v>65</v>
      </c>
      <c r="C2103" s="4">
        <v>46266</v>
      </c>
      <c r="D2103" s="4">
        <v>46276</v>
      </c>
      <c r="E2103" s="3" t="s">
        <v>205</v>
      </c>
      <c r="F2103" s="3" t="s">
        <v>211</v>
      </c>
      <c r="G2103" s="5">
        <v>3.0000000000000001E-3</v>
      </c>
      <c r="H2103" s="6" t="s">
        <v>77</v>
      </c>
      <c r="I2103" s="3" t="s">
        <v>45</v>
      </c>
    </row>
    <row r="2104" spans="1:9" ht="48" customHeight="1">
      <c r="A2104" s="3" t="s">
        <v>66</v>
      </c>
      <c r="B2104" s="3" t="s">
        <v>65</v>
      </c>
      <c r="C2104" s="4">
        <v>46266</v>
      </c>
      <c r="D2104" s="4">
        <v>46276</v>
      </c>
      <c r="E2104" s="3" t="s">
        <v>205</v>
      </c>
      <c r="F2104" s="3" t="s">
        <v>222</v>
      </c>
      <c r="G2104" s="5">
        <v>3.0000000000000001E-3</v>
      </c>
      <c r="H2104" s="6" t="s">
        <v>77</v>
      </c>
      <c r="I2104" s="3" t="s">
        <v>45</v>
      </c>
    </row>
    <row r="2105" spans="1:9" ht="48" customHeight="1">
      <c r="A2105" s="3" t="s">
        <v>66</v>
      </c>
      <c r="B2105" s="3" t="s">
        <v>65</v>
      </c>
      <c r="C2105" s="4">
        <v>46266</v>
      </c>
      <c r="D2105" s="4">
        <v>46276</v>
      </c>
      <c r="E2105" s="3" t="s">
        <v>205</v>
      </c>
      <c r="F2105" s="3" t="s">
        <v>212</v>
      </c>
      <c r="G2105" s="5">
        <v>3.0000000000000001E-3</v>
      </c>
      <c r="H2105" s="6" t="s">
        <v>77</v>
      </c>
      <c r="I2105" s="3" t="s">
        <v>45</v>
      </c>
    </row>
    <row r="2106" spans="1:9" ht="48" customHeight="1">
      <c r="A2106" s="3" t="s">
        <v>66</v>
      </c>
      <c r="B2106" s="3" t="s">
        <v>65</v>
      </c>
      <c r="C2106" s="4">
        <v>46266</v>
      </c>
      <c r="D2106" s="4">
        <v>46276</v>
      </c>
      <c r="E2106" s="3" t="s">
        <v>205</v>
      </c>
      <c r="F2106" s="3" t="s">
        <v>215</v>
      </c>
      <c r="G2106" s="5">
        <v>3.0000000000000001E-3</v>
      </c>
      <c r="H2106" s="6" t="s">
        <v>77</v>
      </c>
      <c r="I2106" s="3" t="s">
        <v>45</v>
      </c>
    </row>
    <row r="2107" spans="1:9" ht="48" customHeight="1">
      <c r="A2107" s="3" t="s">
        <v>66</v>
      </c>
      <c r="B2107" s="3" t="s">
        <v>65</v>
      </c>
      <c r="C2107" s="4">
        <v>46266</v>
      </c>
      <c r="D2107" s="4">
        <v>46276</v>
      </c>
      <c r="E2107" s="3" t="s">
        <v>205</v>
      </c>
      <c r="F2107" s="3" t="s">
        <v>209</v>
      </c>
      <c r="G2107" s="5">
        <v>3.0000000000000001E-3</v>
      </c>
      <c r="H2107" s="6" t="s">
        <v>77</v>
      </c>
      <c r="I2107" s="3" t="s">
        <v>45</v>
      </c>
    </row>
    <row r="2108" spans="1:9" ht="48" customHeight="1">
      <c r="A2108" s="3" t="s">
        <v>66</v>
      </c>
      <c r="B2108" s="3" t="s">
        <v>65</v>
      </c>
      <c r="C2108" s="4">
        <v>46266</v>
      </c>
      <c r="D2108" s="4">
        <v>46276</v>
      </c>
      <c r="E2108" s="3" t="s">
        <v>205</v>
      </c>
      <c r="F2108" s="3" t="s">
        <v>223</v>
      </c>
      <c r="G2108" s="5">
        <v>2E-3</v>
      </c>
      <c r="H2108" s="6" t="s">
        <v>77</v>
      </c>
      <c r="I2108" s="3" t="s">
        <v>45</v>
      </c>
    </row>
    <row r="2109" spans="1:9" ht="48" customHeight="1">
      <c r="A2109" s="3" t="s">
        <v>66</v>
      </c>
      <c r="B2109" s="3" t="s">
        <v>65</v>
      </c>
      <c r="C2109" s="4">
        <v>46266</v>
      </c>
      <c r="D2109" s="4">
        <v>46276</v>
      </c>
      <c r="E2109" s="3" t="s">
        <v>205</v>
      </c>
      <c r="F2109" s="3" t="s">
        <v>224</v>
      </c>
      <c r="G2109" s="5">
        <v>2E-3</v>
      </c>
      <c r="H2109" s="6" t="s">
        <v>77</v>
      </c>
      <c r="I2109" s="3" t="s">
        <v>45</v>
      </c>
    </row>
    <row r="2110" spans="1:9" ht="48" customHeight="1">
      <c r="A2110" s="3" t="s">
        <v>66</v>
      </c>
      <c r="B2110" s="3" t="s">
        <v>65</v>
      </c>
      <c r="C2110" s="4">
        <v>46266</v>
      </c>
      <c r="D2110" s="4">
        <v>46276</v>
      </c>
      <c r="E2110" s="3" t="s">
        <v>205</v>
      </c>
      <c r="F2110" s="3" t="s">
        <v>218</v>
      </c>
      <c r="G2110" s="5">
        <v>2E-3</v>
      </c>
      <c r="H2110" s="6" t="s">
        <v>77</v>
      </c>
      <c r="I2110" s="3" t="s">
        <v>45</v>
      </c>
    </row>
    <row r="2111" spans="1:9" ht="48" customHeight="1">
      <c r="A2111" s="3" t="s">
        <v>66</v>
      </c>
      <c r="B2111" s="3" t="s">
        <v>65</v>
      </c>
      <c r="C2111" s="4">
        <v>46266</v>
      </c>
      <c r="D2111" s="4">
        <v>46276</v>
      </c>
      <c r="E2111" s="3" t="s">
        <v>205</v>
      </c>
      <c r="F2111" s="3" t="s">
        <v>225</v>
      </c>
      <c r="G2111" s="5">
        <v>2E-3</v>
      </c>
      <c r="H2111" s="6" t="s">
        <v>77</v>
      </c>
      <c r="I2111" s="3" t="s">
        <v>45</v>
      </c>
    </row>
    <row r="2112" spans="1:9" ht="48" customHeight="1">
      <c r="A2112" s="3" t="s">
        <v>66</v>
      </c>
      <c r="B2112" s="3" t="s">
        <v>65</v>
      </c>
      <c r="C2112" s="4">
        <v>46266</v>
      </c>
      <c r="D2112" s="4">
        <v>46276</v>
      </c>
      <c r="E2112" s="3" t="s">
        <v>205</v>
      </c>
      <c r="F2112" s="3" t="s">
        <v>219</v>
      </c>
      <c r="G2112" s="5">
        <v>2E-3</v>
      </c>
      <c r="H2112" s="6" t="s">
        <v>77</v>
      </c>
      <c r="I2112" s="3" t="s">
        <v>45</v>
      </c>
    </row>
    <row r="2113" spans="1:9" ht="48" customHeight="1">
      <c r="A2113" s="3" t="s">
        <v>66</v>
      </c>
      <c r="B2113" s="3" t="s">
        <v>65</v>
      </c>
      <c r="C2113" s="4">
        <v>46266</v>
      </c>
      <c r="D2113" s="4">
        <v>46276</v>
      </c>
      <c r="E2113" s="3" t="s">
        <v>205</v>
      </c>
      <c r="F2113" s="3" t="s">
        <v>226</v>
      </c>
      <c r="G2113" s="5">
        <v>2E-3</v>
      </c>
      <c r="H2113" s="6" t="s">
        <v>77</v>
      </c>
      <c r="I2113" s="3" t="s">
        <v>45</v>
      </c>
    </row>
    <row r="2114" spans="1:9" ht="48" customHeight="1">
      <c r="A2114" s="3" t="s">
        <v>66</v>
      </c>
      <c r="B2114" s="3" t="s">
        <v>65</v>
      </c>
      <c r="C2114" s="4">
        <v>46266</v>
      </c>
      <c r="D2114" s="4">
        <v>46276</v>
      </c>
      <c r="E2114" s="3" t="s">
        <v>205</v>
      </c>
      <c r="F2114" s="3" t="s">
        <v>227</v>
      </c>
      <c r="G2114" s="5">
        <v>2E-3</v>
      </c>
      <c r="H2114" s="6" t="s">
        <v>77</v>
      </c>
      <c r="I2114" s="3" t="s">
        <v>45</v>
      </c>
    </row>
    <row r="2115" spans="1:9" ht="48" customHeight="1">
      <c r="A2115" s="3" t="s">
        <v>66</v>
      </c>
      <c r="B2115" s="3" t="s">
        <v>65</v>
      </c>
      <c r="C2115" s="4">
        <v>46266</v>
      </c>
      <c r="D2115" s="4">
        <v>46276</v>
      </c>
      <c r="E2115" s="3" t="s">
        <v>205</v>
      </c>
      <c r="F2115" s="3" t="s">
        <v>221</v>
      </c>
      <c r="G2115" s="5">
        <v>2E-3</v>
      </c>
      <c r="H2115" s="6" t="s">
        <v>77</v>
      </c>
      <c r="I2115" s="3" t="s">
        <v>45</v>
      </c>
    </row>
    <row r="2116" spans="1:9" ht="48" customHeight="1">
      <c r="A2116" s="3" t="s">
        <v>66</v>
      </c>
      <c r="B2116" s="3" t="s">
        <v>65</v>
      </c>
      <c r="C2116" s="4">
        <v>46266</v>
      </c>
      <c r="D2116" s="4">
        <v>46276</v>
      </c>
      <c r="E2116" s="3" t="s">
        <v>205</v>
      </c>
      <c r="F2116" s="3" t="s">
        <v>228</v>
      </c>
      <c r="G2116" s="5">
        <v>2E-3</v>
      </c>
      <c r="H2116" s="6" t="s">
        <v>77</v>
      </c>
      <c r="I2116" s="3" t="s">
        <v>45</v>
      </c>
    </row>
    <row r="2117" spans="1:9" ht="48" customHeight="1">
      <c r="A2117" s="3" t="s">
        <v>66</v>
      </c>
      <c r="B2117" s="3" t="s">
        <v>65</v>
      </c>
      <c r="C2117" s="4">
        <v>46266</v>
      </c>
      <c r="D2117" s="4">
        <v>46276</v>
      </c>
      <c r="E2117" s="3" t="s">
        <v>205</v>
      </c>
      <c r="F2117" s="3" t="s">
        <v>229</v>
      </c>
      <c r="G2117" s="5">
        <v>1E-3</v>
      </c>
      <c r="H2117" s="6" t="s">
        <v>77</v>
      </c>
      <c r="I2117" s="3" t="s">
        <v>45</v>
      </c>
    </row>
    <row r="2118" spans="1:9" ht="48" customHeight="1">
      <c r="A2118" s="3" t="s">
        <v>66</v>
      </c>
      <c r="B2118" s="3" t="s">
        <v>65</v>
      </c>
      <c r="C2118" s="4">
        <v>46266</v>
      </c>
      <c r="D2118" s="4">
        <v>46276</v>
      </c>
      <c r="E2118" s="3" t="s">
        <v>205</v>
      </c>
      <c r="F2118" s="3" t="s">
        <v>230</v>
      </c>
      <c r="G2118" s="5">
        <v>1E-3</v>
      </c>
      <c r="H2118" s="6" t="s">
        <v>77</v>
      </c>
      <c r="I2118" s="3" t="s">
        <v>45</v>
      </c>
    </row>
    <row r="2119" spans="1:9" ht="48" customHeight="1">
      <c r="A2119" s="3" t="s">
        <v>66</v>
      </c>
      <c r="B2119" s="3" t="s">
        <v>65</v>
      </c>
      <c r="C2119" s="4">
        <v>46266</v>
      </c>
      <c r="D2119" s="4">
        <v>46276</v>
      </c>
      <c r="E2119" s="3" t="s">
        <v>231</v>
      </c>
      <c r="F2119" s="3" t="s">
        <v>232</v>
      </c>
      <c r="G2119" s="5">
        <v>1.7000000000000001E-2</v>
      </c>
      <c r="H2119" s="6" t="s">
        <v>77</v>
      </c>
      <c r="I2119" s="3" t="s">
        <v>45</v>
      </c>
    </row>
    <row r="2120" spans="1:9" ht="48" customHeight="1">
      <c r="A2120" s="3" t="s">
        <v>66</v>
      </c>
      <c r="B2120" s="3" t="s">
        <v>65</v>
      </c>
      <c r="C2120" s="4">
        <v>46266</v>
      </c>
      <c r="D2120" s="4">
        <v>46276</v>
      </c>
      <c r="E2120" s="3" t="s">
        <v>231</v>
      </c>
      <c r="F2120" s="3" t="s">
        <v>233</v>
      </c>
      <c r="G2120" s="5">
        <v>1.4999999999999999E-2</v>
      </c>
      <c r="H2120" s="6" t="s">
        <v>77</v>
      </c>
      <c r="I2120" s="3" t="s">
        <v>45</v>
      </c>
    </row>
    <row r="2121" spans="1:9" ht="48" customHeight="1">
      <c r="A2121" s="3" t="s">
        <v>66</v>
      </c>
      <c r="B2121" s="3" t="s">
        <v>65</v>
      </c>
      <c r="C2121" s="4">
        <v>46266</v>
      </c>
      <c r="D2121" s="4">
        <v>46276</v>
      </c>
      <c r="E2121" s="3" t="s">
        <v>231</v>
      </c>
      <c r="F2121" s="3" t="s">
        <v>230</v>
      </c>
      <c r="G2121" s="5">
        <v>8.0000000000000002E-3</v>
      </c>
      <c r="H2121" s="6" t="s">
        <v>77</v>
      </c>
      <c r="I2121" s="3" t="s">
        <v>45</v>
      </c>
    </row>
    <row r="2122" spans="1:9" ht="48" customHeight="1">
      <c r="A2122" s="3" t="s">
        <v>66</v>
      </c>
      <c r="B2122" s="3" t="s">
        <v>65</v>
      </c>
      <c r="C2122" s="4">
        <v>46266</v>
      </c>
      <c r="D2122" s="4">
        <v>46276</v>
      </c>
      <c r="E2122" s="3" t="s">
        <v>231</v>
      </c>
      <c r="F2122" s="3" t="s">
        <v>234</v>
      </c>
      <c r="G2122" s="5">
        <v>6.9999999999999993E-3</v>
      </c>
      <c r="H2122" s="6" t="s">
        <v>77</v>
      </c>
      <c r="I2122" s="3" t="s">
        <v>45</v>
      </c>
    </row>
    <row r="2123" spans="1:9" ht="48" customHeight="1">
      <c r="A2123" s="3" t="s">
        <v>66</v>
      </c>
      <c r="B2123" s="3" t="s">
        <v>65</v>
      </c>
      <c r="C2123" s="4">
        <v>46266</v>
      </c>
      <c r="D2123" s="4">
        <v>46276</v>
      </c>
      <c r="E2123" s="3" t="s">
        <v>231</v>
      </c>
      <c r="F2123" s="3" t="s">
        <v>235</v>
      </c>
      <c r="G2123" s="5">
        <v>5.0000000000000001E-3</v>
      </c>
      <c r="H2123" s="6" t="s">
        <v>77</v>
      </c>
      <c r="I2123" s="3" t="s">
        <v>45</v>
      </c>
    </row>
    <row r="2124" spans="1:9" ht="48" customHeight="1">
      <c r="A2124" s="3" t="s">
        <v>66</v>
      </c>
      <c r="B2124" s="3" t="s">
        <v>65</v>
      </c>
      <c r="C2124" s="4">
        <v>46266</v>
      </c>
      <c r="D2124" s="4">
        <v>46276</v>
      </c>
      <c r="E2124" s="3" t="s">
        <v>236</v>
      </c>
      <c r="F2124" s="3" t="s">
        <v>237</v>
      </c>
      <c r="G2124" s="5">
        <v>6.0000000000000001E-3</v>
      </c>
      <c r="H2124" s="6" t="s">
        <v>77</v>
      </c>
      <c r="I2124" s="3" t="s">
        <v>45</v>
      </c>
    </row>
    <row r="2125" spans="1:9" ht="48" customHeight="1">
      <c r="A2125" s="3" t="s">
        <v>66</v>
      </c>
      <c r="B2125" s="3" t="s">
        <v>65</v>
      </c>
      <c r="C2125" s="4">
        <v>46266</v>
      </c>
      <c r="D2125" s="4">
        <v>46276</v>
      </c>
      <c r="E2125" s="3" t="s">
        <v>236</v>
      </c>
      <c r="F2125" s="3" t="s">
        <v>238</v>
      </c>
      <c r="G2125" s="5">
        <v>6.0000000000000001E-3</v>
      </c>
      <c r="H2125" s="6" t="s">
        <v>77</v>
      </c>
      <c r="I2125" s="3" t="s">
        <v>45</v>
      </c>
    </row>
    <row r="2126" spans="1:9" ht="48" customHeight="1">
      <c r="A2126" s="3" t="s">
        <v>66</v>
      </c>
      <c r="B2126" s="3" t="s">
        <v>65</v>
      </c>
      <c r="C2126" s="4">
        <v>46266</v>
      </c>
      <c r="D2126" s="4">
        <v>46276</v>
      </c>
      <c r="E2126" s="3" t="s">
        <v>236</v>
      </c>
      <c r="F2126" s="3" t="s">
        <v>239</v>
      </c>
      <c r="G2126" s="5">
        <v>6.0000000000000001E-3</v>
      </c>
      <c r="H2126" s="6" t="s">
        <v>77</v>
      </c>
      <c r="I2126" s="3" t="s">
        <v>45</v>
      </c>
    </row>
    <row r="2127" spans="1:9" ht="48" customHeight="1">
      <c r="A2127" s="3" t="s">
        <v>66</v>
      </c>
      <c r="B2127" s="3" t="s">
        <v>65</v>
      </c>
      <c r="C2127" s="4">
        <v>46266</v>
      </c>
      <c r="D2127" s="4">
        <v>46276</v>
      </c>
      <c r="E2127" s="3" t="s">
        <v>236</v>
      </c>
      <c r="F2127" s="3" t="s">
        <v>240</v>
      </c>
      <c r="G2127" s="5">
        <v>5.0000000000000001E-3</v>
      </c>
      <c r="H2127" s="6" t="s">
        <v>77</v>
      </c>
      <c r="I2127" s="3" t="s">
        <v>45</v>
      </c>
    </row>
    <row r="2128" spans="1:9" ht="48" customHeight="1">
      <c r="A2128" s="3" t="s">
        <v>66</v>
      </c>
      <c r="B2128" s="3" t="s">
        <v>65</v>
      </c>
      <c r="C2128" s="4">
        <v>46266</v>
      </c>
      <c r="D2128" s="4">
        <v>46276</v>
      </c>
      <c r="E2128" s="3" t="s">
        <v>236</v>
      </c>
      <c r="F2128" s="3" t="s">
        <v>388</v>
      </c>
      <c r="G2128" s="5">
        <v>5.0000000000000001E-3</v>
      </c>
      <c r="H2128" s="6" t="s">
        <v>77</v>
      </c>
      <c r="I2128" s="3" t="s">
        <v>45</v>
      </c>
    </row>
    <row r="2129" spans="1:9" ht="48" customHeight="1">
      <c r="A2129" s="3" t="s">
        <v>66</v>
      </c>
      <c r="B2129" s="3" t="s">
        <v>65</v>
      </c>
      <c r="C2129" s="4">
        <v>46266</v>
      </c>
      <c r="D2129" s="4">
        <v>46276</v>
      </c>
      <c r="E2129" s="3" t="s">
        <v>236</v>
      </c>
      <c r="F2129" s="3" t="s">
        <v>241</v>
      </c>
      <c r="G2129" s="5">
        <v>3.0000000000000001E-3</v>
      </c>
      <c r="H2129" s="6" t="s">
        <v>77</v>
      </c>
      <c r="I2129" s="3" t="s">
        <v>45</v>
      </c>
    </row>
    <row r="2130" spans="1:9" ht="48" customHeight="1">
      <c r="A2130" s="3" t="s">
        <v>66</v>
      </c>
      <c r="B2130" s="3" t="s">
        <v>65</v>
      </c>
      <c r="C2130" s="4">
        <v>46266</v>
      </c>
      <c r="D2130" s="4">
        <v>46276</v>
      </c>
      <c r="E2130" s="3" t="s">
        <v>236</v>
      </c>
      <c r="F2130" s="3" t="s">
        <v>390</v>
      </c>
      <c r="G2130" s="5">
        <v>2E-3</v>
      </c>
      <c r="H2130" s="6" t="s">
        <v>77</v>
      </c>
      <c r="I2130" s="3" t="s">
        <v>45</v>
      </c>
    </row>
    <row r="2131" spans="1:9" ht="48" customHeight="1">
      <c r="A2131" s="3" t="s">
        <v>66</v>
      </c>
      <c r="B2131" s="3" t="s">
        <v>65</v>
      </c>
      <c r="C2131" s="4">
        <v>46266</v>
      </c>
      <c r="D2131" s="4">
        <v>46276</v>
      </c>
      <c r="E2131" s="3" t="s">
        <v>236</v>
      </c>
      <c r="F2131" s="3" t="s">
        <v>389</v>
      </c>
      <c r="G2131" s="5">
        <v>2E-3</v>
      </c>
      <c r="H2131" s="6" t="s">
        <v>77</v>
      </c>
      <c r="I2131" s="3" t="s">
        <v>45</v>
      </c>
    </row>
    <row r="2132" spans="1:9" ht="48" customHeight="1">
      <c r="A2132" s="3" t="s">
        <v>66</v>
      </c>
      <c r="B2132" s="3" t="s">
        <v>65</v>
      </c>
      <c r="C2132" s="4">
        <v>46266</v>
      </c>
      <c r="D2132" s="4">
        <v>46276</v>
      </c>
      <c r="E2132" s="3" t="s">
        <v>236</v>
      </c>
      <c r="F2132" s="3" t="s">
        <v>391</v>
      </c>
      <c r="G2132" s="5">
        <v>1E-3</v>
      </c>
      <c r="H2132" s="6" t="s">
        <v>77</v>
      </c>
      <c r="I2132" s="3" t="s">
        <v>45</v>
      </c>
    </row>
    <row r="2133" spans="1:9" ht="48" customHeight="1">
      <c r="A2133" s="3" t="s">
        <v>66</v>
      </c>
      <c r="B2133" s="3" t="s">
        <v>65</v>
      </c>
      <c r="C2133" s="4">
        <v>46266</v>
      </c>
      <c r="D2133" s="4">
        <v>46276</v>
      </c>
      <c r="E2133" s="3" t="s">
        <v>236</v>
      </c>
      <c r="F2133" s="3" t="s">
        <v>242</v>
      </c>
      <c r="G2133" s="5">
        <v>1E-3</v>
      </c>
      <c r="H2133" s="6" t="s">
        <v>77</v>
      </c>
      <c r="I2133" s="3" t="s">
        <v>45</v>
      </c>
    </row>
    <row r="2134" spans="1:9" ht="48" customHeight="1">
      <c r="A2134" s="3" t="s">
        <v>66</v>
      </c>
      <c r="B2134" s="3" t="s">
        <v>65</v>
      </c>
      <c r="C2134" s="4">
        <v>46266</v>
      </c>
      <c r="D2134" s="4">
        <v>46276</v>
      </c>
      <c r="E2134" s="3" t="s">
        <v>236</v>
      </c>
      <c r="F2134" s="3" t="s">
        <v>243</v>
      </c>
      <c r="G2134" s="5">
        <v>0</v>
      </c>
      <c r="H2134" s="6" t="s">
        <v>77</v>
      </c>
      <c r="I2134" s="3" t="s">
        <v>45</v>
      </c>
    </row>
    <row r="2135" spans="1:9" ht="48" customHeight="1">
      <c r="A2135" s="3" t="s">
        <v>66</v>
      </c>
      <c r="B2135" s="3" t="s">
        <v>65</v>
      </c>
      <c r="C2135" s="4">
        <v>46266</v>
      </c>
      <c r="D2135" s="4">
        <v>46276</v>
      </c>
      <c r="E2135" s="3" t="s">
        <v>244</v>
      </c>
      <c r="F2135" s="3" t="s">
        <v>245</v>
      </c>
      <c r="G2135" s="5">
        <v>6.9999999999999993E-3</v>
      </c>
      <c r="H2135" s="6" t="s">
        <v>77</v>
      </c>
      <c r="I2135" s="3" t="s">
        <v>45</v>
      </c>
    </row>
    <row r="2136" spans="1:9" ht="48" customHeight="1">
      <c r="A2136" s="3" t="s">
        <v>66</v>
      </c>
      <c r="B2136" s="3" t="s">
        <v>65</v>
      </c>
      <c r="C2136" s="4">
        <v>46266</v>
      </c>
      <c r="D2136" s="4">
        <v>46276</v>
      </c>
      <c r="E2136" s="3" t="s">
        <v>244</v>
      </c>
      <c r="F2136" s="3" t="s">
        <v>246</v>
      </c>
      <c r="G2136" s="5">
        <v>4.0000000000000001E-3</v>
      </c>
      <c r="H2136" s="6" t="s">
        <v>77</v>
      </c>
      <c r="I2136" s="3" t="s">
        <v>45</v>
      </c>
    </row>
    <row r="2137" spans="1:9" ht="48" customHeight="1">
      <c r="A2137" s="3" t="s">
        <v>66</v>
      </c>
      <c r="B2137" s="3" t="s">
        <v>65</v>
      </c>
      <c r="C2137" s="4">
        <v>46266</v>
      </c>
      <c r="D2137" s="4">
        <v>46276</v>
      </c>
      <c r="E2137" s="3" t="s">
        <v>244</v>
      </c>
      <c r="F2137" s="3" t="s">
        <v>248</v>
      </c>
      <c r="G2137" s="5">
        <v>3.0000000000000001E-3</v>
      </c>
      <c r="H2137" s="6" t="s">
        <v>77</v>
      </c>
      <c r="I2137" s="3" t="s">
        <v>45</v>
      </c>
    </row>
    <row r="2138" spans="1:9" ht="48" customHeight="1">
      <c r="A2138" s="3" t="s">
        <v>66</v>
      </c>
      <c r="B2138" s="3" t="s">
        <v>65</v>
      </c>
      <c r="C2138" s="4">
        <v>46266</v>
      </c>
      <c r="D2138" s="4">
        <v>46276</v>
      </c>
      <c r="E2138" s="3" t="s">
        <v>244</v>
      </c>
      <c r="F2138" s="3" t="s">
        <v>247</v>
      </c>
      <c r="G2138" s="5">
        <v>3.0000000000000001E-3</v>
      </c>
      <c r="H2138" s="6" t="s">
        <v>77</v>
      </c>
      <c r="I2138" s="3" t="s">
        <v>45</v>
      </c>
    </row>
    <row r="2139" spans="1:9" ht="48" customHeight="1">
      <c r="A2139" s="3" t="s">
        <v>66</v>
      </c>
      <c r="B2139" s="3" t="s">
        <v>65</v>
      </c>
      <c r="C2139" s="4">
        <v>46266</v>
      </c>
      <c r="D2139" s="4">
        <v>46276</v>
      </c>
      <c r="E2139" s="3" t="s">
        <v>244</v>
      </c>
      <c r="F2139" s="3" t="s">
        <v>249</v>
      </c>
      <c r="G2139" s="5">
        <v>2E-3</v>
      </c>
      <c r="H2139" s="6" t="s">
        <v>77</v>
      </c>
      <c r="I2139" s="3" t="s">
        <v>45</v>
      </c>
    </row>
    <row r="2140" spans="1:9" ht="48" customHeight="1">
      <c r="A2140" s="3" t="s">
        <v>66</v>
      </c>
      <c r="B2140" s="3" t="s">
        <v>65</v>
      </c>
      <c r="C2140" s="4">
        <v>46266</v>
      </c>
      <c r="D2140" s="4">
        <v>46276</v>
      </c>
      <c r="E2140" s="3" t="s">
        <v>244</v>
      </c>
      <c r="F2140" s="3" t="s">
        <v>250</v>
      </c>
      <c r="G2140" s="5">
        <v>1E-3</v>
      </c>
      <c r="H2140" s="6" t="s">
        <v>77</v>
      </c>
      <c r="I2140" s="3" t="s">
        <v>45</v>
      </c>
    </row>
    <row r="2141" spans="1:9" ht="48" customHeight="1">
      <c r="A2141" s="3" t="s">
        <v>66</v>
      </c>
      <c r="B2141" s="3" t="s">
        <v>65</v>
      </c>
      <c r="C2141" s="4">
        <v>46266</v>
      </c>
      <c r="D2141" s="4">
        <v>46276</v>
      </c>
      <c r="E2141" s="3" t="s">
        <v>244</v>
      </c>
      <c r="F2141" s="3" t="s">
        <v>251</v>
      </c>
      <c r="G2141" s="5">
        <v>1E-3</v>
      </c>
      <c r="H2141" s="6" t="s">
        <v>77</v>
      </c>
      <c r="I2141" s="3" t="s">
        <v>45</v>
      </c>
    </row>
    <row r="2142" spans="1:9" ht="48" customHeight="1">
      <c r="A2142" s="3" t="s">
        <v>66</v>
      </c>
      <c r="B2142" s="3" t="s">
        <v>65</v>
      </c>
      <c r="C2142" s="4">
        <v>46266</v>
      </c>
      <c r="D2142" s="4">
        <v>46276</v>
      </c>
      <c r="E2142" s="3" t="s">
        <v>244</v>
      </c>
      <c r="F2142" s="3" t="s">
        <v>252</v>
      </c>
      <c r="G2142" s="5">
        <v>1E-3</v>
      </c>
      <c r="H2142" s="6" t="s">
        <v>77</v>
      </c>
      <c r="I2142" s="3" t="s">
        <v>45</v>
      </c>
    </row>
    <row r="2143" spans="1:9" ht="48" customHeight="1">
      <c r="A2143" s="3" t="s">
        <v>66</v>
      </c>
      <c r="B2143" s="3" t="s">
        <v>65</v>
      </c>
      <c r="C2143" s="4">
        <v>46266</v>
      </c>
      <c r="D2143" s="4">
        <v>46276</v>
      </c>
      <c r="E2143" s="3" t="s">
        <v>244</v>
      </c>
      <c r="F2143" s="3" t="s">
        <v>253</v>
      </c>
      <c r="G2143" s="5">
        <v>1E-3</v>
      </c>
      <c r="H2143" s="6" t="s">
        <v>77</v>
      </c>
      <c r="I2143" s="3" t="s">
        <v>45</v>
      </c>
    </row>
    <row r="2144" spans="1:9" ht="48" customHeight="1">
      <c r="A2144" s="3" t="s">
        <v>66</v>
      </c>
      <c r="B2144" s="3" t="s">
        <v>65</v>
      </c>
      <c r="C2144" s="4">
        <v>46266</v>
      </c>
      <c r="D2144" s="4">
        <v>46276</v>
      </c>
      <c r="E2144" s="3" t="s">
        <v>244</v>
      </c>
      <c r="F2144" s="3" t="s">
        <v>254</v>
      </c>
      <c r="G2144" s="5">
        <v>1E-3</v>
      </c>
      <c r="H2144" s="6" t="s">
        <v>77</v>
      </c>
      <c r="I2144" s="3" t="s">
        <v>45</v>
      </c>
    </row>
    <row r="2145" spans="1:9" ht="48" customHeight="1">
      <c r="A2145" s="3" t="s">
        <v>66</v>
      </c>
      <c r="B2145" s="3" t="s">
        <v>65</v>
      </c>
      <c r="C2145" s="4">
        <v>46266</v>
      </c>
      <c r="D2145" s="4">
        <v>46276</v>
      </c>
      <c r="E2145" s="3" t="s">
        <v>244</v>
      </c>
      <c r="F2145" s="3" t="s">
        <v>255</v>
      </c>
      <c r="G2145" s="5">
        <v>0</v>
      </c>
      <c r="H2145" s="6" t="s">
        <v>77</v>
      </c>
      <c r="I2145" s="3" t="s">
        <v>45</v>
      </c>
    </row>
    <row r="2146" spans="1:9" ht="48" customHeight="1">
      <c r="A2146" s="3" t="s">
        <v>66</v>
      </c>
      <c r="B2146" s="3" t="s">
        <v>65</v>
      </c>
      <c r="C2146" s="4">
        <v>46266</v>
      </c>
      <c r="D2146" s="4">
        <v>46276</v>
      </c>
      <c r="E2146" s="3" t="s">
        <v>244</v>
      </c>
      <c r="F2146" s="3" t="s">
        <v>256</v>
      </c>
      <c r="G2146" s="5">
        <v>0</v>
      </c>
      <c r="H2146" s="6" t="s">
        <v>77</v>
      </c>
      <c r="I2146" s="3" t="s">
        <v>45</v>
      </c>
    </row>
    <row r="2147" spans="1:9" ht="48" customHeight="1">
      <c r="A2147" s="3" t="s">
        <v>66</v>
      </c>
      <c r="B2147" s="3" t="s">
        <v>65</v>
      </c>
      <c r="C2147" s="4">
        <v>46266</v>
      </c>
      <c r="D2147" s="4">
        <v>46276</v>
      </c>
      <c r="E2147" s="3" t="s">
        <v>244</v>
      </c>
      <c r="F2147" s="3" t="s">
        <v>257</v>
      </c>
      <c r="G2147" s="5">
        <v>0</v>
      </c>
      <c r="H2147" s="6" t="s">
        <v>77</v>
      </c>
      <c r="I2147" s="3" t="s">
        <v>45</v>
      </c>
    </row>
    <row r="2148" spans="1:9" ht="48" customHeight="1">
      <c r="A2148" s="3" t="s">
        <v>66</v>
      </c>
      <c r="B2148" s="3" t="s">
        <v>65</v>
      </c>
      <c r="C2148" s="4">
        <v>46266</v>
      </c>
      <c r="D2148" s="4">
        <v>46276</v>
      </c>
      <c r="E2148" s="3" t="s">
        <v>244</v>
      </c>
      <c r="F2148" s="3" t="s">
        <v>258</v>
      </c>
      <c r="G2148" s="5">
        <v>0</v>
      </c>
      <c r="H2148" s="6" t="s">
        <v>77</v>
      </c>
      <c r="I2148" s="3" t="s">
        <v>45</v>
      </c>
    </row>
    <row r="2149" spans="1:9" ht="48" customHeight="1">
      <c r="A2149" s="3" t="s">
        <v>66</v>
      </c>
      <c r="B2149" s="3" t="s">
        <v>65</v>
      </c>
      <c r="C2149" s="4">
        <v>46266</v>
      </c>
      <c r="D2149" s="4">
        <v>46276</v>
      </c>
      <c r="E2149" s="3" t="s">
        <v>244</v>
      </c>
      <c r="F2149" s="3" t="s">
        <v>259</v>
      </c>
      <c r="G2149" s="5">
        <v>0</v>
      </c>
      <c r="H2149" s="6" t="s">
        <v>77</v>
      </c>
      <c r="I2149" s="3" t="s">
        <v>45</v>
      </c>
    </row>
    <row r="2150" spans="1:9" ht="48" customHeight="1">
      <c r="A2150" s="3" t="s">
        <v>66</v>
      </c>
      <c r="B2150" s="3" t="s">
        <v>65</v>
      </c>
      <c r="C2150" s="4">
        <v>46266</v>
      </c>
      <c r="D2150" s="4">
        <v>46276</v>
      </c>
      <c r="E2150" s="3" t="s">
        <v>286</v>
      </c>
      <c r="F2150" s="3" t="s">
        <v>287</v>
      </c>
      <c r="G2150" s="5">
        <v>5.0000000000000001E-3</v>
      </c>
      <c r="H2150" s="6" t="s">
        <v>77</v>
      </c>
      <c r="I2150" s="3" t="s">
        <v>45</v>
      </c>
    </row>
    <row r="2151" spans="1:9" ht="48" customHeight="1">
      <c r="A2151" s="3" t="s">
        <v>66</v>
      </c>
      <c r="B2151" s="3" t="s">
        <v>65</v>
      </c>
      <c r="C2151" s="4">
        <v>46266</v>
      </c>
      <c r="D2151" s="4">
        <v>46276</v>
      </c>
      <c r="E2151" s="3" t="s">
        <v>286</v>
      </c>
      <c r="F2151" s="3" t="s">
        <v>290</v>
      </c>
      <c r="G2151" s="5">
        <v>3.0000000000000001E-3</v>
      </c>
      <c r="H2151" s="6" t="s">
        <v>77</v>
      </c>
      <c r="I2151" s="3" t="s">
        <v>45</v>
      </c>
    </row>
    <row r="2152" spans="1:9" ht="48" customHeight="1">
      <c r="A2152" s="3" t="s">
        <v>66</v>
      </c>
      <c r="B2152" s="3" t="s">
        <v>65</v>
      </c>
      <c r="C2152" s="4">
        <v>46266</v>
      </c>
      <c r="D2152" s="4">
        <v>46276</v>
      </c>
      <c r="E2152" s="3" t="s">
        <v>286</v>
      </c>
      <c r="F2152" s="3" t="s">
        <v>288</v>
      </c>
      <c r="G2152" s="5">
        <v>3.0000000000000001E-3</v>
      </c>
      <c r="H2152" s="6" t="s">
        <v>77</v>
      </c>
      <c r="I2152" s="3" t="s">
        <v>45</v>
      </c>
    </row>
    <row r="2153" spans="1:9" ht="48" customHeight="1">
      <c r="A2153" s="3" t="s">
        <v>66</v>
      </c>
      <c r="B2153" s="3" t="s">
        <v>65</v>
      </c>
      <c r="C2153" s="4">
        <v>46266</v>
      </c>
      <c r="D2153" s="4">
        <v>46276</v>
      </c>
      <c r="E2153" s="3" t="s">
        <v>286</v>
      </c>
      <c r="F2153" s="3" t="s">
        <v>289</v>
      </c>
      <c r="G2153" s="5">
        <v>3.0000000000000001E-3</v>
      </c>
      <c r="H2153" s="6" t="s">
        <v>77</v>
      </c>
      <c r="I2153" s="3" t="s">
        <v>45</v>
      </c>
    </row>
    <row r="2154" spans="1:9" ht="48" customHeight="1">
      <c r="A2154" s="3" t="s">
        <v>66</v>
      </c>
      <c r="B2154" s="3" t="s">
        <v>65</v>
      </c>
      <c r="C2154" s="4">
        <v>46266</v>
      </c>
      <c r="D2154" s="4">
        <v>46276</v>
      </c>
      <c r="E2154" s="3" t="s">
        <v>286</v>
      </c>
      <c r="F2154" s="3" t="s">
        <v>291</v>
      </c>
      <c r="G2154" s="5">
        <v>2E-3</v>
      </c>
      <c r="H2154" s="6" t="s">
        <v>77</v>
      </c>
      <c r="I2154" s="3" t="s">
        <v>45</v>
      </c>
    </row>
    <row r="2155" spans="1:9" ht="48" customHeight="1">
      <c r="A2155" s="3" t="s">
        <v>66</v>
      </c>
      <c r="B2155" s="3" t="s">
        <v>65</v>
      </c>
      <c r="C2155" s="4">
        <v>46266</v>
      </c>
      <c r="D2155" s="4">
        <v>46276</v>
      </c>
      <c r="E2155" s="3" t="s">
        <v>286</v>
      </c>
      <c r="F2155" s="3" t="s">
        <v>297</v>
      </c>
      <c r="G2155" s="5">
        <v>2E-3</v>
      </c>
      <c r="H2155" s="6" t="s">
        <v>77</v>
      </c>
      <c r="I2155" s="3" t="s">
        <v>45</v>
      </c>
    </row>
    <row r="2156" spans="1:9" ht="48" customHeight="1">
      <c r="A2156" s="3" t="s">
        <v>66</v>
      </c>
      <c r="B2156" s="3" t="s">
        <v>65</v>
      </c>
      <c r="C2156" s="4">
        <v>46266</v>
      </c>
      <c r="D2156" s="4">
        <v>46276</v>
      </c>
      <c r="E2156" s="3" t="s">
        <v>286</v>
      </c>
      <c r="F2156" s="3" t="s">
        <v>292</v>
      </c>
      <c r="G2156" s="5">
        <v>2E-3</v>
      </c>
      <c r="H2156" s="6" t="s">
        <v>77</v>
      </c>
      <c r="I2156" s="3" t="s">
        <v>45</v>
      </c>
    </row>
    <row r="2157" spans="1:9" ht="48" customHeight="1">
      <c r="A2157" s="3" t="s">
        <v>66</v>
      </c>
      <c r="B2157" s="3" t="s">
        <v>65</v>
      </c>
      <c r="C2157" s="4">
        <v>46266</v>
      </c>
      <c r="D2157" s="4">
        <v>46276</v>
      </c>
      <c r="E2157" s="3" t="s">
        <v>286</v>
      </c>
      <c r="F2157" s="3" t="s">
        <v>293</v>
      </c>
      <c r="G2157" s="5">
        <v>1E-3</v>
      </c>
      <c r="H2157" s="6" t="s">
        <v>77</v>
      </c>
      <c r="I2157" s="3" t="s">
        <v>45</v>
      </c>
    </row>
    <row r="2158" spans="1:9" ht="48" customHeight="1">
      <c r="A2158" s="3" t="s">
        <v>66</v>
      </c>
      <c r="B2158" s="3" t="s">
        <v>65</v>
      </c>
      <c r="C2158" s="4">
        <v>46266</v>
      </c>
      <c r="D2158" s="4">
        <v>46276</v>
      </c>
      <c r="E2158" s="3" t="s">
        <v>286</v>
      </c>
      <c r="F2158" s="3" t="s">
        <v>294</v>
      </c>
      <c r="G2158" s="5">
        <v>1E-3</v>
      </c>
      <c r="H2158" s="6" t="s">
        <v>77</v>
      </c>
      <c r="I2158" s="3" t="s">
        <v>45</v>
      </c>
    </row>
    <row r="2159" spans="1:9" ht="48" customHeight="1">
      <c r="A2159" s="3" t="s">
        <v>66</v>
      </c>
      <c r="B2159" s="3" t="s">
        <v>65</v>
      </c>
      <c r="C2159" s="4">
        <v>46266</v>
      </c>
      <c r="D2159" s="4">
        <v>46276</v>
      </c>
      <c r="E2159" s="3" t="s">
        <v>286</v>
      </c>
      <c r="F2159" s="3" t="s">
        <v>295</v>
      </c>
      <c r="G2159" s="5">
        <v>1E-3</v>
      </c>
      <c r="H2159" s="6" t="s">
        <v>77</v>
      </c>
      <c r="I2159" s="3" t="s">
        <v>45</v>
      </c>
    </row>
    <row r="2160" spans="1:9" ht="48" customHeight="1">
      <c r="A2160" s="3" t="s">
        <v>66</v>
      </c>
      <c r="B2160" s="3" t="s">
        <v>65</v>
      </c>
      <c r="C2160" s="4">
        <v>46266</v>
      </c>
      <c r="D2160" s="4">
        <v>46276</v>
      </c>
      <c r="E2160" s="3" t="s">
        <v>286</v>
      </c>
      <c r="F2160" s="3" t="s">
        <v>296</v>
      </c>
      <c r="G2160" s="5">
        <v>1E-3</v>
      </c>
      <c r="H2160" s="6" t="s">
        <v>77</v>
      </c>
      <c r="I2160" s="3" t="s">
        <v>45</v>
      </c>
    </row>
    <row r="2161" spans="1:9" ht="48" customHeight="1">
      <c r="A2161" s="3" t="s">
        <v>66</v>
      </c>
      <c r="B2161" s="3" t="s">
        <v>65</v>
      </c>
      <c r="C2161" s="4">
        <v>46266</v>
      </c>
      <c r="D2161" s="4">
        <v>46276</v>
      </c>
      <c r="E2161" s="3" t="s">
        <v>286</v>
      </c>
      <c r="F2161" s="3" t="s">
        <v>298</v>
      </c>
      <c r="G2161" s="5">
        <v>1E-3</v>
      </c>
      <c r="H2161" s="6" t="s">
        <v>77</v>
      </c>
      <c r="I2161" s="3" t="s">
        <v>45</v>
      </c>
    </row>
    <row r="2162" spans="1:9" ht="48" customHeight="1">
      <c r="A2162" s="3" t="s">
        <v>66</v>
      </c>
      <c r="B2162" s="3" t="s">
        <v>65</v>
      </c>
      <c r="C2162" s="4">
        <v>46266</v>
      </c>
      <c r="D2162" s="4">
        <v>46276</v>
      </c>
      <c r="E2162" s="3" t="s">
        <v>286</v>
      </c>
      <c r="F2162" s="3" t="s">
        <v>299</v>
      </c>
      <c r="G2162" s="5">
        <v>1E-3</v>
      </c>
      <c r="H2162" s="6" t="s">
        <v>77</v>
      </c>
      <c r="I2162" s="3" t="s">
        <v>45</v>
      </c>
    </row>
    <row r="2163" spans="1:9" ht="48" customHeight="1">
      <c r="A2163" s="3" t="s">
        <v>66</v>
      </c>
      <c r="B2163" s="3" t="s">
        <v>65</v>
      </c>
      <c r="C2163" s="4">
        <v>46266</v>
      </c>
      <c r="D2163" s="4">
        <v>46276</v>
      </c>
      <c r="E2163" s="3" t="s">
        <v>286</v>
      </c>
      <c r="F2163" s="3" t="s">
        <v>300</v>
      </c>
      <c r="G2163" s="5">
        <v>0</v>
      </c>
      <c r="H2163" s="6" t="s">
        <v>77</v>
      </c>
      <c r="I2163" s="3" t="s">
        <v>45</v>
      </c>
    </row>
    <row r="2164" spans="1:9" ht="48" customHeight="1">
      <c r="A2164" s="3" t="s">
        <v>66</v>
      </c>
      <c r="B2164" s="3" t="s">
        <v>65</v>
      </c>
      <c r="C2164" s="4">
        <v>46266</v>
      </c>
      <c r="D2164" s="4">
        <v>46276</v>
      </c>
      <c r="E2164" s="3" t="s">
        <v>260</v>
      </c>
      <c r="F2164" s="3" t="s">
        <v>261</v>
      </c>
      <c r="G2164" s="5">
        <v>4.0000000000000001E-3</v>
      </c>
      <c r="H2164" s="6" t="s">
        <v>77</v>
      </c>
      <c r="I2164" s="3" t="s">
        <v>45</v>
      </c>
    </row>
    <row r="2165" spans="1:9" ht="48" customHeight="1">
      <c r="A2165" s="3" t="s">
        <v>66</v>
      </c>
      <c r="B2165" s="3" t="s">
        <v>65</v>
      </c>
      <c r="C2165" s="4">
        <v>46266</v>
      </c>
      <c r="D2165" s="4">
        <v>46276</v>
      </c>
      <c r="E2165" s="3" t="s">
        <v>260</v>
      </c>
      <c r="F2165" s="3" t="s">
        <v>262</v>
      </c>
      <c r="G2165" s="5">
        <v>3.0000000000000001E-3</v>
      </c>
      <c r="H2165" s="6" t="s">
        <v>77</v>
      </c>
      <c r="I2165" s="3" t="s">
        <v>45</v>
      </c>
    </row>
    <row r="2166" spans="1:9" ht="48" customHeight="1">
      <c r="A2166" s="3" t="s">
        <v>66</v>
      </c>
      <c r="B2166" s="3" t="s">
        <v>65</v>
      </c>
      <c r="C2166" s="4">
        <v>46266</v>
      </c>
      <c r="D2166" s="4">
        <v>46276</v>
      </c>
      <c r="E2166" s="3" t="s">
        <v>260</v>
      </c>
      <c r="F2166" s="3" t="s">
        <v>263</v>
      </c>
      <c r="G2166" s="5">
        <v>2E-3</v>
      </c>
      <c r="H2166" s="6" t="s">
        <v>77</v>
      </c>
      <c r="I2166" s="3" t="s">
        <v>45</v>
      </c>
    </row>
    <row r="2167" spans="1:9" ht="48" customHeight="1">
      <c r="A2167" s="3" t="s">
        <v>66</v>
      </c>
      <c r="B2167" s="3" t="s">
        <v>65</v>
      </c>
      <c r="C2167" s="4">
        <v>46266</v>
      </c>
      <c r="D2167" s="4">
        <v>46276</v>
      </c>
      <c r="E2167" s="3" t="s">
        <v>260</v>
      </c>
      <c r="F2167" s="3" t="s">
        <v>232</v>
      </c>
      <c r="G2167" s="5">
        <v>2E-3</v>
      </c>
      <c r="H2167" s="6" t="s">
        <v>77</v>
      </c>
      <c r="I2167" s="3" t="s">
        <v>45</v>
      </c>
    </row>
    <row r="2168" spans="1:9" ht="48" customHeight="1">
      <c r="A2168" s="3" t="s">
        <v>66</v>
      </c>
      <c r="B2168" s="3" t="s">
        <v>65</v>
      </c>
      <c r="C2168" s="4">
        <v>46266</v>
      </c>
      <c r="D2168" s="4">
        <v>46276</v>
      </c>
      <c r="E2168" s="3" t="s">
        <v>260</v>
      </c>
      <c r="F2168" s="3" t="s">
        <v>266</v>
      </c>
      <c r="G2168" s="5">
        <v>1E-3</v>
      </c>
      <c r="H2168" s="6" t="s">
        <v>77</v>
      </c>
      <c r="I2168" s="3" t="s">
        <v>45</v>
      </c>
    </row>
    <row r="2169" spans="1:9" ht="48" customHeight="1">
      <c r="A2169" s="3" t="s">
        <v>66</v>
      </c>
      <c r="B2169" s="3" t="s">
        <v>65</v>
      </c>
      <c r="C2169" s="4">
        <v>46266</v>
      </c>
      <c r="D2169" s="4">
        <v>46276</v>
      </c>
      <c r="E2169" s="3" t="s">
        <v>260</v>
      </c>
      <c r="F2169" s="3" t="s">
        <v>264</v>
      </c>
      <c r="G2169" s="5">
        <v>1E-3</v>
      </c>
      <c r="H2169" s="6" t="s">
        <v>77</v>
      </c>
      <c r="I2169" s="3" t="s">
        <v>45</v>
      </c>
    </row>
    <row r="2170" spans="1:9" ht="48" customHeight="1">
      <c r="A2170" s="3" t="s">
        <v>66</v>
      </c>
      <c r="B2170" s="3" t="s">
        <v>65</v>
      </c>
      <c r="C2170" s="4">
        <v>46266</v>
      </c>
      <c r="D2170" s="4">
        <v>46276</v>
      </c>
      <c r="E2170" s="3" t="s">
        <v>260</v>
      </c>
      <c r="F2170" s="3" t="s">
        <v>267</v>
      </c>
      <c r="G2170" s="5">
        <v>1E-3</v>
      </c>
      <c r="H2170" s="6" t="s">
        <v>77</v>
      </c>
      <c r="I2170" s="3" t="s">
        <v>45</v>
      </c>
    </row>
    <row r="2171" spans="1:9" ht="48" customHeight="1">
      <c r="A2171" s="3" t="s">
        <v>66</v>
      </c>
      <c r="B2171" s="3" t="s">
        <v>65</v>
      </c>
      <c r="C2171" s="4">
        <v>46266</v>
      </c>
      <c r="D2171" s="4">
        <v>46276</v>
      </c>
      <c r="E2171" s="3" t="s">
        <v>260</v>
      </c>
      <c r="F2171" s="3" t="s">
        <v>268</v>
      </c>
      <c r="G2171" s="5">
        <v>1E-3</v>
      </c>
      <c r="H2171" s="6" t="s">
        <v>77</v>
      </c>
      <c r="I2171" s="3" t="s">
        <v>45</v>
      </c>
    </row>
    <row r="2172" spans="1:9" ht="48" customHeight="1">
      <c r="A2172" s="3" t="s">
        <v>66</v>
      </c>
      <c r="B2172" s="3" t="s">
        <v>65</v>
      </c>
      <c r="C2172" s="4">
        <v>46266</v>
      </c>
      <c r="D2172" s="4">
        <v>46276</v>
      </c>
      <c r="E2172" s="3" t="s">
        <v>260</v>
      </c>
      <c r="F2172" s="3" t="s">
        <v>234</v>
      </c>
      <c r="G2172" s="5">
        <v>1E-3</v>
      </c>
      <c r="H2172" s="6" t="s">
        <v>77</v>
      </c>
      <c r="I2172" s="3" t="s">
        <v>45</v>
      </c>
    </row>
    <row r="2173" spans="1:9" ht="48" customHeight="1">
      <c r="A2173" s="3" t="s">
        <v>66</v>
      </c>
      <c r="B2173" s="3" t="s">
        <v>65</v>
      </c>
      <c r="C2173" s="4">
        <v>46266</v>
      </c>
      <c r="D2173" s="4">
        <v>46276</v>
      </c>
      <c r="E2173" s="3" t="s">
        <v>260</v>
      </c>
      <c r="F2173" s="3" t="s">
        <v>265</v>
      </c>
      <c r="G2173" s="5">
        <v>1E-3</v>
      </c>
      <c r="H2173" s="6" t="s">
        <v>77</v>
      </c>
      <c r="I2173" s="3" t="s">
        <v>45</v>
      </c>
    </row>
    <row r="2174" spans="1:9" ht="48" customHeight="1">
      <c r="A2174" s="3" t="s">
        <v>66</v>
      </c>
      <c r="B2174" s="3" t="s">
        <v>65</v>
      </c>
      <c r="C2174" s="4">
        <v>46266</v>
      </c>
      <c r="D2174" s="4">
        <v>46276</v>
      </c>
      <c r="E2174" s="3" t="s">
        <v>260</v>
      </c>
      <c r="F2174" s="3" t="s">
        <v>271</v>
      </c>
      <c r="G2174" s="5">
        <v>1E-3</v>
      </c>
      <c r="H2174" s="6" t="s">
        <v>77</v>
      </c>
      <c r="I2174" s="3" t="s">
        <v>45</v>
      </c>
    </row>
    <row r="2175" spans="1:9" ht="48" customHeight="1">
      <c r="A2175" s="3" t="s">
        <v>66</v>
      </c>
      <c r="B2175" s="3" t="s">
        <v>65</v>
      </c>
      <c r="C2175" s="4">
        <v>46266</v>
      </c>
      <c r="D2175" s="4">
        <v>46276</v>
      </c>
      <c r="E2175" s="3" t="s">
        <v>260</v>
      </c>
      <c r="F2175" s="3" t="s">
        <v>272</v>
      </c>
      <c r="G2175" s="5">
        <v>1E-3</v>
      </c>
      <c r="H2175" s="6" t="s">
        <v>77</v>
      </c>
      <c r="I2175" s="3" t="s">
        <v>45</v>
      </c>
    </row>
    <row r="2176" spans="1:9" ht="48" customHeight="1">
      <c r="A2176" s="3" t="s">
        <v>66</v>
      </c>
      <c r="B2176" s="3" t="s">
        <v>65</v>
      </c>
      <c r="C2176" s="4">
        <v>46266</v>
      </c>
      <c r="D2176" s="4">
        <v>46276</v>
      </c>
      <c r="E2176" s="3" t="s">
        <v>260</v>
      </c>
      <c r="F2176" s="3" t="s">
        <v>282</v>
      </c>
      <c r="G2176" s="5">
        <v>1E-3</v>
      </c>
      <c r="H2176" s="6" t="s">
        <v>77</v>
      </c>
      <c r="I2176" s="3" t="s">
        <v>45</v>
      </c>
    </row>
    <row r="2177" spans="1:9" ht="48" customHeight="1">
      <c r="A2177" s="3" t="s">
        <v>66</v>
      </c>
      <c r="B2177" s="3" t="s">
        <v>65</v>
      </c>
      <c r="C2177" s="4">
        <v>46266</v>
      </c>
      <c r="D2177" s="4">
        <v>46276</v>
      </c>
      <c r="E2177" s="3" t="s">
        <v>260</v>
      </c>
      <c r="F2177" s="3" t="s">
        <v>273</v>
      </c>
      <c r="G2177" s="5">
        <v>0</v>
      </c>
      <c r="H2177" s="6" t="s">
        <v>77</v>
      </c>
      <c r="I2177" s="3" t="s">
        <v>45</v>
      </c>
    </row>
    <row r="2178" spans="1:9" ht="48" customHeight="1">
      <c r="A2178" s="3" t="s">
        <v>66</v>
      </c>
      <c r="B2178" s="3" t="s">
        <v>65</v>
      </c>
      <c r="C2178" s="4">
        <v>46266</v>
      </c>
      <c r="D2178" s="4">
        <v>46276</v>
      </c>
      <c r="E2178" s="3" t="s">
        <v>260</v>
      </c>
      <c r="F2178" s="3" t="s">
        <v>274</v>
      </c>
      <c r="G2178" s="5">
        <v>0</v>
      </c>
      <c r="H2178" s="6" t="s">
        <v>77</v>
      </c>
      <c r="I2178" s="3" t="s">
        <v>45</v>
      </c>
    </row>
    <row r="2179" spans="1:9" ht="48" customHeight="1">
      <c r="A2179" s="3" t="s">
        <v>66</v>
      </c>
      <c r="B2179" s="3" t="s">
        <v>65</v>
      </c>
      <c r="C2179" s="4">
        <v>46266</v>
      </c>
      <c r="D2179" s="4">
        <v>46276</v>
      </c>
      <c r="E2179" s="3" t="s">
        <v>260</v>
      </c>
      <c r="F2179" s="3" t="s">
        <v>275</v>
      </c>
      <c r="G2179" s="5">
        <v>0</v>
      </c>
      <c r="H2179" s="6" t="s">
        <v>77</v>
      </c>
      <c r="I2179" s="3" t="s">
        <v>45</v>
      </c>
    </row>
    <row r="2180" spans="1:9" ht="48" customHeight="1">
      <c r="A2180" s="3" t="s">
        <v>66</v>
      </c>
      <c r="B2180" s="3" t="s">
        <v>65</v>
      </c>
      <c r="C2180" s="4">
        <v>46266</v>
      </c>
      <c r="D2180" s="4">
        <v>46276</v>
      </c>
      <c r="E2180" s="3" t="s">
        <v>260</v>
      </c>
      <c r="F2180" s="3" t="s">
        <v>276</v>
      </c>
      <c r="G2180" s="5">
        <v>0</v>
      </c>
      <c r="H2180" s="6" t="s">
        <v>77</v>
      </c>
      <c r="I2180" s="3" t="s">
        <v>45</v>
      </c>
    </row>
    <row r="2181" spans="1:9" ht="48" customHeight="1">
      <c r="A2181" s="3" t="s">
        <v>66</v>
      </c>
      <c r="B2181" s="3" t="s">
        <v>65</v>
      </c>
      <c r="C2181" s="4">
        <v>46266</v>
      </c>
      <c r="D2181" s="4">
        <v>46276</v>
      </c>
      <c r="E2181" s="3" t="s">
        <v>260</v>
      </c>
      <c r="F2181" s="3" t="s">
        <v>277</v>
      </c>
      <c r="G2181" s="5">
        <v>0</v>
      </c>
      <c r="H2181" s="6" t="s">
        <v>77</v>
      </c>
      <c r="I2181" s="3" t="s">
        <v>45</v>
      </c>
    </row>
    <row r="2182" spans="1:9" ht="48" customHeight="1">
      <c r="A2182" s="3" t="s">
        <v>66</v>
      </c>
      <c r="B2182" s="3" t="s">
        <v>65</v>
      </c>
      <c r="C2182" s="4">
        <v>46266</v>
      </c>
      <c r="D2182" s="4">
        <v>46276</v>
      </c>
      <c r="E2182" s="3" t="s">
        <v>260</v>
      </c>
      <c r="F2182" s="3" t="s">
        <v>278</v>
      </c>
      <c r="G2182" s="5">
        <v>0</v>
      </c>
      <c r="H2182" s="6" t="s">
        <v>77</v>
      </c>
      <c r="I2182" s="3" t="s">
        <v>45</v>
      </c>
    </row>
    <row r="2183" spans="1:9" ht="48" customHeight="1">
      <c r="A2183" s="3" t="s">
        <v>66</v>
      </c>
      <c r="B2183" s="3" t="s">
        <v>65</v>
      </c>
      <c r="C2183" s="4">
        <v>46266</v>
      </c>
      <c r="D2183" s="4">
        <v>46276</v>
      </c>
      <c r="E2183" s="3" t="s">
        <v>260</v>
      </c>
      <c r="F2183" s="3" t="s">
        <v>269</v>
      </c>
      <c r="G2183" s="5">
        <v>0</v>
      </c>
      <c r="H2183" s="6" t="s">
        <v>77</v>
      </c>
      <c r="I2183" s="3" t="s">
        <v>45</v>
      </c>
    </row>
    <row r="2184" spans="1:9" ht="48" customHeight="1">
      <c r="A2184" s="3" t="s">
        <v>66</v>
      </c>
      <c r="B2184" s="3" t="s">
        <v>65</v>
      </c>
      <c r="C2184" s="4">
        <v>46266</v>
      </c>
      <c r="D2184" s="4">
        <v>46276</v>
      </c>
      <c r="E2184" s="3" t="s">
        <v>260</v>
      </c>
      <c r="F2184" s="3" t="s">
        <v>279</v>
      </c>
      <c r="G2184" s="5">
        <v>0</v>
      </c>
      <c r="H2184" s="6" t="s">
        <v>77</v>
      </c>
      <c r="I2184" s="3" t="s">
        <v>45</v>
      </c>
    </row>
    <row r="2185" spans="1:9" ht="48" customHeight="1">
      <c r="A2185" s="3" t="s">
        <v>66</v>
      </c>
      <c r="B2185" s="3" t="s">
        <v>65</v>
      </c>
      <c r="C2185" s="4">
        <v>46266</v>
      </c>
      <c r="D2185" s="4">
        <v>46276</v>
      </c>
      <c r="E2185" s="3" t="s">
        <v>260</v>
      </c>
      <c r="F2185" s="3" t="s">
        <v>270</v>
      </c>
      <c r="G2185" s="5">
        <v>0</v>
      </c>
      <c r="H2185" s="6" t="s">
        <v>77</v>
      </c>
      <c r="I2185" s="3" t="s">
        <v>45</v>
      </c>
    </row>
    <row r="2186" spans="1:9" ht="48" customHeight="1">
      <c r="A2186" s="3" t="s">
        <v>66</v>
      </c>
      <c r="B2186" s="3" t="s">
        <v>65</v>
      </c>
      <c r="C2186" s="4">
        <v>46266</v>
      </c>
      <c r="D2186" s="4">
        <v>46276</v>
      </c>
      <c r="E2186" s="3" t="s">
        <v>260</v>
      </c>
      <c r="F2186" s="3" t="s">
        <v>280</v>
      </c>
      <c r="G2186" s="5">
        <v>0</v>
      </c>
      <c r="H2186" s="6" t="s">
        <v>77</v>
      </c>
      <c r="I2186" s="3" t="s">
        <v>45</v>
      </c>
    </row>
    <row r="2187" spans="1:9" ht="48" customHeight="1">
      <c r="A2187" s="3" t="s">
        <v>66</v>
      </c>
      <c r="B2187" s="3" t="s">
        <v>65</v>
      </c>
      <c r="C2187" s="4">
        <v>46266</v>
      </c>
      <c r="D2187" s="4">
        <v>46276</v>
      </c>
      <c r="E2187" s="3" t="s">
        <v>260</v>
      </c>
      <c r="F2187" s="3" t="s">
        <v>281</v>
      </c>
      <c r="G2187" s="5">
        <v>0</v>
      </c>
      <c r="H2187" s="6" t="s">
        <v>77</v>
      </c>
      <c r="I2187" s="3" t="s">
        <v>45</v>
      </c>
    </row>
    <row r="2188" spans="1:9" ht="48" customHeight="1">
      <c r="A2188" s="3" t="s">
        <v>66</v>
      </c>
      <c r="B2188" s="3" t="s">
        <v>65</v>
      </c>
      <c r="C2188" s="4">
        <v>46266</v>
      </c>
      <c r="D2188" s="4">
        <v>46276</v>
      </c>
      <c r="E2188" s="3" t="s">
        <v>260</v>
      </c>
      <c r="F2188" s="3" t="s">
        <v>283</v>
      </c>
      <c r="G2188" s="5">
        <v>0</v>
      </c>
      <c r="H2188" s="6" t="s">
        <v>77</v>
      </c>
      <c r="I2188" s="3" t="s">
        <v>45</v>
      </c>
    </row>
    <row r="2189" spans="1:9" ht="48" customHeight="1">
      <c r="A2189" s="3" t="s">
        <v>66</v>
      </c>
      <c r="B2189" s="3" t="s">
        <v>65</v>
      </c>
      <c r="C2189" s="4">
        <v>46266</v>
      </c>
      <c r="D2189" s="4">
        <v>46276</v>
      </c>
      <c r="E2189" s="3" t="s">
        <v>260</v>
      </c>
      <c r="F2189" s="3" t="s">
        <v>284</v>
      </c>
      <c r="G2189" s="5">
        <v>0</v>
      </c>
      <c r="H2189" s="6" t="s">
        <v>77</v>
      </c>
      <c r="I2189" s="3" t="s">
        <v>45</v>
      </c>
    </row>
    <row r="2190" spans="1:9" ht="48" customHeight="1">
      <c r="A2190" s="3" t="s">
        <v>66</v>
      </c>
      <c r="B2190" s="3" t="s">
        <v>65</v>
      </c>
      <c r="C2190" s="4">
        <v>46266</v>
      </c>
      <c r="D2190" s="4">
        <v>46276</v>
      </c>
      <c r="E2190" s="3" t="s">
        <v>260</v>
      </c>
      <c r="F2190" s="3" t="s">
        <v>285</v>
      </c>
      <c r="G2190" s="5">
        <v>0</v>
      </c>
      <c r="H2190" s="6" t="s">
        <v>77</v>
      </c>
      <c r="I2190" s="3" t="s">
        <v>45</v>
      </c>
    </row>
    <row r="2191" spans="1:9" ht="48" customHeight="1">
      <c r="A2191" s="3" t="s">
        <v>66</v>
      </c>
      <c r="B2191" s="3" t="s">
        <v>65</v>
      </c>
      <c r="C2191" s="4">
        <v>46266</v>
      </c>
      <c r="D2191" s="4">
        <v>46276</v>
      </c>
      <c r="E2191" s="3" t="s">
        <v>301</v>
      </c>
      <c r="F2191" s="3" t="s">
        <v>301</v>
      </c>
      <c r="G2191" s="5">
        <v>1.8000000000000002E-2</v>
      </c>
      <c r="H2191" s="6" t="s">
        <v>77</v>
      </c>
      <c r="I2191" s="3" t="s">
        <v>45</v>
      </c>
    </row>
    <row r="2192" spans="1:9" ht="48" customHeight="1">
      <c r="A2192" s="3" t="s">
        <v>66</v>
      </c>
      <c r="B2192" s="3" t="s">
        <v>65</v>
      </c>
      <c r="C2192" s="4">
        <v>46266</v>
      </c>
      <c r="D2192" s="4">
        <v>46276</v>
      </c>
      <c r="E2192" s="3" t="s">
        <v>81</v>
      </c>
      <c r="F2192" s="3" t="s">
        <v>325</v>
      </c>
      <c r="G2192" s="5">
        <v>2E-3</v>
      </c>
      <c r="H2192" s="6" t="s">
        <v>77</v>
      </c>
      <c r="I2192" s="3" t="s">
        <v>45</v>
      </c>
    </row>
    <row r="2193" spans="1:9" ht="48" customHeight="1">
      <c r="A2193" s="3" t="s">
        <v>66</v>
      </c>
      <c r="B2193" s="3" t="s">
        <v>65</v>
      </c>
      <c r="C2193" s="4">
        <v>46266</v>
      </c>
      <c r="D2193" s="4">
        <v>46276</v>
      </c>
      <c r="E2193" s="3" t="s">
        <v>81</v>
      </c>
      <c r="F2193" s="3" t="s">
        <v>326</v>
      </c>
      <c r="G2193" s="5">
        <v>1E-3</v>
      </c>
      <c r="H2193" s="6" t="s">
        <v>77</v>
      </c>
      <c r="I2193" s="3" t="s">
        <v>45</v>
      </c>
    </row>
    <row r="2194" spans="1:9" ht="48" customHeight="1">
      <c r="A2194" s="3" t="s">
        <v>66</v>
      </c>
      <c r="B2194" s="3" t="s">
        <v>65</v>
      </c>
      <c r="C2194" s="4">
        <v>46266</v>
      </c>
      <c r="D2194" s="4">
        <v>46276</v>
      </c>
      <c r="E2194" s="3" t="s">
        <v>81</v>
      </c>
      <c r="F2194" s="3" t="s">
        <v>328</v>
      </c>
      <c r="G2194" s="5">
        <v>1E-3</v>
      </c>
      <c r="H2194" s="6" t="s">
        <v>77</v>
      </c>
      <c r="I2194" s="3" t="s">
        <v>45</v>
      </c>
    </row>
    <row r="2195" spans="1:9" ht="48" customHeight="1">
      <c r="A2195" s="3" t="s">
        <v>66</v>
      </c>
      <c r="B2195" s="3" t="s">
        <v>65</v>
      </c>
      <c r="C2195" s="4">
        <v>46266</v>
      </c>
      <c r="D2195" s="4">
        <v>46276</v>
      </c>
      <c r="E2195" s="3" t="s">
        <v>81</v>
      </c>
      <c r="F2195" s="3" t="s">
        <v>329</v>
      </c>
      <c r="G2195" s="5">
        <v>1E-3</v>
      </c>
      <c r="H2195" s="6" t="s">
        <v>77</v>
      </c>
      <c r="I2195" s="3" t="s">
        <v>45</v>
      </c>
    </row>
    <row r="2196" spans="1:9" ht="48" customHeight="1">
      <c r="A2196" s="3" t="s">
        <v>66</v>
      </c>
      <c r="B2196" s="3" t="s">
        <v>65</v>
      </c>
      <c r="C2196" s="4">
        <v>46266</v>
      </c>
      <c r="D2196" s="4">
        <v>46276</v>
      </c>
      <c r="E2196" s="3" t="s">
        <v>81</v>
      </c>
      <c r="F2196" s="3" t="s">
        <v>331</v>
      </c>
      <c r="G2196" s="5">
        <v>1E-3</v>
      </c>
      <c r="H2196" s="6" t="s">
        <v>77</v>
      </c>
      <c r="I2196" s="3" t="s">
        <v>45</v>
      </c>
    </row>
    <row r="2197" spans="1:9" ht="48" customHeight="1">
      <c r="A2197" s="3" t="s">
        <v>66</v>
      </c>
      <c r="B2197" s="3" t="s">
        <v>65</v>
      </c>
      <c r="C2197" s="4">
        <v>46266</v>
      </c>
      <c r="D2197" s="4">
        <v>46276</v>
      </c>
      <c r="E2197" s="3" t="s">
        <v>81</v>
      </c>
      <c r="F2197" s="3" t="s">
        <v>332</v>
      </c>
      <c r="G2197" s="5">
        <v>1E-3</v>
      </c>
      <c r="H2197" s="6" t="s">
        <v>77</v>
      </c>
      <c r="I2197" s="3" t="s">
        <v>45</v>
      </c>
    </row>
    <row r="2198" spans="1:9" ht="48" customHeight="1">
      <c r="A2198" s="3" t="s">
        <v>66</v>
      </c>
      <c r="B2198" s="3" t="s">
        <v>65</v>
      </c>
      <c r="C2198" s="4">
        <v>46266</v>
      </c>
      <c r="D2198" s="4">
        <v>46276</v>
      </c>
      <c r="E2198" s="3" t="s">
        <v>81</v>
      </c>
      <c r="F2198" s="3" t="s">
        <v>327</v>
      </c>
      <c r="G2198" s="5">
        <v>0</v>
      </c>
      <c r="H2198" s="6" t="s">
        <v>77</v>
      </c>
      <c r="I2198" s="3" t="s">
        <v>45</v>
      </c>
    </row>
    <row r="2199" spans="1:9" ht="48" customHeight="1">
      <c r="A2199" s="3" t="s">
        <v>66</v>
      </c>
      <c r="B2199" s="3" t="s">
        <v>65</v>
      </c>
      <c r="C2199" s="4">
        <v>46266</v>
      </c>
      <c r="D2199" s="4">
        <v>46276</v>
      </c>
      <c r="E2199" s="3" t="s">
        <v>81</v>
      </c>
      <c r="F2199" s="3" t="s">
        <v>330</v>
      </c>
      <c r="G2199" s="5">
        <v>0</v>
      </c>
      <c r="H2199" s="6" t="s">
        <v>77</v>
      </c>
      <c r="I2199" s="3" t="s">
        <v>45</v>
      </c>
    </row>
    <row r="2200" spans="1:9" ht="48" customHeight="1">
      <c r="A2200" s="3" t="s">
        <v>66</v>
      </c>
      <c r="B2200" s="3" t="s">
        <v>65</v>
      </c>
      <c r="C2200" s="4">
        <v>46266</v>
      </c>
      <c r="D2200" s="4">
        <v>46276</v>
      </c>
      <c r="E2200" s="3" t="s">
        <v>81</v>
      </c>
      <c r="F2200" s="3" t="s">
        <v>333</v>
      </c>
      <c r="G2200" s="5">
        <v>0</v>
      </c>
      <c r="H2200" s="6" t="s">
        <v>77</v>
      </c>
      <c r="I2200" s="3" t="s">
        <v>45</v>
      </c>
    </row>
    <row r="2201" spans="1:9" ht="48" customHeight="1">
      <c r="A2201" s="3" t="s">
        <v>66</v>
      </c>
      <c r="B2201" s="3" t="s">
        <v>65</v>
      </c>
      <c r="C2201" s="4">
        <v>46266</v>
      </c>
      <c r="D2201" s="4">
        <v>46276</v>
      </c>
      <c r="E2201" s="3" t="s">
        <v>81</v>
      </c>
      <c r="F2201" s="3" t="s">
        <v>334</v>
      </c>
      <c r="G2201" s="5">
        <v>0</v>
      </c>
      <c r="H2201" s="6" t="s">
        <v>77</v>
      </c>
      <c r="I2201" s="3" t="s">
        <v>45</v>
      </c>
    </row>
    <row r="2202" spans="1:9" ht="48" customHeight="1">
      <c r="A2202" s="3" t="s">
        <v>66</v>
      </c>
      <c r="B2202" s="3" t="s">
        <v>65</v>
      </c>
      <c r="C2202" s="4">
        <v>46266</v>
      </c>
      <c r="D2202" s="4">
        <v>46276</v>
      </c>
      <c r="E2202" s="3" t="s">
        <v>81</v>
      </c>
      <c r="F2202" s="3" t="s">
        <v>335</v>
      </c>
      <c r="G2202" s="5">
        <v>0</v>
      </c>
      <c r="H2202" s="6" t="s">
        <v>77</v>
      </c>
      <c r="I2202" s="3" t="s">
        <v>45</v>
      </c>
    </row>
    <row r="2203" spans="1:9" ht="48" customHeight="1">
      <c r="A2203" s="3" t="s">
        <v>66</v>
      </c>
      <c r="B2203" s="3" t="s">
        <v>65</v>
      </c>
      <c r="C2203" s="4">
        <v>46266</v>
      </c>
      <c r="D2203" s="4">
        <v>46276</v>
      </c>
      <c r="E2203" s="3" t="s">
        <v>81</v>
      </c>
      <c r="F2203" s="3" t="s">
        <v>336</v>
      </c>
      <c r="G2203" s="5">
        <v>0</v>
      </c>
      <c r="H2203" s="6" t="s">
        <v>77</v>
      </c>
      <c r="I2203" s="3" t="s">
        <v>45</v>
      </c>
    </row>
    <row r="2204" spans="1:9" ht="48" customHeight="1">
      <c r="A2204" s="3" t="s">
        <v>66</v>
      </c>
      <c r="B2204" s="3" t="s">
        <v>65</v>
      </c>
      <c r="C2204" s="4">
        <v>46266</v>
      </c>
      <c r="D2204" s="4">
        <v>46276</v>
      </c>
      <c r="E2204" s="3" t="s">
        <v>81</v>
      </c>
      <c r="F2204" s="3" t="s">
        <v>337</v>
      </c>
      <c r="G2204" s="5">
        <v>0</v>
      </c>
      <c r="H2204" s="6" t="s">
        <v>77</v>
      </c>
      <c r="I2204" s="3" t="s">
        <v>45</v>
      </c>
    </row>
    <row r="2205" spans="1:9" ht="48" customHeight="1">
      <c r="A2205" s="3" t="s">
        <v>66</v>
      </c>
      <c r="B2205" s="3" t="s">
        <v>65</v>
      </c>
      <c r="C2205" s="4">
        <v>46266</v>
      </c>
      <c r="D2205" s="4">
        <v>46276</v>
      </c>
      <c r="E2205" s="3" t="s">
        <v>81</v>
      </c>
      <c r="F2205" s="3" t="s">
        <v>338</v>
      </c>
      <c r="G2205" s="5">
        <v>0</v>
      </c>
      <c r="H2205" s="6" t="s">
        <v>77</v>
      </c>
      <c r="I2205" s="3" t="s">
        <v>45</v>
      </c>
    </row>
    <row r="2206" spans="1:9" ht="48" customHeight="1">
      <c r="A2206" s="3" t="s">
        <v>66</v>
      </c>
      <c r="B2206" s="3" t="s">
        <v>65</v>
      </c>
      <c r="C2206" s="4">
        <v>46266</v>
      </c>
      <c r="D2206" s="4">
        <v>46276</v>
      </c>
      <c r="E2206" s="3" t="s">
        <v>81</v>
      </c>
      <c r="F2206" s="3" t="s">
        <v>339</v>
      </c>
      <c r="G2206" s="5">
        <v>0</v>
      </c>
      <c r="H2206" s="6" t="s">
        <v>77</v>
      </c>
      <c r="I2206" s="3" t="s">
        <v>45</v>
      </c>
    </row>
    <row r="2207" spans="1:9" ht="48" customHeight="1">
      <c r="A2207" s="3" t="s">
        <v>66</v>
      </c>
      <c r="B2207" s="3" t="s">
        <v>65</v>
      </c>
      <c r="C2207" s="4">
        <v>46266</v>
      </c>
      <c r="D2207" s="4">
        <v>46276</v>
      </c>
      <c r="E2207" s="3" t="s">
        <v>81</v>
      </c>
      <c r="F2207" s="3" t="s">
        <v>340</v>
      </c>
      <c r="G2207" s="5">
        <v>0</v>
      </c>
      <c r="H2207" s="6" t="s">
        <v>77</v>
      </c>
      <c r="I2207" s="3" t="s">
        <v>45</v>
      </c>
    </row>
    <row r="2208" spans="1:9" ht="48" customHeight="1">
      <c r="A2208" s="3" t="s">
        <v>66</v>
      </c>
      <c r="B2208" s="3" t="s">
        <v>65</v>
      </c>
      <c r="C2208" s="4">
        <v>46266</v>
      </c>
      <c r="D2208" s="4">
        <v>46276</v>
      </c>
      <c r="E2208" s="3" t="s">
        <v>81</v>
      </c>
      <c r="F2208" s="3" t="s">
        <v>341</v>
      </c>
      <c r="G2208" s="5">
        <v>0</v>
      </c>
      <c r="H2208" s="6" t="s">
        <v>77</v>
      </c>
      <c r="I2208" s="3" t="s">
        <v>45</v>
      </c>
    </row>
    <row r="2209" spans="1:9" ht="48" customHeight="1">
      <c r="A2209" s="3" t="s">
        <v>66</v>
      </c>
      <c r="B2209" s="3" t="s">
        <v>65</v>
      </c>
      <c r="C2209" s="4">
        <v>46266</v>
      </c>
      <c r="D2209" s="4">
        <v>46276</v>
      </c>
      <c r="E2209" s="3" t="s">
        <v>81</v>
      </c>
      <c r="F2209" s="3" t="s">
        <v>342</v>
      </c>
      <c r="G2209" s="5">
        <v>0</v>
      </c>
      <c r="H2209" s="6" t="s">
        <v>77</v>
      </c>
      <c r="I2209" s="3" t="s">
        <v>45</v>
      </c>
    </row>
    <row r="2210" spans="1:9" ht="48" customHeight="1">
      <c r="A2210" s="3" t="s">
        <v>66</v>
      </c>
      <c r="B2210" s="3" t="s">
        <v>65</v>
      </c>
      <c r="C2210" s="4">
        <v>46266</v>
      </c>
      <c r="D2210" s="4">
        <v>46276</v>
      </c>
      <c r="E2210" s="3" t="s">
        <v>81</v>
      </c>
      <c r="F2210" s="3" t="s">
        <v>343</v>
      </c>
      <c r="G2210" s="5">
        <v>0</v>
      </c>
      <c r="H2210" s="6" t="s">
        <v>77</v>
      </c>
      <c r="I2210" s="3" t="s">
        <v>45</v>
      </c>
    </row>
    <row r="2211" spans="1:9" ht="48" customHeight="1">
      <c r="A2211" s="3" t="s">
        <v>66</v>
      </c>
      <c r="B2211" s="3" t="s">
        <v>65</v>
      </c>
      <c r="C2211" s="4">
        <v>46266</v>
      </c>
      <c r="D2211" s="4">
        <v>46276</v>
      </c>
      <c r="E2211" s="3" t="s">
        <v>81</v>
      </c>
      <c r="F2211" s="3" t="s">
        <v>344</v>
      </c>
      <c r="G2211" s="5">
        <v>0</v>
      </c>
      <c r="H2211" s="6" t="s">
        <v>77</v>
      </c>
      <c r="I2211" s="3" t="s">
        <v>45</v>
      </c>
    </row>
    <row r="2212" spans="1:9" ht="48" customHeight="1">
      <c r="A2212" s="3" t="s">
        <v>66</v>
      </c>
      <c r="B2212" s="3" t="s">
        <v>65</v>
      </c>
      <c r="C2212" s="4">
        <v>46266</v>
      </c>
      <c r="D2212" s="4">
        <v>46276</v>
      </c>
      <c r="E2212" s="3" t="s">
        <v>81</v>
      </c>
      <c r="F2212" s="3" t="s">
        <v>345</v>
      </c>
      <c r="G2212" s="5">
        <v>0</v>
      </c>
      <c r="H2212" s="6" t="s">
        <v>77</v>
      </c>
      <c r="I2212" s="3" t="s">
        <v>45</v>
      </c>
    </row>
    <row r="2213" spans="1:9" ht="48" customHeight="1">
      <c r="A2213" s="3" t="s">
        <v>66</v>
      </c>
      <c r="B2213" s="3" t="s">
        <v>65</v>
      </c>
      <c r="C2213" s="4">
        <v>46266</v>
      </c>
      <c r="D2213" s="4">
        <v>46276</v>
      </c>
      <c r="E2213" s="3" t="s">
        <v>81</v>
      </c>
      <c r="F2213" s="3" t="s">
        <v>346</v>
      </c>
      <c r="G2213" s="5">
        <v>0</v>
      </c>
      <c r="H2213" s="6" t="s">
        <v>77</v>
      </c>
      <c r="I2213" s="3" t="s">
        <v>45</v>
      </c>
    </row>
    <row r="2214" spans="1:9" ht="48" customHeight="1">
      <c r="A2214" s="3" t="s">
        <v>66</v>
      </c>
      <c r="B2214" s="3" t="s">
        <v>65</v>
      </c>
      <c r="C2214" s="4">
        <v>46266</v>
      </c>
      <c r="D2214" s="4">
        <v>46276</v>
      </c>
      <c r="E2214" s="3" t="s">
        <v>81</v>
      </c>
      <c r="F2214" s="3" t="s">
        <v>347</v>
      </c>
      <c r="G2214" s="5">
        <v>0</v>
      </c>
      <c r="H2214" s="6" t="s">
        <v>77</v>
      </c>
      <c r="I2214" s="3" t="s">
        <v>45</v>
      </c>
    </row>
    <row r="2215" spans="1:9" ht="48" customHeight="1">
      <c r="A2215" s="3" t="s">
        <v>66</v>
      </c>
      <c r="B2215" s="3" t="s">
        <v>65</v>
      </c>
      <c r="C2215" s="4">
        <v>46266</v>
      </c>
      <c r="D2215" s="4">
        <v>46276</v>
      </c>
      <c r="E2215" s="3" t="s">
        <v>47</v>
      </c>
      <c r="F2215" s="3" t="s">
        <v>348</v>
      </c>
      <c r="G2215" s="5">
        <v>2E-3</v>
      </c>
      <c r="H2215" s="6" t="s">
        <v>77</v>
      </c>
      <c r="I2215" s="3" t="s">
        <v>45</v>
      </c>
    </row>
    <row r="2216" spans="1:9" ht="48" customHeight="1">
      <c r="A2216" s="3" t="s">
        <v>66</v>
      </c>
      <c r="B2216" s="3" t="s">
        <v>65</v>
      </c>
      <c r="C2216" s="4">
        <v>46266</v>
      </c>
      <c r="D2216" s="4">
        <v>46276</v>
      </c>
      <c r="E2216" s="3" t="s">
        <v>47</v>
      </c>
      <c r="F2216" s="3" t="s">
        <v>349</v>
      </c>
      <c r="G2216" s="5">
        <v>1E-3</v>
      </c>
      <c r="H2216" s="6" t="s">
        <v>77</v>
      </c>
      <c r="I2216" s="3" t="s">
        <v>45</v>
      </c>
    </row>
    <row r="2217" spans="1:9" ht="48" customHeight="1">
      <c r="A2217" s="3" t="s">
        <v>66</v>
      </c>
      <c r="B2217" s="3" t="s">
        <v>65</v>
      </c>
      <c r="C2217" s="4">
        <v>46266</v>
      </c>
      <c r="D2217" s="4">
        <v>46276</v>
      </c>
      <c r="E2217" s="3" t="s">
        <v>47</v>
      </c>
      <c r="F2217" s="3" t="s">
        <v>350</v>
      </c>
      <c r="G2217" s="5">
        <v>1E-3</v>
      </c>
      <c r="H2217" s="6" t="s">
        <v>77</v>
      </c>
      <c r="I2217" s="3" t="s">
        <v>45</v>
      </c>
    </row>
    <row r="2218" spans="1:9" ht="48" customHeight="1">
      <c r="A2218" s="3" t="s">
        <v>66</v>
      </c>
      <c r="B2218" s="3" t="s">
        <v>65</v>
      </c>
      <c r="C2218" s="4">
        <v>46266</v>
      </c>
      <c r="D2218" s="4">
        <v>46276</v>
      </c>
      <c r="E2218" s="3" t="s">
        <v>47</v>
      </c>
      <c r="F2218" s="3" t="s">
        <v>355</v>
      </c>
      <c r="G2218" s="5">
        <v>1E-3</v>
      </c>
      <c r="H2218" s="6" t="s">
        <v>77</v>
      </c>
      <c r="I2218" s="3" t="s">
        <v>45</v>
      </c>
    </row>
    <row r="2219" spans="1:9" ht="48" customHeight="1">
      <c r="A2219" s="3" t="s">
        <v>66</v>
      </c>
      <c r="B2219" s="3" t="s">
        <v>65</v>
      </c>
      <c r="C2219" s="4">
        <v>46266</v>
      </c>
      <c r="D2219" s="4">
        <v>46276</v>
      </c>
      <c r="E2219" s="3" t="s">
        <v>47</v>
      </c>
      <c r="F2219" s="3" t="s">
        <v>351</v>
      </c>
      <c r="G2219" s="5">
        <v>0</v>
      </c>
      <c r="H2219" s="6" t="s">
        <v>77</v>
      </c>
      <c r="I2219" s="3" t="s">
        <v>45</v>
      </c>
    </row>
    <row r="2220" spans="1:9" ht="48" customHeight="1">
      <c r="A2220" s="3" t="s">
        <v>66</v>
      </c>
      <c r="B2220" s="3" t="s">
        <v>65</v>
      </c>
      <c r="C2220" s="4">
        <v>46266</v>
      </c>
      <c r="D2220" s="4">
        <v>46276</v>
      </c>
      <c r="E2220" s="3" t="s">
        <v>47</v>
      </c>
      <c r="F2220" s="3" t="s">
        <v>352</v>
      </c>
      <c r="G2220" s="5">
        <v>0</v>
      </c>
      <c r="H2220" s="6" t="s">
        <v>77</v>
      </c>
      <c r="I2220" s="3" t="s">
        <v>45</v>
      </c>
    </row>
    <row r="2221" spans="1:9" ht="48" customHeight="1">
      <c r="A2221" s="3" t="s">
        <v>66</v>
      </c>
      <c r="B2221" s="3" t="s">
        <v>65</v>
      </c>
      <c r="C2221" s="4">
        <v>46266</v>
      </c>
      <c r="D2221" s="4">
        <v>46276</v>
      </c>
      <c r="E2221" s="3" t="s">
        <v>47</v>
      </c>
      <c r="F2221" s="3" t="s">
        <v>353</v>
      </c>
      <c r="G2221" s="5">
        <v>0</v>
      </c>
      <c r="H2221" s="6" t="s">
        <v>77</v>
      </c>
      <c r="I2221" s="3" t="s">
        <v>45</v>
      </c>
    </row>
    <row r="2222" spans="1:9" ht="48" customHeight="1">
      <c r="A2222" s="3" t="s">
        <v>66</v>
      </c>
      <c r="B2222" s="3" t="s">
        <v>65</v>
      </c>
      <c r="C2222" s="4">
        <v>46266</v>
      </c>
      <c r="D2222" s="4">
        <v>46276</v>
      </c>
      <c r="E2222" s="3" t="s">
        <v>47</v>
      </c>
      <c r="F2222" s="3" t="s">
        <v>354</v>
      </c>
      <c r="G2222" s="5">
        <v>0</v>
      </c>
      <c r="H2222" s="6" t="s">
        <v>77</v>
      </c>
      <c r="I2222" s="3" t="s">
        <v>45</v>
      </c>
    </row>
    <row r="2223" spans="1:9" ht="48" customHeight="1">
      <c r="A2223" s="3" t="s">
        <v>66</v>
      </c>
      <c r="B2223" s="3" t="s">
        <v>65</v>
      </c>
      <c r="C2223" s="4">
        <v>46266</v>
      </c>
      <c r="D2223" s="4">
        <v>46276</v>
      </c>
      <c r="E2223" s="3" t="s">
        <v>47</v>
      </c>
      <c r="F2223" s="3" t="s">
        <v>356</v>
      </c>
      <c r="G2223" s="5">
        <v>0</v>
      </c>
      <c r="H2223" s="6" t="s">
        <v>77</v>
      </c>
      <c r="I2223" s="3" t="s">
        <v>45</v>
      </c>
    </row>
    <row r="2224" spans="1:9" ht="48" customHeight="1">
      <c r="A2224" s="3" t="s">
        <v>66</v>
      </c>
      <c r="B2224" s="3" t="s">
        <v>65</v>
      </c>
      <c r="C2224" s="4">
        <v>46266</v>
      </c>
      <c r="D2224" s="4">
        <v>46276</v>
      </c>
      <c r="E2224" s="3" t="s">
        <v>47</v>
      </c>
      <c r="F2224" s="3" t="s">
        <v>40</v>
      </c>
      <c r="G2224" s="5">
        <v>0</v>
      </c>
      <c r="H2224" s="6" t="s">
        <v>77</v>
      </c>
      <c r="I2224" s="3" t="s">
        <v>45</v>
      </c>
    </row>
    <row r="2225" spans="1:9" ht="48" customHeight="1">
      <c r="A2225" s="3" t="s">
        <v>66</v>
      </c>
      <c r="B2225" s="3" t="s">
        <v>65</v>
      </c>
      <c r="C2225" s="4">
        <v>46266</v>
      </c>
      <c r="D2225" s="4">
        <v>46276</v>
      </c>
      <c r="E2225" s="3" t="s">
        <v>47</v>
      </c>
      <c r="F2225" s="3" t="s">
        <v>357</v>
      </c>
      <c r="G2225" s="5">
        <v>0</v>
      </c>
      <c r="H2225" s="6" t="s">
        <v>77</v>
      </c>
      <c r="I2225" s="3" t="s">
        <v>45</v>
      </c>
    </row>
    <row r="2226" spans="1:9" ht="48" customHeight="1">
      <c r="A2226" s="3" t="s">
        <v>66</v>
      </c>
      <c r="B2226" s="3" t="s">
        <v>65</v>
      </c>
      <c r="C2226" s="4">
        <v>46266</v>
      </c>
      <c r="D2226" s="4">
        <v>46276</v>
      </c>
      <c r="E2226" s="3" t="s">
        <v>47</v>
      </c>
      <c r="F2226" s="3" t="s">
        <v>358</v>
      </c>
      <c r="G2226" s="5">
        <v>0</v>
      </c>
      <c r="H2226" s="6" t="s">
        <v>77</v>
      </c>
      <c r="I2226" s="3" t="s">
        <v>45</v>
      </c>
    </row>
    <row r="2227" spans="1:9" ht="48" customHeight="1">
      <c r="A2227" s="3" t="s">
        <v>66</v>
      </c>
      <c r="B2227" s="3" t="s">
        <v>65</v>
      </c>
      <c r="C2227" s="4">
        <v>46266</v>
      </c>
      <c r="D2227" s="4">
        <v>46276</v>
      </c>
      <c r="E2227" s="3" t="s">
        <v>47</v>
      </c>
      <c r="F2227" s="3" t="s">
        <v>359</v>
      </c>
      <c r="G2227" s="5">
        <v>0</v>
      </c>
      <c r="H2227" s="6" t="s">
        <v>77</v>
      </c>
      <c r="I2227" s="3" t="s">
        <v>45</v>
      </c>
    </row>
    <row r="2228" spans="1:9" ht="48" customHeight="1">
      <c r="A2228" s="3" t="s">
        <v>66</v>
      </c>
      <c r="B2228" s="3" t="s">
        <v>65</v>
      </c>
      <c r="C2228" s="4">
        <v>46266</v>
      </c>
      <c r="D2228" s="4">
        <v>46276</v>
      </c>
      <c r="E2228" s="3" t="s">
        <v>47</v>
      </c>
      <c r="F2228" s="3" t="s">
        <v>360</v>
      </c>
      <c r="G2228" s="5">
        <v>0</v>
      </c>
      <c r="H2228" s="6" t="s">
        <v>77</v>
      </c>
      <c r="I2228" s="3" t="s">
        <v>45</v>
      </c>
    </row>
    <row r="2229" spans="1:9" ht="48" customHeight="1">
      <c r="A2229" s="3" t="s">
        <v>66</v>
      </c>
      <c r="B2229" s="3" t="s">
        <v>65</v>
      </c>
      <c r="C2229" s="4">
        <v>46266</v>
      </c>
      <c r="D2229" s="4">
        <v>46276</v>
      </c>
      <c r="E2229" s="3" t="s">
        <v>47</v>
      </c>
      <c r="F2229" s="3" t="s">
        <v>361</v>
      </c>
      <c r="G2229" s="5">
        <v>0</v>
      </c>
      <c r="H2229" s="6" t="s">
        <v>77</v>
      </c>
      <c r="I2229" s="3" t="s">
        <v>45</v>
      </c>
    </row>
    <row r="2230" spans="1:9" ht="48" customHeight="1">
      <c r="A2230" s="3" t="s">
        <v>66</v>
      </c>
      <c r="B2230" s="3" t="s">
        <v>65</v>
      </c>
      <c r="C2230" s="4">
        <v>46266</v>
      </c>
      <c r="D2230" s="4">
        <v>46276</v>
      </c>
      <c r="E2230" s="3" t="s">
        <v>47</v>
      </c>
      <c r="F2230" s="3" t="s">
        <v>362</v>
      </c>
      <c r="G2230" s="5">
        <v>0</v>
      </c>
      <c r="H2230" s="6" t="s">
        <v>77</v>
      </c>
      <c r="I2230" s="3" t="s">
        <v>45</v>
      </c>
    </row>
    <row r="2231" spans="1:9" ht="48" customHeight="1">
      <c r="A2231" s="3" t="s">
        <v>66</v>
      </c>
      <c r="B2231" s="3" t="s">
        <v>65</v>
      </c>
      <c r="C2231" s="4">
        <v>46266</v>
      </c>
      <c r="D2231" s="4">
        <v>46276</v>
      </c>
      <c r="E2231" s="3" t="s">
        <v>47</v>
      </c>
      <c r="F2231" s="3" t="s">
        <v>318</v>
      </c>
      <c r="G2231" s="5">
        <v>0</v>
      </c>
      <c r="H2231" s="6" t="s">
        <v>77</v>
      </c>
      <c r="I2231" s="3" t="s">
        <v>45</v>
      </c>
    </row>
    <row r="2232" spans="1:9" ht="48" customHeight="1">
      <c r="A2232" s="3" t="s">
        <v>66</v>
      </c>
      <c r="B2232" s="3" t="s">
        <v>65</v>
      </c>
      <c r="C2232" s="4">
        <v>46266</v>
      </c>
      <c r="D2232" s="4">
        <v>46276</v>
      </c>
      <c r="E2232" s="3" t="s">
        <v>47</v>
      </c>
      <c r="F2232" s="3" t="s">
        <v>363</v>
      </c>
      <c r="G2232" s="5">
        <v>0</v>
      </c>
      <c r="H2232" s="6" t="s">
        <v>77</v>
      </c>
      <c r="I2232" s="3" t="s">
        <v>45</v>
      </c>
    </row>
    <row r="2233" spans="1:9" ht="48" customHeight="1">
      <c r="A2233" s="3" t="s">
        <v>66</v>
      </c>
      <c r="B2233" s="3" t="s">
        <v>65</v>
      </c>
      <c r="C2233" s="4">
        <v>46266</v>
      </c>
      <c r="D2233" s="4">
        <v>46276</v>
      </c>
      <c r="E2233" s="3" t="s">
        <v>302</v>
      </c>
      <c r="F2233" s="3" t="s">
        <v>304</v>
      </c>
      <c r="G2233" s="5">
        <v>1E-3</v>
      </c>
      <c r="H2233" s="6" t="s">
        <v>77</v>
      </c>
      <c r="I2233" s="3" t="s">
        <v>45</v>
      </c>
    </row>
    <row r="2234" spans="1:9" ht="48" customHeight="1">
      <c r="A2234" s="3" t="s">
        <v>66</v>
      </c>
      <c r="B2234" s="3" t="s">
        <v>65</v>
      </c>
      <c r="C2234" s="4">
        <v>46266</v>
      </c>
      <c r="D2234" s="4">
        <v>46276</v>
      </c>
      <c r="E2234" s="3" t="s">
        <v>302</v>
      </c>
      <c r="F2234" s="3" t="s">
        <v>311</v>
      </c>
      <c r="G2234" s="5">
        <v>1E-3</v>
      </c>
      <c r="H2234" s="6" t="s">
        <v>77</v>
      </c>
      <c r="I2234" s="3" t="s">
        <v>45</v>
      </c>
    </row>
    <row r="2235" spans="1:9" ht="48" customHeight="1">
      <c r="A2235" s="3" t="s">
        <v>66</v>
      </c>
      <c r="B2235" s="3" t="s">
        <v>65</v>
      </c>
      <c r="C2235" s="4">
        <v>46266</v>
      </c>
      <c r="D2235" s="4">
        <v>46276</v>
      </c>
      <c r="E2235" s="3" t="s">
        <v>302</v>
      </c>
      <c r="F2235" s="3" t="s">
        <v>307</v>
      </c>
      <c r="G2235" s="5">
        <v>1E-3</v>
      </c>
      <c r="H2235" s="6" t="s">
        <v>77</v>
      </c>
      <c r="I2235" s="3" t="s">
        <v>45</v>
      </c>
    </row>
    <row r="2236" spans="1:9" ht="48" customHeight="1">
      <c r="A2236" s="3" t="s">
        <v>66</v>
      </c>
      <c r="B2236" s="3" t="s">
        <v>65</v>
      </c>
      <c r="C2236" s="4">
        <v>46266</v>
      </c>
      <c r="D2236" s="4">
        <v>46276</v>
      </c>
      <c r="E2236" s="3" t="s">
        <v>302</v>
      </c>
      <c r="F2236" s="3" t="s">
        <v>309</v>
      </c>
      <c r="G2236" s="5">
        <v>1E-3</v>
      </c>
      <c r="H2236" s="6" t="s">
        <v>77</v>
      </c>
      <c r="I2236" s="3" t="s">
        <v>45</v>
      </c>
    </row>
    <row r="2237" spans="1:9" ht="48" customHeight="1">
      <c r="A2237" s="3" t="s">
        <v>66</v>
      </c>
      <c r="B2237" s="3" t="s">
        <v>65</v>
      </c>
      <c r="C2237" s="4">
        <v>46266</v>
      </c>
      <c r="D2237" s="4">
        <v>46276</v>
      </c>
      <c r="E2237" s="3" t="s">
        <v>302</v>
      </c>
      <c r="F2237" s="3" t="s">
        <v>303</v>
      </c>
      <c r="G2237" s="5">
        <v>0</v>
      </c>
      <c r="H2237" s="6" t="s">
        <v>77</v>
      </c>
      <c r="I2237" s="3" t="s">
        <v>45</v>
      </c>
    </row>
    <row r="2238" spans="1:9" ht="48" customHeight="1">
      <c r="A2238" s="3" t="s">
        <v>66</v>
      </c>
      <c r="B2238" s="3" t="s">
        <v>65</v>
      </c>
      <c r="C2238" s="4">
        <v>46266</v>
      </c>
      <c r="D2238" s="4">
        <v>46276</v>
      </c>
      <c r="E2238" s="3" t="s">
        <v>302</v>
      </c>
      <c r="F2238" s="3" t="s">
        <v>310</v>
      </c>
      <c r="G2238" s="5">
        <v>0</v>
      </c>
      <c r="H2238" s="6" t="s">
        <v>77</v>
      </c>
      <c r="I2238" s="3" t="s">
        <v>45</v>
      </c>
    </row>
    <row r="2239" spans="1:9" ht="48" customHeight="1">
      <c r="A2239" s="3" t="s">
        <v>66</v>
      </c>
      <c r="B2239" s="3" t="s">
        <v>65</v>
      </c>
      <c r="C2239" s="4">
        <v>46266</v>
      </c>
      <c r="D2239" s="4">
        <v>46276</v>
      </c>
      <c r="E2239" s="3" t="s">
        <v>302</v>
      </c>
      <c r="F2239" s="3" t="s">
        <v>305</v>
      </c>
      <c r="G2239" s="5">
        <v>0</v>
      </c>
      <c r="H2239" s="6" t="s">
        <v>77</v>
      </c>
      <c r="I2239" s="3" t="s">
        <v>45</v>
      </c>
    </row>
    <row r="2240" spans="1:9" ht="48" customHeight="1">
      <c r="A2240" s="3" t="s">
        <v>66</v>
      </c>
      <c r="B2240" s="3" t="s">
        <v>65</v>
      </c>
      <c r="C2240" s="4">
        <v>46266</v>
      </c>
      <c r="D2240" s="4">
        <v>46276</v>
      </c>
      <c r="E2240" s="3" t="s">
        <v>302</v>
      </c>
      <c r="F2240" s="3" t="s">
        <v>306</v>
      </c>
      <c r="G2240" s="5">
        <v>0</v>
      </c>
      <c r="H2240" s="6" t="s">
        <v>77</v>
      </c>
      <c r="I2240" s="3" t="s">
        <v>45</v>
      </c>
    </row>
    <row r="2241" spans="1:9" ht="48" customHeight="1">
      <c r="A2241" s="3" t="s">
        <v>66</v>
      </c>
      <c r="B2241" s="3" t="s">
        <v>65</v>
      </c>
      <c r="C2241" s="4">
        <v>46266</v>
      </c>
      <c r="D2241" s="4">
        <v>46276</v>
      </c>
      <c r="E2241" s="3" t="s">
        <v>302</v>
      </c>
      <c r="F2241" s="3" t="s">
        <v>312</v>
      </c>
      <c r="G2241" s="5">
        <v>0</v>
      </c>
      <c r="H2241" s="6" t="s">
        <v>77</v>
      </c>
      <c r="I2241" s="3" t="s">
        <v>45</v>
      </c>
    </row>
    <row r="2242" spans="1:9" ht="48" customHeight="1">
      <c r="A2242" s="3" t="s">
        <v>66</v>
      </c>
      <c r="B2242" s="3" t="s">
        <v>65</v>
      </c>
      <c r="C2242" s="4">
        <v>46266</v>
      </c>
      <c r="D2242" s="4">
        <v>46276</v>
      </c>
      <c r="E2242" s="3" t="s">
        <v>302</v>
      </c>
      <c r="F2242" s="3" t="s">
        <v>313</v>
      </c>
      <c r="G2242" s="5">
        <v>0</v>
      </c>
      <c r="H2242" s="6" t="s">
        <v>77</v>
      </c>
      <c r="I2242" s="3" t="s">
        <v>45</v>
      </c>
    </row>
    <row r="2243" spans="1:9" ht="48" customHeight="1">
      <c r="A2243" s="3" t="s">
        <v>66</v>
      </c>
      <c r="B2243" s="3" t="s">
        <v>65</v>
      </c>
      <c r="C2243" s="4">
        <v>46266</v>
      </c>
      <c r="D2243" s="4">
        <v>46276</v>
      </c>
      <c r="E2243" s="3" t="s">
        <v>302</v>
      </c>
      <c r="F2243" s="3" t="s">
        <v>314</v>
      </c>
      <c r="G2243" s="5">
        <v>0</v>
      </c>
      <c r="H2243" s="6" t="s">
        <v>77</v>
      </c>
      <c r="I2243" s="3" t="s">
        <v>45</v>
      </c>
    </row>
    <row r="2244" spans="1:9" ht="48" customHeight="1">
      <c r="A2244" s="3" t="s">
        <v>66</v>
      </c>
      <c r="B2244" s="3" t="s">
        <v>65</v>
      </c>
      <c r="C2244" s="4">
        <v>46266</v>
      </c>
      <c r="D2244" s="4">
        <v>46276</v>
      </c>
      <c r="E2244" s="3" t="s">
        <v>302</v>
      </c>
      <c r="F2244" s="3" t="s">
        <v>308</v>
      </c>
      <c r="G2244" s="5">
        <v>0</v>
      </c>
      <c r="H2244" s="6" t="s">
        <v>77</v>
      </c>
      <c r="I2244" s="3" t="s">
        <v>45</v>
      </c>
    </row>
    <row r="2245" spans="1:9" ht="48" customHeight="1">
      <c r="A2245" s="3" t="s">
        <v>66</v>
      </c>
      <c r="B2245" s="3" t="s">
        <v>65</v>
      </c>
      <c r="C2245" s="4">
        <v>46266</v>
      </c>
      <c r="D2245" s="4">
        <v>46276</v>
      </c>
      <c r="E2245" s="3" t="s">
        <v>302</v>
      </c>
      <c r="F2245" s="3" t="s">
        <v>315</v>
      </c>
      <c r="G2245" s="5">
        <v>0</v>
      </c>
      <c r="H2245" s="6" t="s">
        <v>77</v>
      </c>
      <c r="I2245" s="3" t="s">
        <v>45</v>
      </c>
    </row>
    <row r="2246" spans="1:9" ht="48" customHeight="1">
      <c r="A2246" s="3" t="s">
        <v>66</v>
      </c>
      <c r="B2246" s="3" t="s">
        <v>65</v>
      </c>
      <c r="C2246" s="4">
        <v>46266</v>
      </c>
      <c r="D2246" s="4">
        <v>46276</v>
      </c>
      <c r="E2246" s="3" t="s">
        <v>302</v>
      </c>
      <c r="F2246" s="3" t="s">
        <v>316</v>
      </c>
      <c r="G2246" s="5">
        <v>0</v>
      </c>
      <c r="H2246" s="6" t="s">
        <v>77</v>
      </c>
      <c r="I2246" s="3" t="s">
        <v>45</v>
      </c>
    </row>
    <row r="2247" spans="1:9" ht="48" customHeight="1">
      <c r="A2247" s="3" t="s">
        <v>66</v>
      </c>
      <c r="B2247" s="3" t="s">
        <v>65</v>
      </c>
      <c r="C2247" s="4">
        <v>46266</v>
      </c>
      <c r="D2247" s="4">
        <v>46276</v>
      </c>
      <c r="E2247" s="3" t="s">
        <v>302</v>
      </c>
      <c r="F2247" s="3" t="s">
        <v>317</v>
      </c>
      <c r="G2247" s="5">
        <v>0</v>
      </c>
      <c r="H2247" s="6" t="s">
        <v>77</v>
      </c>
      <c r="I2247" s="3" t="s">
        <v>45</v>
      </c>
    </row>
    <row r="2248" spans="1:9" ht="48" customHeight="1">
      <c r="A2248" s="3" t="s">
        <v>66</v>
      </c>
      <c r="B2248" s="3" t="s">
        <v>65</v>
      </c>
      <c r="C2248" s="4">
        <v>46266</v>
      </c>
      <c r="D2248" s="4">
        <v>46276</v>
      </c>
      <c r="E2248" s="3" t="s">
        <v>302</v>
      </c>
      <c r="F2248" s="3" t="s">
        <v>318</v>
      </c>
      <c r="G2248" s="5">
        <v>0</v>
      </c>
      <c r="H2248" s="6" t="s">
        <v>77</v>
      </c>
      <c r="I2248" s="3" t="s">
        <v>45</v>
      </c>
    </row>
    <row r="2249" spans="1:9" ht="48" customHeight="1">
      <c r="A2249" s="3" t="s">
        <v>66</v>
      </c>
      <c r="B2249" s="3" t="s">
        <v>65</v>
      </c>
      <c r="C2249" s="4">
        <v>46266</v>
      </c>
      <c r="D2249" s="4">
        <v>46276</v>
      </c>
      <c r="E2249" s="3" t="s">
        <v>302</v>
      </c>
      <c r="F2249" s="3" t="s">
        <v>319</v>
      </c>
      <c r="G2249" s="5">
        <v>0</v>
      </c>
      <c r="H2249" s="6" t="s">
        <v>77</v>
      </c>
      <c r="I2249" s="3" t="s">
        <v>45</v>
      </c>
    </row>
    <row r="2250" spans="1:9" ht="48" customHeight="1">
      <c r="A2250" s="3" t="s">
        <v>66</v>
      </c>
      <c r="B2250" s="3" t="s">
        <v>65</v>
      </c>
      <c r="C2250" s="4">
        <v>46266</v>
      </c>
      <c r="D2250" s="4">
        <v>46276</v>
      </c>
      <c r="E2250" s="3" t="s">
        <v>302</v>
      </c>
      <c r="F2250" s="3" t="s">
        <v>320</v>
      </c>
      <c r="G2250" s="5">
        <v>0</v>
      </c>
      <c r="H2250" s="6" t="s">
        <v>77</v>
      </c>
      <c r="I2250" s="3" t="s">
        <v>45</v>
      </c>
    </row>
    <row r="2251" spans="1:9" ht="48" customHeight="1">
      <c r="A2251" s="3" t="s">
        <v>66</v>
      </c>
      <c r="B2251" s="3" t="s">
        <v>65</v>
      </c>
      <c r="C2251" s="4">
        <v>46266</v>
      </c>
      <c r="D2251" s="4">
        <v>46276</v>
      </c>
      <c r="E2251" s="3" t="s">
        <v>302</v>
      </c>
      <c r="F2251" s="3" t="s">
        <v>321</v>
      </c>
      <c r="G2251" s="5">
        <v>0</v>
      </c>
      <c r="H2251" s="6" t="s">
        <v>77</v>
      </c>
      <c r="I2251" s="3" t="s">
        <v>45</v>
      </c>
    </row>
    <row r="2252" spans="1:9" ht="48" customHeight="1">
      <c r="A2252" s="3" t="s">
        <v>66</v>
      </c>
      <c r="B2252" s="3" t="s">
        <v>65</v>
      </c>
      <c r="C2252" s="4">
        <v>46266</v>
      </c>
      <c r="D2252" s="4">
        <v>46276</v>
      </c>
      <c r="E2252" s="3" t="s">
        <v>302</v>
      </c>
      <c r="F2252" s="3" t="s">
        <v>322</v>
      </c>
      <c r="G2252" s="5">
        <v>0</v>
      </c>
      <c r="H2252" s="6" t="s">
        <v>77</v>
      </c>
      <c r="I2252" s="3" t="s">
        <v>45</v>
      </c>
    </row>
    <row r="2253" spans="1:9" ht="48" customHeight="1">
      <c r="A2253" s="3" t="s">
        <v>66</v>
      </c>
      <c r="B2253" s="3" t="s">
        <v>65</v>
      </c>
      <c r="C2253" s="4">
        <v>46266</v>
      </c>
      <c r="D2253" s="4">
        <v>46276</v>
      </c>
      <c r="E2253" s="3" t="s">
        <v>302</v>
      </c>
      <c r="F2253" s="3" t="s">
        <v>323</v>
      </c>
      <c r="G2253" s="5">
        <v>0</v>
      </c>
      <c r="H2253" s="6" t="s">
        <v>77</v>
      </c>
      <c r="I2253" s="3" t="s">
        <v>45</v>
      </c>
    </row>
    <row r="2254" spans="1:9" ht="48" customHeight="1">
      <c r="A2254" s="3" t="s">
        <v>66</v>
      </c>
      <c r="B2254" s="3" t="s">
        <v>65</v>
      </c>
      <c r="C2254" s="4">
        <v>46266</v>
      </c>
      <c r="D2254" s="4">
        <v>46276</v>
      </c>
      <c r="E2254" s="3" t="s">
        <v>302</v>
      </c>
      <c r="F2254" s="3" t="s">
        <v>324</v>
      </c>
      <c r="G2254" s="5">
        <v>0</v>
      </c>
      <c r="H2254" s="6" t="s">
        <v>77</v>
      </c>
      <c r="I2254" s="3" t="s">
        <v>45</v>
      </c>
    </row>
    <row r="2255" spans="1:9" ht="48" customHeight="1">
      <c r="A2255" s="3" t="s">
        <v>66</v>
      </c>
      <c r="B2255" s="3" t="s">
        <v>65</v>
      </c>
      <c r="C2255" s="4">
        <v>46266</v>
      </c>
      <c r="D2255" s="4">
        <v>46276</v>
      </c>
      <c r="E2255" s="3" t="s">
        <v>364</v>
      </c>
      <c r="F2255" s="3" t="s">
        <v>234</v>
      </c>
      <c r="G2255" s="5">
        <v>1E-3</v>
      </c>
      <c r="H2255" s="6" t="s">
        <v>77</v>
      </c>
      <c r="I2255" s="3" t="s">
        <v>45</v>
      </c>
    </row>
    <row r="2256" spans="1:9" ht="48" customHeight="1">
      <c r="A2256" s="3" t="s">
        <v>66</v>
      </c>
      <c r="B2256" s="3" t="s">
        <v>65</v>
      </c>
      <c r="C2256" s="4">
        <v>46266</v>
      </c>
      <c r="D2256" s="4">
        <v>46276</v>
      </c>
      <c r="E2256" s="3" t="s">
        <v>364</v>
      </c>
      <c r="F2256" s="3" t="s">
        <v>262</v>
      </c>
      <c r="G2256" s="5">
        <v>1E-3</v>
      </c>
      <c r="H2256" s="6" t="s">
        <v>77</v>
      </c>
      <c r="I2256" s="3" t="s">
        <v>45</v>
      </c>
    </row>
    <row r="2257" spans="1:9" ht="48" customHeight="1">
      <c r="A2257" s="3" t="s">
        <v>66</v>
      </c>
      <c r="B2257" s="3" t="s">
        <v>65</v>
      </c>
      <c r="C2257" s="4">
        <v>46266</v>
      </c>
      <c r="D2257" s="4">
        <v>46276</v>
      </c>
      <c r="E2257" s="3" t="s">
        <v>364</v>
      </c>
      <c r="F2257" s="3" t="s">
        <v>365</v>
      </c>
      <c r="G2257" s="5">
        <v>1E-3</v>
      </c>
      <c r="H2257" s="6" t="s">
        <v>77</v>
      </c>
      <c r="I2257" s="3" t="s">
        <v>45</v>
      </c>
    </row>
    <row r="2258" spans="1:9" ht="48" customHeight="1">
      <c r="A2258" s="3" t="s">
        <v>66</v>
      </c>
      <c r="B2258" s="3" t="s">
        <v>65</v>
      </c>
      <c r="C2258" s="4">
        <v>46266</v>
      </c>
      <c r="D2258" s="4">
        <v>46276</v>
      </c>
      <c r="E2258" s="3" t="s">
        <v>364</v>
      </c>
      <c r="F2258" s="3" t="s">
        <v>366</v>
      </c>
      <c r="G2258" s="5">
        <v>1E-3</v>
      </c>
      <c r="H2258" s="6" t="s">
        <v>77</v>
      </c>
      <c r="I2258" s="3" t="s">
        <v>45</v>
      </c>
    </row>
    <row r="2259" spans="1:9" ht="48" customHeight="1">
      <c r="A2259" s="3" t="s">
        <v>66</v>
      </c>
      <c r="B2259" s="3" t="s">
        <v>65</v>
      </c>
      <c r="C2259" s="4">
        <v>46266</v>
      </c>
      <c r="D2259" s="4">
        <v>46276</v>
      </c>
      <c r="E2259" s="3" t="s">
        <v>364</v>
      </c>
      <c r="F2259" s="3" t="s">
        <v>367</v>
      </c>
      <c r="G2259" s="5">
        <v>1E-3</v>
      </c>
      <c r="H2259" s="6" t="s">
        <v>77</v>
      </c>
      <c r="I2259" s="3" t="s">
        <v>45</v>
      </c>
    </row>
    <row r="2260" spans="1:9" ht="48" customHeight="1">
      <c r="A2260" s="3" t="s">
        <v>66</v>
      </c>
      <c r="B2260" s="3" t="s">
        <v>65</v>
      </c>
      <c r="C2260" s="4">
        <v>46266</v>
      </c>
      <c r="D2260" s="4">
        <v>46276</v>
      </c>
      <c r="E2260" s="3" t="s">
        <v>364</v>
      </c>
      <c r="F2260" s="3" t="s">
        <v>230</v>
      </c>
      <c r="G2260" s="5">
        <v>0</v>
      </c>
      <c r="H2260" s="6" t="s">
        <v>77</v>
      </c>
      <c r="I2260" s="3" t="s">
        <v>45</v>
      </c>
    </row>
    <row r="2261" spans="1:9" ht="48" customHeight="1">
      <c r="A2261" s="3" t="s">
        <v>66</v>
      </c>
      <c r="B2261" s="3" t="s">
        <v>65</v>
      </c>
      <c r="C2261" s="4">
        <v>46266</v>
      </c>
      <c r="D2261" s="4">
        <v>46276</v>
      </c>
      <c r="E2261" s="3" t="s">
        <v>364</v>
      </c>
      <c r="F2261" s="3" t="s">
        <v>232</v>
      </c>
      <c r="G2261" s="5">
        <v>0</v>
      </c>
      <c r="H2261" s="6" t="s">
        <v>77</v>
      </c>
      <c r="I2261" s="3" t="s">
        <v>45</v>
      </c>
    </row>
    <row r="2262" spans="1:9" ht="48" customHeight="1">
      <c r="A2262" s="3" t="s">
        <v>66</v>
      </c>
      <c r="B2262" s="3" t="s">
        <v>65</v>
      </c>
      <c r="C2262" s="4">
        <v>46266</v>
      </c>
      <c r="D2262" s="4">
        <v>46276</v>
      </c>
      <c r="E2262" s="3" t="s">
        <v>364</v>
      </c>
      <c r="F2262" s="3" t="s">
        <v>265</v>
      </c>
      <c r="G2262" s="5">
        <v>0</v>
      </c>
      <c r="H2262" s="6" t="s">
        <v>77</v>
      </c>
      <c r="I2262" s="3" t="s">
        <v>45</v>
      </c>
    </row>
    <row r="2263" spans="1:9" ht="48" customHeight="1">
      <c r="A2263" s="3" t="s">
        <v>66</v>
      </c>
      <c r="B2263" s="3" t="s">
        <v>65</v>
      </c>
      <c r="C2263" s="4">
        <v>46266</v>
      </c>
      <c r="D2263" s="4">
        <v>46276</v>
      </c>
      <c r="E2263" s="3" t="s">
        <v>364</v>
      </c>
      <c r="F2263" s="3" t="s">
        <v>79</v>
      </c>
      <c r="G2263" s="5">
        <v>0</v>
      </c>
      <c r="H2263" s="6" t="s">
        <v>77</v>
      </c>
      <c r="I2263" s="3" t="s">
        <v>45</v>
      </c>
    </row>
    <row r="2264" spans="1:9" ht="48" customHeight="1">
      <c r="A2264" s="3" t="s">
        <v>66</v>
      </c>
      <c r="B2264" s="3" t="s">
        <v>65</v>
      </c>
      <c r="C2264" s="4">
        <v>46266</v>
      </c>
      <c r="D2264" s="4">
        <v>46276</v>
      </c>
      <c r="E2264" s="3" t="s">
        <v>368</v>
      </c>
      <c r="F2264" s="3" t="s">
        <v>369</v>
      </c>
      <c r="G2264" s="5">
        <v>1E-3</v>
      </c>
      <c r="H2264" s="6" t="s">
        <v>77</v>
      </c>
      <c r="I2264" s="3" t="s">
        <v>45</v>
      </c>
    </row>
    <row r="2265" spans="1:9" ht="48" customHeight="1">
      <c r="A2265" s="3" t="s">
        <v>66</v>
      </c>
      <c r="B2265" s="3" t="s">
        <v>65</v>
      </c>
      <c r="C2265" s="4">
        <v>46266</v>
      </c>
      <c r="D2265" s="4">
        <v>46276</v>
      </c>
      <c r="E2265" s="3" t="s">
        <v>368</v>
      </c>
      <c r="F2265" s="3" t="s">
        <v>262</v>
      </c>
      <c r="G2265" s="5">
        <v>1E-3</v>
      </c>
      <c r="H2265" s="6" t="s">
        <v>77</v>
      </c>
      <c r="I2265" s="3" t="s">
        <v>45</v>
      </c>
    </row>
    <row r="2266" spans="1:9" ht="48" customHeight="1">
      <c r="A2266" s="3" t="s">
        <v>66</v>
      </c>
      <c r="B2266" s="3" t="s">
        <v>65</v>
      </c>
      <c r="C2266" s="4">
        <v>46266</v>
      </c>
      <c r="D2266" s="4">
        <v>46276</v>
      </c>
      <c r="E2266" s="3" t="s">
        <v>368</v>
      </c>
      <c r="F2266" s="3" t="s">
        <v>370</v>
      </c>
      <c r="G2266" s="5">
        <v>1E-3</v>
      </c>
      <c r="H2266" s="6" t="s">
        <v>77</v>
      </c>
      <c r="I2266" s="3" t="s">
        <v>45</v>
      </c>
    </row>
    <row r="2267" spans="1:9" ht="48" customHeight="1">
      <c r="A2267" s="3" t="s">
        <v>66</v>
      </c>
      <c r="B2267" s="3" t="s">
        <v>65</v>
      </c>
      <c r="C2267" s="4">
        <v>46266</v>
      </c>
      <c r="D2267" s="4">
        <v>46276</v>
      </c>
      <c r="E2267" s="3" t="s">
        <v>368</v>
      </c>
      <c r="F2267" s="3" t="s">
        <v>230</v>
      </c>
      <c r="G2267" s="5">
        <v>0</v>
      </c>
      <c r="H2267" s="6" t="s">
        <v>77</v>
      </c>
      <c r="I2267" s="3" t="s">
        <v>45</v>
      </c>
    </row>
    <row r="2268" spans="1:9" ht="48" customHeight="1">
      <c r="A2268" s="3" t="s">
        <v>66</v>
      </c>
      <c r="B2268" s="3" t="s">
        <v>65</v>
      </c>
      <c r="C2268" s="4">
        <v>46266</v>
      </c>
      <c r="D2268" s="4">
        <v>46276</v>
      </c>
      <c r="E2268" s="3" t="s">
        <v>368</v>
      </c>
      <c r="F2268" s="3" t="s">
        <v>232</v>
      </c>
      <c r="G2268" s="5">
        <v>0</v>
      </c>
      <c r="H2268" s="6" t="s">
        <v>77</v>
      </c>
      <c r="I2268" s="3" t="s">
        <v>45</v>
      </c>
    </row>
    <row r="2269" spans="1:9" ht="48" customHeight="1">
      <c r="A2269" s="3" t="s">
        <v>66</v>
      </c>
      <c r="B2269" s="3" t="s">
        <v>65</v>
      </c>
      <c r="C2269" s="4">
        <v>46266</v>
      </c>
      <c r="D2269" s="4">
        <v>46276</v>
      </c>
      <c r="E2269" s="3" t="s">
        <v>368</v>
      </c>
      <c r="F2269" s="3" t="s">
        <v>234</v>
      </c>
      <c r="G2269" s="5">
        <v>0</v>
      </c>
      <c r="H2269" s="6" t="s">
        <v>77</v>
      </c>
      <c r="I2269" s="3" t="s">
        <v>45</v>
      </c>
    </row>
    <row r="2270" spans="1:9" ht="48" customHeight="1">
      <c r="A2270" s="3" t="s">
        <v>66</v>
      </c>
      <c r="B2270" s="3" t="s">
        <v>65</v>
      </c>
      <c r="C2270" s="4">
        <v>46266</v>
      </c>
      <c r="D2270" s="4">
        <v>46276</v>
      </c>
      <c r="E2270" s="3" t="s">
        <v>368</v>
      </c>
      <c r="F2270" s="3" t="s">
        <v>372</v>
      </c>
      <c r="G2270" s="5">
        <v>0</v>
      </c>
      <c r="H2270" s="6" t="s">
        <v>77</v>
      </c>
      <c r="I2270" s="3" t="s">
        <v>45</v>
      </c>
    </row>
    <row r="2271" spans="1:9" ht="48" customHeight="1">
      <c r="A2271" s="3" t="s">
        <v>66</v>
      </c>
      <c r="B2271" s="3" t="s">
        <v>65</v>
      </c>
      <c r="C2271" s="4">
        <v>46266</v>
      </c>
      <c r="D2271" s="4">
        <v>46276</v>
      </c>
      <c r="E2271" s="3" t="s">
        <v>368</v>
      </c>
      <c r="F2271" s="3" t="s">
        <v>373</v>
      </c>
      <c r="G2271" s="5">
        <v>0</v>
      </c>
      <c r="H2271" s="6" t="s">
        <v>77</v>
      </c>
      <c r="I2271" s="3" t="s">
        <v>45</v>
      </c>
    </row>
    <row r="2272" spans="1:9" ht="48" customHeight="1">
      <c r="A2272" s="3" t="s">
        <v>66</v>
      </c>
      <c r="B2272" s="3" t="s">
        <v>65</v>
      </c>
      <c r="C2272" s="4">
        <v>46266</v>
      </c>
      <c r="D2272" s="4">
        <v>46276</v>
      </c>
      <c r="E2272" s="3" t="s">
        <v>368</v>
      </c>
      <c r="F2272" s="3" t="s">
        <v>265</v>
      </c>
      <c r="G2272" s="5">
        <v>0</v>
      </c>
      <c r="H2272" s="6" t="s">
        <v>77</v>
      </c>
      <c r="I2272" s="3" t="s">
        <v>45</v>
      </c>
    </row>
    <row r="2273" spans="1:9" ht="48" customHeight="1">
      <c r="A2273" s="3" t="s">
        <v>66</v>
      </c>
      <c r="B2273" s="3" t="s">
        <v>65</v>
      </c>
      <c r="C2273" s="4">
        <v>46266</v>
      </c>
      <c r="D2273" s="4">
        <v>46276</v>
      </c>
      <c r="E2273" s="3" t="s">
        <v>368</v>
      </c>
      <c r="F2273" s="3" t="s">
        <v>371</v>
      </c>
      <c r="G2273" s="5">
        <v>0</v>
      </c>
      <c r="H2273" s="6" t="s">
        <v>77</v>
      </c>
      <c r="I2273" s="3" t="s">
        <v>45</v>
      </c>
    </row>
    <row r="2274" spans="1:9" ht="48" customHeight="1">
      <c r="A2274" s="3" t="s">
        <v>66</v>
      </c>
      <c r="B2274" s="3" t="s">
        <v>65</v>
      </c>
      <c r="C2274" s="4">
        <v>46266</v>
      </c>
      <c r="D2274" s="4">
        <v>46276</v>
      </c>
      <c r="E2274" s="3" t="s">
        <v>368</v>
      </c>
      <c r="F2274" s="3" t="s">
        <v>374</v>
      </c>
      <c r="G2274" s="5">
        <v>0</v>
      </c>
      <c r="H2274" s="6" t="s">
        <v>77</v>
      </c>
      <c r="I2274" s="3" t="s">
        <v>45</v>
      </c>
    </row>
    <row r="2275" spans="1:9" ht="48" customHeight="1">
      <c r="A2275" s="3" t="s">
        <v>66</v>
      </c>
      <c r="B2275" s="3" t="s">
        <v>65</v>
      </c>
      <c r="C2275" s="4">
        <v>46266</v>
      </c>
      <c r="D2275" s="4">
        <v>46276</v>
      </c>
      <c r="E2275" s="3" t="s">
        <v>368</v>
      </c>
      <c r="F2275" s="3" t="s">
        <v>207</v>
      </c>
      <c r="G2275" s="5">
        <v>0</v>
      </c>
      <c r="H2275" s="6" t="s">
        <v>77</v>
      </c>
      <c r="I2275" s="3" t="s">
        <v>45</v>
      </c>
    </row>
    <row r="2276" spans="1:9" ht="48" customHeight="1">
      <c r="A2276" s="3" t="s">
        <v>66</v>
      </c>
      <c r="B2276" s="3" t="s">
        <v>65</v>
      </c>
      <c r="C2276" s="4">
        <v>46266</v>
      </c>
      <c r="D2276" s="4">
        <v>46276</v>
      </c>
      <c r="E2276" s="3" t="s">
        <v>368</v>
      </c>
      <c r="F2276" s="3" t="s">
        <v>375</v>
      </c>
      <c r="G2276" s="5">
        <v>0</v>
      </c>
      <c r="H2276" s="6" t="s">
        <v>77</v>
      </c>
      <c r="I2276" s="3" t="s">
        <v>45</v>
      </c>
    </row>
    <row r="2277" spans="1:9" ht="48" customHeight="1">
      <c r="A2277" s="3" t="s">
        <v>66</v>
      </c>
      <c r="B2277" s="3" t="s">
        <v>65</v>
      </c>
      <c r="C2277" s="4">
        <v>46266</v>
      </c>
      <c r="D2277" s="4">
        <v>46276</v>
      </c>
      <c r="E2277" s="3" t="s">
        <v>368</v>
      </c>
      <c r="F2277" s="3" t="s">
        <v>376</v>
      </c>
      <c r="G2277" s="5">
        <v>0</v>
      </c>
      <c r="H2277" s="6" t="s">
        <v>77</v>
      </c>
      <c r="I2277" s="3" t="s">
        <v>45</v>
      </c>
    </row>
    <row r="2278" spans="1:9" ht="48" customHeight="1">
      <c r="A2278" s="3" t="s">
        <v>66</v>
      </c>
      <c r="B2278" s="3" t="s">
        <v>65</v>
      </c>
      <c r="C2278" s="4">
        <v>46266</v>
      </c>
      <c r="D2278" s="4">
        <v>46276</v>
      </c>
      <c r="E2278" s="3" t="s">
        <v>368</v>
      </c>
      <c r="F2278" s="3" t="s">
        <v>377</v>
      </c>
      <c r="G2278" s="5">
        <v>0</v>
      </c>
      <c r="H2278" s="6" t="s">
        <v>77</v>
      </c>
      <c r="I2278" s="3" t="s">
        <v>45</v>
      </c>
    </row>
    <row r="2279" spans="1:9" ht="48" customHeight="1">
      <c r="A2279" s="3" t="s">
        <v>66</v>
      </c>
      <c r="B2279" s="3" t="s">
        <v>65</v>
      </c>
      <c r="C2279" s="4">
        <v>46266</v>
      </c>
      <c r="D2279" s="4">
        <v>46276</v>
      </c>
      <c r="E2279" s="3" t="s">
        <v>368</v>
      </c>
      <c r="F2279" s="3" t="s">
        <v>378</v>
      </c>
      <c r="G2279" s="5">
        <v>0</v>
      </c>
      <c r="H2279" s="6" t="s">
        <v>77</v>
      </c>
      <c r="I2279" s="3" t="s">
        <v>45</v>
      </c>
    </row>
    <row r="2280" spans="1:9" ht="48" customHeight="1">
      <c r="A2280" s="3" t="s">
        <v>66</v>
      </c>
      <c r="B2280" s="3" t="s">
        <v>65</v>
      </c>
      <c r="C2280" s="4">
        <v>46266</v>
      </c>
      <c r="D2280" s="4">
        <v>46276</v>
      </c>
      <c r="E2280" s="3" t="s">
        <v>379</v>
      </c>
      <c r="F2280" s="3" t="s">
        <v>265</v>
      </c>
      <c r="G2280" s="5">
        <v>1E-3</v>
      </c>
      <c r="H2280" s="6" t="s">
        <v>77</v>
      </c>
      <c r="I2280" s="3" t="s">
        <v>45</v>
      </c>
    </row>
    <row r="2281" spans="1:9" ht="48" customHeight="1">
      <c r="A2281" s="3" t="s">
        <v>66</v>
      </c>
      <c r="B2281" s="3" t="s">
        <v>65</v>
      </c>
      <c r="C2281" s="4">
        <v>46266</v>
      </c>
      <c r="D2281" s="4">
        <v>46276</v>
      </c>
      <c r="E2281" s="3" t="s">
        <v>379</v>
      </c>
      <c r="F2281" s="3" t="s">
        <v>262</v>
      </c>
      <c r="G2281" s="5">
        <v>1E-3</v>
      </c>
      <c r="H2281" s="6" t="s">
        <v>77</v>
      </c>
      <c r="I2281" s="3" t="s">
        <v>45</v>
      </c>
    </row>
    <row r="2282" spans="1:9" ht="48" customHeight="1">
      <c r="A2282" s="3" t="s">
        <v>66</v>
      </c>
      <c r="B2282" s="3" t="s">
        <v>65</v>
      </c>
      <c r="C2282" s="4">
        <v>46266</v>
      </c>
      <c r="D2282" s="4">
        <v>46276</v>
      </c>
      <c r="E2282" s="3" t="s">
        <v>379</v>
      </c>
      <c r="F2282" s="3" t="s">
        <v>380</v>
      </c>
      <c r="G2282" s="5">
        <v>1E-3</v>
      </c>
      <c r="H2282" s="6" t="s">
        <v>77</v>
      </c>
      <c r="I2282" s="3" t="s">
        <v>45</v>
      </c>
    </row>
    <row r="2283" spans="1:9" ht="48" customHeight="1">
      <c r="A2283" s="3" t="s">
        <v>66</v>
      </c>
      <c r="B2283" s="3" t="s">
        <v>65</v>
      </c>
      <c r="C2283" s="4">
        <v>46266</v>
      </c>
      <c r="D2283" s="4">
        <v>46276</v>
      </c>
      <c r="E2283" s="3" t="s">
        <v>379</v>
      </c>
      <c r="F2283" s="3" t="s">
        <v>230</v>
      </c>
      <c r="G2283" s="5">
        <v>0</v>
      </c>
      <c r="H2283" s="6" t="s">
        <v>77</v>
      </c>
      <c r="I2283" s="3" t="s">
        <v>45</v>
      </c>
    </row>
    <row r="2284" spans="1:9" ht="48" customHeight="1">
      <c r="A2284" s="3" t="s">
        <v>66</v>
      </c>
      <c r="B2284" s="3" t="s">
        <v>65</v>
      </c>
      <c r="C2284" s="4">
        <v>46266</v>
      </c>
      <c r="D2284" s="4">
        <v>46276</v>
      </c>
      <c r="E2284" s="3" t="s">
        <v>379</v>
      </c>
      <c r="F2284" s="3" t="s">
        <v>234</v>
      </c>
      <c r="G2284" s="5">
        <v>0</v>
      </c>
      <c r="H2284" s="6" t="s">
        <v>77</v>
      </c>
      <c r="I2284" s="3" t="s">
        <v>45</v>
      </c>
    </row>
    <row r="2285" spans="1:9" ht="48" customHeight="1">
      <c r="A2285" s="3" t="s">
        <v>66</v>
      </c>
      <c r="B2285" s="3" t="s">
        <v>65</v>
      </c>
      <c r="C2285" s="4">
        <v>46266</v>
      </c>
      <c r="D2285" s="4">
        <v>46276</v>
      </c>
      <c r="E2285" s="3" t="s">
        <v>381</v>
      </c>
      <c r="F2285" s="3" t="s">
        <v>382</v>
      </c>
      <c r="G2285" s="5">
        <v>1E-3</v>
      </c>
      <c r="H2285" s="6" t="s">
        <v>77</v>
      </c>
      <c r="I2285" s="3" t="s">
        <v>45</v>
      </c>
    </row>
    <row r="2286" spans="1:9" ht="48" customHeight="1">
      <c r="A2286" s="3" t="s">
        <v>66</v>
      </c>
      <c r="B2286" s="3" t="s">
        <v>65</v>
      </c>
      <c r="C2286" s="4">
        <v>46266</v>
      </c>
      <c r="D2286" s="4">
        <v>46276</v>
      </c>
      <c r="E2286" s="3" t="s">
        <v>381</v>
      </c>
      <c r="F2286" s="3" t="s">
        <v>383</v>
      </c>
      <c r="G2286" s="5">
        <v>1E-3</v>
      </c>
      <c r="H2286" s="6" t="s">
        <v>77</v>
      </c>
      <c r="I2286" s="3" t="s">
        <v>45</v>
      </c>
    </row>
    <row r="2287" spans="1:9" ht="48" customHeight="1">
      <c r="A2287" s="3" t="s">
        <v>40</v>
      </c>
      <c r="B2287" s="3" t="s">
        <v>39</v>
      </c>
      <c r="C2287" s="4">
        <v>45962</v>
      </c>
      <c r="D2287" s="4">
        <v>45991</v>
      </c>
      <c r="E2287" s="3" t="s">
        <v>47</v>
      </c>
      <c r="F2287" s="3" t="s">
        <v>348</v>
      </c>
      <c r="G2287" s="5">
        <v>8.900000000000001E-2</v>
      </c>
      <c r="H2287" s="6" t="s">
        <v>43</v>
      </c>
      <c r="I2287" s="3" t="s">
        <v>45</v>
      </c>
    </row>
    <row r="2288" spans="1:9" ht="48" customHeight="1">
      <c r="A2288" s="3" t="s">
        <v>40</v>
      </c>
      <c r="B2288" s="3" t="s">
        <v>39</v>
      </c>
      <c r="C2288" s="4">
        <v>45962</v>
      </c>
      <c r="D2288" s="4">
        <v>45991</v>
      </c>
      <c r="E2288" s="3" t="s">
        <v>47</v>
      </c>
      <c r="F2288" s="3" t="s">
        <v>358</v>
      </c>
      <c r="G2288" s="5">
        <v>6.7000000000000004E-2</v>
      </c>
      <c r="H2288" s="6" t="s">
        <v>43</v>
      </c>
      <c r="I2288" s="3" t="s">
        <v>45</v>
      </c>
    </row>
    <row r="2289" spans="1:9" ht="48" customHeight="1">
      <c r="A2289" s="3" t="s">
        <v>40</v>
      </c>
      <c r="B2289" s="3" t="s">
        <v>39</v>
      </c>
      <c r="C2289" s="4">
        <v>45962</v>
      </c>
      <c r="D2289" s="4">
        <v>45991</v>
      </c>
      <c r="E2289" s="3" t="s">
        <v>47</v>
      </c>
      <c r="F2289" s="3" t="s">
        <v>357</v>
      </c>
      <c r="G2289" s="5">
        <v>3.7000000000000005E-2</v>
      </c>
      <c r="H2289" s="6" t="s">
        <v>43</v>
      </c>
      <c r="I2289" s="3" t="s">
        <v>45</v>
      </c>
    </row>
    <row r="2290" spans="1:9" ht="48" customHeight="1">
      <c r="A2290" s="3" t="s">
        <v>40</v>
      </c>
      <c r="B2290" s="3" t="s">
        <v>39</v>
      </c>
      <c r="C2290" s="4">
        <v>45962</v>
      </c>
      <c r="D2290" s="4">
        <v>45991</v>
      </c>
      <c r="E2290" s="3" t="s">
        <v>47</v>
      </c>
      <c r="F2290" s="3" t="s">
        <v>352</v>
      </c>
      <c r="G2290" s="5">
        <v>3.4000000000000002E-2</v>
      </c>
      <c r="H2290" s="6" t="s">
        <v>43</v>
      </c>
      <c r="I2290" s="3" t="s">
        <v>45</v>
      </c>
    </row>
    <row r="2291" spans="1:9" ht="48" customHeight="1">
      <c r="A2291" s="3" t="s">
        <v>40</v>
      </c>
      <c r="B2291" s="3" t="s">
        <v>39</v>
      </c>
      <c r="C2291" s="4">
        <v>45962</v>
      </c>
      <c r="D2291" s="4">
        <v>45991</v>
      </c>
      <c r="E2291" s="3" t="s">
        <v>47</v>
      </c>
      <c r="F2291" s="3" t="s">
        <v>349</v>
      </c>
      <c r="G2291" s="5">
        <v>1.7000000000000001E-2</v>
      </c>
      <c r="H2291" s="6" t="s">
        <v>43</v>
      </c>
      <c r="I2291" s="3" t="s">
        <v>45</v>
      </c>
    </row>
    <row r="2292" spans="1:9" ht="48" customHeight="1">
      <c r="A2292" s="3" t="s">
        <v>40</v>
      </c>
      <c r="B2292" s="3" t="s">
        <v>39</v>
      </c>
      <c r="C2292" s="4">
        <v>45962</v>
      </c>
      <c r="D2292" s="4">
        <v>45991</v>
      </c>
      <c r="E2292" s="3" t="s">
        <v>47</v>
      </c>
      <c r="F2292" s="3" t="s">
        <v>350</v>
      </c>
      <c r="G2292" s="5">
        <v>1.3999999999999999E-2</v>
      </c>
      <c r="H2292" s="6" t="s">
        <v>43</v>
      </c>
      <c r="I2292" s="3" t="s">
        <v>45</v>
      </c>
    </row>
    <row r="2293" spans="1:9" ht="48" customHeight="1">
      <c r="A2293" s="3" t="s">
        <v>40</v>
      </c>
      <c r="B2293" s="3" t="s">
        <v>39</v>
      </c>
      <c r="C2293" s="4">
        <v>45962</v>
      </c>
      <c r="D2293" s="4">
        <v>45991</v>
      </c>
      <c r="E2293" s="3" t="s">
        <v>47</v>
      </c>
      <c r="F2293" s="3" t="s">
        <v>351</v>
      </c>
      <c r="G2293" s="5">
        <v>0.01</v>
      </c>
      <c r="H2293" s="6" t="s">
        <v>43</v>
      </c>
      <c r="I2293" s="3" t="s">
        <v>45</v>
      </c>
    </row>
    <row r="2294" spans="1:9" ht="48" customHeight="1">
      <c r="A2294" s="3" t="s">
        <v>40</v>
      </c>
      <c r="B2294" s="3" t="s">
        <v>39</v>
      </c>
      <c r="C2294" s="4">
        <v>45962</v>
      </c>
      <c r="D2294" s="4">
        <v>45991</v>
      </c>
      <c r="E2294" s="3" t="s">
        <v>47</v>
      </c>
      <c r="F2294" s="3" t="s">
        <v>354</v>
      </c>
      <c r="G2294" s="5">
        <v>8.0000000000000002E-3</v>
      </c>
      <c r="H2294" s="6" t="s">
        <v>43</v>
      </c>
      <c r="I2294" s="3" t="s">
        <v>45</v>
      </c>
    </row>
    <row r="2295" spans="1:9" ht="48" customHeight="1">
      <c r="A2295" s="3" t="s">
        <v>40</v>
      </c>
      <c r="B2295" s="3" t="s">
        <v>39</v>
      </c>
      <c r="C2295" s="4">
        <v>45962</v>
      </c>
      <c r="D2295" s="4">
        <v>45991</v>
      </c>
      <c r="E2295" s="3" t="s">
        <v>47</v>
      </c>
      <c r="F2295" s="3" t="s">
        <v>356</v>
      </c>
      <c r="G2295" s="5">
        <v>6.0000000000000001E-3</v>
      </c>
      <c r="H2295" s="6" t="s">
        <v>43</v>
      </c>
      <c r="I2295" s="3" t="s">
        <v>45</v>
      </c>
    </row>
    <row r="2296" spans="1:9" ht="48" customHeight="1">
      <c r="A2296" s="3" t="s">
        <v>40</v>
      </c>
      <c r="B2296" s="3" t="s">
        <v>39</v>
      </c>
      <c r="C2296" s="4">
        <v>45962</v>
      </c>
      <c r="D2296" s="4">
        <v>45991</v>
      </c>
      <c r="E2296" s="3" t="s">
        <v>47</v>
      </c>
      <c r="F2296" s="3" t="s">
        <v>353</v>
      </c>
      <c r="G2296" s="5">
        <v>3.0000000000000001E-3</v>
      </c>
      <c r="H2296" s="6" t="s">
        <v>43</v>
      </c>
      <c r="I2296" s="3" t="s">
        <v>45</v>
      </c>
    </row>
    <row r="2297" spans="1:9" ht="48" customHeight="1">
      <c r="A2297" s="3" t="s">
        <v>40</v>
      </c>
      <c r="B2297" s="3" t="s">
        <v>39</v>
      </c>
      <c r="C2297" s="4">
        <v>45962</v>
      </c>
      <c r="D2297" s="4">
        <v>45991</v>
      </c>
      <c r="E2297" s="3" t="s">
        <v>47</v>
      </c>
      <c r="F2297" s="3" t="s">
        <v>355</v>
      </c>
      <c r="G2297" s="5">
        <v>3.0000000000000001E-3</v>
      </c>
      <c r="H2297" s="6" t="s">
        <v>43</v>
      </c>
      <c r="I2297" s="3" t="s">
        <v>45</v>
      </c>
    </row>
    <row r="2298" spans="1:9" ht="48" customHeight="1">
      <c r="A2298" s="3" t="s">
        <v>40</v>
      </c>
      <c r="B2298" s="3" t="s">
        <v>39</v>
      </c>
      <c r="C2298" s="4">
        <v>45962</v>
      </c>
      <c r="D2298" s="4">
        <v>45991</v>
      </c>
      <c r="E2298" s="3" t="s">
        <v>47</v>
      </c>
      <c r="F2298" s="3" t="s">
        <v>359</v>
      </c>
      <c r="G2298" s="5">
        <v>1E-3</v>
      </c>
      <c r="H2298" s="6" t="s">
        <v>43</v>
      </c>
      <c r="I2298" s="3" t="s">
        <v>45</v>
      </c>
    </row>
    <row r="2299" spans="1:9" ht="48" customHeight="1">
      <c r="A2299" s="3" t="s">
        <v>40</v>
      </c>
      <c r="B2299" s="3" t="s">
        <v>39</v>
      </c>
      <c r="C2299" s="4">
        <v>45962</v>
      </c>
      <c r="D2299" s="4">
        <v>45991</v>
      </c>
      <c r="E2299" s="3" t="s">
        <v>47</v>
      </c>
      <c r="F2299" s="3" t="s">
        <v>360</v>
      </c>
      <c r="G2299" s="5">
        <v>1E-3</v>
      </c>
      <c r="H2299" s="6" t="s">
        <v>43</v>
      </c>
      <c r="I2299" s="3" t="s">
        <v>45</v>
      </c>
    </row>
    <row r="2300" spans="1:9" ht="48" customHeight="1">
      <c r="A2300" s="3" t="s">
        <v>40</v>
      </c>
      <c r="B2300" s="3" t="s">
        <v>39</v>
      </c>
      <c r="C2300" s="4">
        <v>45962</v>
      </c>
      <c r="D2300" s="4">
        <v>45991</v>
      </c>
      <c r="E2300" s="3" t="s">
        <v>47</v>
      </c>
      <c r="F2300" s="3" t="s">
        <v>362</v>
      </c>
      <c r="G2300" s="5">
        <v>1E-3</v>
      </c>
      <c r="H2300" s="6" t="s">
        <v>43</v>
      </c>
      <c r="I2300" s="3" t="s">
        <v>45</v>
      </c>
    </row>
    <row r="2301" spans="1:9" ht="48" customHeight="1">
      <c r="A2301" s="3" t="s">
        <v>40</v>
      </c>
      <c r="B2301" s="3" t="s">
        <v>39</v>
      </c>
      <c r="C2301" s="4">
        <v>45962</v>
      </c>
      <c r="D2301" s="4">
        <v>45991</v>
      </c>
      <c r="E2301" s="3" t="s">
        <v>47</v>
      </c>
      <c r="F2301" s="3" t="s">
        <v>318</v>
      </c>
      <c r="G2301" s="5">
        <v>1E-3</v>
      </c>
      <c r="H2301" s="6" t="s">
        <v>43</v>
      </c>
      <c r="I2301" s="3" t="s">
        <v>45</v>
      </c>
    </row>
    <row r="2302" spans="1:9" ht="48" customHeight="1">
      <c r="A2302" s="3" t="s">
        <v>40</v>
      </c>
      <c r="B2302" s="3" t="s">
        <v>39</v>
      </c>
      <c r="C2302" s="4">
        <v>45962</v>
      </c>
      <c r="D2302" s="4">
        <v>45991</v>
      </c>
      <c r="E2302" s="3" t="s">
        <v>47</v>
      </c>
      <c r="F2302" s="3" t="s">
        <v>363</v>
      </c>
      <c r="G2302" s="5">
        <v>1E-3</v>
      </c>
      <c r="H2302" s="6" t="s">
        <v>43</v>
      </c>
      <c r="I2302" s="3" t="s">
        <v>45</v>
      </c>
    </row>
    <row r="2303" spans="1:9" ht="48" customHeight="1">
      <c r="A2303" s="3" t="s">
        <v>40</v>
      </c>
      <c r="B2303" s="3" t="s">
        <v>39</v>
      </c>
      <c r="C2303" s="4">
        <v>45962</v>
      </c>
      <c r="D2303" s="4">
        <v>45991</v>
      </c>
      <c r="E2303" s="3" t="s">
        <v>47</v>
      </c>
      <c r="F2303" s="3" t="s">
        <v>361</v>
      </c>
      <c r="G2303" s="5">
        <v>0</v>
      </c>
      <c r="H2303" s="6" t="s">
        <v>43</v>
      </c>
      <c r="I2303" s="3" t="s">
        <v>45</v>
      </c>
    </row>
    <row r="2304" spans="1:9" ht="48" customHeight="1">
      <c r="A2304" s="3" t="s">
        <v>40</v>
      </c>
      <c r="B2304" s="3" t="s">
        <v>39</v>
      </c>
      <c r="C2304" s="4">
        <v>45962</v>
      </c>
      <c r="D2304" s="4">
        <v>45991</v>
      </c>
      <c r="E2304" s="3" t="s">
        <v>161</v>
      </c>
      <c r="F2304" s="3" t="s">
        <v>172</v>
      </c>
      <c r="G2304" s="5">
        <v>1.3000000000000001E-2</v>
      </c>
      <c r="H2304" s="6" t="s">
        <v>43</v>
      </c>
      <c r="I2304" s="3" t="s">
        <v>45</v>
      </c>
    </row>
    <row r="2305" spans="1:9" ht="48" customHeight="1">
      <c r="A2305" s="3" t="s">
        <v>40</v>
      </c>
      <c r="B2305" s="3" t="s">
        <v>39</v>
      </c>
      <c r="C2305" s="4">
        <v>45962</v>
      </c>
      <c r="D2305" s="4">
        <v>45991</v>
      </c>
      <c r="E2305" s="3" t="s">
        <v>161</v>
      </c>
      <c r="F2305" s="3" t="s">
        <v>184</v>
      </c>
      <c r="G2305" s="5">
        <v>1.1000000000000001E-2</v>
      </c>
      <c r="H2305" s="6" t="s">
        <v>43</v>
      </c>
      <c r="I2305" s="3" t="s">
        <v>45</v>
      </c>
    </row>
    <row r="2306" spans="1:9" ht="48" customHeight="1">
      <c r="A2306" s="3" t="s">
        <v>40</v>
      </c>
      <c r="B2306" s="3" t="s">
        <v>39</v>
      </c>
      <c r="C2306" s="4">
        <v>45962</v>
      </c>
      <c r="D2306" s="4">
        <v>45991</v>
      </c>
      <c r="E2306" s="3" t="s">
        <v>161</v>
      </c>
      <c r="F2306" s="3" t="s">
        <v>168</v>
      </c>
      <c r="G2306" s="5">
        <v>9.0000000000000011E-3</v>
      </c>
      <c r="H2306" s="6" t="s">
        <v>43</v>
      </c>
      <c r="I2306" s="3" t="s">
        <v>45</v>
      </c>
    </row>
    <row r="2307" spans="1:9" ht="48" customHeight="1">
      <c r="A2307" s="3" t="s">
        <v>40</v>
      </c>
      <c r="B2307" s="3" t="s">
        <v>39</v>
      </c>
      <c r="C2307" s="4">
        <v>45962</v>
      </c>
      <c r="D2307" s="4">
        <v>45991</v>
      </c>
      <c r="E2307" s="3" t="s">
        <v>161</v>
      </c>
      <c r="F2307" s="3" t="s">
        <v>162</v>
      </c>
      <c r="G2307" s="5">
        <v>9.0000000000000011E-3</v>
      </c>
      <c r="H2307" s="6" t="s">
        <v>43</v>
      </c>
      <c r="I2307" s="3" t="s">
        <v>45</v>
      </c>
    </row>
    <row r="2308" spans="1:9" ht="48" customHeight="1">
      <c r="A2308" s="3" t="s">
        <v>40</v>
      </c>
      <c r="B2308" s="3" t="s">
        <v>39</v>
      </c>
      <c r="C2308" s="4">
        <v>45962</v>
      </c>
      <c r="D2308" s="4">
        <v>45991</v>
      </c>
      <c r="E2308" s="3" t="s">
        <v>161</v>
      </c>
      <c r="F2308" s="3" t="s">
        <v>166</v>
      </c>
      <c r="G2308" s="5">
        <v>9.0000000000000011E-3</v>
      </c>
      <c r="H2308" s="6" t="s">
        <v>43</v>
      </c>
      <c r="I2308" s="3" t="s">
        <v>45</v>
      </c>
    </row>
    <row r="2309" spans="1:9" ht="48" customHeight="1">
      <c r="A2309" s="3" t="s">
        <v>40</v>
      </c>
      <c r="B2309" s="3" t="s">
        <v>39</v>
      </c>
      <c r="C2309" s="4">
        <v>45962</v>
      </c>
      <c r="D2309" s="4">
        <v>45991</v>
      </c>
      <c r="E2309" s="3" t="s">
        <v>161</v>
      </c>
      <c r="F2309" s="3" t="s">
        <v>163</v>
      </c>
      <c r="G2309" s="5">
        <v>8.0000000000000002E-3</v>
      </c>
      <c r="H2309" s="6" t="s">
        <v>43</v>
      </c>
      <c r="I2309" s="3" t="s">
        <v>45</v>
      </c>
    </row>
    <row r="2310" spans="1:9" ht="48" customHeight="1">
      <c r="A2310" s="3" t="s">
        <v>40</v>
      </c>
      <c r="B2310" s="3" t="s">
        <v>39</v>
      </c>
      <c r="C2310" s="4">
        <v>45962</v>
      </c>
      <c r="D2310" s="4">
        <v>45991</v>
      </c>
      <c r="E2310" s="3" t="s">
        <v>161</v>
      </c>
      <c r="F2310" s="3" t="s">
        <v>180</v>
      </c>
      <c r="G2310" s="5">
        <v>8.0000000000000002E-3</v>
      </c>
      <c r="H2310" s="6" t="s">
        <v>43</v>
      </c>
      <c r="I2310" s="3" t="s">
        <v>45</v>
      </c>
    </row>
    <row r="2311" spans="1:9" ht="48" customHeight="1">
      <c r="A2311" s="3" t="s">
        <v>40</v>
      </c>
      <c r="B2311" s="3" t="s">
        <v>39</v>
      </c>
      <c r="C2311" s="4">
        <v>45962</v>
      </c>
      <c r="D2311" s="4">
        <v>45991</v>
      </c>
      <c r="E2311" s="3" t="s">
        <v>161</v>
      </c>
      <c r="F2311" s="3" t="s">
        <v>164</v>
      </c>
      <c r="G2311" s="5">
        <v>6.9999999999999993E-3</v>
      </c>
      <c r="H2311" s="6" t="s">
        <v>43</v>
      </c>
      <c r="I2311" s="3" t="s">
        <v>45</v>
      </c>
    </row>
    <row r="2312" spans="1:9" ht="48" customHeight="1">
      <c r="A2312" s="3" t="s">
        <v>40</v>
      </c>
      <c r="B2312" s="3" t="s">
        <v>39</v>
      </c>
      <c r="C2312" s="4">
        <v>45962</v>
      </c>
      <c r="D2312" s="4">
        <v>45991</v>
      </c>
      <c r="E2312" s="3" t="s">
        <v>161</v>
      </c>
      <c r="F2312" s="3" t="s">
        <v>167</v>
      </c>
      <c r="G2312" s="5">
        <v>6.9999999999999993E-3</v>
      </c>
      <c r="H2312" s="6" t="s">
        <v>43</v>
      </c>
      <c r="I2312" s="3" t="s">
        <v>45</v>
      </c>
    </row>
    <row r="2313" spans="1:9" ht="48" customHeight="1">
      <c r="A2313" s="3" t="s">
        <v>40</v>
      </c>
      <c r="B2313" s="3" t="s">
        <v>39</v>
      </c>
      <c r="C2313" s="4">
        <v>45962</v>
      </c>
      <c r="D2313" s="4">
        <v>45991</v>
      </c>
      <c r="E2313" s="3" t="s">
        <v>161</v>
      </c>
      <c r="F2313" s="3" t="s">
        <v>188</v>
      </c>
      <c r="G2313" s="5">
        <v>6.9999999999999993E-3</v>
      </c>
      <c r="H2313" s="6" t="s">
        <v>43</v>
      </c>
      <c r="I2313" s="3" t="s">
        <v>45</v>
      </c>
    </row>
    <row r="2314" spans="1:9" ht="48" customHeight="1">
      <c r="A2314" s="3" t="s">
        <v>40</v>
      </c>
      <c r="B2314" s="3" t="s">
        <v>39</v>
      </c>
      <c r="C2314" s="4">
        <v>45962</v>
      </c>
      <c r="D2314" s="4">
        <v>45991</v>
      </c>
      <c r="E2314" s="3" t="s">
        <v>161</v>
      </c>
      <c r="F2314" s="3" t="s">
        <v>181</v>
      </c>
      <c r="G2314" s="5">
        <v>6.9999999999999993E-3</v>
      </c>
      <c r="H2314" s="6" t="s">
        <v>43</v>
      </c>
      <c r="I2314" s="3" t="s">
        <v>45</v>
      </c>
    </row>
    <row r="2315" spans="1:9" ht="48" customHeight="1">
      <c r="A2315" s="3" t="s">
        <v>40</v>
      </c>
      <c r="B2315" s="3" t="s">
        <v>39</v>
      </c>
      <c r="C2315" s="4">
        <v>45962</v>
      </c>
      <c r="D2315" s="4">
        <v>45991</v>
      </c>
      <c r="E2315" s="3" t="s">
        <v>161</v>
      </c>
      <c r="F2315" s="3" t="s">
        <v>195</v>
      </c>
      <c r="G2315" s="5">
        <v>6.9999999999999993E-3</v>
      </c>
      <c r="H2315" s="6" t="s">
        <v>43</v>
      </c>
      <c r="I2315" s="3" t="s">
        <v>45</v>
      </c>
    </row>
    <row r="2316" spans="1:9" ht="48" customHeight="1">
      <c r="A2316" s="3" t="s">
        <v>40</v>
      </c>
      <c r="B2316" s="3" t="s">
        <v>39</v>
      </c>
      <c r="C2316" s="4">
        <v>45962</v>
      </c>
      <c r="D2316" s="4">
        <v>45991</v>
      </c>
      <c r="E2316" s="3" t="s">
        <v>161</v>
      </c>
      <c r="F2316" s="3" t="s">
        <v>169</v>
      </c>
      <c r="G2316" s="5">
        <v>6.0000000000000001E-3</v>
      </c>
      <c r="H2316" s="6" t="s">
        <v>43</v>
      </c>
      <c r="I2316" s="3" t="s">
        <v>45</v>
      </c>
    </row>
    <row r="2317" spans="1:9" ht="48" customHeight="1">
      <c r="A2317" s="3" t="s">
        <v>40</v>
      </c>
      <c r="B2317" s="3" t="s">
        <v>39</v>
      </c>
      <c r="C2317" s="4">
        <v>45962</v>
      </c>
      <c r="D2317" s="4">
        <v>45991</v>
      </c>
      <c r="E2317" s="3" t="s">
        <v>161</v>
      </c>
      <c r="F2317" s="3" t="s">
        <v>170</v>
      </c>
      <c r="G2317" s="5">
        <v>6.0000000000000001E-3</v>
      </c>
      <c r="H2317" s="6" t="s">
        <v>43</v>
      </c>
      <c r="I2317" s="3" t="s">
        <v>45</v>
      </c>
    </row>
    <row r="2318" spans="1:9" ht="48" customHeight="1">
      <c r="A2318" s="3" t="s">
        <v>40</v>
      </c>
      <c r="B2318" s="3" t="s">
        <v>39</v>
      </c>
      <c r="C2318" s="4">
        <v>45962</v>
      </c>
      <c r="D2318" s="4">
        <v>45991</v>
      </c>
      <c r="E2318" s="3" t="s">
        <v>161</v>
      </c>
      <c r="F2318" s="3" t="s">
        <v>171</v>
      </c>
      <c r="G2318" s="5">
        <v>6.0000000000000001E-3</v>
      </c>
      <c r="H2318" s="6" t="s">
        <v>43</v>
      </c>
      <c r="I2318" s="3" t="s">
        <v>45</v>
      </c>
    </row>
    <row r="2319" spans="1:9" ht="48" customHeight="1">
      <c r="A2319" s="3" t="s">
        <v>40</v>
      </c>
      <c r="B2319" s="3" t="s">
        <v>39</v>
      </c>
      <c r="C2319" s="4">
        <v>45962</v>
      </c>
      <c r="D2319" s="4">
        <v>45991</v>
      </c>
      <c r="E2319" s="3" t="s">
        <v>161</v>
      </c>
      <c r="F2319" s="3" t="s">
        <v>177</v>
      </c>
      <c r="G2319" s="5">
        <v>6.0000000000000001E-3</v>
      </c>
      <c r="H2319" s="6" t="s">
        <v>43</v>
      </c>
      <c r="I2319" s="3" t="s">
        <v>45</v>
      </c>
    </row>
    <row r="2320" spans="1:9" ht="48" customHeight="1">
      <c r="A2320" s="3" t="s">
        <v>40</v>
      </c>
      <c r="B2320" s="3" t="s">
        <v>39</v>
      </c>
      <c r="C2320" s="4">
        <v>45962</v>
      </c>
      <c r="D2320" s="4">
        <v>45991</v>
      </c>
      <c r="E2320" s="3" t="s">
        <v>161</v>
      </c>
      <c r="F2320" s="3" t="s">
        <v>173</v>
      </c>
      <c r="G2320" s="5">
        <v>6.0000000000000001E-3</v>
      </c>
      <c r="H2320" s="6" t="s">
        <v>43</v>
      </c>
      <c r="I2320" s="3" t="s">
        <v>45</v>
      </c>
    </row>
    <row r="2321" spans="1:9" ht="48" customHeight="1">
      <c r="A2321" s="3" t="s">
        <v>40</v>
      </c>
      <c r="B2321" s="3" t="s">
        <v>39</v>
      </c>
      <c r="C2321" s="4">
        <v>45962</v>
      </c>
      <c r="D2321" s="4">
        <v>45991</v>
      </c>
      <c r="E2321" s="3" t="s">
        <v>161</v>
      </c>
      <c r="F2321" s="3" t="s">
        <v>200</v>
      </c>
      <c r="G2321" s="5">
        <v>6.0000000000000001E-3</v>
      </c>
      <c r="H2321" s="6" t="s">
        <v>43</v>
      </c>
      <c r="I2321" s="3" t="s">
        <v>45</v>
      </c>
    </row>
    <row r="2322" spans="1:9" ht="48" customHeight="1">
      <c r="A2322" s="3" t="s">
        <v>40</v>
      </c>
      <c r="B2322" s="3" t="s">
        <v>39</v>
      </c>
      <c r="C2322" s="4">
        <v>45962</v>
      </c>
      <c r="D2322" s="4">
        <v>45991</v>
      </c>
      <c r="E2322" s="3" t="s">
        <v>161</v>
      </c>
      <c r="F2322" s="3" t="s">
        <v>174</v>
      </c>
      <c r="G2322" s="5">
        <v>5.0000000000000001E-3</v>
      </c>
      <c r="H2322" s="6" t="s">
        <v>43</v>
      </c>
      <c r="I2322" s="3" t="s">
        <v>45</v>
      </c>
    </row>
    <row r="2323" spans="1:9" ht="48" customHeight="1">
      <c r="A2323" s="3" t="s">
        <v>40</v>
      </c>
      <c r="B2323" s="3" t="s">
        <v>39</v>
      </c>
      <c r="C2323" s="4">
        <v>45962</v>
      </c>
      <c r="D2323" s="4">
        <v>45991</v>
      </c>
      <c r="E2323" s="3" t="s">
        <v>161</v>
      </c>
      <c r="F2323" s="3" t="s">
        <v>191</v>
      </c>
      <c r="G2323" s="5">
        <v>5.0000000000000001E-3</v>
      </c>
      <c r="H2323" s="6" t="s">
        <v>43</v>
      </c>
      <c r="I2323" s="3" t="s">
        <v>45</v>
      </c>
    </row>
    <row r="2324" spans="1:9" ht="48" customHeight="1">
      <c r="A2324" s="3" t="s">
        <v>40</v>
      </c>
      <c r="B2324" s="3" t="s">
        <v>39</v>
      </c>
      <c r="C2324" s="4">
        <v>45962</v>
      </c>
      <c r="D2324" s="4">
        <v>45991</v>
      </c>
      <c r="E2324" s="3" t="s">
        <v>161</v>
      </c>
      <c r="F2324" s="3" t="s">
        <v>165</v>
      </c>
      <c r="G2324" s="5">
        <v>5.0000000000000001E-3</v>
      </c>
      <c r="H2324" s="6" t="s">
        <v>43</v>
      </c>
      <c r="I2324" s="3" t="s">
        <v>45</v>
      </c>
    </row>
    <row r="2325" spans="1:9" ht="48" customHeight="1">
      <c r="A2325" s="3" t="s">
        <v>40</v>
      </c>
      <c r="B2325" s="3" t="s">
        <v>39</v>
      </c>
      <c r="C2325" s="4">
        <v>45962</v>
      </c>
      <c r="D2325" s="4">
        <v>45991</v>
      </c>
      <c r="E2325" s="3" t="s">
        <v>161</v>
      </c>
      <c r="F2325" s="3" t="s">
        <v>178</v>
      </c>
      <c r="G2325" s="5">
        <v>5.0000000000000001E-3</v>
      </c>
      <c r="H2325" s="6" t="s">
        <v>43</v>
      </c>
      <c r="I2325" s="3" t="s">
        <v>45</v>
      </c>
    </row>
    <row r="2326" spans="1:9" ht="48" customHeight="1">
      <c r="A2326" s="3" t="s">
        <v>40</v>
      </c>
      <c r="B2326" s="3" t="s">
        <v>39</v>
      </c>
      <c r="C2326" s="4">
        <v>45962</v>
      </c>
      <c r="D2326" s="4">
        <v>45991</v>
      </c>
      <c r="E2326" s="3" t="s">
        <v>161</v>
      </c>
      <c r="F2326" s="3" t="s">
        <v>182</v>
      </c>
      <c r="G2326" s="5">
        <v>5.0000000000000001E-3</v>
      </c>
      <c r="H2326" s="6" t="s">
        <v>43</v>
      </c>
      <c r="I2326" s="3" t="s">
        <v>45</v>
      </c>
    </row>
    <row r="2327" spans="1:9" ht="48" customHeight="1">
      <c r="A2327" s="3" t="s">
        <v>40</v>
      </c>
      <c r="B2327" s="3" t="s">
        <v>39</v>
      </c>
      <c r="C2327" s="4">
        <v>45962</v>
      </c>
      <c r="D2327" s="4">
        <v>45991</v>
      </c>
      <c r="E2327" s="3" t="s">
        <v>161</v>
      </c>
      <c r="F2327" s="3" t="s">
        <v>189</v>
      </c>
      <c r="G2327" s="5">
        <v>4.0000000000000001E-3</v>
      </c>
      <c r="H2327" s="6" t="s">
        <v>43</v>
      </c>
      <c r="I2327" s="3" t="s">
        <v>45</v>
      </c>
    </row>
    <row r="2328" spans="1:9" ht="48" customHeight="1">
      <c r="A2328" s="3" t="s">
        <v>40</v>
      </c>
      <c r="B2328" s="3" t="s">
        <v>39</v>
      </c>
      <c r="C2328" s="4">
        <v>45962</v>
      </c>
      <c r="D2328" s="4">
        <v>45991</v>
      </c>
      <c r="E2328" s="3" t="s">
        <v>161</v>
      </c>
      <c r="F2328" s="3" t="s">
        <v>176</v>
      </c>
      <c r="G2328" s="5">
        <v>4.0000000000000001E-3</v>
      </c>
      <c r="H2328" s="6" t="s">
        <v>43</v>
      </c>
      <c r="I2328" s="3" t="s">
        <v>45</v>
      </c>
    </row>
    <row r="2329" spans="1:9" ht="48" customHeight="1">
      <c r="A2329" s="3" t="s">
        <v>40</v>
      </c>
      <c r="B2329" s="3" t="s">
        <v>39</v>
      </c>
      <c r="C2329" s="4">
        <v>45962</v>
      </c>
      <c r="D2329" s="4">
        <v>45991</v>
      </c>
      <c r="E2329" s="3" t="s">
        <v>161</v>
      </c>
      <c r="F2329" s="3" t="s">
        <v>186</v>
      </c>
      <c r="G2329" s="5">
        <v>4.0000000000000001E-3</v>
      </c>
      <c r="H2329" s="6" t="s">
        <v>43</v>
      </c>
      <c r="I2329" s="3" t="s">
        <v>45</v>
      </c>
    </row>
    <row r="2330" spans="1:9" ht="48" customHeight="1">
      <c r="A2330" s="3" t="s">
        <v>40</v>
      </c>
      <c r="B2330" s="3" t="s">
        <v>39</v>
      </c>
      <c r="C2330" s="4">
        <v>45962</v>
      </c>
      <c r="D2330" s="4">
        <v>45991</v>
      </c>
      <c r="E2330" s="3" t="s">
        <v>161</v>
      </c>
      <c r="F2330" s="3" t="s">
        <v>193</v>
      </c>
      <c r="G2330" s="5">
        <v>4.0000000000000001E-3</v>
      </c>
      <c r="H2330" s="6" t="s">
        <v>43</v>
      </c>
      <c r="I2330" s="3" t="s">
        <v>45</v>
      </c>
    </row>
    <row r="2331" spans="1:9" ht="48" customHeight="1">
      <c r="A2331" s="3" t="s">
        <v>40</v>
      </c>
      <c r="B2331" s="3" t="s">
        <v>39</v>
      </c>
      <c r="C2331" s="4">
        <v>45962</v>
      </c>
      <c r="D2331" s="4">
        <v>45991</v>
      </c>
      <c r="E2331" s="3" t="s">
        <v>161</v>
      </c>
      <c r="F2331" s="3" t="s">
        <v>179</v>
      </c>
      <c r="G2331" s="5">
        <v>4.0000000000000001E-3</v>
      </c>
      <c r="H2331" s="6" t="s">
        <v>43</v>
      </c>
      <c r="I2331" s="3" t="s">
        <v>45</v>
      </c>
    </row>
    <row r="2332" spans="1:9" ht="48" customHeight="1">
      <c r="A2332" s="3" t="s">
        <v>40</v>
      </c>
      <c r="B2332" s="3" t="s">
        <v>39</v>
      </c>
      <c r="C2332" s="4">
        <v>45962</v>
      </c>
      <c r="D2332" s="4">
        <v>45991</v>
      </c>
      <c r="E2332" s="3" t="s">
        <v>161</v>
      </c>
      <c r="F2332" s="3" t="s">
        <v>183</v>
      </c>
      <c r="G2332" s="5">
        <v>4.0000000000000001E-3</v>
      </c>
      <c r="H2332" s="6" t="s">
        <v>43</v>
      </c>
      <c r="I2332" s="3" t="s">
        <v>45</v>
      </c>
    </row>
    <row r="2333" spans="1:9" ht="48" customHeight="1">
      <c r="A2333" s="3" t="s">
        <v>40</v>
      </c>
      <c r="B2333" s="3" t="s">
        <v>39</v>
      </c>
      <c r="C2333" s="4">
        <v>45962</v>
      </c>
      <c r="D2333" s="4">
        <v>45991</v>
      </c>
      <c r="E2333" s="3" t="s">
        <v>161</v>
      </c>
      <c r="F2333" s="3" t="s">
        <v>201</v>
      </c>
      <c r="G2333" s="5">
        <v>4.0000000000000001E-3</v>
      </c>
      <c r="H2333" s="6" t="s">
        <v>43</v>
      </c>
      <c r="I2333" s="3" t="s">
        <v>45</v>
      </c>
    </row>
    <row r="2334" spans="1:9" ht="48" customHeight="1">
      <c r="A2334" s="3" t="s">
        <v>40</v>
      </c>
      <c r="B2334" s="3" t="s">
        <v>39</v>
      </c>
      <c r="C2334" s="4">
        <v>45962</v>
      </c>
      <c r="D2334" s="4">
        <v>45991</v>
      </c>
      <c r="E2334" s="3" t="s">
        <v>161</v>
      </c>
      <c r="F2334" s="3" t="s">
        <v>175</v>
      </c>
      <c r="G2334" s="5">
        <v>3.0000000000000001E-3</v>
      </c>
      <c r="H2334" s="6" t="s">
        <v>43</v>
      </c>
      <c r="I2334" s="3" t="s">
        <v>45</v>
      </c>
    </row>
    <row r="2335" spans="1:9" ht="48" customHeight="1">
      <c r="A2335" s="3" t="s">
        <v>40</v>
      </c>
      <c r="B2335" s="3" t="s">
        <v>39</v>
      </c>
      <c r="C2335" s="4">
        <v>45962</v>
      </c>
      <c r="D2335" s="4">
        <v>45991</v>
      </c>
      <c r="E2335" s="3" t="s">
        <v>161</v>
      </c>
      <c r="F2335" s="3" t="s">
        <v>190</v>
      </c>
      <c r="G2335" s="5">
        <v>3.0000000000000001E-3</v>
      </c>
      <c r="H2335" s="6" t="s">
        <v>43</v>
      </c>
      <c r="I2335" s="3" t="s">
        <v>45</v>
      </c>
    </row>
    <row r="2336" spans="1:9" ht="48" customHeight="1">
      <c r="A2336" s="3" t="s">
        <v>40</v>
      </c>
      <c r="B2336" s="3" t="s">
        <v>39</v>
      </c>
      <c r="C2336" s="4">
        <v>45962</v>
      </c>
      <c r="D2336" s="4">
        <v>45991</v>
      </c>
      <c r="E2336" s="3" t="s">
        <v>161</v>
      </c>
      <c r="F2336" s="3" t="s">
        <v>185</v>
      </c>
      <c r="G2336" s="5">
        <v>3.0000000000000001E-3</v>
      </c>
      <c r="H2336" s="6" t="s">
        <v>43</v>
      </c>
      <c r="I2336" s="3" t="s">
        <v>45</v>
      </c>
    </row>
    <row r="2337" spans="1:9" ht="48" customHeight="1">
      <c r="A2337" s="3" t="s">
        <v>40</v>
      </c>
      <c r="B2337" s="3" t="s">
        <v>39</v>
      </c>
      <c r="C2337" s="4">
        <v>45962</v>
      </c>
      <c r="D2337" s="4">
        <v>45991</v>
      </c>
      <c r="E2337" s="3" t="s">
        <v>161</v>
      </c>
      <c r="F2337" s="3" t="s">
        <v>187</v>
      </c>
      <c r="G2337" s="5">
        <v>3.0000000000000001E-3</v>
      </c>
      <c r="H2337" s="6" t="s">
        <v>43</v>
      </c>
      <c r="I2337" s="3" t="s">
        <v>45</v>
      </c>
    </row>
    <row r="2338" spans="1:9" ht="48" customHeight="1">
      <c r="A2338" s="3" t="s">
        <v>40</v>
      </c>
      <c r="B2338" s="3" t="s">
        <v>39</v>
      </c>
      <c r="C2338" s="4">
        <v>45962</v>
      </c>
      <c r="D2338" s="4">
        <v>45991</v>
      </c>
      <c r="E2338" s="3" t="s">
        <v>161</v>
      </c>
      <c r="F2338" s="3" t="s">
        <v>192</v>
      </c>
      <c r="G2338" s="5">
        <v>3.0000000000000001E-3</v>
      </c>
      <c r="H2338" s="6" t="s">
        <v>43</v>
      </c>
      <c r="I2338" s="3" t="s">
        <v>45</v>
      </c>
    </row>
    <row r="2339" spans="1:9" ht="48" customHeight="1">
      <c r="A2339" s="3" t="s">
        <v>40</v>
      </c>
      <c r="B2339" s="3" t="s">
        <v>39</v>
      </c>
      <c r="C2339" s="4">
        <v>45962</v>
      </c>
      <c r="D2339" s="4">
        <v>45991</v>
      </c>
      <c r="E2339" s="3" t="s">
        <v>161</v>
      </c>
      <c r="F2339" s="3" t="s">
        <v>194</v>
      </c>
      <c r="G2339" s="5">
        <v>3.0000000000000001E-3</v>
      </c>
      <c r="H2339" s="6" t="s">
        <v>43</v>
      </c>
      <c r="I2339" s="3" t="s">
        <v>45</v>
      </c>
    </row>
    <row r="2340" spans="1:9" ht="48" customHeight="1">
      <c r="A2340" s="3" t="s">
        <v>40</v>
      </c>
      <c r="B2340" s="3" t="s">
        <v>39</v>
      </c>
      <c r="C2340" s="4">
        <v>45962</v>
      </c>
      <c r="D2340" s="4">
        <v>45991</v>
      </c>
      <c r="E2340" s="3" t="s">
        <v>161</v>
      </c>
      <c r="F2340" s="3" t="s">
        <v>196</v>
      </c>
      <c r="G2340" s="5">
        <v>3.0000000000000001E-3</v>
      </c>
      <c r="H2340" s="6" t="s">
        <v>43</v>
      </c>
      <c r="I2340" s="3" t="s">
        <v>45</v>
      </c>
    </row>
    <row r="2341" spans="1:9" ht="48" customHeight="1">
      <c r="A2341" s="3" t="s">
        <v>40</v>
      </c>
      <c r="B2341" s="3" t="s">
        <v>39</v>
      </c>
      <c r="C2341" s="4">
        <v>45962</v>
      </c>
      <c r="D2341" s="4">
        <v>45991</v>
      </c>
      <c r="E2341" s="3" t="s">
        <v>161</v>
      </c>
      <c r="F2341" s="3" t="s">
        <v>197</v>
      </c>
      <c r="G2341" s="5">
        <v>2E-3</v>
      </c>
      <c r="H2341" s="6" t="s">
        <v>43</v>
      </c>
      <c r="I2341" s="3" t="s">
        <v>45</v>
      </c>
    </row>
    <row r="2342" spans="1:9" ht="48" customHeight="1">
      <c r="A2342" s="3" t="s">
        <v>40</v>
      </c>
      <c r="B2342" s="3" t="s">
        <v>39</v>
      </c>
      <c r="C2342" s="4">
        <v>45962</v>
      </c>
      <c r="D2342" s="4">
        <v>45991</v>
      </c>
      <c r="E2342" s="3" t="s">
        <v>161</v>
      </c>
      <c r="F2342" s="3" t="s">
        <v>199</v>
      </c>
      <c r="G2342" s="5">
        <v>2E-3</v>
      </c>
      <c r="H2342" s="6" t="s">
        <v>43</v>
      </c>
      <c r="I2342" s="3" t="s">
        <v>45</v>
      </c>
    </row>
    <row r="2343" spans="1:9" ht="48" customHeight="1">
      <c r="A2343" s="3" t="s">
        <v>40</v>
      </c>
      <c r="B2343" s="3" t="s">
        <v>39</v>
      </c>
      <c r="C2343" s="4">
        <v>45962</v>
      </c>
      <c r="D2343" s="4">
        <v>45991</v>
      </c>
      <c r="E2343" s="3" t="s">
        <v>161</v>
      </c>
      <c r="F2343" s="3" t="s">
        <v>202</v>
      </c>
      <c r="G2343" s="5">
        <v>1E-3</v>
      </c>
      <c r="H2343" s="6" t="s">
        <v>43</v>
      </c>
      <c r="I2343" s="3" t="s">
        <v>45</v>
      </c>
    </row>
    <row r="2344" spans="1:9" ht="48" customHeight="1">
      <c r="A2344" s="3" t="s">
        <v>40</v>
      </c>
      <c r="B2344" s="3" t="s">
        <v>39</v>
      </c>
      <c r="C2344" s="4">
        <v>45962</v>
      </c>
      <c r="D2344" s="4">
        <v>45991</v>
      </c>
      <c r="E2344" s="3" t="s">
        <v>161</v>
      </c>
      <c r="F2344" s="3" t="s">
        <v>198</v>
      </c>
      <c r="G2344" s="5">
        <v>1E-3</v>
      </c>
      <c r="H2344" s="6" t="s">
        <v>43</v>
      </c>
      <c r="I2344" s="3" t="s">
        <v>45</v>
      </c>
    </row>
    <row r="2345" spans="1:9" ht="48" customHeight="1">
      <c r="A2345" s="3" t="s">
        <v>40</v>
      </c>
      <c r="B2345" s="3" t="s">
        <v>39</v>
      </c>
      <c r="C2345" s="4">
        <v>45962</v>
      </c>
      <c r="D2345" s="4">
        <v>45991</v>
      </c>
      <c r="E2345" s="3" t="s">
        <v>161</v>
      </c>
      <c r="F2345" s="3" t="s">
        <v>204</v>
      </c>
      <c r="G2345" s="5">
        <v>1E-3</v>
      </c>
      <c r="H2345" s="6" t="s">
        <v>43</v>
      </c>
      <c r="I2345" s="3" t="s">
        <v>45</v>
      </c>
    </row>
    <row r="2346" spans="1:9" ht="48" customHeight="1">
      <c r="A2346" s="3" t="s">
        <v>40</v>
      </c>
      <c r="B2346" s="3" t="s">
        <v>39</v>
      </c>
      <c r="C2346" s="4">
        <v>45962</v>
      </c>
      <c r="D2346" s="4">
        <v>45991</v>
      </c>
      <c r="E2346" s="3" t="s">
        <v>161</v>
      </c>
      <c r="F2346" s="3" t="s">
        <v>203</v>
      </c>
      <c r="G2346" s="5">
        <v>0</v>
      </c>
      <c r="H2346" s="6" t="s">
        <v>43</v>
      </c>
      <c r="I2346" s="3" t="s">
        <v>45</v>
      </c>
    </row>
    <row r="2347" spans="1:9" ht="48" customHeight="1">
      <c r="A2347" s="3" t="s">
        <v>40</v>
      </c>
      <c r="B2347" s="3" t="s">
        <v>39</v>
      </c>
      <c r="C2347" s="4">
        <v>45962</v>
      </c>
      <c r="D2347" s="4">
        <v>45991</v>
      </c>
      <c r="E2347" s="3" t="s">
        <v>286</v>
      </c>
      <c r="F2347" s="3" t="s">
        <v>293</v>
      </c>
      <c r="G2347" s="5">
        <v>0.11599999999999999</v>
      </c>
      <c r="H2347" s="6" t="s">
        <v>43</v>
      </c>
      <c r="I2347" s="3" t="s">
        <v>45</v>
      </c>
    </row>
    <row r="2348" spans="1:9" ht="48" customHeight="1">
      <c r="A2348" s="3" t="s">
        <v>40</v>
      </c>
      <c r="B2348" s="3" t="s">
        <v>39</v>
      </c>
      <c r="C2348" s="4">
        <v>45962</v>
      </c>
      <c r="D2348" s="4">
        <v>45991</v>
      </c>
      <c r="E2348" s="3" t="s">
        <v>286</v>
      </c>
      <c r="F2348" s="3" t="s">
        <v>300</v>
      </c>
      <c r="G2348" s="5">
        <v>2.2000000000000002E-2</v>
      </c>
      <c r="H2348" s="6" t="s">
        <v>43</v>
      </c>
      <c r="I2348" s="3" t="s">
        <v>45</v>
      </c>
    </row>
    <row r="2349" spans="1:9" ht="48" customHeight="1">
      <c r="A2349" s="3" t="s">
        <v>40</v>
      </c>
      <c r="B2349" s="3" t="s">
        <v>39</v>
      </c>
      <c r="C2349" s="4">
        <v>45962</v>
      </c>
      <c r="D2349" s="4">
        <v>45991</v>
      </c>
      <c r="E2349" s="3" t="s">
        <v>286</v>
      </c>
      <c r="F2349" s="3" t="s">
        <v>291</v>
      </c>
      <c r="G2349" s="5">
        <v>1.6E-2</v>
      </c>
      <c r="H2349" s="6" t="s">
        <v>43</v>
      </c>
      <c r="I2349" s="3" t="s">
        <v>45</v>
      </c>
    </row>
    <row r="2350" spans="1:9" ht="48" customHeight="1">
      <c r="A2350" s="3" t="s">
        <v>40</v>
      </c>
      <c r="B2350" s="3" t="s">
        <v>39</v>
      </c>
      <c r="C2350" s="4">
        <v>45962</v>
      </c>
      <c r="D2350" s="4">
        <v>45991</v>
      </c>
      <c r="E2350" s="3" t="s">
        <v>286</v>
      </c>
      <c r="F2350" s="3" t="s">
        <v>292</v>
      </c>
      <c r="G2350" s="5">
        <v>5.0000000000000001E-3</v>
      </c>
      <c r="H2350" s="6" t="s">
        <v>43</v>
      </c>
      <c r="I2350" s="3" t="s">
        <v>45</v>
      </c>
    </row>
    <row r="2351" spans="1:9" ht="48" customHeight="1">
      <c r="A2351" s="3" t="s">
        <v>40</v>
      </c>
      <c r="B2351" s="3" t="s">
        <v>39</v>
      </c>
      <c r="C2351" s="4">
        <v>45962</v>
      </c>
      <c r="D2351" s="4">
        <v>45991</v>
      </c>
      <c r="E2351" s="3" t="s">
        <v>286</v>
      </c>
      <c r="F2351" s="3" t="s">
        <v>287</v>
      </c>
      <c r="G2351" s="5">
        <v>4.0000000000000001E-3</v>
      </c>
      <c r="H2351" s="6" t="s">
        <v>43</v>
      </c>
      <c r="I2351" s="3" t="s">
        <v>45</v>
      </c>
    </row>
    <row r="2352" spans="1:9" ht="48" customHeight="1">
      <c r="A2352" s="3" t="s">
        <v>40</v>
      </c>
      <c r="B2352" s="3" t="s">
        <v>39</v>
      </c>
      <c r="C2352" s="4">
        <v>45962</v>
      </c>
      <c r="D2352" s="4">
        <v>45991</v>
      </c>
      <c r="E2352" s="3" t="s">
        <v>286</v>
      </c>
      <c r="F2352" s="3" t="s">
        <v>289</v>
      </c>
      <c r="G2352" s="5">
        <v>4.0000000000000001E-3</v>
      </c>
      <c r="H2352" s="6" t="s">
        <v>43</v>
      </c>
      <c r="I2352" s="3" t="s">
        <v>45</v>
      </c>
    </row>
    <row r="2353" spans="1:9" ht="48" customHeight="1">
      <c r="A2353" s="3" t="s">
        <v>40</v>
      </c>
      <c r="B2353" s="3" t="s">
        <v>39</v>
      </c>
      <c r="C2353" s="4">
        <v>45962</v>
      </c>
      <c r="D2353" s="4">
        <v>45991</v>
      </c>
      <c r="E2353" s="3" t="s">
        <v>286</v>
      </c>
      <c r="F2353" s="3" t="s">
        <v>288</v>
      </c>
      <c r="G2353" s="5">
        <v>3.0000000000000001E-3</v>
      </c>
      <c r="H2353" s="6" t="s">
        <v>43</v>
      </c>
      <c r="I2353" s="3" t="s">
        <v>45</v>
      </c>
    </row>
    <row r="2354" spans="1:9" ht="48" customHeight="1">
      <c r="A2354" s="3" t="s">
        <v>40</v>
      </c>
      <c r="B2354" s="3" t="s">
        <v>39</v>
      </c>
      <c r="C2354" s="4">
        <v>45962</v>
      </c>
      <c r="D2354" s="4">
        <v>45991</v>
      </c>
      <c r="E2354" s="3" t="s">
        <v>286</v>
      </c>
      <c r="F2354" s="3" t="s">
        <v>290</v>
      </c>
      <c r="G2354" s="5">
        <v>2E-3</v>
      </c>
      <c r="H2354" s="6" t="s">
        <v>43</v>
      </c>
      <c r="I2354" s="3" t="s">
        <v>45</v>
      </c>
    </row>
    <row r="2355" spans="1:9" ht="48" customHeight="1">
      <c r="A2355" s="3" t="s">
        <v>40</v>
      </c>
      <c r="B2355" s="3" t="s">
        <v>39</v>
      </c>
      <c r="C2355" s="4">
        <v>45962</v>
      </c>
      <c r="D2355" s="4">
        <v>45991</v>
      </c>
      <c r="E2355" s="3" t="s">
        <v>286</v>
      </c>
      <c r="F2355" s="3" t="s">
        <v>297</v>
      </c>
      <c r="G2355" s="5">
        <v>2E-3</v>
      </c>
      <c r="H2355" s="6" t="s">
        <v>43</v>
      </c>
      <c r="I2355" s="3" t="s">
        <v>45</v>
      </c>
    </row>
    <row r="2356" spans="1:9" ht="48" customHeight="1">
      <c r="A2356" s="3" t="s">
        <v>40</v>
      </c>
      <c r="B2356" s="3" t="s">
        <v>39</v>
      </c>
      <c r="C2356" s="4">
        <v>45962</v>
      </c>
      <c r="D2356" s="4">
        <v>45991</v>
      </c>
      <c r="E2356" s="3" t="s">
        <v>286</v>
      </c>
      <c r="F2356" s="3" t="s">
        <v>298</v>
      </c>
      <c r="G2356" s="5">
        <v>1E-3</v>
      </c>
      <c r="H2356" s="6" t="s">
        <v>43</v>
      </c>
      <c r="I2356" s="3" t="s">
        <v>45</v>
      </c>
    </row>
    <row r="2357" spans="1:9" ht="48" customHeight="1">
      <c r="A2357" s="3" t="s">
        <v>40</v>
      </c>
      <c r="B2357" s="3" t="s">
        <v>39</v>
      </c>
      <c r="C2357" s="4">
        <v>45962</v>
      </c>
      <c r="D2357" s="4">
        <v>45991</v>
      </c>
      <c r="E2357" s="3" t="s">
        <v>286</v>
      </c>
      <c r="F2357" s="3" t="s">
        <v>299</v>
      </c>
      <c r="G2357" s="5">
        <v>1E-3</v>
      </c>
      <c r="H2357" s="6" t="s">
        <v>43</v>
      </c>
      <c r="I2357" s="3" t="s">
        <v>45</v>
      </c>
    </row>
    <row r="2358" spans="1:9" ht="48" customHeight="1">
      <c r="A2358" s="3" t="s">
        <v>40</v>
      </c>
      <c r="B2358" s="3" t="s">
        <v>39</v>
      </c>
      <c r="C2358" s="4">
        <v>45962</v>
      </c>
      <c r="D2358" s="4">
        <v>45991</v>
      </c>
      <c r="E2358" s="3" t="s">
        <v>286</v>
      </c>
      <c r="F2358" s="3" t="s">
        <v>294</v>
      </c>
      <c r="G2358" s="5">
        <v>0</v>
      </c>
      <c r="H2358" s="6" t="s">
        <v>43</v>
      </c>
      <c r="I2358" s="3" t="s">
        <v>45</v>
      </c>
    </row>
    <row r="2359" spans="1:9" ht="48" customHeight="1">
      <c r="A2359" s="3" t="s">
        <v>40</v>
      </c>
      <c r="B2359" s="3" t="s">
        <v>39</v>
      </c>
      <c r="C2359" s="4">
        <v>45962</v>
      </c>
      <c r="D2359" s="4">
        <v>45991</v>
      </c>
      <c r="E2359" s="3" t="s">
        <v>286</v>
      </c>
      <c r="F2359" s="3" t="s">
        <v>295</v>
      </c>
      <c r="G2359" s="5">
        <v>0</v>
      </c>
      <c r="H2359" s="6" t="s">
        <v>43</v>
      </c>
      <c r="I2359" s="3" t="s">
        <v>45</v>
      </c>
    </row>
    <row r="2360" spans="1:9" ht="48" customHeight="1">
      <c r="A2360" s="3" t="s">
        <v>40</v>
      </c>
      <c r="B2360" s="3" t="s">
        <v>39</v>
      </c>
      <c r="C2360" s="4">
        <v>45962</v>
      </c>
      <c r="D2360" s="4">
        <v>45991</v>
      </c>
      <c r="E2360" s="3" t="s">
        <v>286</v>
      </c>
      <c r="F2360" s="3" t="s">
        <v>296</v>
      </c>
      <c r="G2360" s="5">
        <v>0</v>
      </c>
      <c r="H2360" s="6" t="s">
        <v>43</v>
      </c>
      <c r="I2360" s="3" t="s">
        <v>45</v>
      </c>
    </row>
    <row r="2361" spans="1:9" ht="48" customHeight="1">
      <c r="A2361" s="3" t="s">
        <v>40</v>
      </c>
      <c r="B2361" s="3" t="s">
        <v>39</v>
      </c>
      <c r="C2361" s="4">
        <v>45962</v>
      </c>
      <c r="D2361" s="4">
        <v>45991</v>
      </c>
      <c r="E2361" s="3" t="s">
        <v>205</v>
      </c>
      <c r="F2361" s="3" t="s">
        <v>210</v>
      </c>
      <c r="G2361" s="5">
        <v>9.0000000000000011E-3</v>
      </c>
      <c r="H2361" s="6" t="s">
        <v>43</v>
      </c>
      <c r="I2361" s="3" t="s">
        <v>45</v>
      </c>
    </row>
    <row r="2362" spans="1:9" ht="48" customHeight="1">
      <c r="A2362" s="3" t="s">
        <v>40</v>
      </c>
      <c r="B2362" s="3" t="s">
        <v>39</v>
      </c>
      <c r="C2362" s="4">
        <v>45962</v>
      </c>
      <c r="D2362" s="4">
        <v>45991</v>
      </c>
      <c r="E2362" s="3" t="s">
        <v>205</v>
      </c>
      <c r="F2362" s="3" t="s">
        <v>216</v>
      </c>
      <c r="G2362" s="5">
        <v>9.0000000000000011E-3</v>
      </c>
      <c r="H2362" s="6" t="s">
        <v>43</v>
      </c>
      <c r="I2362" s="3" t="s">
        <v>45</v>
      </c>
    </row>
    <row r="2363" spans="1:9" ht="48" customHeight="1">
      <c r="A2363" s="3" t="s">
        <v>40</v>
      </c>
      <c r="B2363" s="3" t="s">
        <v>39</v>
      </c>
      <c r="C2363" s="4">
        <v>45962</v>
      </c>
      <c r="D2363" s="4">
        <v>45991</v>
      </c>
      <c r="E2363" s="3" t="s">
        <v>205</v>
      </c>
      <c r="F2363" s="3" t="s">
        <v>220</v>
      </c>
      <c r="G2363" s="5">
        <v>6.0000000000000001E-3</v>
      </c>
      <c r="H2363" s="6" t="s">
        <v>43</v>
      </c>
      <c r="I2363" s="3" t="s">
        <v>45</v>
      </c>
    </row>
    <row r="2364" spans="1:9" ht="48" customHeight="1">
      <c r="A2364" s="3" t="s">
        <v>40</v>
      </c>
      <c r="B2364" s="3" t="s">
        <v>39</v>
      </c>
      <c r="C2364" s="4">
        <v>45962</v>
      </c>
      <c r="D2364" s="4">
        <v>45991</v>
      </c>
      <c r="E2364" s="3" t="s">
        <v>205</v>
      </c>
      <c r="F2364" s="3" t="s">
        <v>207</v>
      </c>
      <c r="G2364" s="5">
        <v>6.0000000000000001E-3</v>
      </c>
      <c r="H2364" s="6" t="s">
        <v>43</v>
      </c>
      <c r="I2364" s="3" t="s">
        <v>45</v>
      </c>
    </row>
    <row r="2365" spans="1:9" ht="48" customHeight="1">
      <c r="A2365" s="3" t="s">
        <v>40</v>
      </c>
      <c r="B2365" s="3" t="s">
        <v>39</v>
      </c>
      <c r="C2365" s="4">
        <v>45962</v>
      </c>
      <c r="D2365" s="4">
        <v>45991</v>
      </c>
      <c r="E2365" s="3" t="s">
        <v>205</v>
      </c>
      <c r="F2365" s="3" t="s">
        <v>206</v>
      </c>
      <c r="G2365" s="5">
        <v>6.0000000000000001E-3</v>
      </c>
      <c r="H2365" s="6" t="s">
        <v>43</v>
      </c>
      <c r="I2365" s="3" t="s">
        <v>45</v>
      </c>
    </row>
    <row r="2366" spans="1:9" ht="48" customHeight="1">
      <c r="A2366" s="3" t="s">
        <v>40</v>
      </c>
      <c r="B2366" s="3" t="s">
        <v>39</v>
      </c>
      <c r="C2366" s="4">
        <v>45962</v>
      </c>
      <c r="D2366" s="4">
        <v>45991</v>
      </c>
      <c r="E2366" s="3" t="s">
        <v>205</v>
      </c>
      <c r="F2366" s="3" t="s">
        <v>209</v>
      </c>
      <c r="G2366" s="5">
        <v>6.0000000000000001E-3</v>
      </c>
      <c r="H2366" s="6" t="s">
        <v>43</v>
      </c>
      <c r="I2366" s="3" t="s">
        <v>45</v>
      </c>
    </row>
    <row r="2367" spans="1:9" ht="48" customHeight="1">
      <c r="A2367" s="3" t="s">
        <v>40</v>
      </c>
      <c r="B2367" s="3" t="s">
        <v>39</v>
      </c>
      <c r="C2367" s="4">
        <v>45962</v>
      </c>
      <c r="D2367" s="4">
        <v>45991</v>
      </c>
      <c r="E2367" s="3" t="s">
        <v>205</v>
      </c>
      <c r="F2367" s="3" t="s">
        <v>224</v>
      </c>
      <c r="G2367" s="5">
        <v>5.0000000000000001E-3</v>
      </c>
      <c r="H2367" s="6" t="s">
        <v>43</v>
      </c>
      <c r="I2367" s="3" t="s">
        <v>45</v>
      </c>
    </row>
    <row r="2368" spans="1:9" ht="48" customHeight="1">
      <c r="A2368" s="3" t="s">
        <v>40</v>
      </c>
      <c r="B2368" s="3" t="s">
        <v>39</v>
      </c>
      <c r="C2368" s="4">
        <v>45962</v>
      </c>
      <c r="D2368" s="4">
        <v>45991</v>
      </c>
      <c r="E2368" s="3" t="s">
        <v>205</v>
      </c>
      <c r="F2368" s="3" t="s">
        <v>225</v>
      </c>
      <c r="G2368" s="5">
        <v>5.0000000000000001E-3</v>
      </c>
      <c r="H2368" s="6" t="s">
        <v>43</v>
      </c>
      <c r="I2368" s="3" t="s">
        <v>45</v>
      </c>
    </row>
    <row r="2369" spans="1:9" ht="48" customHeight="1">
      <c r="A2369" s="3" t="s">
        <v>40</v>
      </c>
      <c r="B2369" s="3" t="s">
        <v>39</v>
      </c>
      <c r="C2369" s="4">
        <v>45962</v>
      </c>
      <c r="D2369" s="4">
        <v>45991</v>
      </c>
      <c r="E2369" s="3" t="s">
        <v>205</v>
      </c>
      <c r="F2369" s="3" t="s">
        <v>219</v>
      </c>
      <c r="G2369" s="5">
        <v>5.0000000000000001E-3</v>
      </c>
      <c r="H2369" s="6" t="s">
        <v>43</v>
      </c>
      <c r="I2369" s="3" t="s">
        <v>45</v>
      </c>
    </row>
    <row r="2370" spans="1:9" ht="48" customHeight="1">
      <c r="A2370" s="3" t="s">
        <v>40</v>
      </c>
      <c r="B2370" s="3" t="s">
        <v>39</v>
      </c>
      <c r="C2370" s="4">
        <v>45962</v>
      </c>
      <c r="D2370" s="4">
        <v>45991</v>
      </c>
      <c r="E2370" s="3" t="s">
        <v>205</v>
      </c>
      <c r="F2370" s="3" t="s">
        <v>211</v>
      </c>
      <c r="G2370" s="5">
        <v>5.0000000000000001E-3</v>
      </c>
      <c r="H2370" s="6" t="s">
        <v>43</v>
      </c>
      <c r="I2370" s="3" t="s">
        <v>45</v>
      </c>
    </row>
    <row r="2371" spans="1:9" ht="48" customHeight="1">
      <c r="A2371" s="3" t="s">
        <v>40</v>
      </c>
      <c r="B2371" s="3" t="s">
        <v>39</v>
      </c>
      <c r="C2371" s="4">
        <v>45962</v>
      </c>
      <c r="D2371" s="4">
        <v>45991</v>
      </c>
      <c r="E2371" s="3" t="s">
        <v>205</v>
      </c>
      <c r="F2371" s="3" t="s">
        <v>212</v>
      </c>
      <c r="G2371" s="5">
        <v>5.0000000000000001E-3</v>
      </c>
      <c r="H2371" s="6" t="s">
        <v>43</v>
      </c>
      <c r="I2371" s="3" t="s">
        <v>45</v>
      </c>
    </row>
    <row r="2372" spans="1:9" ht="48" customHeight="1">
      <c r="A2372" s="3" t="s">
        <v>40</v>
      </c>
      <c r="B2372" s="3" t="s">
        <v>39</v>
      </c>
      <c r="C2372" s="4">
        <v>45962</v>
      </c>
      <c r="D2372" s="4">
        <v>45991</v>
      </c>
      <c r="E2372" s="3" t="s">
        <v>205</v>
      </c>
      <c r="F2372" s="3" t="s">
        <v>208</v>
      </c>
      <c r="G2372" s="5">
        <v>5.0000000000000001E-3</v>
      </c>
      <c r="H2372" s="6" t="s">
        <v>43</v>
      </c>
      <c r="I2372" s="3" t="s">
        <v>45</v>
      </c>
    </row>
    <row r="2373" spans="1:9" ht="48" customHeight="1">
      <c r="A2373" s="3" t="s">
        <v>40</v>
      </c>
      <c r="B2373" s="3" t="s">
        <v>39</v>
      </c>
      <c r="C2373" s="4">
        <v>45962</v>
      </c>
      <c r="D2373" s="4">
        <v>45991</v>
      </c>
      <c r="E2373" s="3" t="s">
        <v>205</v>
      </c>
      <c r="F2373" s="3" t="s">
        <v>213</v>
      </c>
      <c r="G2373" s="5">
        <v>5.0000000000000001E-3</v>
      </c>
      <c r="H2373" s="6" t="s">
        <v>43</v>
      </c>
      <c r="I2373" s="3" t="s">
        <v>45</v>
      </c>
    </row>
    <row r="2374" spans="1:9" ht="48" customHeight="1">
      <c r="A2374" s="3" t="s">
        <v>40</v>
      </c>
      <c r="B2374" s="3" t="s">
        <v>39</v>
      </c>
      <c r="C2374" s="4">
        <v>45962</v>
      </c>
      <c r="D2374" s="4">
        <v>45991</v>
      </c>
      <c r="E2374" s="3" t="s">
        <v>205</v>
      </c>
      <c r="F2374" s="3" t="s">
        <v>214</v>
      </c>
      <c r="G2374" s="5">
        <v>5.0000000000000001E-3</v>
      </c>
      <c r="H2374" s="6" t="s">
        <v>43</v>
      </c>
      <c r="I2374" s="3" t="s">
        <v>45</v>
      </c>
    </row>
    <row r="2375" spans="1:9" ht="48" customHeight="1">
      <c r="A2375" s="3" t="s">
        <v>40</v>
      </c>
      <c r="B2375" s="3" t="s">
        <v>39</v>
      </c>
      <c r="C2375" s="4">
        <v>45962</v>
      </c>
      <c r="D2375" s="4">
        <v>45991</v>
      </c>
      <c r="E2375" s="3" t="s">
        <v>205</v>
      </c>
      <c r="F2375" s="3" t="s">
        <v>215</v>
      </c>
      <c r="G2375" s="5">
        <v>5.0000000000000001E-3</v>
      </c>
      <c r="H2375" s="6" t="s">
        <v>43</v>
      </c>
      <c r="I2375" s="3" t="s">
        <v>45</v>
      </c>
    </row>
    <row r="2376" spans="1:9" ht="48" customHeight="1">
      <c r="A2376" s="3" t="s">
        <v>40</v>
      </c>
      <c r="B2376" s="3" t="s">
        <v>39</v>
      </c>
      <c r="C2376" s="4">
        <v>45962</v>
      </c>
      <c r="D2376" s="4">
        <v>45991</v>
      </c>
      <c r="E2376" s="3" t="s">
        <v>205</v>
      </c>
      <c r="F2376" s="3" t="s">
        <v>217</v>
      </c>
      <c r="G2376" s="5">
        <v>4.0000000000000001E-3</v>
      </c>
      <c r="H2376" s="6" t="s">
        <v>43</v>
      </c>
      <c r="I2376" s="3" t="s">
        <v>45</v>
      </c>
    </row>
    <row r="2377" spans="1:9" ht="48" customHeight="1">
      <c r="A2377" s="3" t="s">
        <v>40</v>
      </c>
      <c r="B2377" s="3" t="s">
        <v>39</v>
      </c>
      <c r="C2377" s="4">
        <v>45962</v>
      </c>
      <c r="D2377" s="4">
        <v>45991</v>
      </c>
      <c r="E2377" s="3" t="s">
        <v>205</v>
      </c>
      <c r="F2377" s="3" t="s">
        <v>218</v>
      </c>
      <c r="G2377" s="5">
        <v>4.0000000000000001E-3</v>
      </c>
      <c r="H2377" s="6" t="s">
        <v>43</v>
      </c>
      <c r="I2377" s="3" t="s">
        <v>45</v>
      </c>
    </row>
    <row r="2378" spans="1:9" ht="48" customHeight="1">
      <c r="A2378" s="3" t="s">
        <v>40</v>
      </c>
      <c r="B2378" s="3" t="s">
        <v>39</v>
      </c>
      <c r="C2378" s="4">
        <v>45962</v>
      </c>
      <c r="D2378" s="4">
        <v>45991</v>
      </c>
      <c r="E2378" s="3" t="s">
        <v>205</v>
      </c>
      <c r="F2378" s="3" t="s">
        <v>221</v>
      </c>
      <c r="G2378" s="5">
        <v>4.0000000000000001E-3</v>
      </c>
      <c r="H2378" s="6" t="s">
        <v>43</v>
      </c>
      <c r="I2378" s="3" t="s">
        <v>45</v>
      </c>
    </row>
    <row r="2379" spans="1:9" ht="48" customHeight="1">
      <c r="A2379" s="3" t="s">
        <v>40</v>
      </c>
      <c r="B2379" s="3" t="s">
        <v>39</v>
      </c>
      <c r="C2379" s="4">
        <v>45962</v>
      </c>
      <c r="D2379" s="4">
        <v>45991</v>
      </c>
      <c r="E2379" s="3" t="s">
        <v>205</v>
      </c>
      <c r="F2379" s="3" t="s">
        <v>222</v>
      </c>
      <c r="G2379" s="5">
        <v>4.0000000000000001E-3</v>
      </c>
      <c r="H2379" s="6" t="s">
        <v>43</v>
      </c>
      <c r="I2379" s="3" t="s">
        <v>45</v>
      </c>
    </row>
    <row r="2380" spans="1:9" ht="48" customHeight="1">
      <c r="A2380" s="3" t="s">
        <v>40</v>
      </c>
      <c r="B2380" s="3" t="s">
        <v>39</v>
      </c>
      <c r="C2380" s="4">
        <v>45962</v>
      </c>
      <c r="D2380" s="4">
        <v>45991</v>
      </c>
      <c r="E2380" s="3" t="s">
        <v>205</v>
      </c>
      <c r="F2380" s="3" t="s">
        <v>226</v>
      </c>
      <c r="G2380" s="5">
        <v>3.0000000000000001E-3</v>
      </c>
      <c r="H2380" s="6" t="s">
        <v>43</v>
      </c>
      <c r="I2380" s="3" t="s">
        <v>45</v>
      </c>
    </row>
    <row r="2381" spans="1:9" ht="48" customHeight="1">
      <c r="A2381" s="3" t="s">
        <v>40</v>
      </c>
      <c r="B2381" s="3" t="s">
        <v>39</v>
      </c>
      <c r="C2381" s="4">
        <v>45962</v>
      </c>
      <c r="D2381" s="4">
        <v>45991</v>
      </c>
      <c r="E2381" s="3" t="s">
        <v>205</v>
      </c>
      <c r="F2381" s="3" t="s">
        <v>227</v>
      </c>
      <c r="G2381" s="5">
        <v>3.0000000000000001E-3</v>
      </c>
      <c r="H2381" s="6" t="s">
        <v>43</v>
      </c>
      <c r="I2381" s="3" t="s">
        <v>45</v>
      </c>
    </row>
    <row r="2382" spans="1:9" ht="48" customHeight="1">
      <c r="A2382" s="3" t="s">
        <v>40</v>
      </c>
      <c r="B2382" s="3" t="s">
        <v>39</v>
      </c>
      <c r="C2382" s="4">
        <v>45962</v>
      </c>
      <c r="D2382" s="4">
        <v>45991</v>
      </c>
      <c r="E2382" s="3" t="s">
        <v>205</v>
      </c>
      <c r="F2382" s="3" t="s">
        <v>228</v>
      </c>
      <c r="G2382" s="5">
        <v>3.0000000000000001E-3</v>
      </c>
      <c r="H2382" s="6" t="s">
        <v>43</v>
      </c>
      <c r="I2382" s="3" t="s">
        <v>45</v>
      </c>
    </row>
    <row r="2383" spans="1:9" ht="48" customHeight="1">
      <c r="A2383" s="3" t="s">
        <v>40</v>
      </c>
      <c r="B2383" s="3" t="s">
        <v>39</v>
      </c>
      <c r="C2383" s="4">
        <v>45962</v>
      </c>
      <c r="D2383" s="4">
        <v>45991</v>
      </c>
      <c r="E2383" s="3" t="s">
        <v>205</v>
      </c>
      <c r="F2383" s="3" t="s">
        <v>229</v>
      </c>
      <c r="G2383" s="5">
        <v>2E-3</v>
      </c>
      <c r="H2383" s="6" t="s">
        <v>43</v>
      </c>
      <c r="I2383" s="3" t="s">
        <v>45</v>
      </c>
    </row>
    <row r="2384" spans="1:9" ht="48" customHeight="1">
      <c r="A2384" s="3" t="s">
        <v>40</v>
      </c>
      <c r="B2384" s="3" t="s">
        <v>39</v>
      </c>
      <c r="C2384" s="4">
        <v>45962</v>
      </c>
      <c r="D2384" s="4">
        <v>45991</v>
      </c>
      <c r="E2384" s="3" t="s">
        <v>205</v>
      </c>
      <c r="F2384" s="3" t="s">
        <v>230</v>
      </c>
      <c r="G2384" s="5">
        <v>2E-3</v>
      </c>
      <c r="H2384" s="6" t="s">
        <v>43</v>
      </c>
      <c r="I2384" s="3" t="s">
        <v>45</v>
      </c>
    </row>
    <row r="2385" spans="1:9" ht="48" customHeight="1">
      <c r="A2385" s="3" t="s">
        <v>40</v>
      </c>
      <c r="B2385" s="3" t="s">
        <v>39</v>
      </c>
      <c r="C2385" s="4">
        <v>45962</v>
      </c>
      <c r="D2385" s="4">
        <v>45991</v>
      </c>
      <c r="E2385" s="3" t="s">
        <v>205</v>
      </c>
      <c r="F2385" s="3" t="s">
        <v>223</v>
      </c>
      <c r="G2385" s="5">
        <v>2E-3</v>
      </c>
      <c r="H2385" s="6" t="s">
        <v>43</v>
      </c>
      <c r="I2385" s="3" t="s">
        <v>45</v>
      </c>
    </row>
    <row r="2386" spans="1:9" ht="48" customHeight="1">
      <c r="A2386" s="3" t="s">
        <v>40</v>
      </c>
      <c r="B2386" s="3" t="s">
        <v>39</v>
      </c>
      <c r="C2386" s="4">
        <v>45962</v>
      </c>
      <c r="D2386" s="4">
        <v>45991</v>
      </c>
      <c r="E2386" s="3" t="s">
        <v>81</v>
      </c>
      <c r="F2386" s="3" t="s">
        <v>333</v>
      </c>
      <c r="G2386" s="5">
        <v>9.0000000000000011E-3</v>
      </c>
      <c r="H2386" s="6" t="s">
        <v>43</v>
      </c>
      <c r="I2386" s="3" t="s">
        <v>45</v>
      </c>
    </row>
    <row r="2387" spans="1:9" ht="48" customHeight="1">
      <c r="A2387" s="3" t="s">
        <v>40</v>
      </c>
      <c r="B2387" s="3" t="s">
        <v>39</v>
      </c>
      <c r="C2387" s="4">
        <v>45962</v>
      </c>
      <c r="D2387" s="4">
        <v>45991</v>
      </c>
      <c r="E2387" s="3" t="s">
        <v>81</v>
      </c>
      <c r="F2387" s="3" t="s">
        <v>330</v>
      </c>
      <c r="G2387" s="5">
        <v>4.0000000000000001E-3</v>
      </c>
      <c r="H2387" s="6" t="s">
        <v>43</v>
      </c>
      <c r="I2387" s="3" t="s">
        <v>45</v>
      </c>
    </row>
    <row r="2388" spans="1:9" ht="48" customHeight="1">
      <c r="A2388" s="3" t="s">
        <v>40</v>
      </c>
      <c r="B2388" s="3" t="s">
        <v>39</v>
      </c>
      <c r="C2388" s="4">
        <v>45962</v>
      </c>
      <c r="D2388" s="4">
        <v>45991</v>
      </c>
      <c r="E2388" s="3" t="s">
        <v>81</v>
      </c>
      <c r="F2388" s="3" t="s">
        <v>345</v>
      </c>
      <c r="G2388" s="5">
        <v>4.0000000000000001E-3</v>
      </c>
      <c r="H2388" s="6" t="s">
        <v>43</v>
      </c>
      <c r="I2388" s="3" t="s">
        <v>45</v>
      </c>
    </row>
    <row r="2389" spans="1:9" ht="48" customHeight="1">
      <c r="A2389" s="3" t="s">
        <v>40</v>
      </c>
      <c r="B2389" s="3" t="s">
        <v>39</v>
      </c>
      <c r="C2389" s="4">
        <v>45962</v>
      </c>
      <c r="D2389" s="4">
        <v>45991</v>
      </c>
      <c r="E2389" s="3" t="s">
        <v>81</v>
      </c>
      <c r="F2389" s="3" t="s">
        <v>326</v>
      </c>
      <c r="G2389" s="5">
        <v>3.0000000000000001E-3</v>
      </c>
      <c r="H2389" s="6" t="s">
        <v>43</v>
      </c>
      <c r="I2389" s="3" t="s">
        <v>45</v>
      </c>
    </row>
    <row r="2390" spans="1:9" ht="48" customHeight="1">
      <c r="A2390" s="3" t="s">
        <v>40</v>
      </c>
      <c r="B2390" s="3" t="s">
        <v>39</v>
      </c>
      <c r="C2390" s="4">
        <v>45962</v>
      </c>
      <c r="D2390" s="4">
        <v>45991</v>
      </c>
      <c r="E2390" s="3" t="s">
        <v>81</v>
      </c>
      <c r="F2390" s="3" t="s">
        <v>325</v>
      </c>
      <c r="G2390" s="5">
        <v>3.0000000000000001E-3</v>
      </c>
      <c r="H2390" s="6" t="s">
        <v>43</v>
      </c>
      <c r="I2390" s="3" t="s">
        <v>45</v>
      </c>
    </row>
    <row r="2391" spans="1:9" ht="48" customHeight="1">
      <c r="A2391" s="3" t="s">
        <v>40</v>
      </c>
      <c r="B2391" s="3" t="s">
        <v>39</v>
      </c>
      <c r="C2391" s="4">
        <v>45962</v>
      </c>
      <c r="D2391" s="4">
        <v>45991</v>
      </c>
      <c r="E2391" s="3" t="s">
        <v>81</v>
      </c>
      <c r="F2391" s="3" t="s">
        <v>327</v>
      </c>
      <c r="G2391" s="5">
        <v>2E-3</v>
      </c>
      <c r="H2391" s="6" t="s">
        <v>43</v>
      </c>
      <c r="I2391" s="3" t="s">
        <v>45</v>
      </c>
    </row>
    <row r="2392" spans="1:9" ht="48" customHeight="1">
      <c r="A2392" s="3" t="s">
        <v>40</v>
      </c>
      <c r="B2392" s="3" t="s">
        <v>39</v>
      </c>
      <c r="C2392" s="4">
        <v>45962</v>
      </c>
      <c r="D2392" s="4">
        <v>45991</v>
      </c>
      <c r="E2392" s="3" t="s">
        <v>81</v>
      </c>
      <c r="F2392" s="3" t="s">
        <v>328</v>
      </c>
      <c r="G2392" s="5">
        <v>2E-3</v>
      </c>
      <c r="H2392" s="6" t="s">
        <v>43</v>
      </c>
      <c r="I2392" s="3" t="s">
        <v>45</v>
      </c>
    </row>
    <row r="2393" spans="1:9" ht="48" customHeight="1">
      <c r="A2393" s="3" t="s">
        <v>40</v>
      </c>
      <c r="B2393" s="3" t="s">
        <v>39</v>
      </c>
      <c r="C2393" s="4">
        <v>45962</v>
      </c>
      <c r="D2393" s="4">
        <v>45991</v>
      </c>
      <c r="E2393" s="3" t="s">
        <v>81</v>
      </c>
      <c r="F2393" s="3" t="s">
        <v>332</v>
      </c>
      <c r="G2393" s="5">
        <v>2E-3</v>
      </c>
      <c r="H2393" s="6" t="s">
        <v>43</v>
      </c>
      <c r="I2393" s="3" t="s">
        <v>45</v>
      </c>
    </row>
    <row r="2394" spans="1:9" ht="48" customHeight="1">
      <c r="A2394" s="3" t="s">
        <v>40</v>
      </c>
      <c r="B2394" s="3" t="s">
        <v>39</v>
      </c>
      <c r="C2394" s="4">
        <v>45962</v>
      </c>
      <c r="D2394" s="4">
        <v>45991</v>
      </c>
      <c r="E2394" s="3" t="s">
        <v>81</v>
      </c>
      <c r="F2394" s="3" t="s">
        <v>346</v>
      </c>
      <c r="G2394" s="5">
        <v>2E-3</v>
      </c>
      <c r="H2394" s="6" t="s">
        <v>43</v>
      </c>
      <c r="I2394" s="3" t="s">
        <v>45</v>
      </c>
    </row>
    <row r="2395" spans="1:9" ht="48" customHeight="1">
      <c r="A2395" s="3" t="s">
        <v>40</v>
      </c>
      <c r="B2395" s="3" t="s">
        <v>39</v>
      </c>
      <c r="C2395" s="4">
        <v>45962</v>
      </c>
      <c r="D2395" s="4">
        <v>45991</v>
      </c>
      <c r="E2395" s="3" t="s">
        <v>81</v>
      </c>
      <c r="F2395" s="3" t="s">
        <v>329</v>
      </c>
      <c r="G2395" s="5">
        <v>1E-3</v>
      </c>
      <c r="H2395" s="6" t="s">
        <v>43</v>
      </c>
      <c r="I2395" s="3" t="s">
        <v>45</v>
      </c>
    </row>
    <row r="2396" spans="1:9" ht="48" customHeight="1">
      <c r="A2396" s="3" t="s">
        <v>40</v>
      </c>
      <c r="B2396" s="3" t="s">
        <v>39</v>
      </c>
      <c r="C2396" s="4">
        <v>45962</v>
      </c>
      <c r="D2396" s="4">
        <v>45991</v>
      </c>
      <c r="E2396" s="3" t="s">
        <v>81</v>
      </c>
      <c r="F2396" s="3" t="s">
        <v>334</v>
      </c>
      <c r="G2396" s="5">
        <v>1E-3</v>
      </c>
      <c r="H2396" s="6" t="s">
        <v>43</v>
      </c>
      <c r="I2396" s="3" t="s">
        <v>45</v>
      </c>
    </row>
    <row r="2397" spans="1:9" ht="48" customHeight="1">
      <c r="A2397" s="3" t="s">
        <v>40</v>
      </c>
      <c r="B2397" s="3" t="s">
        <v>39</v>
      </c>
      <c r="C2397" s="4">
        <v>45962</v>
      </c>
      <c r="D2397" s="4">
        <v>45991</v>
      </c>
      <c r="E2397" s="3" t="s">
        <v>81</v>
      </c>
      <c r="F2397" s="3" t="s">
        <v>331</v>
      </c>
      <c r="G2397" s="5">
        <v>1E-3</v>
      </c>
      <c r="H2397" s="6" t="s">
        <v>43</v>
      </c>
      <c r="I2397" s="3" t="s">
        <v>45</v>
      </c>
    </row>
    <row r="2398" spans="1:9" ht="48" customHeight="1">
      <c r="A2398" s="3" t="s">
        <v>40</v>
      </c>
      <c r="B2398" s="3" t="s">
        <v>39</v>
      </c>
      <c r="C2398" s="4">
        <v>45962</v>
      </c>
      <c r="D2398" s="4">
        <v>45991</v>
      </c>
      <c r="E2398" s="3" t="s">
        <v>81</v>
      </c>
      <c r="F2398" s="3" t="s">
        <v>335</v>
      </c>
      <c r="G2398" s="5">
        <v>1E-3</v>
      </c>
      <c r="H2398" s="6" t="s">
        <v>43</v>
      </c>
      <c r="I2398" s="3" t="s">
        <v>45</v>
      </c>
    </row>
    <row r="2399" spans="1:9" ht="48" customHeight="1">
      <c r="A2399" s="3" t="s">
        <v>40</v>
      </c>
      <c r="B2399" s="3" t="s">
        <v>39</v>
      </c>
      <c r="C2399" s="4">
        <v>45962</v>
      </c>
      <c r="D2399" s="4">
        <v>45991</v>
      </c>
      <c r="E2399" s="3" t="s">
        <v>81</v>
      </c>
      <c r="F2399" s="3" t="s">
        <v>336</v>
      </c>
      <c r="G2399" s="5">
        <v>1E-3</v>
      </c>
      <c r="H2399" s="6" t="s">
        <v>43</v>
      </c>
      <c r="I2399" s="3" t="s">
        <v>45</v>
      </c>
    </row>
    <row r="2400" spans="1:9" ht="48" customHeight="1">
      <c r="A2400" s="3" t="s">
        <v>40</v>
      </c>
      <c r="B2400" s="3" t="s">
        <v>39</v>
      </c>
      <c r="C2400" s="4">
        <v>45962</v>
      </c>
      <c r="D2400" s="4">
        <v>45991</v>
      </c>
      <c r="E2400" s="3" t="s">
        <v>81</v>
      </c>
      <c r="F2400" s="3" t="s">
        <v>339</v>
      </c>
      <c r="G2400" s="5">
        <v>1E-3</v>
      </c>
      <c r="H2400" s="6" t="s">
        <v>43</v>
      </c>
      <c r="I2400" s="3" t="s">
        <v>45</v>
      </c>
    </row>
    <row r="2401" spans="1:9" ht="48" customHeight="1">
      <c r="A2401" s="3" t="s">
        <v>40</v>
      </c>
      <c r="B2401" s="3" t="s">
        <v>39</v>
      </c>
      <c r="C2401" s="4">
        <v>45962</v>
      </c>
      <c r="D2401" s="4">
        <v>45991</v>
      </c>
      <c r="E2401" s="3" t="s">
        <v>81</v>
      </c>
      <c r="F2401" s="3" t="s">
        <v>343</v>
      </c>
      <c r="G2401" s="5">
        <v>1E-3</v>
      </c>
      <c r="H2401" s="6" t="s">
        <v>43</v>
      </c>
      <c r="I2401" s="3" t="s">
        <v>45</v>
      </c>
    </row>
    <row r="2402" spans="1:9" ht="48" customHeight="1">
      <c r="A2402" s="3" t="s">
        <v>40</v>
      </c>
      <c r="B2402" s="3" t="s">
        <v>39</v>
      </c>
      <c r="C2402" s="4">
        <v>45962</v>
      </c>
      <c r="D2402" s="4">
        <v>45991</v>
      </c>
      <c r="E2402" s="3" t="s">
        <v>81</v>
      </c>
      <c r="F2402" s="3" t="s">
        <v>344</v>
      </c>
      <c r="G2402" s="5">
        <v>1E-3</v>
      </c>
      <c r="H2402" s="6" t="s">
        <v>43</v>
      </c>
      <c r="I2402" s="3" t="s">
        <v>45</v>
      </c>
    </row>
    <row r="2403" spans="1:9" ht="48" customHeight="1">
      <c r="A2403" s="3" t="s">
        <v>40</v>
      </c>
      <c r="B2403" s="3" t="s">
        <v>39</v>
      </c>
      <c r="C2403" s="4">
        <v>45962</v>
      </c>
      <c r="D2403" s="4">
        <v>45991</v>
      </c>
      <c r="E2403" s="3" t="s">
        <v>81</v>
      </c>
      <c r="F2403" s="3" t="s">
        <v>337</v>
      </c>
      <c r="G2403" s="5">
        <v>0</v>
      </c>
      <c r="H2403" s="6" t="s">
        <v>43</v>
      </c>
      <c r="I2403" s="3" t="s">
        <v>45</v>
      </c>
    </row>
    <row r="2404" spans="1:9" ht="48" customHeight="1">
      <c r="A2404" s="3" t="s">
        <v>40</v>
      </c>
      <c r="B2404" s="3" t="s">
        <v>39</v>
      </c>
      <c r="C2404" s="4">
        <v>45962</v>
      </c>
      <c r="D2404" s="4">
        <v>45991</v>
      </c>
      <c r="E2404" s="3" t="s">
        <v>81</v>
      </c>
      <c r="F2404" s="3" t="s">
        <v>338</v>
      </c>
      <c r="G2404" s="5">
        <v>0</v>
      </c>
      <c r="H2404" s="6" t="s">
        <v>43</v>
      </c>
      <c r="I2404" s="3" t="s">
        <v>45</v>
      </c>
    </row>
    <row r="2405" spans="1:9" ht="48" customHeight="1">
      <c r="A2405" s="3" t="s">
        <v>40</v>
      </c>
      <c r="B2405" s="3" t="s">
        <v>39</v>
      </c>
      <c r="C2405" s="4">
        <v>45962</v>
      </c>
      <c r="D2405" s="4">
        <v>45991</v>
      </c>
      <c r="E2405" s="3" t="s">
        <v>81</v>
      </c>
      <c r="F2405" s="3" t="s">
        <v>340</v>
      </c>
      <c r="G2405" s="5">
        <v>0</v>
      </c>
      <c r="H2405" s="6" t="s">
        <v>43</v>
      </c>
      <c r="I2405" s="3" t="s">
        <v>45</v>
      </c>
    </row>
    <row r="2406" spans="1:9" ht="48" customHeight="1">
      <c r="A2406" s="3" t="s">
        <v>40</v>
      </c>
      <c r="B2406" s="3" t="s">
        <v>39</v>
      </c>
      <c r="C2406" s="4">
        <v>45962</v>
      </c>
      <c r="D2406" s="4">
        <v>45991</v>
      </c>
      <c r="E2406" s="3" t="s">
        <v>81</v>
      </c>
      <c r="F2406" s="3" t="s">
        <v>341</v>
      </c>
      <c r="G2406" s="5">
        <v>0</v>
      </c>
      <c r="H2406" s="6" t="s">
        <v>43</v>
      </c>
      <c r="I2406" s="3" t="s">
        <v>45</v>
      </c>
    </row>
    <row r="2407" spans="1:9" ht="48" customHeight="1">
      <c r="A2407" s="3" t="s">
        <v>40</v>
      </c>
      <c r="B2407" s="3" t="s">
        <v>39</v>
      </c>
      <c r="C2407" s="4">
        <v>45962</v>
      </c>
      <c r="D2407" s="4">
        <v>45991</v>
      </c>
      <c r="E2407" s="3" t="s">
        <v>81</v>
      </c>
      <c r="F2407" s="3" t="s">
        <v>342</v>
      </c>
      <c r="G2407" s="5">
        <v>0</v>
      </c>
      <c r="H2407" s="6" t="s">
        <v>43</v>
      </c>
      <c r="I2407" s="3" t="s">
        <v>45</v>
      </c>
    </row>
    <row r="2408" spans="1:9" ht="48" customHeight="1">
      <c r="A2408" s="3" t="s">
        <v>40</v>
      </c>
      <c r="B2408" s="3" t="s">
        <v>39</v>
      </c>
      <c r="C2408" s="4">
        <v>45962</v>
      </c>
      <c r="D2408" s="4">
        <v>45991</v>
      </c>
      <c r="E2408" s="3" t="s">
        <v>81</v>
      </c>
      <c r="F2408" s="3" t="s">
        <v>347</v>
      </c>
      <c r="G2408" s="5">
        <v>0</v>
      </c>
      <c r="H2408" s="6" t="s">
        <v>43</v>
      </c>
      <c r="I2408" s="3" t="s">
        <v>45</v>
      </c>
    </row>
    <row r="2409" spans="1:9" ht="48" customHeight="1">
      <c r="A2409" s="3" t="s">
        <v>40</v>
      </c>
      <c r="B2409" s="3" t="s">
        <v>39</v>
      </c>
      <c r="C2409" s="4">
        <v>45962</v>
      </c>
      <c r="D2409" s="4">
        <v>45991</v>
      </c>
      <c r="E2409" s="3" t="s">
        <v>236</v>
      </c>
      <c r="F2409" s="3" t="s">
        <v>232</v>
      </c>
      <c r="G2409" s="5">
        <v>9.0000000000000011E-3</v>
      </c>
      <c r="H2409" s="6" t="s">
        <v>43</v>
      </c>
      <c r="I2409" s="3" t="s">
        <v>45</v>
      </c>
    </row>
    <row r="2410" spans="1:9" ht="48" customHeight="1">
      <c r="A2410" s="3" t="s">
        <v>40</v>
      </c>
      <c r="B2410" s="3" t="s">
        <v>39</v>
      </c>
      <c r="C2410" s="4">
        <v>45962</v>
      </c>
      <c r="D2410" s="4">
        <v>45991</v>
      </c>
      <c r="E2410" s="3" t="s">
        <v>236</v>
      </c>
      <c r="F2410" s="3" t="s">
        <v>238</v>
      </c>
      <c r="G2410" s="5">
        <v>6.0000000000000001E-3</v>
      </c>
      <c r="H2410" s="6" t="s">
        <v>43</v>
      </c>
      <c r="I2410" s="3" t="s">
        <v>45</v>
      </c>
    </row>
    <row r="2411" spans="1:9" ht="48" customHeight="1">
      <c r="A2411" s="3" t="s">
        <v>40</v>
      </c>
      <c r="B2411" s="3" t="s">
        <v>39</v>
      </c>
      <c r="C2411" s="4">
        <v>45962</v>
      </c>
      <c r="D2411" s="4">
        <v>45991</v>
      </c>
      <c r="E2411" s="3" t="s">
        <v>236</v>
      </c>
      <c r="F2411" s="3" t="s">
        <v>239</v>
      </c>
      <c r="G2411" s="5">
        <v>6.0000000000000001E-3</v>
      </c>
      <c r="H2411" s="6" t="s">
        <v>43</v>
      </c>
      <c r="I2411" s="3" t="s">
        <v>45</v>
      </c>
    </row>
    <row r="2412" spans="1:9" ht="48" customHeight="1">
      <c r="A2412" s="3" t="s">
        <v>40</v>
      </c>
      <c r="B2412" s="3" t="s">
        <v>39</v>
      </c>
      <c r="C2412" s="4">
        <v>45962</v>
      </c>
      <c r="D2412" s="4">
        <v>45991</v>
      </c>
      <c r="E2412" s="3" t="s">
        <v>236</v>
      </c>
      <c r="F2412" s="3" t="s">
        <v>240</v>
      </c>
      <c r="G2412" s="5">
        <v>5.0000000000000001E-3</v>
      </c>
      <c r="H2412" s="6" t="s">
        <v>43</v>
      </c>
      <c r="I2412" s="3" t="s">
        <v>45</v>
      </c>
    </row>
    <row r="2413" spans="1:9" ht="48" customHeight="1">
      <c r="A2413" s="3" t="s">
        <v>40</v>
      </c>
      <c r="B2413" s="3" t="s">
        <v>39</v>
      </c>
      <c r="C2413" s="4">
        <v>45962</v>
      </c>
      <c r="D2413" s="4">
        <v>45991</v>
      </c>
      <c r="E2413" s="3" t="s">
        <v>236</v>
      </c>
      <c r="F2413" s="3" t="s">
        <v>237</v>
      </c>
      <c r="G2413" s="5">
        <v>5.0000000000000001E-3</v>
      </c>
      <c r="H2413" s="6" t="s">
        <v>43</v>
      </c>
      <c r="I2413" s="3" t="s">
        <v>45</v>
      </c>
    </row>
    <row r="2414" spans="1:9" ht="48" customHeight="1">
      <c r="A2414" s="3" t="s">
        <v>40</v>
      </c>
      <c r="B2414" s="3" t="s">
        <v>39</v>
      </c>
      <c r="C2414" s="4">
        <v>45962</v>
      </c>
      <c r="D2414" s="4">
        <v>45991</v>
      </c>
      <c r="E2414" s="3" t="s">
        <v>236</v>
      </c>
      <c r="F2414" s="3" t="s">
        <v>241</v>
      </c>
      <c r="G2414" s="5">
        <v>4.0000000000000001E-3</v>
      </c>
      <c r="H2414" s="6" t="s">
        <v>43</v>
      </c>
      <c r="I2414" s="3" t="s">
        <v>45</v>
      </c>
    </row>
    <row r="2415" spans="1:9" ht="48" customHeight="1">
      <c r="A2415" s="3" t="s">
        <v>40</v>
      </c>
      <c r="B2415" s="3" t="s">
        <v>39</v>
      </c>
      <c r="C2415" s="4">
        <v>45962</v>
      </c>
      <c r="D2415" s="4">
        <v>45991</v>
      </c>
      <c r="E2415" s="3" t="s">
        <v>236</v>
      </c>
      <c r="F2415" s="3" t="s">
        <v>230</v>
      </c>
      <c r="G2415" s="5">
        <v>2E-3</v>
      </c>
      <c r="H2415" s="6" t="s">
        <v>43</v>
      </c>
      <c r="I2415" s="3" t="s">
        <v>45</v>
      </c>
    </row>
    <row r="2416" spans="1:9" ht="48" customHeight="1">
      <c r="A2416" s="3" t="s">
        <v>40</v>
      </c>
      <c r="B2416" s="3" t="s">
        <v>39</v>
      </c>
      <c r="C2416" s="4">
        <v>45962</v>
      </c>
      <c r="D2416" s="4">
        <v>45991</v>
      </c>
      <c r="E2416" s="3" t="s">
        <v>236</v>
      </c>
      <c r="F2416" s="3" t="s">
        <v>234</v>
      </c>
      <c r="G2416" s="5">
        <v>1E-3</v>
      </c>
      <c r="H2416" s="6" t="s">
        <v>43</v>
      </c>
      <c r="I2416" s="3" t="s">
        <v>45</v>
      </c>
    </row>
    <row r="2417" spans="1:9" ht="48" customHeight="1">
      <c r="A2417" s="3" t="s">
        <v>40</v>
      </c>
      <c r="B2417" s="3" t="s">
        <v>39</v>
      </c>
      <c r="C2417" s="4">
        <v>45962</v>
      </c>
      <c r="D2417" s="4">
        <v>45991</v>
      </c>
      <c r="E2417" s="3" t="s">
        <v>236</v>
      </c>
      <c r="F2417" s="3" t="s">
        <v>242</v>
      </c>
      <c r="G2417" s="5">
        <v>1E-3</v>
      </c>
      <c r="H2417" s="6" t="s">
        <v>43</v>
      </c>
      <c r="I2417" s="3" t="s">
        <v>45</v>
      </c>
    </row>
    <row r="2418" spans="1:9" ht="48" customHeight="1">
      <c r="A2418" s="3" t="s">
        <v>40</v>
      </c>
      <c r="B2418" s="3" t="s">
        <v>39</v>
      </c>
      <c r="C2418" s="4">
        <v>45962</v>
      </c>
      <c r="D2418" s="4">
        <v>45991</v>
      </c>
      <c r="E2418" s="3" t="s">
        <v>236</v>
      </c>
      <c r="F2418" s="3" t="s">
        <v>243</v>
      </c>
      <c r="G2418" s="5">
        <v>0</v>
      </c>
      <c r="H2418" s="6" t="s">
        <v>43</v>
      </c>
      <c r="I2418" s="3" t="s">
        <v>45</v>
      </c>
    </row>
    <row r="2419" spans="1:9" ht="48" customHeight="1">
      <c r="A2419" s="3" t="s">
        <v>40</v>
      </c>
      <c r="B2419" s="3" t="s">
        <v>39</v>
      </c>
      <c r="C2419" s="4">
        <v>45962</v>
      </c>
      <c r="D2419" s="4">
        <v>45991</v>
      </c>
      <c r="E2419" s="3" t="s">
        <v>68</v>
      </c>
      <c r="F2419" s="3" t="s">
        <v>151</v>
      </c>
      <c r="G2419" s="5">
        <v>4.0000000000000001E-3</v>
      </c>
      <c r="H2419" s="6" t="s">
        <v>43</v>
      </c>
      <c r="I2419" s="3" t="s">
        <v>45</v>
      </c>
    </row>
    <row r="2420" spans="1:9" ht="48" customHeight="1">
      <c r="A2420" s="3" t="s">
        <v>40</v>
      </c>
      <c r="B2420" s="3" t="s">
        <v>39</v>
      </c>
      <c r="C2420" s="4">
        <v>45962</v>
      </c>
      <c r="D2420" s="4">
        <v>45991</v>
      </c>
      <c r="E2420" s="3" t="s">
        <v>68</v>
      </c>
      <c r="F2420" s="3" t="s">
        <v>150</v>
      </c>
      <c r="G2420" s="5">
        <v>4.0000000000000001E-3</v>
      </c>
      <c r="H2420" s="6" t="s">
        <v>43</v>
      </c>
      <c r="I2420" s="3" t="s">
        <v>45</v>
      </c>
    </row>
    <row r="2421" spans="1:9" ht="48" customHeight="1">
      <c r="A2421" s="3" t="s">
        <v>40</v>
      </c>
      <c r="B2421" s="3" t="s">
        <v>39</v>
      </c>
      <c r="C2421" s="4">
        <v>45962</v>
      </c>
      <c r="D2421" s="4">
        <v>45991</v>
      </c>
      <c r="E2421" s="3" t="s">
        <v>68</v>
      </c>
      <c r="F2421" s="3" t="s">
        <v>147</v>
      </c>
      <c r="G2421" s="5">
        <v>4.0000000000000001E-3</v>
      </c>
      <c r="H2421" s="6" t="s">
        <v>43</v>
      </c>
      <c r="I2421" s="3" t="s">
        <v>45</v>
      </c>
    </row>
    <row r="2422" spans="1:9" ht="48" customHeight="1">
      <c r="A2422" s="3" t="s">
        <v>40</v>
      </c>
      <c r="B2422" s="3" t="s">
        <v>39</v>
      </c>
      <c r="C2422" s="4">
        <v>45962</v>
      </c>
      <c r="D2422" s="4">
        <v>45991</v>
      </c>
      <c r="E2422" s="3" t="s">
        <v>68</v>
      </c>
      <c r="F2422" s="3" t="s">
        <v>148</v>
      </c>
      <c r="G2422" s="5">
        <v>3.0000000000000001E-3</v>
      </c>
      <c r="H2422" s="6" t="s">
        <v>43</v>
      </c>
      <c r="I2422" s="3" t="s">
        <v>45</v>
      </c>
    </row>
    <row r="2423" spans="1:9" ht="48" customHeight="1">
      <c r="A2423" s="3" t="s">
        <v>40</v>
      </c>
      <c r="B2423" s="3" t="s">
        <v>39</v>
      </c>
      <c r="C2423" s="4">
        <v>45962</v>
      </c>
      <c r="D2423" s="4">
        <v>45991</v>
      </c>
      <c r="E2423" s="3" t="s">
        <v>68</v>
      </c>
      <c r="F2423" s="3" t="s">
        <v>149</v>
      </c>
      <c r="G2423" s="5">
        <v>2E-3</v>
      </c>
      <c r="H2423" s="6" t="s">
        <v>43</v>
      </c>
      <c r="I2423" s="3" t="s">
        <v>45</v>
      </c>
    </row>
    <row r="2424" spans="1:9" ht="48" customHeight="1">
      <c r="A2424" s="3" t="s">
        <v>40</v>
      </c>
      <c r="B2424" s="3" t="s">
        <v>39</v>
      </c>
      <c r="C2424" s="4">
        <v>45962</v>
      </c>
      <c r="D2424" s="4">
        <v>45991</v>
      </c>
      <c r="E2424" s="3" t="s">
        <v>68</v>
      </c>
      <c r="F2424" s="3" t="s">
        <v>155</v>
      </c>
      <c r="G2424" s="5">
        <v>1E-3</v>
      </c>
      <c r="H2424" s="6" t="s">
        <v>43</v>
      </c>
      <c r="I2424" s="3" t="s">
        <v>45</v>
      </c>
    </row>
    <row r="2425" spans="1:9" ht="48" customHeight="1">
      <c r="A2425" s="3" t="s">
        <v>40</v>
      </c>
      <c r="B2425" s="3" t="s">
        <v>39</v>
      </c>
      <c r="C2425" s="4">
        <v>45962</v>
      </c>
      <c r="D2425" s="4">
        <v>45991</v>
      </c>
      <c r="E2425" s="3" t="s">
        <v>68</v>
      </c>
      <c r="F2425" s="3" t="s">
        <v>152</v>
      </c>
      <c r="G2425" s="5">
        <v>1E-3</v>
      </c>
      <c r="H2425" s="6" t="s">
        <v>43</v>
      </c>
      <c r="I2425" s="3" t="s">
        <v>45</v>
      </c>
    </row>
    <row r="2426" spans="1:9" ht="48" customHeight="1">
      <c r="A2426" s="3" t="s">
        <v>40</v>
      </c>
      <c r="B2426" s="3" t="s">
        <v>39</v>
      </c>
      <c r="C2426" s="4">
        <v>45962</v>
      </c>
      <c r="D2426" s="4">
        <v>45991</v>
      </c>
      <c r="E2426" s="3" t="s">
        <v>68</v>
      </c>
      <c r="F2426" s="3" t="s">
        <v>157</v>
      </c>
      <c r="G2426" s="5">
        <v>1E-3</v>
      </c>
      <c r="H2426" s="6" t="s">
        <v>43</v>
      </c>
      <c r="I2426" s="3" t="s">
        <v>45</v>
      </c>
    </row>
    <row r="2427" spans="1:9" ht="48" customHeight="1">
      <c r="A2427" s="3" t="s">
        <v>40</v>
      </c>
      <c r="B2427" s="3" t="s">
        <v>39</v>
      </c>
      <c r="C2427" s="4">
        <v>45962</v>
      </c>
      <c r="D2427" s="4">
        <v>45991</v>
      </c>
      <c r="E2427" s="3" t="s">
        <v>68</v>
      </c>
      <c r="F2427" s="3" t="s">
        <v>156</v>
      </c>
      <c r="G2427" s="5">
        <v>1E-3</v>
      </c>
      <c r="H2427" s="6" t="s">
        <v>43</v>
      </c>
      <c r="I2427" s="3" t="s">
        <v>45</v>
      </c>
    </row>
    <row r="2428" spans="1:9" ht="48" customHeight="1">
      <c r="A2428" s="3" t="s">
        <v>40</v>
      </c>
      <c r="B2428" s="3" t="s">
        <v>39</v>
      </c>
      <c r="C2428" s="4">
        <v>45962</v>
      </c>
      <c r="D2428" s="4">
        <v>45991</v>
      </c>
      <c r="E2428" s="3" t="s">
        <v>68</v>
      </c>
      <c r="F2428" s="3" t="s">
        <v>158</v>
      </c>
      <c r="G2428" s="5">
        <v>1E-3</v>
      </c>
      <c r="H2428" s="6" t="s">
        <v>43</v>
      </c>
      <c r="I2428" s="3" t="s">
        <v>45</v>
      </c>
    </row>
    <row r="2429" spans="1:9" ht="48" customHeight="1">
      <c r="A2429" s="3" t="s">
        <v>40</v>
      </c>
      <c r="B2429" s="3" t="s">
        <v>39</v>
      </c>
      <c r="C2429" s="4">
        <v>45962</v>
      </c>
      <c r="D2429" s="4">
        <v>45991</v>
      </c>
      <c r="E2429" s="3" t="s">
        <v>68</v>
      </c>
      <c r="F2429" s="3" t="s">
        <v>146</v>
      </c>
      <c r="G2429" s="5">
        <v>1E-3</v>
      </c>
      <c r="H2429" s="6" t="s">
        <v>43</v>
      </c>
      <c r="I2429" s="3" t="s">
        <v>45</v>
      </c>
    </row>
    <row r="2430" spans="1:9" ht="48" customHeight="1">
      <c r="A2430" s="3" t="s">
        <v>40</v>
      </c>
      <c r="B2430" s="3" t="s">
        <v>39</v>
      </c>
      <c r="C2430" s="4">
        <v>45962</v>
      </c>
      <c r="D2430" s="4">
        <v>45991</v>
      </c>
      <c r="E2430" s="3" t="s">
        <v>68</v>
      </c>
      <c r="F2430" s="3" t="s">
        <v>66</v>
      </c>
      <c r="G2430" s="5">
        <v>1E-3</v>
      </c>
      <c r="H2430" s="6" t="s">
        <v>43</v>
      </c>
      <c r="I2430" s="3" t="s">
        <v>45</v>
      </c>
    </row>
    <row r="2431" spans="1:9" ht="48" customHeight="1">
      <c r="A2431" s="3" t="s">
        <v>40</v>
      </c>
      <c r="B2431" s="3" t="s">
        <v>39</v>
      </c>
      <c r="C2431" s="4">
        <v>45962</v>
      </c>
      <c r="D2431" s="4">
        <v>45991</v>
      </c>
      <c r="E2431" s="3" t="s">
        <v>68</v>
      </c>
      <c r="F2431" s="3" t="s">
        <v>159</v>
      </c>
      <c r="G2431" s="5">
        <v>0</v>
      </c>
      <c r="H2431" s="6" t="s">
        <v>43</v>
      </c>
      <c r="I2431" s="3" t="s">
        <v>45</v>
      </c>
    </row>
    <row r="2432" spans="1:9" ht="48" customHeight="1">
      <c r="A2432" s="3" t="s">
        <v>40</v>
      </c>
      <c r="B2432" s="3" t="s">
        <v>39</v>
      </c>
      <c r="C2432" s="4">
        <v>45962</v>
      </c>
      <c r="D2432" s="4">
        <v>45991</v>
      </c>
      <c r="E2432" s="3" t="s">
        <v>68</v>
      </c>
      <c r="F2432" s="3" t="s">
        <v>160</v>
      </c>
      <c r="G2432" s="5">
        <v>0</v>
      </c>
      <c r="H2432" s="6" t="s">
        <v>43</v>
      </c>
      <c r="I2432" s="3" t="s">
        <v>45</v>
      </c>
    </row>
    <row r="2433" spans="1:9" ht="48" customHeight="1">
      <c r="A2433" s="3" t="s">
        <v>40</v>
      </c>
      <c r="B2433" s="3" t="s">
        <v>39</v>
      </c>
      <c r="C2433" s="4">
        <v>45962</v>
      </c>
      <c r="D2433" s="4">
        <v>45991</v>
      </c>
      <c r="E2433" s="3" t="s">
        <v>68</v>
      </c>
      <c r="F2433" s="3" t="s">
        <v>153</v>
      </c>
      <c r="G2433" s="5">
        <v>0</v>
      </c>
      <c r="H2433" s="6" t="s">
        <v>43</v>
      </c>
      <c r="I2433" s="3" t="s">
        <v>45</v>
      </c>
    </row>
    <row r="2434" spans="1:9" ht="48" customHeight="1">
      <c r="A2434" s="3" t="s">
        <v>40</v>
      </c>
      <c r="B2434" s="3" t="s">
        <v>39</v>
      </c>
      <c r="C2434" s="4">
        <v>45962</v>
      </c>
      <c r="D2434" s="4">
        <v>45991</v>
      </c>
      <c r="E2434" s="3" t="s">
        <v>68</v>
      </c>
      <c r="F2434" s="3" t="s">
        <v>154</v>
      </c>
      <c r="G2434" s="5">
        <v>0</v>
      </c>
      <c r="H2434" s="6" t="s">
        <v>43</v>
      </c>
      <c r="I2434" s="3" t="s">
        <v>45</v>
      </c>
    </row>
    <row r="2435" spans="1:9" ht="48" customHeight="1">
      <c r="A2435" s="3" t="s">
        <v>40</v>
      </c>
      <c r="B2435" s="3" t="s">
        <v>39</v>
      </c>
      <c r="C2435" s="4">
        <v>45962</v>
      </c>
      <c r="D2435" s="4">
        <v>45991</v>
      </c>
      <c r="E2435" s="3" t="s">
        <v>364</v>
      </c>
      <c r="F2435" s="3" t="s">
        <v>262</v>
      </c>
      <c r="G2435" s="5">
        <v>3.0000000000000001E-3</v>
      </c>
      <c r="H2435" s="6" t="s">
        <v>43</v>
      </c>
      <c r="I2435" s="3" t="s">
        <v>45</v>
      </c>
    </row>
    <row r="2436" spans="1:9" ht="48" customHeight="1">
      <c r="A2436" s="3" t="s">
        <v>40</v>
      </c>
      <c r="B2436" s="3" t="s">
        <v>39</v>
      </c>
      <c r="C2436" s="4">
        <v>45962</v>
      </c>
      <c r="D2436" s="4">
        <v>45991</v>
      </c>
      <c r="E2436" s="3" t="s">
        <v>364</v>
      </c>
      <c r="F2436" s="3" t="s">
        <v>365</v>
      </c>
      <c r="G2436" s="5">
        <v>3.0000000000000001E-3</v>
      </c>
      <c r="H2436" s="6" t="s">
        <v>43</v>
      </c>
      <c r="I2436" s="3" t="s">
        <v>45</v>
      </c>
    </row>
    <row r="2437" spans="1:9" ht="48" customHeight="1">
      <c r="A2437" s="3" t="s">
        <v>40</v>
      </c>
      <c r="B2437" s="3" t="s">
        <v>39</v>
      </c>
      <c r="C2437" s="4">
        <v>45962</v>
      </c>
      <c r="D2437" s="4">
        <v>45991</v>
      </c>
      <c r="E2437" s="3" t="s">
        <v>364</v>
      </c>
      <c r="F2437" s="3" t="s">
        <v>366</v>
      </c>
      <c r="G2437" s="5">
        <v>3.0000000000000001E-3</v>
      </c>
      <c r="H2437" s="6" t="s">
        <v>43</v>
      </c>
      <c r="I2437" s="3" t="s">
        <v>45</v>
      </c>
    </row>
    <row r="2438" spans="1:9" ht="48" customHeight="1">
      <c r="A2438" s="3" t="s">
        <v>40</v>
      </c>
      <c r="B2438" s="3" t="s">
        <v>39</v>
      </c>
      <c r="C2438" s="4">
        <v>45962</v>
      </c>
      <c r="D2438" s="4">
        <v>45991</v>
      </c>
      <c r="E2438" s="3" t="s">
        <v>364</v>
      </c>
      <c r="F2438" s="3" t="s">
        <v>234</v>
      </c>
      <c r="G2438" s="5">
        <v>2E-3</v>
      </c>
      <c r="H2438" s="6" t="s">
        <v>43</v>
      </c>
      <c r="I2438" s="3" t="s">
        <v>45</v>
      </c>
    </row>
    <row r="2439" spans="1:9" ht="48" customHeight="1">
      <c r="A2439" s="3" t="s">
        <v>40</v>
      </c>
      <c r="B2439" s="3" t="s">
        <v>39</v>
      </c>
      <c r="C2439" s="4">
        <v>45962</v>
      </c>
      <c r="D2439" s="4">
        <v>45991</v>
      </c>
      <c r="E2439" s="3" t="s">
        <v>364</v>
      </c>
      <c r="F2439" s="3" t="s">
        <v>367</v>
      </c>
      <c r="G2439" s="5">
        <v>2E-3</v>
      </c>
      <c r="H2439" s="6" t="s">
        <v>43</v>
      </c>
      <c r="I2439" s="3" t="s">
        <v>45</v>
      </c>
    </row>
    <row r="2440" spans="1:9" ht="48" customHeight="1">
      <c r="A2440" s="3" t="s">
        <v>40</v>
      </c>
      <c r="B2440" s="3" t="s">
        <v>39</v>
      </c>
      <c r="C2440" s="4">
        <v>45962</v>
      </c>
      <c r="D2440" s="4">
        <v>45991</v>
      </c>
      <c r="E2440" s="3" t="s">
        <v>364</v>
      </c>
      <c r="F2440" s="3" t="s">
        <v>230</v>
      </c>
      <c r="G2440" s="5">
        <v>1E-3</v>
      </c>
      <c r="H2440" s="6" t="s">
        <v>43</v>
      </c>
      <c r="I2440" s="3" t="s">
        <v>45</v>
      </c>
    </row>
    <row r="2441" spans="1:9" ht="48" customHeight="1">
      <c r="A2441" s="3" t="s">
        <v>40</v>
      </c>
      <c r="B2441" s="3" t="s">
        <v>39</v>
      </c>
      <c r="C2441" s="4">
        <v>45962</v>
      </c>
      <c r="D2441" s="4">
        <v>45991</v>
      </c>
      <c r="E2441" s="3" t="s">
        <v>364</v>
      </c>
      <c r="F2441" s="3" t="s">
        <v>232</v>
      </c>
      <c r="G2441" s="5">
        <v>1E-3</v>
      </c>
      <c r="H2441" s="6" t="s">
        <v>43</v>
      </c>
      <c r="I2441" s="3" t="s">
        <v>45</v>
      </c>
    </row>
    <row r="2442" spans="1:9" ht="48" customHeight="1">
      <c r="A2442" s="3" t="s">
        <v>40</v>
      </c>
      <c r="B2442" s="3" t="s">
        <v>39</v>
      </c>
      <c r="C2442" s="4">
        <v>45962</v>
      </c>
      <c r="D2442" s="4">
        <v>45991</v>
      </c>
      <c r="E2442" s="3" t="s">
        <v>364</v>
      </c>
      <c r="F2442" s="3" t="s">
        <v>265</v>
      </c>
      <c r="G2442" s="5">
        <v>1E-3</v>
      </c>
      <c r="H2442" s="6" t="s">
        <v>43</v>
      </c>
      <c r="I2442" s="3" t="s">
        <v>45</v>
      </c>
    </row>
    <row r="2443" spans="1:9" ht="48" customHeight="1">
      <c r="A2443" s="3" t="s">
        <v>40</v>
      </c>
      <c r="B2443" s="3" t="s">
        <v>39</v>
      </c>
      <c r="C2443" s="4">
        <v>45962</v>
      </c>
      <c r="D2443" s="4">
        <v>45991</v>
      </c>
      <c r="E2443" s="3" t="s">
        <v>364</v>
      </c>
      <c r="F2443" s="3" t="s">
        <v>79</v>
      </c>
      <c r="G2443" s="5">
        <v>0</v>
      </c>
      <c r="H2443" s="6" t="s">
        <v>43</v>
      </c>
      <c r="I2443" s="3" t="s">
        <v>45</v>
      </c>
    </row>
    <row r="2444" spans="1:9" ht="48" customHeight="1">
      <c r="A2444" s="3" t="s">
        <v>40</v>
      </c>
      <c r="B2444" s="3" t="s">
        <v>39</v>
      </c>
      <c r="C2444" s="4">
        <v>45962</v>
      </c>
      <c r="D2444" s="4">
        <v>45991</v>
      </c>
      <c r="E2444" s="3" t="s">
        <v>231</v>
      </c>
      <c r="F2444" s="3" t="s">
        <v>232</v>
      </c>
      <c r="G2444" s="5">
        <v>4.0000000000000001E-3</v>
      </c>
      <c r="H2444" s="6" t="s">
        <v>43</v>
      </c>
      <c r="I2444" s="3" t="s">
        <v>45</v>
      </c>
    </row>
    <row r="2445" spans="1:9" ht="48" customHeight="1">
      <c r="A2445" s="3" t="s">
        <v>40</v>
      </c>
      <c r="B2445" s="3" t="s">
        <v>39</v>
      </c>
      <c r="C2445" s="4">
        <v>45962</v>
      </c>
      <c r="D2445" s="4">
        <v>45991</v>
      </c>
      <c r="E2445" s="3" t="s">
        <v>231</v>
      </c>
      <c r="F2445" s="3" t="s">
        <v>233</v>
      </c>
      <c r="G2445" s="5">
        <v>4.0000000000000001E-3</v>
      </c>
      <c r="H2445" s="6" t="s">
        <v>43</v>
      </c>
      <c r="I2445" s="3" t="s">
        <v>45</v>
      </c>
    </row>
    <row r="2446" spans="1:9" ht="48" customHeight="1">
      <c r="A2446" s="3" t="s">
        <v>40</v>
      </c>
      <c r="B2446" s="3" t="s">
        <v>39</v>
      </c>
      <c r="C2446" s="4">
        <v>45962</v>
      </c>
      <c r="D2446" s="4">
        <v>45991</v>
      </c>
      <c r="E2446" s="3" t="s">
        <v>231</v>
      </c>
      <c r="F2446" s="3" t="s">
        <v>234</v>
      </c>
      <c r="G2446" s="5">
        <v>2E-3</v>
      </c>
      <c r="H2446" s="6" t="s">
        <v>43</v>
      </c>
      <c r="I2446" s="3" t="s">
        <v>45</v>
      </c>
    </row>
    <row r="2447" spans="1:9" ht="48" customHeight="1">
      <c r="A2447" s="3" t="s">
        <v>40</v>
      </c>
      <c r="B2447" s="3" t="s">
        <v>39</v>
      </c>
      <c r="C2447" s="4">
        <v>45962</v>
      </c>
      <c r="D2447" s="4">
        <v>45991</v>
      </c>
      <c r="E2447" s="3" t="s">
        <v>231</v>
      </c>
      <c r="F2447" s="3" t="s">
        <v>230</v>
      </c>
      <c r="G2447" s="5">
        <v>2E-3</v>
      </c>
      <c r="H2447" s="6" t="s">
        <v>43</v>
      </c>
      <c r="I2447" s="3" t="s">
        <v>45</v>
      </c>
    </row>
    <row r="2448" spans="1:9" ht="48" customHeight="1">
      <c r="A2448" s="3" t="s">
        <v>40</v>
      </c>
      <c r="B2448" s="3" t="s">
        <v>39</v>
      </c>
      <c r="C2448" s="4">
        <v>45962</v>
      </c>
      <c r="D2448" s="4">
        <v>45991</v>
      </c>
      <c r="E2448" s="3" t="s">
        <v>231</v>
      </c>
      <c r="F2448" s="3" t="s">
        <v>235</v>
      </c>
      <c r="G2448" s="5">
        <v>2E-3</v>
      </c>
      <c r="H2448" s="6" t="s">
        <v>43</v>
      </c>
      <c r="I2448" s="3" t="s">
        <v>45</v>
      </c>
    </row>
    <row r="2449" spans="1:9" ht="48" customHeight="1">
      <c r="A2449" s="3" t="s">
        <v>40</v>
      </c>
      <c r="B2449" s="3" t="s">
        <v>39</v>
      </c>
      <c r="C2449" s="4">
        <v>45962</v>
      </c>
      <c r="D2449" s="4">
        <v>45991</v>
      </c>
      <c r="E2449" s="3" t="s">
        <v>302</v>
      </c>
      <c r="F2449" s="3" t="s">
        <v>307</v>
      </c>
      <c r="G2449" s="5">
        <v>2E-3</v>
      </c>
      <c r="H2449" s="6" t="s">
        <v>43</v>
      </c>
      <c r="I2449" s="3" t="s">
        <v>45</v>
      </c>
    </row>
    <row r="2450" spans="1:9" ht="48" customHeight="1">
      <c r="A2450" s="3" t="s">
        <v>40</v>
      </c>
      <c r="B2450" s="3" t="s">
        <v>39</v>
      </c>
      <c r="C2450" s="4">
        <v>45962</v>
      </c>
      <c r="D2450" s="4">
        <v>45991</v>
      </c>
      <c r="E2450" s="3" t="s">
        <v>302</v>
      </c>
      <c r="F2450" s="3" t="s">
        <v>303</v>
      </c>
      <c r="G2450" s="5">
        <v>1E-3</v>
      </c>
      <c r="H2450" s="6" t="s">
        <v>43</v>
      </c>
      <c r="I2450" s="3" t="s">
        <v>45</v>
      </c>
    </row>
    <row r="2451" spans="1:9" ht="48" customHeight="1">
      <c r="A2451" s="3" t="s">
        <v>40</v>
      </c>
      <c r="B2451" s="3" t="s">
        <v>39</v>
      </c>
      <c r="C2451" s="4">
        <v>45962</v>
      </c>
      <c r="D2451" s="4">
        <v>45991</v>
      </c>
      <c r="E2451" s="3" t="s">
        <v>302</v>
      </c>
      <c r="F2451" s="3" t="s">
        <v>304</v>
      </c>
      <c r="G2451" s="5">
        <v>1E-3</v>
      </c>
      <c r="H2451" s="6" t="s">
        <v>43</v>
      </c>
      <c r="I2451" s="3" t="s">
        <v>45</v>
      </c>
    </row>
    <row r="2452" spans="1:9" ht="48" customHeight="1">
      <c r="A2452" s="3" t="s">
        <v>40</v>
      </c>
      <c r="B2452" s="3" t="s">
        <v>39</v>
      </c>
      <c r="C2452" s="4">
        <v>45962</v>
      </c>
      <c r="D2452" s="4">
        <v>45991</v>
      </c>
      <c r="E2452" s="3" t="s">
        <v>302</v>
      </c>
      <c r="F2452" s="3" t="s">
        <v>306</v>
      </c>
      <c r="G2452" s="5">
        <v>1E-3</v>
      </c>
      <c r="H2452" s="6" t="s">
        <v>43</v>
      </c>
      <c r="I2452" s="3" t="s">
        <v>45</v>
      </c>
    </row>
    <row r="2453" spans="1:9" ht="48" customHeight="1">
      <c r="A2453" s="3" t="s">
        <v>40</v>
      </c>
      <c r="B2453" s="3" t="s">
        <v>39</v>
      </c>
      <c r="C2453" s="4">
        <v>45962</v>
      </c>
      <c r="D2453" s="4">
        <v>45991</v>
      </c>
      <c r="E2453" s="3" t="s">
        <v>302</v>
      </c>
      <c r="F2453" s="3" t="s">
        <v>308</v>
      </c>
      <c r="G2453" s="5">
        <v>1E-3</v>
      </c>
      <c r="H2453" s="6" t="s">
        <v>43</v>
      </c>
      <c r="I2453" s="3" t="s">
        <v>45</v>
      </c>
    </row>
    <row r="2454" spans="1:9" ht="48" customHeight="1">
      <c r="A2454" s="3" t="s">
        <v>40</v>
      </c>
      <c r="B2454" s="3" t="s">
        <v>39</v>
      </c>
      <c r="C2454" s="4">
        <v>45962</v>
      </c>
      <c r="D2454" s="4">
        <v>45991</v>
      </c>
      <c r="E2454" s="3" t="s">
        <v>302</v>
      </c>
      <c r="F2454" s="3" t="s">
        <v>309</v>
      </c>
      <c r="G2454" s="5">
        <v>1E-3</v>
      </c>
      <c r="H2454" s="6" t="s">
        <v>43</v>
      </c>
      <c r="I2454" s="3" t="s">
        <v>45</v>
      </c>
    </row>
    <row r="2455" spans="1:9" ht="48" customHeight="1">
      <c r="A2455" s="3" t="s">
        <v>40</v>
      </c>
      <c r="B2455" s="3" t="s">
        <v>39</v>
      </c>
      <c r="C2455" s="4">
        <v>45962</v>
      </c>
      <c r="D2455" s="4">
        <v>45991</v>
      </c>
      <c r="E2455" s="3" t="s">
        <v>302</v>
      </c>
      <c r="F2455" s="3" t="s">
        <v>310</v>
      </c>
      <c r="G2455" s="5">
        <v>0</v>
      </c>
      <c r="H2455" s="6" t="s">
        <v>43</v>
      </c>
      <c r="I2455" s="3" t="s">
        <v>45</v>
      </c>
    </row>
    <row r="2456" spans="1:9" ht="48" customHeight="1">
      <c r="A2456" s="3" t="s">
        <v>40</v>
      </c>
      <c r="B2456" s="3" t="s">
        <v>39</v>
      </c>
      <c r="C2456" s="4">
        <v>45962</v>
      </c>
      <c r="D2456" s="4">
        <v>45991</v>
      </c>
      <c r="E2456" s="3" t="s">
        <v>302</v>
      </c>
      <c r="F2456" s="3" t="s">
        <v>311</v>
      </c>
      <c r="G2456" s="5">
        <v>0</v>
      </c>
      <c r="H2456" s="6" t="s">
        <v>43</v>
      </c>
      <c r="I2456" s="3" t="s">
        <v>45</v>
      </c>
    </row>
    <row r="2457" spans="1:9" ht="48" customHeight="1">
      <c r="A2457" s="3" t="s">
        <v>40</v>
      </c>
      <c r="B2457" s="3" t="s">
        <v>39</v>
      </c>
      <c r="C2457" s="4">
        <v>45962</v>
      </c>
      <c r="D2457" s="4">
        <v>45991</v>
      </c>
      <c r="E2457" s="3" t="s">
        <v>302</v>
      </c>
      <c r="F2457" s="3" t="s">
        <v>305</v>
      </c>
      <c r="G2457" s="5">
        <v>0</v>
      </c>
      <c r="H2457" s="6" t="s">
        <v>43</v>
      </c>
      <c r="I2457" s="3" t="s">
        <v>45</v>
      </c>
    </row>
    <row r="2458" spans="1:9" ht="48" customHeight="1">
      <c r="A2458" s="3" t="s">
        <v>40</v>
      </c>
      <c r="B2458" s="3" t="s">
        <v>39</v>
      </c>
      <c r="C2458" s="4">
        <v>45962</v>
      </c>
      <c r="D2458" s="4">
        <v>45991</v>
      </c>
      <c r="E2458" s="3" t="s">
        <v>302</v>
      </c>
      <c r="F2458" s="3" t="s">
        <v>312</v>
      </c>
      <c r="G2458" s="5">
        <v>0</v>
      </c>
      <c r="H2458" s="6" t="s">
        <v>43</v>
      </c>
      <c r="I2458" s="3" t="s">
        <v>45</v>
      </c>
    </row>
    <row r="2459" spans="1:9" ht="48" customHeight="1">
      <c r="A2459" s="3" t="s">
        <v>40</v>
      </c>
      <c r="B2459" s="3" t="s">
        <v>39</v>
      </c>
      <c r="C2459" s="4">
        <v>45962</v>
      </c>
      <c r="D2459" s="4">
        <v>45991</v>
      </c>
      <c r="E2459" s="3" t="s">
        <v>302</v>
      </c>
      <c r="F2459" s="3" t="s">
        <v>313</v>
      </c>
      <c r="G2459" s="5">
        <v>0</v>
      </c>
      <c r="H2459" s="6" t="s">
        <v>43</v>
      </c>
      <c r="I2459" s="3" t="s">
        <v>45</v>
      </c>
    </row>
    <row r="2460" spans="1:9" ht="48" customHeight="1">
      <c r="A2460" s="3" t="s">
        <v>40</v>
      </c>
      <c r="B2460" s="3" t="s">
        <v>39</v>
      </c>
      <c r="C2460" s="4">
        <v>45962</v>
      </c>
      <c r="D2460" s="4">
        <v>45991</v>
      </c>
      <c r="E2460" s="3" t="s">
        <v>302</v>
      </c>
      <c r="F2460" s="3" t="s">
        <v>314</v>
      </c>
      <c r="G2460" s="5">
        <v>0</v>
      </c>
      <c r="H2460" s="6" t="s">
        <v>43</v>
      </c>
      <c r="I2460" s="3" t="s">
        <v>45</v>
      </c>
    </row>
    <row r="2461" spans="1:9" ht="48" customHeight="1">
      <c r="A2461" s="3" t="s">
        <v>40</v>
      </c>
      <c r="B2461" s="3" t="s">
        <v>39</v>
      </c>
      <c r="C2461" s="4">
        <v>45962</v>
      </c>
      <c r="D2461" s="4">
        <v>45991</v>
      </c>
      <c r="E2461" s="3" t="s">
        <v>302</v>
      </c>
      <c r="F2461" s="3" t="s">
        <v>315</v>
      </c>
      <c r="G2461" s="5">
        <v>0</v>
      </c>
      <c r="H2461" s="6" t="s">
        <v>43</v>
      </c>
      <c r="I2461" s="3" t="s">
        <v>45</v>
      </c>
    </row>
    <row r="2462" spans="1:9" ht="48" customHeight="1">
      <c r="A2462" s="3" t="s">
        <v>40</v>
      </c>
      <c r="B2462" s="3" t="s">
        <v>39</v>
      </c>
      <c r="C2462" s="4">
        <v>45962</v>
      </c>
      <c r="D2462" s="4">
        <v>45991</v>
      </c>
      <c r="E2462" s="3" t="s">
        <v>302</v>
      </c>
      <c r="F2462" s="3" t="s">
        <v>316</v>
      </c>
      <c r="G2462" s="5">
        <v>0</v>
      </c>
      <c r="H2462" s="6" t="s">
        <v>43</v>
      </c>
      <c r="I2462" s="3" t="s">
        <v>45</v>
      </c>
    </row>
    <row r="2463" spans="1:9" ht="48" customHeight="1">
      <c r="A2463" s="3" t="s">
        <v>40</v>
      </c>
      <c r="B2463" s="3" t="s">
        <v>39</v>
      </c>
      <c r="C2463" s="4">
        <v>45962</v>
      </c>
      <c r="D2463" s="4">
        <v>45991</v>
      </c>
      <c r="E2463" s="3" t="s">
        <v>302</v>
      </c>
      <c r="F2463" s="3" t="s">
        <v>317</v>
      </c>
      <c r="G2463" s="5">
        <v>0</v>
      </c>
      <c r="H2463" s="6" t="s">
        <v>43</v>
      </c>
      <c r="I2463" s="3" t="s">
        <v>45</v>
      </c>
    </row>
    <row r="2464" spans="1:9" ht="48" customHeight="1">
      <c r="A2464" s="3" t="s">
        <v>40</v>
      </c>
      <c r="B2464" s="3" t="s">
        <v>39</v>
      </c>
      <c r="C2464" s="4">
        <v>45962</v>
      </c>
      <c r="D2464" s="4">
        <v>45991</v>
      </c>
      <c r="E2464" s="3" t="s">
        <v>302</v>
      </c>
      <c r="F2464" s="3" t="s">
        <v>318</v>
      </c>
      <c r="G2464" s="5">
        <v>0</v>
      </c>
      <c r="H2464" s="6" t="s">
        <v>43</v>
      </c>
      <c r="I2464" s="3" t="s">
        <v>45</v>
      </c>
    </row>
    <row r="2465" spans="1:9" ht="48" customHeight="1">
      <c r="A2465" s="3" t="s">
        <v>40</v>
      </c>
      <c r="B2465" s="3" t="s">
        <v>39</v>
      </c>
      <c r="C2465" s="4">
        <v>45962</v>
      </c>
      <c r="D2465" s="4">
        <v>45991</v>
      </c>
      <c r="E2465" s="3" t="s">
        <v>302</v>
      </c>
      <c r="F2465" s="3" t="s">
        <v>319</v>
      </c>
      <c r="G2465" s="5">
        <v>0</v>
      </c>
      <c r="H2465" s="6" t="s">
        <v>43</v>
      </c>
      <c r="I2465" s="3" t="s">
        <v>45</v>
      </c>
    </row>
    <row r="2466" spans="1:9" ht="48" customHeight="1">
      <c r="A2466" s="3" t="s">
        <v>40</v>
      </c>
      <c r="B2466" s="3" t="s">
        <v>39</v>
      </c>
      <c r="C2466" s="4">
        <v>45962</v>
      </c>
      <c r="D2466" s="4">
        <v>45991</v>
      </c>
      <c r="E2466" s="3" t="s">
        <v>302</v>
      </c>
      <c r="F2466" s="3" t="s">
        <v>320</v>
      </c>
      <c r="G2466" s="5">
        <v>0</v>
      </c>
      <c r="H2466" s="6" t="s">
        <v>43</v>
      </c>
      <c r="I2466" s="3" t="s">
        <v>45</v>
      </c>
    </row>
    <row r="2467" spans="1:9" ht="48" customHeight="1">
      <c r="A2467" s="3" t="s">
        <v>40</v>
      </c>
      <c r="B2467" s="3" t="s">
        <v>39</v>
      </c>
      <c r="C2467" s="4">
        <v>45962</v>
      </c>
      <c r="D2467" s="4">
        <v>45991</v>
      </c>
      <c r="E2467" s="3" t="s">
        <v>302</v>
      </c>
      <c r="F2467" s="3" t="s">
        <v>321</v>
      </c>
      <c r="G2467" s="5">
        <v>0</v>
      </c>
      <c r="H2467" s="6" t="s">
        <v>43</v>
      </c>
      <c r="I2467" s="3" t="s">
        <v>45</v>
      </c>
    </row>
    <row r="2468" spans="1:9" ht="48" customHeight="1">
      <c r="A2468" s="3" t="s">
        <v>40</v>
      </c>
      <c r="B2468" s="3" t="s">
        <v>39</v>
      </c>
      <c r="C2468" s="4">
        <v>45962</v>
      </c>
      <c r="D2468" s="4">
        <v>45991</v>
      </c>
      <c r="E2468" s="3" t="s">
        <v>302</v>
      </c>
      <c r="F2468" s="3" t="s">
        <v>322</v>
      </c>
      <c r="G2468" s="5">
        <v>0</v>
      </c>
      <c r="H2468" s="6" t="s">
        <v>43</v>
      </c>
      <c r="I2468" s="3" t="s">
        <v>45</v>
      </c>
    </row>
    <row r="2469" spans="1:9" ht="48" customHeight="1">
      <c r="A2469" s="3" t="s">
        <v>40</v>
      </c>
      <c r="B2469" s="3" t="s">
        <v>39</v>
      </c>
      <c r="C2469" s="4">
        <v>45962</v>
      </c>
      <c r="D2469" s="4">
        <v>45991</v>
      </c>
      <c r="E2469" s="3" t="s">
        <v>302</v>
      </c>
      <c r="F2469" s="3" t="s">
        <v>323</v>
      </c>
      <c r="G2469" s="5">
        <v>0</v>
      </c>
      <c r="H2469" s="6" t="s">
        <v>43</v>
      </c>
      <c r="I2469" s="3" t="s">
        <v>45</v>
      </c>
    </row>
    <row r="2470" spans="1:9" ht="48" customHeight="1">
      <c r="A2470" s="3" t="s">
        <v>40</v>
      </c>
      <c r="B2470" s="3" t="s">
        <v>39</v>
      </c>
      <c r="C2470" s="4">
        <v>45962</v>
      </c>
      <c r="D2470" s="4">
        <v>45991</v>
      </c>
      <c r="E2470" s="3" t="s">
        <v>302</v>
      </c>
      <c r="F2470" s="3" t="s">
        <v>324</v>
      </c>
      <c r="G2470" s="5">
        <v>0</v>
      </c>
      <c r="H2470" s="6" t="s">
        <v>43</v>
      </c>
      <c r="I2470" s="3" t="s">
        <v>45</v>
      </c>
    </row>
    <row r="2471" spans="1:9" ht="48" customHeight="1">
      <c r="A2471" s="3" t="s">
        <v>40</v>
      </c>
      <c r="B2471" s="3" t="s">
        <v>39</v>
      </c>
      <c r="C2471" s="4">
        <v>45962</v>
      </c>
      <c r="D2471" s="4">
        <v>45991</v>
      </c>
      <c r="E2471" s="3" t="s">
        <v>368</v>
      </c>
      <c r="F2471" s="3" t="s">
        <v>369</v>
      </c>
      <c r="G2471" s="5">
        <v>1E-3</v>
      </c>
      <c r="H2471" s="6" t="s">
        <v>43</v>
      </c>
      <c r="I2471" s="3" t="s">
        <v>45</v>
      </c>
    </row>
    <row r="2472" spans="1:9" ht="48" customHeight="1">
      <c r="A2472" s="3" t="s">
        <v>40</v>
      </c>
      <c r="B2472" s="3" t="s">
        <v>39</v>
      </c>
      <c r="C2472" s="4">
        <v>45962</v>
      </c>
      <c r="D2472" s="4">
        <v>45991</v>
      </c>
      <c r="E2472" s="3" t="s">
        <v>368</v>
      </c>
      <c r="F2472" s="3" t="s">
        <v>373</v>
      </c>
      <c r="G2472" s="5">
        <v>1E-3</v>
      </c>
      <c r="H2472" s="6" t="s">
        <v>43</v>
      </c>
      <c r="I2472" s="3" t="s">
        <v>45</v>
      </c>
    </row>
    <row r="2473" spans="1:9" ht="48" customHeight="1">
      <c r="A2473" s="3" t="s">
        <v>40</v>
      </c>
      <c r="B2473" s="3" t="s">
        <v>39</v>
      </c>
      <c r="C2473" s="4">
        <v>45962</v>
      </c>
      <c r="D2473" s="4">
        <v>45991</v>
      </c>
      <c r="E2473" s="3" t="s">
        <v>368</v>
      </c>
      <c r="F2473" s="3" t="s">
        <v>265</v>
      </c>
      <c r="G2473" s="5">
        <v>1E-3</v>
      </c>
      <c r="H2473" s="6" t="s">
        <v>43</v>
      </c>
      <c r="I2473" s="3" t="s">
        <v>45</v>
      </c>
    </row>
    <row r="2474" spans="1:9" ht="48" customHeight="1">
      <c r="A2474" s="3" t="s">
        <v>40</v>
      </c>
      <c r="B2474" s="3" t="s">
        <v>39</v>
      </c>
      <c r="C2474" s="4">
        <v>45962</v>
      </c>
      <c r="D2474" s="4">
        <v>45991</v>
      </c>
      <c r="E2474" s="3" t="s">
        <v>368</v>
      </c>
      <c r="F2474" s="3" t="s">
        <v>262</v>
      </c>
      <c r="G2474" s="5">
        <v>1E-3</v>
      </c>
      <c r="H2474" s="6" t="s">
        <v>43</v>
      </c>
      <c r="I2474" s="3" t="s">
        <v>45</v>
      </c>
    </row>
    <row r="2475" spans="1:9" ht="48" customHeight="1">
      <c r="A2475" s="3" t="s">
        <v>40</v>
      </c>
      <c r="B2475" s="3" t="s">
        <v>39</v>
      </c>
      <c r="C2475" s="4">
        <v>45962</v>
      </c>
      <c r="D2475" s="4">
        <v>45991</v>
      </c>
      <c r="E2475" s="3" t="s">
        <v>368</v>
      </c>
      <c r="F2475" s="3" t="s">
        <v>370</v>
      </c>
      <c r="G2475" s="5">
        <v>1E-3</v>
      </c>
      <c r="H2475" s="6" t="s">
        <v>43</v>
      </c>
      <c r="I2475" s="3" t="s">
        <v>45</v>
      </c>
    </row>
    <row r="2476" spans="1:9" ht="48" customHeight="1">
      <c r="A2476" s="3" t="s">
        <v>40</v>
      </c>
      <c r="B2476" s="3" t="s">
        <v>39</v>
      </c>
      <c r="C2476" s="4">
        <v>45962</v>
      </c>
      <c r="D2476" s="4">
        <v>45991</v>
      </c>
      <c r="E2476" s="3" t="s">
        <v>368</v>
      </c>
      <c r="F2476" s="3" t="s">
        <v>371</v>
      </c>
      <c r="G2476" s="5">
        <v>1E-3</v>
      </c>
      <c r="H2476" s="6" t="s">
        <v>43</v>
      </c>
      <c r="I2476" s="3" t="s">
        <v>45</v>
      </c>
    </row>
    <row r="2477" spans="1:9" ht="48" customHeight="1">
      <c r="A2477" s="3" t="s">
        <v>40</v>
      </c>
      <c r="B2477" s="3" t="s">
        <v>39</v>
      </c>
      <c r="C2477" s="4">
        <v>45962</v>
      </c>
      <c r="D2477" s="4">
        <v>45991</v>
      </c>
      <c r="E2477" s="3" t="s">
        <v>368</v>
      </c>
      <c r="F2477" s="3" t="s">
        <v>374</v>
      </c>
      <c r="G2477" s="5">
        <v>1E-3</v>
      </c>
      <c r="H2477" s="6" t="s">
        <v>43</v>
      </c>
      <c r="I2477" s="3" t="s">
        <v>45</v>
      </c>
    </row>
    <row r="2478" spans="1:9" ht="48" customHeight="1">
      <c r="A2478" s="3" t="s">
        <v>40</v>
      </c>
      <c r="B2478" s="3" t="s">
        <v>39</v>
      </c>
      <c r="C2478" s="4">
        <v>45962</v>
      </c>
      <c r="D2478" s="4">
        <v>45991</v>
      </c>
      <c r="E2478" s="3" t="s">
        <v>368</v>
      </c>
      <c r="F2478" s="3" t="s">
        <v>207</v>
      </c>
      <c r="G2478" s="5">
        <v>1E-3</v>
      </c>
      <c r="H2478" s="6" t="s">
        <v>43</v>
      </c>
      <c r="I2478" s="3" t="s">
        <v>45</v>
      </c>
    </row>
    <row r="2479" spans="1:9" ht="48" customHeight="1">
      <c r="A2479" s="3" t="s">
        <v>40</v>
      </c>
      <c r="B2479" s="3" t="s">
        <v>39</v>
      </c>
      <c r="C2479" s="4">
        <v>45962</v>
      </c>
      <c r="D2479" s="4">
        <v>45991</v>
      </c>
      <c r="E2479" s="3" t="s">
        <v>368</v>
      </c>
      <c r="F2479" s="3" t="s">
        <v>375</v>
      </c>
      <c r="G2479" s="5">
        <v>1E-3</v>
      </c>
      <c r="H2479" s="6" t="s">
        <v>43</v>
      </c>
      <c r="I2479" s="3" t="s">
        <v>45</v>
      </c>
    </row>
    <row r="2480" spans="1:9" ht="48" customHeight="1">
      <c r="A2480" s="3" t="s">
        <v>40</v>
      </c>
      <c r="B2480" s="3" t="s">
        <v>39</v>
      </c>
      <c r="C2480" s="4">
        <v>45962</v>
      </c>
      <c r="D2480" s="4">
        <v>45991</v>
      </c>
      <c r="E2480" s="3" t="s">
        <v>368</v>
      </c>
      <c r="F2480" s="3" t="s">
        <v>376</v>
      </c>
      <c r="G2480" s="5">
        <v>1E-3</v>
      </c>
      <c r="H2480" s="6" t="s">
        <v>43</v>
      </c>
      <c r="I2480" s="3" t="s">
        <v>45</v>
      </c>
    </row>
    <row r="2481" spans="1:9" ht="48" customHeight="1">
      <c r="A2481" s="3" t="s">
        <v>40</v>
      </c>
      <c r="B2481" s="3" t="s">
        <v>39</v>
      </c>
      <c r="C2481" s="4">
        <v>45962</v>
      </c>
      <c r="D2481" s="4">
        <v>45991</v>
      </c>
      <c r="E2481" s="3" t="s">
        <v>368</v>
      </c>
      <c r="F2481" s="3" t="s">
        <v>377</v>
      </c>
      <c r="G2481" s="5">
        <v>1E-3</v>
      </c>
      <c r="H2481" s="6" t="s">
        <v>43</v>
      </c>
      <c r="I2481" s="3" t="s">
        <v>45</v>
      </c>
    </row>
    <row r="2482" spans="1:9" ht="48" customHeight="1">
      <c r="A2482" s="3" t="s">
        <v>40</v>
      </c>
      <c r="B2482" s="3" t="s">
        <v>39</v>
      </c>
      <c r="C2482" s="4">
        <v>45962</v>
      </c>
      <c r="D2482" s="4">
        <v>45991</v>
      </c>
      <c r="E2482" s="3" t="s">
        <v>368</v>
      </c>
      <c r="F2482" s="3" t="s">
        <v>378</v>
      </c>
      <c r="G2482" s="5">
        <v>1E-3</v>
      </c>
      <c r="H2482" s="6" t="s">
        <v>43</v>
      </c>
      <c r="I2482" s="3" t="s">
        <v>45</v>
      </c>
    </row>
    <row r="2483" spans="1:9" ht="48" customHeight="1">
      <c r="A2483" s="3" t="s">
        <v>40</v>
      </c>
      <c r="B2483" s="3" t="s">
        <v>39</v>
      </c>
      <c r="C2483" s="4">
        <v>45962</v>
      </c>
      <c r="D2483" s="4">
        <v>45991</v>
      </c>
      <c r="E2483" s="3" t="s">
        <v>368</v>
      </c>
      <c r="F2483" s="3" t="s">
        <v>230</v>
      </c>
      <c r="G2483" s="5">
        <v>0</v>
      </c>
      <c r="H2483" s="6" t="s">
        <v>43</v>
      </c>
      <c r="I2483" s="3" t="s">
        <v>45</v>
      </c>
    </row>
    <row r="2484" spans="1:9" ht="48" customHeight="1">
      <c r="A2484" s="3" t="s">
        <v>40</v>
      </c>
      <c r="B2484" s="3" t="s">
        <v>39</v>
      </c>
      <c r="C2484" s="4">
        <v>45962</v>
      </c>
      <c r="D2484" s="4">
        <v>45991</v>
      </c>
      <c r="E2484" s="3" t="s">
        <v>368</v>
      </c>
      <c r="F2484" s="3" t="s">
        <v>232</v>
      </c>
      <c r="G2484" s="5">
        <v>0</v>
      </c>
      <c r="H2484" s="6" t="s">
        <v>43</v>
      </c>
      <c r="I2484" s="3" t="s">
        <v>45</v>
      </c>
    </row>
    <row r="2485" spans="1:9" ht="48" customHeight="1">
      <c r="A2485" s="3" t="s">
        <v>40</v>
      </c>
      <c r="B2485" s="3" t="s">
        <v>39</v>
      </c>
      <c r="C2485" s="4">
        <v>45962</v>
      </c>
      <c r="D2485" s="4">
        <v>45991</v>
      </c>
      <c r="E2485" s="3" t="s">
        <v>368</v>
      </c>
      <c r="F2485" s="3" t="s">
        <v>234</v>
      </c>
      <c r="G2485" s="5">
        <v>0</v>
      </c>
      <c r="H2485" s="6" t="s">
        <v>43</v>
      </c>
      <c r="I2485" s="3" t="s">
        <v>45</v>
      </c>
    </row>
    <row r="2486" spans="1:9" ht="48" customHeight="1">
      <c r="A2486" s="3" t="s">
        <v>40</v>
      </c>
      <c r="B2486" s="3" t="s">
        <v>39</v>
      </c>
      <c r="C2486" s="4">
        <v>45962</v>
      </c>
      <c r="D2486" s="4">
        <v>45991</v>
      </c>
      <c r="E2486" s="3" t="s">
        <v>368</v>
      </c>
      <c r="F2486" s="3" t="s">
        <v>372</v>
      </c>
      <c r="G2486" s="5">
        <v>0</v>
      </c>
      <c r="H2486" s="6" t="s">
        <v>43</v>
      </c>
      <c r="I2486" s="3" t="s">
        <v>45</v>
      </c>
    </row>
    <row r="2487" spans="1:9" ht="48" customHeight="1">
      <c r="A2487" s="3" t="s">
        <v>40</v>
      </c>
      <c r="B2487" s="3" t="s">
        <v>39</v>
      </c>
      <c r="C2487" s="4">
        <v>45962</v>
      </c>
      <c r="D2487" s="4">
        <v>45991</v>
      </c>
      <c r="E2487" s="3" t="s">
        <v>260</v>
      </c>
      <c r="F2487" s="3" t="s">
        <v>232</v>
      </c>
      <c r="G2487" s="5">
        <v>1E-3</v>
      </c>
      <c r="H2487" s="6" t="s">
        <v>43</v>
      </c>
      <c r="I2487" s="3" t="s">
        <v>45</v>
      </c>
    </row>
    <row r="2488" spans="1:9" ht="48" customHeight="1">
      <c r="A2488" s="3" t="s">
        <v>40</v>
      </c>
      <c r="B2488" s="3" t="s">
        <v>39</v>
      </c>
      <c r="C2488" s="4">
        <v>45962</v>
      </c>
      <c r="D2488" s="4">
        <v>45991</v>
      </c>
      <c r="E2488" s="3" t="s">
        <v>260</v>
      </c>
      <c r="F2488" s="3" t="s">
        <v>262</v>
      </c>
      <c r="G2488" s="5">
        <v>1E-3</v>
      </c>
      <c r="H2488" s="6" t="s">
        <v>43</v>
      </c>
      <c r="I2488" s="3" t="s">
        <v>45</v>
      </c>
    </row>
    <row r="2489" spans="1:9" ht="48" customHeight="1">
      <c r="A2489" s="3" t="s">
        <v>40</v>
      </c>
      <c r="B2489" s="3" t="s">
        <v>39</v>
      </c>
      <c r="C2489" s="4">
        <v>45962</v>
      </c>
      <c r="D2489" s="4">
        <v>45991</v>
      </c>
      <c r="E2489" s="3" t="s">
        <v>260</v>
      </c>
      <c r="F2489" s="3" t="s">
        <v>261</v>
      </c>
      <c r="G2489" s="5">
        <v>1E-3</v>
      </c>
      <c r="H2489" s="6" t="s">
        <v>43</v>
      </c>
      <c r="I2489" s="3" t="s">
        <v>45</v>
      </c>
    </row>
    <row r="2490" spans="1:9" ht="48" customHeight="1">
      <c r="A2490" s="3" t="s">
        <v>40</v>
      </c>
      <c r="B2490" s="3" t="s">
        <v>39</v>
      </c>
      <c r="C2490" s="4">
        <v>45962</v>
      </c>
      <c r="D2490" s="4">
        <v>45991</v>
      </c>
      <c r="E2490" s="3" t="s">
        <v>260</v>
      </c>
      <c r="F2490" s="3" t="s">
        <v>266</v>
      </c>
      <c r="G2490" s="5">
        <v>1E-3</v>
      </c>
      <c r="H2490" s="6" t="s">
        <v>43</v>
      </c>
      <c r="I2490" s="3" t="s">
        <v>45</v>
      </c>
    </row>
    <row r="2491" spans="1:9" ht="48" customHeight="1">
      <c r="A2491" s="3" t="s">
        <v>40</v>
      </c>
      <c r="B2491" s="3" t="s">
        <v>39</v>
      </c>
      <c r="C2491" s="4">
        <v>45962</v>
      </c>
      <c r="D2491" s="4">
        <v>45991</v>
      </c>
      <c r="E2491" s="3" t="s">
        <v>260</v>
      </c>
      <c r="F2491" s="3" t="s">
        <v>264</v>
      </c>
      <c r="G2491" s="5">
        <v>1E-3</v>
      </c>
      <c r="H2491" s="6" t="s">
        <v>43</v>
      </c>
      <c r="I2491" s="3" t="s">
        <v>45</v>
      </c>
    </row>
    <row r="2492" spans="1:9" ht="48" customHeight="1">
      <c r="A2492" s="3" t="s">
        <v>40</v>
      </c>
      <c r="B2492" s="3" t="s">
        <v>39</v>
      </c>
      <c r="C2492" s="4">
        <v>45962</v>
      </c>
      <c r="D2492" s="4">
        <v>45991</v>
      </c>
      <c r="E2492" s="3" t="s">
        <v>260</v>
      </c>
      <c r="F2492" s="3" t="s">
        <v>268</v>
      </c>
      <c r="G2492" s="5">
        <v>1E-3</v>
      </c>
      <c r="H2492" s="6" t="s">
        <v>43</v>
      </c>
      <c r="I2492" s="3" t="s">
        <v>45</v>
      </c>
    </row>
    <row r="2493" spans="1:9" ht="48" customHeight="1">
      <c r="A2493" s="3" t="s">
        <v>40</v>
      </c>
      <c r="B2493" s="3" t="s">
        <v>39</v>
      </c>
      <c r="C2493" s="4">
        <v>45962</v>
      </c>
      <c r="D2493" s="4">
        <v>45991</v>
      </c>
      <c r="E2493" s="3" t="s">
        <v>260</v>
      </c>
      <c r="F2493" s="3" t="s">
        <v>234</v>
      </c>
      <c r="G2493" s="5">
        <v>0</v>
      </c>
      <c r="H2493" s="6" t="s">
        <v>43</v>
      </c>
      <c r="I2493" s="3" t="s">
        <v>45</v>
      </c>
    </row>
    <row r="2494" spans="1:9" ht="48" customHeight="1">
      <c r="A2494" s="3" t="s">
        <v>40</v>
      </c>
      <c r="B2494" s="3" t="s">
        <v>39</v>
      </c>
      <c r="C2494" s="4">
        <v>45962</v>
      </c>
      <c r="D2494" s="4">
        <v>45991</v>
      </c>
      <c r="E2494" s="3" t="s">
        <v>260</v>
      </c>
      <c r="F2494" s="3" t="s">
        <v>265</v>
      </c>
      <c r="G2494" s="5">
        <v>0</v>
      </c>
      <c r="H2494" s="6" t="s">
        <v>43</v>
      </c>
      <c r="I2494" s="3" t="s">
        <v>45</v>
      </c>
    </row>
    <row r="2495" spans="1:9" ht="48" customHeight="1">
      <c r="A2495" s="3" t="s">
        <v>40</v>
      </c>
      <c r="B2495" s="3" t="s">
        <v>39</v>
      </c>
      <c r="C2495" s="4">
        <v>45962</v>
      </c>
      <c r="D2495" s="4">
        <v>45991</v>
      </c>
      <c r="E2495" s="3" t="s">
        <v>260</v>
      </c>
      <c r="F2495" s="3" t="s">
        <v>263</v>
      </c>
      <c r="G2495" s="5">
        <v>0</v>
      </c>
      <c r="H2495" s="6" t="s">
        <v>43</v>
      </c>
      <c r="I2495" s="3" t="s">
        <v>45</v>
      </c>
    </row>
    <row r="2496" spans="1:9" ht="48" customHeight="1">
      <c r="A2496" s="3" t="s">
        <v>40</v>
      </c>
      <c r="B2496" s="3" t="s">
        <v>39</v>
      </c>
      <c r="C2496" s="4">
        <v>45962</v>
      </c>
      <c r="D2496" s="4">
        <v>45991</v>
      </c>
      <c r="E2496" s="3" t="s">
        <v>260</v>
      </c>
      <c r="F2496" s="3" t="s">
        <v>267</v>
      </c>
      <c r="G2496" s="5">
        <v>0</v>
      </c>
      <c r="H2496" s="6" t="s">
        <v>43</v>
      </c>
      <c r="I2496" s="3" t="s">
        <v>45</v>
      </c>
    </row>
    <row r="2497" spans="1:9" ht="48" customHeight="1">
      <c r="A2497" s="3" t="s">
        <v>40</v>
      </c>
      <c r="B2497" s="3" t="s">
        <v>39</v>
      </c>
      <c r="C2497" s="4">
        <v>45962</v>
      </c>
      <c r="D2497" s="4">
        <v>45991</v>
      </c>
      <c r="E2497" s="3" t="s">
        <v>260</v>
      </c>
      <c r="F2497" s="3" t="s">
        <v>273</v>
      </c>
      <c r="G2497" s="5">
        <v>0</v>
      </c>
      <c r="H2497" s="6" t="s">
        <v>43</v>
      </c>
      <c r="I2497" s="3" t="s">
        <v>45</v>
      </c>
    </row>
    <row r="2498" spans="1:9" ht="48" customHeight="1">
      <c r="A2498" s="3" t="s">
        <v>40</v>
      </c>
      <c r="B2498" s="3" t="s">
        <v>39</v>
      </c>
      <c r="C2498" s="4">
        <v>45962</v>
      </c>
      <c r="D2498" s="4">
        <v>45991</v>
      </c>
      <c r="E2498" s="3" t="s">
        <v>260</v>
      </c>
      <c r="F2498" s="3" t="s">
        <v>274</v>
      </c>
      <c r="G2498" s="5">
        <v>0</v>
      </c>
      <c r="H2498" s="6" t="s">
        <v>43</v>
      </c>
      <c r="I2498" s="3" t="s">
        <v>45</v>
      </c>
    </row>
    <row r="2499" spans="1:9" ht="48" customHeight="1">
      <c r="A2499" s="3" t="s">
        <v>40</v>
      </c>
      <c r="B2499" s="3" t="s">
        <v>39</v>
      </c>
      <c r="C2499" s="4">
        <v>45962</v>
      </c>
      <c r="D2499" s="4">
        <v>45991</v>
      </c>
      <c r="E2499" s="3" t="s">
        <v>260</v>
      </c>
      <c r="F2499" s="3" t="s">
        <v>275</v>
      </c>
      <c r="G2499" s="5">
        <v>0</v>
      </c>
      <c r="H2499" s="6" t="s">
        <v>43</v>
      </c>
      <c r="I2499" s="3" t="s">
        <v>45</v>
      </c>
    </row>
    <row r="2500" spans="1:9" ht="48" customHeight="1">
      <c r="A2500" s="3" t="s">
        <v>40</v>
      </c>
      <c r="B2500" s="3" t="s">
        <v>39</v>
      </c>
      <c r="C2500" s="4">
        <v>45962</v>
      </c>
      <c r="D2500" s="4">
        <v>45991</v>
      </c>
      <c r="E2500" s="3" t="s">
        <v>260</v>
      </c>
      <c r="F2500" s="3" t="s">
        <v>276</v>
      </c>
      <c r="G2500" s="5">
        <v>0</v>
      </c>
      <c r="H2500" s="6" t="s">
        <v>43</v>
      </c>
      <c r="I2500" s="3" t="s">
        <v>45</v>
      </c>
    </row>
    <row r="2501" spans="1:9" ht="48" customHeight="1">
      <c r="A2501" s="3" t="s">
        <v>40</v>
      </c>
      <c r="B2501" s="3" t="s">
        <v>39</v>
      </c>
      <c r="C2501" s="4">
        <v>45962</v>
      </c>
      <c r="D2501" s="4">
        <v>45991</v>
      </c>
      <c r="E2501" s="3" t="s">
        <v>260</v>
      </c>
      <c r="F2501" s="3" t="s">
        <v>277</v>
      </c>
      <c r="G2501" s="5">
        <v>0</v>
      </c>
      <c r="H2501" s="6" t="s">
        <v>43</v>
      </c>
      <c r="I2501" s="3" t="s">
        <v>45</v>
      </c>
    </row>
    <row r="2502" spans="1:9" ht="48" customHeight="1">
      <c r="A2502" s="3" t="s">
        <v>40</v>
      </c>
      <c r="B2502" s="3" t="s">
        <v>39</v>
      </c>
      <c r="C2502" s="4">
        <v>45962</v>
      </c>
      <c r="D2502" s="4">
        <v>45991</v>
      </c>
      <c r="E2502" s="3" t="s">
        <v>260</v>
      </c>
      <c r="F2502" s="3" t="s">
        <v>278</v>
      </c>
      <c r="G2502" s="5">
        <v>0</v>
      </c>
      <c r="H2502" s="6" t="s">
        <v>43</v>
      </c>
      <c r="I2502" s="3" t="s">
        <v>45</v>
      </c>
    </row>
    <row r="2503" spans="1:9" ht="48" customHeight="1">
      <c r="A2503" s="3" t="s">
        <v>40</v>
      </c>
      <c r="B2503" s="3" t="s">
        <v>39</v>
      </c>
      <c r="C2503" s="4">
        <v>45962</v>
      </c>
      <c r="D2503" s="4">
        <v>45991</v>
      </c>
      <c r="E2503" s="3" t="s">
        <v>260</v>
      </c>
      <c r="F2503" s="3" t="s">
        <v>269</v>
      </c>
      <c r="G2503" s="5">
        <v>0</v>
      </c>
      <c r="H2503" s="6" t="s">
        <v>43</v>
      </c>
      <c r="I2503" s="3" t="s">
        <v>45</v>
      </c>
    </row>
    <row r="2504" spans="1:9" ht="48" customHeight="1">
      <c r="A2504" s="3" t="s">
        <v>40</v>
      </c>
      <c r="B2504" s="3" t="s">
        <v>39</v>
      </c>
      <c r="C2504" s="4">
        <v>45962</v>
      </c>
      <c r="D2504" s="4">
        <v>45991</v>
      </c>
      <c r="E2504" s="3" t="s">
        <v>260</v>
      </c>
      <c r="F2504" s="3" t="s">
        <v>279</v>
      </c>
      <c r="G2504" s="5">
        <v>0</v>
      </c>
      <c r="H2504" s="6" t="s">
        <v>43</v>
      </c>
      <c r="I2504" s="3" t="s">
        <v>45</v>
      </c>
    </row>
    <row r="2505" spans="1:9" ht="48" customHeight="1">
      <c r="A2505" s="3" t="s">
        <v>40</v>
      </c>
      <c r="B2505" s="3" t="s">
        <v>39</v>
      </c>
      <c r="C2505" s="4">
        <v>45962</v>
      </c>
      <c r="D2505" s="4">
        <v>45991</v>
      </c>
      <c r="E2505" s="3" t="s">
        <v>260</v>
      </c>
      <c r="F2505" s="3" t="s">
        <v>270</v>
      </c>
      <c r="G2505" s="5">
        <v>0</v>
      </c>
      <c r="H2505" s="6" t="s">
        <v>43</v>
      </c>
      <c r="I2505" s="3" t="s">
        <v>45</v>
      </c>
    </row>
    <row r="2506" spans="1:9" ht="48" customHeight="1">
      <c r="A2506" s="3" t="s">
        <v>40</v>
      </c>
      <c r="B2506" s="3" t="s">
        <v>39</v>
      </c>
      <c r="C2506" s="4">
        <v>45962</v>
      </c>
      <c r="D2506" s="4">
        <v>45991</v>
      </c>
      <c r="E2506" s="3" t="s">
        <v>260</v>
      </c>
      <c r="F2506" s="3" t="s">
        <v>280</v>
      </c>
      <c r="G2506" s="5">
        <v>0</v>
      </c>
      <c r="H2506" s="6" t="s">
        <v>43</v>
      </c>
      <c r="I2506" s="3" t="s">
        <v>45</v>
      </c>
    </row>
    <row r="2507" spans="1:9" ht="48" customHeight="1">
      <c r="A2507" s="3" t="s">
        <v>40</v>
      </c>
      <c r="B2507" s="3" t="s">
        <v>39</v>
      </c>
      <c r="C2507" s="4">
        <v>45962</v>
      </c>
      <c r="D2507" s="4">
        <v>45991</v>
      </c>
      <c r="E2507" s="3" t="s">
        <v>260</v>
      </c>
      <c r="F2507" s="3" t="s">
        <v>271</v>
      </c>
      <c r="G2507" s="5">
        <v>0</v>
      </c>
      <c r="H2507" s="6" t="s">
        <v>43</v>
      </c>
      <c r="I2507" s="3" t="s">
        <v>45</v>
      </c>
    </row>
    <row r="2508" spans="1:9" ht="48" customHeight="1">
      <c r="A2508" s="3" t="s">
        <v>40</v>
      </c>
      <c r="B2508" s="3" t="s">
        <v>39</v>
      </c>
      <c r="C2508" s="4">
        <v>45962</v>
      </c>
      <c r="D2508" s="4">
        <v>45991</v>
      </c>
      <c r="E2508" s="3" t="s">
        <v>260</v>
      </c>
      <c r="F2508" s="3" t="s">
        <v>281</v>
      </c>
      <c r="G2508" s="5">
        <v>0</v>
      </c>
      <c r="H2508" s="6" t="s">
        <v>43</v>
      </c>
      <c r="I2508" s="3" t="s">
        <v>45</v>
      </c>
    </row>
    <row r="2509" spans="1:9" ht="48" customHeight="1">
      <c r="A2509" s="3" t="s">
        <v>40</v>
      </c>
      <c r="B2509" s="3" t="s">
        <v>39</v>
      </c>
      <c r="C2509" s="4">
        <v>45962</v>
      </c>
      <c r="D2509" s="4">
        <v>45991</v>
      </c>
      <c r="E2509" s="3" t="s">
        <v>260</v>
      </c>
      <c r="F2509" s="3" t="s">
        <v>272</v>
      </c>
      <c r="G2509" s="5">
        <v>0</v>
      </c>
      <c r="H2509" s="6" t="s">
        <v>43</v>
      </c>
      <c r="I2509" s="3" t="s">
        <v>45</v>
      </c>
    </row>
    <row r="2510" spans="1:9" ht="48" customHeight="1">
      <c r="A2510" s="3" t="s">
        <v>40</v>
      </c>
      <c r="B2510" s="3" t="s">
        <v>39</v>
      </c>
      <c r="C2510" s="4">
        <v>45962</v>
      </c>
      <c r="D2510" s="4">
        <v>45991</v>
      </c>
      <c r="E2510" s="3" t="s">
        <v>260</v>
      </c>
      <c r="F2510" s="3" t="s">
        <v>282</v>
      </c>
      <c r="G2510" s="5">
        <v>0</v>
      </c>
      <c r="H2510" s="6" t="s">
        <v>43</v>
      </c>
      <c r="I2510" s="3" t="s">
        <v>45</v>
      </c>
    </row>
    <row r="2511" spans="1:9" ht="48" customHeight="1">
      <c r="A2511" s="3" t="s">
        <v>40</v>
      </c>
      <c r="B2511" s="3" t="s">
        <v>39</v>
      </c>
      <c r="C2511" s="4">
        <v>45962</v>
      </c>
      <c r="D2511" s="4">
        <v>45991</v>
      </c>
      <c r="E2511" s="3" t="s">
        <v>260</v>
      </c>
      <c r="F2511" s="3" t="s">
        <v>283</v>
      </c>
      <c r="G2511" s="5">
        <v>0</v>
      </c>
      <c r="H2511" s="6" t="s">
        <v>43</v>
      </c>
      <c r="I2511" s="3" t="s">
        <v>45</v>
      </c>
    </row>
    <row r="2512" spans="1:9" ht="48" customHeight="1">
      <c r="A2512" s="3" t="s">
        <v>40</v>
      </c>
      <c r="B2512" s="3" t="s">
        <v>39</v>
      </c>
      <c r="C2512" s="4">
        <v>45962</v>
      </c>
      <c r="D2512" s="4">
        <v>45991</v>
      </c>
      <c r="E2512" s="3" t="s">
        <v>260</v>
      </c>
      <c r="F2512" s="3" t="s">
        <v>284</v>
      </c>
      <c r="G2512" s="5">
        <v>0</v>
      </c>
      <c r="H2512" s="6" t="s">
        <v>43</v>
      </c>
      <c r="I2512" s="3" t="s">
        <v>45</v>
      </c>
    </row>
    <row r="2513" spans="1:9" ht="48" customHeight="1">
      <c r="A2513" s="3" t="s">
        <v>40</v>
      </c>
      <c r="B2513" s="3" t="s">
        <v>39</v>
      </c>
      <c r="C2513" s="4">
        <v>45962</v>
      </c>
      <c r="D2513" s="4">
        <v>45991</v>
      </c>
      <c r="E2513" s="3" t="s">
        <v>260</v>
      </c>
      <c r="F2513" s="3" t="s">
        <v>285</v>
      </c>
      <c r="G2513" s="5">
        <v>0</v>
      </c>
      <c r="H2513" s="6" t="s">
        <v>43</v>
      </c>
      <c r="I2513" s="3" t="s">
        <v>45</v>
      </c>
    </row>
    <row r="2514" spans="1:9" ht="48" customHeight="1">
      <c r="A2514" s="3" t="s">
        <v>40</v>
      </c>
      <c r="B2514" s="3" t="s">
        <v>39</v>
      </c>
      <c r="C2514" s="4">
        <v>45962</v>
      </c>
      <c r="D2514" s="4">
        <v>45991</v>
      </c>
      <c r="E2514" s="3" t="s">
        <v>244</v>
      </c>
      <c r="F2514" s="3" t="s">
        <v>248</v>
      </c>
      <c r="G2514" s="5">
        <v>2E-3</v>
      </c>
      <c r="H2514" s="6" t="s">
        <v>43</v>
      </c>
      <c r="I2514" s="3" t="s">
        <v>45</v>
      </c>
    </row>
    <row r="2515" spans="1:9" ht="48" customHeight="1">
      <c r="A2515" s="3" t="s">
        <v>40</v>
      </c>
      <c r="B2515" s="3" t="s">
        <v>39</v>
      </c>
      <c r="C2515" s="4">
        <v>45962</v>
      </c>
      <c r="D2515" s="4">
        <v>45991</v>
      </c>
      <c r="E2515" s="3" t="s">
        <v>244</v>
      </c>
      <c r="F2515" s="3" t="s">
        <v>247</v>
      </c>
      <c r="G2515" s="5">
        <v>2E-3</v>
      </c>
      <c r="H2515" s="6" t="s">
        <v>43</v>
      </c>
      <c r="I2515" s="3" t="s">
        <v>45</v>
      </c>
    </row>
    <row r="2516" spans="1:9" ht="48" customHeight="1">
      <c r="A2516" s="3" t="s">
        <v>40</v>
      </c>
      <c r="B2516" s="3" t="s">
        <v>39</v>
      </c>
      <c r="C2516" s="4">
        <v>45962</v>
      </c>
      <c r="D2516" s="4">
        <v>45991</v>
      </c>
      <c r="E2516" s="3" t="s">
        <v>244</v>
      </c>
      <c r="F2516" s="3" t="s">
        <v>246</v>
      </c>
      <c r="G2516" s="5">
        <v>2E-3</v>
      </c>
      <c r="H2516" s="6" t="s">
        <v>43</v>
      </c>
      <c r="I2516" s="3" t="s">
        <v>45</v>
      </c>
    </row>
    <row r="2517" spans="1:9" ht="48" customHeight="1">
      <c r="A2517" s="3" t="s">
        <v>40</v>
      </c>
      <c r="B2517" s="3" t="s">
        <v>39</v>
      </c>
      <c r="C2517" s="4">
        <v>45962</v>
      </c>
      <c r="D2517" s="4">
        <v>45991</v>
      </c>
      <c r="E2517" s="3" t="s">
        <v>244</v>
      </c>
      <c r="F2517" s="3" t="s">
        <v>245</v>
      </c>
      <c r="G2517" s="5">
        <v>1E-3</v>
      </c>
      <c r="H2517" s="6" t="s">
        <v>43</v>
      </c>
      <c r="I2517" s="3" t="s">
        <v>45</v>
      </c>
    </row>
    <row r="2518" spans="1:9" ht="48" customHeight="1">
      <c r="A2518" s="3" t="s">
        <v>40</v>
      </c>
      <c r="B2518" s="3" t="s">
        <v>39</v>
      </c>
      <c r="C2518" s="4">
        <v>45962</v>
      </c>
      <c r="D2518" s="4">
        <v>45991</v>
      </c>
      <c r="E2518" s="3" t="s">
        <v>244</v>
      </c>
      <c r="F2518" s="3" t="s">
        <v>250</v>
      </c>
      <c r="G2518" s="5">
        <v>1E-3</v>
      </c>
      <c r="H2518" s="6" t="s">
        <v>43</v>
      </c>
      <c r="I2518" s="3" t="s">
        <v>45</v>
      </c>
    </row>
    <row r="2519" spans="1:9" ht="48" customHeight="1">
      <c r="A2519" s="3" t="s">
        <v>40</v>
      </c>
      <c r="B2519" s="3" t="s">
        <v>39</v>
      </c>
      <c r="C2519" s="4">
        <v>45962</v>
      </c>
      <c r="D2519" s="4">
        <v>45991</v>
      </c>
      <c r="E2519" s="3" t="s">
        <v>244</v>
      </c>
      <c r="F2519" s="3" t="s">
        <v>249</v>
      </c>
      <c r="G2519" s="5">
        <v>1E-3</v>
      </c>
      <c r="H2519" s="6" t="s">
        <v>43</v>
      </c>
      <c r="I2519" s="3" t="s">
        <v>45</v>
      </c>
    </row>
    <row r="2520" spans="1:9" ht="48" customHeight="1">
      <c r="A2520" s="3" t="s">
        <v>40</v>
      </c>
      <c r="B2520" s="3" t="s">
        <v>39</v>
      </c>
      <c r="C2520" s="4">
        <v>45962</v>
      </c>
      <c r="D2520" s="4">
        <v>45991</v>
      </c>
      <c r="E2520" s="3" t="s">
        <v>244</v>
      </c>
      <c r="F2520" s="3" t="s">
        <v>251</v>
      </c>
      <c r="G2520" s="5">
        <v>0</v>
      </c>
      <c r="H2520" s="6" t="s">
        <v>43</v>
      </c>
      <c r="I2520" s="3" t="s">
        <v>45</v>
      </c>
    </row>
    <row r="2521" spans="1:9" ht="48" customHeight="1">
      <c r="A2521" s="3" t="s">
        <v>40</v>
      </c>
      <c r="B2521" s="3" t="s">
        <v>39</v>
      </c>
      <c r="C2521" s="4">
        <v>45962</v>
      </c>
      <c r="D2521" s="4">
        <v>45991</v>
      </c>
      <c r="E2521" s="3" t="s">
        <v>244</v>
      </c>
      <c r="F2521" s="3" t="s">
        <v>252</v>
      </c>
      <c r="G2521" s="5">
        <v>0</v>
      </c>
      <c r="H2521" s="6" t="s">
        <v>43</v>
      </c>
      <c r="I2521" s="3" t="s">
        <v>45</v>
      </c>
    </row>
    <row r="2522" spans="1:9" ht="48" customHeight="1">
      <c r="A2522" s="3" t="s">
        <v>40</v>
      </c>
      <c r="B2522" s="3" t="s">
        <v>39</v>
      </c>
      <c r="C2522" s="4">
        <v>45962</v>
      </c>
      <c r="D2522" s="4">
        <v>45991</v>
      </c>
      <c r="E2522" s="3" t="s">
        <v>244</v>
      </c>
      <c r="F2522" s="3" t="s">
        <v>255</v>
      </c>
      <c r="G2522" s="5">
        <v>0</v>
      </c>
      <c r="H2522" s="6" t="s">
        <v>43</v>
      </c>
      <c r="I2522" s="3" t="s">
        <v>45</v>
      </c>
    </row>
    <row r="2523" spans="1:9" ht="48" customHeight="1">
      <c r="A2523" s="3" t="s">
        <v>40</v>
      </c>
      <c r="B2523" s="3" t="s">
        <v>39</v>
      </c>
      <c r="C2523" s="4">
        <v>45962</v>
      </c>
      <c r="D2523" s="4">
        <v>45991</v>
      </c>
      <c r="E2523" s="3" t="s">
        <v>244</v>
      </c>
      <c r="F2523" s="3" t="s">
        <v>256</v>
      </c>
      <c r="G2523" s="5">
        <v>0</v>
      </c>
      <c r="H2523" s="6" t="s">
        <v>43</v>
      </c>
      <c r="I2523" s="3" t="s">
        <v>45</v>
      </c>
    </row>
    <row r="2524" spans="1:9" ht="48" customHeight="1">
      <c r="A2524" s="3" t="s">
        <v>40</v>
      </c>
      <c r="B2524" s="3" t="s">
        <v>39</v>
      </c>
      <c r="C2524" s="4">
        <v>45962</v>
      </c>
      <c r="D2524" s="4">
        <v>45991</v>
      </c>
      <c r="E2524" s="3" t="s">
        <v>244</v>
      </c>
      <c r="F2524" s="3" t="s">
        <v>257</v>
      </c>
      <c r="G2524" s="5">
        <v>0</v>
      </c>
      <c r="H2524" s="6" t="s">
        <v>43</v>
      </c>
      <c r="I2524" s="3" t="s">
        <v>45</v>
      </c>
    </row>
    <row r="2525" spans="1:9" ht="48" customHeight="1">
      <c r="A2525" s="3" t="s">
        <v>40</v>
      </c>
      <c r="B2525" s="3" t="s">
        <v>39</v>
      </c>
      <c r="C2525" s="4">
        <v>45962</v>
      </c>
      <c r="D2525" s="4">
        <v>45991</v>
      </c>
      <c r="E2525" s="3" t="s">
        <v>244</v>
      </c>
      <c r="F2525" s="3" t="s">
        <v>258</v>
      </c>
      <c r="G2525" s="5">
        <v>0</v>
      </c>
      <c r="H2525" s="6" t="s">
        <v>43</v>
      </c>
      <c r="I2525" s="3" t="s">
        <v>45</v>
      </c>
    </row>
    <row r="2526" spans="1:9" ht="48" customHeight="1">
      <c r="A2526" s="3" t="s">
        <v>40</v>
      </c>
      <c r="B2526" s="3" t="s">
        <v>39</v>
      </c>
      <c r="C2526" s="4">
        <v>45962</v>
      </c>
      <c r="D2526" s="4">
        <v>45991</v>
      </c>
      <c r="E2526" s="3" t="s">
        <v>244</v>
      </c>
      <c r="F2526" s="3" t="s">
        <v>259</v>
      </c>
      <c r="G2526" s="5">
        <v>0</v>
      </c>
      <c r="H2526" s="6" t="s">
        <v>43</v>
      </c>
      <c r="I2526" s="3" t="s">
        <v>45</v>
      </c>
    </row>
    <row r="2527" spans="1:9" ht="48" customHeight="1">
      <c r="A2527" s="3" t="s">
        <v>40</v>
      </c>
      <c r="B2527" s="3" t="s">
        <v>39</v>
      </c>
      <c r="C2527" s="4">
        <v>45962</v>
      </c>
      <c r="D2527" s="4">
        <v>45991</v>
      </c>
      <c r="E2527" s="3" t="s">
        <v>244</v>
      </c>
      <c r="F2527" s="3" t="s">
        <v>253</v>
      </c>
      <c r="G2527" s="5">
        <v>0</v>
      </c>
      <c r="H2527" s="6" t="s">
        <v>43</v>
      </c>
      <c r="I2527" s="3" t="s">
        <v>45</v>
      </c>
    </row>
    <row r="2528" spans="1:9" ht="48" customHeight="1">
      <c r="A2528" s="3" t="s">
        <v>40</v>
      </c>
      <c r="B2528" s="3" t="s">
        <v>39</v>
      </c>
      <c r="C2528" s="4">
        <v>45962</v>
      </c>
      <c r="D2528" s="4">
        <v>45991</v>
      </c>
      <c r="E2528" s="3" t="s">
        <v>244</v>
      </c>
      <c r="F2528" s="3" t="s">
        <v>254</v>
      </c>
      <c r="G2528" s="5">
        <v>0</v>
      </c>
      <c r="H2528" s="6" t="s">
        <v>43</v>
      </c>
      <c r="I2528" s="3" t="s">
        <v>45</v>
      </c>
    </row>
    <row r="2529" spans="1:9" ht="48" customHeight="1">
      <c r="A2529" s="3" t="s">
        <v>40</v>
      </c>
      <c r="B2529" s="3" t="s">
        <v>39</v>
      </c>
      <c r="C2529" s="4">
        <v>45962</v>
      </c>
      <c r="D2529" s="4">
        <v>45991</v>
      </c>
      <c r="E2529" s="3" t="s">
        <v>379</v>
      </c>
      <c r="F2529" s="3" t="s">
        <v>265</v>
      </c>
      <c r="G2529" s="5">
        <v>2E-3</v>
      </c>
      <c r="H2529" s="6" t="s">
        <v>43</v>
      </c>
      <c r="I2529" s="3" t="s">
        <v>45</v>
      </c>
    </row>
    <row r="2530" spans="1:9" ht="48" customHeight="1">
      <c r="A2530" s="3" t="s">
        <v>40</v>
      </c>
      <c r="B2530" s="3" t="s">
        <v>39</v>
      </c>
      <c r="C2530" s="4">
        <v>45962</v>
      </c>
      <c r="D2530" s="4">
        <v>45991</v>
      </c>
      <c r="E2530" s="3" t="s">
        <v>379</v>
      </c>
      <c r="F2530" s="3" t="s">
        <v>262</v>
      </c>
      <c r="G2530" s="5">
        <v>2E-3</v>
      </c>
      <c r="H2530" s="6" t="s">
        <v>43</v>
      </c>
      <c r="I2530" s="3" t="s">
        <v>45</v>
      </c>
    </row>
    <row r="2531" spans="1:9" ht="48" customHeight="1">
      <c r="A2531" s="3" t="s">
        <v>40</v>
      </c>
      <c r="B2531" s="3" t="s">
        <v>39</v>
      </c>
      <c r="C2531" s="4">
        <v>45962</v>
      </c>
      <c r="D2531" s="4">
        <v>45991</v>
      </c>
      <c r="E2531" s="3" t="s">
        <v>379</v>
      </c>
      <c r="F2531" s="3" t="s">
        <v>380</v>
      </c>
      <c r="G2531" s="5">
        <v>2E-3</v>
      </c>
      <c r="H2531" s="6" t="s">
        <v>43</v>
      </c>
      <c r="I2531" s="3" t="s">
        <v>45</v>
      </c>
    </row>
    <row r="2532" spans="1:9" ht="48" customHeight="1">
      <c r="A2532" s="3" t="s">
        <v>40</v>
      </c>
      <c r="B2532" s="3" t="s">
        <v>39</v>
      </c>
      <c r="C2532" s="4">
        <v>45962</v>
      </c>
      <c r="D2532" s="4">
        <v>45991</v>
      </c>
      <c r="E2532" s="3" t="s">
        <v>379</v>
      </c>
      <c r="F2532" s="3" t="s">
        <v>230</v>
      </c>
      <c r="G2532" s="5">
        <v>1E-3</v>
      </c>
      <c r="H2532" s="6" t="s">
        <v>43</v>
      </c>
      <c r="I2532" s="3" t="s">
        <v>45</v>
      </c>
    </row>
    <row r="2533" spans="1:9" ht="48" customHeight="1">
      <c r="A2533" s="3" t="s">
        <v>40</v>
      </c>
      <c r="B2533" s="3" t="s">
        <v>39</v>
      </c>
      <c r="C2533" s="4">
        <v>45962</v>
      </c>
      <c r="D2533" s="4">
        <v>45991</v>
      </c>
      <c r="E2533" s="3" t="s">
        <v>379</v>
      </c>
      <c r="F2533" s="3" t="s">
        <v>234</v>
      </c>
      <c r="G2533" s="5">
        <v>1E-3</v>
      </c>
      <c r="H2533" s="6" t="s">
        <v>43</v>
      </c>
      <c r="I2533" s="3" t="s">
        <v>45</v>
      </c>
    </row>
    <row r="2534" spans="1:9" ht="48" customHeight="1">
      <c r="A2534" s="3" t="s">
        <v>40</v>
      </c>
      <c r="B2534" s="3" t="s">
        <v>39</v>
      </c>
      <c r="C2534" s="4">
        <v>45962</v>
      </c>
      <c r="D2534" s="4">
        <v>45991</v>
      </c>
      <c r="E2534" s="3" t="s">
        <v>301</v>
      </c>
      <c r="F2534" s="3" t="s">
        <v>301</v>
      </c>
      <c r="G2534" s="5">
        <v>4.0000000000000001E-3</v>
      </c>
      <c r="H2534" s="6" t="s">
        <v>43</v>
      </c>
      <c r="I2534" s="3" t="s">
        <v>45</v>
      </c>
    </row>
    <row r="2535" spans="1:9" ht="48" customHeight="1">
      <c r="A2535" s="3" t="s">
        <v>40</v>
      </c>
      <c r="B2535" s="3" t="s">
        <v>39</v>
      </c>
      <c r="C2535" s="4">
        <v>45962</v>
      </c>
      <c r="D2535" s="4">
        <v>45991</v>
      </c>
      <c r="E2535" s="3" t="s">
        <v>381</v>
      </c>
      <c r="F2535" s="3" t="s">
        <v>382</v>
      </c>
      <c r="G2535" s="5">
        <v>2E-3</v>
      </c>
      <c r="H2535" s="6" t="s">
        <v>43</v>
      </c>
      <c r="I2535" s="3" t="s">
        <v>45</v>
      </c>
    </row>
    <row r="2536" spans="1:9" ht="48" customHeight="1">
      <c r="A2536" s="3" t="s">
        <v>40</v>
      </c>
      <c r="B2536" s="3" t="s">
        <v>39</v>
      </c>
      <c r="C2536" s="4">
        <v>45962</v>
      </c>
      <c r="D2536" s="4">
        <v>45991</v>
      </c>
      <c r="E2536" s="3" t="s">
        <v>381</v>
      </c>
      <c r="F2536" s="3" t="s">
        <v>383</v>
      </c>
      <c r="G2536" s="5">
        <v>1E-3</v>
      </c>
      <c r="H2536" s="6" t="s">
        <v>43</v>
      </c>
      <c r="I2536" s="3" t="s">
        <v>45</v>
      </c>
    </row>
    <row r="2537" spans="1:9" ht="48" customHeight="1">
      <c r="A2537" s="3" t="s">
        <v>40</v>
      </c>
      <c r="B2537" s="3" t="s">
        <v>39</v>
      </c>
      <c r="C2537" s="4">
        <v>45992</v>
      </c>
      <c r="D2537" s="4">
        <v>46022</v>
      </c>
      <c r="E2537" s="3" t="s">
        <v>47</v>
      </c>
      <c r="F2537" s="3" t="s">
        <v>348</v>
      </c>
      <c r="G2537" s="5">
        <v>9.0999999999999998E-2</v>
      </c>
      <c r="H2537" s="6" t="s">
        <v>54</v>
      </c>
      <c r="I2537" s="3" t="s">
        <v>45</v>
      </c>
    </row>
    <row r="2538" spans="1:9" ht="48" customHeight="1">
      <c r="A2538" s="3" t="s">
        <v>40</v>
      </c>
      <c r="B2538" s="3" t="s">
        <v>39</v>
      </c>
      <c r="C2538" s="4">
        <v>45992</v>
      </c>
      <c r="D2538" s="4">
        <v>46022</v>
      </c>
      <c r="E2538" s="3" t="s">
        <v>47</v>
      </c>
      <c r="F2538" s="3" t="s">
        <v>358</v>
      </c>
      <c r="G2538" s="5">
        <v>9.0999999999999998E-2</v>
      </c>
      <c r="H2538" s="6" t="s">
        <v>54</v>
      </c>
      <c r="I2538" s="3" t="s">
        <v>45</v>
      </c>
    </row>
    <row r="2539" spans="1:9" ht="48" customHeight="1">
      <c r="A2539" s="3" t="s">
        <v>40</v>
      </c>
      <c r="B2539" s="3" t="s">
        <v>39</v>
      </c>
      <c r="C2539" s="4">
        <v>45992</v>
      </c>
      <c r="D2539" s="4">
        <v>46022</v>
      </c>
      <c r="E2539" s="3" t="s">
        <v>47</v>
      </c>
      <c r="F2539" s="3" t="s">
        <v>357</v>
      </c>
      <c r="G2539" s="5">
        <v>0.05</v>
      </c>
      <c r="H2539" s="6" t="s">
        <v>54</v>
      </c>
      <c r="I2539" s="3" t="s">
        <v>45</v>
      </c>
    </row>
    <row r="2540" spans="1:9" ht="48" customHeight="1">
      <c r="A2540" s="3" t="s">
        <v>40</v>
      </c>
      <c r="B2540" s="3" t="s">
        <v>39</v>
      </c>
      <c r="C2540" s="4">
        <v>45992</v>
      </c>
      <c r="D2540" s="4">
        <v>46022</v>
      </c>
      <c r="E2540" s="3" t="s">
        <v>47</v>
      </c>
      <c r="F2540" s="3" t="s">
        <v>352</v>
      </c>
      <c r="G2540" s="5">
        <v>3.7999999999999999E-2</v>
      </c>
      <c r="H2540" s="6" t="s">
        <v>54</v>
      </c>
      <c r="I2540" s="3" t="s">
        <v>45</v>
      </c>
    </row>
    <row r="2541" spans="1:9" ht="48" customHeight="1">
      <c r="A2541" s="3" t="s">
        <v>40</v>
      </c>
      <c r="B2541" s="3" t="s">
        <v>39</v>
      </c>
      <c r="C2541" s="4">
        <v>45992</v>
      </c>
      <c r="D2541" s="4">
        <v>46022</v>
      </c>
      <c r="E2541" s="3" t="s">
        <v>47</v>
      </c>
      <c r="F2541" s="3" t="s">
        <v>349</v>
      </c>
      <c r="G2541" s="5">
        <v>1.9E-2</v>
      </c>
      <c r="H2541" s="6" t="s">
        <v>54</v>
      </c>
      <c r="I2541" s="3" t="s">
        <v>45</v>
      </c>
    </row>
    <row r="2542" spans="1:9" ht="48" customHeight="1">
      <c r="A2542" s="3" t="s">
        <v>40</v>
      </c>
      <c r="B2542" s="3" t="s">
        <v>39</v>
      </c>
      <c r="C2542" s="4">
        <v>45992</v>
      </c>
      <c r="D2542" s="4">
        <v>46022</v>
      </c>
      <c r="E2542" s="3" t="s">
        <v>47</v>
      </c>
      <c r="F2542" s="3" t="s">
        <v>350</v>
      </c>
      <c r="G2542" s="5">
        <v>1.2E-2</v>
      </c>
      <c r="H2542" s="6" t="s">
        <v>54</v>
      </c>
      <c r="I2542" s="3" t="s">
        <v>45</v>
      </c>
    </row>
    <row r="2543" spans="1:9" ht="48" customHeight="1">
      <c r="A2543" s="3" t="s">
        <v>40</v>
      </c>
      <c r="B2543" s="3" t="s">
        <v>39</v>
      </c>
      <c r="C2543" s="4">
        <v>45992</v>
      </c>
      <c r="D2543" s="4">
        <v>46022</v>
      </c>
      <c r="E2543" s="3" t="s">
        <v>47</v>
      </c>
      <c r="F2543" s="3" t="s">
        <v>351</v>
      </c>
      <c r="G2543" s="5">
        <v>0.01</v>
      </c>
      <c r="H2543" s="6" t="s">
        <v>54</v>
      </c>
      <c r="I2543" s="3" t="s">
        <v>45</v>
      </c>
    </row>
    <row r="2544" spans="1:9" ht="48" customHeight="1">
      <c r="A2544" s="3" t="s">
        <v>40</v>
      </c>
      <c r="B2544" s="3" t="s">
        <v>39</v>
      </c>
      <c r="C2544" s="4">
        <v>45992</v>
      </c>
      <c r="D2544" s="4">
        <v>46022</v>
      </c>
      <c r="E2544" s="3" t="s">
        <v>47</v>
      </c>
      <c r="F2544" s="3" t="s">
        <v>354</v>
      </c>
      <c r="G2544" s="5">
        <v>9.0000000000000011E-3</v>
      </c>
      <c r="H2544" s="6" t="s">
        <v>54</v>
      </c>
      <c r="I2544" s="3" t="s">
        <v>45</v>
      </c>
    </row>
    <row r="2545" spans="1:9" ht="48" customHeight="1">
      <c r="A2545" s="3" t="s">
        <v>40</v>
      </c>
      <c r="B2545" s="3" t="s">
        <v>39</v>
      </c>
      <c r="C2545" s="4">
        <v>45992</v>
      </c>
      <c r="D2545" s="4">
        <v>46022</v>
      </c>
      <c r="E2545" s="3" t="s">
        <v>47</v>
      </c>
      <c r="F2545" s="3" t="s">
        <v>356</v>
      </c>
      <c r="G2545" s="5">
        <v>6.9999999999999993E-3</v>
      </c>
      <c r="H2545" s="6" t="s">
        <v>54</v>
      </c>
      <c r="I2545" s="3" t="s">
        <v>45</v>
      </c>
    </row>
    <row r="2546" spans="1:9" ht="48" customHeight="1">
      <c r="A2546" s="3" t="s">
        <v>40</v>
      </c>
      <c r="B2546" s="3" t="s">
        <v>39</v>
      </c>
      <c r="C2546" s="4">
        <v>45992</v>
      </c>
      <c r="D2546" s="4">
        <v>46022</v>
      </c>
      <c r="E2546" s="3" t="s">
        <v>47</v>
      </c>
      <c r="F2546" s="3" t="s">
        <v>355</v>
      </c>
      <c r="G2546" s="5">
        <v>4.0000000000000001E-3</v>
      </c>
      <c r="H2546" s="6" t="s">
        <v>54</v>
      </c>
      <c r="I2546" s="3" t="s">
        <v>45</v>
      </c>
    </row>
    <row r="2547" spans="1:9" ht="48" customHeight="1">
      <c r="A2547" s="3" t="s">
        <v>40</v>
      </c>
      <c r="B2547" s="3" t="s">
        <v>39</v>
      </c>
      <c r="C2547" s="4">
        <v>45992</v>
      </c>
      <c r="D2547" s="4">
        <v>46022</v>
      </c>
      <c r="E2547" s="3" t="s">
        <v>47</v>
      </c>
      <c r="F2547" s="3" t="s">
        <v>353</v>
      </c>
      <c r="G2547" s="5">
        <v>3.0000000000000001E-3</v>
      </c>
      <c r="H2547" s="6" t="s">
        <v>54</v>
      </c>
      <c r="I2547" s="3" t="s">
        <v>45</v>
      </c>
    </row>
    <row r="2548" spans="1:9" ht="48" customHeight="1">
      <c r="A2548" s="3" t="s">
        <v>40</v>
      </c>
      <c r="B2548" s="3" t="s">
        <v>39</v>
      </c>
      <c r="C2548" s="4">
        <v>45992</v>
      </c>
      <c r="D2548" s="4">
        <v>46022</v>
      </c>
      <c r="E2548" s="3" t="s">
        <v>47</v>
      </c>
      <c r="F2548" s="3" t="s">
        <v>359</v>
      </c>
      <c r="G2548" s="5">
        <v>2E-3</v>
      </c>
      <c r="H2548" s="6" t="s">
        <v>54</v>
      </c>
      <c r="I2548" s="3" t="s">
        <v>45</v>
      </c>
    </row>
    <row r="2549" spans="1:9" ht="48" customHeight="1">
      <c r="A2549" s="3" t="s">
        <v>40</v>
      </c>
      <c r="B2549" s="3" t="s">
        <v>39</v>
      </c>
      <c r="C2549" s="4">
        <v>45992</v>
      </c>
      <c r="D2549" s="4">
        <v>46022</v>
      </c>
      <c r="E2549" s="3" t="s">
        <v>47</v>
      </c>
      <c r="F2549" s="3" t="s">
        <v>361</v>
      </c>
      <c r="G2549" s="5">
        <v>2E-3</v>
      </c>
      <c r="H2549" s="6" t="s">
        <v>54</v>
      </c>
      <c r="I2549" s="3" t="s">
        <v>45</v>
      </c>
    </row>
    <row r="2550" spans="1:9" ht="48" customHeight="1">
      <c r="A2550" s="3" t="s">
        <v>40</v>
      </c>
      <c r="B2550" s="3" t="s">
        <v>39</v>
      </c>
      <c r="C2550" s="4">
        <v>45992</v>
      </c>
      <c r="D2550" s="4">
        <v>46022</v>
      </c>
      <c r="E2550" s="3" t="s">
        <v>47</v>
      </c>
      <c r="F2550" s="3" t="s">
        <v>362</v>
      </c>
      <c r="G2550" s="5">
        <v>2E-3</v>
      </c>
      <c r="H2550" s="6" t="s">
        <v>54</v>
      </c>
      <c r="I2550" s="3" t="s">
        <v>45</v>
      </c>
    </row>
    <row r="2551" spans="1:9" ht="48" customHeight="1">
      <c r="A2551" s="3" t="s">
        <v>40</v>
      </c>
      <c r="B2551" s="3" t="s">
        <v>39</v>
      </c>
      <c r="C2551" s="4">
        <v>45992</v>
      </c>
      <c r="D2551" s="4">
        <v>46022</v>
      </c>
      <c r="E2551" s="3" t="s">
        <v>47</v>
      </c>
      <c r="F2551" s="3" t="s">
        <v>363</v>
      </c>
      <c r="G2551" s="5">
        <v>2E-3</v>
      </c>
      <c r="H2551" s="6" t="s">
        <v>54</v>
      </c>
      <c r="I2551" s="3" t="s">
        <v>45</v>
      </c>
    </row>
    <row r="2552" spans="1:9" ht="48" customHeight="1">
      <c r="A2552" s="3" t="s">
        <v>40</v>
      </c>
      <c r="B2552" s="3" t="s">
        <v>39</v>
      </c>
      <c r="C2552" s="4">
        <v>45992</v>
      </c>
      <c r="D2552" s="4">
        <v>46022</v>
      </c>
      <c r="E2552" s="3" t="s">
        <v>47</v>
      </c>
      <c r="F2552" s="3" t="s">
        <v>360</v>
      </c>
      <c r="G2552" s="5">
        <v>1E-3</v>
      </c>
      <c r="H2552" s="6" t="s">
        <v>54</v>
      </c>
      <c r="I2552" s="3" t="s">
        <v>45</v>
      </c>
    </row>
    <row r="2553" spans="1:9" ht="48" customHeight="1">
      <c r="A2553" s="3" t="s">
        <v>40</v>
      </c>
      <c r="B2553" s="3" t="s">
        <v>39</v>
      </c>
      <c r="C2553" s="4">
        <v>45992</v>
      </c>
      <c r="D2553" s="4">
        <v>46022</v>
      </c>
      <c r="E2553" s="3" t="s">
        <v>47</v>
      </c>
      <c r="F2553" s="3" t="s">
        <v>318</v>
      </c>
      <c r="G2553" s="5">
        <v>1E-3</v>
      </c>
      <c r="H2553" s="6" t="s">
        <v>54</v>
      </c>
      <c r="I2553" s="3" t="s">
        <v>45</v>
      </c>
    </row>
    <row r="2554" spans="1:9" ht="48" customHeight="1">
      <c r="A2554" s="3" t="s">
        <v>40</v>
      </c>
      <c r="B2554" s="3" t="s">
        <v>39</v>
      </c>
      <c r="C2554" s="4">
        <v>45992</v>
      </c>
      <c r="D2554" s="4">
        <v>46022</v>
      </c>
      <c r="E2554" s="3" t="s">
        <v>286</v>
      </c>
      <c r="F2554" s="3" t="s">
        <v>293</v>
      </c>
      <c r="G2554" s="5">
        <v>0.126</v>
      </c>
      <c r="H2554" s="6" t="s">
        <v>54</v>
      </c>
      <c r="I2554" s="3" t="s">
        <v>45</v>
      </c>
    </row>
    <row r="2555" spans="1:9" ht="48" customHeight="1">
      <c r="A2555" s="3" t="s">
        <v>40</v>
      </c>
      <c r="B2555" s="3" t="s">
        <v>39</v>
      </c>
      <c r="C2555" s="4">
        <v>45992</v>
      </c>
      <c r="D2555" s="4">
        <v>46022</v>
      </c>
      <c r="E2555" s="3" t="s">
        <v>286</v>
      </c>
      <c r="F2555" s="3" t="s">
        <v>300</v>
      </c>
      <c r="G2555" s="5">
        <v>2.7999999999999997E-2</v>
      </c>
      <c r="H2555" s="6" t="s">
        <v>54</v>
      </c>
      <c r="I2555" s="3" t="s">
        <v>45</v>
      </c>
    </row>
    <row r="2556" spans="1:9" ht="48" customHeight="1">
      <c r="A2556" s="3" t="s">
        <v>40</v>
      </c>
      <c r="B2556" s="3" t="s">
        <v>39</v>
      </c>
      <c r="C2556" s="4">
        <v>45992</v>
      </c>
      <c r="D2556" s="4">
        <v>46022</v>
      </c>
      <c r="E2556" s="3" t="s">
        <v>286</v>
      </c>
      <c r="F2556" s="3" t="s">
        <v>291</v>
      </c>
      <c r="G2556" s="5">
        <v>1.4999999999999999E-2</v>
      </c>
      <c r="H2556" s="6" t="s">
        <v>54</v>
      </c>
      <c r="I2556" s="3" t="s">
        <v>45</v>
      </c>
    </row>
    <row r="2557" spans="1:9" ht="48" customHeight="1">
      <c r="A2557" s="3" t="s">
        <v>40</v>
      </c>
      <c r="B2557" s="3" t="s">
        <v>39</v>
      </c>
      <c r="C2557" s="4">
        <v>45992</v>
      </c>
      <c r="D2557" s="4">
        <v>46022</v>
      </c>
      <c r="E2557" s="3" t="s">
        <v>286</v>
      </c>
      <c r="F2557" s="3" t="s">
        <v>292</v>
      </c>
      <c r="G2557" s="5">
        <v>6.0000000000000001E-3</v>
      </c>
      <c r="H2557" s="6" t="s">
        <v>54</v>
      </c>
      <c r="I2557" s="3" t="s">
        <v>45</v>
      </c>
    </row>
    <row r="2558" spans="1:9" ht="48" customHeight="1">
      <c r="A2558" s="3" t="s">
        <v>40</v>
      </c>
      <c r="B2558" s="3" t="s">
        <v>39</v>
      </c>
      <c r="C2558" s="4">
        <v>45992</v>
      </c>
      <c r="D2558" s="4">
        <v>46022</v>
      </c>
      <c r="E2558" s="3" t="s">
        <v>286</v>
      </c>
      <c r="F2558" s="3" t="s">
        <v>287</v>
      </c>
      <c r="G2558" s="5">
        <v>5.0000000000000001E-3</v>
      </c>
      <c r="H2558" s="6" t="s">
        <v>54</v>
      </c>
      <c r="I2558" s="3" t="s">
        <v>45</v>
      </c>
    </row>
    <row r="2559" spans="1:9" ht="48" customHeight="1">
      <c r="A2559" s="3" t="s">
        <v>40</v>
      </c>
      <c r="B2559" s="3" t="s">
        <v>39</v>
      </c>
      <c r="C2559" s="4">
        <v>45992</v>
      </c>
      <c r="D2559" s="4">
        <v>46022</v>
      </c>
      <c r="E2559" s="3" t="s">
        <v>286</v>
      </c>
      <c r="F2559" s="3" t="s">
        <v>288</v>
      </c>
      <c r="G2559" s="5">
        <v>4.0000000000000001E-3</v>
      </c>
      <c r="H2559" s="6" t="s">
        <v>54</v>
      </c>
      <c r="I2559" s="3" t="s">
        <v>45</v>
      </c>
    </row>
    <row r="2560" spans="1:9" ht="48" customHeight="1">
      <c r="A2560" s="3" t="s">
        <v>40</v>
      </c>
      <c r="B2560" s="3" t="s">
        <v>39</v>
      </c>
      <c r="C2560" s="4">
        <v>45992</v>
      </c>
      <c r="D2560" s="4">
        <v>46022</v>
      </c>
      <c r="E2560" s="3" t="s">
        <v>286</v>
      </c>
      <c r="F2560" s="3" t="s">
        <v>290</v>
      </c>
      <c r="G2560" s="5">
        <v>3.0000000000000001E-3</v>
      </c>
      <c r="H2560" s="6" t="s">
        <v>54</v>
      </c>
      <c r="I2560" s="3" t="s">
        <v>45</v>
      </c>
    </row>
    <row r="2561" spans="1:9" ht="48" customHeight="1">
      <c r="A2561" s="3" t="s">
        <v>40</v>
      </c>
      <c r="B2561" s="3" t="s">
        <v>39</v>
      </c>
      <c r="C2561" s="4">
        <v>45992</v>
      </c>
      <c r="D2561" s="4">
        <v>46022</v>
      </c>
      <c r="E2561" s="3" t="s">
        <v>286</v>
      </c>
      <c r="F2561" s="3" t="s">
        <v>289</v>
      </c>
      <c r="G2561" s="5">
        <v>3.0000000000000001E-3</v>
      </c>
      <c r="H2561" s="6" t="s">
        <v>54</v>
      </c>
      <c r="I2561" s="3" t="s">
        <v>45</v>
      </c>
    </row>
    <row r="2562" spans="1:9" ht="48" customHeight="1">
      <c r="A2562" s="3" t="s">
        <v>40</v>
      </c>
      <c r="B2562" s="3" t="s">
        <v>39</v>
      </c>
      <c r="C2562" s="4">
        <v>45992</v>
      </c>
      <c r="D2562" s="4">
        <v>46022</v>
      </c>
      <c r="E2562" s="3" t="s">
        <v>286</v>
      </c>
      <c r="F2562" s="3" t="s">
        <v>297</v>
      </c>
      <c r="G2562" s="5">
        <v>3.0000000000000001E-3</v>
      </c>
      <c r="H2562" s="6" t="s">
        <v>54</v>
      </c>
      <c r="I2562" s="3" t="s">
        <v>45</v>
      </c>
    </row>
    <row r="2563" spans="1:9" ht="48" customHeight="1">
      <c r="A2563" s="3" t="s">
        <v>40</v>
      </c>
      <c r="B2563" s="3" t="s">
        <v>39</v>
      </c>
      <c r="C2563" s="4">
        <v>45992</v>
      </c>
      <c r="D2563" s="4">
        <v>46022</v>
      </c>
      <c r="E2563" s="3" t="s">
        <v>286</v>
      </c>
      <c r="F2563" s="3" t="s">
        <v>294</v>
      </c>
      <c r="G2563" s="5">
        <v>1E-3</v>
      </c>
      <c r="H2563" s="6" t="s">
        <v>54</v>
      </c>
      <c r="I2563" s="3" t="s">
        <v>45</v>
      </c>
    </row>
    <row r="2564" spans="1:9" ht="48" customHeight="1">
      <c r="A2564" s="3" t="s">
        <v>40</v>
      </c>
      <c r="B2564" s="3" t="s">
        <v>39</v>
      </c>
      <c r="C2564" s="4">
        <v>45992</v>
      </c>
      <c r="D2564" s="4">
        <v>46022</v>
      </c>
      <c r="E2564" s="3" t="s">
        <v>286</v>
      </c>
      <c r="F2564" s="3" t="s">
        <v>295</v>
      </c>
      <c r="G2564" s="5">
        <v>1E-3</v>
      </c>
      <c r="H2564" s="6" t="s">
        <v>54</v>
      </c>
      <c r="I2564" s="3" t="s">
        <v>45</v>
      </c>
    </row>
    <row r="2565" spans="1:9" ht="48" customHeight="1">
      <c r="A2565" s="3" t="s">
        <v>40</v>
      </c>
      <c r="B2565" s="3" t="s">
        <v>39</v>
      </c>
      <c r="C2565" s="4">
        <v>45992</v>
      </c>
      <c r="D2565" s="4">
        <v>46022</v>
      </c>
      <c r="E2565" s="3" t="s">
        <v>286</v>
      </c>
      <c r="F2565" s="3" t="s">
        <v>298</v>
      </c>
      <c r="G2565" s="5">
        <v>1E-3</v>
      </c>
      <c r="H2565" s="6" t="s">
        <v>54</v>
      </c>
      <c r="I2565" s="3" t="s">
        <v>45</v>
      </c>
    </row>
    <row r="2566" spans="1:9" ht="48" customHeight="1">
      <c r="A2566" s="3" t="s">
        <v>40</v>
      </c>
      <c r="B2566" s="3" t="s">
        <v>39</v>
      </c>
      <c r="C2566" s="4">
        <v>45992</v>
      </c>
      <c r="D2566" s="4">
        <v>46022</v>
      </c>
      <c r="E2566" s="3" t="s">
        <v>286</v>
      </c>
      <c r="F2566" s="3" t="s">
        <v>299</v>
      </c>
      <c r="G2566" s="5">
        <v>1E-3</v>
      </c>
      <c r="H2566" s="6" t="s">
        <v>54</v>
      </c>
      <c r="I2566" s="3" t="s">
        <v>45</v>
      </c>
    </row>
    <row r="2567" spans="1:9" ht="48" customHeight="1">
      <c r="A2567" s="3" t="s">
        <v>40</v>
      </c>
      <c r="B2567" s="3" t="s">
        <v>39</v>
      </c>
      <c r="C2567" s="4">
        <v>45992</v>
      </c>
      <c r="D2567" s="4">
        <v>46022</v>
      </c>
      <c r="E2567" s="3" t="s">
        <v>286</v>
      </c>
      <c r="F2567" s="3" t="s">
        <v>296</v>
      </c>
      <c r="G2567" s="5">
        <v>0</v>
      </c>
      <c r="H2567" s="6" t="s">
        <v>54</v>
      </c>
      <c r="I2567" s="3" t="s">
        <v>45</v>
      </c>
    </row>
    <row r="2568" spans="1:9" ht="48" customHeight="1">
      <c r="A2568" s="3" t="s">
        <v>40</v>
      </c>
      <c r="B2568" s="3" t="s">
        <v>39</v>
      </c>
      <c r="C2568" s="4">
        <v>45992</v>
      </c>
      <c r="D2568" s="4">
        <v>46022</v>
      </c>
      <c r="E2568" s="3" t="s">
        <v>161</v>
      </c>
      <c r="F2568" s="3" t="s">
        <v>172</v>
      </c>
      <c r="G2568" s="5">
        <v>1.1000000000000001E-2</v>
      </c>
      <c r="H2568" s="6" t="s">
        <v>54</v>
      </c>
      <c r="I2568" s="3" t="s">
        <v>45</v>
      </c>
    </row>
    <row r="2569" spans="1:9" ht="48" customHeight="1">
      <c r="A2569" s="3" t="s">
        <v>40</v>
      </c>
      <c r="B2569" s="3" t="s">
        <v>39</v>
      </c>
      <c r="C2569" s="4">
        <v>45992</v>
      </c>
      <c r="D2569" s="4">
        <v>46022</v>
      </c>
      <c r="E2569" s="3" t="s">
        <v>161</v>
      </c>
      <c r="F2569" s="3" t="s">
        <v>162</v>
      </c>
      <c r="G2569" s="5">
        <v>9.0000000000000011E-3</v>
      </c>
      <c r="H2569" s="6" t="s">
        <v>54</v>
      </c>
      <c r="I2569" s="3" t="s">
        <v>45</v>
      </c>
    </row>
    <row r="2570" spans="1:9" ht="48" customHeight="1">
      <c r="A2570" s="3" t="s">
        <v>40</v>
      </c>
      <c r="B2570" s="3" t="s">
        <v>39</v>
      </c>
      <c r="C2570" s="4">
        <v>45992</v>
      </c>
      <c r="D2570" s="4">
        <v>46022</v>
      </c>
      <c r="E2570" s="3" t="s">
        <v>161</v>
      </c>
      <c r="F2570" s="3" t="s">
        <v>166</v>
      </c>
      <c r="G2570" s="5">
        <v>9.0000000000000011E-3</v>
      </c>
      <c r="H2570" s="6" t="s">
        <v>54</v>
      </c>
      <c r="I2570" s="3" t="s">
        <v>45</v>
      </c>
    </row>
    <row r="2571" spans="1:9" ht="48" customHeight="1">
      <c r="A2571" s="3" t="s">
        <v>40</v>
      </c>
      <c r="B2571" s="3" t="s">
        <v>39</v>
      </c>
      <c r="C2571" s="4">
        <v>45992</v>
      </c>
      <c r="D2571" s="4">
        <v>46022</v>
      </c>
      <c r="E2571" s="3" t="s">
        <v>161</v>
      </c>
      <c r="F2571" s="3" t="s">
        <v>184</v>
      </c>
      <c r="G2571" s="5">
        <v>9.0000000000000011E-3</v>
      </c>
      <c r="H2571" s="6" t="s">
        <v>54</v>
      </c>
      <c r="I2571" s="3" t="s">
        <v>45</v>
      </c>
    </row>
    <row r="2572" spans="1:9" ht="48" customHeight="1">
      <c r="A2572" s="3" t="s">
        <v>40</v>
      </c>
      <c r="B2572" s="3" t="s">
        <v>39</v>
      </c>
      <c r="C2572" s="4">
        <v>45992</v>
      </c>
      <c r="D2572" s="4">
        <v>46022</v>
      </c>
      <c r="E2572" s="3" t="s">
        <v>161</v>
      </c>
      <c r="F2572" s="3" t="s">
        <v>164</v>
      </c>
      <c r="G2572" s="5">
        <v>6.9999999999999993E-3</v>
      </c>
      <c r="H2572" s="6" t="s">
        <v>54</v>
      </c>
      <c r="I2572" s="3" t="s">
        <v>45</v>
      </c>
    </row>
    <row r="2573" spans="1:9" ht="48" customHeight="1">
      <c r="A2573" s="3" t="s">
        <v>40</v>
      </c>
      <c r="B2573" s="3" t="s">
        <v>39</v>
      </c>
      <c r="C2573" s="4">
        <v>45992</v>
      </c>
      <c r="D2573" s="4">
        <v>46022</v>
      </c>
      <c r="E2573" s="3" t="s">
        <v>161</v>
      </c>
      <c r="F2573" s="3" t="s">
        <v>168</v>
      </c>
      <c r="G2573" s="5">
        <v>6.9999999999999993E-3</v>
      </c>
      <c r="H2573" s="6" t="s">
        <v>54</v>
      </c>
      <c r="I2573" s="3" t="s">
        <v>45</v>
      </c>
    </row>
    <row r="2574" spans="1:9" ht="48" customHeight="1">
      <c r="A2574" s="3" t="s">
        <v>40</v>
      </c>
      <c r="B2574" s="3" t="s">
        <v>39</v>
      </c>
      <c r="C2574" s="4">
        <v>45992</v>
      </c>
      <c r="D2574" s="4">
        <v>46022</v>
      </c>
      <c r="E2574" s="3" t="s">
        <v>161</v>
      </c>
      <c r="F2574" s="3" t="s">
        <v>163</v>
      </c>
      <c r="G2574" s="5">
        <v>6.9999999999999993E-3</v>
      </c>
      <c r="H2574" s="6" t="s">
        <v>54</v>
      </c>
      <c r="I2574" s="3" t="s">
        <v>45</v>
      </c>
    </row>
    <row r="2575" spans="1:9" ht="48" customHeight="1">
      <c r="A2575" s="3" t="s">
        <v>40</v>
      </c>
      <c r="B2575" s="3" t="s">
        <v>39</v>
      </c>
      <c r="C2575" s="4">
        <v>45992</v>
      </c>
      <c r="D2575" s="4">
        <v>46022</v>
      </c>
      <c r="E2575" s="3" t="s">
        <v>161</v>
      </c>
      <c r="F2575" s="3" t="s">
        <v>167</v>
      </c>
      <c r="G2575" s="5">
        <v>6.0000000000000001E-3</v>
      </c>
      <c r="H2575" s="6" t="s">
        <v>54</v>
      </c>
      <c r="I2575" s="3" t="s">
        <v>45</v>
      </c>
    </row>
    <row r="2576" spans="1:9" ht="48" customHeight="1">
      <c r="A2576" s="3" t="s">
        <v>40</v>
      </c>
      <c r="B2576" s="3" t="s">
        <v>39</v>
      </c>
      <c r="C2576" s="4">
        <v>45992</v>
      </c>
      <c r="D2576" s="4">
        <v>46022</v>
      </c>
      <c r="E2576" s="3" t="s">
        <v>161</v>
      </c>
      <c r="F2576" s="3" t="s">
        <v>181</v>
      </c>
      <c r="G2576" s="5">
        <v>6.0000000000000001E-3</v>
      </c>
      <c r="H2576" s="6" t="s">
        <v>54</v>
      </c>
      <c r="I2576" s="3" t="s">
        <v>45</v>
      </c>
    </row>
    <row r="2577" spans="1:9" ht="48" customHeight="1">
      <c r="A2577" s="3" t="s">
        <v>40</v>
      </c>
      <c r="B2577" s="3" t="s">
        <v>39</v>
      </c>
      <c r="C2577" s="4">
        <v>45992</v>
      </c>
      <c r="D2577" s="4">
        <v>46022</v>
      </c>
      <c r="E2577" s="3" t="s">
        <v>161</v>
      </c>
      <c r="F2577" s="3" t="s">
        <v>195</v>
      </c>
      <c r="G2577" s="5">
        <v>6.0000000000000001E-3</v>
      </c>
      <c r="H2577" s="6" t="s">
        <v>54</v>
      </c>
      <c r="I2577" s="3" t="s">
        <v>45</v>
      </c>
    </row>
    <row r="2578" spans="1:9" ht="48" customHeight="1">
      <c r="A2578" s="3" t="s">
        <v>40</v>
      </c>
      <c r="B2578" s="3" t="s">
        <v>39</v>
      </c>
      <c r="C2578" s="4">
        <v>45992</v>
      </c>
      <c r="D2578" s="4">
        <v>46022</v>
      </c>
      <c r="E2578" s="3" t="s">
        <v>161</v>
      </c>
      <c r="F2578" s="3" t="s">
        <v>169</v>
      </c>
      <c r="G2578" s="5">
        <v>5.0000000000000001E-3</v>
      </c>
      <c r="H2578" s="6" t="s">
        <v>54</v>
      </c>
      <c r="I2578" s="3" t="s">
        <v>45</v>
      </c>
    </row>
    <row r="2579" spans="1:9" ht="48" customHeight="1">
      <c r="A2579" s="3" t="s">
        <v>40</v>
      </c>
      <c r="B2579" s="3" t="s">
        <v>39</v>
      </c>
      <c r="C2579" s="4">
        <v>45992</v>
      </c>
      <c r="D2579" s="4">
        <v>46022</v>
      </c>
      <c r="E2579" s="3" t="s">
        <v>161</v>
      </c>
      <c r="F2579" s="3" t="s">
        <v>170</v>
      </c>
      <c r="G2579" s="5">
        <v>5.0000000000000001E-3</v>
      </c>
      <c r="H2579" s="6" t="s">
        <v>54</v>
      </c>
      <c r="I2579" s="3" t="s">
        <v>45</v>
      </c>
    </row>
    <row r="2580" spans="1:9" ht="48" customHeight="1">
      <c r="A2580" s="3" t="s">
        <v>40</v>
      </c>
      <c r="B2580" s="3" t="s">
        <v>39</v>
      </c>
      <c r="C2580" s="4">
        <v>45992</v>
      </c>
      <c r="D2580" s="4">
        <v>46022</v>
      </c>
      <c r="E2580" s="3" t="s">
        <v>161</v>
      </c>
      <c r="F2580" s="3" t="s">
        <v>171</v>
      </c>
      <c r="G2580" s="5">
        <v>5.0000000000000001E-3</v>
      </c>
      <c r="H2580" s="6" t="s">
        <v>54</v>
      </c>
      <c r="I2580" s="3" t="s">
        <v>45</v>
      </c>
    </row>
    <row r="2581" spans="1:9" ht="48" customHeight="1">
      <c r="A2581" s="3" t="s">
        <v>40</v>
      </c>
      <c r="B2581" s="3" t="s">
        <v>39</v>
      </c>
      <c r="C2581" s="4">
        <v>45992</v>
      </c>
      <c r="D2581" s="4">
        <v>46022</v>
      </c>
      <c r="E2581" s="3" t="s">
        <v>161</v>
      </c>
      <c r="F2581" s="3" t="s">
        <v>177</v>
      </c>
      <c r="G2581" s="5">
        <v>5.0000000000000001E-3</v>
      </c>
      <c r="H2581" s="6" t="s">
        <v>54</v>
      </c>
      <c r="I2581" s="3" t="s">
        <v>45</v>
      </c>
    </row>
    <row r="2582" spans="1:9" ht="48" customHeight="1">
      <c r="A2582" s="3" t="s">
        <v>40</v>
      </c>
      <c r="B2582" s="3" t="s">
        <v>39</v>
      </c>
      <c r="C2582" s="4">
        <v>45992</v>
      </c>
      <c r="D2582" s="4">
        <v>46022</v>
      </c>
      <c r="E2582" s="3" t="s">
        <v>161</v>
      </c>
      <c r="F2582" s="3" t="s">
        <v>188</v>
      </c>
      <c r="G2582" s="5">
        <v>5.0000000000000001E-3</v>
      </c>
      <c r="H2582" s="6" t="s">
        <v>54</v>
      </c>
      <c r="I2582" s="3" t="s">
        <v>45</v>
      </c>
    </row>
    <row r="2583" spans="1:9" ht="48" customHeight="1">
      <c r="A2583" s="3" t="s">
        <v>40</v>
      </c>
      <c r="B2583" s="3" t="s">
        <v>39</v>
      </c>
      <c r="C2583" s="4">
        <v>45992</v>
      </c>
      <c r="D2583" s="4">
        <v>46022</v>
      </c>
      <c r="E2583" s="3" t="s">
        <v>161</v>
      </c>
      <c r="F2583" s="3" t="s">
        <v>180</v>
      </c>
      <c r="G2583" s="5">
        <v>5.0000000000000001E-3</v>
      </c>
      <c r="H2583" s="6" t="s">
        <v>54</v>
      </c>
      <c r="I2583" s="3" t="s">
        <v>45</v>
      </c>
    </row>
    <row r="2584" spans="1:9" ht="48" customHeight="1">
      <c r="A2584" s="3" t="s">
        <v>40</v>
      </c>
      <c r="B2584" s="3" t="s">
        <v>39</v>
      </c>
      <c r="C2584" s="4">
        <v>45992</v>
      </c>
      <c r="D2584" s="4">
        <v>46022</v>
      </c>
      <c r="E2584" s="3" t="s">
        <v>161</v>
      </c>
      <c r="F2584" s="3" t="s">
        <v>200</v>
      </c>
      <c r="G2584" s="5">
        <v>5.0000000000000001E-3</v>
      </c>
      <c r="H2584" s="6" t="s">
        <v>54</v>
      </c>
      <c r="I2584" s="3" t="s">
        <v>45</v>
      </c>
    </row>
    <row r="2585" spans="1:9" ht="48" customHeight="1">
      <c r="A2585" s="3" t="s">
        <v>40</v>
      </c>
      <c r="B2585" s="3" t="s">
        <v>39</v>
      </c>
      <c r="C2585" s="4">
        <v>45992</v>
      </c>
      <c r="D2585" s="4">
        <v>46022</v>
      </c>
      <c r="E2585" s="3" t="s">
        <v>161</v>
      </c>
      <c r="F2585" s="3" t="s">
        <v>174</v>
      </c>
      <c r="G2585" s="5">
        <v>4.0000000000000001E-3</v>
      </c>
      <c r="H2585" s="6" t="s">
        <v>54</v>
      </c>
      <c r="I2585" s="3" t="s">
        <v>45</v>
      </c>
    </row>
    <row r="2586" spans="1:9" ht="48" customHeight="1">
      <c r="A2586" s="3" t="s">
        <v>40</v>
      </c>
      <c r="B2586" s="3" t="s">
        <v>39</v>
      </c>
      <c r="C2586" s="4">
        <v>45992</v>
      </c>
      <c r="D2586" s="4">
        <v>46022</v>
      </c>
      <c r="E2586" s="3" t="s">
        <v>161</v>
      </c>
      <c r="F2586" s="3" t="s">
        <v>175</v>
      </c>
      <c r="G2586" s="5">
        <v>4.0000000000000001E-3</v>
      </c>
      <c r="H2586" s="6" t="s">
        <v>54</v>
      </c>
      <c r="I2586" s="3" t="s">
        <v>45</v>
      </c>
    </row>
    <row r="2587" spans="1:9" ht="48" customHeight="1">
      <c r="A2587" s="3" t="s">
        <v>40</v>
      </c>
      <c r="B2587" s="3" t="s">
        <v>39</v>
      </c>
      <c r="C2587" s="4">
        <v>45992</v>
      </c>
      <c r="D2587" s="4">
        <v>46022</v>
      </c>
      <c r="E2587" s="3" t="s">
        <v>161</v>
      </c>
      <c r="F2587" s="3" t="s">
        <v>189</v>
      </c>
      <c r="G2587" s="5">
        <v>4.0000000000000001E-3</v>
      </c>
      <c r="H2587" s="6" t="s">
        <v>54</v>
      </c>
      <c r="I2587" s="3" t="s">
        <v>45</v>
      </c>
    </row>
    <row r="2588" spans="1:9" ht="48" customHeight="1">
      <c r="A2588" s="3" t="s">
        <v>40</v>
      </c>
      <c r="B2588" s="3" t="s">
        <v>39</v>
      </c>
      <c r="C2588" s="4">
        <v>45992</v>
      </c>
      <c r="D2588" s="4">
        <v>46022</v>
      </c>
      <c r="E2588" s="3" t="s">
        <v>161</v>
      </c>
      <c r="F2588" s="3" t="s">
        <v>191</v>
      </c>
      <c r="G2588" s="5">
        <v>4.0000000000000001E-3</v>
      </c>
      <c r="H2588" s="6" t="s">
        <v>54</v>
      </c>
      <c r="I2588" s="3" t="s">
        <v>45</v>
      </c>
    </row>
    <row r="2589" spans="1:9" ht="48" customHeight="1">
      <c r="A2589" s="3" t="s">
        <v>40</v>
      </c>
      <c r="B2589" s="3" t="s">
        <v>39</v>
      </c>
      <c r="C2589" s="4">
        <v>45992</v>
      </c>
      <c r="D2589" s="4">
        <v>46022</v>
      </c>
      <c r="E2589" s="3" t="s">
        <v>161</v>
      </c>
      <c r="F2589" s="3" t="s">
        <v>165</v>
      </c>
      <c r="G2589" s="5">
        <v>4.0000000000000001E-3</v>
      </c>
      <c r="H2589" s="6" t="s">
        <v>54</v>
      </c>
      <c r="I2589" s="3" t="s">
        <v>45</v>
      </c>
    </row>
    <row r="2590" spans="1:9" ht="48" customHeight="1">
      <c r="A2590" s="3" t="s">
        <v>40</v>
      </c>
      <c r="B2590" s="3" t="s">
        <v>39</v>
      </c>
      <c r="C2590" s="4">
        <v>45992</v>
      </c>
      <c r="D2590" s="4">
        <v>46022</v>
      </c>
      <c r="E2590" s="3" t="s">
        <v>161</v>
      </c>
      <c r="F2590" s="3" t="s">
        <v>193</v>
      </c>
      <c r="G2590" s="5">
        <v>4.0000000000000001E-3</v>
      </c>
      <c r="H2590" s="6" t="s">
        <v>54</v>
      </c>
      <c r="I2590" s="3" t="s">
        <v>45</v>
      </c>
    </row>
    <row r="2591" spans="1:9" ht="48" customHeight="1">
      <c r="A2591" s="3" t="s">
        <v>40</v>
      </c>
      <c r="B2591" s="3" t="s">
        <v>39</v>
      </c>
      <c r="C2591" s="4">
        <v>45992</v>
      </c>
      <c r="D2591" s="4">
        <v>46022</v>
      </c>
      <c r="E2591" s="3" t="s">
        <v>161</v>
      </c>
      <c r="F2591" s="3" t="s">
        <v>178</v>
      </c>
      <c r="G2591" s="5">
        <v>4.0000000000000001E-3</v>
      </c>
      <c r="H2591" s="6" t="s">
        <v>54</v>
      </c>
      <c r="I2591" s="3" t="s">
        <v>45</v>
      </c>
    </row>
    <row r="2592" spans="1:9" ht="48" customHeight="1">
      <c r="A2592" s="3" t="s">
        <v>40</v>
      </c>
      <c r="B2592" s="3" t="s">
        <v>39</v>
      </c>
      <c r="C2592" s="4">
        <v>45992</v>
      </c>
      <c r="D2592" s="4">
        <v>46022</v>
      </c>
      <c r="E2592" s="3" t="s">
        <v>161</v>
      </c>
      <c r="F2592" s="3" t="s">
        <v>182</v>
      </c>
      <c r="G2592" s="5">
        <v>4.0000000000000001E-3</v>
      </c>
      <c r="H2592" s="6" t="s">
        <v>54</v>
      </c>
      <c r="I2592" s="3" t="s">
        <v>45</v>
      </c>
    </row>
    <row r="2593" spans="1:9" ht="48" customHeight="1">
      <c r="A2593" s="3" t="s">
        <v>40</v>
      </c>
      <c r="B2593" s="3" t="s">
        <v>39</v>
      </c>
      <c r="C2593" s="4">
        <v>45992</v>
      </c>
      <c r="D2593" s="4">
        <v>46022</v>
      </c>
      <c r="E2593" s="3" t="s">
        <v>161</v>
      </c>
      <c r="F2593" s="3" t="s">
        <v>183</v>
      </c>
      <c r="G2593" s="5">
        <v>4.0000000000000001E-3</v>
      </c>
      <c r="H2593" s="6" t="s">
        <v>54</v>
      </c>
      <c r="I2593" s="3" t="s">
        <v>45</v>
      </c>
    </row>
    <row r="2594" spans="1:9" ht="48" customHeight="1">
      <c r="A2594" s="3" t="s">
        <v>40</v>
      </c>
      <c r="B2594" s="3" t="s">
        <v>39</v>
      </c>
      <c r="C2594" s="4">
        <v>45992</v>
      </c>
      <c r="D2594" s="4">
        <v>46022</v>
      </c>
      <c r="E2594" s="3" t="s">
        <v>161</v>
      </c>
      <c r="F2594" s="3" t="s">
        <v>173</v>
      </c>
      <c r="G2594" s="5">
        <v>4.0000000000000001E-3</v>
      </c>
      <c r="H2594" s="6" t="s">
        <v>54</v>
      </c>
      <c r="I2594" s="3" t="s">
        <v>45</v>
      </c>
    </row>
    <row r="2595" spans="1:9" ht="48" customHeight="1">
      <c r="A2595" s="3" t="s">
        <v>40</v>
      </c>
      <c r="B2595" s="3" t="s">
        <v>39</v>
      </c>
      <c r="C2595" s="4">
        <v>45992</v>
      </c>
      <c r="D2595" s="4">
        <v>46022</v>
      </c>
      <c r="E2595" s="3" t="s">
        <v>161</v>
      </c>
      <c r="F2595" s="3" t="s">
        <v>190</v>
      </c>
      <c r="G2595" s="5">
        <v>3.0000000000000001E-3</v>
      </c>
      <c r="H2595" s="6" t="s">
        <v>54</v>
      </c>
      <c r="I2595" s="3" t="s">
        <v>45</v>
      </c>
    </row>
    <row r="2596" spans="1:9" ht="48" customHeight="1">
      <c r="A2596" s="3" t="s">
        <v>40</v>
      </c>
      <c r="B2596" s="3" t="s">
        <v>39</v>
      </c>
      <c r="C2596" s="4">
        <v>45992</v>
      </c>
      <c r="D2596" s="4">
        <v>46022</v>
      </c>
      <c r="E2596" s="3" t="s">
        <v>161</v>
      </c>
      <c r="F2596" s="3" t="s">
        <v>176</v>
      </c>
      <c r="G2596" s="5">
        <v>3.0000000000000001E-3</v>
      </c>
      <c r="H2596" s="6" t="s">
        <v>54</v>
      </c>
      <c r="I2596" s="3" t="s">
        <v>45</v>
      </c>
    </row>
    <row r="2597" spans="1:9" ht="48" customHeight="1">
      <c r="A2597" s="3" t="s">
        <v>40</v>
      </c>
      <c r="B2597" s="3" t="s">
        <v>39</v>
      </c>
      <c r="C2597" s="4">
        <v>45992</v>
      </c>
      <c r="D2597" s="4">
        <v>46022</v>
      </c>
      <c r="E2597" s="3" t="s">
        <v>161</v>
      </c>
      <c r="F2597" s="3" t="s">
        <v>186</v>
      </c>
      <c r="G2597" s="5">
        <v>3.0000000000000001E-3</v>
      </c>
      <c r="H2597" s="6" t="s">
        <v>54</v>
      </c>
      <c r="I2597" s="3" t="s">
        <v>45</v>
      </c>
    </row>
    <row r="2598" spans="1:9" ht="48" customHeight="1">
      <c r="A2598" s="3" t="s">
        <v>40</v>
      </c>
      <c r="B2598" s="3" t="s">
        <v>39</v>
      </c>
      <c r="C2598" s="4">
        <v>45992</v>
      </c>
      <c r="D2598" s="4">
        <v>46022</v>
      </c>
      <c r="E2598" s="3" t="s">
        <v>161</v>
      </c>
      <c r="F2598" s="3" t="s">
        <v>187</v>
      </c>
      <c r="G2598" s="5">
        <v>3.0000000000000001E-3</v>
      </c>
      <c r="H2598" s="6" t="s">
        <v>54</v>
      </c>
      <c r="I2598" s="3" t="s">
        <v>45</v>
      </c>
    </row>
    <row r="2599" spans="1:9" ht="48" customHeight="1">
      <c r="A2599" s="3" t="s">
        <v>40</v>
      </c>
      <c r="B2599" s="3" t="s">
        <v>39</v>
      </c>
      <c r="C2599" s="4">
        <v>45992</v>
      </c>
      <c r="D2599" s="4">
        <v>46022</v>
      </c>
      <c r="E2599" s="3" t="s">
        <v>161</v>
      </c>
      <c r="F2599" s="3" t="s">
        <v>179</v>
      </c>
      <c r="G2599" s="5">
        <v>3.0000000000000001E-3</v>
      </c>
      <c r="H2599" s="6" t="s">
        <v>54</v>
      </c>
      <c r="I2599" s="3" t="s">
        <v>45</v>
      </c>
    </row>
    <row r="2600" spans="1:9" ht="48" customHeight="1">
      <c r="A2600" s="3" t="s">
        <v>40</v>
      </c>
      <c r="B2600" s="3" t="s">
        <v>39</v>
      </c>
      <c r="C2600" s="4">
        <v>45992</v>
      </c>
      <c r="D2600" s="4">
        <v>46022</v>
      </c>
      <c r="E2600" s="3" t="s">
        <v>161</v>
      </c>
      <c r="F2600" s="3" t="s">
        <v>194</v>
      </c>
      <c r="G2600" s="5">
        <v>3.0000000000000001E-3</v>
      </c>
      <c r="H2600" s="6" t="s">
        <v>54</v>
      </c>
      <c r="I2600" s="3" t="s">
        <v>45</v>
      </c>
    </row>
    <row r="2601" spans="1:9" ht="48" customHeight="1">
      <c r="A2601" s="3" t="s">
        <v>40</v>
      </c>
      <c r="B2601" s="3" t="s">
        <v>39</v>
      </c>
      <c r="C2601" s="4">
        <v>45992</v>
      </c>
      <c r="D2601" s="4">
        <v>46022</v>
      </c>
      <c r="E2601" s="3" t="s">
        <v>161</v>
      </c>
      <c r="F2601" s="3" t="s">
        <v>196</v>
      </c>
      <c r="G2601" s="5">
        <v>3.0000000000000001E-3</v>
      </c>
      <c r="H2601" s="6" t="s">
        <v>54</v>
      </c>
      <c r="I2601" s="3" t="s">
        <v>45</v>
      </c>
    </row>
    <row r="2602" spans="1:9" ht="48" customHeight="1">
      <c r="A2602" s="3" t="s">
        <v>40</v>
      </c>
      <c r="B2602" s="3" t="s">
        <v>39</v>
      </c>
      <c r="C2602" s="4">
        <v>45992</v>
      </c>
      <c r="D2602" s="4">
        <v>46022</v>
      </c>
      <c r="E2602" s="3" t="s">
        <v>161</v>
      </c>
      <c r="F2602" s="3" t="s">
        <v>201</v>
      </c>
      <c r="G2602" s="5">
        <v>3.0000000000000001E-3</v>
      </c>
      <c r="H2602" s="6" t="s">
        <v>54</v>
      </c>
      <c r="I2602" s="3" t="s">
        <v>45</v>
      </c>
    </row>
    <row r="2603" spans="1:9" ht="48" customHeight="1">
      <c r="A2603" s="3" t="s">
        <v>40</v>
      </c>
      <c r="B2603" s="3" t="s">
        <v>39</v>
      </c>
      <c r="C2603" s="4">
        <v>45992</v>
      </c>
      <c r="D2603" s="4">
        <v>46022</v>
      </c>
      <c r="E2603" s="3" t="s">
        <v>161</v>
      </c>
      <c r="F2603" s="3" t="s">
        <v>185</v>
      </c>
      <c r="G2603" s="5">
        <v>2E-3</v>
      </c>
      <c r="H2603" s="6" t="s">
        <v>54</v>
      </c>
      <c r="I2603" s="3" t="s">
        <v>45</v>
      </c>
    </row>
    <row r="2604" spans="1:9" ht="48" customHeight="1">
      <c r="A2604" s="3" t="s">
        <v>40</v>
      </c>
      <c r="B2604" s="3" t="s">
        <v>39</v>
      </c>
      <c r="C2604" s="4">
        <v>45992</v>
      </c>
      <c r="D2604" s="4">
        <v>46022</v>
      </c>
      <c r="E2604" s="3" t="s">
        <v>161</v>
      </c>
      <c r="F2604" s="3" t="s">
        <v>192</v>
      </c>
      <c r="G2604" s="5">
        <v>2E-3</v>
      </c>
      <c r="H2604" s="6" t="s">
        <v>54</v>
      </c>
      <c r="I2604" s="3" t="s">
        <v>45</v>
      </c>
    </row>
    <row r="2605" spans="1:9" ht="48" customHeight="1">
      <c r="A2605" s="3" t="s">
        <v>40</v>
      </c>
      <c r="B2605" s="3" t="s">
        <v>39</v>
      </c>
      <c r="C2605" s="4">
        <v>45992</v>
      </c>
      <c r="D2605" s="4">
        <v>46022</v>
      </c>
      <c r="E2605" s="3" t="s">
        <v>161</v>
      </c>
      <c r="F2605" s="3" t="s">
        <v>199</v>
      </c>
      <c r="G2605" s="5">
        <v>2E-3</v>
      </c>
      <c r="H2605" s="6" t="s">
        <v>54</v>
      </c>
      <c r="I2605" s="3" t="s">
        <v>45</v>
      </c>
    </row>
    <row r="2606" spans="1:9" ht="48" customHeight="1">
      <c r="A2606" s="3" t="s">
        <v>40</v>
      </c>
      <c r="B2606" s="3" t="s">
        <v>39</v>
      </c>
      <c r="C2606" s="4">
        <v>45992</v>
      </c>
      <c r="D2606" s="4">
        <v>46022</v>
      </c>
      <c r="E2606" s="3" t="s">
        <v>161</v>
      </c>
      <c r="F2606" s="3" t="s">
        <v>197</v>
      </c>
      <c r="G2606" s="5">
        <v>1E-3</v>
      </c>
      <c r="H2606" s="6" t="s">
        <v>54</v>
      </c>
      <c r="I2606" s="3" t="s">
        <v>45</v>
      </c>
    </row>
    <row r="2607" spans="1:9" ht="48" customHeight="1">
      <c r="A2607" s="3" t="s">
        <v>40</v>
      </c>
      <c r="B2607" s="3" t="s">
        <v>39</v>
      </c>
      <c r="C2607" s="4">
        <v>45992</v>
      </c>
      <c r="D2607" s="4">
        <v>46022</v>
      </c>
      <c r="E2607" s="3" t="s">
        <v>161</v>
      </c>
      <c r="F2607" s="3" t="s">
        <v>202</v>
      </c>
      <c r="G2607" s="5">
        <v>1E-3</v>
      </c>
      <c r="H2607" s="6" t="s">
        <v>54</v>
      </c>
      <c r="I2607" s="3" t="s">
        <v>45</v>
      </c>
    </row>
    <row r="2608" spans="1:9" ht="48" customHeight="1">
      <c r="A2608" s="3" t="s">
        <v>40</v>
      </c>
      <c r="B2608" s="3" t="s">
        <v>39</v>
      </c>
      <c r="C2608" s="4">
        <v>45992</v>
      </c>
      <c r="D2608" s="4">
        <v>46022</v>
      </c>
      <c r="E2608" s="3" t="s">
        <v>161</v>
      </c>
      <c r="F2608" s="3" t="s">
        <v>198</v>
      </c>
      <c r="G2608" s="5">
        <v>1E-3</v>
      </c>
      <c r="H2608" s="6" t="s">
        <v>54</v>
      </c>
      <c r="I2608" s="3" t="s">
        <v>45</v>
      </c>
    </row>
    <row r="2609" spans="1:9" ht="48" customHeight="1">
      <c r="A2609" s="3" t="s">
        <v>40</v>
      </c>
      <c r="B2609" s="3" t="s">
        <v>39</v>
      </c>
      <c r="C2609" s="4">
        <v>45992</v>
      </c>
      <c r="D2609" s="4">
        <v>46022</v>
      </c>
      <c r="E2609" s="3" t="s">
        <v>161</v>
      </c>
      <c r="F2609" s="3" t="s">
        <v>204</v>
      </c>
      <c r="G2609" s="5">
        <v>1E-3</v>
      </c>
      <c r="H2609" s="6" t="s">
        <v>54</v>
      </c>
      <c r="I2609" s="3" t="s">
        <v>45</v>
      </c>
    </row>
    <row r="2610" spans="1:9" ht="48" customHeight="1">
      <c r="A2610" s="3" t="s">
        <v>40</v>
      </c>
      <c r="B2610" s="3" t="s">
        <v>39</v>
      </c>
      <c r="C2610" s="4">
        <v>45992</v>
      </c>
      <c r="D2610" s="4">
        <v>46022</v>
      </c>
      <c r="E2610" s="3" t="s">
        <v>161</v>
      </c>
      <c r="F2610" s="3" t="s">
        <v>203</v>
      </c>
      <c r="G2610" s="5">
        <v>0</v>
      </c>
      <c r="H2610" s="6" t="s">
        <v>54</v>
      </c>
      <c r="I2610" s="3" t="s">
        <v>45</v>
      </c>
    </row>
    <row r="2611" spans="1:9" ht="48" customHeight="1">
      <c r="A2611" s="3" t="s">
        <v>40</v>
      </c>
      <c r="B2611" s="3" t="s">
        <v>39</v>
      </c>
      <c r="C2611" s="4">
        <v>45992</v>
      </c>
      <c r="D2611" s="4">
        <v>46022</v>
      </c>
      <c r="E2611" s="3" t="s">
        <v>205</v>
      </c>
      <c r="F2611" s="3" t="s">
        <v>216</v>
      </c>
      <c r="G2611" s="5">
        <v>8.0000000000000002E-3</v>
      </c>
      <c r="H2611" s="6" t="s">
        <v>54</v>
      </c>
      <c r="I2611" s="3" t="s">
        <v>45</v>
      </c>
    </row>
    <row r="2612" spans="1:9" ht="48" customHeight="1">
      <c r="A2612" s="3" t="s">
        <v>40</v>
      </c>
      <c r="B2612" s="3" t="s">
        <v>39</v>
      </c>
      <c r="C2612" s="4">
        <v>45992</v>
      </c>
      <c r="D2612" s="4">
        <v>46022</v>
      </c>
      <c r="E2612" s="3" t="s">
        <v>205</v>
      </c>
      <c r="F2612" s="3" t="s">
        <v>210</v>
      </c>
      <c r="G2612" s="5">
        <v>6.9999999999999993E-3</v>
      </c>
      <c r="H2612" s="6" t="s">
        <v>54</v>
      </c>
      <c r="I2612" s="3" t="s">
        <v>45</v>
      </c>
    </row>
    <row r="2613" spans="1:9" ht="48" customHeight="1">
      <c r="A2613" s="3" t="s">
        <v>40</v>
      </c>
      <c r="B2613" s="3" t="s">
        <v>39</v>
      </c>
      <c r="C2613" s="4">
        <v>45992</v>
      </c>
      <c r="D2613" s="4">
        <v>46022</v>
      </c>
      <c r="E2613" s="3" t="s">
        <v>205</v>
      </c>
      <c r="F2613" s="3" t="s">
        <v>207</v>
      </c>
      <c r="G2613" s="5">
        <v>6.0000000000000001E-3</v>
      </c>
      <c r="H2613" s="6" t="s">
        <v>54</v>
      </c>
      <c r="I2613" s="3" t="s">
        <v>45</v>
      </c>
    </row>
    <row r="2614" spans="1:9" ht="48" customHeight="1">
      <c r="A2614" s="3" t="s">
        <v>40</v>
      </c>
      <c r="B2614" s="3" t="s">
        <v>39</v>
      </c>
      <c r="C2614" s="4">
        <v>45992</v>
      </c>
      <c r="D2614" s="4">
        <v>46022</v>
      </c>
      <c r="E2614" s="3" t="s">
        <v>205</v>
      </c>
      <c r="F2614" s="3" t="s">
        <v>206</v>
      </c>
      <c r="G2614" s="5">
        <v>6.0000000000000001E-3</v>
      </c>
      <c r="H2614" s="6" t="s">
        <v>54</v>
      </c>
      <c r="I2614" s="3" t="s">
        <v>45</v>
      </c>
    </row>
    <row r="2615" spans="1:9" ht="48" customHeight="1">
      <c r="A2615" s="3" t="s">
        <v>40</v>
      </c>
      <c r="B2615" s="3" t="s">
        <v>39</v>
      </c>
      <c r="C2615" s="4">
        <v>45992</v>
      </c>
      <c r="D2615" s="4">
        <v>46022</v>
      </c>
      <c r="E2615" s="3" t="s">
        <v>205</v>
      </c>
      <c r="F2615" s="3" t="s">
        <v>209</v>
      </c>
      <c r="G2615" s="5">
        <v>6.0000000000000001E-3</v>
      </c>
      <c r="H2615" s="6" t="s">
        <v>54</v>
      </c>
      <c r="I2615" s="3" t="s">
        <v>45</v>
      </c>
    </row>
    <row r="2616" spans="1:9" ht="48" customHeight="1">
      <c r="A2616" s="3" t="s">
        <v>40</v>
      </c>
      <c r="B2616" s="3" t="s">
        <v>39</v>
      </c>
      <c r="C2616" s="4">
        <v>45992</v>
      </c>
      <c r="D2616" s="4">
        <v>46022</v>
      </c>
      <c r="E2616" s="3" t="s">
        <v>205</v>
      </c>
      <c r="F2616" s="3" t="s">
        <v>224</v>
      </c>
      <c r="G2616" s="5">
        <v>5.0000000000000001E-3</v>
      </c>
      <c r="H2616" s="6" t="s">
        <v>54</v>
      </c>
      <c r="I2616" s="3" t="s">
        <v>45</v>
      </c>
    </row>
    <row r="2617" spans="1:9" ht="48" customHeight="1">
      <c r="A2617" s="3" t="s">
        <v>40</v>
      </c>
      <c r="B2617" s="3" t="s">
        <v>39</v>
      </c>
      <c r="C2617" s="4">
        <v>45992</v>
      </c>
      <c r="D2617" s="4">
        <v>46022</v>
      </c>
      <c r="E2617" s="3" t="s">
        <v>205</v>
      </c>
      <c r="F2617" s="3" t="s">
        <v>220</v>
      </c>
      <c r="G2617" s="5">
        <v>5.0000000000000001E-3</v>
      </c>
      <c r="H2617" s="6" t="s">
        <v>54</v>
      </c>
      <c r="I2617" s="3" t="s">
        <v>45</v>
      </c>
    </row>
    <row r="2618" spans="1:9" ht="48" customHeight="1">
      <c r="A2618" s="3" t="s">
        <v>40</v>
      </c>
      <c r="B2618" s="3" t="s">
        <v>39</v>
      </c>
      <c r="C2618" s="4">
        <v>45992</v>
      </c>
      <c r="D2618" s="4">
        <v>46022</v>
      </c>
      <c r="E2618" s="3" t="s">
        <v>205</v>
      </c>
      <c r="F2618" s="3" t="s">
        <v>213</v>
      </c>
      <c r="G2618" s="5">
        <v>5.0000000000000001E-3</v>
      </c>
      <c r="H2618" s="6" t="s">
        <v>54</v>
      </c>
      <c r="I2618" s="3" t="s">
        <v>45</v>
      </c>
    </row>
    <row r="2619" spans="1:9" ht="48" customHeight="1">
      <c r="A2619" s="3" t="s">
        <v>40</v>
      </c>
      <c r="B2619" s="3" t="s">
        <v>39</v>
      </c>
      <c r="C2619" s="4">
        <v>45992</v>
      </c>
      <c r="D2619" s="4">
        <v>46022</v>
      </c>
      <c r="E2619" s="3" t="s">
        <v>205</v>
      </c>
      <c r="F2619" s="3" t="s">
        <v>215</v>
      </c>
      <c r="G2619" s="5">
        <v>5.0000000000000001E-3</v>
      </c>
      <c r="H2619" s="6" t="s">
        <v>54</v>
      </c>
      <c r="I2619" s="3" t="s">
        <v>45</v>
      </c>
    </row>
    <row r="2620" spans="1:9" ht="48" customHeight="1">
      <c r="A2620" s="3" t="s">
        <v>40</v>
      </c>
      <c r="B2620" s="3" t="s">
        <v>39</v>
      </c>
      <c r="C2620" s="4">
        <v>45992</v>
      </c>
      <c r="D2620" s="4">
        <v>46022</v>
      </c>
      <c r="E2620" s="3" t="s">
        <v>205</v>
      </c>
      <c r="F2620" s="3" t="s">
        <v>217</v>
      </c>
      <c r="G2620" s="5">
        <v>4.0000000000000001E-3</v>
      </c>
      <c r="H2620" s="6" t="s">
        <v>54</v>
      </c>
      <c r="I2620" s="3" t="s">
        <v>45</v>
      </c>
    </row>
    <row r="2621" spans="1:9" ht="48" customHeight="1">
      <c r="A2621" s="3" t="s">
        <v>40</v>
      </c>
      <c r="B2621" s="3" t="s">
        <v>39</v>
      </c>
      <c r="C2621" s="4">
        <v>45992</v>
      </c>
      <c r="D2621" s="4">
        <v>46022</v>
      </c>
      <c r="E2621" s="3" t="s">
        <v>205</v>
      </c>
      <c r="F2621" s="3" t="s">
        <v>218</v>
      </c>
      <c r="G2621" s="5">
        <v>4.0000000000000001E-3</v>
      </c>
      <c r="H2621" s="6" t="s">
        <v>54</v>
      </c>
      <c r="I2621" s="3" t="s">
        <v>45</v>
      </c>
    </row>
    <row r="2622" spans="1:9" ht="48" customHeight="1">
      <c r="A2622" s="3" t="s">
        <v>40</v>
      </c>
      <c r="B2622" s="3" t="s">
        <v>39</v>
      </c>
      <c r="C2622" s="4">
        <v>45992</v>
      </c>
      <c r="D2622" s="4">
        <v>46022</v>
      </c>
      <c r="E2622" s="3" t="s">
        <v>205</v>
      </c>
      <c r="F2622" s="3" t="s">
        <v>225</v>
      </c>
      <c r="G2622" s="5">
        <v>4.0000000000000001E-3</v>
      </c>
      <c r="H2622" s="6" t="s">
        <v>54</v>
      </c>
      <c r="I2622" s="3" t="s">
        <v>45</v>
      </c>
    </row>
    <row r="2623" spans="1:9" ht="48" customHeight="1">
      <c r="A2623" s="3" t="s">
        <v>40</v>
      </c>
      <c r="B2623" s="3" t="s">
        <v>39</v>
      </c>
      <c r="C2623" s="4">
        <v>45992</v>
      </c>
      <c r="D2623" s="4">
        <v>46022</v>
      </c>
      <c r="E2623" s="3" t="s">
        <v>205</v>
      </c>
      <c r="F2623" s="3" t="s">
        <v>219</v>
      </c>
      <c r="G2623" s="5">
        <v>4.0000000000000001E-3</v>
      </c>
      <c r="H2623" s="6" t="s">
        <v>54</v>
      </c>
      <c r="I2623" s="3" t="s">
        <v>45</v>
      </c>
    </row>
    <row r="2624" spans="1:9" ht="48" customHeight="1">
      <c r="A2624" s="3" t="s">
        <v>40</v>
      </c>
      <c r="B2624" s="3" t="s">
        <v>39</v>
      </c>
      <c r="C2624" s="4">
        <v>45992</v>
      </c>
      <c r="D2624" s="4">
        <v>46022</v>
      </c>
      <c r="E2624" s="3" t="s">
        <v>205</v>
      </c>
      <c r="F2624" s="3" t="s">
        <v>211</v>
      </c>
      <c r="G2624" s="5">
        <v>4.0000000000000001E-3</v>
      </c>
      <c r="H2624" s="6" t="s">
        <v>54</v>
      </c>
      <c r="I2624" s="3" t="s">
        <v>45</v>
      </c>
    </row>
    <row r="2625" spans="1:9" ht="48" customHeight="1">
      <c r="A2625" s="3" t="s">
        <v>40</v>
      </c>
      <c r="B2625" s="3" t="s">
        <v>39</v>
      </c>
      <c r="C2625" s="4">
        <v>45992</v>
      </c>
      <c r="D2625" s="4">
        <v>46022</v>
      </c>
      <c r="E2625" s="3" t="s">
        <v>205</v>
      </c>
      <c r="F2625" s="3" t="s">
        <v>221</v>
      </c>
      <c r="G2625" s="5">
        <v>4.0000000000000001E-3</v>
      </c>
      <c r="H2625" s="6" t="s">
        <v>54</v>
      </c>
      <c r="I2625" s="3" t="s">
        <v>45</v>
      </c>
    </row>
    <row r="2626" spans="1:9" ht="48" customHeight="1">
      <c r="A2626" s="3" t="s">
        <v>40</v>
      </c>
      <c r="B2626" s="3" t="s">
        <v>39</v>
      </c>
      <c r="C2626" s="4">
        <v>45992</v>
      </c>
      <c r="D2626" s="4">
        <v>46022</v>
      </c>
      <c r="E2626" s="3" t="s">
        <v>205</v>
      </c>
      <c r="F2626" s="3" t="s">
        <v>222</v>
      </c>
      <c r="G2626" s="5">
        <v>4.0000000000000001E-3</v>
      </c>
      <c r="H2626" s="6" t="s">
        <v>54</v>
      </c>
      <c r="I2626" s="3" t="s">
        <v>45</v>
      </c>
    </row>
    <row r="2627" spans="1:9" ht="48" customHeight="1">
      <c r="A2627" s="3" t="s">
        <v>40</v>
      </c>
      <c r="B2627" s="3" t="s">
        <v>39</v>
      </c>
      <c r="C2627" s="4">
        <v>45992</v>
      </c>
      <c r="D2627" s="4">
        <v>46022</v>
      </c>
      <c r="E2627" s="3" t="s">
        <v>205</v>
      </c>
      <c r="F2627" s="3" t="s">
        <v>212</v>
      </c>
      <c r="G2627" s="5">
        <v>4.0000000000000001E-3</v>
      </c>
      <c r="H2627" s="6" t="s">
        <v>54</v>
      </c>
      <c r="I2627" s="3" t="s">
        <v>45</v>
      </c>
    </row>
    <row r="2628" spans="1:9" ht="48" customHeight="1">
      <c r="A2628" s="3" t="s">
        <v>40</v>
      </c>
      <c r="B2628" s="3" t="s">
        <v>39</v>
      </c>
      <c r="C2628" s="4">
        <v>45992</v>
      </c>
      <c r="D2628" s="4">
        <v>46022</v>
      </c>
      <c r="E2628" s="3" t="s">
        <v>205</v>
      </c>
      <c r="F2628" s="3" t="s">
        <v>208</v>
      </c>
      <c r="G2628" s="5">
        <v>4.0000000000000001E-3</v>
      </c>
      <c r="H2628" s="6" t="s">
        <v>54</v>
      </c>
      <c r="I2628" s="3" t="s">
        <v>45</v>
      </c>
    </row>
    <row r="2629" spans="1:9" ht="48" customHeight="1">
      <c r="A2629" s="3" t="s">
        <v>40</v>
      </c>
      <c r="B2629" s="3" t="s">
        <v>39</v>
      </c>
      <c r="C2629" s="4">
        <v>45992</v>
      </c>
      <c r="D2629" s="4">
        <v>46022</v>
      </c>
      <c r="E2629" s="3" t="s">
        <v>205</v>
      </c>
      <c r="F2629" s="3" t="s">
        <v>214</v>
      </c>
      <c r="G2629" s="5">
        <v>4.0000000000000001E-3</v>
      </c>
      <c r="H2629" s="6" t="s">
        <v>54</v>
      </c>
      <c r="I2629" s="3" t="s">
        <v>45</v>
      </c>
    </row>
    <row r="2630" spans="1:9" ht="48" customHeight="1">
      <c r="A2630" s="3" t="s">
        <v>40</v>
      </c>
      <c r="B2630" s="3" t="s">
        <v>39</v>
      </c>
      <c r="C2630" s="4">
        <v>45992</v>
      </c>
      <c r="D2630" s="4">
        <v>46022</v>
      </c>
      <c r="E2630" s="3" t="s">
        <v>205</v>
      </c>
      <c r="F2630" s="3" t="s">
        <v>227</v>
      </c>
      <c r="G2630" s="5">
        <v>3.0000000000000001E-3</v>
      </c>
      <c r="H2630" s="6" t="s">
        <v>54</v>
      </c>
      <c r="I2630" s="3" t="s">
        <v>45</v>
      </c>
    </row>
    <row r="2631" spans="1:9" ht="48" customHeight="1">
      <c r="A2631" s="3" t="s">
        <v>40</v>
      </c>
      <c r="B2631" s="3" t="s">
        <v>39</v>
      </c>
      <c r="C2631" s="4">
        <v>45992</v>
      </c>
      <c r="D2631" s="4">
        <v>46022</v>
      </c>
      <c r="E2631" s="3" t="s">
        <v>205</v>
      </c>
      <c r="F2631" s="3" t="s">
        <v>229</v>
      </c>
      <c r="G2631" s="5">
        <v>2E-3</v>
      </c>
      <c r="H2631" s="6" t="s">
        <v>54</v>
      </c>
      <c r="I2631" s="3" t="s">
        <v>45</v>
      </c>
    </row>
    <row r="2632" spans="1:9" ht="48" customHeight="1">
      <c r="A2632" s="3" t="s">
        <v>40</v>
      </c>
      <c r="B2632" s="3" t="s">
        <v>39</v>
      </c>
      <c r="C2632" s="4">
        <v>45992</v>
      </c>
      <c r="D2632" s="4">
        <v>46022</v>
      </c>
      <c r="E2632" s="3" t="s">
        <v>205</v>
      </c>
      <c r="F2632" s="3" t="s">
        <v>223</v>
      </c>
      <c r="G2632" s="5">
        <v>2E-3</v>
      </c>
      <c r="H2632" s="6" t="s">
        <v>54</v>
      </c>
      <c r="I2632" s="3" t="s">
        <v>45</v>
      </c>
    </row>
    <row r="2633" spans="1:9" ht="48" customHeight="1">
      <c r="A2633" s="3" t="s">
        <v>40</v>
      </c>
      <c r="B2633" s="3" t="s">
        <v>39</v>
      </c>
      <c r="C2633" s="4">
        <v>45992</v>
      </c>
      <c r="D2633" s="4">
        <v>46022</v>
      </c>
      <c r="E2633" s="3" t="s">
        <v>205</v>
      </c>
      <c r="F2633" s="3" t="s">
        <v>226</v>
      </c>
      <c r="G2633" s="5">
        <v>2E-3</v>
      </c>
      <c r="H2633" s="6" t="s">
        <v>54</v>
      </c>
      <c r="I2633" s="3" t="s">
        <v>45</v>
      </c>
    </row>
    <row r="2634" spans="1:9" ht="48" customHeight="1">
      <c r="A2634" s="3" t="s">
        <v>40</v>
      </c>
      <c r="B2634" s="3" t="s">
        <v>39</v>
      </c>
      <c r="C2634" s="4">
        <v>45992</v>
      </c>
      <c r="D2634" s="4">
        <v>46022</v>
      </c>
      <c r="E2634" s="3" t="s">
        <v>205</v>
      </c>
      <c r="F2634" s="3" t="s">
        <v>228</v>
      </c>
      <c r="G2634" s="5">
        <v>2E-3</v>
      </c>
      <c r="H2634" s="6" t="s">
        <v>54</v>
      </c>
      <c r="I2634" s="3" t="s">
        <v>45</v>
      </c>
    </row>
    <row r="2635" spans="1:9" ht="48" customHeight="1">
      <c r="A2635" s="3" t="s">
        <v>40</v>
      </c>
      <c r="B2635" s="3" t="s">
        <v>39</v>
      </c>
      <c r="C2635" s="4">
        <v>45992</v>
      </c>
      <c r="D2635" s="4">
        <v>46022</v>
      </c>
      <c r="E2635" s="3" t="s">
        <v>205</v>
      </c>
      <c r="F2635" s="3" t="s">
        <v>230</v>
      </c>
      <c r="G2635" s="5">
        <v>1E-3</v>
      </c>
      <c r="H2635" s="6" t="s">
        <v>54</v>
      </c>
      <c r="I2635" s="3" t="s">
        <v>45</v>
      </c>
    </row>
    <row r="2636" spans="1:9" ht="48" customHeight="1">
      <c r="A2636" s="3" t="s">
        <v>40</v>
      </c>
      <c r="B2636" s="3" t="s">
        <v>39</v>
      </c>
      <c r="C2636" s="4">
        <v>45992</v>
      </c>
      <c r="D2636" s="4">
        <v>46022</v>
      </c>
      <c r="E2636" s="3" t="s">
        <v>81</v>
      </c>
      <c r="F2636" s="3" t="s">
        <v>333</v>
      </c>
      <c r="G2636" s="5">
        <v>8.0000000000000002E-3</v>
      </c>
      <c r="H2636" s="6" t="s">
        <v>54</v>
      </c>
      <c r="I2636" s="3" t="s">
        <v>45</v>
      </c>
    </row>
    <row r="2637" spans="1:9" ht="48" customHeight="1">
      <c r="A2637" s="3" t="s">
        <v>40</v>
      </c>
      <c r="B2637" s="3" t="s">
        <v>39</v>
      </c>
      <c r="C2637" s="4">
        <v>45992</v>
      </c>
      <c r="D2637" s="4">
        <v>46022</v>
      </c>
      <c r="E2637" s="3" t="s">
        <v>81</v>
      </c>
      <c r="F2637" s="3" t="s">
        <v>330</v>
      </c>
      <c r="G2637" s="5">
        <v>4.0000000000000001E-3</v>
      </c>
      <c r="H2637" s="6" t="s">
        <v>54</v>
      </c>
      <c r="I2637" s="3" t="s">
        <v>45</v>
      </c>
    </row>
    <row r="2638" spans="1:9" ht="48" customHeight="1">
      <c r="A2638" s="3" t="s">
        <v>40</v>
      </c>
      <c r="B2638" s="3" t="s">
        <v>39</v>
      </c>
      <c r="C2638" s="4">
        <v>45992</v>
      </c>
      <c r="D2638" s="4">
        <v>46022</v>
      </c>
      <c r="E2638" s="3" t="s">
        <v>81</v>
      </c>
      <c r="F2638" s="3" t="s">
        <v>345</v>
      </c>
      <c r="G2638" s="5">
        <v>4.0000000000000001E-3</v>
      </c>
      <c r="H2638" s="6" t="s">
        <v>54</v>
      </c>
      <c r="I2638" s="3" t="s">
        <v>45</v>
      </c>
    </row>
    <row r="2639" spans="1:9" ht="48" customHeight="1">
      <c r="A2639" s="3" t="s">
        <v>40</v>
      </c>
      <c r="B2639" s="3" t="s">
        <v>39</v>
      </c>
      <c r="C2639" s="4">
        <v>45992</v>
      </c>
      <c r="D2639" s="4">
        <v>46022</v>
      </c>
      <c r="E2639" s="3" t="s">
        <v>81</v>
      </c>
      <c r="F2639" s="3" t="s">
        <v>326</v>
      </c>
      <c r="G2639" s="5">
        <v>3.0000000000000001E-3</v>
      </c>
      <c r="H2639" s="6" t="s">
        <v>54</v>
      </c>
      <c r="I2639" s="3" t="s">
        <v>45</v>
      </c>
    </row>
    <row r="2640" spans="1:9" ht="48" customHeight="1">
      <c r="A2640" s="3" t="s">
        <v>40</v>
      </c>
      <c r="B2640" s="3" t="s">
        <v>39</v>
      </c>
      <c r="C2640" s="4">
        <v>45992</v>
      </c>
      <c r="D2640" s="4">
        <v>46022</v>
      </c>
      <c r="E2640" s="3" t="s">
        <v>81</v>
      </c>
      <c r="F2640" s="3" t="s">
        <v>327</v>
      </c>
      <c r="G2640" s="5">
        <v>2E-3</v>
      </c>
      <c r="H2640" s="6" t="s">
        <v>54</v>
      </c>
      <c r="I2640" s="3" t="s">
        <v>45</v>
      </c>
    </row>
    <row r="2641" spans="1:9" ht="48" customHeight="1">
      <c r="A2641" s="3" t="s">
        <v>40</v>
      </c>
      <c r="B2641" s="3" t="s">
        <v>39</v>
      </c>
      <c r="C2641" s="4">
        <v>45992</v>
      </c>
      <c r="D2641" s="4">
        <v>46022</v>
      </c>
      <c r="E2641" s="3" t="s">
        <v>81</v>
      </c>
      <c r="F2641" s="3" t="s">
        <v>328</v>
      </c>
      <c r="G2641" s="5">
        <v>2E-3</v>
      </c>
      <c r="H2641" s="6" t="s">
        <v>54</v>
      </c>
      <c r="I2641" s="3" t="s">
        <v>45</v>
      </c>
    </row>
    <row r="2642" spans="1:9" ht="48" customHeight="1">
      <c r="A2642" s="3" t="s">
        <v>40</v>
      </c>
      <c r="B2642" s="3" t="s">
        <v>39</v>
      </c>
      <c r="C2642" s="4">
        <v>45992</v>
      </c>
      <c r="D2642" s="4">
        <v>46022</v>
      </c>
      <c r="E2642" s="3" t="s">
        <v>81</v>
      </c>
      <c r="F2642" s="3" t="s">
        <v>325</v>
      </c>
      <c r="G2642" s="5">
        <v>2E-3</v>
      </c>
      <c r="H2642" s="6" t="s">
        <v>54</v>
      </c>
      <c r="I2642" s="3" t="s">
        <v>45</v>
      </c>
    </row>
    <row r="2643" spans="1:9" ht="48" customHeight="1">
      <c r="A2643" s="3" t="s">
        <v>40</v>
      </c>
      <c r="B2643" s="3" t="s">
        <v>39</v>
      </c>
      <c r="C2643" s="4">
        <v>45992</v>
      </c>
      <c r="D2643" s="4">
        <v>46022</v>
      </c>
      <c r="E2643" s="3" t="s">
        <v>81</v>
      </c>
      <c r="F2643" s="3" t="s">
        <v>332</v>
      </c>
      <c r="G2643" s="5">
        <v>2E-3</v>
      </c>
      <c r="H2643" s="6" t="s">
        <v>54</v>
      </c>
      <c r="I2643" s="3" t="s">
        <v>45</v>
      </c>
    </row>
    <row r="2644" spans="1:9" ht="48" customHeight="1">
      <c r="A2644" s="3" t="s">
        <v>40</v>
      </c>
      <c r="B2644" s="3" t="s">
        <v>39</v>
      </c>
      <c r="C2644" s="4">
        <v>45992</v>
      </c>
      <c r="D2644" s="4">
        <v>46022</v>
      </c>
      <c r="E2644" s="3" t="s">
        <v>81</v>
      </c>
      <c r="F2644" s="3" t="s">
        <v>329</v>
      </c>
      <c r="G2644" s="5">
        <v>1E-3</v>
      </c>
      <c r="H2644" s="6" t="s">
        <v>54</v>
      </c>
      <c r="I2644" s="3" t="s">
        <v>45</v>
      </c>
    </row>
    <row r="2645" spans="1:9" ht="48" customHeight="1">
      <c r="A2645" s="3" t="s">
        <v>40</v>
      </c>
      <c r="B2645" s="3" t="s">
        <v>39</v>
      </c>
      <c r="C2645" s="4">
        <v>45992</v>
      </c>
      <c r="D2645" s="4">
        <v>46022</v>
      </c>
      <c r="E2645" s="3" t="s">
        <v>81</v>
      </c>
      <c r="F2645" s="3" t="s">
        <v>334</v>
      </c>
      <c r="G2645" s="5">
        <v>1E-3</v>
      </c>
      <c r="H2645" s="6" t="s">
        <v>54</v>
      </c>
      <c r="I2645" s="3" t="s">
        <v>45</v>
      </c>
    </row>
    <row r="2646" spans="1:9" ht="48" customHeight="1">
      <c r="A2646" s="3" t="s">
        <v>40</v>
      </c>
      <c r="B2646" s="3" t="s">
        <v>39</v>
      </c>
      <c r="C2646" s="4">
        <v>45992</v>
      </c>
      <c r="D2646" s="4">
        <v>46022</v>
      </c>
      <c r="E2646" s="3" t="s">
        <v>81</v>
      </c>
      <c r="F2646" s="3" t="s">
        <v>331</v>
      </c>
      <c r="G2646" s="5">
        <v>1E-3</v>
      </c>
      <c r="H2646" s="6" t="s">
        <v>54</v>
      </c>
      <c r="I2646" s="3" t="s">
        <v>45</v>
      </c>
    </row>
    <row r="2647" spans="1:9" ht="48" customHeight="1">
      <c r="A2647" s="3" t="s">
        <v>40</v>
      </c>
      <c r="B2647" s="3" t="s">
        <v>39</v>
      </c>
      <c r="C2647" s="4">
        <v>45992</v>
      </c>
      <c r="D2647" s="4">
        <v>46022</v>
      </c>
      <c r="E2647" s="3" t="s">
        <v>81</v>
      </c>
      <c r="F2647" s="3" t="s">
        <v>335</v>
      </c>
      <c r="G2647" s="5">
        <v>1E-3</v>
      </c>
      <c r="H2647" s="6" t="s">
        <v>54</v>
      </c>
      <c r="I2647" s="3" t="s">
        <v>45</v>
      </c>
    </row>
    <row r="2648" spans="1:9" ht="48" customHeight="1">
      <c r="A2648" s="3" t="s">
        <v>40</v>
      </c>
      <c r="B2648" s="3" t="s">
        <v>39</v>
      </c>
      <c r="C2648" s="4">
        <v>45992</v>
      </c>
      <c r="D2648" s="4">
        <v>46022</v>
      </c>
      <c r="E2648" s="3" t="s">
        <v>81</v>
      </c>
      <c r="F2648" s="3" t="s">
        <v>337</v>
      </c>
      <c r="G2648" s="5">
        <v>1E-3</v>
      </c>
      <c r="H2648" s="6" t="s">
        <v>54</v>
      </c>
      <c r="I2648" s="3" t="s">
        <v>45</v>
      </c>
    </row>
    <row r="2649" spans="1:9" ht="48" customHeight="1">
      <c r="A2649" s="3" t="s">
        <v>40</v>
      </c>
      <c r="B2649" s="3" t="s">
        <v>39</v>
      </c>
      <c r="C2649" s="4">
        <v>45992</v>
      </c>
      <c r="D2649" s="4">
        <v>46022</v>
      </c>
      <c r="E2649" s="3" t="s">
        <v>81</v>
      </c>
      <c r="F2649" s="3" t="s">
        <v>343</v>
      </c>
      <c r="G2649" s="5">
        <v>1E-3</v>
      </c>
      <c r="H2649" s="6" t="s">
        <v>54</v>
      </c>
      <c r="I2649" s="3" t="s">
        <v>45</v>
      </c>
    </row>
    <row r="2650" spans="1:9" ht="48" customHeight="1">
      <c r="A2650" s="3" t="s">
        <v>40</v>
      </c>
      <c r="B2650" s="3" t="s">
        <v>39</v>
      </c>
      <c r="C2650" s="4">
        <v>45992</v>
      </c>
      <c r="D2650" s="4">
        <v>46022</v>
      </c>
      <c r="E2650" s="3" t="s">
        <v>81</v>
      </c>
      <c r="F2650" s="3" t="s">
        <v>344</v>
      </c>
      <c r="G2650" s="5">
        <v>1E-3</v>
      </c>
      <c r="H2650" s="6" t="s">
        <v>54</v>
      </c>
      <c r="I2650" s="3" t="s">
        <v>45</v>
      </c>
    </row>
    <row r="2651" spans="1:9" ht="48" customHeight="1">
      <c r="A2651" s="3" t="s">
        <v>40</v>
      </c>
      <c r="B2651" s="3" t="s">
        <v>39</v>
      </c>
      <c r="C2651" s="4">
        <v>45992</v>
      </c>
      <c r="D2651" s="4">
        <v>46022</v>
      </c>
      <c r="E2651" s="3" t="s">
        <v>81</v>
      </c>
      <c r="F2651" s="3" t="s">
        <v>346</v>
      </c>
      <c r="G2651" s="5">
        <v>1E-3</v>
      </c>
      <c r="H2651" s="6" t="s">
        <v>54</v>
      </c>
      <c r="I2651" s="3" t="s">
        <v>45</v>
      </c>
    </row>
    <row r="2652" spans="1:9" ht="48" customHeight="1">
      <c r="A2652" s="3" t="s">
        <v>40</v>
      </c>
      <c r="B2652" s="3" t="s">
        <v>39</v>
      </c>
      <c r="C2652" s="4">
        <v>45992</v>
      </c>
      <c r="D2652" s="4">
        <v>46022</v>
      </c>
      <c r="E2652" s="3" t="s">
        <v>81</v>
      </c>
      <c r="F2652" s="3" t="s">
        <v>336</v>
      </c>
      <c r="G2652" s="5">
        <v>0</v>
      </c>
      <c r="H2652" s="6" t="s">
        <v>54</v>
      </c>
      <c r="I2652" s="3" t="s">
        <v>45</v>
      </c>
    </row>
    <row r="2653" spans="1:9" ht="48" customHeight="1">
      <c r="A2653" s="3" t="s">
        <v>40</v>
      </c>
      <c r="B2653" s="3" t="s">
        <v>39</v>
      </c>
      <c r="C2653" s="4">
        <v>45992</v>
      </c>
      <c r="D2653" s="4">
        <v>46022</v>
      </c>
      <c r="E2653" s="3" t="s">
        <v>81</v>
      </c>
      <c r="F2653" s="3" t="s">
        <v>338</v>
      </c>
      <c r="G2653" s="5">
        <v>0</v>
      </c>
      <c r="H2653" s="6" t="s">
        <v>54</v>
      </c>
      <c r="I2653" s="3" t="s">
        <v>45</v>
      </c>
    </row>
    <row r="2654" spans="1:9" ht="48" customHeight="1">
      <c r="A2654" s="3" t="s">
        <v>40</v>
      </c>
      <c r="B2654" s="3" t="s">
        <v>39</v>
      </c>
      <c r="C2654" s="4">
        <v>45992</v>
      </c>
      <c r="D2654" s="4">
        <v>46022</v>
      </c>
      <c r="E2654" s="3" t="s">
        <v>81</v>
      </c>
      <c r="F2654" s="3" t="s">
        <v>339</v>
      </c>
      <c r="G2654" s="5">
        <v>0</v>
      </c>
      <c r="H2654" s="6" t="s">
        <v>54</v>
      </c>
      <c r="I2654" s="3" t="s">
        <v>45</v>
      </c>
    </row>
    <row r="2655" spans="1:9" ht="48" customHeight="1">
      <c r="A2655" s="3" t="s">
        <v>40</v>
      </c>
      <c r="B2655" s="3" t="s">
        <v>39</v>
      </c>
      <c r="C2655" s="4">
        <v>45992</v>
      </c>
      <c r="D2655" s="4">
        <v>46022</v>
      </c>
      <c r="E2655" s="3" t="s">
        <v>81</v>
      </c>
      <c r="F2655" s="3" t="s">
        <v>340</v>
      </c>
      <c r="G2655" s="5">
        <v>0</v>
      </c>
      <c r="H2655" s="6" t="s">
        <v>54</v>
      </c>
      <c r="I2655" s="3" t="s">
        <v>45</v>
      </c>
    </row>
    <row r="2656" spans="1:9" ht="48" customHeight="1">
      <c r="A2656" s="3" t="s">
        <v>40</v>
      </c>
      <c r="B2656" s="3" t="s">
        <v>39</v>
      </c>
      <c r="C2656" s="4">
        <v>45992</v>
      </c>
      <c r="D2656" s="4">
        <v>46022</v>
      </c>
      <c r="E2656" s="3" t="s">
        <v>81</v>
      </c>
      <c r="F2656" s="3" t="s">
        <v>341</v>
      </c>
      <c r="G2656" s="5">
        <v>0</v>
      </c>
      <c r="H2656" s="6" t="s">
        <v>54</v>
      </c>
      <c r="I2656" s="3" t="s">
        <v>45</v>
      </c>
    </row>
    <row r="2657" spans="1:9" ht="48" customHeight="1">
      <c r="A2657" s="3" t="s">
        <v>40</v>
      </c>
      <c r="B2657" s="3" t="s">
        <v>39</v>
      </c>
      <c r="C2657" s="4">
        <v>45992</v>
      </c>
      <c r="D2657" s="4">
        <v>46022</v>
      </c>
      <c r="E2657" s="3" t="s">
        <v>81</v>
      </c>
      <c r="F2657" s="3" t="s">
        <v>342</v>
      </c>
      <c r="G2657" s="5">
        <v>0</v>
      </c>
      <c r="H2657" s="6" t="s">
        <v>54</v>
      </c>
      <c r="I2657" s="3" t="s">
        <v>45</v>
      </c>
    </row>
    <row r="2658" spans="1:9" ht="48" customHeight="1">
      <c r="A2658" s="3" t="s">
        <v>40</v>
      </c>
      <c r="B2658" s="3" t="s">
        <v>39</v>
      </c>
      <c r="C2658" s="4">
        <v>45992</v>
      </c>
      <c r="D2658" s="4">
        <v>46022</v>
      </c>
      <c r="E2658" s="3" t="s">
        <v>81</v>
      </c>
      <c r="F2658" s="3" t="s">
        <v>347</v>
      </c>
      <c r="G2658" s="5">
        <v>0</v>
      </c>
      <c r="H2658" s="6" t="s">
        <v>54</v>
      </c>
      <c r="I2658" s="3" t="s">
        <v>45</v>
      </c>
    </row>
    <row r="2659" spans="1:9" ht="48" customHeight="1">
      <c r="A2659" s="3" t="s">
        <v>40</v>
      </c>
      <c r="B2659" s="3" t="s">
        <v>39</v>
      </c>
      <c r="C2659" s="4">
        <v>45992</v>
      </c>
      <c r="D2659" s="4">
        <v>46022</v>
      </c>
      <c r="E2659" s="3" t="s">
        <v>236</v>
      </c>
      <c r="F2659" s="3" t="s">
        <v>232</v>
      </c>
      <c r="G2659" s="5">
        <v>6.9999999999999993E-3</v>
      </c>
      <c r="H2659" s="6" t="s">
        <v>54</v>
      </c>
      <c r="I2659" s="3" t="s">
        <v>45</v>
      </c>
    </row>
    <row r="2660" spans="1:9" ht="48" customHeight="1">
      <c r="A2660" s="3" t="s">
        <v>40</v>
      </c>
      <c r="B2660" s="3" t="s">
        <v>39</v>
      </c>
      <c r="C2660" s="4">
        <v>45992</v>
      </c>
      <c r="D2660" s="4">
        <v>46022</v>
      </c>
      <c r="E2660" s="3" t="s">
        <v>236</v>
      </c>
      <c r="F2660" s="3" t="s">
        <v>240</v>
      </c>
      <c r="G2660" s="5">
        <v>5.0000000000000001E-3</v>
      </c>
      <c r="H2660" s="6" t="s">
        <v>54</v>
      </c>
      <c r="I2660" s="3" t="s">
        <v>45</v>
      </c>
    </row>
    <row r="2661" spans="1:9" ht="48" customHeight="1">
      <c r="A2661" s="3" t="s">
        <v>40</v>
      </c>
      <c r="B2661" s="3" t="s">
        <v>39</v>
      </c>
      <c r="C2661" s="4">
        <v>45992</v>
      </c>
      <c r="D2661" s="4">
        <v>46022</v>
      </c>
      <c r="E2661" s="3" t="s">
        <v>236</v>
      </c>
      <c r="F2661" s="3" t="s">
        <v>237</v>
      </c>
      <c r="G2661" s="5">
        <v>5.0000000000000001E-3</v>
      </c>
      <c r="H2661" s="6" t="s">
        <v>54</v>
      </c>
      <c r="I2661" s="3" t="s">
        <v>45</v>
      </c>
    </row>
    <row r="2662" spans="1:9" ht="48" customHeight="1">
      <c r="A2662" s="3" t="s">
        <v>40</v>
      </c>
      <c r="B2662" s="3" t="s">
        <v>39</v>
      </c>
      <c r="C2662" s="4">
        <v>45992</v>
      </c>
      <c r="D2662" s="4">
        <v>46022</v>
      </c>
      <c r="E2662" s="3" t="s">
        <v>236</v>
      </c>
      <c r="F2662" s="3" t="s">
        <v>238</v>
      </c>
      <c r="G2662" s="5">
        <v>5.0000000000000001E-3</v>
      </c>
      <c r="H2662" s="6" t="s">
        <v>54</v>
      </c>
      <c r="I2662" s="3" t="s">
        <v>45</v>
      </c>
    </row>
    <row r="2663" spans="1:9" ht="48" customHeight="1">
      <c r="A2663" s="3" t="s">
        <v>40</v>
      </c>
      <c r="B2663" s="3" t="s">
        <v>39</v>
      </c>
      <c r="C2663" s="4">
        <v>45992</v>
      </c>
      <c r="D2663" s="4">
        <v>46022</v>
      </c>
      <c r="E2663" s="3" t="s">
        <v>236</v>
      </c>
      <c r="F2663" s="3" t="s">
        <v>239</v>
      </c>
      <c r="G2663" s="5">
        <v>5.0000000000000001E-3</v>
      </c>
      <c r="H2663" s="6" t="s">
        <v>54</v>
      </c>
      <c r="I2663" s="3" t="s">
        <v>45</v>
      </c>
    </row>
    <row r="2664" spans="1:9" ht="48" customHeight="1">
      <c r="A2664" s="3" t="s">
        <v>40</v>
      </c>
      <c r="B2664" s="3" t="s">
        <v>39</v>
      </c>
      <c r="C2664" s="4">
        <v>45992</v>
      </c>
      <c r="D2664" s="4">
        <v>46022</v>
      </c>
      <c r="E2664" s="3" t="s">
        <v>236</v>
      </c>
      <c r="F2664" s="3" t="s">
        <v>241</v>
      </c>
      <c r="G2664" s="5">
        <v>3.0000000000000001E-3</v>
      </c>
      <c r="H2664" s="6" t="s">
        <v>54</v>
      </c>
      <c r="I2664" s="3" t="s">
        <v>45</v>
      </c>
    </row>
    <row r="2665" spans="1:9" ht="48" customHeight="1">
      <c r="A2665" s="3" t="s">
        <v>40</v>
      </c>
      <c r="B2665" s="3" t="s">
        <v>39</v>
      </c>
      <c r="C2665" s="4">
        <v>45992</v>
      </c>
      <c r="D2665" s="4">
        <v>46022</v>
      </c>
      <c r="E2665" s="3" t="s">
        <v>236</v>
      </c>
      <c r="F2665" s="3" t="s">
        <v>230</v>
      </c>
      <c r="G2665" s="5">
        <v>2E-3</v>
      </c>
      <c r="H2665" s="6" t="s">
        <v>54</v>
      </c>
      <c r="I2665" s="3" t="s">
        <v>45</v>
      </c>
    </row>
    <row r="2666" spans="1:9" ht="48" customHeight="1">
      <c r="A2666" s="3" t="s">
        <v>40</v>
      </c>
      <c r="B2666" s="3" t="s">
        <v>39</v>
      </c>
      <c r="C2666" s="4">
        <v>45992</v>
      </c>
      <c r="D2666" s="4">
        <v>46022</v>
      </c>
      <c r="E2666" s="3" t="s">
        <v>236</v>
      </c>
      <c r="F2666" s="3" t="s">
        <v>234</v>
      </c>
      <c r="G2666" s="5">
        <v>0</v>
      </c>
      <c r="H2666" s="6" t="s">
        <v>54</v>
      </c>
      <c r="I2666" s="3" t="s">
        <v>45</v>
      </c>
    </row>
    <row r="2667" spans="1:9" ht="48" customHeight="1">
      <c r="A2667" s="3" t="s">
        <v>40</v>
      </c>
      <c r="B2667" s="3" t="s">
        <v>39</v>
      </c>
      <c r="C2667" s="4">
        <v>45992</v>
      </c>
      <c r="D2667" s="4">
        <v>46022</v>
      </c>
      <c r="E2667" s="3" t="s">
        <v>236</v>
      </c>
      <c r="F2667" s="3" t="s">
        <v>242</v>
      </c>
      <c r="G2667" s="5">
        <v>0</v>
      </c>
      <c r="H2667" s="6" t="s">
        <v>54</v>
      </c>
      <c r="I2667" s="3" t="s">
        <v>45</v>
      </c>
    </row>
    <row r="2668" spans="1:9" ht="48" customHeight="1">
      <c r="A2668" s="3" t="s">
        <v>40</v>
      </c>
      <c r="B2668" s="3" t="s">
        <v>39</v>
      </c>
      <c r="C2668" s="4">
        <v>45992</v>
      </c>
      <c r="D2668" s="4">
        <v>46022</v>
      </c>
      <c r="E2668" s="3" t="s">
        <v>236</v>
      </c>
      <c r="F2668" s="3" t="s">
        <v>243</v>
      </c>
      <c r="G2668" s="5">
        <v>0</v>
      </c>
      <c r="H2668" s="6" t="s">
        <v>54</v>
      </c>
      <c r="I2668" s="3" t="s">
        <v>45</v>
      </c>
    </row>
    <row r="2669" spans="1:9" ht="48" customHeight="1">
      <c r="A2669" s="3" t="s">
        <v>40</v>
      </c>
      <c r="B2669" s="3" t="s">
        <v>39</v>
      </c>
      <c r="C2669" s="4">
        <v>45992</v>
      </c>
      <c r="D2669" s="4">
        <v>46022</v>
      </c>
      <c r="E2669" s="3" t="s">
        <v>68</v>
      </c>
      <c r="F2669" s="3" t="s">
        <v>150</v>
      </c>
      <c r="G2669" s="5">
        <v>4.0000000000000001E-3</v>
      </c>
      <c r="H2669" s="6" t="s">
        <v>54</v>
      </c>
      <c r="I2669" s="3" t="s">
        <v>45</v>
      </c>
    </row>
    <row r="2670" spans="1:9" ht="48" customHeight="1">
      <c r="A2670" s="3" t="s">
        <v>40</v>
      </c>
      <c r="B2670" s="3" t="s">
        <v>39</v>
      </c>
      <c r="C2670" s="4">
        <v>45992</v>
      </c>
      <c r="D2670" s="4">
        <v>46022</v>
      </c>
      <c r="E2670" s="3" t="s">
        <v>68</v>
      </c>
      <c r="F2670" s="3" t="s">
        <v>147</v>
      </c>
      <c r="G2670" s="5">
        <v>4.0000000000000001E-3</v>
      </c>
      <c r="H2670" s="6" t="s">
        <v>54</v>
      </c>
      <c r="I2670" s="3" t="s">
        <v>45</v>
      </c>
    </row>
    <row r="2671" spans="1:9" ht="48" customHeight="1">
      <c r="A2671" s="3" t="s">
        <v>40</v>
      </c>
      <c r="B2671" s="3" t="s">
        <v>39</v>
      </c>
      <c r="C2671" s="4">
        <v>45992</v>
      </c>
      <c r="D2671" s="4">
        <v>46022</v>
      </c>
      <c r="E2671" s="3" t="s">
        <v>68</v>
      </c>
      <c r="F2671" s="3" t="s">
        <v>151</v>
      </c>
      <c r="G2671" s="5">
        <v>3.0000000000000001E-3</v>
      </c>
      <c r="H2671" s="6" t="s">
        <v>54</v>
      </c>
      <c r="I2671" s="3" t="s">
        <v>45</v>
      </c>
    </row>
    <row r="2672" spans="1:9" ht="48" customHeight="1">
      <c r="A2672" s="3" t="s">
        <v>40</v>
      </c>
      <c r="B2672" s="3" t="s">
        <v>39</v>
      </c>
      <c r="C2672" s="4">
        <v>45992</v>
      </c>
      <c r="D2672" s="4">
        <v>46022</v>
      </c>
      <c r="E2672" s="3" t="s">
        <v>68</v>
      </c>
      <c r="F2672" s="3" t="s">
        <v>149</v>
      </c>
      <c r="G2672" s="5">
        <v>3.0000000000000001E-3</v>
      </c>
      <c r="H2672" s="6" t="s">
        <v>54</v>
      </c>
      <c r="I2672" s="3" t="s">
        <v>45</v>
      </c>
    </row>
    <row r="2673" spans="1:9" ht="48" customHeight="1">
      <c r="A2673" s="3" t="s">
        <v>40</v>
      </c>
      <c r="B2673" s="3" t="s">
        <v>39</v>
      </c>
      <c r="C2673" s="4">
        <v>45992</v>
      </c>
      <c r="D2673" s="4">
        <v>46022</v>
      </c>
      <c r="E2673" s="3" t="s">
        <v>68</v>
      </c>
      <c r="F2673" s="3" t="s">
        <v>148</v>
      </c>
      <c r="G2673" s="5">
        <v>3.0000000000000001E-3</v>
      </c>
      <c r="H2673" s="6" t="s">
        <v>54</v>
      </c>
      <c r="I2673" s="3" t="s">
        <v>45</v>
      </c>
    </row>
    <row r="2674" spans="1:9" ht="48" customHeight="1">
      <c r="A2674" s="3" t="s">
        <v>40</v>
      </c>
      <c r="B2674" s="3" t="s">
        <v>39</v>
      </c>
      <c r="C2674" s="4">
        <v>45992</v>
      </c>
      <c r="D2674" s="4">
        <v>46022</v>
      </c>
      <c r="E2674" s="3" t="s">
        <v>68</v>
      </c>
      <c r="F2674" s="3" t="s">
        <v>155</v>
      </c>
      <c r="G2674" s="5">
        <v>1E-3</v>
      </c>
      <c r="H2674" s="6" t="s">
        <v>54</v>
      </c>
      <c r="I2674" s="3" t="s">
        <v>45</v>
      </c>
    </row>
    <row r="2675" spans="1:9" ht="48" customHeight="1">
      <c r="A2675" s="3" t="s">
        <v>40</v>
      </c>
      <c r="B2675" s="3" t="s">
        <v>39</v>
      </c>
      <c r="C2675" s="4">
        <v>45992</v>
      </c>
      <c r="D2675" s="4">
        <v>46022</v>
      </c>
      <c r="E2675" s="3" t="s">
        <v>68</v>
      </c>
      <c r="F2675" s="3" t="s">
        <v>152</v>
      </c>
      <c r="G2675" s="5">
        <v>1E-3</v>
      </c>
      <c r="H2675" s="6" t="s">
        <v>54</v>
      </c>
      <c r="I2675" s="3" t="s">
        <v>45</v>
      </c>
    </row>
    <row r="2676" spans="1:9" ht="48" customHeight="1">
      <c r="A2676" s="3" t="s">
        <v>40</v>
      </c>
      <c r="B2676" s="3" t="s">
        <v>39</v>
      </c>
      <c r="C2676" s="4">
        <v>45992</v>
      </c>
      <c r="D2676" s="4">
        <v>46022</v>
      </c>
      <c r="E2676" s="3" t="s">
        <v>68</v>
      </c>
      <c r="F2676" s="3" t="s">
        <v>157</v>
      </c>
      <c r="G2676" s="5">
        <v>1E-3</v>
      </c>
      <c r="H2676" s="6" t="s">
        <v>54</v>
      </c>
      <c r="I2676" s="3" t="s">
        <v>45</v>
      </c>
    </row>
    <row r="2677" spans="1:9" ht="48" customHeight="1">
      <c r="A2677" s="3" t="s">
        <v>40</v>
      </c>
      <c r="B2677" s="3" t="s">
        <v>39</v>
      </c>
      <c r="C2677" s="4">
        <v>45992</v>
      </c>
      <c r="D2677" s="4">
        <v>46022</v>
      </c>
      <c r="E2677" s="3" t="s">
        <v>68</v>
      </c>
      <c r="F2677" s="3" t="s">
        <v>146</v>
      </c>
      <c r="G2677" s="5">
        <v>1E-3</v>
      </c>
      <c r="H2677" s="6" t="s">
        <v>54</v>
      </c>
      <c r="I2677" s="3" t="s">
        <v>45</v>
      </c>
    </row>
    <row r="2678" spans="1:9" ht="48" customHeight="1">
      <c r="A2678" s="3" t="s">
        <v>40</v>
      </c>
      <c r="B2678" s="3" t="s">
        <v>39</v>
      </c>
      <c r="C2678" s="4">
        <v>45992</v>
      </c>
      <c r="D2678" s="4">
        <v>46022</v>
      </c>
      <c r="E2678" s="3" t="s">
        <v>68</v>
      </c>
      <c r="F2678" s="3" t="s">
        <v>66</v>
      </c>
      <c r="G2678" s="5">
        <v>1E-3</v>
      </c>
      <c r="H2678" s="6" t="s">
        <v>54</v>
      </c>
      <c r="I2678" s="3" t="s">
        <v>45</v>
      </c>
    </row>
    <row r="2679" spans="1:9" ht="48" customHeight="1">
      <c r="A2679" s="3" t="s">
        <v>40</v>
      </c>
      <c r="B2679" s="3" t="s">
        <v>39</v>
      </c>
      <c r="C2679" s="4">
        <v>45992</v>
      </c>
      <c r="D2679" s="4">
        <v>46022</v>
      </c>
      <c r="E2679" s="3" t="s">
        <v>68</v>
      </c>
      <c r="F2679" s="3" t="s">
        <v>154</v>
      </c>
      <c r="G2679" s="5">
        <v>1E-3</v>
      </c>
      <c r="H2679" s="6" t="s">
        <v>54</v>
      </c>
      <c r="I2679" s="3" t="s">
        <v>45</v>
      </c>
    </row>
    <row r="2680" spans="1:9" ht="48" customHeight="1">
      <c r="A2680" s="3" t="s">
        <v>40</v>
      </c>
      <c r="B2680" s="3" t="s">
        <v>39</v>
      </c>
      <c r="C2680" s="4">
        <v>45992</v>
      </c>
      <c r="D2680" s="4">
        <v>46022</v>
      </c>
      <c r="E2680" s="3" t="s">
        <v>68</v>
      </c>
      <c r="F2680" s="3" t="s">
        <v>159</v>
      </c>
      <c r="G2680" s="5">
        <v>0</v>
      </c>
      <c r="H2680" s="6" t="s">
        <v>54</v>
      </c>
      <c r="I2680" s="3" t="s">
        <v>45</v>
      </c>
    </row>
    <row r="2681" spans="1:9" ht="48" customHeight="1">
      <c r="A2681" s="3" t="s">
        <v>40</v>
      </c>
      <c r="B2681" s="3" t="s">
        <v>39</v>
      </c>
      <c r="C2681" s="4">
        <v>45992</v>
      </c>
      <c r="D2681" s="4">
        <v>46022</v>
      </c>
      <c r="E2681" s="3" t="s">
        <v>68</v>
      </c>
      <c r="F2681" s="3" t="s">
        <v>160</v>
      </c>
      <c r="G2681" s="5">
        <v>0</v>
      </c>
      <c r="H2681" s="6" t="s">
        <v>54</v>
      </c>
      <c r="I2681" s="3" t="s">
        <v>45</v>
      </c>
    </row>
    <row r="2682" spans="1:9" ht="48" customHeight="1">
      <c r="A2682" s="3" t="s">
        <v>40</v>
      </c>
      <c r="B2682" s="3" t="s">
        <v>39</v>
      </c>
      <c r="C2682" s="4">
        <v>45992</v>
      </c>
      <c r="D2682" s="4">
        <v>46022</v>
      </c>
      <c r="E2682" s="3" t="s">
        <v>68</v>
      </c>
      <c r="F2682" s="3" t="s">
        <v>156</v>
      </c>
      <c r="G2682" s="5">
        <v>0</v>
      </c>
      <c r="H2682" s="6" t="s">
        <v>54</v>
      </c>
      <c r="I2682" s="3" t="s">
        <v>45</v>
      </c>
    </row>
    <row r="2683" spans="1:9" ht="48" customHeight="1">
      <c r="A2683" s="3" t="s">
        <v>40</v>
      </c>
      <c r="B2683" s="3" t="s">
        <v>39</v>
      </c>
      <c r="C2683" s="4">
        <v>45992</v>
      </c>
      <c r="D2683" s="4">
        <v>46022</v>
      </c>
      <c r="E2683" s="3" t="s">
        <v>68</v>
      </c>
      <c r="F2683" s="3" t="s">
        <v>158</v>
      </c>
      <c r="G2683" s="5">
        <v>0</v>
      </c>
      <c r="H2683" s="6" t="s">
        <v>54</v>
      </c>
      <c r="I2683" s="3" t="s">
        <v>45</v>
      </c>
    </row>
    <row r="2684" spans="1:9" ht="48" customHeight="1">
      <c r="A2684" s="3" t="s">
        <v>40</v>
      </c>
      <c r="B2684" s="3" t="s">
        <v>39</v>
      </c>
      <c r="C2684" s="4">
        <v>45992</v>
      </c>
      <c r="D2684" s="4">
        <v>46022</v>
      </c>
      <c r="E2684" s="3" t="s">
        <v>68</v>
      </c>
      <c r="F2684" s="3" t="s">
        <v>153</v>
      </c>
      <c r="G2684" s="5">
        <v>0</v>
      </c>
      <c r="H2684" s="6" t="s">
        <v>54</v>
      </c>
      <c r="I2684" s="3" t="s">
        <v>45</v>
      </c>
    </row>
    <row r="2685" spans="1:9" ht="48" customHeight="1">
      <c r="A2685" s="3" t="s">
        <v>40</v>
      </c>
      <c r="B2685" s="3" t="s">
        <v>39</v>
      </c>
      <c r="C2685" s="4">
        <v>45992</v>
      </c>
      <c r="D2685" s="4">
        <v>46022</v>
      </c>
      <c r="E2685" s="3" t="s">
        <v>364</v>
      </c>
      <c r="F2685" s="3" t="s">
        <v>234</v>
      </c>
      <c r="G2685" s="5">
        <v>3.0000000000000001E-3</v>
      </c>
      <c r="H2685" s="6" t="s">
        <v>54</v>
      </c>
      <c r="I2685" s="3" t="s">
        <v>45</v>
      </c>
    </row>
    <row r="2686" spans="1:9" ht="48" customHeight="1">
      <c r="A2686" s="3" t="s">
        <v>40</v>
      </c>
      <c r="B2686" s="3" t="s">
        <v>39</v>
      </c>
      <c r="C2686" s="4">
        <v>45992</v>
      </c>
      <c r="D2686" s="4">
        <v>46022</v>
      </c>
      <c r="E2686" s="3" t="s">
        <v>364</v>
      </c>
      <c r="F2686" s="3" t="s">
        <v>262</v>
      </c>
      <c r="G2686" s="5">
        <v>3.0000000000000001E-3</v>
      </c>
      <c r="H2686" s="6" t="s">
        <v>54</v>
      </c>
      <c r="I2686" s="3" t="s">
        <v>45</v>
      </c>
    </row>
    <row r="2687" spans="1:9" ht="48" customHeight="1">
      <c r="A2687" s="3" t="s">
        <v>40</v>
      </c>
      <c r="B2687" s="3" t="s">
        <v>39</v>
      </c>
      <c r="C2687" s="4">
        <v>45992</v>
      </c>
      <c r="D2687" s="4">
        <v>46022</v>
      </c>
      <c r="E2687" s="3" t="s">
        <v>364</v>
      </c>
      <c r="F2687" s="3" t="s">
        <v>365</v>
      </c>
      <c r="G2687" s="5">
        <v>3.0000000000000001E-3</v>
      </c>
      <c r="H2687" s="6" t="s">
        <v>54</v>
      </c>
      <c r="I2687" s="3" t="s">
        <v>45</v>
      </c>
    </row>
    <row r="2688" spans="1:9" ht="48" customHeight="1">
      <c r="A2688" s="3" t="s">
        <v>40</v>
      </c>
      <c r="B2688" s="3" t="s">
        <v>39</v>
      </c>
      <c r="C2688" s="4">
        <v>45992</v>
      </c>
      <c r="D2688" s="4">
        <v>46022</v>
      </c>
      <c r="E2688" s="3" t="s">
        <v>364</v>
      </c>
      <c r="F2688" s="3" t="s">
        <v>366</v>
      </c>
      <c r="G2688" s="5">
        <v>3.0000000000000001E-3</v>
      </c>
      <c r="H2688" s="6" t="s">
        <v>54</v>
      </c>
      <c r="I2688" s="3" t="s">
        <v>45</v>
      </c>
    </row>
    <row r="2689" spans="1:9" ht="48" customHeight="1">
      <c r="A2689" s="3" t="s">
        <v>40</v>
      </c>
      <c r="B2689" s="3" t="s">
        <v>39</v>
      </c>
      <c r="C2689" s="4">
        <v>45992</v>
      </c>
      <c r="D2689" s="4">
        <v>46022</v>
      </c>
      <c r="E2689" s="3" t="s">
        <v>364</v>
      </c>
      <c r="F2689" s="3" t="s">
        <v>367</v>
      </c>
      <c r="G2689" s="5">
        <v>2E-3</v>
      </c>
      <c r="H2689" s="6" t="s">
        <v>54</v>
      </c>
      <c r="I2689" s="3" t="s">
        <v>45</v>
      </c>
    </row>
    <row r="2690" spans="1:9" ht="48" customHeight="1">
      <c r="A2690" s="3" t="s">
        <v>40</v>
      </c>
      <c r="B2690" s="3" t="s">
        <v>39</v>
      </c>
      <c r="C2690" s="4">
        <v>45992</v>
      </c>
      <c r="D2690" s="4">
        <v>46022</v>
      </c>
      <c r="E2690" s="3" t="s">
        <v>364</v>
      </c>
      <c r="F2690" s="3" t="s">
        <v>230</v>
      </c>
      <c r="G2690" s="5">
        <v>1E-3</v>
      </c>
      <c r="H2690" s="6" t="s">
        <v>54</v>
      </c>
      <c r="I2690" s="3" t="s">
        <v>45</v>
      </c>
    </row>
    <row r="2691" spans="1:9" ht="48" customHeight="1">
      <c r="A2691" s="3" t="s">
        <v>40</v>
      </c>
      <c r="B2691" s="3" t="s">
        <v>39</v>
      </c>
      <c r="C2691" s="4">
        <v>45992</v>
      </c>
      <c r="D2691" s="4">
        <v>46022</v>
      </c>
      <c r="E2691" s="3" t="s">
        <v>364</v>
      </c>
      <c r="F2691" s="3" t="s">
        <v>232</v>
      </c>
      <c r="G2691" s="5">
        <v>1E-3</v>
      </c>
      <c r="H2691" s="6" t="s">
        <v>54</v>
      </c>
      <c r="I2691" s="3" t="s">
        <v>45</v>
      </c>
    </row>
    <row r="2692" spans="1:9" ht="48" customHeight="1">
      <c r="A2692" s="3" t="s">
        <v>40</v>
      </c>
      <c r="B2692" s="3" t="s">
        <v>39</v>
      </c>
      <c r="C2692" s="4">
        <v>45992</v>
      </c>
      <c r="D2692" s="4">
        <v>46022</v>
      </c>
      <c r="E2692" s="3" t="s">
        <v>364</v>
      </c>
      <c r="F2692" s="3" t="s">
        <v>265</v>
      </c>
      <c r="G2692" s="5">
        <v>1E-3</v>
      </c>
      <c r="H2692" s="6" t="s">
        <v>54</v>
      </c>
      <c r="I2692" s="3" t="s">
        <v>45</v>
      </c>
    </row>
    <row r="2693" spans="1:9" ht="48" customHeight="1">
      <c r="A2693" s="3" t="s">
        <v>40</v>
      </c>
      <c r="B2693" s="3" t="s">
        <v>39</v>
      </c>
      <c r="C2693" s="4">
        <v>45992</v>
      </c>
      <c r="D2693" s="4">
        <v>46022</v>
      </c>
      <c r="E2693" s="3" t="s">
        <v>364</v>
      </c>
      <c r="F2693" s="3" t="s">
        <v>79</v>
      </c>
      <c r="G2693" s="5">
        <v>0</v>
      </c>
      <c r="H2693" s="6" t="s">
        <v>54</v>
      </c>
      <c r="I2693" s="3" t="s">
        <v>45</v>
      </c>
    </row>
    <row r="2694" spans="1:9" ht="48" customHeight="1">
      <c r="A2694" s="3" t="s">
        <v>40</v>
      </c>
      <c r="B2694" s="3" t="s">
        <v>39</v>
      </c>
      <c r="C2694" s="4">
        <v>45992</v>
      </c>
      <c r="D2694" s="4">
        <v>46022</v>
      </c>
      <c r="E2694" s="3" t="s">
        <v>231</v>
      </c>
      <c r="F2694" s="3" t="s">
        <v>232</v>
      </c>
      <c r="G2694" s="5">
        <v>4.0000000000000001E-3</v>
      </c>
      <c r="H2694" s="6" t="s">
        <v>54</v>
      </c>
      <c r="I2694" s="3" t="s">
        <v>45</v>
      </c>
    </row>
    <row r="2695" spans="1:9" ht="48" customHeight="1">
      <c r="A2695" s="3" t="s">
        <v>40</v>
      </c>
      <c r="B2695" s="3" t="s">
        <v>39</v>
      </c>
      <c r="C2695" s="4">
        <v>45992</v>
      </c>
      <c r="D2695" s="4">
        <v>46022</v>
      </c>
      <c r="E2695" s="3" t="s">
        <v>231</v>
      </c>
      <c r="F2695" s="3" t="s">
        <v>233</v>
      </c>
      <c r="G2695" s="5">
        <v>4.0000000000000001E-3</v>
      </c>
      <c r="H2695" s="6" t="s">
        <v>54</v>
      </c>
      <c r="I2695" s="3" t="s">
        <v>45</v>
      </c>
    </row>
    <row r="2696" spans="1:9" ht="48" customHeight="1">
      <c r="A2696" s="3" t="s">
        <v>40</v>
      </c>
      <c r="B2696" s="3" t="s">
        <v>39</v>
      </c>
      <c r="C2696" s="4">
        <v>45992</v>
      </c>
      <c r="D2696" s="4">
        <v>46022</v>
      </c>
      <c r="E2696" s="3" t="s">
        <v>231</v>
      </c>
      <c r="F2696" s="3" t="s">
        <v>234</v>
      </c>
      <c r="G2696" s="5">
        <v>2E-3</v>
      </c>
      <c r="H2696" s="6" t="s">
        <v>54</v>
      </c>
      <c r="I2696" s="3" t="s">
        <v>45</v>
      </c>
    </row>
    <row r="2697" spans="1:9" ht="48" customHeight="1">
      <c r="A2697" s="3" t="s">
        <v>40</v>
      </c>
      <c r="B2697" s="3" t="s">
        <v>39</v>
      </c>
      <c r="C2697" s="4">
        <v>45992</v>
      </c>
      <c r="D2697" s="4">
        <v>46022</v>
      </c>
      <c r="E2697" s="3" t="s">
        <v>231</v>
      </c>
      <c r="F2697" s="3" t="s">
        <v>230</v>
      </c>
      <c r="G2697" s="5">
        <v>2E-3</v>
      </c>
      <c r="H2697" s="6" t="s">
        <v>54</v>
      </c>
      <c r="I2697" s="3" t="s">
        <v>45</v>
      </c>
    </row>
    <row r="2698" spans="1:9" ht="48" customHeight="1">
      <c r="A2698" s="3" t="s">
        <v>40</v>
      </c>
      <c r="B2698" s="3" t="s">
        <v>39</v>
      </c>
      <c r="C2698" s="4">
        <v>45992</v>
      </c>
      <c r="D2698" s="4">
        <v>46022</v>
      </c>
      <c r="E2698" s="3" t="s">
        <v>231</v>
      </c>
      <c r="F2698" s="3" t="s">
        <v>235</v>
      </c>
      <c r="G2698" s="5">
        <v>2E-3</v>
      </c>
      <c r="H2698" s="6" t="s">
        <v>54</v>
      </c>
      <c r="I2698" s="3" t="s">
        <v>45</v>
      </c>
    </row>
    <row r="2699" spans="1:9" ht="48" customHeight="1">
      <c r="A2699" s="3" t="s">
        <v>40</v>
      </c>
      <c r="B2699" s="3" t="s">
        <v>39</v>
      </c>
      <c r="C2699" s="4">
        <v>45992</v>
      </c>
      <c r="D2699" s="4">
        <v>46022</v>
      </c>
      <c r="E2699" s="3" t="s">
        <v>302</v>
      </c>
      <c r="F2699" s="3" t="s">
        <v>307</v>
      </c>
      <c r="G2699" s="5">
        <v>2E-3</v>
      </c>
      <c r="H2699" s="6" t="s">
        <v>54</v>
      </c>
      <c r="I2699" s="3" t="s">
        <v>45</v>
      </c>
    </row>
    <row r="2700" spans="1:9" ht="48" customHeight="1">
      <c r="A2700" s="3" t="s">
        <v>40</v>
      </c>
      <c r="B2700" s="3" t="s">
        <v>39</v>
      </c>
      <c r="C2700" s="4">
        <v>45992</v>
      </c>
      <c r="D2700" s="4">
        <v>46022</v>
      </c>
      <c r="E2700" s="3" t="s">
        <v>302</v>
      </c>
      <c r="F2700" s="3" t="s">
        <v>303</v>
      </c>
      <c r="G2700" s="5">
        <v>1E-3</v>
      </c>
      <c r="H2700" s="6" t="s">
        <v>54</v>
      </c>
      <c r="I2700" s="3" t="s">
        <v>45</v>
      </c>
    </row>
    <row r="2701" spans="1:9" ht="48" customHeight="1">
      <c r="A2701" s="3" t="s">
        <v>40</v>
      </c>
      <c r="B2701" s="3" t="s">
        <v>39</v>
      </c>
      <c r="C2701" s="4">
        <v>45992</v>
      </c>
      <c r="D2701" s="4">
        <v>46022</v>
      </c>
      <c r="E2701" s="3" t="s">
        <v>302</v>
      </c>
      <c r="F2701" s="3" t="s">
        <v>304</v>
      </c>
      <c r="G2701" s="5">
        <v>1E-3</v>
      </c>
      <c r="H2701" s="6" t="s">
        <v>54</v>
      </c>
      <c r="I2701" s="3" t="s">
        <v>45</v>
      </c>
    </row>
    <row r="2702" spans="1:9" ht="48" customHeight="1">
      <c r="A2702" s="3" t="s">
        <v>40</v>
      </c>
      <c r="B2702" s="3" t="s">
        <v>39</v>
      </c>
      <c r="C2702" s="4">
        <v>45992</v>
      </c>
      <c r="D2702" s="4">
        <v>46022</v>
      </c>
      <c r="E2702" s="3" t="s">
        <v>302</v>
      </c>
      <c r="F2702" s="3" t="s">
        <v>310</v>
      </c>
      <c r="G2702" s="5">
        <v>1E-3</v>
      </c>
      <c r="H2702" s="6" t="s">
        <v>54</v>
      </c>
      <c r="I2702" s="3" t="s">
        <v>45</v>
      </c>
    </row>
    <row r="2703" spans="1:9" ht="48" customHeight="1">
      <c r="A2703" s="3" t="s">
        <v>40</v>
      </c>
      <c r="B2703" s="3" t="s">
        <v>39</v>
      </c>
      <c r="C2703" s="4">
        <v>45992</v>
      </c>
      <c r="D2703" s="4">
        <v>46022</v>
      </c>
      <c r="E2703" s="3" t="s">
        <v>302</v>
      </c>
      <c r="F2703" s="3" t="s">
        <v>311</v>
      </c>
      <c r="G2703" s="5">
        <v>1E-3</v>
      </c>
      <c r="H2703" s="6" t="s">
        <v>54</v>
      </c>
      <c r="I2703" s="3" t="s">
        <v>45</v>
      </c>
    </row>
    <row r="2704" spans="1:9" ht="48" customHeight="1">
      <c r="A2704" s="3" t="s">
        <v>40</v>
      </c>
      <c r="B2704" s="3" t="s">
        <v>39</v>
      </c>
      <c r="C2704" s="4">
        <v>45992</v>
      </c>
      <c r="D2704" s="4">
        <v>46022</v>
      </c>
      <c r="E2704" s="3" t="s">
        <v>302</v>
      </c>
      <c r="F2704" s="3" t="s">
        <v>305</v>
      </c>
      <c r="G2704" s="5">
        <v>1E-3</v>
      </c>
      <c r="H2704" s="6" t="s">
        <v>54</v>
      </c>
      <c r="I2704" s="3" t="s">
        <v>45</v>
      </c>
    </row>
    <row r="2705" spans="1:9" ht="48" customHeight="1">
      <c r="A2705" s="3" t="s">
        <v>40</v>
      </c>
      <c r="B2705" s="3" t="s">
        <v>39</v>
      </c>
      <c r="C2705" s="4">
        <v>45992</v>
      </c>
      <c r="D2705" s="4">
        <v>46022</v>
      </c>
      <c r="E2705" s="3" t="s">
        <v>302</v>
      </c>
      <c r="F2705" s="3" t="s">
        <v>306</v>
      </c>
      <c r="G2705" s="5">
        <v>1E-3</v>
      </c>
      <c r="H2705" s="6" t="s">
        <v>54</v>
      </c>
      <c r="I2705" s="3" t="s">
        <v>45</v>
      </c>
    </row>
    <row r="2706" spans="1:9" ht="48" customHeight="1">
      <c r="A2706" s="3" t="s">
        <v>40</v>
      </c>
      <c r="B2706" s="3" t="s">
        <v>39</v>
      </c>
      <c r="C2706" s="4">
        <v>45992</v>
      </c>
      <c r="D2706" s="4">
        <v>46022</v>
      </c>
      <c r="E2706" s="3" t="s">
        <v>302</v>
      </c>
      <c r="F2706" s="3" t="s">
        <v>308</v>
      </c>
      <c r="G2706" s="5">
        <v>1E-3</v>
      </c>
      <c r="H2706" s="6" t="s">
        <v>54</v>
      </c>
      <c r="I2706" s="3" t="s">
        <v>45</v>
      </c>
    </row>
    <row r="2707" spans="1:9" ht="48" customHeight="1">
      <c r="A2707" s="3" t="s">
        <v>40</v>
      </c>
      <c r="B2707" s="3" t="s">
        <v>39</v>
      </c>
      <c r="C2707" s="4">
        <v>45992</v>
      </c>
      <c r="D2707" s="4">
        <v>46022</v>
      </c>
      <c r="E2707" s="3" t="s">
        <v>302</v>
      </c>
      <c r="F2707" s="3" t="s">
        <v>309</v>
      </c>
      <c r="G2707" s="5">
        <v>1E-3</v>
      </c>
      <c r="H2707" s="6" t="s">
        <v>54</v>
      </c>
      <c r="I2707" s="3" t="s">
        <v>45</v>
      </c>
    </row>
    <row r="2708" spans="1:9" ht="48" customHeight="1">
      <c r="A2708" s="3" t="s">
        <v>40</v>
      </c>
      <c r="B2708" s="3" t="s">
        <v>39</v>
      </c>
      <c r="C2708" s="4">
        <v>45992</v>
      </c>
      <c r="D2708" s="4">
        <v>46022</v>
      </c>
      <c r="E2708" s="3" t="s">
        <v>302</v>
      </c>
      <c r="F2708" s="3" t="s">
        <v>312</v>
      </c>
      <c r="G2708" s="5">
        <v>0</v>
      </c>
      <c r="H2708" s="6" t="s">
        <v>54</v>
      </c>
      <c r="I2708" s="3" t="s">
        <v>45</v>
      </c>
    </row>
    <row r="2709" spans="1:9" ht="48" customHeight="1">
      <c r="A2709" s="3" t="s">
        <v>40</v>
      </c>
      <c r="B2709" s="3" t="s">
        <v>39</v>
      </c>
      <c r="C2709" s="4">
        <v>45992</v>
      </c>
      <c r="D2709" s="4">
        <v>46022</v>
      </c>
      <c r="E2709" s="3" t="s">
        <v>302</v>
      </c>
      <c r="F2709" s="3" t="s">
        <v>313</v>
      </c>
      <c r="G2709" s="5">
        <v>0</v>
      </c>
      <c r="H2709" s="6" t="s">
        <v>54</v>
      </c>
      <c r="I2709" s="3" t="s">
        <v>45</v>
      </c>
    </row>
    <row r="2710" spans="1:9" ht="48" customHeight="1">
      <c r="A2710" s="3" t="s">
        <v>40</v>
      </c>
      <c r="B2710" s="3" t="s">
        <v>39</v>
      </c>
      <c r="C2710" s="4">
        <v>45992</v>
      </c>
      <c r="D2710" s="4">
        <v>46022</v>
      </c>
      <c r="E2710" s="3" t="s">
        <v>302</v>
      </c>
      <c r="F2710" s="3" t="s">
        <v>314</v>
      </c>
      <c r="G2710" s="5">
        <v>0</v>
      </c>
      <c r="H2710" s="6" t="s">
        <v>54</v>
      </c>
      <c r="I2710" s="3" t="s">
        <v>45</v>
      </c>
    </row>
    <row r="2711" spans="1:9" ht="48" customHeight="1">
      <c r="A2711" s="3" t="s">
        <v>40</v>
      </c>
      <c r="B2711" s="3" t="s">
        <v>39</v>
      </c>
      <c r="C2711" s="4">
        <v>45992</v>
      </c>
      <c r="D2711" s="4">
        <v>46022</v>
      </c>
      <c r="E2711" s="3" t="s">
        <v>302</v>
      </c>
      <c r="F2711" s="3" t="s">
        <v>315</v>
      </c>
      <c r="G2711" s="5">
        <v>0</v>
      </c>
      <c r="H2711" s="6" t="s">
        <v>54</v>
      </c>
      <c r="I2711" s="3" t="s">
        <v>45</v>
      </c>
    </row>
    <row r="2712" spans="1:9" ht="48" customHeight="1">
      <c r="A2712" s="3" t="s">
        <v>40</v>
      </c>
      <c r="B2712" s="3" t="s">
        <v>39</v>
      </c>
      <c r="C2712" s="4">
        <v>45992</v>
      </c>
      <c r="D2712" s="4">
        <v>46022</v>
      </c>
      <c r="E2712" s="3" t="s">
        <v>302</v>
      </c>
      <c r="F2712" s="3" t="s">
        <v>316</v>
      </c>
      <c r="G2712" s="5">
        <v>0</v>
      </c>
      <c r="H2712" s="6" t="s">
        <v>54</v>
      </c>
      <c r="I2712" s="3" t="s">
        <v>45</v>
      </c>
    </row>
    <row r="2713" spans="1:9" ht="48" customHeight="1">
      <c r="A2713" s="3" t="s">
        <v>40</v>
      </c>
      <c r="B2713" s="3" t="s">
        <v>39</v>
      </c>
      <c r="C2713" s="4">
        <v>45992</v>
      </c>
      <c r="D2713" s="4">
        <v>46022</v>
      </c>
      <c r="E2713" s="3" t="s">
        <v>302</v>
      </c>
      <c r="F2713" s="3" t="s">
        <v>317</v>
      </c>
      <c r="G2713" s="5">
        <v>0</v>
      </c>
      <c r="H2713" s="6" t="s">
        <v>54</v>
      </c>
      <c r="I2713" s="3" t="s">
        <v>45</v>
      </c>
    </row>
    <row r="2714" spans="1:9" ht="48" customHeight="1">
      <c r="A2714" s="3" t="s">
        <v>40</v>
      </c>
      <c r="B2714" s="3" t="s">
        <v>39</v>
      </c>
      <c r="C2714" s="4">
        <v>45992</v>
      </c>
      <c r="D2714" s="4">
        <v>46022</v>
      </c>
      <c r="E2714" s="3" t="s">
        <v>302</v>
      </c>
      <c r="F2714" s="3" t="s">
        <v>318</v>
      </c>
      <c r="G2714" s="5">
        <v>0</v>
      </c>
      <c r="H2714" s="6" t="s">
        <v>54</v>
      </c>
      <c r="I2714" s="3" t="s">
        <v>45</v>
      </c>
    </row>
    <row r="2715" spans="1:9" ht="48" customHeight="1">
      <c r="A2715" s="3" t="s">
        <v>40</v>
      </c>
      <c r="B2715" s="3" t="s">
        <v>39</v>
      </c>
      <c r="C2715" s="4">
        <v>45992</v>
      </c>
      <c r="D2715" s="4">
        <v>46022</v>
      </c>
      <c r="E2715" s="3" t="s">
        <v>302</v>
      </c>
      <c r="F2715" s="3" t="s">
        <v>319</v>
      </c>
      <c r="G2715" s="5">
        <v>0</v>
      </c>
      <c r="H2715" s="6" t="s">
        <v>54</v>
      </c>
      <c r="I2715" s="3" t="s">
        <v>45</v>
      </c>
    </row>
    <row r="2716" spans="1:9" ht="48" customHeight="1">
      <c r="A2716" s="3" t="s">
        <v>40</v>
      </c>
      <c r="B2716" s="3" t="s">
        <v>39</v>
      </c>
      <c r="C2716" s="4">
        <v>45992</v>
      </c>
      <c r="D2716" s="4">
        <v>46022</v>
      </c>
      <c r="E2716" s="3" t="s">
        <v>302</v>
      </c>
      <c r="F2716" s="3" t="s">
        <v>320</v>
      </c>
      <c r="G2716" s="5">
        <v>0</v>
      </c>
      <c r="H2716" s="6" t="s">
        <v>54</v>
      </c>
      <c r="I2716" s="3" t="s">
        <v>45</v>
      </c>
    </row>
    <row r="2717" spans="1:9" ht="48" customHeight="1">
      <c r="A2717" s="3" t="s">
        <v>40</v>
      </c>
      <c r="B2717" s="3" t="s">
        <v>39</v>
      </c>
      <c r="C2717" s="4">
        <v>45992</v>
      </c>
      <c r="D2717" s="4">
        <v>46022</v>
      </c>
      <c r="E2717" s="3" t="s">
        <v>302</v>
      </c>
      <c r="F2717" s="3" t="s">
        <v>321</v>
      </c>
      <c r="G2717" s="5">
        <v>0</v>
      </c>
      <c r="H2717" s="6" t="s">
        <v>54</v>
      </c>
      <c r="I2717" s="3" t="s">
        <v>45</v>
      </c>
    </row>
    <row r="2718" spans="1:9" ht="48" customHeight="1">
      <c r="A2718" s="3" t="s">
        <v>40</v>
      </c>
      <c r="B2718" s="3" t="s">
        <v>39</v>
      </c>
      <c r="C2718" s="4">
        <v>45992</v>
      </c>
      <c r="D2718" s="4">
        <v>46022</v>
      </c>
      <c r="E2718" s="3" t="s">
        <v>302</v>
      </c>
      <c r="F2718" s="3" t="s">
        <v>322</v>
      </c>
      <c r="G2718" s="5">
        <v>0</v>
      </c>
      <c r="H2718" s="6" t="s">
        <v>54</v>
      </c>
      <c r="I2718" s="3" t="s">
        <v>45</v>
      </c>
    </row>
    <row r="2719" spans="1:9" ht="48" customHeight="1">
      <c r="A2719" s="3" t="s">
        <v>40</v>
      </c>
      <c r="B2719" s="3" t="s">
        <v>39</v>
      </c>
      <c r="C2719" s="4">
        <v>45992</v>
      </c>
      <c r="D2719" s="4">
        <v>46022</v>
      </c>
      <c r="E2719" s="3" t="s">
        <v>302</v>
      </c>
      <c r="F2719" s="3" t="s">
        <v>323</v>
      </c>
      <c r="G2719" s="5">
        <v>0</v>
      </c>
      <c r="H2719" s="6" t="s">
        <v>54</v>
      </c>
      <c r="I2719" s="3" t="s">
        <v>45</v>
      </c>
    </row>
    <row r="2720" spans="1:9" ht="48" customHeight="1">
      <c r="A2720" s="3" t="s">
        <v>40</v>
      </c>
      <c r="B2720" s="3" t="s">
        <v>39</v>
      </c>
      <c r="C2720" s="4">
        <v>45992</v>
      </c>
      <c r="D2720" s="4">
        <v>46022</v>
      </c>
      <c r="E2720" s="3" t="s">
        <v>302</v>
      </c>
      <c r="F2720" s="3" t="s">
        <v>324</v>
      </c>
      <c r="G2720" s="5">
        <v>0</v>
      </c>
      <c r="H2720" s="6" t="s">
        <v>54</v>
      </c>
      <c r="I2720" s="3" t="s">
        <v>45</v>
      </c>
    </row>
    <row r="2721" spans="1:9" ht="48" customHeight="1">
      <c r="A2721" s="3" t="s">
        <v>40</v>
      </c>
      <c r="B2721" s="3" t="s">
        <v>39</v>
      </c>
      <c r="C2721" s="4">
        <v>45992</v>
      </c>
      <c r="D2721" s="4">
        <v>46022</v>
      </c>
      <c r="E2721" s="3" t="s">
        <v>260</v>
      </c>
      <c r="F2721" s="3" t="s">
        <v>268</v>
      </c>
      <c r="G2721" s="5">
        <v>2E-3</v>
      </c>
      <c r="H2721" s="6" t="s">
        <v>54</v>
      </c>
      <c r="I2721" s="3" t="s">
        <v>45</v>
      </c>
    </row>
    <row r="2722" spans="1:9" ht="48" customHeight="1">
      <c r="A2722" s="3" t="s">
        <v>40</v>
      </c>
      <c r="B2722" s="3" t="s">
        <v>39</v>
      </c>
      <c r="C2722" s="4">
        <v>45992</v>
      </c>
      <c r="D2722" s="4">
        <v>46022</v>
      </c>
      <c r="E2722" s="3" t="s">
        <v>260</v>
      </c>
      <c r="F2722" s="3" t="s">
        <v>232</v>
      </c>
      <c r="G2722" s="5">
        <v>1E-3</v>
      </c>
      <c r="H2722" s="6" t="s">
        <v>54</v>
      </c>
      <c r="I2722" s="3" t="s">
        <v>45</v>
      </c>
    </row>
    <row r="2723" spans="1:9" ht="48" customHeight="1">
      <c r="A2723" s="3" t="s">
        <v>40</v>
      </c>
      <c r="B2723" s="3" t="s">
        <v>39</v>
      </c>
      <c r="C2723" s="4">
        <v>45992</v>
      </c>
      <c r="D2723" s="4">
        <v>46022</v>
      </c>
      <c r="E2723" s="3" t="s">
        <v>260</v>
      </c>
      <c r="F2723" s="3" t="s">
        <v>265</v>
      </c>
      <c r="G2723" s="5">
        <v>1E-3</v>
      </c>
      <c r="H2723" s="6" t="s">
        <v>54</v>
      </c>
      <c r="I2723" s="3" t="s">
        <v>45</v>
      </c>
    </row>
    <row r="2724" spans="1:9" ht="48" customHeight="1">
      <c r="A2724" s="3" t="s">
        <v>40</v>
      </c>
      <c r="B2724" s="3" t="s">
        <v>39</v>
      </c>
      <c r="C2724" s="4">
        <v>45992</v>
      </c>
      <c r="D2724" s="4">
        <v>46022</v>
      </c>
      <c r="E2724" s="3" t="s">
        <v>260</v>
      </c>
      <c r="F2724" s="3" t="s">
        <v>262</v>
      </c>
      <c r="G2724" s="5">
        <v>1E-3</v>
      </c>
      <c r="H2724" s="6" t="s">
        <v>54</v>
      </c>
      <c r="I2724" s="3" t="s">
        <v>45</v>
      </c>
    </row>
    <row r="2725" spans="1:9" ht="48" customHeight="1">
      <c r="A2725" s="3" t="s">
        <v>40</v>
      </c>
      <c r="B2725" s="3" t="s">
        <v>39</v>
      </c>
      <c r="C2725" s="4">
        <v>45992</v>
      </c>
      <c r="D2725" s="4">
        <v>46022</v>
      </c>
      <c r="E2725" s="3" t="s">
        <v>260</v>
      </c>
      <c r="F2725" s="3" t="s">
        <v>261</v>
      </c>
      <c r="G2725" s="5">
        <v>1E-3</v>
      </c>
      <c r="H2725" s="6" t="s">
        <v>54</v>
      </c>
      <c r="I2725" s="3" t="s">
        <v>45</v>
      </c>
    </row>
    <row r="2726" spans="1:9" ht="48" customHeight="1">
      <c r="A2726" s="3" t="s">
        <v>40</v>
      </c>
      <c r="B2726" s="3" t="s">
        <v>39</v>
      </c>
      <c r="C2726" s="4">
        <v>45992</v>
      </c>
      <c r="D2726" s="4">
        <v>46022</v>
      </c>
      <c r="E2726" s="3" t="s">
        <v>260</v>
      </c>
      <c r="F2726" s="3" t="s">
        <v>263</v>
      </c>
      <c r="G2726" s="5">
        <v>1E-3</v>
      </c>
      <c r="H2726" s="6" t="s">
        <v>54</v>
      </c>
      <c r="I2726" s="3" t="s">
        <v>45</v>
      </c>
    </row>
    <row r="2727" spans="1:9" ht="48" customHeight="1">
      <c r="A2727" s="3" t="s">
        <v>40</v>
      </c>
      <c r="B2727" s="3" t="s">
        <v>39</v>
      </c>
      <c r="C2727" s="4">
        <v>45992</v>
      </c>
      <c r="D2727" s="4">
        <v>46022</v>
      </c>
      <c r="E2727" s="3" t="s">
        <v>260</v>
      </c>
      <c r="F2727" s="3" t="s">
        <v>266</v>
      </c>
      <c r="G2727" s="5">
        <v>1E-3</v>
      </c>
      <c r="H2727" s="6" t="s">
        <v>54</v>
      </c>
      <c r="I2727" s="3" t="s">
        <v>45</v>
      </c>
    </row>
    <row r="2728" spans="1:9" ht="48" customHeight="1">
      <c r="A2728" s="3" t="s">
        <v>40</v>
      </c>
      <c r="B2728" s="3" t="s">
        <v>39</v>
      </c>
      <c r="C2728" s="4">
        <v>45992</v>
      </c>
      <c r="D2728" s="4">
        <v>46022</v>
      </c>
      <c r="E2728" s="3" t="s">
        <v>260</v>
      </c>
      <c r="F2728" s="3" t="s">
        <v>264</v>
      </c>
      <c r="G2728" s="5">
        <v>1E-3</v>
      </c>
      <c r="H2728" s="6" t="s">
        <v>54</v>
      </c>
      <c r="I2728" s="3" t="s">
        <v>45</v>
      </c>
    </row>
    <row r="2729" spans="1:9" ht="48" customHeight="1">
      <c r="A2729" s="3" t="s">
        <v>40</v>
      </c>
      <c r="B2729" s="3" t="s">
        <v>39</v>
      </c>
      <c r="C2729" s="4">
        <v>45992</v>
      </c>
      <c r="D2729" s="4">
        <v>46022</v>
      </c>
      <c r="E2729" s="3" t="s">
        <v>260</v>
      </c>
      <c r="F2729" s="3" t="s">
        <v>271</v>
      </c>
      <c r="G2729" s="5">
        <v>1E-3</v>
      </c>
      <c r="H2729" s="6" t="s">
        <v>54</v>
      </c>
      <c r="I2729" s="3" t="s">
        <v>45</v>
      </c>
    </row>
    <row r="2730" spans="1:9" ht="48" customHeight="1">
      <c r="A2730" s="3" t="s">
        <v>40</v>
      </c>
      <c r="B2730" s="3" t="s">
        <v>39</v>
      </c>
      <c r="C2730" s="4">
        <v>45992</v>
      </c>
      <c r="D2730" s="4">
        <v>46022</v>
      </c>
      <c r="E2730" s="3" t="s">
        <v>260</v>
      </c>
      <c r="F2730" s="3" t="s">
        <v>234</v>
      </c>
      <c r="G2730" s="5">
        <v>0</v>
      </c>
      <c r="H2730" s="6" t="s">
        <v>54</v>
      </c>
      <c r="I2730" s="3" t="s">
        <v>45</v>
      </c>
    </row>
    <row r="2731" spans="1:9" ht="48" customHeight="1">
      <c r="A2731" s="3" t="s">
        <v>40</v>
      </c>
      <c r="B2731" s="3" t="s">
        <v>39</v>
      </c>
      <c r="C2731" s="4">
        <v>45992</v>
      </c>
      <c r="D2731" s="4">
        <v>46022</v>
      </c>
      <c r="E2731" s="3" t="s">
        <v>260</v>
      </c>
      <c r="F2731" s="3" t="s">
        <v>267</v>
      </c>
      <c r="G2731" s="5">
        <v>0</v>
      </c>
      <c r="H2731" s="6" t="s">
        <v>54</v>
      </c>
      <c r="I2731" s="3" t="s">
        <v>45</v>
      </c>
    </row>
    <row r="2732" spans="1:9" ht="48" customHeight="1">
      <c r="A2732" s="3" t="s">
        <v>40</v>
      </c>
      <c r="B2732" s="3" t="s">
        <v>39</v>
      </c>
      <c r="C2732" s="4">
        <v>45992</v>
      </c>
      <c r="D2732" s="4">
        <v>46022</v>
      </c>
      <c r="E2732" s="3" t="s">
        <v>260</v>
      </c>
      <c r="F2732" s="3" t="s">
        <v>273</v>
      </c>
      <c r="G2732" s="5">
        <v>0</v>
      </c>
      <c r="H2732" s="6" t="s">
        <v>54</v>
      </c>
      <c r="I2732" s="3" t="s">
        <v>45</v>
      </c>
    </row>
    <row r="2733" spans="1:9" ht="48" customHeight="1">
      <c r="A2733" s="3" t="s">
        <v>40</v>
      </c>
      <c r="B2733" s="3" t="s">
        <v>39</v>
      </c>
      <c r="C2733" s="4">
        <v>45992</v>
      </c>
      <c r="D2733" s="4">
        <v>46022</v>
      </c>
      <c r="E2733" s="3" t="s">
        <v>260</v>
      </c>
      <c r="F2733" s="3" t="s">
        <v>274</v>
      </c>
      <c r="G2733" s="5">
        <v>0</v>
      </c>
      <c r="H2733" s="6" t="s">
        <v>54</v>
      </c>
      <c r="I2733" s="3" t="s">
        <v>45</v>
      </c>
    </row>
    <row r="2734" spans="1:9" ht="48" customHeight="1">
      <c r="A2734" s="3" t="s">
        <v>40</v>
      </c>
      <c r="B2734" s="3" t="s">
        <v>39</v>
      </c>
      <c r="C2734" s="4">
        <v>45992</v>
      </c>
      <c r="D2734" s="4">
        <v>46022</v>
      </c>
      <c r="E2734" s="3" t="s">
        <v>260</v>
      </c>
      <c r="F2734" s="3" t="s">
        <v>275</v>
      </c>
      <c r="G2734" s="5">
        <v>0</v>
      </c>
      <c r="H2734" s="6" t="s">
        <v>54</v>
      </c>
      <c r="I2734" s="3" t="s">
        <v>45</v>
      </c>
    </row>
    <row r="2735" spans="1:9" ht="48" customHeight="1">
      <c r="A2735" s="3" t="s">
        <v>40</v>
      </c>
      <c r="B2735" s="3" t="s">
        <v>39</v>
      </c>
      <c r="C2735" s="4">
        <v>45992</v>
      </c>
      <c r="D2735" s="4">
        <v>46022</v>
      </c>
      <c r="E2735" s="3" t="s">
        <v>260</v>
      </c>
      <c r="F2735" s="3" t="s">
        <v>276</v>
      </c>
      <c r="G2735" s="5">
        <v>0</v>
      </c>
      <c r="H2735" s="6" t="s">
        <v>54</v>
      </c>
      <c r="I2735" s="3" t="s">
        <v>45</v>
      </c>
    </row>
    <row r="2736" spans="1:9" ht="48" customHeight="1">
      <c r="A2736" s="3" t="s">
        <v>40</v>
      </c>
      <c r="B2736" s="3" t="s">
        <v>39</v>
      </c>
      <c r="C2736" s="4">
        <v>45992</v>
      </c>
      <c r="D2736" s="4">
        <v>46022</v>
      </c>
      <c r="E2736" s="3" t="s">
        <v>260</v>
      </c>
      <c r="F2736" s="3" t="s">
        <v>277</v>
      </c>
      <c r="G2736" s="5">
        <v>0</v>
      </c>
      <c r="H2736" s="6" t="s">
        <v>54</v>
      </c>
      <c r="I2736" s="3" t="s">
        <v>45</v>
      </c>
    </row>
    <row r="2737" spans="1:9" ht="48" customHeight="1">
      <c r="A2737" s="3" t="s">
        <v>40</v>
      </c>
      <c r="B2737" s="3" t="s">
        <v>39</v>
      </c>
      <c r="C2737" s="4">
        <v>45992</v>
      </c>
      <c r="D2737" s="4">
        <v>46022</v>
      </c>
      <c r="E2737" s="3" t="s">
        <v>260</v>
      </c>
      <c r="F2737" s="3" t="s">
        <v>278</v>
      </c>
      <c r="G2737" s="5">
        <v>0</v>
      </c>
      <c r="H2737" s="6" t="s">
        <v>54</v>
      </c>
      <c r="I2737" s="3" t="s">
        <v>45</v>
      </c>
    </row>
    <row r="2738" spans="1:9" ht="48" customHeight="1">
      <c r="A2738" s="3" t="s">
        <v>40</v>
      </c>
      <c r="B2738" s="3" t="s">
        <v>39</v>
      </c>
      <c r="C2738" s="4">
        <v>45992</v>
      </c>
      <c r="D2738" s="4">
        <v>46022</v>
      </c>
      <c r="E2738" s="3" t="s">
        <v>260</v>
      </c>
      <c r="F2738" s="3" t="s">
        <v>269</v>
      </c>
      <c r="G2738" s="5">
        <v>0</v>
      </c>
      <c r="H2738" s="6" t="s">
        <v>54</v>
      </c>
      <c r="I2738" s="3" t="s">
        <v>45</v>
      </c>
    </row>
    <row r="2739" spans="1:9" ht="48" customHeight="1">
      <c r="A2739" s="3" t="s">
        <v>40</v>
      </c>
      <c r="B2739" s="3" t="s">
        <v>39</v>
      </c>
      <c r="C2739" s="4">
        <v>45992</v>
      </c>
      <c r="D2739" s="4">
        <v>46022</v>
      </c>
      <c r="E2739" s="3" t="s">
        <v>260</v>
      </c>
      <c r="F2739" s="3" t="s">
        <v>270</v>
      </c>
      <c r="G2739" s="5">
        <v>0</v>
      </c>
      <c r="H2739" s="6" t="s">
        <v>54</v>
      </c>
      <c r="I2739" s="3" t="s">
        <v>45</v>
      </c>
    </row>
    <row r="2740" spans="1:9" ht="48" customHeight="1">
      <c r="A2740" s="3" t="s">
        <v>40</v>
      </c>
      <c r="B2740" s="3" t="s">
        <v>39</v>
      </c>
      <c r="C2740" s="4">
        <v>45992</v>
      </c>
      <c r="D2740" s="4">
        <v>46022</v>
      </c>
      <c r="E2740" s="3" t="s">
        <v>260</v>
      </c>
      <c r="F2740" s="3" t="s">
        <v>280</v>
      </c>
      <c r="G2740" s="5">
        <v>0</v>
      </c>
      <c r="H2740" s="6" t="s">
        <v>54</v>
      </c>
      <c r="I2740" s="3" t="s">
        <v>45</v>
      </c>
    </row>
    <row r="2741" spans="1:9" ht="48" customHeight="1">
      <c r="A2741" s="3" t="s">
        <v>40</v>
      </c>
      <c r="B2741" s="3" t="s">
        <v>39</v>
      </c>
      <c r="C2741" s="4">
        <v>45992</v>
      </c>
      <c r="D2741" s="4">
        <v>46022</v>
      </c>
      <c r="E2741" s="3" t="s">
        <v>260</v>
      </c>
      <c r="F2741" s="3" t="s">
        <v>281</v>
      </c>
      <c r="G2741" s="5">
        <v>0</v>
      </c>
      <c r="H2741" s="6" t="s">
        <v>54</v>
      </c>
      <c r="I2741" s="3" t="s">
        <v>45</v>
      </c>
    </row>
    <row r="2742" spans="1:9" ht="48" customHeight="1">
      <c r="A2742" s="3" t="s">
        <v>40</v>
      </c>
      <c r="B2742" s="3" t="s">
        <v>39</v>
      </c>
      <c r="C2742" s="4">
        <v>45992</v>
      </c>
      <c r="D2742" s="4">
        <v>46022</v>
      </c>
      <c r="E2742" s="3" t="s">
        <v>260</v>
      </c>
      <c r="F2742" s="3" t="s">
        <v>272</v>
      </c>
      <c r="G2742" s="5">
        <v>0</v>
      </c>
      <c r="H2742" s="6" t="s">
        <v>54</v>
      </c>
      <c r="I2742" s="3" t="s">
        <v>45</v>
      </c>
    </row>
    <row r="2743" spans="1:9" ht="48" customHeight="1">
      <c r="A2743" s="3" t="s">
        <v>40</v>
      </c>
      <c r="B2743" s="3" t="s">
        <v>39</v>
      </c>
      <c r="C2743" s="4">
        <v>45992</v>
      </c>
      <c r="D2743" s="4">
        <v>46022</v>
      </c>
      <c r="E2743" s="3" t="s">
        <v>260</v>
      </c>
      <c r="F2743" s="3" t="s">
        <v>282</v>
      </c>
      <c r="G2743" s="5">
        <v>0</v>
      </c>
      <c r="H2743" s="6" t="s">
        <v>54</v>
      </c>
      <c r="I2743" s="3" t="s">
        <v>45</v>
      </c>
    </row>
    <row r="2744" spans="1:9" ht="48" customHeight="1">
      <c r="A2744" s="3" t="s">
        <v>40</v>
      </c>
      <c r="B2744" s="3" t="s">
        <v>39</v>
      </c>
      <c r="C2744" s="4">
        <v>45992</v>
      </c>
      <c r="D2744" s="4">
        <v>46022</v>
      </c>
      <c r="E2744" s="3" t="s">
        <v>260</v>
      </c>
      <c r="F2744" s="3" t="s">
        <v>283</v>
      </c>
      <c r="G2744" s="5">
        <v>0</v>
      </c>
      <c r="H2744" s="6" t="s">
        <v>54</v>
      </c>
      <c r="I2744" s="3" t="s">
        <v>45</v>
      </c>
    </row>
    <row r="2745" spans="1:9" ht="48" customHeight="1">
      <c r="A2745" s="3" t="s">
        <v>40</v>
      </c>
      <c r="B2745" s="3" t="s">
        <v>39</v>
      </c>
      <c r="C2745" s="4">
        <v>45992</v>
      </c>
      <c r="D2745" s="4">
        <v>46022</v>
      </c>
      <c r="E2745" s="3" t="s">
        <v>260</v>
      </c>
      <c r="F2745" s="3" t="s">
        <v>284</v>
      </c>
      <c r="G2745" s="5">
        <v>0</v>
      </c>
      <c r="H2745" s="6" t="s">
        <v>54</v>
      </c>
      <c r="I2745" s="3" t="s">
        <v>45</v>
      </c>
    </row>
    <row r="2746" spans="1:9" ht="48" customHeight="1">
      <c r="A2746" s="3" t="s">
        <v>40</v>
      </c>
      <c r="B2746" s="3" t="s">
        <v>39</v>
      </c>
      <c r="C2746" s="4">
        <v>45992</v>
      </c>
      <c r="D2746" s="4">
        <v>46022</v>
      </c>
      <c r="E2746" s="3" t="s">
        <v>260</v>
      </c>
      <c r="F2746" s="3" t="s">
        <v>285</v>
      </c>
      <c r="G2746" s="5">
        <v>0</v>
      </c>
      <c r="H2746" s="6" t="s">
        <v>54</v>
      </c>
      <c r="I2746" s="3" t="s">
        <v>45</v>
      </c>
    </row>
    <row r="2747" spans="1:9" ht="48" customHeight="1">
      <c r="A2747" s="3" t="s">
        <v>40</v>
      </c>
      <c r="B2747" s="3" t="s">
        <v>39</v>
      </c>
      <c r="C2747" s="4">
        <v>45992</v>
      </c>
      <c r="D2747" s="4">
        <v>46022</v>
      </c>
      <c r="E2747" s="3" t="s">
        <v>368</v>
      </c>
      <c r="F2747" s="3" t="s">
        <v>369</v>
      </c>
      <c r="G2747" s="5">
        <v>1E-3</v>
      </c>
      <c r="H2747" s="6" t="s">
        <v>54</v>
      </c>
      <c r="I2747" s="3" t="s">
        <v>45</v>
      </c>
    </row>
    <row r="2748" spans="1:9" ht="48" customHeight="1">
      <c r="A2748" s="3" t="s">
        <v>40</v>
      </c>
      <c r="B2748" s="3" t="s">
        <v>39</v>
      </c>
      <c r="C2748" s="4">
        <v>45992</v>
      </c>
      <c r="D2748" s="4">
        <v>46022</v>
      </c>
      <c r="E2748" s="3" t="s">
        <v>368</v>
      </c>
      <c r="F2748" s="3" t="s">
        <v>373</v>
      </c>
      <c r="G2748" s="5">
        <v>1E-3</v>
      </c>
      <c r="H2748" s="6" t="s">
        <v>54</v>
      </c>
      <c r="I2748" s="3" t="s">
        <v>45</v>
      </c>
    </row>
    <row r="2749" spans="1:9" ht="48" customHeight="1">
      <c r="A2749" s="3" t="s">
        <v>40</v>
      </c>
      <c r="B2749" s="3" t="s">
        <v>39</v>
      </c>
      <c r="C2749" s="4">
        <v>45992</v>
      </c>
      <c r="D2749" s="4">
        <v>46022</v>
      </c>
      <c r="E2749" s="3" t="s">
        <v>368</v>
      </c>
      <c r="F2749" s="3" t="s">
        <v>265</v>
      </c>
      <c r="G2749" s="5">
        <v>1E-3</v>
      </c>
      <c r="H2749" s="6" t="s">
        <v>54</v>
      </c>
      <c r="I2749" s="3" t="s">
        <v>45</v>
      </c>
    </row>
    <row r="2750" spans="1:9" ht="48" customHeight="1">
      <c r="A2750" s="3" t="s">
        <v>40</v>
      </c>
      <c r="B2750" s="3" t="s">
        <v>39</v>
      </c>
      <c r="C2750" s="4">
        <v>45992</v>
      </c>
      <c r="D2750" s="4">
        <v>46022</v>
      </c>
      <c r="E2750" s="3" t="s">
        <v>368</v>
      </c>
      <c r="F2750" s="3" t="s">
        <v>262</v>
      </c>
      <c r="G2750" s="5">
        <v>1E-3</v>
      </c>
      <c r="H2750" s="6" t="s">
        <v>54</v>
      </c>
      <c r="I2750" s="3" t="s">
        <v>45</v>
      </c>
    </row>
    <row r="2751" spans="1:9" ht="48" customHeight="1">
      <c r="A2751" s="3" t="s">
        <v>40</v>
      </c>
      <c r="B2751" s="3" t="s">
        <v>39</v>
      </c>
      <c r="C2751" s="4">
        <v>45992</v>
      </c>
      <c r="D2751" s="4">
        <v>46022</v>
      </c>
      <c r="E2751" s="3" t="s">
        <v>368</v>
      </c>
      <c r="F2751" s="3" t="s">
        <v>370</v>
      </c>
      <c r="G2751" s="5">
        <v>1E-3</v>
      </c>
      <c r="H2751" s="6" t="s">
        <v>54</v>
      </c>
      <c r="I2751" s="3" t="s">
        <v>45</v>
      </c>
    </row>
    <row r="2752" spans="1:9" ht="48" customHeight="1">
      <c r="A2752" s="3" t="s">
        <v>40</v>
      </c>
      <c r="B2752" s="3" t="s">
        <v>39</v>
      </c>
      <c r="C2752" s="4">
        <v>45992</v>
      </c>
      <c r="D2752" s="4">
        <v>46022</v>
      </c>
      <c r="E2752" s="3" t="s">
        <v>368</v>
      </c>
      <c r="F2752" s="3" t="s">
        <v>371</v>
      </c>
      <c r="G2752" s="5">
        <v>1E-3</v>
      </c>
      <c r="H2752" s="6" t="s">
        <v>54</v>
      </c>
      <c r="I2752" s="3" t="s">
        <v>45</v>
      </c>
    </row>
    <row r="2753" spans="1:9" ht="48" customHeight="1">
      <c r="A2753" s="3" t="s">
        <v>40</v>
      </c>
      <c r="B2753" s="3" t="s">
        <v>39</v>
      </c>
      <c r="C2753" s="4">
        <v>45992</v>
      </c>
      <c r="D2753" s="4">
        <v>46022</v>
      </c>
      <c r="E2753" s="3" t="s">
        <v>368</v>
      </c>
      <c r="F2753" s="3" t="s">
        <v>374</v>
      </c>
      <c r="G2753" s="5">
        <v>1E-3</v>
      </c>
      <c r="H2753" s="6" t="s">
        <v>54</v>
      </c>
      <c r="I2753" s="3" t="s">
        <v>45</v>
      </c>
    </row>
    <row r="2754" spans="1:9" ht="48" customHeight="1">
      <c r="A2754" s="3" t="s">
        <v>40</v>
      </c>
      <c r="B2754" s="3" t="s">
        <v>39</v>
      </c>
      <c r="C2754" s="4">
        <v>45992</v>
      </c>
      <c r="D2754" s="4">
        <v>46022</v>
      </c>
      <c r="E2754" s="3" t="s">
        <v>368</v>
      </c>
      <c r="F2754" s="3" t="s">
        <v>375</v>
      </c>
      <c r="G2754" s="5">
        <v>1E-3</v>
      </c>
      <c r="H2754" s="6" t="s">
        <v>54</v>
      </c>
      <c r="I2754" s="3" t="s">
        <v>45</v>
      </c>
    </row>
    <row r="2755" spans="1:9" ht="48" customHeight="1">
      <c r="A2755" s="3" t="s">
        <v>40</v>
      </c>
      <c r="B2755" s="3" t="s">
        <v>39</v>
      </c>
      <c r="C2755" s="4">
        <v>45992</v>
      </c>
      <c r="D2755" s="4">
        <v>46022</v>
      </c>
      <c r="E2755" s="3" t="s">
        <v>368</v>
      </c>
      <c r="F2755" s="3" t="s">
        <v>378</v>
      </c>
      <c r="G2755" s="5">
        <v>1E-3</v>
      </c>
      <c r="H2755" s="6" t="s">
        <v>54</v>
      </c>
      <c r="I2755" s="3" t="s">
        <v>45</v>
      </c>
    </row>
    <row r="2756" spans="1:9" ht="48" customHeight="1">
      <c r="A2756" s="3" t="s">
        <v>40</v>
      </c>
      <c r="B2756" s="3" t="s">
        <v>39</v>
      </c>
      <c r="C2756" s="4">
        <v>45992</v>
      </c>
      <c r="D2756" s="4">
        <v>46022</v>
      </c>
      <c r="E2756" s="3" t="s">
        <v>368</v>
      </c>
      <c r="F2756" s="3" t="s">
        <v>230</v>
      </c>
      <c r="G2756" s="5">
        <v>0</v>
      </c>
      <c r="H2756" s="6" t="s">
        <v>54</v>
      </c>
      <c r="I2756" s="3" t="s">
        <v>45</v>
      </c>
    </row>
    <row r="2757" spans="1:9" ht="48" customHeight="1">
      <c r="A2757" s="3" t="s">
        <v>40</v>
      </c>
      <c r="B2757" s="3" t="s">
        <v>39</v>
      </c>
      <c r="C2757" s="4">
        <v>45992</v>
      </c>
      <c r="D2757" s="4">
        <v>46022</v>
      </c>
      <c r="E2757" s="3" t="s">
        <v>368</v>
      </c>
      <c r="F2757" s="3" t="s">
        <v>232</v>
      </c>
      <c r="G2757" s="5">
        <v>0</v>
      </c>
      <c r="H2757" s="6" t="s">
        <v>54</v>
      </c>
      <c r="I2757" s="3" t="s">
        <v>45</v>
      </c>
    </row>
    <row r="2758" spans="1:9" ht="48" customHeight="1">
      <c r="A2758" s="3" t="s">
        <v>40</v>
      </c>
      <c r="B2758" s="3" t="s">
        <v>39</v>
      </c>
      <c r="C2758" s="4">
        <v>45992</v>
      </c>
      <c r="D2758" s="4">
        <v>46022</v>
      </c>
      <c r="E2758" s="3" t="s">
        <v>368</v>
      </c>
      <c r="F2758" s="3" t="s">
        <v>234</v>
      </c>
      <c r="G2758" s="5">
        <v>0</v>
      </c>
      <c r="H2758" s="6" t="s">
        <v>54</v>
      </c>
      <c r="I2758" s="3" t="s">
        <v>45</v>
      </c>
    </row>
    <row r="2759" spans="1:9" ht="48" customHeight="1">
      <c r="A2759" s="3" t="s">
        <v>40</v>
      </c>
      <c r="B2759" s="3" t="s">
        <v>39</v>
      </c>
      <c r="C2759" s="4">
        <v>45992</v>
      </c>
      <c r="D2759" s="4">
        <v>46022</v>
      </c>
      <c r="E2759" s="3" t="s">
        <v>368</v>
      </c>
      <c r="F2759" s="3" t="s">
        <v>372</v>
      </c>
      <c r="G2759" s="5">
        <v>0</v>
      </c>
      <c r="H2759" s="6" t="s">
        <v>54</v>
      </c>
      <c r="I2759" s="3" t="s">
        <v>45</v>
      </c>
    </row>
    <row r="2760" spans="1:9" ht="48" customHeight="1">
      <c r="A2760" s="3" t="s">
        <v>40</v>
      </c>
      <c r="B2760" s="3" t="s">
        <v>39</v>
      </c>
      <c r="C2760" s="4">
        <v>45992</v>
      </c>
      <c r="D2760" s="4">
        <v>46022</v>
      </c>
      <c r="E2760" s="3" t="s">
        <v>368</v>
      </c>
      <c r="F2760" s="3" t="s">
        <v>207</v>
      </c>
      <c r="G2760" s="5">
        <v>0</v>
      </c>
      <c r="H2760" s="6" t="s">
        <v>54</v>
      </c>
      <c r="I2760" s="3" t="s">
        <v>45</v>
      </c>
    </row>
    <row r="2761" spans="1:9" ht="48" customHeight="1">
      <c r="A2761" s="3" t="s">
        <v>40</v>
      </c>
      <c r="B2761" s="3" t="s">
        <v>39</v>
      </c>
      <c r="C2761" s="4">
        <v>45992</v>
      </c>
      <c r="D2761" s="4">
        <v>46022</v>
      </c>
      <c r="E2761" s="3" t="s">
        <v>368</v>
      </c>
      <c r="F2761" s="3" t="s">
        <v>376</v>
      </c>
      <c r="G2761" s="5">
        <v>0</v>
      </c>
      <c r="H2761" s="6" t="s">
        <v>54</v>
      </c>
      <c r="I2761" s="3" t="s">
        <v>45</v>
      </c>
    </row>
    <row r="2762" spans="1:9" ht="48" customHeight="1">
      <c r="A2762" s="3" t="s">
        <v>40</v>
      </c>
      <c r="B2762" s="3" t="s">
        <v>39</v>
      </c>
      <c r="C2762" s="4">
        <v>45992</v>
      </c>
      <c r="D2762" s="4">
        <v>46022</v>
      </c>
      <c r="E2762" s="3" t="s">
        <v>368</v>
      </c>
      <c r="F2762" s="3" t="s">
        <v>377</v>
      </c>
      <c r="G2762" s="5">
        <v>0</v>
      </c>
      <c r="H2762" s="6" t="s">
        <v>54</v>
      </c>
      <c r="I2762" s="3" t="s">
        <v>45</v>
      </c>
    </row>
    <row r="2763" spans="1:9" ht="48" customHeight="1">
      <c r="A2763" s="3" t="s">
        <v>40</v>
      </c>
      <c r="B2763" s="3" t="s">
        <v>39</v>
      </c>
      <c r="C2763" s="4">
        <v>45992</v>
      </c>
      <c r="D2763" s="4">
        <v>46022</v>
      </c>
      <c r="E2763" s="3" t="s">
        <v>244</v>
      </c>
      <c r="F2763" s="3" t="s">
        <v>248</v>
      </c>
      <c r="G2763" s="5">
        <v>2E-3</v>
      </c>
      <c r="H2763" s="6" t="s">
        <v>54</v>
      </c>
      <c r="I2763" s="3" t="s">
        <v>45</v>
      </c>
    </row>
    <row r="2764" spans="1:9" ht="48" customHeight="1">
      <c r="A2764" s="3" t="s">
        <v>40</v>
      </c>
      <c r="B2764" s="3" t="s">
        <v>39</v>
      </c>
      <c r="C2764" s="4">
        <v>45992</v>
      </c>
      <c r="D2764" s="4">
        <v>46022</v>
      </c>
      <c r="E2764" s="3" t="s">
        <v>244</v>
      </c>
      <c r="F2764" s="3" t="s">
        <v>245</v>
      </c>
      <c r="G2764" s="5">
        <v>2E-3</v>
      </c>
      <c r="H2764" s="6" t="s">
        <v>54</v>
      </c>
      <c r="I2764" s="3" t="s">
        <v>45</v>
      </c>
    </row>
    <row r="2765" spans="1:9" ht="48" customHeight="1">
      <c r="A2765" s="3" t="s">
        <v>40</v>
      </c>
      <c r="B2765" s="3" t="s">
        <v>39</v>
      </c>
      <c r="C2765" s="4">
        <v>45992</v>
      </c>
      <c r="D2765" s="4">
        <v>46022</v>
      </c>
      <c r="E2765" s="3" t="s">
        <v>244</v>
      </c>
      <c r="F2765" s="3" t="s">
        <v>246</v>
      </c>
      <c r="G2765" s="5">
        <v>2E-3</v>
      </c>
      <c r="H2765" s="6" t="s">
        <v>54</v>
      </c>
      <c r="I2765" s="3" t="s">
        <v>45</v>
      </c>
    </row>
    <row r="2766" spans="1:9" ht="48" customHeight="1">
      <c r="A2766" s="3" t="s">
        <v>40</v>
      </c>
      <c r="B2766" s="3" t="s">
        <v>39</v>
      </c>
      <c r="C2766" s="4">
        <v>45992</v>
      </c>
      <c r="D2766" s="4">
        <v>46022</v>
      </c>
      <c r="E2766" s="3" t="s">
        <v>244</v>
      </c>
      <c r="F2766" s="3" t="s">
        <v>247</v>
      </c>
      <c r="G2766" s="5">
        <v>1E-3</v>
      </c>
      <c r="H2766" s="6" t="s">
        <v>54</v>
      </c>
      <c r="I2766" s="3" t="s">
        <v>45</v>
      </c>
    </row>
    <row r="2767" spans="1:9" ht="48" customHeight="1">
      <c r="A2767" s="3" t="s">
        <v>40</v>
      </c>
      <c r="B2767" s="3" t="s">
        <v>39</v>
      </c>
      <c r="C2767" s="4">
        <v>45992</v>
      </c>
      <c r="D2767" s="4">
        <v>46022</v>
      </c>
      <c r="E2767" s="3" t="s">
        <v>244</v>
      </c>
      <c r="F2767" s="3" t="s">
        <v>249</v>
      </c>
      <c r="G2767" s="5">
        <v>1E-3</v>
      </c>
      <c r="H2767" s="6" t="s">
        <v>54</v>
      </c>
      <c r="I2767" s="3" t="s">
        <v>45</v>
      </c>
    </row>
    <row r="2768" spans="1:9" ht="48" customHeight="1">
      <c r="A2768" s="3" t="s">
        <v>40</v>
      </c>
      <c r="B2768" s="3" t="s">
        <v>39</v>
      </c>
      <c r="C2768" s="4">
        <v>45992</v>
      </c>
      <c r="D2768" s="4">
        <v>46022</v>
      </c>
      <c r="E2768" s="3" t="s">
        <v>244</v>
      </c>
      <c r="F2768" s="3" t="s">
        <v>250</v>
      </c>
      <c r="G2768" s="5">
        <v>0</v>
      </c>
      <c r="H2768" s="6" t="s">
        <v>54</v>
      </c>
      <c r="I2768" s="3" t="s">
        <v>45</v>
      </c>
    </row>
    <row r="2769" spans="1:9" ht="48" customHeight="1">
      <c r="A2769" s="3" t="s">
        <v>40</v>
      </c>
      <c r="B2769" s="3" t="s">
        <v>39</v>
      </c>
      <c r="C2769" s="4">
        <v>45992</v>
      </c>
      <c r="D2769" s="4">
        <v>46022</v>
      </c>
      <c r="E2769" s="3" t="s">
        <v>244</v>
      </c>
      <c r="F2769" s="3" t="s">
        <v>251</v>
      </c>
      <c r="G2769" s="5">
        <v>0</v>
      </c>
      <c r="H2769" s="6" t="s">
        <v>54</v>
      </c>
      <c r="I2769" s="3" t="s">
        <v>45</v>
      </c>
    </row>
    <row r="2770" spans="1:9" ht="48" customHeight="1">
      <c r="A2770" s="3" t="s">
        <v>40</v>
      </c>
      <c r="B2770" s="3" t="s">
        <v>39</v>
      </c>
      <c r="C2770" s="4">
        <v>45992</v>
      </c>
      <c r="D2770" s="4">
        <v>46022</v>
      </c>
      <c r="E2770" s="3" t="s">
        <v>244</v>
      </c>
      <c r="F2770" s="3" t="s">
        <v>252</v>
      </c>
      <c r="G2770" s="5">
        <v>0</v>
      </c>
      <c r="H2770" s="6" t="s">
        <v>54</v>
      </c>
      <c r="I2770" s="3" t="s">
        <v>45</v>
      </c>
    </row>
    <row r="2771" spans="1:9" ht="48" customHeight="1">
      <c r="A2771" s="3" t="s">
        <v>40</v>
      </c>
      <c r="B2771" s="3" t="s">
        <v>39</v>
      </c>
      <c r="C2771" s="4">
        <v>45992</v>
      </c>
      <c r="D2771" s="4">
        <v>46022</v>
      </c>
      <c r="E2771" s="3" t="s">
        <v>244</v>
      </c>
      <c r="F2771" s="3" t="s">
        <v>256</v>
      </c>
      <c r="G2771" s="5">
        <v>0</v>
      </c>
      <c r="H2771" s="6" t="s">
        <v>54</v>
      </c>
      <c r="I2771" s="3" t="s">
        <v>45</v>
      </c>
    </row>
    <row r="2772" spans="1:9" ht="48" customHeight="1">
      <c r="A2772" s="3" t="s">
        <v>40</v>
      </c>
      <c r="B2772" s="3" t="s">
        <v>39</v>
      </c>
      <c r="C2772" s="4">
        <v>45992</v>
      </c>
      <c r="D2772" s="4">
        <v>46022</v>
      </c>
      <c r="E2772" s="3" t="s">
        <v>244</v>
      </c>
      <c r="F2772" s="3" t="s">
        <v>257</v>
      </c>
      <c r="G2772" s="5">
        <v>0</v>
      </c>
      <c r="H2772" s="6" t="s">
        <v>54</v>
      </c>
      <c r="I2772" s="3" t="s">
        <v>45</v>
      </c>
    </row>
    <row r="2773" spans="1:9" ht="48" customHeight="1">
      <c r="A2773" s="3" t="s">
        <v>40</v>
      </c>
      <c r="B2773" s="3" t="s">
        <v>39</v>
      </c>
      <c r="C2773" s="4">
        <v>45992</v>
      </c>
      <c r="D2773" s="4">
        <v>46022</v>
      </c>
      <c r="E2773" s="3" t="s">
        <v>244</v>
      </c>
      <c r="F2773" s="3" t="s">
        <v>258</v>
      </c>
      <c r="G2773" s="5">
        <v>0</v>
      </c>
      <c r="H2773" s="6" t="s">
        <v>54</v>
      </c>
      <c r="I2773" s="3" t="s">
        <v>45</v>
      </c>
    </row>
    <row r="2774" spans="1:9" ht="48" customHeight="1">
      <c r="A2774" s="3" t="s">
        <v>40</v>
      </c>
      <c r="B2774" s="3" t="s">
        <v>39</v>
      </c>
      <c r="C2774" s="4">
        <v>45992</v>
      </c>
      <c r="D2774" s="4">
        <v>46022</v>
      </c>
      <c r="E2774" s="3" t="s">
        <v>244</v>
      </c>
      <c r="F2774" s="3" t="s">
        <v>259</v>
      </c>
      <c r="G2774" s="5">
        <v>0</v>
      </c>
      <c r="H2774" s="6" t="s">
        <v>54</v>
      </c>
      <c r="I2774" s="3" t="s">
        <v>45</v>
      </c>
    </row>
    <row r="2775" spans="1:9" ht="48" customHeight="1">
      <c r="A2775" s="3" t="s">
        <v>40</v>
      </c>
      <c r="B2775" s="3" t="s">
        <v>39</v>
      </c>
      <c r="C2775" s="4">
        <v>45992</v>
      </c>
      <c r="D2775" s="4">
        <v>46022</v>
      </c>
      <c r="E2775" s="3" t="s">
        <v>244</v>
      </c>
      <c r="F2775" s="3" t="s">
        <v>253</v>
      </c>
      <c r="G2775" s="5">
        <v>0</v>
      </c>
      <c r="H2775" s="6" t="s">
        <v>54</v>
      </c>
      <c r="I2775" s="3" t="s">
        <v>45</v>
      </c>
    </row>
    <row r="2776" spans="1:9" ht="48" customHeight="1">
      <c r="A2776" s="3" t="s">
        <v>40</v>
      </c>
      <c r="B2776" s="3" t="s">
        <v>39</v>
      </c>
      <c r="C2776" s="4">
        <v>45992</v>
      </c>
      <c r="D2776" s="4">
        <v>46022</v>
      </c>
      <c r="E2776" s="3" t="s">
        <v>244</v>
      </c>
      <c r="F2776" s="3" t="s">
        <v>254</v>
      </c>
      <c r="G2776" s="5">
        <v>0</v>
      </c>
      <c r="H2776" s="6" t="s">
        <v>54</v>
      </c>
      <c r="I2776" s="3" t="s">
        <v>45</v>
      </c>
    </row>
    <row r="2777" spans="1:9" ht="48" customHeight="1">
      <c r="A2777" s="3" t="s">
        <v>40</v>
      </c>
      <c r="B2777" s="3" t="s">
        <v>39</v>
      </c>
      <c r="C2777" s="4">
        <v>45992</v>
      </c>
      <c r="D2777" s="4">
        <v>46022</v>
      </c>
      <c r="E2777" s="3" t="s">
        <v>301</v>
      </c>
      <c r="F2777" s="3" t="s">
        <v>301</v>
      </c>
      <c r="G2777" s="5">
        <v>5.0000000000000001E-3</v>
      </c>
      <c r="H2777" s="6" t="s">
        <v>54</v>
      </c>
      <c r="I2777" s="3" t="s">
        <v>45</v>
      </c>
    </row>
    <row r="2778" spans="1:9" ht="48" customHeight="1">
      <c r="A2778" s="3" t="s">
        <v>40</v>
      </c>
      <c r="B2778" s="3" t="s">
        <v>39</v>
      </c>
      <c r="C2778" s="4">
        <v>45992</v>
      </c>
      <c r="D2778" s="4">
        <v>46022</v>
      </c>
      <c r="E2778" s="3" t="s">
        <v>379</v>
      </c>
      <c r="F2778" s="3" t="s">
        <v>380</v>
      </c>
      <c r="G2778" s="5">
        <v>2E-3</v>
      </c>
      <c r="H2778" s="6" t="s">
        <v>54</v>
      </c>
      <c r="I2778" s="3" t="s">
        <v>45</v>
      </c>
    </row>
    <row r="2779" spans="1:9" ht="48" customHeight="1">
      <c r="A2779" s="3" t="s">
        <v>40</v>
      </c>
      <c r="B2779" s="3" t="s">
        <v>39</v>
      </c>
      <c r="C2779" s="4">
        <v>45992</v>
      </c>
      <c r="D2779" s="4">
        <v>46022</v>
      </c>
      <c r="E2779" s="3" t="s">
        <v>379</v>
      </c>
      <c r="F2779" s="3" t="s">
        <v>230</v>
      </c>
      <c r="G2779" s="5">
        <v>1E-3</v>
      </c>
      <c r="H2779" s="6" t="s">
        <v>54</v>
      </c>
      <c r="I2779" s="3" t="s">
        <v>45</v>
      </c>
    </row>
    <row r="2780" spans="1:9" ht="48" customHeight="1">
      <c r="A2780" s="3" t="s">
        <v>40</v>
      </c>
      <c r="B2780" s="3" t="s">
        <v>39</v>
      </c>
      <c r="C2780" s="4">
        <v>45992</v>
      </c>
      <c r="D2780" s="4">
        <v>46022</v>
      </c>
      <c r="E2780" s="3" t="s">
        <v>379</v>
      </c>
      <c r="F2780" s="3" t="s">
        <v>265</v>
      </c>
      <c r="G2780" s="5">
        <v>1E-3</v>
      </c>
      <c r="H2780" s="6" t="s">
        <v>54</v>
      </c>
      <c r="I2780" s="3" t="s">
        <v>45</v>
      </c>
    </row>
    <row r="2781" spans="1:9" ht="48" customHeight="1">
      <c r="A2781" s="3" t="s">
        <v>40</v>
      </c>
      <c r="B2781" s="3" t="s">
        <v>39</v>
      </c>
      <c r="C2781" s="4">
        <v>45992</v>
      </c>
      <c r="D2781" s="4">
        <v>46022</v>
      </c>
      <c r="E2781" s="3" t="s">
        <v>379</v>
      </c>
      <c r="F2781" s="3" t="s">
        <v>234</v>
      </c>
      <c r="G2781" s="5">
        <v>1E-3</v>
      </c>
      <c r="H2781" s="6" t="s">
        <v>54</v>
      </c>
      <c r="I2781" s="3" t="s">
        <v>45</v>
      </c>
    </row>
    <row r="2782" spans="1:9" ht="48" customHeight="1">
      <c r="A2782" s="3" t="s">
        <v>40</v>
      </c>
      <c r="B2782" s="3" t="s">
        <v>39</v>
      </c>
      <c r="C2782" s="4">
        <v>45992</v>
      </c>
      <c r="D2782" s="4">
        <v>46022</v>
      </c>
      <c r="E2782" s="3" t="s">
        <v>379</v>
      </c>
      <c r="F2782" s="3" t="s">
        <v>262</v>
      </c>
      <c r="G2782" s="5">
        <v>1E-3</v>
      </c>
      <c r="H2782" s="6" t="s">
        <v>54</v>
      </c>
      <c r="I2782" s="3" t="s">
        <v>45</v>
      </c>
    </row>
    <row r="2783" spans="1:9" ht="48" customHeight="1">
      <c r="A2783" s="3" t="s">
        <v>40</v>
      </c>
      <c r="B2783" s="3" t="s">
        <v>39</v>
      </c>
      <c r="C2783" s="4">
        <v>45992</v>
      </c>
      <c r="D2783" s="4">
        <v>46022</v>
      </c>
      <c r="E2783" s="3" t="s">
        <v>381</v>
      </c>
      <c r="F2783" s="3" t="s">
        <v>382</v>
      </c>
      <c r="G2783" s="5">
        <v>1E-3</v>
      </c>
      <c r="H2783" s="6" t="s">
        <v>54</v>
      </c>
      <c r="I2783" s="3" t="s">
        <v>45</v>
      </c>
    </row>
    <row r="2784" spans="1:9" ht="48" customHeight="1">
      <c r="A2784" s="3" t="s">
        <v>40</v>
      </c>
      <c r="B2784" s="3" t="s">
        <v>39</v>
      </c>
      <c r="C2784" s="4">
        <v>45992</v>
      </c>
      <c r="D2784" s="4">
        <v>46022</v>
      </c>
      <c r="E2784" s="3" t="s">
        <v>381</v>
      </c>
      <c r="F2784" s="3" t="s">
        <v>383</v>
      </c>
      <c r="G2784" s="5">
        <v>1E-3</v>
      </c>
      <c r="H2784" s="6" t="s">
        <v>54</v>
      </c>
      <c r="I2784" s="3" t="s">
        <v>45</v>
      </c>
    </row>
    <row r="2785" spans="1:9" ht="48" customHeight="1">
      <c r="A2785" s="3" t="s">
        <v>40</v>
      </c>
      <c r="B2785" s="3" t="s">
        <v>39</v>
      </c>
      <c r="C2785" s="4">
        <v>46023</v>
      </c>
      <c r="D2785" s="4">
        <v>46053</v>
      </c>
      <c r="E2785" s="3" t="s">
        <v>47</v>
      </c>
      <c r="F2785" s="3" t="s">
        <v>348</v>
      </c>
      <c r="G2785" s="5">
        <v>8.3000000000000004E-2</v>
      </c>
      <c r="H2785" s="6" t="s">
        <v>55</v>
      </c>
      <c r="I2785" s="3" t="s">
        <v>45</v>
      </c>
    </row>
    <row r="2786" spans="1:9" ht="48" customHeight="1">
      <c r="A2786" s="3" t="s">
        <v>40</v>
      </c>
      <c r="B2786" s="3" t="s">
        <v>39</v>
      </c>
      <c r="C2786" s="4">
        <v>46023</v>
      </c>
      <c r="D2786" s="4">
        <v>46053</v>
      </c>
      <c r="E2786" s="3" t="s">
        <v>47</v>
      </c>
      <c r="F2786" s="3" t="s">
        <v>358</v>
      </c>
      <c r="G2786" s="5">
        <v>8.199999999999999E-2</v>
      </c>
      <c r="H2786" s="6" t="s">
        <v>55</v>
      </c>
      <c r="I2786" s="3" t="s">
        <v>45</v>
      </c>
    </row>
    <row r="2787" spans="1:9" ht="48" customHeight="1">
      <c r="A2787" s="3" t="s">
        <v>40</v>
      </c>
      <c r="B2787" s="3" t="s">
        <v>39</v>
      </c>
      <c r="C2787" s="4">
        <v>46023</v>
      </c>
      <c r="D2787" s="4">
        <v>46053</v>
      </c>
      <c r="E2787" s="3" t="s">
        <v>47</v>
      </c>
      <c r="F2787" s="3" t="s">
        <v>357</v>
      </c>
      <c r="G2787" s="5">
        <v>4.4999999999999998E-2</v>
      </c>
      <c r="H2787" s="6" t="s">
        <v>55</v>
      </c>
      <c r="I2787" s="3" t="s">
        <v>45</v>
      </c>
    </row>
    <row r="2788" spans="1:9" ht="48" customHeight="1">
      <c r="A2788" s="3" t="s">
        <v>40</v>
      </c>
      <c r="B2788" s="3" t="s">
        <v>39</v>
      </c>
      <c r="C2788" s="4">
        <v>46023</v>
      </c>
      <c r="D2788" s="4">
        <v>46053</v>
      </c>
      <c r="E2788" s="3" t="s">
        <v>47</v>
      </c>
      <c r="F2788" s="3" t="s">
        <v>352</v>
      </c>
      <c r="G2788" s="5">
        <v>3.5000000000000003E-2</v>
      </c>
      <c r="H2788" s="6" t="s">
        <v>55</v>
      </c>
      <c r="I2788" s="3" t="s">
        <v>45</v>
      </c>
    </row>
    <row r="2789" spans="1:9" ht="48" customHeight="1">
      <c r="A2789" s="3" t="s">
        <v>40</v>
      </c>
      <c r="B2789" s="3" t="s">
        <v>39</v>
      </c>
      <c r="C2789" s="4">
        <v>46023</v>
      </c>
      <c r="D2789" s="4">
        <v>46053</v>
      </c>
      <c r="E2789" s="3" t="s">
        <v>47</v>
      </c>
      <c r="F2789" s="3" t="s">
        <v>349</v>
      </c>
      <c r="G2789" s="5">
        <v>1.6E-2</v>
      </c>
      <c r="H2789" s="6" t="s">
        <v>55</v>
      </c>
      <c r="I2789" s="3" t="s">
        <v>45</v>
      </c>
    </row>
    <row r="2790" spans="1:9" ht="48" customHeight="1">
      <c r="A2790" s="3" t="s">
        <v>40</v>
      </c>
      <c r="B2790" s="3" t="s">
        <v>39</v>
      </c>
      <c r="C2790" s="4">
        <v>46023</v>
      </c>
      <c r="D2790" s="4">
        <v>46053</v>
      </c>
      <c r="E2790" s="3" t="s">
        <v>47</v>
      </c>
      <c r="F2790" s="3" t="s">
        <v>350</v>
      </c>
      <c r="G2790" s="5">
        <v>1.1000000000000001E-2</v>
      </c>
      <c r="H2790" s="6" t="s">
        <v>55</v>
      </c>
      <c r="I2790" s="3" t="s">
        <v>45</v>
      </c>
    </row>
    <row r="2791" spans="1:9" ht="48" customHeight="1">
      <c r="A2791" s="3" t="s">
        <v>40</v>
      </c>
      <c r="B2791" s="3" t="s">
        <v>39</v>
      </c>
      <c r="C2791" s="4">
        <v>46023</v>
      </c>
      <c r="D2791" s="4">
        <v>46053</v>
      </c>
      <c r="E2791" s="3" t="s">
        <v>47</v>
      </c>
      <c r="F2791" s="3" t="s">
        <v>351</v>
      </c>
      <c r="G2791" s="5">
        <v>0.01</v>
      </c>
      <c r="H2791" s="6" t="s">
        <v>55</v>
      </c>
      <c r="I2791" s="3" t="s">
        <v>45</v>
      </c>
    </row>
    <row r="2792" spans="1:9" ht="48" customHeight="1">
      <c r="A2792" s="3" t="s">
        <v>40</v>
      </c>
      <c r="B2792" s="3" t="s">
        <v>39</v>
      </c>
      <c r="C2792" s="4">
        <v>46023</v>
      </c>
      <c r="D2792" s="4">
        <v>46053</v>
      </c>
      <c r="E2792" s="3" t="s">
        <v>47</v>
      </c>
      <c r="F2792" s="3" t="s">
        <v>354</v>
      </c>
      <c r="G2792" s="5">
        <v>8.0000000000000002E-3</v>
      </c>
      <c r="H2792" s="6" t="s">
        <v>55</v>
      </c>
      <c r="I2792" s="3" t="s">
        <v>45</v>
      </c>
    </row>
    <row r="2793" spans="1:9" ht="48" customHeight="1">
      <c r="A2793" s="3" t="s">
        <v>40</v>
      </c>
      <c r="B2793" s="3" t="s">
        <v>39</v>
      </c>
      <c r="C2793" s="4">
        <v>46023</v>
      </c>
      <c r="D2793" s="4">
        <v>46053</v>
      </c>
      <c r="E2793" s="3" t="s">
        <v>47</v>
      </c>
      <c r="F2793" s="3" t="s">
        <v>356</v>
      </c>
      <c r="G2793" s="5">
        <v>5.0000000000000001E-3</v>
      </c>
      <c r="H2793" s="6" t="s">
        <v>55</v>
      </c>
      <c r="I2793" s="3" t="s">
        <v>45</v>
      </c>
    </row>
    <row r="2794" spans="1:9" ht="48" customHeight="1">
      <c r="A2794" s="3" t="s">
        <v>40</v>
      </c>
      <c r="B2794" s="3" t="s">
        <v>39</v>
      </c>
      <c r="C2794" s="4">
        <v>46023</v>
      </c>
      <c r="D2794" s="4">
        <v>46053</v>
      </c>
      <c r="E2794" s="3" t="s">
        <v>47</v>
      </c>
      <c r="F2794" s="3" t="s">
        <v>353</v>
      </c>
      <c r="G2794" s="5">
        <v>2E-3</v>
      </c>
      <c r="H2794" s="6" t="s">
        <v>55</v>
      </c>
      <c r="I2794" s="3" t="s">
        <v>45</v>
      </c>
    </row>
    <row r="2795" spans="1:9" ht="48" customHeight="1">
      <c r="A2795" s="3" t="s">
        <v>40</v>
      </c>
      <c r="B2795" s="3" t="s">
        <v>39</v>
      </c>
      <c r="C2795" s="4">
        <v>46023</v>
      </c>
      <c r="D2795" s="4">
        <v>46053</v>
      </c>
      <c r="E2795" s="3" t="s">
        <v>47</v>
      </c>
      <c r="F2795" s="3" t="s">
        <v>355</v>
      </c>
      <c r="G2795" s="5">
        <v>2E-3</v>
      </c>
      <c r="H2795" s="6" t="s">
        <v>55</v>
      </c>
      <c r="I2795" s="3" t="s">
        <v>45</v>
      </c>
    </row>
    <row r="2796" spans="1:9" ht="48" customHeight="1">
      <c r="A2796" s="3" t="s">
        <v>40</v>
      </c>
      <c r="B2796" s="3" t="s">
        <v>39</v>
      </c>
      <c r="C2796" s="4">
        <v>46023</v>
      </c>
      <c r="D2796" s="4">
        <v>46053</v>
      </c>
      <c r="E2796" s="3" t="s">
        <v>47</v>
      </c>
      <c r="F2796" s="3" t="s">
        <v>359</v>
      </c>
      <c r="G2796" s="5">
        <v>1E-3</v>
      </c>
      <c r="H2796" s="6" t="s">
        <v>55</v>
      </c>
      <c r="I2796" s="3" t="s">
        <v>45</v>
      </c>
    </row>
    <row r="2797" spans="1:9" ht="48" customHeight="1">
      <c r="A2797" s="3" t="s">
        <v>40</v>
      </c>
      <c r="B2797" s="3" t="s">
        <v>39</v>
      </c>
      <c r="C2797" s="4">
        <v>46023</v>
      </c>
      <c r="D2797" s="4">
        <v>46053</v>
      </c>
      <c r="E2797" s="3" t="s">
        <v>47</v>
      </c>
      <c r="F2797" s="3" t="s">
        <v>361</v>
      </c>
      <c r="G2797" s="5">
        <v>1E-3</v>
      </c>
      <c r="H2797" s="6" t="s">
        <v>55</v>
      </c>
      <c r="I2797" s="3" t="s">
        <v>45</v>
      </c>
    </row>
    <row r="2798" spans="1:9" ht="48" customHeight="1">
      <c r="A2798" s="3" t="s">
        <v>40</v>
      </c>
      <c r="B2798" s="3" t="s">
        <v>39</v>
      </c>
      <c r="C2798" s="4">
        <v>46023</v>
      </c>
      <c r="D2798" s="4">
        <v>46053</v>
      </c>
      <c r="E2798" s="3" t="s">
        <v>47</v>
      </c>
      <c r="F2798" s="3" t="s">
        <v>362</v>
      </c>
      <c r="G2798" s="5">
        <v>1E-3</v>
      </c>
      <c r="H2798" s="6" t="s">
        <v>55</v>
      </c>
      <c r="I2798" s="3" t="s">
        <v>45</v>
      </c>
    </row>
    <row r="2799" spans="1:9" ht="48" customHeight="1">
      <c r="A2799" s="3" t="s">
        <v>40</v>
      </c>
      <c r="B2799" s="3" t="s">
        <v>39</v>
      </c>
      <c r="C2799" s="4">
        <v>46023</v>
      </c>
      <c r="D2799" s="4">
        <v>46053</v>
      </c>
      <c r="E2799" s="3" t="s">
        <v>47</v>
      </c>
      <c r="F2799" s="3" t="s">
        <v>318</v>
      </c>
      <c r="G2799" s="5">
        <v>1E-3</v>
      </c>
      <c r="H2799" s="6" t="s">
        <v>55</v>
      </c>
      <c r="I2799" s="3" t="s">
        <v>45</v>
      </c>
    </row>
    <row r="2800" spans="1:9" ht="48" customHeight="1">
      <c r="A2800" s="3" t="s">
        <v>40</v>
      </c>
      <c r="B2800" s="3" t="s">
        <v>39</v>
      </c>
      <c r="C2800" s="4">
        <v>46023</v>
      </c>
      <c r="D2800" s="4">
        <v>46053</v>
      </c>
      <c r="E2800" s="3" t="s">
        <v>47</v>
      </c>
      <c r="F2800" s="3" t="s">
        <v>363</v>
      </c>
      <c r="G2800" s="5">
        <v>1E-3</v>
      </c>
      <c r="H2800" s="6" t="s">
        <v>55</v>
      </c>
      <c r="I2800" s="3" t="s">
        <v>45</v>
      </c>
    </row>
    <row r="2801" spans="1:9" ht="48" customHeight="1">
      <c r="A2801" s="3" t="s">
        <v>40</v>
      </c>
      <c r="B2801" s="3" t="s">
        <v>39</v>
      </c>
      <c r="C2801" s="4">
        <v>46023</v>
      </c>
      <c r="D2801" s="4">
        <v>46053</v>
      </c>
      <c r="E2801" s="3" t="s">
        <v>47</v>
      </c>
      <c r="F2801" s="3" t="s">
        <v>360</v>
      </c>
      <c r="G2801" s="5">
        <v>0</v>
      </c>
      <c r="H2801" s="6" t="s">
        <v>55</v>
      </c>
      <c r="I2801" s="3" t="s">
        <v>45</v>
      </c>
    </row>
    <row r="2802" spans="1:9" ht="48" customHeight="1">
      <c r="A2802" s="3" t="s">
        <v>40</v>
      </c>
      <c r="B2802" s="3" t="s">
        <v>39</v>
      </c>
      <c r="C2802" s="4">
        <v>46023</v>
      </c>
      <c r="D2802" s="4">
        <v>46053</v>
      </c>
      <c r="E2802" s="3" t="s">
        <v>161</v>
      </c>
      <c r="F2802" s="3" t="s">
        <v>162</v>
      </c>
      <c r="G2802" s="5">
        <v>1.1000000000000001E-2</v>
      </c>
      <c r="H2802" s="6" t="s">
        <v>55</v>
      </c>
      <c r="I2802" s="3" t="s">
        <v>45</v>
      </c>
    </row>
    <row r="2803" spans="1:9" ht="48" customHeight="1">
      <c r="A2803" s="3" t="s">
        <v>40</v>
      </c>
      <c r="B2803" s="3" t="s">
        <v>39</v>
      </c>
      <c r="C2803" s="4">
        <v>46023</v>
      </c>
      <c r="D2803" s="4">
        <v>46053</v>
      </c>
      <c r="E2803" s="3" t="s">
        <v>161</v>
      </c>
      <c r="F2803" s="3" t="s">
        <v>172</v>
      </c>
      <c r="G2803" s="5">
        <v>1.1000000000000001E-2</v>
      </c>
      <c r="H2803" s="6" t="s">
        <v>55</v>
      </c>
      <c r="I2803" s="3" t="s">
        <v>45</v>
      </c>
    </row>
    <row r="2804" spans="1:9" ht="48" customHeight="1">
      <c r="A2804" s="3" t="s">
        <v>40</v>
      </c>
      <c r="B2804" s="3" t="s">
        <v>39</v>
      </c>
      <c r="C2804" s="4">
        <v>46023</v>
      </c>
      <c r="D2804" s="4">
        <v>46053</v>
      </c>
      <c r="E2804" s="3" t="s">
        <v>161</v>
      </c>
      <c r="F2804" s="3" t="s">
        <v>163</v>
      </c>
      <c r="G2804" s="5">
        <v>9.0000000000000011E-3</v>
      </c>
      <c r="H2804" s="6" t="s">
        <v>55</v>
      </c>
      <c r="I2804" s="3" t="s">
        <v>45</v>
      </c>
    </row>
    <row r="2805" spans="1:9" ht="48" customHeight="1">
      <c r="A2805" s="3" t="s">
        <v>40</v>
      </c>
      <c r="B2805" s="3" t="s">
        <v>39</v>
      </c>
      <c r="C2805" s="4">
        <v>46023</v>
      </c>
      <c r="D2805" s="4">
        <v>46053</v>
      </c>
      <c r="E2805" s="3" t="s">
        <v>161</v>
      </c>
      <c r="F2805" s="3" t="s">
        <v>184</v>
      </c>
      <c r="G2805" s="5">
        <v>9.0000000000000011E-3</v>
      </c>
      <c r="H2805" s="6" t="s">
        <v>55</v>
      </c>
      <c r="I2805" s="3" t="s">
        <v>45</v>
      </c>
    </row>
    <row r="2806" spans="1:9" ht="48" customHeight="1">
      <c r="A2806" s="3" t="s">
        <v>40</v>
      </c>
      <c r="B2806" s="3" t="s">
        <v>39</v>
      </c>
      <c r="C2806" s="4">
        <v>46023</v>
      </c>
      <c r="D2806" s="4">
        <v>46053</v>
      </c>
      <c r="E2806" s="3" t="s">
        <v>161</v>
      </c>
      <c r="F2806" s="3" t="s">
        <v>164</v>
      </c>
      <c r="G2806" s="5">
        <v>8.0000000000000002E-3</v>
      </c>
      <c r="H2806" s="6" t="s">
        <v>55</v>
      </c>
      <c r="I2806" s="3" t="s">
        <v>45</v>
      </c>
    </row>
    <row r="2807" spans="1:9" ht="48" customHeight="1">
      <c r="A2807" s="3" t="s">
        <v>40</v>
      </c>
      <c r="B2807" s="3" t="s">
        <v>39</v>
      </c>
      <c r="C2807" s="4">
        <v>46023</v>
      </c>
      <c r="D2807" s="4">
        <v>46053</v>
      </c>
      <c r="E2807" s="3" t="s">
        <v>161</v>
      </c>
      <c r="F2807" s="3" t="s">
        <v>168</v>
      </c>
      <c r="G2807" s="5">
        <v>6.9999999999999993E-3</v>
      </c>
      <c r="H2807" s="6" t="s">
        <v>55</v>
      </c>
      <c r="I2807" s="3" t="s">
        <v>45</v>
      </c>
    </row>
    <row r="2808" spans="1:9" ht="48" customHeight="1">
      <c r="A2808" s="3" t="s">
        <v>40</v>
      </c>
      <c r="B2808" s="3" t="s">
        <v>39</v>
      </c>
      <c r="C2808" s="4">
        <v>46023</v>
      </c>
      <c r="D2808" s="4">
        <v>46053</v>
      </c>
      <c r="E2808" s="3" t="s">
        <v>161</v>
      </c>
      <c r="F2808" s="3" t="s">
        <v>180</v>
      </c>
      <c r="G2808" s="5">
        <v>6.9999999999999993E-3</v>
      </c>
      <c r="H2808" s="6" t="s">
        <v>55</v>
      </c>
      <c r="I2808" s="3" t="s">
        <v>45</v>
      </c>
    </row>
    <row r="2809" spans="1:9" ht="48" customHeight="1">
      <c r="A2809" s="3" t="s">
        <v>40</v>
      </c>
      <c r="B2809" s="3" t="s">
        <v>39</v>
      </c>
      <c r="C2809" s="4">
        <v>46023</v>
      </c>
      <c r="D2809" s="4">
        <v>46053</v>
      </c>
      <c r="E2809" s="3" t="s">
        <v>161</v>
      </c>
      <c r="F2809" s="3" t="s">
        <v>166</v>
      </c>
      <c r="G2809" s="5">
        <v>6.9999999999999993E-3</v>
      </c>
      <c r="H2809" s="6" t="s">
        <v>55</v>
      </c>
      <c r="I2809" s="3" t="s">
        <v>45</v>
      </c>
    </row>
    <row r="2810" spans="1:9" ht="48" customHeight="1">
      <c r="A2810" s="3" t="s">
        <v>40</v>
      </c>
      <c r="B2810" s="3" t="s">
        <v>39</v>
      </c>
      <c r="C2810" s="4">
        <v>46023</v>
      </c>
      <c r="D2810" s="4">
        <v>46053</v>
      </c>
      <c r="E2810" s="3" t="s">
        <v>161</v>
      </c>
      <c r="F2810" s="3" t="s">
        <v>167</v>
      </c>
      <c r="G2810" s="5">
        <v>6.0000000000000001E-3</v>
      </c>
      <c r="H2810" s="6" t="s">
        <v>55</v>
      </c>
      <c r="I2810" s="3" t="s">
        <v>45</v>
      </c>
    </row>
    <row r="2811" spans="1:9" ht="48" customHeight="1">
      <c r="A2811" s="3" t="s">
        <v>40</v>
      </c>
      <c r="B2811" s="3" t="s">
        <v>39</v>
      </c>
      <c r="C2811" s="4">
        <v>46023</v>
      </c>
      <c r="D2811" s="4">
        <v>46053</v>
      </c>
      <c r="E2811" s="3" t="s">
        <v>161</v>
      </c>
      <c r="F2811" s="3" t="s">
        <v>171</v>
      </c>
      <c r="G2811" s="5">
        <v>6.0000000000000001E-3</v>
      </c>
      <c r="H2811" s="6" t="s">
        <v>55</v>
      </c>
      <c r="I2811" s="3" t="s">
        <v>45</v>
      </c>
    </row>
    <row r="2812" spans="1:9" ht="48" customHeight="1">
      <c r="A2812" s="3" t="s">
        <v>40</v>
      </c>
      <c r="B2812" s="3" t="s">
        <v>39</v>
      </c>
      <c r="C2812" s="4">
        <v>46023</v>
      </c>
      <c r="D2812" s="4">
        <v>46053</v>
      </c>
      <c r="E2812" s="3" t="s">
        <v>161</v>
      </c>
      <c r="F2812" s="3" t="s">
        <v>177</v>
      </c>
      <c r="G2812" s="5">
        <v>6.0000000000000001E-3</v>
      </c>
      <c r="H2812" s="6" t="s">
        <v>55</v>
      </c>
      <c r="I2812" s="3" t="s">
        <v>45</v>
      </c>
    </row>
    <row r="2813" spans="1:9" ht="48" customHeight="1">
      <c r="A2813" s="3" t="s">
        <v>40</v>
      </c>
      <c r="B2813" s="3" t="s">
        <v>39</v>
      </c>
      <c r="C2813" s="4">
        <v>46023</v>
      </c>
      <c r="D2813" s="4">
        <v>46053</v>
      </c>
      <c r="E2813" s="3" t="s">
        <v>161</v>
      </c>
      <c r="F2813" s="3" t="s">
        <v>188</v>
      </c>
      <c r="G2813" s="5">
        <v>6.0000000000000001E-3</v>
      </c>
      <c r="H2813" s="6" t="s">
        <v>55</v>
      </c>
      <c r="I2813" s="3" t="s">
        <v>45</v>
      </c>
    </row>
    <row r="2814" spans="1:9" ht="48" customHeight="1">
      <c r="A2814" s="3" t="s">
        <v>40</v>
      </c>
      <c r="B2814" s="3" t="s">
        <v>39</v>
      </c>
      <c r="C2814" s="4">
        <v>46023</v>
      </c>
      <c r="D2814" s="4">
        <v>46053</v>
      </c>
      <c r="E2814" s="3" t="s">
        <v>161</v>
      </c>
      <c r="F2814" s="3" t="s">
        <v>181</v>
      </c>
      <c r="G2814" s="5">
        <v>6.0000000000000001E-3</v>
      </c>
      <c r="H2814" s="6" t="s">
        <v>55</v>
      </c>
      <c r="I2814" s="3" t="s">
        <v>45</v>
      </c>
    </row>
    <row r="2815" spans="1:9" ht="48" customHeight="1">
      <c r="A2815" s="3" t="s">
        <v>40</v>
      </c>
      <c r="B2815" s="3" t="s">
        <v>39</v>
      </c>
      <c r="C2815" s="4">
        <v>46023</v>
      </c>
      <c r="D2815" s="4">
        <v>46053</v>
      </c>
      <c r="E2815" s="3" t="s">
        <v>161</v>
      </c>
      <c r="F2815" s="3" t="s">
        <v>195</v>
      </c>
      <c r="G2815" s="5">
        <v>6.0000000000000001E-3</v>
      </c>
      <c r="H2815" s="6" t="s">
        <v>55</v>
      </c>
      <c r="I2815" s="3" t="s">
        <v>45</v>
      </c>
    </row>
    <row r="2816" spans="1:9" ht="48" customHeight="1">
      <c r="A2816" s="3" t="s">
        <v>40</v>
      </c>
      <c r="B2816" s="3" t="s">
        <v>39</v>
      </c>
      <c r="C2816" s="4">
        <v>46023</v>
      </c>
      <c r="D2816" s="4">
        <v>46053</v>
      </c>
      <c r="E2816" s="3" t="s">
        <v>161</v>
      </c>
      <c r="F2816" s="3" t="s">
        <v>189</v>
      </c>
      <c r="G2816" s="5">
        <v>5.0000000000000001E-3</v>
      </c>
      <c r="H2816" s="6" t="s">
        <v>55</v>
      </c>
      <c r="I2816" s="3" t="s">
        <v>45</v>
      </c>
    </row>
    <row r="2817" spans="1:9" ht="48" customHeight="1">
      <c r="A2817" s="3" t="s">
        <v>40</v>
      </c>
      <c r="B2817" s="3" t="s">
        <v>39</v>
      </c>
      <c r="C2817" s="4">
        <v>46023</v>
      </c>
      <c r="D2817" s="4">
        <v>46053</v>
      </c>
      <c r="E2817" s="3" t="s">
        <v>161</v>
      </c>
      <c r="F2817" s="3" t="s">
        <v>191</v>
      </c>
      <c r="G2817" s="5">
        <v>5.0000000000000001E-3</v>
      </c>
      <c r="H2817" s="6" t="s">
        <v>55</v>
      </c>
      <c r="I2817" s="3" t="s">
        <v>45</v>
      </c>
    </row>
    <row r="2818" spans="1:9" ht="48" customHeight="1">
      <c r="A2818" s="3" t="s">
        <v>40</v>
      </c>
      <c r="B2818" s="3" t="s">
        <v>39</v>
      </c>
      <c r="C2818" s="4">
        <v>46023</v>
      </c>
      <c r="D2818" s="4">
        <v>46053</v>
      </c>
      <c r="E2818" s="3" t="s">
        <v>161</v>
      </c>
      <c r="F2818" s="3" t="s">
        <v>169</v>
      </c>
      <c r="G2818" s="5">
        <v>5.0000000000000001E-3</v>
      </c>
      <c r="H2818" s="6" t="s">
        <v>55</v>
      </c>
      <c r="I2818" s="3" t="s">
        <v>45</v>
      </c>
    </row>
    <row r="2819" spans="1:9" ht="48" customHeight="1">
      <c r="A2819" s="3" t="s">
        <v>40</v>
      </c>
      <c r="B2819" s="3" t="s">
        <v>39</v>
      </c>
      <c r="C2819" s="4">
        <v>46023</v>
      </c>
      <c r="D2819" s="4">
        <v>46053</v>
      </c>
      <c r="E2819" s="3" t="s">
        <v>161</v>
      </c>
      <c r="F2819" s="3" t="s">
        <v>170</v>
      </c>
      <c r="G2819" s="5">
        <v>5.0000000000000001E-3</v>
      </c>
      <c r="H2819" s="6" t="s">
        <v>55</v>
      </c>
      <c r="I2819" s="3" t="s">
        <v>45</v>
      </c>
    </row>
    <row r="2820" spans="1:9" ht="48" customHeight="1">
      <c r="A2820" s="3" t="s">
        <v>40</v>
      </c>
      <c r="B2820" s="3" t="s">
        <v>39</v>
      </c>
      <c r="C2820" s="4">
        <v>46023</v>
      </c>
      <c r="D2820" s="4">
        <v>46053</v>
      </c>
      <c r="E2820" s="3" t="s">
        <v>161</v>
      </c>
      <c r="F2820" s="3" t="s">
        <v>178</v>
      </c>
      <c r="G2820" s="5">
        <v>5.0000000000000001E-3</v>
      </c>
      <c r="H2820" s="6" t="s">
        <v>55</v>
      </c>
      <c r="I2820" s="3" t="s">
        <v>45</v>
      </c>
    </row>
    <row r="2821" spans="1:9" ht="48" customHeight="1">
      <c r="A2821" s="3" t="s">
        <v>40</v>
      </c>
      <c r="B2821" s="3" t="s">
        <v>39</v>
      </c>
      <c r="C2821" s="4">
        <v>46023</v>
      </c>
      <c r="D2821" s="4">
        <v>46053</v>
      </c>
      <c r="E2821" s="3" t="s">
        <v>161</v>
      </c>
      <c r="F2821" s="3" t="s">
        <v>200</v>
      </c>
      <c r="G2821" s="5">
        <v>5.0000000000000001E-3</v>
      </c>
      <c r="H2821" s="6" t="s">
        <v>55</v>
      </c>
      <c r="I2821" s="3" t="s">
        <v>45</v>
      </c>
    </row>
    <row r="2822" spans="1:9" ht="48" customHeight="1">
      <c r="A2822" s="3" t="s">
        <v>40</v>
      </c>
      <c r="B2822" s="3" t="s">
        <v>39</v>
      </c>
      <c r="C2822" s="4">
        <v>46023</v>
      </c>
      <c r="D2822" s="4">
        <v>46053</v>
      </c>
      <c r="E2822" s="3" t="s">
        <v>161</v>
      </c>
      <c r="F2822" s="3" t="s">
        <v>174</v>
      </c>
      <c r="G2822" s="5">
        <v>4.0000000000000001E-3</v>
      </c>
      <c r="H2822" s="6" t="s">
        <v>55</v>
      </c>
      <c r="I2822" s="3" t="s">
        <v>45</v>
      </c>
    </row>
    <row r="2823" spans="1:9" ht="48" customHeight="1">
      <c r="A2823" s="3" t="s">
        <v>40</v>
      </c>
      <c r="B2823" s="3" t="s">
        <v>39</v>
      </c>
      <c r="C2823" s="4">
        <v>46023</v>
      </c>
      <c r="D2823" s="4">
        <v>46053</v>
      </c>
      <c r="E2823" s="3" t="s">
        <v>161</v>
      </c>
      <c r="F2823" s="3" t="s">
        <v>175</v>
      </c>
      <c r="G2823" s="5">
        <v>4.0000000000000001E-3</v>
      </c>
      <c r="H2823" s="6" t="s">
        <v>55</v>
      </c>
      <c r="I2823" s="3" t="s">
        <v>45</v>
      </c>
    </row>
    <row r="2824" spans="1:9" ht="48" customHeight="1">
      <c r="A2824" s="3" t="s">
        <v>40</v>
      </c>
      <c r="B2824" s="3" t="s">
        <v>39</v>
      </c>
      <c r="C2824" s="4">
        <v>46023</v>
      </c>
      <c r="D2824" s="4">
        <v>46053</v>
      </c>
      <c r="E2824" s="3" t="s">
        <v>161</v>
      </c>
      <c r="F2824" s="3" t="s">
        <v>165</v>
      </c>
      <c r="G2824" s="5">
        <v>4.0000000000000001E-3</v>
      </c>
      <c r="H2824" s="6" t="s">
        <v>55</v>
      </c>
      <c r="I2824" s="3" t="s">
        <v>45</v>
      </c>
    </row>
    <row r="2825" spans="1:9" ht="48" customHeight="1">
      <c r="A2825" s="3" t="s">
        <v>40</v>
      </c>
      <c r="B2825" s="3" t="s">
        <v>39</v>
      </c>
      <c r="C2825" s="4">
        <v>46023</v>
      </c>
      <c r="D2825" s="4">
        <v>46053</v>
      </c>
      <c r="E2825" s="3" t="s">
        <v>161</v>
      </c>
      <c r="F2825" s="3" t="s">
        <v>187</v>
      </c>
      <c r="G2825" s="5">
        <v>4.0000000000000001E-3</v>
      </c>
      <c r="H2825" s="6" t="s">
        <v>55</v>
      </c>
      <c r="I2825" s="3" t="s">
        <v>45</v>
      </c>
    </row>
    <row r="2826" spans="1:9" ht="48" customHeight="1">
      <c r="A2826" s="3" t="s">
        <v>40</v>
      </c>
      <c r="B2826" s="3" t="s">
        <v>39</v>
      </c>
      <c r="C2826" s="4">
        <v>46023</v>
      </c>
      <c r="D2826" s="4">
        <v>46053</v>
      </c>
      <c r="E2826" s="3" t="s">
        <v>161</v>
      </c>
      <c r="F2826" s="3" t="s">
        <v>179</v>
      </c>
      <c r="G2826" s="5">
        <v>4.0000000000000001E-3</v>
      </c>
      <c r="H2826" s="6" t="s">
        <v>55</v>
      </c>
      <c r="I2826" s="3" t="s">
        <v>45</v>
      </c>
    </row>
    <row r="2827" spans="1:9" ht="48" customHeight="1">
      <c r="A2827" s="3" t="s">
        <v>40</v>
      </c>
      <c r="B2827" s="3" t="s">
        <v>39</v>
      </c>
      <c r="C2827" s="4">
        <v>46023</v>
      </c>
      <c r="D2827" s="4">
        <v>46053</v>
      </c>
      <c r="E2827" s="3" t="s">
        <v>161</v>
      </c>
      <c r="F2827" s="3" t="s">
        <v>182</v>
      </c>
      <c r="G2827" s="5">
        <v>4.0000000000000001E-3</v>
      </c>
      <c r="H2827" s="6" t="s">
        <v>55</v>
      </c>
      <c r="I2827" s="3" t="s">
        <v>45</v>
      </c>
    </row>
    <row r="2828" spans="1:9" ht="48" customHeight="1">
      <c r="A2828" s="3" t="s">
        <v>40</v>
      </c>
      <c r="B2828" s="3" t="s">
        <v>39</v>
      </c>
      <c r="C2828" s="4">
        <v>46023</v>
      </c>
      <c r="D2828" s="4">
        <v>46053</v>
      </c>
      <c r="E2828" s="3" t="s">
        <v>161</v>
      </c>
      <c r="F2828" s="3" t="s">
        <v>183</v>
      </c>
      <c r="G2828" s="5">
        <v>4.0000000000000001E-3</v>
      </c>
      <c r="H2828" s="6" t="s">
        <v>55</v>
      </c>
      <c r="I2828" s="3" t="s">
        <v>45</v>
      </c>
    </row>
    <row r="2829" spans="1:9" ht="48" customHeight="1">
      <c r="A2829" s="3" t="s">
        <v>40</v>
      </c>
      <c r="B2829" s="3" t="s">
        <v>39</v>
      </c>
      <c r="C2829" s="4">
        <v>46023</v>
      </c>
      <c r="D2829" s="4">
        <v>46053</v>
      </c>
      <c r="E2829" s="3" t="s">
        <v>161</v>
      </c>
      <c r="F2829" s="3" t="s">
        <v>173</v>
      </c>
      <c r="G2829" s="5">
        <v>4.0000000000000001E-3</v>
      </c>
      <c r="H2829" s="6" t="s">
        <v>55</v>
      </c>
      <c r="I2829" s="3" t="s">
        <v>45</v>
      </c>
    </row>
    <row r="2830" spans="1:9" ht="48" customHeight="1">
      <c r="A2830" s="3" t="s">
        <v>40</v>
      </c>
      <c r="B2830" s="3" t="s">
        <v>39</v>
      </c>
      <c r="C2830" s="4">
        <v>46023</v>
      </c>
      <c r="D2830" s="4">
        <v>46053</v>
      </c>
      <c r="E2830" s="3" t="s">
        <v>161</v>
      </c>
      <c r="F2830" s="3" t="s">
        <v>196</v>
      </c>
      <c r="G2830" s="5">
        <v>4.0000000000000001E-3</v>
      </c>
      <c r="H2830" s="6" t="s">
        <v>55</v>
      </c>
      <c r="I2830" s="3" t="s">
        <v>45</v>
      </c>
    </row>
    <row r="2831" spans="1:9" ht="48" customHeight="1">
      <c r="A2831" s="3" t="s">
        <v>40</v>
      </c>
      <c r="B2831" s="3" t="s">
        <v>39</v>
      </c>
      <c r="C2831" s="4">
        <v>46023</v>
      </c>
      <c r="D2831" s="4">
        <v>46053</v>
      </c>
      <c r="E2831" s="3" t="s">
        <v>161</v>
      </c>
      <c r="F2831" s="3" t="s">
        <v>190</v>
      </c>
      <c r="G2831" s="5">
        <v>3.0000000000000001E-3</v>
      </c>
      <c r="H2831" s="6" t="s">
        <v>55</v>
      </c>
      <c r="I2831" s="3" t="s">
        <v>45</v>
      </c>
    </row>
    <row r="2832" spans="1:9" ht="48" customHeight="1">
      <c r="A2832" s="3" t="s">
        <v>40</v>
      </c>
      <c r="B2832" s="3" t="s">
        <v>39</v>
      </c>
      <c r="C2832" s="4">
        <v>46023</v>
      </c>
      <c r="D2832" s="4">
        <v>46053</v>
      </c>
      <c r="E2832" s="3" t="s">
        <v>161</v>
      </c>
      <c r="F2832" s="3" t="s">
        <v>176</v>
      </c>
      <c r="G2832" s="5">
        <v>3.0000000000000001E-3</v>
      </c>
      <c r="H2832" s="6" t="s">
        <v>55</v>
      </c>
      <c r="I2832" s="3" t="s">
        <v>45</v>
      </c>
    </row>
    <row r="2833" spans="1:9" ht="48" customHeight="1">
      <c r="A2833" s="3" t="s">
        <v>40</v>
      </c>
      <c r="B2833" s="3" t="s">
        <v>39</v>
      </c>
      <c r="C2833" s="4">
        <v>46023</v>
      </c>
      <c r="D2833" s="4">
        <v>46053</v>
      </c>
      <c r="E2833" s="3" t="s">
        <v>161</v>
      </c>
      <c r="F2833" s="3" t="s">
        <v>185</v>
      </c>
      <c r="G2833" s="5">
        <v>3.0000000000000001E-3</v>
      </c>
      <c r="H2833" s="6" t="s">
        <v>55</v>
      </c>
      <c r="I2833" s="3" t="s">
        <v>45</v>
      </c>
    </row>
    <row r="2834" spans="1:9" ht="48" customHeight="1">
      <c r="A2834" s="3" t="s">
        <v>40</v>
      </c>
      <c r="B2834" s="3" t="s">
        <v>39</v>
      </c>
      <c r="C2834" s="4">
        <v>46023</v>
      </c>
      <c r="D2834" s="4">
        <v>46053</v>
      </c>
      <c r="E2834" s="3" t="s">
        <v>161</v>
      </c>
      <c r="F2834" s="3" t="s">
        <v>186</v>
      </c>
      <c r="G2834" s="5">
        <v>3.0000000000000001E-3</v>
      </c>
      <c r="H2834" s="6" t="s">
        <v>55</v>
      </c>
      <c r="I2834" s="3" t="s">
        <v>45</v>
      </c>
    </row>
    <row r="2835" spans="1:9" ht="48" customHeight="1">
      <c r="A2835" s="3" t="s">
        <v>40</v>
      </c>
      <c r="B2835" s="3" t="s">
        <v>39</v>
      </c>
      <c r="C2835" s="4">
        <v>46023</v>
      </c>
      <c r="D2835" s="4">
        <v>46053</v>
      </c>
      <c r="E2835" s="3" t="s">
        <v>161</v>
      </c>
      <c r="F2835" s="3" t="s">
        <v>193</v>
      </c>
      <c r="G2835" s="5">
        <v>3.0000000000000001E-3</v>
      </c>
      <c r="H2835" s="6" t="s">
        <v>55</v>
      </c>
      <c r="I2835" s="3" t="s">
        <v>45</v>
      </c>
    </row>
    <row r="2836" spans="1:9" ht="48" customHeight="1">
      <c r="A2836" s="3" t="s">
        <v>40</v>
      </c>
      <c r="B2836" s="3" t="s">
        <v>39</v>
      </c>
      <c r="C2836" s="4">
        <v>46023</v>
      </c>
      <c r="D2836" s="4">
        <v>46053</v>
      </c>
      <c r="E2836" s="3" t="s">
        <v>161</v>
      </c>
      <c r="F2836" s="3" t="s">
        <v>201</v>
      </c>
      <c r="G2836" s="5">
        <v>3.0000000000000001E-3</v>
      </c>
      <c r="H2836" s="6" t="s">
        <v>55</v>
      </c>
      <c r="I2836" s="3" t="s">
        <v>45</v>
      </c>
    </row>
    <row r="2837" spans="1:9" ht="48" customHeight="1">
      <c r="A2837" s="3" t="s">
        <v>40</v>
      </c>
      <c r="B2837" s="3" t="s">
        <v>39</v>
      </c>
      <c r="C2837" s="4">
        <v>46023</v>
      </c>
      <c r="D2837" s="4">
        <v>46053</v>
      </c>
      <c r="E2837" s="3" t="s">
        <v>161</v>
      </c>
      <c r="F2837" s="3" t="s">
        <v>197</v>
      </c>
      <c r="G2837" s="5">
        <v>2E-3</v>
      </c>
      <c r="H2837" s="6" t="s">
        <v>55</v>
      </c>
      <c r="I2837" s="3" t="s">
        <v>45</v>
      </c>
    </row>
    <row r="2838" spans="1:9" ht="48" customHeight="1">
      <c r="A2838" s="3" t="s">
        <v>40</v>
      </c>
      <c r="B2838" s="3" t="s">
        <v>39</v>
      </c>
      <c r="C2838" s="4">
        <v>46023</v>
      </c>
      <c r="D2838" s="4">
        <v>46053</v>
      </c>
      <c r="E2838" s="3" t="s">
        <v>161</v>
      </c>
      <c r="F2838" s="3" t="s">
        <v>192</v>
      </c>
      <c r="G2838" s="5">
        <v>2E-3</v>
      </c>
      <c r="H2838" s="6" t="s">
        <v>55</v>
      </c>
      <c r="I2838" s="3" t="s">
        <v>45</v>
      </c>
    </row>
    <row r="2839" spans="1:9" ht="48" customHeight="1">
      <c r="A2839" s="3" t="s">
        <v>40</v>
      </c>
      <c r="B2839" s="3" t="s">
        <v>39</v>
      </c>
      <c r="C2839" s="4">
        <v>46023</v>
      </c>
      <c r="D2839" s="4">
        <v>46053</v>
      </c>
      <c r="E2839" s="3" t="s">
        <v>161</v>
      </c>
      <c r="F2839" s="3" t="s">
        <v>194</v>
      </c>
      <c r="G2839" s="5">
        <v>2E-3</v>
      </c>
      <c r="H2839" s="6" t="s">
        <v>55</v>
      </c>
      <c r="I2839" s="3" t="s">
        <v>45</v>
      </c>
    </row>
    <row r="2840" spans="1:9" ht="48" customHeight="1">
      <c r="A2840" s="3" t="s">
        <v>40</v>
      </c>
      <c r="B2840" s="3" t="s">
        <v>39</v>
      </c>
      <c r="C2840" s="4">
        <v>46023</v>
      </c>
      <c r="D2840" s="4">
        <v>46053</v>
      </c>
      <c r="E2840" s="3" t="s">
        <v>161</v>
      </c>
      <c r="F2840" s="3" t="s">
        <v>199</v>
      </c>
      <c r="G2840" s="5">
        <v>2E-3</v>
      </c>
      <c r="H2840" s="6" t="s">
        <v>55</v>
      </c>
      <c r="I2840" s="3" t="s">
        <v>45</v>
      </c>
    </row>
    <row r="2841" spans="1:9" ht="48" customHeight="1">
      <c r="A2841" s="3" t="s">
        <v>40</v>
      </c>
      <c r="B2841" s="3" t="s">
        <v>39</v>
      </c>
      <c r="C2841" s="4">
        <v>46023</v>
      </c>
      <c r="D2841" s="4">
        <v>46053</v>
      </c>
      <c r="E2841" s="3" t="s">
        <v>161</v>
      </c>
      <c r="F2841" s="3" t="s">
        <v>202</v>
      </c>
      <c r="G2841" s="5">
        <v>1E-3</v>
      </c>
      <c r="H2841" s="6" t="s">
        <v>55</v>
      </c>
      <c r="I2841" s="3" t="s">
        <v>45</v>
      </c>
    </row>
    <row r="2842" spans="1:9" ht="48" customHeight="1">
      <c r="A2842" s="3" t="s">
        <v>40</v>
      </c>
      <c r="B2842" s="3" t="s">
        <v>39</v>
      </c>
      <c r="C2842" s="4">
        <v>46023</v>
      </c>
      <c r="D2842" s="4">
        <v>46053</v>
      </c>
      <c r="E2842" s="3" t="s">
        <v>161</v>
      </c>
      <c r="F2842" s="3" t="s">
        <v>198</v>
      </c>
      <c r="G2842" s="5">
        <v>1E-3</v>
      </c>
      <c r="H2842" s="6" t="s">
        <v>55</v>
      </c>
      <c r="I2842" s="3" t="s">
        <v>45</v>
      </c>
    </row>
    <row r="2843" spans="1:9" ht="48" customHeight="1">
      <c r="A2843" s="3" t="s">
        <v>40</v>
      </c>
      <c r="B2843" s="3" t="s">
        <v>39</v>
      </c>
      <c r="C2843" s="4">
        <v>46023</v>
      </c>
      <c r="D2843" s="4">
        <v>46053</v>
      </c>
      <c r="E2843" s="3" t="s">
        <v>161</v>
      </c>
      <c r="F2843" s="3" t="s">
        <v>204</v>
      </c>
      <c r="G2843" s="5">
        <v>1E-3</v>
      </c>
      <c r="H2843" s="6" t="s">
        <v>55</v>
      </c>
      <c r="I2843" s="3" t="s">
        <v>45</v>
      </c>
    </row>
    <row r="2844" spans="1:9" ht="48" customHeight="1">
      <c r="A2844" s="3" t="s">
        <v>40</v>
      </c>
      <c r="B2844" s="3" t="s">
        <v>39</v>
      </c>
      <c r="C2844" s="4">
        <v>46023</v>
      </c>
      <c r="D2844" s="4">
        <v>46053</v>
      </c>
      <c r="E2844" s="3" t="s">
        <v>161</v>
      </c>
      <c r="F2844" s="3" t="s">
        <v>203</v>
      </c>
      <c r="G2844" s="5">
        <v>0</v>
      </c>
      <c r="H2844" s="6" t="s">
        <v>55</v>
      </c>
      <c r="I2844" s="3" t="s">
        <v>45</v>
      </c>
    </row>
    <row r="2845" spans="1:9" ht="48" customHeight="1">
      <c r="A2845" s="3" t="s">
        <v>40</v>
      </c>
      <c r="B2845" s="3" t="s">
        <v>39</v>
      </c>
      <c r="C2845" s="4">
        <v>46023</v>
      </c>
      <c r="D2845" s="4">
        <v>46053</v>
      </c>
      <c r="E2845" s="3" t="s">
        <v>286</v>
      </c>
      <c r="F2845" s="3" t="s">
        <v>293</v>
      </c>
      <c r="G2845" s="5">
        <v>0.11900000000000001</v>
      </c>
      <c r="H2845" s="6" t="s">
        <v>55</v>
      </c>
      <c r="I2845" s="3" t="s">
        <v>45</v>
      </c>
    </row>
    <row r="2846" spans="1:9" ht="48" customHeight="1">
      <c r="A2846" s="3" t="s">
        <v>40</v>
      </c>
      <c r="B2846" s="3" t="s">
        <v>39</v>
      </c>
      <c r="C2846" s="4">
        <v>46023</v>
      </c>
      <c r="D2846" s="4">
        <v>46053</v>
      </c>
      <c r="E2846" s="3" t="s">
        <v>286</v>
      </c>
      <c r="F2846" s="3" t="s">
        <v>300</v>
      </c>
      <c r="G2846" s="5">
        <v>2.7000000000000003E-2</v>
      </c>
      <c r="H2846" s="6" t="s">
        <v>55</v>
      </c>
      <c r="I2846" s="3" t="s">
        <v>45</v>
      </c>
    </row>
    <row r="2847" spans="1:9" ht="48" customHeight="1">
      <c r="A2847" s="3" t="s">
        <v>40</v>
      </c>
      <c r="B2847" s="3" t="s">
        <v>39</v>
      </c>
      <c r="C2847" s="4">
        <v>46023</v>
      </c>
      <c r="D2847" s="4">
        <v>46053</v>
      </c>
      <c r="E2847" s="3" t="s">
        <v>286</v>
      </c>
      <c r="F2847" s="3" t="s">
        <v>291</v>
      </c>
      <c r="G2847" s="5">
        <v>1.4999999999999999E-2</v>
      </c>
      <c r="H2847" s="6" t="s">
        <v>55</v>
      </c>
      <c r="I2847" s="3" t="s">
        <v>45</v>
      </c>
    </row>
    <row r="2848" spans="1:9" ht="48" customHeight="1">
      <c r="A2848" s="3" t="s">
        <v>40</v>
      </c>
      <c r="B2848" s="3" t="s">
        <v>39</v>
      </c>
      <c r="C2848" s="4">
        <v>46023</v>
      </c>
      <c r="D2848" s="4">
        <v>46053</v>
      </c>
      <c r="E2848" s="3" t="s">
        <v>286</v>
      </c>
      <c r="F2848" s="3" t="s">
        <v>287</v>
      </c>
      <c r="G2848" s="5">
        <v>5.0000000000000001E-3</v>
      </c>
      <c r="H2848" s="6" t="s">
        <v>55</v>
      </c>
      <c r="I2848" s="3" t="s">
        <v>45</v>
      </c>
    </row>
    <row r="2849" spans="1:9" ht="48" customHeight="1">
      <c r="A2849" s="3" t="s">
        <v>40</v>
      </c>
      <c r="B2849" s="3" t="s">
        <v>39</v>
      </c>
      <c r="C2849" s="4">
        <v>46023</v>
      </c>
      <c r="D2849" s="4">
        <v>46053</v>
      </c>
      <c r="E2849" s="3" t="s">
        <v>286</v>
      </c>
      <c r="F2849" s="3" t="s">
        <v>289</v>
      </c>
      <c r="G2849" s="5">
        <v>5.0000000000000001E-3</v>
      </c>
      <c r="H2849" s="6" t="s">
        <v>55</v>
      </c>
      <c r="I2849" s="3" t="s">
        <v>45</v>
      </c>
    </row>
    <row r="2850" spans="1:9" ht="48" customHeight="1">
      <c r="A2850" s="3" t="s">
        <v>40</v>
      </c>
      <c r="B2850" s="3" t="s">
        <v>39</v>
      </c>
      <c r="C2850" s="4">
        <v>46023</v>
      </c>
      <c r="D2850" s="4">
        <v>46053</v>
      </c>
      <c r="E2850" s="3" t="s">
        <v>286</v>
      </c>
      <c r="F2850" s="3" t="s">
        <v>292</v>
      </c>
      <c r="G2850" s="5">
        <v>5.0000000000000001E-3</v>
      </c>
      <c r="H2850" s="6" t="s">
        <v>55</v>
      </c>
      <c r="I2850" s="3" t="s">
        <v>45</v>
      </c>
    </row>
    <row r="2851" spans="1:9" ht="48" customHeight="1">
      <c r="A2851" s="3" t="s">
        <v>40</v>
      </c>
      <c r="B2851" s="3" t="s">
        <v>39</v>
      </c>
      <c r="C2851" s="4">
        <v>46023</v>
      </c>
      <c r="D2851" s="4">
        <v>46053</v>
      </c>
      <c r="E2851" s="3" t="s">
        <v>286</v>
      </c>
      <c r="F2851" s="3" t="s">
        <v>290</v>
      </c>
      <c r="G2851" s="5">
        <v>4.0000000000000001E-3</v>
      </c>
      <c r="H2851" s="6" t="s">
        <v>55</v>
      </c>
      <c r="I2851" s="3" t="s">
        <v>45</v>
      </c>
    </row>
    <row r="2852" spans="1:9" ht="48" customHeight="1">
      <c r="A2852" s="3" t="s">
        <v>40</v>
      </c>
      <c r="B2852" s="3" t="s">
        <v>39</v>
      </c>
      <c r="C2852" s="4">
        <v>46023</v>
      </c>
      <c r="D2852" s="4">
        <v>46053</v>
      </c>
      <c r="E2852" s="3" t="s">
        <v>286</v>
      </c>
      <c r="F2852" s="3" t="s">
        <v>288</v>
      </c>
      <c r="G2852" s="5">
        <v>4.0000000000000001E-3</v>
      </c>
      <c r="H2852" s="6" t="s">
        <v>55</v>
      </c>
      <c r="I2852" s="3" t="s">
        <v>45</v>
      </c>
    </row>
    <row r="2853" spans="1:9" ht="48" customHeight="1">
      <c r="A2853" s="3" t="s">
        <v>40</v>
      </c>
      <c r="B2853" s="3" t="s">
        <v>39</v>
      </c>
      <c r="C2853" s="4">
        <v>46023</v>
      </c>
      <c r="D2853" s="4">
        <v>46053</v>
      </c>
      <c r="E2853" s="3" t="s">
        <v>286</v>
      </c>
      <c r="F2853" s="3" t="s">
        <v>297</v>
      </c>
      <c r="G2853" s="5">
        <v>2E-3</v>
      </c>
      <c r="H2853" s="6" t="s">
        <v>55</v>
      </c>
      <c r="I2853" s="3" t="s">
        <v>45</v>
      </c>
    </row>
    <row r="2854" spans="1:9" ht="48" customHeight="1">
      <c r="A2854" s="3" t="s">
        <v>40</v>
      </c>
      <c r="B2854" s="3" t="s">
        <v>39</v>
      </c>
      <c r="C2854" s="4">
        <v>46023</v>
      </c>
      <c r="D2854" s="4">
        <v>46053</v>
      </c>
      <c r="E2854" s="3" t="s">
        <v>286</v>
      </c>
      <c r="F2854" s="3" t="s">
        <v>296</v>
      </c>
      <c r="G2854" s="5">
        <v>1E-3</v>
      </c>
      <c r="H2854" s="6" t="s">
        <v>55</v>
      </c>
      <c r="I2854" s="3" t="s">
        <v>45</v>
      </c>
    </row>
    <row r="2855" spans="1:9" ht="48" customHeight="1">
      <c r="A2855" s="3" t="s">
        <v>40</v>
      </c>
      <c r="B2855" s="3" t="s">
        <v>39</v>
      </c>
      <c r="C2855" s="4">
        <v>46023</v>
      </c>
      <c r="D2855" s="4">
        <v>46053</v>
      </c>
      <c r="E2855" s="3" t="s">
        <v>286</v>
      </c>
      <c r="F2855" s="3" t="s">
        <v>298</v>
      </c>
      <c r="G2855" s="5">
        <v>1E-3</v>
      </c>
      <c r="H2855" s="6" t="s">
        <v>55</v>
      </c>
      <c r="I2855" s="3" t="s">
        <v>45</v>
      </c>
    </row>
    <row r="2856" spans="1:9" ht="48" customHeight="1">
      <c r="A2856" s="3" t="s">
        <v>40</v>
      </c>
      <c r="B2856" s="3" t="s">
        <v>39</v>
      </c>
      <c r="C2856" s="4">
        <v>46023</v>
      </c>
      <c r="D2856" s="4">
        <v>46053</v>
      </c>
      <c r="E2856" s="3" t="s">
        <v>286</v>
      </c>
      <c r="F2856" s="3" t="s">
        <v>299</v>
      </c>
      <c r="G2856" s="5">
        <v>1E-3</v>
      </c>
      <c r="H2856" s="6" t="s">
        <v>55</v>
      </c>
      <c r="I2856" s="3" t="s">
        <v>45</v>
      </c>
    </row>
    <row r="2857" spans="1:9" ht="48" customHeight="1">
      <c r="A2857" s="3" t="s">
        <v>40</v>
      </c>
      <c r="B2857" s="3" t="s">
        <v>39</v>
      </c>
      <c r="C2857" s="4">
        <v>46023</v>
      </c>
      <c r="D2857" s="4">
        <v>46053</v>
      </c>
      <c r="E2857" s="3" t="s">
        <v>286</v>
      </c>
      <c r="F2857" s="3" t="s">
        <v>294</v>
      </c>
      <c r="G2857" s="5">
        <v>0</v>
      </c>
      <c r="H2857" s="6" t="s">
        <v>55</v>
      </c>
      <c r="I2857" s="3" t="s">
        <v>45</v>
      </c>
    </row>
    <row r="2858" spans="1:9" ht="48" customHeight="1">
      <c r="A2858" s="3" t="s">
        <v>40</v>
      </c>
      <c r="B2858" s="3" t="s">
        <v>39</v>
      </c>
      <c r="C2858" s="4">
        <v>46023</v>
      </c>
      <c r="D2858" s="4">
        <v>46053</v>
      </c>
      <c r="E2858" s="3" t="s">
        <v>286</v>
      </c>
      <c r="F2858" s="3" t="s">
        <v>295</v>
      </c>
      <c r="G2858" s="5">
        <v>0</v>
      </c>
      <c r="H2858" s="6" t="s">
        <v>55</v>
      </c>
      <c r="I2858" s="3" t="s">
        <v>45</v>
      </c>
    </row>
    <row r="2859" spans="1:9" ht="48" customHeight="1">
      <c r="A2859" s="3" t="s">
        <v>40</v>
      </c>
      <c r="B2859" s="3" t="s">
        <v>39</v>
      </c>
      <c r="C2859" s="4">
        <v>46023</v>
      </c>
      <c r="D2859" s="4">
        <v>46053</v>
      </c>
      <c r="E2859" s="3" t="s">
        <v>205</v>
      </c>
      <c r="F2859" s="3" t="s">
        <v>210</v>
      </c>
      <c r="G2859" s="5">
        <v>9.0000000000000011E-3</v>
      </c>
      <c r="H2859" s="6" t="s">
        <v>55</v>
      </c>
      <c r="I2859" s="3" t="s">
        <v>45</v>
      </c>
    </row>
    <row r="2860" spans="1:9" ht="48" customHeight="1">
      <c r="A2860" s="3" t="s">
        <v>40</v>
      </c>
      <c r="B2860" s="3" t="s">
        <v>39</v>
      </c>
      <c r="C2860" s="4">
        <v>46023</v>
      </c>
      <c r="D2860" s="4">
        <v>46053</v>
      </c>
      <c r="E2860" s="3" t="s">
        <v>205</v>
      </c>
      <c r="F2860" s="3" t="s">
        <v>219</v>
      </c>
      <c r="G2860" s="5">
        <v>6.0000000000000001E-3</v>
      </c>
      <c r="H2860" s="6" t="s">
        <v>55</v>
      </c>
      <c r="I2860" s="3" t="s">
        <v>45</v>
      </c>
    </row>
    <row r="2861" spans="1:9" ht="48" customHeight="1">
      <c r="A2861" s="3" t="s">
        <v>40</v>
      </c>
      <c r="B2861" s="3" t="s">
        <v>39</v>
      </c>
      <c r="C2861" s="4">
        <v>46023</v>
      </c>
      <c r="D2861" s="4">
        <v>46053</v>
      </c>
      <c r="E2861" s="3" t="s">
        <v>205</v>
      </c>
      <c r="F2861" s="3" t="s">
        <v>206</v>
      </c>
      <c r="G2861" s="5">
        <v>6.0000000000000001E-3</v>
      </c>
      <c r="H2861" s="6" t="s">
        <v>55</v>
      </c>
      <c r="I2861" s="3" t="s">
        <v>45</v>
      </c>
    </row>
    <row r="2862" spans="1:9" ht="48" customHeight="1">
      <c r="A2862" s="3" t="s">
        <v>40</v>
      </c>
      <c r="B2862" s="3" t="s">
        <v>39</v>
      </c>
      <c r="C2862" s="4">
        <v>46023</v>
      </c>
      <c r="D2862" s="4">
        <v>46053</v>
      </c>
      <c r="E2862" s="3" t="s">
        <v>205</v>
      </c>
      <c r="F2862" s="3" t="s">
        <v>209</v>
      </c>
      <c r="G2862" s="5">
        <v>6.0000000000000001E-3</v>
      </c>
      <c r="H2862" s="6" t="s">
        <v>55</v>
      </c>
      <c r="I2862" s="3" t="s">
        <v>45</v>
      </c>
    </row>
    <row r="2863" spans="1:9" ht="48" customHeight="1">
      <c r="A2863" s="3" t="s">
        <v>40</v>
      </c>
      <c r="B2863" s="3" t="s">
        <v>39</v>
      </c>
      <c r="C2863" s="4">
        <v>46023</v>
      </c>
      <c r="D2863" s="4">
        <v>46053</v>
      </c>
      <c r="E2863" s="3" t="s">
        <v>205</v>
      </c>
      <c r="F2863" s="3" t="s">
        <v>216</v>
      </c>
      <c r="G2863" s="5">
        <v>6.0000000000000001E-3</v>
      </c>
      <c r="H2863" s="6" t="s">
        <v>55</v>
      </c>
      <c r="I2863" s="3" t="s">
        <v>45</v>
      </c>
    </row>
    <row r="2864" spans="1:9" ht="48" customHeight="1">
      <c r="A2864" s="3" t="s">
        <v>40</v>
      </c>
      <c r="B2864" s="3" t="s">
        <v>39</v>
      </c>
      <c r="C2864" s="4">
        <v>46023</v>
      </c>
      <c r="D2864" s="4">
        <v>46053</v>
      </c>
      <c r="E2864" s="3" t="s">
        <v>205</v>
      </c>
      <c r="F2864" s="3" t="s">
        <v>224</v>
      </c>
      <c r="G2864" s="5">
        <v>5.0000000000000001E-3</v>
      </c>
      <c r="H2864" s="6" t="s">
        <v>55</v>
      </c>
      <c r="I2864" s="3" t="s">
        <v>45</v>
      </c>
    </row>
    <row r="2865" spans="1:9" ht="48" customHeight="1">
      <c r="A2865" s="3" t="s">
        <v>40</v>
      </c>
      <c r="B2865" s="3" t="s">
        <v>39</v>
      </c>
      <c r="C2865" s="4">
        <v>46023</v>
      </c>
      <c r="D2865" s="4">
        <v>46053</v>
      </c>
      <c r="E2865" s="3" t="s">
        <v>205</v>
      </c>
      <c r="F2865" s="3" t="s">
        <v>218</v>
      </c>
      <c r="G2865" s="5">
        <v>5.0000000000000001E-3</v>
      </c>
      <c r="H2865" s="6" t="s">
        <v>55</v>
      </c>
      <c r="I2865" s="3" t="s">
        <v>45</v>
      </c>
    </row>
    <row r="2866" spans="1:9" ht="48" customHeight="1">
      <c r="A2866" s="3" t="s">
        <v>40</v>
      </c>
      <c r="B2866" s="3" t="s">
        <v>39</v>
      </c>
      <c r="C2866" s="4">
        <v>46023</v>
      </c>
      <c r="D2866" s="4">
        <v>46053</v>
      </c>
      <c r="E2866" s="3" t="s">
        <v>205</v>
      </c>
      <c r="F2866" s="3" t="s">
        <v>225</v>
      </c>
      <c r="G2866" s="5">
        <v>5.0000000000000001E-3</v>
      </c>
      <c r="H2866" s="6" t="s">
        <v>55</v>
      </c>
      <c r="I2866" s="3" t="s">
        <v>45</v>
      </c>
    </row>
    <row r="2867" spans="1:9" ht="48" customHeight="1">
      <c r="A2867" s="3" t="s">
        <v>40</v>
      </c>
      <c r="B2867" s="3" t="s">
        <v>39</v>
      </c>
      <c r="C2867" s="4">
        <v>46023</v>
      </c>
      <c r="D2867" s="4">
        <v>46053</v>
      </c>
      <c r="E2867" s="3" t="s">
        <v>205</v>
      </c>
      <c r="F2867" s="3" t="s">
        <v>220</v>
      </c>
      <c r="G2867" s="5">
        <v>5.0000000000000001E-3</v>
      </c>
      <c r="H2867" s="6" t="s">
        <v>55</v>
      </c>
      <c r="I2867" s="3" t="s">
        <v>45</v>
      </c>
    </row>
    <row r="2868" spans="1:9" ht="48" customHeight="1">
      <c r="A2868" s="3" t="s">
        <v>40</v>
      </c>
      <c r="B2868" s="3" t="s">
        <v>39</v>
      </c>
      <c r="C2868" s="4">
        <v>46023</v>
      </c>
      <c r="D2868" s="4">
        <v>46053</v>
      </c>
      <c r="E2868" s="3" t="s">
        <v>205</v>
      </c>
      <c r="F2868" s="3" t="s">
        <v>207</v>
      </c>
      <c r="G2868" s="5">
        <v>5.0000000000000001E-3</v>
      </c>
      <c r="H2868" s="6" t="s">
        <v>55</v>
      </c>
      <c r="I2868" s="3" t="s">
        <v>45</v>
      </c>
    </row>
    <row r="2869" spans="1:9" ht="48" customHeight="1">
      <c r="A2869" s="3" t="s">
        <v>40</v>
      </c>
      <c r="B2869" s="3" t="s">
        <v>39</v>
      </c>
      <c r="C2869" s="4">
        <v>46023</v>
      </c>
      <c r="D2869" s="4">
        <v>46053</v>
      </c>
      <c r="E2869" s="3" t="s">
        <v>205</v>
      </c>
      <c r="F2869" s="3" t="s">
        <v>213</v>
      </c>
      <c r="G2869" s="5">
        <v>5.0000000000000001E-3</v>
      </c>
      <c r="H2869" s="6" t="s">
        <v>55</v>
      </c>
      <c r="I2869" s="3" t="s">
        <v>45</v>
      </c>
    </row>
    <row r="2870" spans="1:9" ht="48" customHeight="1">
      <c r="A2870" s="3" t="s">
        <v>40</v>
      </c>
      <c r="B2870" s="3" t="s">
        <v>39</v>
      </c>
      <c r="C2870" s="4">
        <v>46023</v>
      </c>
      <c r="D2870" s="4">
        <v>46053</v>
      </c>
      <c r="E2870" s="3" t="s">
        <v>205</v>
      </c>
      <c r="F2870" s="3" t="s">
        <v>215</v>
      </c>
      <c r="G2870" s="5">
        <v>5.0000000000000001E-3</v>
      </c>
      <c r="H2870" s="6" t="s">
        <v>55</v>
      </c>
      <c r="I2870" s="3" t="s">
        <v>45</v>
      </c>
    </row>
    <row r="2871" spans="1:9" ht="48" customHeight="1">
      <c r="A2871" s="3" t="s">
        <v>40</v>
      </c>
      <c r="B2871" s="3" t="s">
        <v>39</v>
      </c>
      <c r="C2871" s="4">
        <v>46023</v>
      </c>
      <c r="D2871" s="4">
        <v>46053</v>
      </c>
      <c r="E2871" s="3" t="s">
        <v>205</v>
      </c>
      <c r="F2871" s="3" t="s">
        <v>217</v>
      </c>
      <c r="G2871" s="5">
        <v>4.0000000000000001E-3</v>
      </c>
      <c r="H2871" s="6" t="s">
        <v>55</v>
      </c>
      <c r="I2871" s="3" t="s">
        <v>45</v>
      </c>
    </row>
    <row r="2872" spans="1:9" ht="48" customHeight="1">
      <c r="A2872" s="3" t="s">
        <v>40</v>
      </c>
      <c r="B2872" s="3" t="s">
        <v>39</v>
      </c>
      <c r="C2872" s="4">
        <v>46023</v>
      </c>
      <c r="D2872" s="4">
        <v>46053</v>
      </c>
      <c r="E2872" s="3" t="s">
        <v>205</v>
      </c>
      <c r="F2872" s="3" t="s">
        <v>227</v>
      </c>
      <c r="G2872" s="5">
        <v>4.0000000000000001E-3</v>
      </c>
      <c r="H2872" s="6" t="s">
        <v>55</v>
      </c>
      <c r="I2872" s="3" t="s">
        <v>45</v>
      </c>
    </row>
    <row r="2873" spans="1:9" ht="48" customHeight="1">
      <c r="A2873" s="3" t="s">
        <v>40</v>
      </c>
      <c r="B2873" s="3" t="s">
        <v>39</v>
      </c>
      <c r="C2873" s="4">
        <v>46023</v>
      </c>
      <c r="D2873" s="4">
        <v>46053</v>
      </c>
      <c r="E2873" s="3" t="s">
        <v>205</v>
      </c>
      <c r="F2873" s="3" t="s">
        <v>211</v>
      </c>
      <c r="G2873" s="5">
        <v>4.0000000000000001E-3</v>
      </c>
      <c r="H2873" s="6" t="s">
        <v>55</v>
      </c>
      <c r="I2873" s="3" t="s">
        <v>45</v>
      </c>
    </row>
    <row r="2874" spans="1:9" ht="48" customHeight="1">
      <c r="A2874" s="3" t="s">
        <v>40</v>
      </c>
      <c r="B2874" s="3" t="s">
        <v>39</v>
      </c>
      <c r="C2874" s="4">
        <v>46023</v>
      </c>
      <c r="D2874" s="4">
        <v>46053</v>
      </c>
      <c r="E2874" s="3" t="s">
        <v>205</v>
      </c>
      <c r="F2874" s="3" t="s">
        <v>221</v>
      </c>
      <c r="G2874" s="5">
        <v>4.0000000000000001E-3</v>
      </c>
      <c r="H2874" s="6" t="s">
        <v>55</v>
      </c>
      <c r="I2874" s="3" t="s">
        <v>45</v>
      </c>
    </row>
    <row r="2875" spans="1:9" ht="48" customHeight="1">
      <c r="A2875" s="3" t="s">
        <v>40</v>
      </c>
      <c r="B2875" s="3" t="s">
        <v>39</v>
      </c>
      <c r="C2875" s="4">
        <v>46023</v>
      </c>
      <c r="D2875" s="4">
        <v>46053</v>
      </c>
      <c r="E2875" s="3" t="s">
        <v>205</v>
      </c>
      <c r="F2875" s="3" t="s">
        <v>222</v>
      </c>
      <c r="G2875" s="5">
        <v>4.0000000000000001E-3</v>
      </c>
      <c r="H2875" s="6" t="s">
        <v>55</v>
      </c>
      <c r="I2875" s="3" t="s">
        <v>45</v>
      </c>
    </row>
    <row r="2876" spans="1:9" ht="48" customHeight="1">
      <c r="A2876" s="3" t="s">
        <v>40</v>
      </c>
      <c r="B2876" s="3" t="s">
        <v>39</v>
      </c>
      <c r="C2876" s="4">
        <v>46023</v>
      </c>
      <c r="D2876" s="4">
        <v>46053</v>
      </c>
      <c r="E2876" s="3" t="s">
        <v>205</v>
      </c>
      <c r="F2876" s="3" t="s">
        <v>212</v>
      </c>
      <c r="G2876" s="5">
        <v>4.0000000000000001E-3</v>
      </c>
      <c r="H2876" s="6" t="s">
        <v>55</v>
      </c>
      <c r="I2876" s="3" t="s">
        <v>45</v>
      </c>
    </row>
    <row r="2877" spans="1:9" ht="48" customHeight="1">
      <c r="A2877" s="3" t="s">
        <v>40</v>
      </c>
      <c r="B2877" s="3" t="s">
        <v>39</v>
      </c>
      <c r="C2877" s="4">
        <v>46023</v>
      </c>
      <c r="D2877" s="4">
        <v>46053</v>
      </c>
      <c r="E2877" s="3" t="s">
        <v>205</v>
      </c>
      <c r="F2877" s="3" t="s">
        <v>208</v>
      </c>
      <c r="G2877" s="5">
        <v>4.0000000000000001E-3</v>
      </c>
      <c r="H2877" s="6" t="s">
        <v>55</v>
      </c>
      <c r="I2877" s="3" t="s">
        <v>45</v>
      </c>
    </row>
    <row r="2878" spans="1:9" ht="48" customHeight="1">
      <c r="A2878" s="3" t="s">
        <v>40</v>
      </c>
      <c r="B2878" s="3" t="s">
        <v>39</v>
      </c>
      <c r="C2878" s="4">
        <v>46023</v>
      </c>
      <c r="D2878" s="4">
        <v>46053</v>
      </c>
      <c r="E2878" s="3" t="s">
        <v>205</v>
      </c>
      <c r="F2878" s="3" t="s">
        <v>214</v>
      </c>
      <c r="G2878" s="5">
        <v>4.0000000000000001E-3</v>
      </c>
      <c r="H2878" s="6" t="s">
        <v>55</v>
      </c>
      <c r="I2878" s="3" t="s">
        <v>45</v>
      </c>
    </row>
    <row r="2879" spans="1:9" ht="48" customHeight="1">
      <c r="A2879" s="3" t="s">
        <v>40</v>
      </c>
      <c r="B2879" s="3" t="s">
        <v>39</v>
      </c>
      <c r="C2879" s="4">
        <v>46023</v>
      </c>
      <c r="D2879" s="4">
        <v>46053</v>
      </c>
      <c r="E2879" s="3" t="s">
        <v>205</v>
      </c>
      <c r="F2879" s="3" t="s">
        <v>223</v>
      </c>
      <c r="G2879" s="5">
        <v>3.0000000000000001E-3</v>
      </c>
      <c r="H2879" s="6" t="s">
        <v>55</v>
      </c>
      <c r="I2879" s="3" t="s">
        <v>45</v>
      </c>
    </row>
    <row r="2880" spans="1:9" ht="48" customHeight="1">
      <c r="A2880" s="3" t="s">
        <v>40</v>
      </c>
      <c r="B2880" s="3" t="s">
        <v>39</v>
      </c>
      <c r="C2880" s="4">
        <v>46023</v>
      </c>
      <c r="D2880" s="4">
        <v>46053</v>
      </c>
      <c r="E2880" s="3" t="s">
        <v>205</v>
      </c>
      <c r="F2880" s="3" t="s">
        <v>226</v>
      </c>
      <c r="G2880" s="5">
        <v>3.0000000000000001E-3</v>
      </c>
      <c r="H2880" s="6" t="s">
        <v>55</v>
      </c>
      <c r="I2880" s="3" t="s">
        <v>45</v>
      </c>
    </row>
    <row r="2881" spans="1:9" ht="48" customHeight="1">
      <c r="A2881" s="3" t="s">
        <v>40</v>
      </c>
      <c r="B2881" s="3" t="s">
        <v>39</v>
      </c>
      <c r="C2881" s="4">
        <v>46023</v>
      </c>
      <c r="D2881" s="4">
        <v>46053</v>
      </c>
      <c r="E2881" s="3" t="s">
        <v>205</v>
      </c>
      <c r="F2881" s="3" t="s">
        <v>229</v>
      </c>
      <c r="G2881" s="5">
        <v>2E-3</v>
      </c>
      <c r="H2881" s="6" t="s">
        <v>55</v>
      </c>
      <c r="I2881" s="3" t="s">
        <v>45</v>
      </c>
    </row>
    <row r="2882" spans="1:9" ht="48" customHeight="1">
      <c r="A2882" s="3" t="s">
        <v>40</v>
      </c>
      <c r="B2882" s="3" t="s">
        <v>39</v>
      </c>
      <c r="C2882" s="4">
        <v>46023</v>
      </c>
      <c r="D2882" s="4">
        <v>46053</v>
      </c>
      <c r="E2882" s="3" t="s">
        <v>205</v>
      </c>
      <c r="F2882" s="3" t="s">
        <v>230</v>
      </c>
      <c r="G2882" s="5">
        <v>2E-3</v>
      </c>
      <c r="H2882" s="6" t="s">
        <v>55</v>
      </c>
      <c r="I2882" s="3" t="s">
        <v>45</v>
      </c>
    </row>
    <row r="2883" spans="1:9" ht="48" customHeight="1">
      <c r="A2883" s="3" t="s">
        <v>40</v>
      </c>
      <c r="B2883" s="3" t="s">
        <v>39</v>
      </c>
      <c r="C2883" s="4">
        <v>46023</v>
      </c>
      <c r="D2883" s="4">
        <v>46053</v>
      </c>
      <c r="E2883" s="3" t="s">
        <v>205</v>
      </c>
      <c r="F2883" s="3" t="s">
        <v>228</v>
      </c>
      <c r="G2883" s="5">
        <v>2E-3</v>
      </c>
      <c r="H2883" s="6" t="s">
        <v>55</v>
      </c>
      <c r="I2883" s="3" t="s">
        <v>45</v>
      </c>
    </row>
    <row r="2884" spans="1:9" ht="48" customHeight="1">
      <c r="A2884" s="3" t="s">
        <v>40</v>
      </c>
      <c r="B2884" s="3" t="s">
        <v>39</v>
      </c>
      <c r="C2884" s="4">
        <v>46023</v>
      </c>
      <c r="D2884" s="4">
        <v>46053</v>
      </c>
      <c r="E2884" s="3" t="s">
        <v>81</v>
      </c>
      <c r="F2884" s="3" t="s">
        <v>333</v>
      </c>
      <c r="G2884" s="5">
        <v>6.9999999999999993E-3</v>
      </c>
      <c r="H2884" s="6" t="s">
        <v>55</v>
      </c>
      <c r="I2884" s="3" t="s">
        <v>45</v>
      </c>
    </row>
    <row r="2885" spans="1:9" ht="48" customHeight="1">
      <c r="A2885" s="3" t="s">
        <v>40</v>
      </c>
      <c r="B2885" s="3" t="s">
        <v>39</v>
      </c>
      <c r="C2885" s="4">
        <v>46023</v>
      </c>
      <c r="D2885" s="4">
        <v>46053</v>
      </c>
      <c r="E2885" s="3" t="s">
        <v>81</v>
      </c>
      <c r="F2885" s="3" t="s">
        <v>330</v>
      </c>
      <c r="G2885" s="5">
        <v>5.0000000000000001E-3</v>
      </c>
      <c r="H2885" s="6" t="s">
        <v>55</v>
      </c>
      <c r="I2885" s="3" t="s">
        <v>45</v>
      </c>
    </row>
    <row r="2886" spans="1:9" ht="48" customHeight="1">
      <c r="A2886" s="3" t="s">
        <v>40</v>
      </c>
      <c r="B2886" s="3" t="s">
        <v>39</v>
      </c>
      <c r="C2886" s="4">
        <v>46023</v>
      </c>
      <c r="D2886" s="4">
        <v>46053</v>
      </c>
      <c r="E2886" s="3" t="s">
        <v>81</v>
      </c>
      <c r="F2886" s="3" t="s">
        <v>326</v>
      </c>
      <c r="G2886" s="5">
        <v>4.0000000000000001E-3</v>
      </c>
      <c r="H2886" s="6" t="s">
        <v>55</v>
      </c>
      <c r="I2886" s="3" t="s">
        <v>45</v>
      </c>
    </row>
    <row r="2887" spans="1:9" ht="48" customHeight="1">
      <c r="A2887" s="3" t="s">
        <v>40</v>
      </c>
      <c r="B2887" s="3" t="s">
        <v>39</v>
      </c>
      <c r="C2887" s="4">
        <v>46023</v>
      </c>
      <c r="D2887" s="4">
        <v>46053</v>
      </c>
      <c r="E2887" s="3" t="s">
        <v>81</v>
      </c>
      <c r="F2887" s="3" t="s">
        <v>345</v>
      </c>
      <c r="G2887" s="5">
        <v>4.0000000000000001E-3</v>
      </c>
      <c r="H2887" s="6" t="s">
        <v>55</v>
      </c>
      <c r="I2887" s="3" t="s">
        <v>45</v>
      </c>
    </row>
    <row r="2888" spans="1:9" ht="48" customHeight="1">
      <c r="A2888" s="3" t="s">
        <v>40</v>
      </c>
      <c r="B2888" s="3" t="s">
        <v>39</v>
      </c>
      <c r="C2888" s="4">
        <v>46023</v>
      </c>
      <c r="D2888" s="4">
        <v>46053</v>
      </c>
      <c r="E2888" s="3" t="s">
        <v>81</v>
      </c>
      <c r="F2888" s="3" t="s">
        <v>327</v>
      </c>
      <c r="G2888" s="5">
        <v>3.0000000000000001E-3</v>
      </c>
      <c r="H2888" s="6" t="s">
        <v>55</v>
      </c>
      <c r="I2888" s="3" t="s">
        <v>45</v>
      </c>
    </row>
    <row r="2889" spans="1:9" ht="48" customHeight="1">
      <c r="A2889" s="3" t="s">
        <v>40</v>
      </c>
      <c r="B2889" s="3" t="s">
        <v>39</v>
      </c>
      <c r="C2889" s="4">
        <v>46023</v>
      </c>
      <c r="D2889" s="4">
        <v>46053</v>
      </c>
      <c r="E2889" s="3" t="s">
        <v>81</v>
      </c>
      <c r="F2889" s="3" t="s">
        <v>328</v>
      </c>
      <c r="G2889" s="5">
        <v>2E-3</v>
      </c>
      <c r="H2889" s="6" t="s">
        <v>55</v>
      </c>
      <c r="I2889" s="3" t="s">
        <v>45</v>
      </c>
    </row>
    <row r="2890" spans="1:9" ht="48" customHeight="1">
      <c r="A2890" s="3" t="s">
        <v>40</v>
      </c>
      <c r="B2890" s="3" t="s">
        <v>39</v>
      </c>
      <c r="C2890" s="4">
        <v>46023</v>
      </c>
      <c r="D2890" s="4">
        <v>46053</v>
      </c>
      <c r="E2890" s="3" t="s">
        <v>81</v>
      </c>
      <c r="F2890" s="3" t="s">
        <v>325</v>
      </c>
      <c r="G2890" s="5">
        <v>2E-3</v>
      </c>
      <c r="H2890" s="6" t="s">
        <v>55</v>
      </c>
      <c r="I2890" s="3" t="s">
        <v>45</v>
      </c>
    </row>
    <row r="2891" spans="1:9" ht="48" customHeight="1">
      <c r="A2891" s="3" t="s">
        <v>40</v>
      </c>
      <c r="B2891" s="3" t="s">
        <v>39</v>
      </c>
      <c r="C2891" s="4">
        <v>46023</v>
      </c>
      <c r="D2891" s="4">
        <v>46053</v>
      </c>
      <c r="E2891" s="3" t="s">
        <v>81</v>
      </c>
      <c r="F2891" s="3" t="s">
        <v>332</v>
      </c>
      <c r="G2891" s="5">
        <v>2E-3</v>
      </c>
      <c r="H2891" s="6" t="s">
        <v>55</v>
      </c>
      <c r="I2891" s="3" t="s">
        <v>45</v>
      </c>
    </row>
    <row r="2892" spans="1:9" ht="48" customHeight="1">
      <c r="A2892" s="3" t="s">
        <v>40</v>
      </c>
      <c r="B2892" s="3" t="s">
        <v>39</v>
      </c>
      <c r="C2892" s="4">
        <v>46023</v>
      </c>
      <c r="D2892" s="4">
        <v>46053</v>
      </c>
      <c r="E2892" s="3" t="s">
        <v>81</v>
      </c>
      <c r="F2892" s="3" t="s">
        <v>329</v>
      </c>
      <c r="G2892" s="5">
        <v>1E-3</v>
      </c>
      <c r="H2892" s="6" t="s">
        <v>55</v>
      </c>
      <c r="I2892" s="3" t="s">
        <v>45</v>
      </c>
    </row>
    <row r="2893" spans="1:9" ht="48" customHeight="1">
      <c r="A2893" s="3" t="s">
        <v>40</v>
      </c>
      <c r="B2893" s="3" t="s">
        <v>39</v>
      </c>
      <c r="C2893" s="4">
        <v>46023</v>
      </c>
      <c r="D2893" s="4">
        <v>46053</v>
      </c>
      <c r="E2893" s="3" t="s">
        <v>81</v>
      </c>
      <c r="F2893" s="3" t="s">
        <v>334</v>
      </c>
      <c r="G2893" s="5">
        <v>1E-3</v>
      </c>
      <c r="H2893" s="6" t="s">
        <v>55</v>
      </c>
      <c r="I2893" s="3" t="s">
        <v>45</v>
      </c>
    </row>
    <row r="2894" spans="1:9" ht="48" customHeight="1">
      <c r="A2894" s="3" t="s">
        <v>40</v>
      </c>
      <c r="B2894" s="3" t="s">
        <v>39</v>
      </c>
      <c r="C2894" s="4">
        <v>46023</v>
      </c>
      <c r="D2894" s="4">
        <v>46053</v>
      </c>
      <c r="E2894" s="3" t="s">
        <v>81</v>
      </c>
      <c r="F2894" s="3" t="s">
        <v>331</v>
      </c>
      <c r="G2894" s="5">
        <v>1E-3</v>
      </c>
      <c r="H2894" s="6" t="s">
        <v>55</v>
      </c>
      <c r="I2894" s="3" t="s">
        <v>45</v>
      </c>
    </row>
    <row r="2895" spans="1:9" ht="48" customHeight="1">
      <c r="A2895" s="3" t="s">
        <v>40</v>
      </c>
      <c r="B2895" s="3" t="s">
        <v>39</v>
      </c>
      <c r="C2895" s="4">
        <v>46023</v>
      </c>
      <c r="D2895" s="4">
        <v>46053</v>
      </c>
      <c r="E2895" s="3" t="s">
        <v>81</v>
      </c>
      <c r="F2895" s="3" t="s">
        <v>335</v>
      </c>
      <c r="G2895" s="5">
        <v>1E-3</v>
      </c>
      <c r="H2895" s="6" t="s">
        <v>55</v>
      </c>
      <c r="I2895" s="3" t="s">
        <v>45</v>
      </c>
    </row>
    <row r="2896" spans="1:9" ht="48" customHeight="1">
      <c r="A2896" s="3" t="s">
        <v>40</v>
      </c>
      <c r="B2896" s="3" t="s">
        <v>39</v>
      </c>
      <c r="C2896" s="4">
        <v>46023</v>
      </c>
      <c r="D2896" s="4">
        <v>46053</v>
      </c>
      <c r="E2896" s="3" t="s">
        <v>81</v>
      </c>
      <c r="F2896" s="3" t="s">
        <v>343</v>
      </c>
      <c r="G2896" s="5">
        <v>1E-3</v>
      </c>
      <c r="H2896" s="6" t="s">
        <v>55</v>
      </c>
      <c r="I2896" s="3" t="s">
        <v>45</v>
      </c>
    </row>
    <row r="2897" spans="1:9" ht="48" customHeight="1">
      <c r="A2897" s="3" t="s">
        <v>40</v>
      </c>
      <c r="B2897" s="3" t="s">
        <v>39</v>
      </c>
      <c r="C2897" s="4">
        <v>46023</v>
      </c>
      <c r="D2897" s="4">
        <v>46053</v>
      </c>
      <c r="E2897" s="3" t="s">
        <v>81</v>
      </c>
      <c r="F2897" s="3" t="s">
        <v>344</v>
      </c>
      <c r="G2897" s="5">
        <v>1E-3</v>
      </c>
      <c r="H2897" s="6" t="s">
        <v>55</v>
      </c>
      <c r="I2897" s="3" t="s">
        <v>45</v>
      </c>
    </row>
    <row r="2898" spans="1:9" ht="48" customHeight="1">
      <c r="A2898" s="3" t="s">
        <v>40</v>
      </c>
      <c r="B2898" s="3" t="s">
        <v>39</v>
      </c>
      <c r="C2898" s="4">
        <v>46023</v>
      </c>
      <c r="D2898" s="4">
        <v>46053</v>
      </c>
      <c r="E2898" s="3" t="s">
        <v>81</v>
      </c>
      <c r="F2898" s="3" t="s">
        <v>346</v>
      </c>
      <c r="G2898" s="5">
        <v>1E-3</v>
      </c>
      <c r="H2898" s="6" t="s">
        <v>55</v>
      </c>
      <c r="I2898" s="3" t="s">
        <v>45</v>
      </c>
    </row>
    <row r="2899" spans="1:9" ht="48" customHeight="1">
      <c r="A2899" s="3" t="s">
        <v>40</v>
      </c>
      <c r="B2899" s="3" t="s">
        <v>39</v>
      </c>
      <c r="C2899" s="4">
        <v>46023</v>
      </c>
      <c r="D2899" s="4">
        <v>46053</v>
      </c>
      <c r="E2899" s="3" t="s">
        <v>81</v>
      </c>
      <c r="F2899" s="3" t="s">
        <v>336</v>
      </c>
      <c r="G2899" s="5">
        <v>0</v>
      </c>
      <c r="H2899" s="6" t="s">
        <v>55</v>
      </c>
      <c r="I2899" s="3" t="s">
        <v>45</v>
      </c>
    </row>
    <row r="2900" spans="1:9" ht="48" customHeight="1">
      <c r="A2900" s="3" t="s">
        <v>40</v>
      </c>
      <c r="B2900" s="3" t="s">
        <v>39</v>
      </c>
      <c r="C2900" s="4">
        <v>46023</v>
      </c>
      <c r="D2900" s="4">
        <v>46053</v>
      </c>
      <c r="E2900" s="3" t="s">
        <v>81</v>
      </c>
      <c r="F2900" s="3" t="s">
        <v>337</v>
      </c>
      <c r="G2900" s="5">
        <v>0</v>
      </c>
      <c r="H2900" s="6" t="s">
        <v>55</v>
      </c>
      <c r="I2900" s="3" t="s">
        <v>45</v>
      </c>
    </row>
    <row r="2901" spans="1:9" ht="48" customHeight="1">
      <c r="A2901" s="3" t="s">
        <v>40</v>
      </c>
      <c r="B2901" s="3" t="s">
        <v>39</v>
      </c>
      <c r="C2901" s="4">
        <v>46023</v>
      </c>
      <c r="D2901" s="4">
        <v>46053</v>
      </c>
      <c r="E2901" s="3" t="s">
        <v>81</v>
      </c>
      <c r="F2901" s="3" t="s">
        <v>338</v>
      </c>
      <c r="G2901" s="5">
        <v>0</v>
      </c>
      <c r="H2901" s="6" t="s">
        <v>55</v>
      </c>
      <c r="I2901" s="3" t="s">
        <v>45</v>
      </c>
    </row>
    <row r="2902" spans="1:9" ht="48" customHeight="1">
      <c r="A2902" s="3" t="s">
        <v>40</v>
      </c>
      <c r="B2902" s="3" t="s">
        <v>39</v>
      </c>
      <c r="C2902" s="4">
        <v>46023</v>
      </c>
      <c r="D2902" s="4">
        <v>46053</v>
      </c>
      <c r="E2902" s="3" t="s">
        <v>81</v>
      </c>
      <c r="F2902" s="3" t="s">
        <v>339</v>
      </c>
      <c r="G2902" s="5">
        <v>0</v>
      </c>
      <c r="H2902" s="6" t="s">
        <v>55</v>
      </c>
      <c r="I2902" s="3" t="s">
        <v>45</v>
      </c>
    </row>
    <row r="2903" spans="1:9" ht="48" customHeight="1">
      <c r="A2903" s="3" t="s">
        <v>40</v>
      </c>
      <c r="B2903" s="3" t="s">
        <v>39</v>
      </c>
      <c r="C2903" s="4">
        <v>46023</v>
      </c>
      <c r="D2903" s="4">
        <v>46053</v>
      </c>
      <c r="E2903" s="3" t="s">
        <v>81</v>
      </c>
      <c r="F2903" s="3" t="s">
        <v>340</v>
      </c>
      <c r="G2903" s="5">
        <v>0</v>
      </c>
      <c r="H2903" s="6" t="s">
        <v>55</v>
      </c>
      <c r="I2903" s="3" t="s">
        <v>45</v>
      </c>
    </row>
    <row r="2904" spans="1:9" ht="48" customHeight="1">
      <c r="A2904" s="3" t="s">
        <v>40</v>
      </c>
      <c r="B2904" s="3" t="s">
        <v>39</v>
      </c>
      <c r="C2904" s="4">
        <v>46023</v>
      </c>
      <c r="D2904" s="4">
        <v>46053</v>
      </c>
      <c r="E2904" s="3" t="s">
        <v>81</v>
      </c>
      <c r="F2904" s="3" t="s">
        <v>341</v>
      </c>
      <c r="G2904" s="5">
        <v>0</v>
      </c>
      <c r="H2904" s="6" t="s">
        <v>55</v>
      </c>
      <c r="I2904" s="3" t="s">
        <v>45</v>
      </c>
    </row>
    <row r="2905" spans="1:9" ht="48" customHeight="1">
      <c r="A2905" s="3" t="s">
        <v>40</v>
      </c>
      <c r="B2905" s="3" t="s">
        <v>39</v>
      </c>
      <c r="C2905" s="4">
        <v>46023</v>
      </c>
      <c r="D2905" s="4">
        <v>46053</v>
      </c>
      <c r="E2905" s="3" t="s">
        <v>81</v>
      </c>
      <c r="F2905" s="3" t="s">
        <v>342</v>
      </c>
      <c r="G2905" s="5">
        <v>0</v>
      </c>
      <c r="H2905" s="6" t="s">
        <v>55</v>
      </c>
      <c r="I2905" s="3" t="s">
        <v>45</v>
      </c>
    </row>
    <row r="2906" spans="1:9" ht="48" customHeight="1">
      <c r="A2906" s="3" t="s">
        <v>40</v>
      </c>
      <c r="B2906" s="3" t="s">
        <v>39</v>
      </c>
      <c r="C2906" s="4">
        <v>46023</v>
      </c>
      <c r="D2906" s="4">
        <v>46053</v>
      </c>
      <c r="E2906" s="3" t="s">
        <v>81</v>
      </c>
      <c r="F2906" s="3" t="s">
        <v>347</v>
      </c>
      <c r="G2906" s="5">
        <v>0</v>
      </c>
      <c r="H2906" s="6" t="s">
        <v>55</v>
      </c>
      <c r="I2906" s="3" t="s">
        <v>45</v>
      </c>
    </row>
    <row r="2907" spans="1:9" ht="48" customHeight="1">
      <c r="A2907" s="3" t="s">
        <v>40</v>
      </c>
      <c r="B2907" s="3" t="s">
        <v>39</v>
      </c>
      <c r="C2907" s="4">
        <v>46023</v>
      </c>
      <c r="D2907" s="4">
        <v>46053</v>
      </c>
      <c r="E2907" s="3" t="s">
        <v>236</v>
      </c>
      <c r="F2907" s="3" t="s">
        <v>232</v>
      </c>
      <c r="G2907" s="5">
        <v>6.9999999999999993E-3</v>
      </c>
      <c r="H2907" s="6" t="s">
        <v>55</v>
      </c>
      <c r="I2907" s="3" t="s">
        <v>45</v>
      </c>
    </row>
    <row r="2908" spans="1:9" ht="48" customHeight="1">
      <c r="A2908" s="3" t="s">
        <v>40</v>
      </c>
      <c r="B2908" s="3" t="s">
        <v>39</v>
      </c>
      <c r="C2908" s="4">
        <v>46023</v>
      </c>
      <c r="D2908" s="4">
        <v>46053</v>
      </c>
      <c r="E2908" s="3" t="s">
        <v>236</v>
      </c>
      <c r="F2908" s="3" t="s">
        <v>240</v>
      </c>
      <c r="G2908" s="5">
        <v>6.0000000000000001E-3</v>
      </c>
      <c r="H2908" s="6" t="s">
        <v>55</v>
      </c>
      <c r="I2908" s="3" t="s">
        <v>45</v>
      </c>
    </row>
    <row r="2909" spans="1:9" ht="48" customHeight="1">
      <c r="A2909" s="3" t="s">
        <v>40</v>
      </c>
      <c r="B2909" s="3" t="s">
        <v>39</v>
      </c>
      <c r="C2909" s="4">
        <v>46023</v>
      </c>
      <c r="D2909" s="4">
        <v>46053</v>
      </c>
      <c r="E2909" s="3" t="s">
        <v>236</v>
      </c>
      <c r="F2909" s="3" t="s">
        <v>238</v>
      </c>
      <c r="G2909" s="5">
        <v>6.0000000000000001E-3</v>
      </c>
      <c r="H2909" s="6" t="s">
        <v>55</v>
      </c>
      <c r="I2909" s="3" t="s">
        <v>45</v>
      </c>
    </row>
    <row r="2910" spans="1:9" ht="48" customHeight="1">
      <c r="A2910" s="3" t="s">
        <v>40</v>
      </c>
      <c r="B2910" s="3" t="s">
        <v>39</v>
      </c>
      <c r="C2910" s="4">
        <v>46023</v>
      </c>
      <c r="D2910" s="4">
        <v>46053</v>
      </c>
      <c r="E2910" s="3" t="s">
        <v>236</v>
      </c>
      <c r="F2910" s="3" t="s">
        <v>239</v>
      </c>
      <c r="G2910" s="5">
        <v>6.0000000000000001E-3</v>
      </c>
      <c r="H2910" s="6" t="s">
        <v>55</v>
      </c>
      <c r="I2910" s="3" t="s">
        <v>45</v>
      </c>
    </row>
    <row r="2911" spans="1:9" ht="48" customHeight="1">
      <c r="A2911" s="3" t="s">
        <v>40</v>
      </c>
      <c r="B2911" s="3" t="s">
        <v>39</v>
      </c>
      <c r="C2911" s="4">
        <v>46023</v>
      </c>
      <c r="D2911" s="4">
        <v>46053</v>
      </c>
      <c r="E2911" s="3" t="s">
        <v>236</v>
      </c>
      <c r="F2911" s="3" t="s">
        <v>237</v>
      </c>
      <c r="G2911" s="5">
        <v>5.0000000000000001E-3</v>
      </c>
      <c r="H2911" s="6" t="s">
        <v>55</v>
      </c>
      <c r="I2911" s="3" t="s">
        <v>45</v>
      </c>
    </row>
    <row r="2912" spans="1:9" ht="48" customHeight="1">
      <c r="A2912" s="3" t="s">
        <v>40</v>
      </c>
      <c r="B2912" s="3" t="s">
        <v>39</v>
      </c>
      <c r="C2912" s="4">
        <v>46023</v>
      </c>
      <c r="D2912" s="4">
        <v>46053</v>
      </c>
      <c r="E2912" s="3" t="s">
        <v>236</v>
      </c>
      <c r="F2912" s="3" t="s">
        <v>241</v>
      </c>
      <c r="G2912" s="5">
        <v>3.0000000000000001E-3</v>
      </c>
      <c r="H2912" s="6" t="s">
        <v>55</v>
      </c>
      <c r="I2912" s="3" t="s">
        <v>45</v>
      </c>
    </row>
    <row r="2913" spans="1:9" ht="48" customHeight="1">
      <c r="A2913" s="3" t="s">
        <v>40</v>
      </c>
      <c r="B2913" s="3" t="s">
        <v>39</v>
      </c>
      <c r="C2913" s="4">
        <v>46023</v>
      </c>
      <c r="D2913" s="4">
        <v>46053</v>
      </c>
      <c r="E2913" s="3" t="s">
        <v>236</v>
      </c>
      <c r="F2913" s="3" t="s">
        <v>230</v>
      </c>
      <c r="G2913" s="5">
        <v>2E-3</v>
      </c>
      <c r="H2913" s="6" t="s">
        <v>55</v>
      </c>
      <c r="I2913" s="3" t="s">
        <v>45</v>
      </c>
    </row>
    <row r="2914" spans="1:9" ht="48" customHeight="1">
      <c r="A2914" s="3" t="s">
        <v>40</v>
      </c>
      <c r="B2914" s="3" t="s">
        <v>39</v>
      </c>
      <c r="C2914" s="4">
        <v>46023</v>
      </c>
      <c r="D2914" s="4">
        <v>46053</v>
      </c>
      <c r="E2914" s="3" t="s">
        <v>236</v>
      </c>
      <c r="F2914" s="3" t="s">
        <v>242</v>
      </c>
      <c r="G2914" s="5">
        <v>1E-3</v>
      </c>
      <c r="H2914" s="6" t="s">
        <v>55</v>
      </c>
      <c r="I2914" s="3" t="s">
        <v>45</v>
      </c>
    </row>
    <row r="2915" spans="1:9" ht="48" customHeight="1">
      <c r="A2915" s="3" t="s">
        <v>40</v>
      </c>
      <c r="B2915" s="3" t="s">
        <v>39</v>
      </c>
      <c r="C2915" s="4">
        <v>46023</v>
      </c>
      <c r="D2915" s="4">
        <v>46053</v>
      </c>
      <c r="E2915" s="3" t="s">
        <v>236</v>
      </c>
      <c r="F2915" s="3" t="s">
        <v>234</v>
      </c>
      <c r="G2915" s="5">
        <v>0</v>
      </c>
      <c r="H2915" s="6" t="s">
        <v>55</v>
      </c>
      <c r="I2915" s="3" t="s">
        <v>45</v>
      </c>
    </row>
    <row r="2916" spans="1:9" ht="48" customHeight="1">
      <c r="A2916" s="3" t="s">
        <v>40</v>
      </c>
      <c r="B2916" s="3" t="s">
        <v>39</v>
      </c>
      <c r="C2916" s="4">
        <v>46023</v>
      </c>
      <c r="D2916" s="4">
        <v>46053</v>
      </c>
      <c r="E2916" s="3" t="s">
        <v>236</v>
      </c>
      <c r="F2916" s="3" t="s">
        <v>243</v>
      </c>
      <c r="G2916" s="5">
        <v>0</v>
      </c>
      <c r="H2916" s="6" t="s">
        <v>55</v>
      </c>
      <c r="I2916" s="3" t="s">
        <v>45</v>
      </c>
    </row>
    <row r="2917" spans="1:9" ht="48" customHeight="1">
      <c r="A2917" s="3" t="s">
        <v>40</v>
      </c>
      <c r="B2917" s="3" t="s">
        <v>39</v>
      </c>
      <c r="C2917" s="4">
        <v>46023</v>
      </c>
      <c r="D2917" s="4">
        <v>46053</v>
      </c>
      <c r="E2917" s="3" t="s">
        <v>68</v>
      </c>
      <c r="F2917" s="3" t="s">
        <v>150</v>
      </c>
      <c r="G2917" s="5">
        <v>6.0000000000000001E-3</v>
      </c>
      <c r="H2917" s="6" t="s">
        <v>55</v>
      </c>
      <c r="I2917" s="3" t="s">
        <v>45</v>
      </c>
    </row>
    <row r="2918" spans="1:9" ht="48" customHeight="1">
      <c r="A2918" s="3" t="s">
        <v>40</v>
      </c>
      <c r="B2918" s="3" t="s">
        <v>39</v>
      </c>
      <c r="C2918" s="4">
        <v>46023</v>
      </c>
      <c r="D2918" s="4">
        <v>46053</v>
      </c>
      <c r="E2918" s="3" t="s">
        <v>68</v>
      </c>
      <c r="F2918" s="3" t="s">
        <v>147</v>
      </c>
      <c r="G2918" s="5">
        <v>5.0000000000000001E-3</v>
      </c>
      <c r="H2918" s="6" t="s">
        <v>55</v>
      </c>
      <c r="I2918" s="3" t="s">
        <v>45</v>
      </c>
    </row>
    <row r="2919" spans="1:9" ht="48" customHeight="1">
      <c r="A2919" s="3" t="s">
        <v>40</v>
      </c>
      <c r="B2919" s="3" t="s">
        <v>39</v>
      </c>
      <c r="C2919" s="4">
        <v>46023</v>
      </c>
      <c r="D2919" s="4">
        <v>46053</v>
      </c>
      <c r="E2919" s="3" t="s">
        <v>68</v>
      </c>
      <c r="F2919" s="3" t="s">
        <v>151</v>
      </c>
      <c r="G2919" s="5">
        <v>4.0000000000000001E-3</v>
      </c>
      <c r="H2919" s="6" t="s">
        <v>55</v>
      </c>
      <c r="I2919" s="3" t="s">
        <v>45</v>
      </c>
    </row>
    <row r="2920" spans="1:9" ht="48" customHeight="1">
      <c r="A2920" s="3" t="s">
        <v>40</v>
      </c>
      <c r="B2920" s="3" t="s">
        <v>39</v>
      </c>
      <c r="C2920" s="4">
        <v>46023</v>
      </c>
      <c r="D2920" s="4">
        <v>46053</v>
      </c>
      <c r="E2920" s="3" t="s">
        <v>68</v>
      </c>
      <c r="F2920" s="3" t="s">
        <v>148</v>
      </c>
      <c r="G2920" s="5">
        <v>4.0000000000000001E-3</v>
      </c>
      <c r="H2920" s="6" t="s">
        <v>55</v>
      </c>
      <c r="I2920" s="3" t="s">
        <v>45</v>
      </c>
    </row>
    <row r="2921" spans="1:9" ht="48" customHeight="1">
      <c r="A2921" s="3" t="s">
        <v>40</v>
      </c>
      <c r="B2921" s="3" t="s">
        <v>39</v>
      </c>
      <c r="C2921" s="4">
        <v>46023</v>
      </c>
      <c r="D2921" s="4">
        <v>46053</v>
      </c>
      <c r="E2921" s="3" t="s">
        <v>68</v>
      </c>
      <c r="F2921" s="3" t="s">
        <v>149</v>
      </c>
      <c r="G2921" s="5">
        <v>2E-3</v>
      </c>
      <c r="H2921" s="6" t="s">
        <v>55</v>
      </c>
      <c r="I2921" s="3" t="s">
        <v>45</v>
      </c>
    </row>
    <row r="2922" spans="1:9" ht="48" customHeight="1">
      <c r="A2922" s="3" t="s">
        <v>40</v>
      </c>
      <c r="B2922" s="3" t="s">
        <v>39</v>
      </c>
      <c r="C2922" s="4">
        <v>46023</v>
      </c>
      <c r="D2922" s="4">
        <v>46053</v>
      </c>
      <c r="E2922" s="3" t="s">
        <v>68</v>
      </c>
      <c r="F2922" s="3" t="s">
        <v>155</v>
      </c>
      <c r="G2922" s="5">
        <v>1E-3</v>
      </c>
      <c r="H2922" s="6" t="s">
        <v>55</v>
      </c>
      <c r="I2922" s="3" t="s">
        <v>45</v>
      </c>
    </row>
    <row r="2923" spans="1:9" ht="48" customHeight="1">
      <c r="A2923" s="3" t="s">
        <v>40</v>
      </c>
      <c r="B2923" s="3" t="s">
        <v>39</v>
      </c>
      <c r="C2923" s="4">
        <v>46023</v>
      </c>
      <c r="D2923" s="4">
        <v>46053</v>
      </c>
      <c r="E2923" s="3" t="s">
        <v>68</v>
      </c>
      <c r="F2923" s="3" t="s">
        <v>152</v>
      </c>
      <c r="G2923" s="5">
        <v>1E-3</v>
      </c>
      <c r="H2923" s="6" t="s">
        <v>55</v>
      </c>
      <c r="I2923" s="3" t="s">
        <v>45</v>
      </c>
    </row>
    <row r="2924" spans="1:9" ht="48" customHeight="1">
      <c r="A2924" s="3" t="s">
        <v>40</v>
      </c>
      <c r="B2924" s="3" t="s">
        <v>39</v>
      </c>
      <c r="C2924" s="4">
        <v>46023</v>
      </c>
      <c r="D2924" s="4">
        <v>46053</v>
      </c>
      <c r="E2924" s="3" t="s">
        <v>68</v>
      </c>
      <c r="F2924" s="3" t="s">
        <v>146</v>
      </c>
      <c r="G2924" s="5">
        <v>1E-3</v>
      </c>
      <c r="H2924" s="6" t="s">
        <v>55</v>
      </c>
      <c r="I2924" s="3" t="s">
        <v>45</v>
      </c>
    </row>
    <row r="2925" spans="1:9" ht="48" customHeight="1">
      <c r="A2925" s="3" t="s">
        <v>40</v>
      </c>
      <c r="B2925" s="3" t="s">
        <v>39</v>
      </c>
      <c r="C2925" s="4">
        <v>46023</v>
      </c>
      <c r="D2925" s="4">
        <v>46053</v>
      </c>
      <c r="E2925" s="3" t="s">
        <v>68</v>
      </c>
      <c r="F2925" s="3" t="s">
        <v>66</v>
      </c>
      <c r="G2925" s="5">
        <v>1E-3</v>
      </c>
      <c r="H2925" s="6" t="s">
        <v>55</v>
      </c>
      <c r="I2925" s="3" t="s">
        <v>45</v>
      </c>
    </row>
    <row r="2926" spans="1:9" ht="48" customHeight="1">
      <c r="A2926" s="3" t="s">
        <v>40</v>
      </c>
      <c r="B2926" s="3" t="s">
        <v>39</v>
      </c>
      <c r="C2926" s="4">
        <v>46023</v>
      </c>
      <c r="D2926" s="4">
        <v>46053</v>
      </c>
      <c r="E2926" s="3" t="s">
        <v>68</v>
      </c>
      <c r="F2926" s="3" t="s">
        <v>154</v>
      </c>
      <c r="G2926" s="5">
        <v>1E-3</v>
      </c>
      <c r="H2926" s="6" t="s">
        <v>55</v>
      </c>
      <c r="I2926" s="3" t="s">
        <v>45</v>
      </c>
    </row>
    <row r="2927" spans="1:9" ht="48" customHeight="1">
      <c r="A2927" s="3" t="s">
        <v>40</v>
      </c>
      <c r="B2927" s="3" t="s">
        <v>39</v>
      </c>
      <c r="C2927" s="4">
        <v>46023</v>
      </c>
      <c r="D2927" s="4">
        <v>46053</v>
      </c>
      <c r="E2927" s="3" t="s">
        <v>68</v>
      </c>
      <c r="F2927" s="3" t="s">
        <v>157</v>
      </c>
      <c r="G2927" s="5">
        <v>0</v>
      </c>
      <c r="H2927" s="6" t="s">
        <v>55</v>
      </c>
      <c r="I2927" s="3" t="s">
        <v>45</v>
      </c>
    </row>
    <row r="2928" spans="1:9" ht="48" customHeight="1">
      <c r="A2928" s="3" t="s">
        <v>40</v>
      </c>
      <c r="B2928" s="3" t="s">
        <v>39</v>
      </c>
      <c r="C2928" s="4">
        <v>46023</v>
      </c>
      <c r="D2928" s="4">
        <v>46053</v>
      </c>
      <c r="E2928" s="3" t="s">
        <v>68</v>
      </c>
      <c r="F2928" s="3" t="s">
        <v>159</v>
      </c>
      <c r="G2928" s="5">
        <v>0</v>
      </c>
      <c r="H2928" s="6" t="s">
        <v>55</v>
      </c>
      <c r="I2928" s="3" t="s">
        <v>45</v>
      </c>
    </row>
    <row r="2929" spans="1:9" ht="48" customHeight="1">
      <c r="A2929" s="3" t="s">
        <v>40</v>
      </c>
      <c r="B2929" s="3" t="s">
        <v>39</v>
      </c>
      <c r="C2929" s="4">
        <v>46023</v>
      </c>
      <c r="D2929" s="4">
        <v>46053</v>
      </c>
      <c r="E2929" s="3" t="s">
        <v>68</v>
      </c>
      <c r="F2929" s="3" t="s">
        <v>160</v>
      </c>
      <c r="G2929" s="5">
        <v>0</v>
      </c>
      <c r="H2929" s="6" t="s">
        <v>55</v>
      </c>
      <c r="I2929" s="3" t="s">
        <v>45</v>
      </c>
    </row>
    <row r="2930" spans="1:9" ht="48" customHeight="1">
      <c r="A2930" s="3" t="s">
        <v>40</v>
      </c>
      <c r="B2930" s="3" t="s">
        <v>39</v>
      </c>
      <c r="C2930" s="4">
        <v>46023</v>
      </c>
      <c r="D2930" s="4">
        <v>46053</v>
      </c>
      <c r="E2930" s="3" t="s">
        <v>68</v>
      </c>
      <c r="F2930" s="3" t="s">
        <v>156</v>
      </c>
      <c r="G2930" s="5">
        <v>0</v>
      </c>
      <c r="H2930" s="6" t="s">
        <v>55</v>
      </c>
      <c r="I2930" s="3" t="s">
        <v>45</v>
      </c>
    </row>
    <row r="2931" spans="1:9" ht="48" customHeight="1">
      <c r="A2931" s="3" t="s">
        <v>40</v>
      </c>
      <c r="B2931" s="3" t="s">
        <v>39</v>
      </c>
      <c r="C2931" s="4">
        <v>46023</v>
      </c>
      <c r="D2931" s="4">
        <v>46053</v>
      </c>
      <c r="E2931" s="3" t="s">
        <v>68</v>
      </c>
      <c r="F2931" s="3" t="s">
        <v>158</v>
      </c>
      <c r="G2931" s="5">
        <v>0</v>
      </c>
      <c r="H2931" s="6" t="s">
        <v>55</v>
      </c>
      <c r="I2931" s="3" t="s">
        <v>45</v>
      </c>
    </row>
    <row r="2932" spans="1:9" ht="48" customHeight="1">
      <c r="A2932" s="3" t="s">
        <v>40</v>
      </c>
      <c r="B2932" s="3" t="s">
        <v>39</v>
      </c>
      <c r="C2932" s="4">
        <v>46023</v>
      </c>
      <c r="D2932" s="4">
        <v>46053</v>
      </c>
      <c r="E2932" s="3" t="s">
        <v>68</v>
      </c>
      <c r="F2932" s="3" t="s">
        <v>153</v>
      </c>
      <c r="G2932" s="5">
        <v>0</v>
      </c>
      <c r="H2932" s="6" t="s">
        <v>55</v>
      </c>
      <c r="I2932" s="3" t="s">
        <v>45</v>
      </c>
    </row>
    <row r="2933" spans="1:9" ht="48" customHeight="1">
      <c r="A2933" s="3" t="s">
        <v>40</v>
      </c>
      <c r="B2933" s="3" t="s">
        <v>39</v>
      </c>
      <c r="C2933" s="4">
        <v>46023</v>
      </c>
      <c r="D2933" s="4">
        <v>46053</v>
      </c>
      <c r="E2933" s="3" t="s">
        <v>364</v>
      </c>
      <c r="F2933" s="3" t="s">
        <v>366</v>
      </c>
      <c r="G2933" s="5">
        <v>4.0000000000000001E-3</v>
      </c>
      <c r="H2933" s="6" t="s">
        <v>55</v>
      </c>
      <c r="I2933" s="3" t="s">
        <v>45</v>
      </c>
    </row>
    <row r="2934" spans="1:9" ht="48" customHeight="1">
      <c r="A2934" s="3" t="s">
        <v>40</v>
      </c>
      <c r="B2934" s="3" t="s">
        <v>39</v>
      </c>
      <c r="C2934" s="4">
        <v>46023</v>
      </c>
      <c r="D2934" s="4">
        <v>46053</v>
      </c>
      <c r="E2934" s="3" t="s">
        <v>364</v>
      </c>
      <c r="F2934" s="3" t="s">
        <v>234</v>
      </c>
      <c r="G2934" s="5">
        <v>3.0000000000000001E-3</v>
      </c>
      <c r="H2934" s="6" t="s">
        <v>55</v>
      </c>
      <c r="I2934" s="3" t="s">
        <v>45</v>
      </c>
    </row>
    <row r="2935" spans="1:9" ht="48" customHeight="1">
      <c r="A2935" s="3" t="s">
        <v>40</v>
      </c>
      <c r="B2935" s="3" t="s">
        <v>39</v>
      </c>
      <c r="C2935" s="4">
        <v>46023</v>
      </c>
      <c r="D2935" s="4">
        <v>46053</v>
      </c>
      <c r="E2935" s="3" t="s">
        <v>364</v>
      </c>
      <c r="F2935" s="3" t="s">
        <v>262</v>
      </c>
      <c r="G2935" s="5">
        <v>3.0000000000000001E-3</v>
      </c>
      <c r="H2935" s="6" t="s">
        <v>55</v>
      </c>
      <c r="I2935" s="3" t="s">
        <v>45</v>
      </c>
    </row>
    <row r="2936" spans="1:9" ht="48" customHeight="1">
      <c r="A2936" s="3" t="s">
        <v>40</v>
      </c>
      <c r="B2936" s="3" t="s">
        <v>39</v>
      </c>
      <c r="C2936" s="4">
        <v>46023</v>
      </c>
      <c r="D2936" s="4">
        <v>46053</v>
      </c>
      <c r="E2936" s="3" t="s">
        <v>364</v>
      </c>
      <c r="F2936" s="3" t="s">
        <v>365</v>
      </c>
      <c r="G2936" s="5">
        <v>3.0000000000000001E-3</v>
      </c>
      <c r="H2936" s="6" t="s">
        <v>55</v>
      </c>
      <c r="I2936" s="3" t="s">
        <v>45</v>
      </c>
    </row>
    <row r="2937" spans="1:9" ht="48" customHeight="1">
      <c r="A2937" s="3" t="s">
        <v>40</v>
      </c>
      <c r="B2937" s="3" t="s">
        <v>39</v>
      </c>
      <c r="C2937" s="4">
        <v>46023</v>
      </c>
      <c r="D2937" s="4">
        <v>46053</v>
      </c>
      <c r="E2937" s="3" t="s">
        <v>364</v>
      </c>
      <c r="F2937" s="3" t="s">
        <v>367</v>
      </c>
      <c r="G2937" s="5">
        <v>2E-3</v>
      </c>
      <c r="H2937" s="6" t="s">
        <v>55</v>
      </c>
      <c r="I2937" s="3" t="s">
        <v>45</v>
      </c>
    </row>
    <row r="2938" spans="1:9" ht="48" customHeight="1">
      <c r="A2938" s="3" t="s">
        <v>40</v>
      </c>
      <c r="B2938" s="3" t="s">
        <v>39</v>
      </c>
      <c r="C2938" s="4">
        <v>46023</v>
      </c>
      <c r="D2938" s="4">
        <v>46053</v>
      </c>
      <c r="E2938" s="3" t="s">
        <v>364</v>
      </c>
      <c r="F2938" s="3" t="s">
        <v>230</v>
      </c>
      <c r="G2938" s="5">
        <v>1E-3</v>
      </c>
      <c r="H2938" s="6" t="s">
        <v>55</v>
      </c>
      <c r="I2938" s="3" t="s">
        <v>45</v>
      </c>
    </row>
    <row r="2939" spans="1:9" ht="48" customHeight="1">
      <c r="A2939" s="3" t="s">
        <v>40</v>
      </c>
      <c r="B2939" s="3" t="s">
        <v>39</v>
      </c>
      <c r="C2939" s="4">
        <v>46023</v>
      </c>
      <c r="D2939" s="4">
        <v>46053</v>
      </c>
      <c r="E2939" s="3" t="s">
        <v>364</v>
      </c>
      <c r="F2939" s="3" t="s">
        <v>232</v>
      </c>
      <c r="G2939" s="5">
        <v>1E-3</v>
      </c>
      <c r="H2939" s="6" t="s">
        <v>55</v>
      </c>
      <c r="I2939" s="3" t="s">
        <v>45</v>
      </c>
    </row>
    <row r="2940" spans="1:9" ht="48" customHeight="1">
      <c r="A2940" s="3" t="s">
        <v>40</v>
      </c>
      <c r="B2940" s="3" t="s">
        <v>39</v>
      </c>
      <c r="C2940" s="4">
        <v>46023</v>
      </c>
      <c r="D2940" s="4">
        <v>46053</v>
      </c>
      <c r="E2940" s="3" t="s">
        <v>364</v>
      </c>
      <c r="F2940" s="3" t="s">
        <v>265</v>
      </c>
      <c r="G2940" s="5">
        <v>1E-3</v>
      </c>
      <c r="H2940" s="6" t="s">
        <v>55</v>
      </c>
      <c r="I2940" s="3" t="s">
        <v>45</v>
      </c>
    </row>
    <row r="2941" spans="1:9" ht="48" customHeight="1">
      <c r="A2941" s="3" t="s">
        <v>40</v>
      </c>
      <c r="B2941" s="3" t="s">
        <v>39</v>
      </c>
      <c r="C2941" s="4">
        <v>46023</v>
      </c>
      <c r="D2941" s="4">
        <v>46053</v>
      </c>
      <c r="E2941" s="3" t="s">
        <v>364</v>
      </c>
      <c r="F2941" s="3" t="s">
        <v>79</v>
      </c>
      <c r="G2941" s="5">
        <v>0</v>
      </c>
      <c r="H2941" s="6" t="s">
        <v>55</v>
      </c>
      <c r="I2941" s="3" t="s">
        <v>45</v>
      </c>
    </row>
    <row r="2942" spans="1:9" ht="48" customHeight="1">
      <c r="A2942" s="3" t="s">
        <v>40</v>
      </c>
      <c r="B2942" s="3" t="s">
        <v>39</v>
      </c>
      <c r="C2942" s="4">
        <v>46023</v>
      </c>
      <c r="D2942" s="4">
        <v>46053</v>
      </c>
      <c r="E2942" s="3" t="s">
        <v>368</v>
      </c>
      <c r="F2942" s="3" t="s">
        <v>373</v>
      </c>
      <c r="G2942" s="5">
        <v>2E-3</v>
      </c>
      <c r="H2942" s="6" t="s">
        <v>55</v>
      </c>
      <c r="I2942" s="3" t="s">
        <v>45</v>
      </c>
    </row>
    <row r="2943" spans="1:9" ht="48" customHeight="1">
      <c r="A2943" s="3" t="s">
        <v>40</v>
      </c>
      <c r="B2943" s="3" t="s">
        <v>39</v>
      </c>
      <c r="C2943" s="4">
        <v>46023</v>
      </c>
      <c r="D2943" s="4">
        <v>46053</v>
      </c>
      <c r="E2943" s="3" t="s">
        <v>368</v>
      </c>
      <c r="F2943" s="3" t="s">
        <v>370</v>
      </c>
      <c r="G2943" s="5">
        <v>2E-3</v>
      </c>
      <c r="H2943" s="6" t="s">
        <v>55</v>
      </c>
      <c r="I2943" s="3" t="s">
        <v>45</v>
      </c>
    </row>
    <row r="2944" spans="1:9" ht="48" customHeight="1">
      <c r="A2944" s="3" t="s">
        <v>40</v>
      </c>
      <c r="B2944" s="3" t="s">
        <v>39</v>
      </c>
      <c r="C2944" s="4">
        <v>46023</v>
      </c>
      <c r="D2944" s="4">
        <v>46053</v>
      </c>
      <c r="E2944" s="3" t="s">
        <v>368</v>
      </c>
      <c r="F2944" s="3" t="s">
        <v>372</v>
      </c>
      <c r="G2944" s="5">
        <v>1E-3</v>
      </c>
      <c r="H2944" s="6" t="s">
        <v>55</v>
      </c>
      <c r="I2944" s="3" t="s">
        <v>45</v>
      </c>
    </row>
    <row r="2945" spans="1:9" ht="48" customHeight="1">
      <c r="A2945" s="3" t="s">
        <v>40</v>
      </c>
      <c r="B2945" s="3" t="s">
        <v>39</v>
      </c>
      <c r="C2945" s="4">
        <v>46023</v>
      </c>
      <c r="D2945" s="4">
        <v>46053</v>
      </c>
      <c r="E2945" s="3" t="s">
        <v>368</v>
      </c>
      <c r="F2945" s="3" t="s">
        <v>369</v>
      </c>
      <c r="G2945" s="5">
        <v>1E-3</v>
      </c>
      <c r="H2945" s="6" t="s">
        <v>55</v>
      </c>
      <c r="I2945" s="3" t="s">
        <v>45</v>
      </c>
    </row>
    <row r="2946" spans="1:9" ht="48" customHeight="1">
      <c r="A2946" s="3" t="s">
        <v>40</v>
      </c>
      <c r="B2946" s="3" t="s">
        <v>39</v>
      </c>
      <c r="C2946" s="4">
        <v>46023</v>
      </c>
      <c r="D2946" s="4">
        <v>46053</v>
      </c>
      <c r="E2946" s="3" t="s">
        <v>368</v>
      </c>
      <c r="F2946" s="3" t="s">
        <v>265</v>
      </c>
      <c r="G2946" s="5">
        <v>1E-3</v>
      </c>
      <c r="H2946" s="6" t="s">
        <v>55</v>
      </c>
      <c r="I2946" s="3" t="s">
        <v>45</v>
      </c>
    </row>
    <row r="2947" spans="1:9" ht="48" customHeight="1">
      <c r="A2947" s="3" t="s">
        <v>40</v>
      </c>
      <c r="B2947" s="3" t="s">
        <v>39</v>
      </c>
      <c r="C2947" s="4">
        <v>46023</v>
      </c>
      <c r="D2947" s="4">
        <v>46053</v>
      </c>
      <c r="E2947" s="3" t="s">
        <v>368</v>
      </c>
      <c r="F2947" s="3" t="s">
        <v>262</v>
      </c>
      <c r="G2947" s="5">
        <v>1E-3</v>
      </c>
      <c r="H2947" s="6" t="s">
        <v>55</v>
      </c>
      <c r="I2947" s="3" t="s">
        <v>45</v>
      </c>
    </row>
    <row r="2948" spans="1:9" ht="48" customHeight="1">
      <c r="A2948" s="3" t="s">
        <v>40</v>
      </c>
      <c r="B2948" s="3" t="s">
        <v>39</v>
      </c>
      <c r="C2948" s="4">
        <v>46023</v>
      </c>
      <c r="D2948" s="4">
        <v>46053</v>
      </c>
      <c r="E2948" s="3" t="s">
        <v>368</v>
      </c>
      <c r="F2948" s="3" t="s">
        <v>371</v>
      </c>
      <c r="G2948" s="5">
        <v>1E-3</v>
      </c>
      <c r="H2948" s="6" t="s">
        <v>55</v>
      </c>
      <c r="I2948" s="3" t="s">
        <v>45</v>
      </c>
    </row>
    <row r="2949" spans="1:9" ht="48" customHeight="1">
      <c r="A2949" s="3" t="s">
        <v>40</v>
      </c>
      <c r="B2949" s="3" t="s">
        <v>39</v>
      </c>
      <c r="C2949" s="4">
        <v>46023</v>
      </c>
      <c r="D2949" s="4">
        <v>46053</v>
      </c>
      <c r="E2949" s="3" t="s">
        <v>368</v>
      </c>
      <c r="F2949" s="3" t="s">
        <v>374</v>
      </c>
      <c r="G2949" s="5">
        <v>1E-3</v>
      </c>
      <c r="H2949" s="6" t="s">
        <v>55</v>
      </c>
      <c r="I2949" s="3" t="s">
        <v>45</v>
      </c>
    </row>
    <row r="2950" spans="1:9" ht="48" customHeight="1">
      <c r="A2950" s="3" t="s">
        <v>40</v>
      </c>
      <c r="B2950" s="3" t="s">
        <v>39</v>
      </c>
      <c r="C2950" s="4">
        <v>46023</v>
      </c>
      <c r="D2950" s="4">
        <v>46053</v>
      </c>
      <c r="E2950" s="3" t="s">
        <v>368</v>
      </c>
      <c r="F2950" s="3" t="s">
        <v>207</v>
      </c>
      <c r="G2950" s="5">
        <v>1E-3</v>
      </c>
      <c r="H2950" s="6" t="s">
        <v>55</v>
      </c>
      <c r="I2950" s="3" t="s">
        <v>45</v>
      </c>
    </row>
    <row r="2951" spans="1:9" ht="48" customHeight="1">
      <c r="A2951" s="3" t="s">
        <v>40</v>
      </c>
      <c r="B2951" s="3" t="s">
        <v>39</v>
      </c>
      <c r="C2951" s="4">
        <v>46023</v>
      </c>
      <c r="D2951" s="4">
        <v>46053</v>
      </c>
      <c r="E2951" s="3" t="s">
        <v>368</v>
      </c>
      <c r="F2951" s="3" t="s">
        <v>375</v>
      </c>
      <c r="G2951" s="5">
        <v>1E-3</v>
      </c>
      <c r="H2951" s="6" t="s">
        <v>55</v>
      </c>
      <c r="I2951" s="3" t="s">
        <v>45</v>
      </c>
    </row>
    <row r="2952" spans="1:9" ht="48" customHeight="1">
      <c r="A2952" s="3" t="s">
        <v>40</v>
      </c>
      <c r="B2952" s="3" t="s">
        <v>39</v>
      </c>
      <c r="C2952" s="4">
        <v>46023</v>
      </c>
      <c r="D2952" s="4">
        <v>46053</v>
      </c>
      <c r="E2952" s="3" t="s">
        <v>368</v>
      </c>
      <c r="F2952" s="3" t="s">
        <v>376</v>
      </c>
      <c r="G2952" s="5">
        <v>1E-3</v>
      </c>
      <c r="H2952" s="6" t="s">
        <v>55</v>
      </c>
      <c r="I2952" s="3" t="s">
        <v>45</v>
      </c>
    </row>
    <row r="2953" spans="1:9" ht="48" customHeight="1">
      <c r="A2953" s="3" t="s">
        <v>40</v>
      </c>
      <c r="B2953" s="3" t="s">
        <v>39</v>
      </c>
      <c r="C2953" s="4">
        <v>46023</v>
      </c>
      <c r="D2953" s="4">
        <v>46053</v>
      </c>
      <c r="E2953" s="3" t="s">
        <v>368</v>
      </c>
      <c r="F2953" s="3" t="s">
        <v>377</v>
      </c>
      <c r="G2953" s="5">
        <v>1E-3</v>
      </c>
      <c r="H2953" s="6" t="s">
        <v>55</v>
      </c>
      <c r="I2953" s="3" t="s">
        <v>45</v>
      </c>
    </row>
    <row r="2954" spans="1:9" ht="48" customHeight="1">
      <c r="A2954" s="3" t="s">
        <v>40</v>
      </c>
      <c r="B2954" s="3" t="s">
        <v>39</v>
      </c>
      <c r="C2954" s="4">
        <v>46023</v>
      </c>
      <c r="D2954" s="4">
        <v>46053</v>
      </c>
      <c r="E2954" s="3" t="s">
        <v>368</v>
      </c>
      <c r="F2954" s="3" t="s">
        <v>378</v>
      </c>
      <c r="G2954" s="5">
        <v>1E-3</v>
      </c>
      <c r="H2954" s="6" t="s">
        <v>55</v>
      </c>
      <c r="I2954" s="3" t="s">
        <v>45</v>
      </c>
    </row>
    <row r="2955" spans="1:9" ht="48" customHeight="1">
      <c r="A2955" s="3" t="s">
        <v>40</v>
      </c>
      <c r="B2955" s="3" t="s">
        <v>39</v>
      </c>
      <c r="C2955" s="4">
        <v>46023</v>
      </c>
      <c r="D2955" s="4">
        <v>46053</v>
      </c>
      <c r="E2955" s="3" t="s">
        <v>368</v>
      </c>
      <c r="F2955" s="3" t="s">
        <v>230</v>
      </c>
      <c r="G2955" s="5">
        <v>0</v>
      </c>
      <c r="H2955" s="6" t="s">
        <v>55</v>
      </c>
      <c r="I2955" s="3" t="s">
        <v>45</v>
      </c>
    </row>
    <row r="2956" spans="1:9" ht="48" customHeight="1">
      <c r="A2956" s="3" t="s">
        <v>40</v>
      </c>
      <c r="B2956" s="3" t="s">
        <v>39</v>
      </c>
      <c r="C2956" s="4">
        <v>46023</v>
      </c>
      <c r="D2956" s="4">
        <v>46053</v>
      </c>
      <c r="E2956" s="3" t="s">
        <v>368</v>
      </c>
      <c r="F2956" s="3" t="s">
        <v>232</v>
      </c>
      <c r="G2956" s="5">
        <v>0</v>
      </c>
      <c r="H2956" s="6" t="s">
        <v>55</v>
      </c>
      <c r="I2956" s="3" t="s">
        <v>45</v>
      </c>
    </row>
    <row r="2957" spans="1:9" ht="48" customHeight="1">
      <c r="A2957" s="3" t="s">
        <v>40</v>
      </c>
      <c r="B2957" s="3" t="s">
        <v>39</v>
      </c>
      <c r="C2957" s="4">
        <v>46023</v>
      </c>
      <c r="D2957" s="4">
        <v>46053</v>
      </c>
      <c r="E2957" s="3" t="s">
        <v>368</v>
      </c>
      <c r="F2957" s="3" t="s">
        <v>234</v>
      </c>
      <c r="G2957" s="5">
        <v>0</v>
      </c>
      <c r="H2957" s="6" t="s">
        <v>55</v>
      </c>
      <c r="I2957" s="3" t="s">
        <v>45</v>
      </c>
    </row>
    <row r="2958" spans="1:9" ht="48" customHeight="1">
      <c r="A2958" s="3" t="s">
        <v>40</v>
      </c>
      <c r="B2958" s="3" t="s">
        <v>39</v>
      </c>
      <c r="C2958" s="4">
        <v>46023</v>
      </c>
      <c r="D2958" s="4">
        <v>46053</v>
      </c>
      <c r="E2958" s="3" t="s">
        <v>231</v>
      </c>
      <c r="F2958" s="3" t="s">
        <v>232</v>
      </c>
      <c r="G2958" s="5">
        <v>5.0000000000000001E-3</v>
      </c>
      <c r="H2958" s="6" t="s">
        <v>55</v>
      </c>
      <c r="I2958" s="3" t="s">
        <v>45</v>
      </c>
    </row>
    <row r="2959" spans="1:9" ht="48" customHeight="1">
      <c r="A2959" s="3" t="s">
        <v>40</v>
      </c>
      <c r="B2959" s="3" t="s">
        <v>39</v>
      </c>
      <c r="C2959" s="4">
        <v>46023</v>
      </c>
      <c r="D2959" s="4">
        <v>46053</v>
      </c>
      <c r="E2959" s="3" t="s">
        <v>231</v>
      </c>
      <c r="F2959" s="3" t="s">
        <v>233</v>
      </c>
      <c r="G2959" s="5">
        <v>4.0000000000000001E-3</v>
      </c>
      <c r="H2959" s="6" t="s">
        <v>55</v>
      </c>
      <c r="I2959" s="3" t="s">
        <v>45</v>
      </c>
    </row>
    <row r="2960" spans="1:9" ht="48" customHeight="1">
      <c r="A2960" s="3" t="s">
        <v>40</v>
      </c>
      <c r="B2960" s="3" t="s">
        <v>39</v>
      </c>
      <c r="C2960" s="4">
        <v>46023</v>
      </c>
      <c r="D2960" s="4">
        <v>46053</v>
      </c>
      <c r="E2960" s="3" t="s">
        <v>231</v>
      </c>
      <c r="F2960" s="3" t="s">
        <v>234</v>
      </c>
      <c r="G2960" s="5">
        <v>2E-3</v>
      </c>
      <c r="H2960" s="6" t="s">
        <v>55</v>
      </c>
      <c r="I2960" s="3" t="s">
        <v>45</v>
      </c>
    </row>
    <row r="2961" spans="1:9" ht="48" customHeight="1">
      <c r="A2961" s="3" t="s">
        <v>40</v>
      </c>
      <c r="B2961" s="3" t="s">
        <v>39</v>
      </c>
      <c r="C2961" s="4">
        <v>46023</v>
      </c>
      <c r="D2961" s="4">
        <v>46053</v>
      </c>
      <c r="E2961" s="3" t="s">
        <v>231</v>
      </c>
      <c r="F2961" s="3" t="s">
        <v>230</v>
      </c>
      <c r="G2961" s="5">
        <v>2E-3</v>
      </c>
      <c r="H2961" s="6" t="s">
        <v>55</v>
      </c>
      <c r="I2961" s="3" t="s">
        <v>45</v>
      </c>
    </row>
    <row r="2962" spans="1:9" ht="48" customHeight="1">
      <c r="A2962" s="3" t="s">
        <v>40</v>
      </c>
      <c r="B2962" s="3" t="s">
        <v>39</v>
      </c>
      <c r="C2962" s="4">
        <v>46023</v>
      </c>
      <c r="D2962" s="4">
        <v>46053</v>
      </c>
      <c r="E2962" s="3" t="s">
        <v>231</v>
      </c>
      <c r="F2962" s="3" t="s">
        <v>235</v>
      </c>
      <c r="G2962" s="5">
        <v>2E-3</v>
      </c>
      <c r="H2962" s="6" t="s">
        <v>55</v>
      </c>
      <c r="I2962" s="3" t="s">
        <v>45</v>
      </c>
    </row>
    <row r="2963" spans="1:9" ht="48" customHeight="1">
      <c r="A2963" s="3" t="s">
        <v>40</v>
      </c>
      <c r="B2963" s="3" t="s">
        <v>39</v>
      </c>
      <c r="C2963" s="4">
        <v>46023</v>
      </c>
      <c r="D2963" s="4">
        <v>46053</v>
      </c>
      <c r="E2963" s="3" t="s">
        <v>302</v>
      </c>
      <c r="F2963" s="3" t="s">
        <v>307</v>
      </c>
      <c r="G2963" s="5">
        <v>2E-3</v>
      </c>
      <c r="H2963" s="6" t="s">
        <v>55</v>
      </c>
      <c r="I2963" s="3" t="s">
        <v>45</v>
      </c>
    </row>
    <row r="2964" spans="1:9" ht="48" customHeight="1">
      <c r="A2964" s="3" t="s">
        <v>40</v>
      </c>
      <c r="B2964" s="3" t="s">
        <v>39</v>
      </c>
      <c r="C2964" s="4">
        <v>46023</v>
      </c>
      <c r="D2964" s="4">
        <v>46053</v>
      </c>
      <c r="E2964" s="3" t="s">
        <v>302</v>
      </c>
      <c r="F2964" s="3" t="s">
        <v>309</v>
      </c>
      <c r="G2964" s="5">
        <v>2E-3</v>
      </c>
      <c r="H2964" s="6" t="s">
        <v>55</v>
      </c>
      <c r="I2964" s="3" t="s">
        <v>45</v>
      </c>
    </row>
    <row r="2965" spans="1:9" ht="48" customHeight="1">
      <c r="A2965" s="3" t="s">
        <v>40</v>
      </c>
      <c r="B2965" s="3" t="s">
        <v>39</v>
      </c>
      <c r="C2965" s="4">
        <v>46023</v>
      </c>
      <c r="D2965" s="4">
        <v>46053</v>
      </c>
      <c r="E2965" s="3" t="s">
        <v>302</v>
      </c>
      <c r="F2965" s="3" t="s">
        <v>303</v>
      </c>
      <c r="G2965" s="5">
        <v>1E-3</v>
      </c>
      <c r="H2965" s="6" t="s">
        <v>55</v>
      </c>
      <c r="I2965" s="3" t="s">
        <v>45</v>
      </c>
    </row>
    <row r="2966" spans="1:9" ht="48" customHeight="1">
      <c r="A2966" s="3" t="s">
        <v>40</v>
      </c>
      <c r="B2966" s="3" t="s">
        <v>39</v>
      </c>
      <c r="C2966" s="4">
        <v>46023</v>
      </c>
      <c r="D2966" s="4">
        <v>46053</v>
      </c>
      <c r="E2966" s="3" t="s">
        <v>302</v>
      </c>
      <c r="F2966" s="3" t="s">
        <v>304</v>
      </c>
      <c r="G2966" s="5">
        <v>1E-3</v>
      </c>
      <c r="H2966" s="6" t="s">
        <v>55</v>
      </c>
      <c r="I2966" s="3" t="s">
        <v>45</v>
      </c>
    </row>
    <row r="2967" spans="1:9" ht="48" customHeight="1">
      <c r="A2967" s="3" t="s">
        <v>40</v>
      </c>
      <c r="B2967" s="3" t="s">
        <v>39</v>
      </c>
      <c r="C2967" s="4">
        <v>46023</v>
      </c>
      <c r="D2967" s="4">
        <v>46053</v>
      </c>
      <c r="E2967" s="3" t="s">
        <v>302</v>
      </c>
      <c r="F2967" s="3" t="s">
        <v>310</v>
      </c>
      <c r="G2967" s="5">
        <v>1E-3</v>
      </c>
      <c r="H2967" s="6" t="s">
        <v>55</v>
      </c>
      <c r="I2967" s="3" t="s">
        <v>45</v>
      </c>
    </row>
    <row r="2968" spans="1:9" ht="48" customHeight="1">
      <c r="A2968" s="3" t="s">
        <v>40</v>
      </c>
      <c r="B2968" s="3" t="s">
        <v>39</v>
      </c>
      <c r="C2968" s="4">
        <v>46023</v>
      </c>
      <c r="D2968" s="4">
        <v>46053</v>
      </c>
      <c r="E2968" s="3" t="s">
        <v>302</v>
      </c>
      <c r="F2968" s="3" t="s">
        <v>305</v>
      </c>
      <c r="G2968" s="5">
        <v>1E-3</v>
      </c>
      <c r="H2968" s="6" t="s">
        <v>55</v>
      </c>
      <c r="I2968" s="3" t="s">
        <v>45</v>
      </c>
    </row>
    <row r="2969" spans="1:9" ht="48" customHeight="1">
      <c r="A2969" s="3" t="s">
        <v>40</v>
      </c>
      <c r="B2969" s="3" t="s">
        <v>39</v>
      </c>
      <c r="C2969" s="4">
        <v>46023</v>
      </c>
      <c r="D2969" s="4">
        <v>46053</v>
      </c>
      <c r="E2969" s="3" t="s">
        <v>302</v>
      </c>
      <c r="F2969" s="3" t="s">
        <v>306</v>
      </c>
      <c r="G2969" s="5">
        <v>1E-3</v>
      </c>
      <c r="H2969" s="6" t="s">
        <v>55</v>
      </c>
      <c r="I2969" s="3" t="s">
        <v>45</v>
      </c>
    </row>
    <row r="2970" spans="1:9" ht="48" customHeight="1">
      <c r="A2970" s="3" t="s">
        <v>40</v>
      </c>
      <c r="B2970" s="3" t="s">
        <v>39</v>
      </c>
      <c r="C2970" s="4">
        <v>46023</v>
      </c>
      <c r="D2970" s="4">
        <v>46053</v>
      </c>
      <c r="E2970" s="3" t="s">
        <v>302</v>
      </c>
      <c r="F2970" s="3" t="s">
        <v>308</v>
      </c>
      <c r="G2970" s="5">
        <v>1E-3</v>
      </c>
      <c r="H2970" s="6" t="s">
        <v>55</v>
      </c>
      <c r="I2970" s="3" t="s">
        <v>45</v>
      </c>
    </row>
    <row r="2971" spans="1:9" ht="48" customHeight="1">
      <c r="A2971" s="3" t="s">
        <v>40</v>
      </c>
      <c r="B2971" s="3" t="s">
        <v>39</v>
      </c>
      <c r="C2971" s="4">
        <v>46023</v>
      </c>
      <c r="D2971" s="4">
        <v>46053</v>
      </c>
      <c r="E2971" s="3" t="s">
        <v>302</v>
      </c>
      <c r="F2971" s="3" t="s">
        <v>311</v>
      </c>
      <c r="G2971" s="5">
        <v>0</v>
      </c>
      <c r="H2971" s="6" t="s">
        <v>55</v>
      </c>
      <c r="I2971" s="3" t="s">
        <v>45</v>
      </c>
    </row>
    <row r="2972" spans="1:9" ht="48" customHeight="1">
      <c r="A2972" s="3" t="s">
        <v>40</v>
      </c>
      <c r="B2972" s="3" t="s">
        <v>39</v>
      </c>
      <c r="C2972" s="4">
        <v>46023</v>
      </c>
      <c r="D2972" s="4">
        <v>46053</v>
      </c>
      <c r="E2972" s="3" t="s">
        <v>302</v>
      </c>
      <c r="F2972" s="3" t="s">
        <v>312</v>
      </c>
      <c r="G2972" s="5">
        <v>0</v>
      </c>
      <c r="H2972" s="6" t="s">
        <v>55</v>
      </c>
      <c r="I2972" s="3" t="s">
        <v>45</v>
      </c>
    </row>
    <row r="2973" spans="1:9" ht="48" customHeight="1">
      <c r="A2973" s="3" t="s">
        <v>40</v>
      </c>
      <c r="B2973" s="3" t="s">
        <v>39</v>
      </c>
      <c r="C2973" s="4">
        <v>46023</v>
      </c>
      <c r="D2973" s="4">
        <v>46053</v>
      </c>
      <c r="E2973" s="3" t="s">
        <v>302</v>
      </c>
      <c r="F2973" s="3" t="s">
        <v>313</v>
      </c>
      <c r="G2973" s="5">
        <v>0</v>
      </c>
      <c r="H2973" s="6" t="s">
        <v>55</v>
      </c>
      <c r="I2973" s="3" t="s">
        <v>45</v>
      </c>
    </row>
    <row r="2974" spans="1:9" ht="48" customHeight="1">
      <c r="A2974" s="3" t="s">
        <v>40</v>
      </c>
      <c r="B2974" s="3" t="s">
        <v>39</v>
      </c>
      <c r="C2974" s="4">
        <v>46023</v>
      </c>
      <c r="D2974" s="4">
        <v>46053</v>
      </c>
      <c r="E2974" s="3" t="s">
        <v>302</v>
      </c>
      <c r="F2974" s="3" t="s">
        <v>314</v>
      </c>
      <c r="G2974" s="5">
        <v>0</v>
      </c>
      <c r="H2974" s="6" t="s">
        <v>55</v>
      </c>
      <c r="I2974" s="3" t="s">
        <v>45</v>
      </c>
    </row>
    <row r="2975" spans="1:9" ht="48" customHeight="1">
      <c r="A2975" s="3" t="s">
        <v>40</v>
      </c>
      <c r="B2975" s="3" t="s">
        <v>39</v>
      </c>
      <c r="C2975" s="4">
        <v>46023</v>
      </c>
      <c r="D2975" s="4">
        <v>46053</v>
      </c>
      <c r="E2975" s="3" t="s">
        <v>302</v>
      </c>
      <c r="F2975" s="3" t="s">
        <v>315</v>
      </c>
      <c r="G2975" s="5">
        <v>0</v>
      </c>
      <c r="H2975" s="6" t="s">
        <v>55</v>
      </c>
      <c r="I2975" s="3" t="s">
        <v>45</v>
      </c>
    </row>
    <row r="2976" spans="1:9" ht="48" customHeight="1">
      <c r="A2976" s="3" t="s">
        <v>40</v>
      </c>
      <c r="B2976" s="3" t="s">
        <v>39</v>
      </c>
      <c r="C2976" s="4">
        <v>46023</v>
      </c>
      <c r="D2976" s="4">
        <v>46053</v>
      </c>
      <c r="E2976" s="3" t="s">
        <v>302</v>
      </c>
      <c r="F2976" s="3" t="s">
        <v>316</v>
      </c>
      <c r="G2976" s="5">
        <v>0</v>
      </c>
      <c r="H2976" s="6" t="s">
        <v>55</v>
      </c>
      <c r="I2976" s="3" t="s">
        <v>45</v>
      </c>
    </row>
    <row r="2977" spans="1:9" ht="48" customHeight="1">
      <c r="A2977" s="3" t="s">
        <v>40</v>
      </c>
      <c r="B2977" s="3" t="s">
        <v>39</v>
      </c>
      <c r="C2977" s="4">
        <v>46023</v>
      </c>
      <c r="D2977" s="4">
        <v>46053</v>
      </c>
      <c r="E2977" s="3" t="s">
        <v>302</v>
      </c>
      <c r="F2977" s="3" t="s">
        <v>317</v>
      </c>
      <c r="G2977" s="5">
        <v>0</v>
      </c>
      <c r="H2977" s="6" t="s">
        <v>55</v>
      </c>
      <c r="I2977" s="3" t="s">
        <v>45</v>
      </c>
    </row>
    <row r="2978" spans="1:9" ht="48" customHeight="1">
      <c r="A2978" s="3" t="s">
        <v>40</v>
      </c>
      <c r="B2978" s="3" t="s">
        <v>39</v>
      </c>
      <c r="C2978" s="4">
        <v>46023</v>
      </c>
      <c r="D2978" s="4">
        <v>46053</v>
      </c>
      <c r="E2978" s="3" t="s">
        <v>302</v>
      </c>
      <c r="F2978" s="3" t="s">
        <v>318</v>
      </c>
      <c r="G2978" s="5">
        <v>0</v>
      </c>
      <c r="H2978" s="6" t="s">
        <v>55</v>
      </c>
      <c r="I2978" s="3" t="s">
        <v>45</v>
      </c>
    </row>
    <row r="2979" spans="1:9" ht="48" customHeight="1">
      <c r="A2979" s="3" t="s">
        <v>40</v>
      </c>
      <c r="B2979" s="3" t="s">
        <v>39</v>
      </c>
      <c r="C2979" s="4">
        <v>46023</v>
      </c>
      <c r="D2979" s="4">
        <v>46053</v>
      </c>
      <c r="E2979" s="3" t="s">
        <v>302</v>
      </c>
      <c r="F2979" s="3" t="s">
        <v>319</v>
      </c>
      <c r="G2979" s="5">
        <v>0</v>
      </c>
      <c r="H2979" s="6" t="s">
        <v>55</v>
      </c>
      <c r="I2979" s="3" t="s">
        <v>45</v>
      </c>
    </row>
    <row r="2980" spans="1:9" ht="48" customHeight="1">
      <c r="A2980" s="3" t="s">
        <v>40</v>
      </c>
      <c r="B2980" s="3" t="s">
        <v>39</v>
      </c>
      <c r="C2980" s="4">
        <v>46023</v>
      </c>
      <c r="D2980" s="4">
        <v>46053</v>
      </c>
      <c r="E2980" s="3" t="s">
        <v>302</v>
      </c>
      <c r="F2980" s="3" t="s">
        <v>320</v>
      </c>
      <c r="G2980" s="5">
        <v>0</v>
      </c>
      <c r="H2980" s="6" t="s">
        <v>55</v>
      </c>
      <c r="I2980" s="3" t="s">
        <v>45</v>
      </c>
    </row>
    <row r="2981" spans="1:9" ht="48" customHeight="1">
      <c r="A2981" s="3" t="s">
        <v>40</v>
      </c>
      <c r="B2981" s="3" t="s">
        <v>39</v>
      </c>
      <c r="C2981" s="4">
        <v>46023</v>
      </c>
      <c r="D2981" s="4">
        <v>46053</v>
      </c>
      <c r="E2981" s="3" t="s">
        <v>302</v>
      </c>
      <c r="F2981" s="3" t="s">
        <v>321</v>
      </c>
      <c r="G2981" s="5">
        <v>0</v>
      </c>
      <c r="H2981" s="6" t="s">
        <v>55</v>
      </c>
      <c r="I2981" s="3" t="s">
        <v>45</v>
      </c>
    </row>
    <row r="2982" spans="1:9" ht="48" customHeight="1">
      <c r="A2982" s="3" t="s">
        <v>40</v>
      </c>
      <c r="B2982" s="3" t="s">
        <v>39</v>
      </c>
      <c r="C2982" s="4">
        <v>46023</v>
      </c>
      <c r="D2982" s="4">
        <v>46053</v>
      </c>
      <c r="E2982" s="3" t="s">
        <v>302</v>
      </c>
      <c r="F2982" s="3" t="s">
        <v>322</v>
      </c>
      <c r="G2982" s="5">
        <v>0</v>
      </c>
      <c r="H2982" s="6" t="s">
        <v>55</v>
      </c>
      <c r="I2982" s="3" t="s">
        <v>45</v>
      </c>
    </row>
    <row r="2983" spans="1:9" ht="48" customHeight="1">
      <c r="A2983" s="3" t="s">
        <v>40</v>
      </c>
      <c r="B2983" s="3" t="s">
        <v>39</v>
      </c>
      <c r="C2983" s="4">
        <v>46023</v>
      </c>
      <c r="D2983" s="4">
        <v>46053</v>
      </c>
      <c r="E2983" s="3" t="s">
        <v>302</v>
      </c>
      <c r="F2983" s="3" t="s">
        <v>323</v>
      </c>
      <c r="G2983" s="5">
        <v>0</v>
      </c>
      <c r="H2983" s="6" t="s">
        <v>55</v>
      </c>
      <c r="I2983" s="3" t="s">
        <v>45</v>
      </c>
    </row>
    <row r="2984" spans="1:9" ht="48" customHeight="1">
      <c r="A2984" s="3" t="s">
        <v>40</v>
      </c>
      <c r="B2984" s="3" t="s">
        <v>39</v>
      </c>
      <c r="C2984" s="4">
        <v>46023</v>
      </c>
      <c r="D2984" s="4">
        <v>46053</v>
      </c>
      <c r="E2984" s="3" t="s">
        <v>302</v>
      </c>
      <c r="F2984" s="3" t="s">
        <v>324</v>
      </c>
      <c r="G2984" s="5">
        <v>0</v>
      </c>
      <c r="H2984" s="6" t="s">
        <v>55</v>
      </c>
      <c r="I2984" s="3" t="s">
        <v>45</v>
      </c>
    </row>
    <row r="2985" spans="1:9" ht="48" customHeight="1">
      <c r="A2985" s="3" t="s">
        <v>40</v>
      </c>
      <c r="B2985" s="3" t="s">
        <v>39</v>
      </c>
      <c r="C2985" s="4">
        <v>46023</v>
      </c>
      <c r="D2985" s="4">
        <v>46053</v>
      </c>
      <c r="E2985" s="3" t="s">
        <v>260</v>
      </c>
      <c r="F2985" s="3" t="s">
        <v>232</v>
      </c>
      <c r="G2985" s="5">
        <v>1E-3</v>
      </c>
      <c r="H2985" s="6" t="s">
        <v>55</v>
      </c>
      <c r="I2985" s="3" t="s">
        <v>45</v>
      </c>
    </row>
    <row r="2986" spans="1:9" ht="48" customHeight="1">
      <c r="A2986" s="3" t="s">
        <v>40</v>
      </c>
      <c r="B2986" s="3" t="s">
        <v>39</v>
      </c>
      <c r="C2986" s="4">
        <v>46023</v>
      </c>
      <c r="D2986" s="4">
        <v>46053</v>
      </c>
      <c r="E2986" s="3" t="s">
        <v>260</v>
      </c>
      <c r="F2986" s="3" t="s">
        <v>265</v>
      </c>
      <c r="G2986" s="5">
        <v>1E-3</v>
      </c>
      <c r="H2986" s="6" t="s">
        <v>55</v>
      </c>
      <c r="I2986" s="3" t="s">
        <v>45</v>
      </c>
    </row>
    <row r="2987" spans="1:9" ht="48" customHeight="1">
      <c r="A2987" s="3" t="s">
        <v>40</v>
      </c>
      <c r="B2987" s="3" t="s">
        <v>39</v>
      </c>
      <c r="C2987" s="4">
        <v>46023</v>
      </c>
      <c r="D2987" s="4">
        <v>46053</v>
      </c>
      <c r="E2987" s="3" t="s">
        <v>260</v>
      </c>
      <c r="F2987" s="3" t="s">
        <v>262</v>
      </c>
      <c r="G2987" s="5">
        <v>1E-3</v>
      </c>
      <c r="H2987" s="6" t="s">
        <v>55</v>
      </c>
      <c r="I2987" s="3" t="s">
        <v>45</v>
      </c>
    </row>
    <row r="2988" spans="1:9" ht="48" customHeight="1">
      <c r="A2988" s="3" t="s">
        <v>40</v>
      </c>
      <c r="B2988" s="3" t="s">
        <v>39</v>
      </c>
      <c r="C2988" s="4">
        <v>46023</v>
      </c>
      <c r="D2988" s="4">
        <v>46053</v>
      </c>
      <c r="E2988" s="3" t="s">
        <v>260</v>
      </c>
      <c r="F2988" s="3" t="s">
        <v>261</v>
      </c>
      <c r="G2988" s="5">
        <v>1E-3</v>
      </c>
      <c r="H2988" s="6" t="s">
        <v>55</v>
      </c>
      <c r="I2988" s="3" t="s">
        <v>45</v>
      </c>
    </row>
    <row r="2989" spans="1:9" ht="48" customHeight="1">
      <c r="A2989" s="3" t="s">
        <v>40</v>
      </c>
      <c r="B2989" s="3" t="s">
        <v>39</v>
      </c>
      <c r="C2989" s="4">
        <v>46023</v>
      </c>
      <c r="D2989" s="4">
        <v>46053</v>
      </c>
      <c r="E2989" s="3" t="s">
        <v>260</v>
      </c>
      <c r="F2989" s="3" t="s">
        <v>266</v>
      </c>
      <c r="G2989" s="5">
        <v>1E-3</v>
      </c>
      <c r="H2989" s="6" t="s">
        <v>55</v>
      </c>
      <c r="I2989" s="3" t="s">
        <v>45</v>
      </c>
    </row>
    <row r="2990" spans="1:9" ht="48" customHeight="1">
      <c r="A2990" s="3" t="s">
        <v>40</v>
      </c>
      <c r="B2990" s="3" t="s">
        <v>39</v>
      </c>
      <c r="C2990" s="4">
        <v>46023</v>
      </c>
      <c r="D2990" s="4">
        <v>46053</v>
      </c>
      <c r="E2990" s="3" t="s">
        <v>260</v>
      </c>
      <c r="F2990" s="3" t="s">
        <v>264</v>
      </c>
      <c r="G2990" s="5">
        <v>1E-3</v>
      </c>
      <c r="H2990" s="6" t="s">
        <v>55</v>
      </c>
      <c r="I2990" s="3" t="s">
        <v>45</v>
      </c>
    </row>
    <row r="2991" spans="1:9" ht="48" customHeight="1">
      <c r="A2991" s="3" t="s">
        <v>40</v>
      </c>
      <c r="B2991" s="3" t="s">
        <v>39</v>
      </c>
      <c r="C2991" s="4">
        <v>46023</v>
      </c>
      <c r="D2991" s="4">
        <v>46053</v>
      </c>
      <c r="E2991" s="3" t="s">
        <v>260</v>
      </c>
      <c r="F2991" s="3" t="s">
        <v>267</v>
      </c>
      <c r="G2991" s="5">
        <v>1E-3</v>
      </c>
      <c r="H2991" s="6" t="s">
        <v>55</v>
      </c>
      <c r="I2991" s="3" t="s">
        <v>45</v>
      </c>
    </row>
    <row r="2992" spans="1:9" ht="48" customHeight="1">
      <c r="A2992" s="3" t="s">
        <v>40</v>
      </c>
      <c r="B2992" s="3" t="s">
        <v>39</v>
      </c>
      <c r="C2992" s="4">
        <v>46023</v>
      </c>
      <c r="D2992" s="4">
        <v>46053</v>
      </c>
      <c r="E2992" s="3" t="s">
        <v>260</v>
      </c>
      <c r="F2992" s="3" t="s">
        <v>268</v>
      </c>
      <c r="G2992" s="5">
        <v>1E-3</v>
      </c>
      <c r="H2992" s="6" t="s">
        <v>55</v>
      </c>
      <c r="I2992" s="3" t="s">
        <v>45</v>
      </c>
    </row>
    <row r="2993" spans="1:9" ht="48" customHeight="1">
      <c r="A2993" s="3" t="s">
        <v>40</v>
      </c>
      <c r="B2993" s="3" t="s">
        <v>39</v>
      </c>
      <c r="C2993" s="4">
        <v>46023</v>
      </c>
      <c r="D2993" s="4">
        <v>46053</v>
      </c>
      <c r="E2993" s="3" t="s">
        <v>260</v>
      </c>
      <c r="F2993" s="3" t="s">
        <v>271</v>
      </c>
      <c r="G2993" s="5">
        <v>1E-3</v>
      </c>
      <c r="H2993" s="6" t="s">
        <v>55</v>
      </c>
      <c r="I2993" s="3" t="s">
        <v>45</v>
      </c>
    </row>
    <row r="2994" spans="1:9" ht="48" customHeight="1">
      <c r="A2994" s="3" t="s">
        <v>40</v>
      </c>
      <c r="B2994" s="3" t="s">
        <v>39</v>
      </c>
      <c r="C2994" s="4">
        <v>46023</v>
      </c>
      <c r="D2994" s="4">
        <v>46053</v>
      </c>
      <c r="E2994" s="3" t="s">
        <v>260</v>
      </c>
      <c r="F2994" s="3" t="s">
        <v>234</v>
      </c>
      <c r="G2994" s="5">
        <v>0</v>
      </c>
      <c r="H2994" s="6" t="s">
        <v>55</v>
      </c>
      <c r="I2994" s="3" t="s">
        <v>45</v>
      </c>
    </row>
    <row r="2995" spans="1:9" ht="48" customHeight="1">
      <c r="A2995" s="3" t="s">
        <v>40</v>
      </c>
      <c r="B2995" s="3" t="s">
        <v>39</v>
      </c>
      <c r="C2995" s="4">
        <v>46023</v>
      </c>
      <c r="D2995" s="4">
        <v>46053</v>
      </c>
      <c r="E2995" s="3" t="s">
        <v>260</v>
      </c>
      <c r="F2995" s="3" t="s">
        <v>263</v>
      </c>
      <c r="G2995" s="5">
        <v>0</v>
      </c>
      <c r="H2995" s="6" t="s">
        <v>55</v>
      </c>
      <c r="I2995" s="3" t="s">
        <v>45</v>
      </c>
    </row>
    <row r="2996" spans="1:9" ht="48" customHeight="1">
      <c r="A2996" s="3" t="s">
        <v>40</v>
      </c>
      <c r="B2996" s="3" t="s">
        <v>39</v>
      </c>
      <c r="C2996" s="4">
        <v>46023</v>
      </c>
      <c r="D2996" s="4">
        <v>46053</v>
      </c>
      <c r="E2996" s="3" t="s">
        <v>260</v>
      </c>
      <c r="F2996" s="3" t="s">
        <v>273</v>
      </c>
      <c r="G2996" s="5">
        <v>0</v>
      </c>
      <c r="H2996" s="6" t="s">
        <v>55</v>
      </c>
      <c r="I2996" s="3" t="s">
        <v>45</v>
      </c>
    </row>
    <row r="2997" spans="1:9" ht="48" customHeight="1">
      <c r="A2997" s="3" t="s">
        <v>40</v>
      </c>
      <c r="B2997" s="3" t="s">
        <v>39</v>
      </c>
      <c r="C2997" s="4">
        <v>46023</v>
      </c>
      <c r="D2997" s="4">
        <v>46053</v>
      </c>
      <c r="E2997" s="3" t="s">
        <v>260</v>
      </c>
      <c r="F2997" s="3" t="s">
        <v>274</v>
      </c>
      <c r="G2997" s="5">
        <v>0</v>
      </c>
      <c r="H2997" s="6" t="s">
        <v>55</v>
      </c>
      <c r="I2997" s="3" t="s">
        <v>45</v>
      </c>
    </row>
    <row r="2998" spans="1:9" ht="48" customHeight="1">
      <c r="A2998" s="3" t="s">
        <v>40</v>
      </c>
      <c r="B2998" s="3" t="s">
        <v>39</v>
      </c>
      <c r="C2998" s="4">
        <v>46023</v>
      </c>
      <c r="D2998" s="4">
        <v>46053</v>
      </c>
      <c r="E2998" s="3" t="s">
        <v>260</v>
      </c>
      <c r="F2998" s="3" t="s">
        <v>275</v>
      </c>
      <c r="G2998" s="5">
        <v>0</v>
      </c>
      <c r="H2998" s="6" t="s">
        <v>55</v>
      </c>
      <c r="I2998" s="3" t="s">
        <v>45</v>
      </c>
    </row>
    <row r="2999" spans="1:9" ht="48" customHeight="1">
      <c r="A2999" s="3" t="s">
        <v>40</v>
      </c>
      <c r="B2999" s="3" t="s">
        <v>39</v>
      </c>
      <c r="C2999" s="4">
        <v>46023</v>
      </c>
      <c r="D2999" s="4">
        <v>46053</v>
      </c>
      <c r="E2999" s="3" t="s">
        <v>260</v>
      </c>
      <c r="F2999" s="3" t="s">
        <v>277</v>
      </c>
      <c r="G2999" s="5">
        <v>0</v>
      </c>
      <c r="H2999" s="6" t="s">
        <v>55</v>
      </c>
      <c r="I2999" s="3" t="s">
        <v>45</v>
      </c>
    </row>
    <row r="3000" spans="1:9" ht="48" customHeight="1">
      <c r="A3000" s="3" t="s">
        <v>40</v>
      </c>
      <c r="B3000" s="3" t="s">
        <v>39</v>
      </c>
      <c r="C3000" s="4">
        <v>46023</v>
      </c>
      <c r="D3000" s="4">
        <v>46053</v>
      </c>
      <c r="E3000" s="3" t="s">
        <v>260</v>
      </c>
      <c r="F3000" s="3" t="s">
        <v>278</v>
      </c>
      <c r="G3000" s="5">
        <v>0</v>
      </c>
      <c r="H3000" s="6" t="s">
        <v>55</v>
      </c>
      <c r="I3000" s="3" t="s">
        <v>45</v>
      </c>
    </row>
    <row r="3001" spans="1:9" ht="48" customHeight="1">
      <c r="A3001" s="3" t="s">
        <v>40</v>
      </c>
      <c r="B3001" s="3" t="s">
        <v>39</v>
      </c>
      <c r="C3001" s="4">
        <v>46023</v>
      </c>
      <c r="D3001" s="4">
        <v>46053</v>
      </c>
      <c r="E3001" s="3" t="s">
        <v>260</v>
      </c>
      <c r="F3001" s="3" t="s">
        <v>269</v>
      </c>
      <c r="G3001" s="5">
        <v>0</v>
      </c>
      <c r="H3001" s="6" t="s">
        <v>55</v>
      </c>
      <c r="I3001" s="3" t="s">
        <v>45</v>
      </c>
    </row>
    <row r="3002" spans="1:9" ht="48" customHeight="1">
      <c r="A3002" s="3" t="s">
        <v>40</v>
      </c>
      <c r="B3002" s="3" t="s">
        <v>39</v>
      </c>
      <c r="C3002" s="4">
        <v>46023</v>
      </c>
      <c r="D3002" s="4">
        <v>46053</v>
      </c>
      <c r="E3002" s="3" t="s">
        <v>260</v>
      </c>
      <c r="F3002" s="3" t="s">
        <v>279</v>
      </c>
      <c r="G3002" s="5">
        <v>0</v>
      </c>
      <c r="H3002" s="6" t="s">
        <v>55</v>
      </c>
      <c r="I3002" s="3" t="s">
        <v>45</v>
      </c>
    </row>
    <row r="3003" spans="1:9" ht="48" customHeight="1">
      <c r="A3003" s="3" t="s">
        <v>40</v>
      </c>
      <c r="B3003" s="3" t="s">
        <v>39</v>
      </c>
      <c r="C3003" s="4">
        <v>46023</v>
      </c>
      <c r="D3003" s="4">
        <v>46053</v>
      </c>
      <c r="E3003" s="3" t="s">
        <v>260</v>
      </c>
      <c r="F3003" s="3" t="s">
        <v>270</v>
      </c>
      <c r="G3003" s="5">
        <v>0</v>
      </c>
      <c r="H3003" s="6" t="s">
        <v>55</v>
      </c>
      <c r="I3003" s="3" t="s">
        <v>45</v>
      </c>
    </row>
    <row r="3004" spans="1:9" ht="48" customHeight="1">
      <c r="A3004" s="3" t="s">
        <v>40</v>
      </c>
      <c r="B3004" s="3" t="s">
        <v>39</v>
      </c>
      <c r="C3004" s="4">
        <v>46023</v>
      </c>
      <c r="D3004" s="4">
        <v>46053</v>
      </c>
      <c r="E3004" s="3" t="s">
        <v>260</v>
      </c>
      <c r="F3004" s="3" t="s">
        <v>280</v>
      </c>
      <c r="G3004" s="5">
        <v>0</v>
      </c>
      <c r="H3004" s="6" t="s">
        <v>55</v>
      </c>
      <c r="I3004" s="3" t="s">
        <v>45</v>
      </c>
    </row>
    <row r="3005" spans="1:9" ht="48" customHeight="1">
      <c r="A3005" s="3" t="s">
        <v>40</v>
      </c>
      <c r="B3005" s="3" t="s">
        <v>39</v>
      </c>
      <c r="C3005" s="4">
        <v>46023</v>
      </c>
      <c r="D3005" s="4">
        <v>46053</v>
      </c>
      <c r="E3005" s="3" t="s">
        <v>260</v>
      </c>
      <c r="F3005" s="3" t="s">
        <v>281</v>
      </c>
      <c r="G3005" s="5">
        <v>0</v>
      </c>
      <c r="H3005" s="6" t="s">
        <v>55</v>
      </c>
      <c r="I3005" s="3" t="s">
        <v>45</v>
      </c>
    </row>
    <row r="3006" spans="1:9" ht="48" customHeight="1">
      <c r="A3006" s="3" t="s">
        <v>40</v>
      </c>
      <c r="B3006" s="3" t="s">
        <v>39</v>
      </c>
      <c r="C3006" s="4">
        <v>46023</v>
      </c>
      <c r="D3006" s="4">
        <v>46053</v>
      </c>
      <c r="E3006" s="3" t="s">
        <v>260</v>
      </c>
      <c r="F3006" s="3" t="s">
        <v>272</v>
      </c>
      <c r="G3006" s="5">
        <v>0</v>
      </c>
      <c r="H3006" s="6" t="s">
        <v>55</v>
      </c>
      <c r="I3006" s="3" t="s">
        <v>45</v>
      </c>
    </row>
    <row r="3007" spans="1:9" ht="48" customHeight="1">
      <c r="A3007" s="3" t="s">
        <v>40</v>
      </c>
      <c r="B3007" s="3" t="s">
        <v>39</v>
      </c>
      <c r="C3007" s="4">
        <v>46023</v>
      </c>
      <c r="D3007" s="4">
        <v>46053</v>
      </c>
      <c r="E3007" s="3" t="s">
        <v>260</v>
      </c>
      <c r="F3007" s="3" t="s">
        <v>282</v>
      </c>
      <c r="G3007" s="5">
        <v>0</v>
      </c>
      <c r="H3007" s="6" t="s">
        <v>55</v>
      </c>
      <c r="I3007" s="3" t="s">
        <v>45</v>
      </c>
    </row>
    <row r="3008" spans="1:9" ht="48" customHeight="1">
      <c r="A3008" s="3" t="s">
        <v>40</v>
      </c>
      <c r="B3008" s="3" t="s">
        <v>39</v>
      </c>
      <c r="C3008" s="4">
        <v>46023</v>
      </c>
      <c r="D3008" s="4">
        <v>46053</v>
      </c>
      <c r="E3008" s="3" t="s">
        <v>260</v>
      </c>
      <c r="F3008" s="3" t="s">
        <v>283</v>
      </c>
      <c r="G3008" s="5">
        <v>0</v>
      </c>
      <c r="H3008" s="6" t="s">
        <v>55</v>
      </c>
      <c r="I3008" s="3" t="s">
        <v>45</v>
      </c>
    </row>
    <row r="3009" spans="1:9" ht="48" customHeight="1">
      <c r="A3009" s="3" t="s">
        <v>40</v>
      </c>
      <c r="B3009" s="3" t="s">
        <v>39</v>
      </c>
      <c r="C3009" s="4">
        <v>46023</v>
      </c>
      <c r="D3009" s="4">
        <v>46053</v>
      </c>
      <c r="E3009" s="3" t="s">
        <v>260</v>
      </c>
      <c r="F3009" s="3" t="s">
        <v>284</v>
      </c>
      <c r="G3009" s="5">
        <v>0</v>
      </c>
      <c r="H3009" s="6" t="s">
        <v>55</v>
      </c>
      <c r="I3009" s="3" t="s">
        <v>45</v>
      </c>
    </row>
    <row r="3010" spans="1:9" ht="48" customHeight="1">
      <c r="A3010" s="3" t="s">
        <v>40</v>
      </c>
      <c r="B3010" s="3" t="s">
        <v>39</v>
      </c>
      <c r="C3010" s="4">
        <v>46023</v>
      </c>
      <c r="D3010" s="4">
        <v>46053</v>
      </c>
      <c r="E3010" s="3" t="s">
        <v>260</v>
      </c>
      <c r="F3010" s="3" t="s">
        <v>285</v>
      </c>
      <c r="G3010" s="5">
        <v>0</v>
      </c>
      <c r="H3010" s="6" t="s">
        <v>55</v>
      </c>
      <c r="I3010" s="3" t="s">
        <v>45</v>
      </c>
    </row>
    <row r="3011" spans="1:9" ht="48" customHeight="1">
      <c r="A3011" s="3" t="s">
        <v>40</v>
      </c>
      <c r="B3011" s="3" t="s">
        <v>39</v>
      </c>
      <c r="C3011" s="4">
        <v>46023</v>
      </c>
      <c r="D3011" s="4">
        <v>46053</v>
      </c>
      <c r="E3011" s="3" t="s">
        <v>244</v>
      </c>
      <c r="F3011" s="3" t="s">
        <v>247</v>
      </c>
      <c r="G3011" s="5">
        <v>2E-3</v>
      </c>
      <c r="H3011" s="6" t="s">
        <v>55</v>
      </c>
      <c r="I3011" s="3" t="s">
        <v>45</v>
      </c>
    </row>
    <row r="3012" spans="1:9" ht="48" customHeight="1">
      <c r="A3012" s="3" t="s">
        <v>40</v>
      </c>
      <c r="B3012" s="3" t="s">
        <v>39</v>
      </c>
      <c r="C3012" s="4">
        <v>46023</v>
      </c>
      <c r="D3012" s="4">
        <v>46053</v>
      </c>
      <c r="E3012" s="3" t="s">
        <v>244</v>
      </c>
      <c r="F3012" s="3" t="s">
        <v>245</v>
      </c>
      <c r="G3012" s="5">
        <v>2E-3</v>
      </c>
      <c r="H3012" s="6" t="s">
        <v>55</v>
      </c>
      <c r="I3012" s="3" t="s">
        <v>45</v>
      </c>
    </row>
    <row r="3013" spans="1:9" ht="48" customHeight="1">
      <c r="A3013" s="3" t="s">
        <v>40</v>
      </c>
      <c r="B3013" s="3" t="s">
        <v>39</v>
      </c>
      <c r="C3013" s="4">
        <v>46023</v>
      </c>
      <c r="D3013" s="4">
        <v>46053</v>
      </c>
      <c r="E3013" s="3" t="s">
        <v>244</v>
      </c>
      <c r="F3013" s="3" t="s">
        <v>246</v>
      </c>
      <c r="G3013" s="5">
        <v>2E-3</v>
      </c>
      <c r="H3013" s="6" t="s">
        <v>55</v>
      </c>
      <c r="I3013" s="3" t="s">
        <v>45</v>
      </c>
    </row>
    <row r="3014" spans="1:9" ht="48" customHeight="1">
      <c r="A3014" s="3" t="s">
        <v>40</v>
      </c>
      <c r="B3014" s="3" t="s">
        <v>39</v>
      </c>
      <c r="C3014" s="4">
        <v>46023</v>
      </c>
      <c r="D3014" s="4">
        <v>46053</v>
      </c>
      <c r="E3014" s="3" t="s">
        <v>244</v>
      </c>
      <c r="F3014" s="3" t="s">
        <v>248</v>
      </c>
      <c r="G3014" s="5">
        <v>1E-3</v>
      </c>
      <c r="H3014" s="6" t="s">
        <v>55</v>
      </c>
      <c r="I3014" s="3" t="s">
        <v>45</v>
      </c>
    </row>
    <row r="3015" spans="1:9" ht="48" customHeight="1">
      <c r="A3015" s="3" t="s">
        <v>40</v>
      </c>
      <c r="B3015" s="3" t="s">
        <v>39</v>
      </c>
      <c r="C3015" s="4">
        <v>46023</v>
      </c>
      <c r="D3015" s="4">
        <v>46053</v>
      </c>
      <c r="E3015" s="3" t="s">
        <v>244</v>
      </c>
      <c r="F3015" s="3" t="s">
        <v>249</v>
      </c>
      <c r="G3015" s="5">
        <v>1E-3</v>
      </c>
      <c r="H3015" s="6" t="s">
        <v>55</v>
      </c>
      <c r="I3015" s="3" t="s">
        <v>45</v>
      </c>
    </row>
    <row r="3016" spans="1:9" ht="48" customHeight="1">
      <c r="A3016" s="3" t="s">
        <v>40</v>
      </c>
      <c r="B3016" s="3" t="s">
        <v>39</v>
      </c>
      <c r="C3016" s="4">
        <v>46023</v>
      </c>
      <c r="D3016" s="4">
        <v>46053</v>
      </c>
      <c r="E3016" s="3" t="s">
        <v>244</v>
      </c>
      <c r="F3016" s="3" t="s">
        <v>250</v>
      </c>
      <c r="G3016" s="5">
        <v>0</v>
      </c>
      <c r="H3016" s="6" t="s">
        <v>55</v>
      </c>
      <c r="I3016" s="3" t="s">
        <v>45</v>
      </c>
    </row>
    <row r="3017" spans="1:9" ht="48" customHeight="1">
      <c r="A3017" s="3" t="s">
        <v>40</v>
      </c>
      <c r="B3017" s="3" t="s">
        <v>39</v>
      </c>
      <c r="C3017" s="4">
        <v>46023</v>
      </c>
      <c r="D3017" s="4">
        <v>46053</v>
      </c>
      <c r="E3017" s="3" t="s">
        <v>244</v>
      </c>
      <c r="F3017" s="3" t="s">
        <v>251</v>
      </c>
      <c r="G3017" s="5">
        <v>0</v>
      </c>
      <c r="H3017" s="6" t="s">
        <v>55</v>
      </c>
      <c r="I3017" s="3" t="s">
        <v>45</v>
      </c>
    </row>
    <row r="3018" spans="1:9" ht="48" customHeight="1">
      <c r="A3018" s="3" t="s">
        <v>40</v>
      </c>
      <c r="B3018" s="3" t="s">
        <v>39</v>
      </c>
      <c r="C3018" s="4">
        <v>46023</v>
      </c>
      <c r="D3018" s="4">
        <v>46053</v>
      </c>
      <c r="E3018" s="3" t="s">
        <v>244</v>
      </c>
      <c r="F3018" s="3" t="s">
        <v>252</v>
      </c>
      <c r="G3018" s="5">
        <v>0</v>
      </c>
      <c r="H3018" s="6" t="s">
        <v>55</v>
      </c>
      <c r="I3018" s="3" t="s">
        <v>45</v>
      </c>
    </row>
    <row r="3019" spans="1:9" ht="48" customHeight="1">
      <c r="A3019" s="3" t="s">
        <v>40</v>
      </c>
      <c r="B3019" s="3" t="s">
        <v>39</v>
      </c>
      <c r="C3019" s="4">
        <v>46023</v>
      </c>
      <c r="D3019" s="4">
        <v>46053</v>
      </c>
      <c r="E3019" s="3" t="s">
        <v>244</v>
      </c>
      <c r="F3019" s="3" t="s">
        <v>255</v>
      </c>
      <c r="G3019" s="5">
        <v>0</v>
      </c>
      <c r="H3019" s="6" t="s">
        <v>55</v>
      </c>
      <c r="I3019" s="3" t="s">
        <v>45</v>
      </c>
    </row>
    <row r="3020" spans="1:9" ht="48" customHeight="1">
      <c r="A3020" s="3" t="s">
        <v>40</v>
      </c>
      <c r="B3020" s="3" t="s">
        <v>39</v>
      </c>
      <c r="C3020" s="4">
        <v>46023</v>
      </c>
      <c r="D3020" s="4">
        <v>46053</v>
      </c>
      <c r="E3020" s="3" t="s">
        <v>244</v>
      </c>
      <c r="F3020" s="3" t="s">
        <v>256</v>
      </c>
      <c r="G3020" s="5">
        <v>0</v>
      </c>
      <c r="H3020" s="6" t="s">
        <v>55</v>
      </c>
      <c r="I3020" s="3" t="s">
        <v>45</v>
      </c>
    </row>
    <row r="3021" spans="1:9" ht="48" customHeight="1">
      <c r="A3021" s="3" t="s">
        <v>40</v>
      </c>
      <c r="B3021" s="3" t="s">
        <v>39</v>
      </c>
      <c r="C3021" s="4">
        <v>46023</v>
      </c>
      <c r="D3021" s="4">
        <v>46053</v>
      </c>
      <c r="E3021" s="3" t="s">
        <v>244</v>
      </c>
      <c r="F3021" s="3" t="s">
        <v>257</v>
      </c>
      <c r="G3021" s="5">
        <v>0</v>
      </c>
      <c r="H3021" s="6" t="s">
        <v>55</v>
      </c>
      <c r="I3021" s="3" t="s">
        <v>45</v>
      </c>
    </row>
    <row r="3022" spans="1:9" ht="48" customHeight="1">
      <c r="A3022" s="3" t="s">
        <v>40</v>
      </c>
      <c r="B3022" s="3" t="s">
        <v>39</v>
      </c>
      <c r="C3022" s="4">
        <v>46023</v>
      </c>
      <c r="D3022" s="4">
        <v>46053</v>
      </c>
      <c r="E3022" s="3" t="s">
        <v>244</v>
      </c>
      <c r="F3022" s="3" t="s">
        <v>258</v>
      </c>
      <c r="G3022" s="5">
        <v>0</v>
      </c>
      <c r="H3022" s="6" t="s">
        <v>55</v>
      </c>
      <c r="I3022" s="3" t="s">
        <v>45</v>
      </c>
    </row>
    <row r="3023" spans="1:9" ht="48" customHeight="1">
      <c r="A3023" s="3" t="s">
        <v>40</v>
      </c>
      <c r="B3023" s="3" t="s">
        <v>39</v>
      </c>
      <c r="C3023" s="4">
        <v>46023</v>
      </c>
      <c r="D3023" s="4">
        <v>46053</v>
      </c>
      <c r="E3023" s="3" t="s">
        <v>244</v>
      </c>
      <c r="F3023" s="3" t="s">
        <v>259</v>
      </c>
      <c r="G3023" s="5">
        <v>0</v>
      </c>
      <c r="H3023" s="6" t="s">
        <v>55</v>
      </c>
      <c r="I3023" s="3" t="s">
        <v>45</v>
      </c>
    </row>
    <row r="3024" spans="1:9" ht="48" customHeight="1">
      <c r="A3024" s="3" t="s">
        <v>40</v>
      </c>
      <c r="B3024" s="3" t="s">
        <v>39</v>
      </c>
      <c r="C3024" s="4">
        <v>46023</v>
      </c>
      <c r="D3024" s="4">
        <v>46053</v>
      </c>
      <c r="E3024" s="3" t="s">
        <v>244</v>
      </c>
      <c r="F3024" s="3" t="s">
        <v>253</v>
      </c>
      <c r="G3024" s="5">
        <v>0</v>
      </c>
      <c r="H3024" s="6" t="s">
        <v>55</v>
      </c>
      <c r="I3024" s="3" t="s">
        <v>45</v>
      </c>
    </row>
    <row r="3025" spans="1:9" ht="48" customHeight="1">
      <c r="A3025" s="3" t="s">
        <v>40</v>
      </c>
      <c r="B3025" s="3" t="s">
        <v>39</v>
      </c>
      <c r="C3025" s="4">
        <v>46023</v>
      </c>
      <c r="D3025" s="4">
        <v>46053</v>
      </c>
      <c r="E3025" s="3" t="s">
        <v>244</v>
      </c>
      <c r="F3025" s="3" t="s">
        <v>254</v>
      </c>
      <c r="G3025" s="5">
        <v>0</v>
      </c>
      <c r="H3025" s="6" t="s">
        <v>55</v>
      </c>
      <c r="I3025" s="3" t="s">
        <v>45</v>
      </c>
    </row>
    <row r="3026" spans="1:9" ht="48" customHeight="1">
      <c r="A3026" s="3" t="s">
        <v>40</v>
      </c>
      <c r="B3026" s="3" t="s">
        <v>39</v>
      </c>
      <c r="C3026" s="4">
        <v>46023</v>
      </c>
      <c r="D3026" s="4">
        <v>46053</v>
      </c>
      <c r="E3026" s="3" t="s">
        <v>379</v>
      </c>
      <c r="F3026" s="3" t="s">
        <v>265</v>
      </c>
      <c r="G3026" s="5">
        <v>2E-3</v>
      </c>
      <c r="H3026" s="6" t="s">
        <v>55</v>
      </c>
      <c r="I3026" s="3" t="s">
        <v>45</v>
      </c>
    </row>
    <row r="3027" spans="1:9" ht="48" customHeight="1">
      <c r="A3027" s="3" t="s">
        <v>40</v>
      </c>
      <c r="B3027" s="3" t="s">
        <v>39</v>
      </c>
      <c r="C3027" s="4">
        <v>46023</v>
      </c>
      <c r="D3027" s="4">
        <v>46053</v>
      </c>
      <c r="E3027" s="3" t="s">
        <v>379</v>
      </c>
      <c r="F3027" s="3" t="s">
        <v>262</v>
      </c>
      <c r="G3027" s="5">
        <v>2E-3</v>
      </c>
      <c r="H3027" s="6" t="s">
        <v>55</v>
      </c>
      <c r="I3027" s="3" t="s">
        <v>45</v>
      </c>
    </row>
    <row r="3028" spans="1:9" ht="48" customHeight="1">
      <c r="A3028" s="3" t="s">
        <v>40</v>
      </c>
      <c r="B3028" s="3" t="s">
        <v>39</v>
      </c>
      <c r="C3028" s="4">
        <v>46023</v>
      </c>
      <c r="D3028" s="4">
        <v>46053</v>
      </c>
      <c r="E3028" s="3" t="s">
        <v>379</v>
      </c>
      <c r="F3028" s="3" t="s">
        <v>230</v>
      </c>
      <c r="G3028" s="5">
        <v>1E-3</v>
      </c>
      <c r="H3028" s="6" t="s">
        <v>55</v>
      </c>
      <c r="I3028" s="3" t="s">
        <v>45</v>
      </c>
    </row>
    <row r="3029" spans="1:9" ht="48" customHeight="1">
      <c r="A3029" s="3" t="s">
        <v>40</v>
      </c>
      <c r="B3029" s="3" t="s">
        <v>39</v>
      </c>
      <c r="C3029" s="4">
        <v>46023</v>
      </c>
      <c r="D3029" s="4">
        <v>46053</v>
      </c>
      <c r="E3029" s="3" t="s">
        <v>379</v>
      </c>
      <c r="F3029" s="3" t="s">
        <v>234</v>
      </c>
      <c r="G3029" s="5">
        <v>1E-3</v>
      </c>
      <c r="H3029" s="6" t="s">
        <v>55</v>
      </c>
      <c r="I3029" s="3" t="s">
        <v>45</v>
      </c>
    </row>
    <row r="3030" spans="1:9" ht="48" customHeight="1">
      <c r="A3030" s="3" t="s">
        <v>40</v>
      </c>
      <c r="B3030" s="3" t="s">
        <v>39</v>
      </c>
      <c r="C3030" s="4">
        <v>46023</v>
      </c>
      <c r="D3030" s="4">
        <v>46053</v>
      </c>
      <c r="E3030" s="3" t="s">
        <v>379</v>
      </c>
      <c r="F3030" s="3" t="s">
        <v>380</v>
      </c>
      <c r="G3030" s="5">
        <v>1E-3</v>
      </c>
      <c r="H3030" s="6" t="s">
        <v>55</v>
      </c>
      <c r="I3030" s="3" t="s">
        <v>45</v>
      </c>
    </row>
    <row r="3031" spans="1:9" ht="48" customHeight="1">
      <c r="A3031" s="3" t="s">
        <v>40</v>
      </c>
      <c r="B3031" s="3" t="s">
        <v>39</v>
      </c>
      <c r="C3031" s="4">
        <v>46023</v>
      </c>
      <c r="D3031" s="4">
        <v>46053</v>
      </c>
      <c r="E3031" s="3" t="s">
        <v>301</v>
      </c>
      <c r="F3031" s="3" t="s">
        <v>301</v>
      </c>
      <c r="G3031" s="5">
        <v>5.0000000000000001E-3</v>
      </c>
      <c r="H3031" s="6" t="s">
        <v>55</v>
      </c>
      <c r="I3031" s="3" t="s">
        <v>45</v>
      </c>
    </row>
    <row r="3032" spans="1:9" ht="48" customHeight="1">
      <c r="A3032" s="3" t="s">
        <v>40</v>
      </c>
      <c r="B3032" s="3" t="s">
        <v>39</v>
      </c>
      <c r="C3032" s="4">
        <v>46023</v>
      </c>
      <c r="D3032" s="4">
        <v>46053</v>
      </c>
      <c r="E3032" s="3" t="s">
        <v>381</v>
      </c>
      <c r="F3032" s="3" t="s">
        <v>382</v>
      </c>
      <c r="G3032" s="5">
        <v>2E-3</v>
      </c>
      <c r="H3032" s="6" t="s">
        <v>55</v>
      </c>
      <c r="I3032" s="3" t="s">
        <v>45</v>
      </c>
    </row>
    <row r="3033" spans="1:9" ht="48" customHeight="1">
      <c r="A3033" s="3" t="s">
        <v>40</v>
      </c>
      <c r="B3033" s="3" t="s">
        <v>39</v>
      </c>
      <c r="C3033" s="4">
        <v>46023</v>
      </c>
      <c r="D3033" s="4">
        <v>46053</v>
      </c>
      <c r="E3033" s="3" t="s">
        <v>381</v>
      </c>
      <c r="F3033" s="3" t="s">
        <v>383</v>
      </c>
      <c r="G3033" s="5">
        <v>1E-3</v>
      </c>
      <c r="H3033" s="6" t="s">
        <v>55</v>
      </c>
      <c r="I3033" s="3" t="s">
        <v>45</v>
      </c>
    </row>
    <row r="3034" spans="1:9" ht="48" customHeight="1">
      <c r="A3034" s="3" t="s">
        <v>40</v>
      </c>
      <c r="B3034" s="3" t="s">
        <v>39</v>
      </c>
      <c r="C3034" s="4">
        <v>46054</v>
      </c>
      <c r="D3034" s="4">
        <v>46081</v>
      </c>
      <c r="E3034" s="3" t="s">
        <v>47</v>
      </c>
      <c r="F3034" s="3" t="s">
        <v>348</v>
      </c>
      <c r="G3034" s="5">
        <v>8.199999999999999E-2</v>
      </c>
      <c r="H3034" s="6" t="s">
        <v>56</v>
      </c>
      <c r="I3034" s="3" t="s">
        <v>45</v>
      </c>
    </row>
    <row r="3035" spans="1:9" ht="48" customHeight="1">
      <c r="A3035" s="3" t="s">
        <v>40</v>
      </c>
      <c r="B3035" s="3" t="s">
        <v>39</v>
      </c>
      <c r="C3035" s="4">
        <v>46054</v>
      </c>
      <c r="D3035" s="4">
        <v>46081</v>
      </c>
      <c r="E3035" s="3" t="s">
        <v>47</v>
      </c>
      <c r="F3035" s="3" t="s">
        <v>358</v>
      </c>
      <c r="G3035" s="5">
        <v>5.7999999999999996E-2</v>
      </c>
      <c r="H3035" s="6" t="s">
        <v>56</v>
      </c>
      <c r="I3035" s="3" t="s">
        <v>45</v>
      </c>
    </row>
    <row r="3036" spans="1:9" ht="48" customHeight="1">
      <c r="A3036" s="3" t="s">
        <v>40</v>
      </c>
      <c r="B3036" s="3" t="s">
        <v>39</v>
      </c>
      <c r="C3036" s="4">
        <v>46054</v>
      </c>
      <c r="D3036" s="4">
        <v>46081</v>
      </c>
      <c r="E3036" s="3" t="s">
        <v>47</v>
      </c>
      <c r="F3036" s="3" t="s">
        <v>357</v>
      </c>
      <c r="G3036" s="5">
        <v>3.4000000000000002E-2</v>
      </c>
      <c r="H3036" s="6" t="s">
        <v>56</v>
      </c>
      <c r="I3036" s="3" t="s">
        <v>45</v>
      </c>
    </row>
    <row r="3037" spans="1:9" ht="48" customHeight="1">
      <c r="A3037" s="3" t="s">
        <v>40</v>
      </c>
      <c r="B3037" s="3" t="s">
        <v>39</v>
      </c>
      <c r="C3037" s="4">
        <v>46054</v>
      </c>
      <c r="D3037" s="4">
        <v>46081</v>
      </c>
      <c r="E3037" s="3" t="s">
        <v>47</v>
      </c>
      <c r="F3037" s="3" t="s">
        <v>352</v>
      </c>
      <c r="G3037" s="5">
        <v>2.7999999999999997E-2</v>
      </c>
      <c r="H3037" s="6" t="s">
        <v>56</v>
      </c>
      <c r="I3037" s="3" t="s">
        <v>45</v>
      </c>
    </row>
    <row r="3038" spans="1:9" ht="48" customHeight="1">
      <c r="A3038" s="3" t="s">
        <v>40</v>
      </c>
      <c r="B3038" s="3" t="s">
        <v>39</v>
      </c>
      <c r="C3038" s="4">
        <v>46054</v>
      </c>
      <c r="D3038" s="4">
        <v>46081</v>
      </c>
      <c r="E3038" s="3" t="s">
        <v>47</v>
      </c>
      <c r="F3038" s="3" t="s">
        <v>349</v>
      </c>
      <c r="G3038" s="5">
        <v>1.6E-2</v>
      </c>
      <c r="H3038" s="6" t="s">
        <v>56</v>
      </c>
      <c r="I3038" s="3" t="s">
        <v>45</v>
      </c>
    </row>
    <row r="3039" spans="1:9" ht="48" customHeight="1">
      <c r="A3039" s="3" t="s">
        <v>40</v>
      </c>
      <c r="B3039" s="3" t="s">
        <v>39</v>
      </c>
      <c r="C3039" s="4">
        <v>46054</v>
      </c>
      <c r="D3039" s="4">
        <v>46081</v>
      </c>
      <c r="E3039" s="3" t="s">
        <v>47</v>
      </c>
      <c r="F3039" s="3" t="s">
        <v>350</v>
      </c>
      <c r="G3039" s="5">
        <v>1.1000000000000001E-2</v>
      </c>
      <c r="H3039" s="6" t="s">
        <v>56</v>
      </c>
      <c r="I3039" s="3" t="s">
        <v>45</v>
      </c>
    </row>
    <row r="3040" spans="1:9" ht="48" customHeight="1">
      <c r="A3040" s="3" t="s">
        <v>40</v>
      </c>
      <c r="B3040" s="3" t="s">
        <v>39</v>
      </c>
      <c r="C3040" s="4">
        <v>46054</v>
      </c>
      <c r="D3040" s="4">
        <v>46081</v>
      </c>
      <c r="E3040" s="3" t="s">
        <v>47</v>
      </c>
      <c r="F3040" s="3" t="s">
        <v>351</v>
      </c>
      <c r="G3040" s="5">
        <v>6.9999999999999993E-3</v>
      </c>
      <c r="H3040" s="6" t="s">
        <v>56</v>
      </c>
      <c r="I3040" s="3" t="s">
        <v>45</v>
      </c>
    </row>
    <row r="3041" spans="1:9" ht="48" customHeight="1">
      <c r="A3041" s="3" t="s">
        <v>40</v>
      </c>
      <c r="B3041" s="3" t="s">
        <v>39</v>
      </c>
      <c r="C3041" s="4">
        <v>46054</v>
      </c>
      <c r="D3041" s="4">
        <v>46081</v>
      </c>
      <c r="E3041" s="3" t="s">
        <v>47</v>
      </c>
      <c r="F3041" s="3" t="s">
        <v>354</v>
      </c>
      <c r="G3041" s="5">
        <v>6.0000000000000001E-3</v>
      </c>
      <c r="H3041" s="6" t="s">
        <v>56</v>
      </c>
      <c r="I3041" s="3" t="s">
        <v>45</v>
      </c>
    </row>
    <row r="3042" spans="1:9" ht="48" customHeight="1">
      <c r="A3042" s="3" t="s">
        <v>40</v>
      </c>
      <c r="B3042" s="3" t="s">
        <v>39</v>
      </c>
      <c r="C3042" s="4">
        <v>46054</v>
      </c>
      <c r="D3042" s="4">
        <v>46081</v>
      </c>
      <c r="E3042" s="3" t="s">
        <v>47</v>
      </c>
      <c r="F3042" s="3" t="s">
        <v>356</v>
      </c>
      <c r="G3042" s="5">
        <v>4.0000000000000001E-3</v>
      </c>
      <c r="H3042" s="6" t="s">
        <v>56</v>
      </c>
      <c r="I3042" s="3" t="s">
        <v>45</v>
      </c>
    </row>
    <row r="3043" spans="1:9" ht="48" customHeight="1">
      <c r="A3043" s="3" t="s">
        <v>40</v>
      </c>
      <c r="B3043" s="3" t="s">
        <v>39</v>
      </c>
      <c r="C3043" s="4">
        <v>46054</v>
      </c>
      <c r="D3043" s="4">
        <v>46081</v>
      </c>
      <c r="E3043" s="3" t="s">
        <v>47</v>
      </c>
      <c r="F3043" s="3" t="s">
        <v>355</v>
      </c>
      <c r="G3043" s="5">
        <v>3.0000000000000001E-3</v>
      </c>
      <c r="H3043" s="6" t="s">
        <v>56</v>
      </c>
      <c r="I3043" s="3" t="s">
        <v>45</v>
      </c>
    </row>
    <row r="3044" spans="1:9" ht="48" customHeight="1">
      <c r="A3044" s="3" t="s">
        <v>40</v>
      </c>
      <c r="B3044" s="3" t="s">
        <v>39</v>
      </c>
      <c r="C3044" s="4">
        <v>46054</v>
      </c>
      <c r="D3044" s="4">
        <v>46081</v>
      </c>
      <c r="E3044" s="3" t="s">
        <v>47</v>
      </c>
      <c r="F3044" s="3" t="s">
        <v>353</v>
      </c>
      <c r="G3044" s="5">
        <v>2E-3</v>
      </c>
      <c r="H3044" s="6" t="s">
        <v>56</v>
      </c>
      <c r="I3044" s="3" t="s">
        <v>45</v>
      </c>
    </row>
    <row r="3045" spans="1:9" ht="48" customHeight="1">
      <c r="A3045" s="3" t="s">
        <v>40</v>
      </c>
      <c r="B3045" s="3" t="s">
        <v>39</v>
      </c>
      <c r="C3045" s="4">
        <v>46054</v>
      </c>
      <c r="D3045" s="4">
        <v>46081</v>
      </c>
      <c r="E3045" s="3" t="s">
        <v>47</v>
      </c>
      <c r="F3045" s="3" t="s">
        <v>359</v>
      </c>
      <c r="G3045" s="5">
        <v>1E-3</v>
      </c>
      <c r="H3045" s="6" t="s">
        <v>56</v>
      </c>
      <c r="I3045" s="3" t="s">
        <v>45</v>
      </c>
    </row>
    <row r="3046" spans="1:9" ht="48" customHeight="1">
      <c r="A3046" s="3" t="s">
        <v>40</v>
      </c>
      <c r="B3046" s="3" t="s">
        <v>39</v>
      </c>
      <c r="C3046" s="4">
        <v>46054</v>
      </c>
      <c r="D3046" s="4">
        <v>46081</v>
      </c>
      <c r="E3046" s="3" t="s">
        <v>47</v>
      </c>
      <c r="F3046" s="3" t="s">
        <v>360</v>
      </c>
      <c r="G3046" s="5">
        <v>1E-3</v>
      </c>
      <c r="H3046" s="6" t="s">
        <v>56</v>
      </c>
      <c r="I3046" s="3" t="s">
        <v>45</v>
      </c>
    </row>
    <row r="3047" spans="1:9" ht="48" customHeight="1">
      <c r="A3047" s="3" t="s">
        <v>40</v>
      </c>
      <c r="B3047" s="3" t="s">
        <v>39</v>
      </c>
      <c r="C3047" s="4">
        <v>46054</v>
      </c>
      <c r="D3047" s="4">
        <v>46081</v>
      </c>
      <c r="E3047" s="3" t="s">
        <v>47</v>
      </c>
      <c r="F3047" s="3" t="s">
        <v>361</v>
      </c>
      <c r="G3047" s="5">
        <v>1E-3</v>
      </c>
      <c r="H3047" s="6" t="s">
        <v>56</v>
      </c>
      <c r="I3047" s="3" t="s">
        <v>45</v>
      </c>
    </row>
    <row r="3048" spans="1:9" ht="48" customHeight="1">
      <c r="A3048" s="3" t="s">
        <v>40</v>
      </c>
      <c r="B3048" s="3" t="s">
        <v>39</v>
      </c>
      <c r="C3048" s="4">
        <v>46054</v>
      </c>
      <c r="D3048" s="4">
        <v>46081</v>
      </c>
      <c r="E3048" s="3" t="s">
        <v>47</v>
      </c>
      <c r="F3048" s="3" t="s">
        <v>362</v>
      </c>
      <c r="G3048" s="5">
        <v>1E-3</v>
      </c>
      <c r="H3048" s="6" t="s">
        <v>56</v>
      </c>
      <c r="I3048" s="3" t="s">
        <v>45</v>
      </c>
    </row>
    <row r="3049" spans="1:9" ht="48" customHeight="1">
      <c r="A3049" s="3" t="s">
        <v>40</v>
      </c>
      <c r="B3049" s="3" t="s">
        <v>39</v>
      </c>
      <c r="C3049" s="4">
        <v>46054</v>
      </c>
      <c r="D3049" s="4">
        <v>46081</v>
      </c>
      <c r="E3049" s="3" t="s">
        <v>47</v>
      </c>
      <c r="F3049" s="3" t="s">
        <v>318</v>
      </c>
      <c r="G3049" s="5">
        <v>1E-3</v>
      </c>
      <c r="H3049" s="6" t="s">
        <v>56</v>
      </c>
      <c r="I3049" s="3" t="s">
        <v>45</v>
      </c>
    </row>
    <row r="3050" spans="1:9" ht="48" customHeight="1">
      <c r="A3050" s="3" t="s">
        <v>40</v>
      </c>
      <c r="B3050" s="3" t="s">
        <v>39</v>
      </c>
      <c r="C3050" s="4">
        <v>46054</v>
      </c>
      <c r="D3050" s="4">
        <v>46081</v>
      </c>
      <c r="E3050" s="3" t="s">
        <v>47</v>
      </c>
      <c r="F3050" s="3" t="s">
        <v>363</v>
      </c>
      <c r="G3050" s="5">
        <v>1E-3</v>
      </c>
      <c r="H3050" s="6" t="s">
        <v>56</v>
      </c>
      <c r="I3050" s="3" t="s">
        <v>45</v>
      </c>
    </row>
    <row r="3051" spans="1:9" ht="48" customHeight="1">
      <c r="A3051" s="3" t="s">
        <v>40</v>
      </c>
      <c r="B3051" s="3" t="s">
        <v>39</v>
      </c>
      <c r="C3051" s="4">
        <v>46054</v>
      </c>
      <c r="D3051" s="4">
        <v>46081</v>
      </c>
      <c r="E3051" s="3" t="s">
        <v>161</v>
      </c>
      <c r="F3051" s="3" t="s">
        <v>172</v>
      </c>
      <c r="G3051" s="5">
        <v>1.3000000000000001E-2</v>
      </c>
      <c r="H3051" s="6" t="s">
        <v>56</v>
      </c>
      <c r="I3051" s="3" t="s">
        <v>45</v>
      </c>
    </row>
    <row r="3052" spans="1:9" ht="48" customHeight="1">
      <c r="A3052" s="3" t="s">
        <v>40</v>
      </c>
      <c r="B3052" s="3" t="s">
        <v>39</v>
      </c>
      <c r="C3052" s="4">
        <v>46054</v>
      </c>
      <c r="D3052" s="4">
        <v>46081</v>
      </c>
      <c r="E3052" s="3" t="s">
        <v>161</v>
      </c>
      <c r="F3052" s="3" t="s">
        <v>184</v>
      </c>
      <c r="G3052" s="5">
        <v>1.1000000000000001E-2</v>
      </c>
      <c r="H3052" s="6" t="s">
        <v>56</v>
      </c>
      <c r="I3052" s="3" t="s">
        <v>45</v>
      </c>
    </row>
    <row r="3053" spans="1:9" ht="48" customHeight="1">
      <c r="A3053" s="3" t="s">
        <v>40</v>
      </c>
      <c r="B3053" s="3" t="s">
        <v>39</v>
      </c>
      <c r="C3053" s="4">
        <v>46054</v>
      </c>
      <c r="D3053" s="4">
        <v>46081</v>
      </c>
      <c r="E3053" s="3" t="s">
        <v>161</v>
      </c>
      <c r="F3053" s="3" t="s">
        <v>168</v>
      </c>
      <c r="G3053" s="5">
        <v>0.01</v>
      </c>
      <c r="H3053" s="6" t="s">
        <v>56</v>
      </c>
      <c r="I3053" s="3" t="s">
        <v>45</v>
      </c>
    </row>
    <row r="3054" spans="1:9" ht="48" customHeight="1">
      <c r="A3054" s="3" t="s">
        <v>40</v>
      </c>
      <c r="B3054" s="3" t="s">
        <v>39</v>
      </c>
      <c r="C3054" s="4">
        <v>46054</v>
      </c>
      <c r="D3054" s="4">
        <v>46081</v>
      </c>
      <c r="E3054" s="3" t="s">
        <v>161</v>
      </c>
      <c r="F3054" s="3" t="s">
        <v>162</v>
      </c>
      <c r="G3054" s="5">
        <v>0.01</v>
      </c>
      <c r="H3054" s="6" t="s">
        <v>56</v>
      </c>
      <c r="I3054" s="3" t="s">
        <v>45</v>
      </c>
    </row>
    <row r="3055" spans="1:9" ht="48" customHeight="1">
      <c r="A3055" s="3" t="s">
        <v>40</v>
      </c>
      <c r="B3055" s="3" t="s">
        <v>39</v>
      </c>
      <c r="C3055" s="4">
        <v>46054</v>
      </c>
      <c r="D3055" s="4">
        <v>46081</v>
      </c>
      <c r="E3055" s="3" t="s">
        <v>161</v>
      </c>
      <c r="F3055" s="3" t="s">
        <v>166</v>
      </c>
      <c r="G3055" s="5">
        <v>0.01</v>
      </c>
      <c r="H3055" s="6" t="s">
        <v>56</v>
      </c>
      <c r="I3055" s="3" t="s">
        <v>45</v>
      </c>
    </row>
    <row r="3056" spans="1:9" ht="48" customHeight="1">
      <c r="A3056" s="3" t="s">
        <v>40</v>
      </c>
      <c r="B3056" s="3" t="s">
        <v>39</v>
      </c>
      <c r="C3056" s="4">
        <v>46054</v>
      </c>
      <c r="D3056" s="4">
        <v>46081</v>
      </c>
      <c r="E3056" s="3" t="s">
        <v>161</v>
      </c>
      <c r="F3056" s="3" t="s">
        <v>163</v>
      </c>
      <c r="G3056" s="5">
        <v>9.0000000000000011E-3</v>
      </c>
      <c r="H3056" s="6" t="s">
        <v>56</v>
      </c>
      <c r="I3056" s="3" t="s">
        <v>45</v>
      </c>
    </row>
    <row r="3057" spans="1:9" ht="48" customHeight="1">
      <c r="A3057" s="3" t="s">
        <v>40</v>
      </c>
      <c r="B3057" s="3" t="s">
        <v>39</v>
      </c>
      <c r="C3057" s="4">
        <v>46054</v>
      </c>
      <c r="D3057" s="4">
        <v>46081</v>
      </c>
      <c r="E3057" s="3" t="s">
        <v>161</v>
      </c>
      <c r="F3057" s="3" t="s">
        <v>164</v>
      </c>
      <c r="G3057" s="5">
        <v>8.0000000000000002E-3</v>
      </c>
      <c r="H3057" s="6" t="s">
        <v>56</v>
      </c>
      <c r="I3057" s="3" t="s">
        <v>45</v>
      </c>
    </row>
    <row r="3058" spans="1:9" ht="48" customHeight="1">
      <c r="A3058" s="3" t="s">
        <v>40</v>
      </c>
      <c r="B3058" s="3" t="s">
        <v>39</v>
      </c>
      <c r="C3058" s="4">
        <v>46054</v>
      </c>
      <c r="D3058" s="4">
        <v>46081</v>
      </c>
      <c r="E3058" s="3" t="s">
        <v>161</v>
      </c>
      <c r="F3058" s="3" t="s">
        <v>385</v>
      </c>
      <c r="G3058" s="5">
        <v>8.0000000000000002E-3</v>
      </c>
      <c r="H3058" s="6" t="s">
        <v>56</v>
      </c>
      <c r="I3058" s="3" t="s">
        <v>45</v>
      </c>
    </row>
    <row r="3059" spans="1:9" ht="48" customHeight="1">
      <c r="A3059" s="3" t="s">
        <v>40</v>
      </c>
      <c r="B3059" s="3" t="s">
        <v>39</v>
      </c>
      <c r="C3059" s="4">
        <v>46054</v>
      </c>
      <c r="D3059" s="4">
        <v>46081</v>
      </c>
      <c r="E3059" s="3" t="s">
        <v>161</v>
      </c>
      <c r="F3059" s="3" t="s">
        <v>167</v>
      </c>
      <c r="G3059" s="5">
        <v>6.9999999999999993E-3</v>
      </c>
      <c r="H3059" s="6" t="s">
        <v>56</v>
      </c>
      <c r="I3059" s="3" t="s">
        <v>45</v>
      </c>
    </row>
    <row r="3060" spans="1:9" ht="48" customHeight="1">
      <c r="A3060" s="3" t="s">
        <v>40</v>
      </c>
      <c r="B3060" s="3" t="s">
        <v>39</v>
      </c>
      <c r="C3060" s="4">
        <v>46054</v>
      </c>
      <c r="D3060" s="4">
        <v>46081</v>
      </c>
      <c r="E3060" s="3" t="s">
        <v>161</v>
      </c>
      <c r="F3060" s="3" t="s">
        <v>177</v>
      </c>
      <c r="G3060" s="5">
        <v>6.9999999999999993E-3</v>
      </c>
      <c r="H3060" s="6" t="s">
        <v>56</v>
      </c>
      <c r="I3060" s="3" t="s">
        <v>45</v>
      </c>
    </row>
    <row r="3061" spans="1:9" ht="48" customHeight="1">
      <c r="A3061" s="3" t="s">
        <v>40</v>
      </c>
      <c r="B3061" s="3" t="s">
        <v>39</v>
      </c>
      <c r="C3061" s="4">
        <v>46054</v>
      </c>
      <c r="D3061" s="4">
        <v>46081</v>
      </c>
      <c r="E3061" s="3" t="s">
        <v>161</v>
      </c>
      <c r="F3061" s="3" t="s">
        <v>188</v>
      </c>
      <c r="G3061" s="5">
        <v>6.9999999999999993E-3</v>
      </c>
      <c r="H3061" s="6" t="s">
        <v>56</v>
      </c>
      <c r="I3061" s="3" t="s">
        <v>45</v>
      </c>
    </row>
    <row r="3062" spans="1:9" ht="48" customHeight="1">
      <c r="A3062" s="3" t="s">
        <v>40</v>
      </c>
      <c r="B3062" s="3" t="s">
        <v>39</v>
      </c>
      <c r="C3062" s="4">
        <v>46054</v>
      </c>
      <c r="D3062" s="4">
        <v>46081</v>
      </c>
      <c r="E3062" s="3" t="s">
        <v>161</v>
      </c>
      <c r="F3062" s="3" t="s">
        <v>180</v>
      </c>
      <c r="G3062" s="5">
        <v>6.9999999999999993E-3</v>
      </c>
      <c r="H3062" s="6" t="s">
        <v>56</v>
      </c>
      <c r="I3062" s="3" t="s">
        <v>45</v>
      </c>
    </row>
    <row r="3063" spans="1:9" ht="48" customHeight="1">
      <c r="A3063" s="3" t="s">
        <v>40</v>
      </c>
      <c r="B3063" s="3" t="s">
        <v>39</v>
      </c>
      <c r="C3063" s="4">
        <v>46054</v>
      </c>
      <c r="D3063" s="4">
        <v>46081</v>
      </c>
      <c r="E3063" s="3" t="s">
        <v>161</v>
      </c>
      <c r="F3063" s="3" t="s">
        <v>181</v>
      </c>
      <c r="G3063" s="5">
        <v>6.9999999999999993E-3</v>
      </c>
      <c r="H3063" s="6" t="s">
        <v>56</v>
      </c>
      <c r="I3063" s="3" t="s">
        <v>45</v>
      </c>
    </row>
    <row r="3064" spans="1:9" ht="48" customHeight="1">
      <c r="A3064" s="3" t="s">
        <v>40</v>
      </c>
      <c r="B3064" s="3" t="s">
        <v>39</v>
      </c>
      <c r="C3064" s="4">
        <v>46054</v>
      </c>
      <c r="D3064" s="4">
        <v>46081</v>
      </c>
      <c r="E3064" s="3" t="s">
        <v>161</v>
      </c>
      <c r="F3064" s="3" t="s">
        <v>195</v>
      </c>
      <c r="G3064" s="5">
        <v>6.9999999999999993E-3</v>
      </c>
      <c r="H3064" s="6" t="s">
        <v>56</v>
      </c>
      <c r="I3064" s="3" t="s">
        <v>45</v>
      </c>
    </row>
    <row r="3065" spans="1:9" ht="48" customHeight="1">
      <c r="A3065" s="3" t="s">
        <v>40</v>
      </c>
      <c r="B3065" s="3" t="s">
        <v>39</v>
      </c>
      <c r="C3065" s="4">
        <v>46054</v>
      </c>
      <c r="D3065" s="4">
        <v>46081</v>
      </c>
      <c r="E3065" s="3" t="s">
        <v>161</v>
      </c>
      <c r="F3065" s="3" t="s">
        <v>173</v>
      </c>
      <c r="G3065" s="5">
        <v>6.9999999999999993E-3</v>
      </c>
      <c r="H3065" s="6" t="s">
        <v>56</v>
      </c>
      <c r="I3065" s="3" t="s">
        <v>45</v>
      </c>
    </row>
    <row r="3066" spans="1:9" ht="48" customHeight="1">
      <c r="A3066" s="3" t="s">
        <v>40</v>
      </c>
      <c r="B3066" s="3" t="s">
        <v>39</v>
      </c>
      <c r="C3066" s="4">
        <v>46054</v>
      </c>
      <c r="D3066" s="4">
        <v>46081</v>
      </c>
      <c r="E3066" s="3" t="s">
        <v>161</v>
      </c>
      <c r="F3066" s="3" t="s">
        <v>169</v>
      </c>
      <c r="G3066" s="5">
        <v>6.0000000000000001E-3</v>
      </c>
      <c r="H3066" s="6" t="s">
        <v>56</v>
      </c>
      <c r="I3066" s="3" t="s">
        <v>45</v>
      </c>
    </row>
    <row r="3067" spans="1:9" ht="48" customHeight="1">
      <c r="A3067" s="3" t="s">
        <v>40</v>
      </c>
      <c r="B3067" s="3" t="s">
        <v>39</v>
      </c>
      <c r="C3067" s="4">
        <v>46054</v>
      </c>
      <c r="D3067" s="4">
        <v>46081</v>
      </c>
      <c r="E3067" s="3" t="s">
        <v>161</v>
      </c>
      <c r="F3067" s="3" t="s">
        <v>165</v>
      </c>
      <c r="G3067" s="5">
        <v>6.0000000000000001E-3</v>
      </c>
      <c r="H3067" s="6" t="s">
        <v>56</v>
      </c>
      <c r="I3067" s="3" t="s">
        <v>45</v>
      </c>
    </row>
    <row r="3068" spans="1:9" ht="48" customHeight="1">
      <c r="A3068" s="3" t="s">
        <v>40</v>
      </c>
      <c r="B3068" s="3" t="s">
        <v>39</v>
      </c>
      <c r="C3068" s="4">
        <v>46054</v>
      </c>
      <c r="D3068" s="4">
        <v>46081</v>
      </c>
      <c r="E3068" s="3" t="s">
        <v>161</v>
      </c>
      <c r="F3068" s="3" t="s">
        <v>171</v>
      </c>
      <c r="G3068" s="5">
        <v>6.0000000000000001E-3</v>
      </c>
      <c r="H3068" s="6" t="s">
        <v>56</v>
      </c>
      <c r="I3068" s="3" t="s">
        <v>45</v>
      </c>
    </row>
    <row r="3069" spans="1:9" ht="48" customHeight="1">
      <c r="A3069" s="3" t="s">
        <v>40</v>
      </c>
      <c r="B3069" s="3" t="s">
        <v>39</v>
      </c>
      <c r="C3069" s="4">
        <v>46054</v>
      </c>
      <c r="D3069" s="4">
        <v>46081</v>
      </c>
      <c r="E3069" s="3" t="s">
        <v>161</v>
      </c>
      <c r="F3069" s="3" t="s">
        <v>182</v>
      </c>
      <c r="G3069" s="5">
        <v>6.0000000000000001E-3</v>
      </c>
      <c r="H3069" s="6" t="s">
        <v>56</v>
      </c>
      <c r="I3069" s="3" t="s">
        <v>45</v>
      </c>
    </row>
    <row r="3070" spans="1:9" ht="48" customHeight="1">
      <c r="A3070" s="3" t="s">
        <v>40</v>
      </c>
      <c r="B3070" s="3" t="s">
        <v>39</v>
      </c>
      <c r="C3070" s="4">
        <v>46054</v>
      </c>
      <c r="D3070" s="4">
        <v>46081</v>
      </c>
      <c r="E3070" s="3" t="s">
        <v>161</v>
      </c>
      <c r="F3070" s="3" t="s">
        <v>384</v>
      </c>
      <c r="G3070" s="5">
        <v>6.0000000000000001E-3</v>
      </c>
      <c r="H3070" s="6" t="s">
        <v>56</v>
      </c>
      <c r="I3070" s="3" t="s">
        <v>45</v>
      </c>
    </row>
    <row r="3071" spans="1:9" ht="48" customHeight="1">
      <c r="A3071" s="3" t="s">
        <v>40</v>
      </c>
      <c r="B3071" s="3" t="s">
        <v>39</v>
      </c>
      <c r="C3071" s="4">
        <v>46054</v>
      </c>
      <c r="D3071" s="4">
        <v>46081</v>
      </c>
      <c r="E3071" s="3" t="s">
        <v>161</v>
      </c>
      <c r="F3071" s="3" t="s">
        <v>174</v>
      </c>
      <c r="G3071" s="5">
        <v>5.0000000000000001E-3</v>
      </c>
      <c r="H3071" s="6" t="s">
        <v>56</v>
      </c>
      <c r="I3071" s="3" t="s">
        <v>45</v>
      </c>
    </row>
    <row r="3072" spans="1:9" ht="48" customHeight="1">
      <c r="A3072" s="3" t="s">
        <v>40</v>
      </c>
      <c r="B3072" s="3" t="s">
        <v>39</v>
      </c>
      <c r="C3072" s="4">
        <v>46054</v>
      </c>
      <c r="D3072" s="4">
        <v>46081</v>
      </c>
      <c r="E3072" s="3" t="s">
        <v>161</v>
      </c>
      <c r="F3072" s="3" t="s">
        <v>191</v>
      </c>
      <c r="G3072" s="5">
        <v>5.0000000000000001E-3</v>
      </c>
      <c r="H3072" s="6" t="s">
        <v>56</v>
      </c>
      <c r="I3072" s="3" t="s">
        <v>45</v>
      </c>
    </row>
    <row r="3073" spans="1:9" ht="48" customHeight="1">
      <c r="A3073" s="3" t="s">
        <v>40</v>
      </c>
      <c r="B3073" s="3" t="s">
        <v>39</v>
      </c>
      <c r="C3073" s="4">
        <v>46054</v>
      </c>
      <c r="D3073" s="4">
        <v>46081</v>
      </c>
      <c r="E3073" s="3" t="s">
        <v>161</v>
      </c>
      <c r="F3073" s="3" t="s">
        <v>170</v>
      </c>
      <c r="G3073" s="5">
        <v>5.0000000000000001E-3</v>
      </c>
      <c r="H3073" s="6" t="s">
        <v>56</v>
      </c>
      <c r="I3073" s="3" t="s">
        <v>45</v>
      </c>
    </row>
    <row r="3074" spans="1:9" ht="48" customHeight="1">
      <c r="A3074" s="3" t="s">
        <v>40</v>
      </c>
      <c r="B3074" s="3" t="s">
        <v>39</v>
      </c>
      <c r="C3074" s="4">
        <v>46054</v>
      </c>
      <c r="D3074" s="4">
        <v>46081</v>
      </c>
      <c r="E3074" s="3" t="s">
        <v>161</v>
      </c>
      <c r="F3074" s="3" t="s">
        <v>178</v>
      </c>
      <c r="G3074" s="5">
        <v>5.0000000000000001E-3</v>
      </c>
      <c r="H3074" s="6" t="s">
        <v>56</v>
      </c>
      <c r="I3074" s="3" t="s">
        <v>45</v>
      </c>
    </row>
    <row r="3075" spans="1:9" ht="48" customHeight="1">
      <c r="A3075" s="3" t="s">
        <v>40</v>
      </c>
      <c r="B3075" s="3" t="s">
        <v>39</v>
      </c>
      <c r="C3075" s="4">
        <v>46054</v>
      </c>
      <c r="D3075" s="4">
        <v>46081</v>
      </c>
      <c r="E3075" s="3" t="s">
        <v>161</v>
      </c>
      <c r="F3075" s="3" t="s">
        <v>179</v>
      </c>
      <c r="G3075" s="5">
        <v>5.0000000000000001E-3</v>
      </c>
      <c r="H3075" s="6" t="s">
        <v>56</v>
      </c>
      <c r="I3075" s="3" t="s">
        <v>45</v>
      </c>
    </row>
    <row r="3076" spans="1:9" ht="48" customHeight="1">
      <c r="A3076" s="3" t="s">
        <v>40</v>
      </c>
      <c r="B3076" s="3" t="s">
        <v>39</v>
      </c>
      <c r="C3076" s="4">
        <v>46054</v>
      </c>
      <c r="D3076" s="4">
        <v>46081</v>
      </c>
      <c r="E3076" s="3" t="s">
        <v>161</v>
      </c>
      <c r="F3076" s="3" t="s">
        <v>200</v>
      </c>
      <c r="G3076" s="5">
        <v>5.0000000000000001E-3</v>
      </c>
      <c r="H3076" s="6" t="s">
        <v>56</v>
      </c>
      <c r="I3076" s="3" t="s">
        <v>45</v>
      </c>
    </row>
    <row r="3077" spans="1:9" ht="48" customHeight="1">
      <c r="A3077" s="3" t="s">
        <v>40</v>
      </c>
      <c r="B3077" s="3" t="s">
        <v>39</v>
      </c>
      <c r="C3077" s="4">
        <v>46054</v>
      </c>
      <c r="D3077" s="4">
        <v>46081</v>
      </c>
      <c r="E3077" s="3" t="s">
        <v>161</v>
      </c>
      <c r="F3077" s="3" t="s">
        <v>175</v>
      </c>
      <c r="G3077" s="5">
        <v>4.0000000000000001E-3</v>
      </c>
      <c r="H3077" s="6" t="s">
        <v>56</v>
      </c>
      <c r="I3077" s="3" t="s">
        <v>45</v>
      </c>
    </row>
    <row r="3078" spans="1:9" ht="48" customHeight="1">
      <c r="A3078" s="3" t="s">
        <v>40</v>
      </c>
      <c r="B3078" s="3" t="s">
        <v>39</v>
      </c>
      <c r="C3078" s="4">
        <v>46054</v>
      </c>
      <c r="D3078" s="4">
        <v>46081</v>
      </c>
      <c r="E3078" s="3" t="s">
        <v>161</v>
      </c>
      <c r="F3078" s="3" t="s">
        <v>189</v>
      </c>
      <c r="G3078" s="5">
        <v>4.0000000000000001E-3</v>
      </c>
      <c r="H3078" s="6" t="s">
        <v>56</v>
      </c>
      <c r="I3078" s="3" t="s">
        <v>45</v>
      </c>
    </row>
    <row r="3079" spans="1:9" ht="48" customHeight="1">
      <c r="A3079" s="3" t="s">
        <v>40</v>
      </c>
      <c r="B3079" s="3" t="s">
        <v>39</v>
      </c>
      <c r="C3079" s="4">
        <v>46054</v>
      </c>
      <c r="D3079" s="4">
        <v>46081</v>
      </c>
      <c r="E3079" s="3" t="s">
        <v>161</v>
      </c>
      <c r="F3079" s="3" t="s">
        <v>190</v>
      </c>
      <c r="G3079" s="5">
        <v>4.0000000000000001E-3</v>
      </c>
      <c r="H3079" s="6" t="s">
        <v>56</v>
      </c>
      <c r="I3079" s="3" t="s">
        <v>45</v>
      </c>
    </row>
    <row r="3080" spans="1:9" ht="48" customHeight="1">
      <c r="A3080" s="3" t="s">
        <v>40</v>
      </c>
      <c r="B3080" s="3" t="s">
        <v>39</v>
      </c>
      <c r="C3080" s="4">
        <v>46054</v>
      </c>
      <c r="D3080" s="4">
        <v>46081</v>
      </c>
      <c r="E3080" s="3" t="s">
        <v>161</v>
      </c>
      <c r="F3080" s="3" t="s">
        <v>176</v>
      </c>
      <c r="G3080" s="5">
        <v>4.0000000000000001E-3</v>
      </c>
      <c r="H3080" s="6" t="s">
        <v>56</v>
      </c>
      <c r="I3080" s="3" t="s">
        <v>45</v>
      </c>
    </row>
    <row r="3081" spans="1:9" ht="48" customHeight="1">
      <c r="A3081" s="3" t="s">
        <v>40</v>
      </c>
      <c r="B3081" s="3" t="s">
        <v>39</v>
      </c>
      <c r="C3081" s="4">
        <v>46054</v>
      </c>
      <c r="D3081" s="4">
        <v>46081</v>
      </c>
      <c r="E3081" s="3" t="s">
        <v>161</v>
      </c>
      <c r="F3081" s="3" t="s">
        <v>185</v>
      </c>
      <c r="G3081" s="5">
        <v>4.0000000000000001E-3</v>
      </c>
      <c r="H3081" s="6" t="s">
        <v>56</v>
      </c>
      <c r="I3081" s="3" t="s">
        <v>45</v>
      </c>
    </row>
    <row r="3082" spans="1:9" ht="48" customHeight="1">
      <c r="A3082" s="3" t="s">
        <v>40</v>
      </c>
      <c r="B3082" s="3" t="s">
        <v>39</v>
      </c>
      <c r="C3082" s="4">
        <v>46054</v>
      </c>
      <c r="D3082" s="4">
        <v>46081</v>
      </c>
      <c r="E3082" s="3" t="s">
        <v>161</v>
      </c>
      <c r="F3082" s="3" t="s">
        <v>187</v>
      </c>
      <c r="G3082" s="5">
        <v>4.0000000000000001E-3</v>
      </c>
      <c r="H3082" s="6" t="s">
        <v>56</v>
      </c>
      <c r="I3082" s="3" t="s">
        <v>45</v>
      </c>
    </row>
    <row r="3083" spans="1:9" ht="48" customHeight="1">
      <c r="A3083" s="3" t="s">
        <v>40</v>
      </c>
      <c r="B3083" s="3" t="s">
        <v>39</v>
      </c>
      <c r="C3083" s="4">
        <v>46054</v>
      </c>
      <c r="D3083" s="4">
        <v>46081</v>
      </c>
      <c r="E3083" s="3" t="s">
        <v>161</v>
      </c>
      <c r="F3083" s="3" t="s">
        <v>193</v>
      </c>
      <c r="G3083" s="5">
        <v>4.0000000000000001E-3</v>
      </c>
      <c r="H3083" s="6" t="s">
        <v>56</v>
      </c>
      <c r="I3083" s="3" t="s">
        <v>45</v>
      </c>
    </row>
    <row r="3084" spans="1:9" ht="48" customHeight="1">
      <c r="A3084" s="3" t="s">
        <v>40</v>
      </c>
      <c r="B3084" s="3" t="s">
        <v>39</v>
      </c>
      <c r="C3084" s="4">
        <v>46054</v>
      </c>
      <c r="D3084" s="4">
        <v>46081</v>
      </c>
      <c r="E3084" s="3" t="s">
        <v>161</v>
      </c>
      <c r="F3084" s="3" t="s">
        <v>183</v>
      </c>
      <c r="G3084" s="5">
        <v>4.0000000000000001E-3</v>
      </c>
      <c r="H3084" s="6" t="s">
        <v>56</v>
      </c>
      <c r="I3084" s="3" t="s">
        <v>45</v>
      </c>
    </row>
    <row r="3085" spans="1:9" ht="48" customHeight="1">
      <c r="A3085" s="3" t="s">
        <v>40</v>
      </c>
      <c r="B3085" s="3" t="s">
        <v>39</v>
      </c>
      <c r="C3085" s="4">
        <v>46054</v>
      </c>
      <c r="D3085" s="4">
        <v>46081</v>
      </c>
      <c r="E3085" s="3" t="s">
        <v>161</v>
      </c>
      <c r="F3085" s="3" t="s">
        <v>196</v>
      </c>
      <c r="G3085" s="5">
        <v>4.0000000000000001E-3</v>
      </c>
      <c r="H3085" s="6" t="s">
        <v>56</v>
      </c>
      <c r="I3085" s="3" t="s">
        <v>45</v>
      </c>
    </row>
    <row r="3086" spans="1:9" ht="48" customHeight="1">
      <c r="A3086" s="3" t="s">
        <v>40</v>
      </c>
      <c r="B3086" s="3" t="s">
        <v>39</v>
      </c>
      <c r="C3086" s="4">
        <v>46054</v>
      </c>
      <c r="D3086" s="4">
        <v>46081</v>
      </c>
      <c r="E3086" s="3" t="s">
        <v>161</v>
      </c>
      <c r="F3086" s="3" t="s">
        <v>201</v>
      </c>
      <c r="G3086" s="5">
        <v>4.0000000000000001E-3</v>
      </c>
      <c r="H3086" s="6" t="s">
        <v>56</v>
      </c>
      <c r="I3086" s="3" t="s">
        <v>45</v>
      </c>
    </row>
    <row r="3087" spans="1:9" ht="48" customHeight="1">
      <c r="A3087" s="3" t="s">
        <v>40</v>
      </c>
      <c r="B3087" s="3" t="s">
        <v>39</v>
      </c>
      <c r="C3087" s="4">
        <v>46054</v>
      </c>
      <c r="D3087" s="4">
        <v>46081</v>
      </c>
      <c r="E3087" s="3" t="s">
        <v>161</v>
      </c>
      <c r="F3087" s="3" t="s">
        <v>186</v>
      </c>
      <c r="G3087" s="5">
        <v>3.0000000000000001E-3</v>
      </c>
      <c r="H3087" s="6" t="s">
        <v>56</v>
      </c>
      <c r="I3087" s="3" t="s">
        <v>45</v>
      </c>
    </row>
    <row r="3088" spans="1:9" ht="48" customHeight="1">
      <c r="A3088" s="3" t="s">
        <v>40</v>
      </c>
      <c r="B3088" s="3" t="s">
        <v>39</v>
      </c>
      <c r="C3088" s="4">
        <v>46054</v>
      </c>
      <c r="D3088" s="4">
        <v>46081</v>
      </c>
      <c r="E3088" s="3" t="s">
        <v>161</v>
      </c>
      <c r="F3088" s="3" t="s">
        <v>192</v>
      </c>
      <c r="G3088" s="5">
        <v>3.0000000000000001E-3</v>
      </c>
      <c r="H3088" s="6" t="s">
        <v>56</v>
      </c>
      <c r="I3088" s="3" t="s">
        <v>45</v>
      </c>
    </row>
    <row r="3089" spans="1:9" ht="48" customHeight="1">
      <c r="A3089" s="3" t="s">
        <v>40</v>
      </c>
      <c r="B3089" s="3" t="s">
        <v>39</v>
      </c>
      <c r="C3089" s="4">
        <v>46054</v>
      </c>
      <c r="D3089" s="4">
        <v>46081</v>
      </c>
      <c r="E3089" s="3" t="s">
        <v>161</v>
      </c>
      <c r="F3089" s="3" t="s">
        <v>194</v>
      </c>
      <c r="G3089" s="5">
        <v>3.0000000000000001E-3</v>
      </c>
      <c r="H3089" s="6" t="s">
        <v>56</v>
      </c>
      <c r="I3089" s="3" t="s">
        <v>45</v>
      </c>
    </row>
    <row r="3090" spans="1:9" ht="48" customHeight="1">
      <c r="A3090" s="3" t="s">
        <v>40</v>
      </c>
      <c r="B3090" s="3" t="s">
        <v>39</v>
      </c>
      <c r="C3090" s="4">
        <v>46054</v>
      </c>
      <c r="D3090" s="4">
        <v>46081</v>
      </c>
      <c r="E3090" s="3" t="s">
        <v>161</v>
      </c>
      <c r="F3090" s="3" t="s">
        <v>386</v>
      </c>
      <c r="G3090" s="5">
        <v>3.0000000000000001E-3</v>
      </c>
      <c r="H3090" s="6" t="s">
        <v>56</v>
      </c>
      <c r="I3090" s="3" t="s">
        <v>45</v>
      </c>
    </row>
    <row r="3091" spans="1:9" ht="48" customHeight="1">
      <c r="A3091" s="3" t="s">
        <v>40</v>
      </c>
      <c r="B3091" s="3" t="s">
        <v>39</v>
      </c>
      <c r="C3091" s="4">
        <v>46054</v>
      </c>
      <c r="D3091" s="4">
        <v>46081</v>
      </c>
      <c r="E3091" s="3" t="s">
        <v>161</v>
      </c>
      <c r="F3091" s="3" t="s">
        <v>387</v>
      </c>
      <c r="G3091" s="5">
        <v>3.0000000000000001E-3</v>
      </c>
      <c r="H3091" s="6" t="s">
        <v>56</v>
      </c>
      <c r="I3091" s="3" t="s">
        <v>45</v>
      </c>
    </row>
    <row r="3092" spans="1:9" ht="48" customHeight="1">
      <c r="A3092" s="3" t="s">
        <v>40</v>
      </c>
      <c r="B3092" s="3" t="s">
        <v>39</v>
      </c>
      <c r="C3092" s="4">
        <v>46054</v>
      </c>
      <c r="D3092" s="4">
        <v>46081</v>
      </c>
      <c r="E3092" s="3" t="s">
        <v>161</v>
      </c>
      <c r="F3092" s="3" t="s">
        <v>197</v>
      </c>
      <c r="G3092" s="5">
        <v>2E-3</v>
      </c>
      <c r="H3092" s="6" t="s">
        <v>56</v>
      </c>
      <c r="I3092" s="3" t="s">
        <v>45</v>
      </c>
    </row>
    <row r="3093" spans="1:9" ht="48" customHeight="1">
      <c r="A3093" s="3" t="s">
        <v>40</v>
      </c>
      <c r="B3093" s="3" t="s">
        <v>39</v>
      </c>
      <c r="C3093" s="4">
        <v>46054</v>
      </c>
      <c r="D3093" s="4">
        <v>46081</v>
      </c>
      <c r="E3093" s="3" t="s">
        <v>161</v>
      </c>
      <c r="F3093" s="3" t="s">
        <v>198</v>
      </c>
      <c r="G3093" s="5">
        <v>2E-3</v>
      </c>
      <c r="H3093" s="6" t="s">
        <v>56</v>
      </c>
      <c r="I3093" s="3" t="s">
        <v>45</v>
      </c>
    </row>
    <row r="3094" spans="1:9" ht="48" customHeight="1">
      <c r="A3094" s="3" t="s">
        <v>40</v>
      </c>
      <c r="B3094" s="3" t="s">
        <v>39</v>
      </c>
      <c r="C3094" s="4">
        <v>46054</v>
      </c>
      <c r="D3094" s="4">
        <v>46081</v>
      </c>
      <c r="E3094" s="3" t="s">
        <v>161</v>
      </c>
      <c r="F3094" s="3" t="s">
        <v>199</v>
      </c>
      <c r="G3094" s="5">
        <v>2E-3</v>
      </c>
      <c r="H3094" s="6" t="s">
        <v>56</v>
      </c>
      <c r="I3094" s="3" t="s">
        <v>45</v>
      </c>
    </row>
    <row r="3095" spans="1:9" ht="48" customHeight="1">
      <c r="A3095" s="3" t="s">
        <v>40</v>
      </c>
      <c r="B3095" s="3" t="s">
        <v>39</v>
      </c>
      <c r="C3095" s="4">
        <v>46054</v>
      </c>
      <c r="D3095" s="4">
        <v>46081</v>
      </c>
      <c r="E3095" s="3" t="s">
        <v>161</v>
      </c>
      <c r="F3095" s="3" t="s">
        <v>202</v>
      </c>
      <c r="G3095" s="5">
        <v>1E-3</v>
      </c>
      <c r="H3095" s="6" t="s">
        <v>56</v>
      </c>
      <c r="I3095" s="3" t="s">
        <v>45</v>
      </c>
    </row>
    <row r="3096" spans="1:9" ht="48" customHeight="1">
      <c r="A3096" s="3" t="s">
        <v>40</v>
      </c>
      <c r="B3096" s="3" t="s">
        <v>39</v>
      </c>
      <c r="C3096" s="4">
        <v>46054</v>
      </c>
      <c r="D3096" s="4">
        <v>46081</v>
      </c>
      <c r="E3096" s="3" t="s">
        <v>161</v>
      </c>
      <c r="F3096" s="3" t="s">
        <v>204</v>
      </c>
      <c r="G3096" s="5">
        <v>1E-3</v>
      </c>
      <c r="H3096" s="6" t="s">
        <v>56</v>
      </c>
      <c r="I3096" s="3" t="s">
        <v>45</v>
      </c>
    </row>
    <row r="3097" spans="1:9" ht="48" customHeight="1">
      <c r="A3097" s="3" t="s">
        <v>40</v>
      </c>
      <c r="B3097" s="3" t="s">
        <v>39</v>
      </c>
      <c r="C3097" s="4">
        <v>46054</v>
      </c>
      <c r="D3097" s="4">
        <v>46081</v>
      </c>
      <c r="E3097" s="3" t="s">
        <v>161</v>
      </c>
      <c r="F3097" s="3" t="s">
        <v>203</v>
      </c>
      <c r="G3097" s="5">
        <v>0</v>
      </c>
      <c r="H3097" s="6" t="s">
        <v>56</v>
      </c>
      <c r="I3097" s="3" t="s">
        <v>45</v>
      </c>
    </row>
    <row r="3098" spans="1:9" ht="48" customHeight="1">
      <c r="A3098" s="3" t="s">
        <v>40</v>
      </c>
      <c r="B3098" s="3" t="s">
        <v>39</v>
      </c>
      <c r="C3098" s="4">
        <v>46054</v>
      </c>
      <c r="D3098" s="4">
        <v>46081</v>
      </c>
      <c r="E3098" s="3" t="s">
        <v>286</v>
      </c>
      <c r="F3098" s="3" t="s">
        <v>293</v>
      </c>
      <c r="G3098" s="5">
        <v>9.6000000000000002E-2</v>
      </c>
      <c r="H3098" s="6" t="s">
        <v>56</v>
      </c>
      <c r="I3098" s="3" t="s">
        <v>45</v>
      </c>
    </row>
    <row r="3099" spans="1:9" ht="48" customHeight="1">
      <c r="A3099" s="3" t="s">
        <v>40</v>
      </c>
      <c r="B3099" s="3" t="s">
        <v>39</v>
      </c>
      <c r="C3099" s="4">
        <v>46054</v>
      </c>
      <c r="D3099" s="4">
        <v>46081</v>
      </c>
      <c r="E3099" s="3" t="s">
        <v>286</v>
      </c>
      <c r="F3099" s="3" t="s">
        <v>300</v>
      </c>
      <c r="G3099" s="5">
        <v>1.8000000000000002E-2</v>
      </c>
      <c r="H3099" s="6" t="s">
        <v>56</v>
      </c>
      <c r="I3099" s="3" t="s">
        <v>45</v>
      </c>
    </row>
    <row r="3100" spans="1:9" ht="48" customHeight="1">
      <c r="A3100" s="3" t="s">
        <v>40</v>
      </c>
      <c r="B3100" s="3" t="s">
        <v>39</v>
      </c>
      <c r="C3100" s="4">
        <v>46054</v>
      </c>
      <c r="D3100" s="4">
        <v>46081</v>
      </c>
      <c r="E3100" s="3" t="s">
        <v>286</v>
      </c>
      <c r="F3100" s="3" t="s">
        <v>291</v>
      </c>
      <c r="G3100" s="5">
        <v>1.4999999999999999E-2</v>
      </c>
      <c r="H3100" s="6" t="s">
        <v>56</v>
      </c>
      <c r="I3100" s="3" t="s">
        <v>45</v>
      </c>
    </row>
    <row r="3101" spans="1:9" ht="48" customHeight="1">
      <c r="A3101" s="3" t="s">
        <v>40</v>
      </c>
      <c r="B3101" s="3" t="s">
        <v>39</v>
      </c>
      <c r="C3101" s="4">
        <v>46054</v>
      </c>
      <c r="D3101" s="4">
        <v>46081</v>
      </c>
      <c r="E3101" s="3" t="s">
        <v>286</v>
      </c>
      <c r="F3101" s="3" t="s">
        <v>287</v>
      </c>
      <c r="G3101" s="5">
        <v>5.0000000000000001E-3</v>
      </c>
      <c r="H3101" s="6" t="s">
        <v>56</v>
      </c>
      <c r="I3101" s="3" t="s">
        <v>45</v>
      </c>
    </row>
    <row r="3102" spans="1:9" ht="48" customHeight="1">
      <c r="A3102" s="3" t="s">
        <v>40</v>
      </c>
      <c r="B3102" s="3" t="s">
        <v>39</v>
      </c>
      <c r="C3102" s="4">
        <v>46054</v>
      </c>
      <c r="D3102" s="4">
        <v>46081</v>
      </c>
      <c r="E3102" s="3" t="s">
        <v>286</v>
      </c>
      <c r="F3102" s="3" t="s">
        <v>289</v>
      </c>
      <c r="G3102" s="5">
        <v>5.0000000000000001E-3</v>
      </c>
      <c r="H3102" s="6" t="s">
        <v>56</v>
      </c>
      <c r="I3102" s="3" t="s">
        <v>45</v>
      </c>
    </row>
    <row r="3103" spans="1:9" ht="48" customHeight="1">
      <c r="A3103" s="3" t="s">
        <v>40</v>
      </c>
      <c r="B3103" s="3" t="s">
        <v>39</v>
      </c>
      <c r="C3103" s="4">
        <v>46054</v>
      </c>
      <c r="D3103" s="4">
        <v>46081</v>
      </c>
      <c r="E3103" s="3" t="s">
        <v>286</v>
      </c>
      <c r="F3103" s="3" t="s">
        <v>292</v>
      </c>
      <c r="G3103" s="5">
        <v>5.0000000000000001E-3</v>
      </c>
      <c r="H3103" s="6" t="s">
        <v>56</v>
      </c>
      <c r="I3103" s="3" t="s">
        <v>45</v>
      </c>
    </row>
    <row r="3104" spans="1:9" ht="48" customHeight="1">
      <c r="A3104" s="3" t="s">
        <v>40</v>
      </c>
      <c r="B3104" s="3" t="s">
        <v>39</v>
      </c>
      <c r="C3104" s="4">
        <v>46054</v>
      </c>
      <c r="D3104" s="4">
        <v>46081</v>
      </c>
      <c r="E3104" s="3" t="s">
        <v>286</v>
      </c>
      <c r="F3104" s="3" t="s">
        <v>290</v>
      </c>
      <c r="G3104" s="5">
        <v>4.0000000000000001E-3</v>
      </c>
      <c r="H3104" s="6" t="s">
        <v>56</v>
      </c>
      <c r="I3104" s="3" t="s">
        <v>45</v>
      </c>
    </row>
    <row r="3105" spans="1:9" ht="48" customHeight="1">
      <c r="A3105" s="3" t="s">
        <v>40</v>
      </c>
      <c r="B3105" s="3" t="s">
        <v>39</v>
      </c>
      <c r="C3105" s="4">
        <v>46054</v>
      </c>
      <c r="D3105" s="4">
        <v>46081</v>
      </c>
      <c r="E3105" s="3" t="s">
        <v>286</v>
      </c>
      <c r="F3105" s="3" t="s">
        <v>288</v>
      </c>
      <c r="G3105" s="5">
        <v>4.0000000000000001E-3</v>
      </c>
      <c r="H3105" s="6" t="s">
        <v>56</v>
      </c>
      <c r="I3105" s="3" t="s">
        <v>45</v>
      </c>
    </row>
    <row r="3106" spans="1:9" ht="48" customHeight="1">
      <c r="A3106" s="3" t="s">
        <v>40</v>
      </c>
      <c r="B3106" s="3" t="s">
        <v>39</v>
      </c>
      <c r="C3106" s="4">
        <v>46054</v>
      </c>
      <c r="D3106" s="4">
        <v>46081</v>
      </c>
      <c r="E3106" s="3" t="s">
        <v>286</v>
      </c>
      <c r="F3106" s="3" t="s">
        <v>297</v>
      </c>
      <c r="G3106" s="5">
        <v>3.0000000000000001E-3</v>
      </c>
      <c r="H3106" s="6" t="s">
        <v>56</v>
      </c>
      <c r="I3106" s="3" t="s">
        <v>45</v>
      </c>
    </row>
    <row r="3107" spans="1:9" ht="48" customHeight="1">
      <c r="A3107" s="3" t="s">
        <v>40</v>
      </c>
      <c r="B3107" s="3" t="s">
        <v>39</v>
      </c>
      <c r="C3107" s="4">
        <v>46054</v>
      </c>
      <c r="D3107" s="4">
        <v>46081</v>
      </c>
      <c r="E3107" s="3" t="s">
        <v>286</v>
      </c>
      <c r="F3107" s="3" t="s">
        <v>294</v>
      </c>
      <c r="G3107" s="5">
        <v>1E-3</v>
      </c>
      <c r="H3107" s="6" t="s">
        <v>56</v>
      </c>
      <c r="I3107" s="3" t="s">
        <v>45</v>
      </c>
    </row>
    <row r="3108" spans="1:9" ht="48" customHeight="1">
      <c r="A3108" s="3" t="s">
        <v>40</v>
      </c>
      <c r="B3108" s="3" t="s">
        <v>39</v>
      </c>
      <c r="C3108" s="4">
        <v>46054</v>
      </c>
      <c r="D3108" s="4">
        <v>46081</v>
      </c>
      <c r="E3108" s="3" t="s">
        <v>286</v>
      </c>
      <c r="F3108" s="3" t="s">
        <v>296</v>
      </c>
      <c r="G3108" s="5">
        <v>1E-3</v>
      </c>
      <c r="H3108" s="6" t="s">
        <v>56</v>
      </c>
      <c r="I3108" s="3" t="s">
        <v>45</v>
      </c>
    </row>
    <row r="3109" spans="1:9" ht="48" customHeight="1">
      <c r="A3109" s="3" t="s">
        <v>40</v>
      </c>
      <c r="B3109" s="3" t="s">
        <v>39</v>
      </c>
      <c r="C3109" s="4">
        <v>46054</v>
      </c>
      <c r="D3109" s="4">
        <v>46081</v>
      </c>
      <c r="E3109" s="3" t="s">
        <v>286</v>
      </c>
      <c r="F3109" s="3" t="s">
        <v>298</v>
      </c>
      <c r="G3109" s="5">
        <v>1E-3</v>
      </c>
      <c r="H3109" s="6" t="s">
        <v>56</v>
      </c>
      <c r="I3109" s="3" t="s">
        <v>45</v>
      </c>
    </row>
    <row r="3110" spans="1:9" ht="48" customHeight="1">
      <c r="A3110" s="3" t="s">
        <v>40</v>
      </c>
      <c r="B3110" s="3" t="s">
        <v>39</v>
      </c>
      <c r="C3110" s="4">
        <v>46054</v>
      </c>
      <c r="D3110" s="4">
        <v>46081</v>
      </c>
      <c r="E3110" s="3" t="s">
        <v>286</v>
      </c>
      <c r="F3110" s="3" t="s">
        <v>299</v>
      </c>
      <c r="G3110" s="5">
        <v>1E-3</v>
      </c>
      <c r="H3110" s="6" t="s">
        <v>56</v>
      </c>
      <c r="I3110" s="3" t="s">
        <v>45</v>
      </c>
    </row>
    <row r="3111" spans="1:9" ht="48" customHeight="1">
      <c r="A3111" s="3" t="s">
        <v>40</v>
      </c>
      <c r="B3111" s="3" t="s">
        <v>39</v>
      </c>
      <c r="C3111" s="4">
        <v>46054</v>
      </c>
      <c r="D3111" s="4">
        <v>46081</v>
      </c>
      <c r="E3111" s="3" t="s">
        <v>286</v>
      </c>
      <c r="F3111" s="3" t="s">
        <v>295</v>
      </c>
      <c r="G3111" s="5">
        <v>0</v>
      </c>
      <c r="H3111" s="6" t="s">
        <v>56</v>
      </c>
      <c r="I3111" s="3" t="s">
        <v>45</v>
      </c>
    </row>
    <row r="3112" spans="1:9" ht="48" customHeight="1">
      <c r="A3112" s="3" t="s">
        <v>40</v>
      </c>
      <c r="B3112" s="3" t="s">
        <v>39</v>
      </c>
      <c r="C3112" s="4">
        <v>46054</v>
      </c>
      <c r="D3112" s="4">
        <v>46081</v>
      </c>
      <c r="E3112" s="3" t="s">
        <v>205</v>
      </c>
      <c r="F3112" s="3" t="s">
        <v>210</v>
      </c>
      <c r="G3112" s="5">
        <v>9.0000000000000011E-3</v>
      </c>
      <c r="H3112" s="6" t="s">
        <v>56</v>
      </c>
      <c r="I3112" s="3" t="s">
        <v>45</v>
      </c>
    </row>
    <row r="3113" spans="1:9" ht="48" customHeight="1">
      <c r="A3113" s="3" t="s">
        <v>40</v>
      </c>
      <c r="B3113" s="3" t="s">
        <v>39</v>
      </c>
      <c r="C3113" s="4">
        <v>46054</v>
      </c>
      <c r="D3113" s="4">
        <v>46081</v>
      </c>
      <c r="E3113" s="3" t="s">
        <v>205</v>
      </c>
      <c r="F3113" s="3" t="s">
        <v>209</v>
      </c>
      <c r="G3113" s="5">
        <v>8.0000000000000002E-3</v>
      </c>
      <c r="H3113" s="6" t="s">
        <v>56</v>
      </c>
      <c r="I3113" s="3" t="s">
        <v>45</v>
      </c>
    </row>
    <row r="3114" spans="1:9" ht="48" customHeight="1">
      <c r="A3114" s="3" t="s">
        <v>40</v>
      </c>
      <c r="B3114" s="3" t="s">
        <v>39</v>
      </c>
      <c r="C3114" s="4">
        <v>46054</v>
      </c>
      <c r="D3114" s="4">
        <v>46081</v>
      </c>
      <c r="E3114" s="3" t="s">
        <v>205</v>
      </c>
      <c r="F3114" s="3" t="s">
        <v>216</v>
      </c>
      <c r="G3114" s="5">
        <v>8.0000000000000002E-3</v>
      </c>
      <c r="H3114" s="6" t="s">
        <v>56</v>
      </c>
      <c r="I3114" s="3" t="s">
        <v>45</v>
      </c>
    </row>
    <row r="3115" spans="1:9" ht="48" customHeight="1">
      <c r="A3115" s="3" t="s">
        <v>40</v>
      </c>
      <c r="B3115" s="3" t="s">
        <v>39</v>
      </c>
      <c r="C3115" s="4">
        <v>46054</v>
      </c>
      <c r="D3115" s="4">
        <v>46081</v>
      </c>
      <c r="E3115" s="3" t="s">
        <v>205</v>
      </c>
      <c r="F3115" s="3" t="s">
        <v>220</v>
      </c>
      <c r="G3115" s="5">
        <v>6.9999999999999993E-3</v>
      </c>
      <c r="H3115" s="6" t="s">
        <v>56</v>
      </c>
      <c r="I3115" s="3" t="s">
        <v>45</v>
      </c>
    </row>
    <row r="3116" spans="1:9" ht="48" customHeight="1">
      <c r="A3116" s="3" t="s">
        <v>40</v>
      </c>
      <c r="B3116" s="3" t="s">
        <v>39</v>
      </c>
      <c r="C3116" s="4">
        <v>46054</v>
      </c>
      <c r="D3116" s="4">
        <v>46081</v>
      </c>
      <c r="E3116" s="3" t="s">
        <v>205</v>
      </c>
      <c r="F3116" s="3" t="s">
        <v>211</v>
      </c>
      <c r="G3116" s="5">
        <v>6.9999999999999993E-3</v>
      </c>
      <c r="H3116" s="6" t="s">
        <v>56</v>
      </c>
      <c r="I3116" s="3" t="s">
        <v>45</v>
      </c>
    </row>
    <row r="3117" spans="1:9" ht="48" customHeight="1">
      <c r="A3117" s="3" t="s">
        <v>40</v>
      </c>
      <c r="B3117" s="3" t="s">
        <v>39</v>
      </c>
      <c r="C3117" s="4">
        <v>46054</v>
      </c>
      <c r="D3117" s="4">
        <v>46081</v>
      </c>
      <c r="E3117" s="3" t="s">
        <v>205</v>
      </c>
      <c r="F3117" s="3" t="s">
        <v>207</v>
      </c>
      <c r="G3117" s="5">
        <v>6.9999999999999993E-3</v>
      </c>
      <c r="H3117" s="6" t="s">
        <v>56</v>
      </c>
      <c r="I3117" s="3" t="s">
        <v>45</v>
      </c>
    </row>
    <row r="3118" spans="1:9" ht="48" customHeight="1">
      <c r="A3118" s="3" t="s">
        <v>40</v>
      </c>
      <c r="B3118" s="3" t="s">
        <v>39</v>
      </c>
      <c r="C3118" s="4">
        <v>46054</v>
      </c>
      <c r="D3118" s="4">
        <v>46081</v>
      </c>
      <c r="E3118" s="3" t="s">
        <v>205</v>
      </c>
      <c r="F3118" s="3" t="s">
        <v>206</v>
      </c>
      <c r="G3118" s="5">
        <v>6.9999999999999993E-3</v>
      </c>
      <c r="H3118" s="6" t="s">
        <v>56</v>
      </c>
      <c r="I3118" s="3" t="s">
        <v>45</v>
      </c>
    </row>
    <row r="3119" spans="1:9" ht="48" customHeight="1">
      <c r="A3119" s="3" t="s">
        <v>40</v>
      </c>
      <c r="B3119" s="3" t="s">
        <v>39</v>
      </c>
      <c r="C3119" s="4">
        <v>46054</v>
      </c>
      <c r="D3119" s="4">
        <v>46081</v>
      </c>
      <c r="E3119" s="3" t="s">
        <v>205</v>
      </c>
      <c r="F3119" s="3" t="s">
        <v>225</v>
      </c>
      <c r="G3119" s="5">
        <v>6.0000000000000001E-3</v>
      </c>
      <c r="H3119" s="6" t="s">
        <v>56</v>
      </c>
      <c r="I3119" s="3" t="s">
        <v>45</v>
      </c>
    </row>
    <row r="3120" spans="1:9" ht="48" customHeight="1">
      <c r="A3120" s="3" t="s">
        <v>40</v>
      </c>
      <c r="B3120" s="3" t="s">
        <v>39</v>
      </c>
      <c r="C3120" s="4">
        <v>46054</v>
      </c>
      <c r="D3120" s="4">
        <v>46081</v>
      </c>
      <c r="E3120" s="3" t="s">
        <v>205</v>
      </c>
      <c r="F3120" s="3" t="s">
        <v>219</v>
      </c>
      <c r="G3120" s="5">
        <v>6.0000000000000001E-3</v>
      </c>
      <c r="H3120" s="6" t="s">
        <v>56</v>
      </c>
      <c r="I3120" s="3" t="s">
        <v>45</v>
      </c>
    </row>
    <row r="3121" spans="1:9" ht="48" customHeight="1">
      <c r="A3121" s="3" t="s">
        <v>40</v>
      </c>
      <c r="B3121" s="3" t="s">
        <v>39</v>
      </c>
      <c r="C3121" s="4">
        <v>46054</v>
      </c>
      <c r="D3121" s="4">
        <v>46081</v>
      </c>
      <c r="E3121" s="3" t="s">
        <v>205</v>
      </c>
      <c r="F3121" s="3" t="s">
        <v>222</v>
      </c>
      <c r="G3121" s="5">
        <v>6.0000000000000001E-3</v>
      </c>
      <c r="H3121" s="6" t="s">
        <v>56</v>
      </c>
      <c r="I3121" s="3" t="s">
        <v>45</v>
      </c>
    </row>
    <row r="3122" spans="1:9" ht="48" customHeight="1">
      <c r="A3122" s="3" t="s">
        <v>40</v>
      </c>
      <c r="B3122" s="3" t="s">
        <v>39</v>
      </c>
      <c r="C3122" s="4">
        <v>46054</v>
      </c>
      <c r="D3122" s="4">
        <v>46081</v>
      </c>
      <c r="E3122" s="3" t="s">
        <v>205</v>
      </c>
      <c r="F3122" s="3" t="s">
        <v>208</v>
      </c>
      <c r="G3122" s="5">
        <v>6.0000000000000001E-3</v>
      </c>
      <c r="H3122" s="6" t="s">
        <v>56</v>
      </c>
      <c r="I3122" s="3" t="s">
        <v>45</v>
      </c>
    </row>
    <row r="3123" spans="1:9" ht="48" customHeight="1">
      <c r="A3123" s="3" t="s">
        <v>40</v>
      </c>
      <c r="B3123" s="3" t="s">
        <v>39</v>
      </c>
      <c r="C3123" s="4">
        <v>46054</v>
      </c>
      <c r="D3123" s="4">
        <v>46081</v>
      </c>
      <c r="E3123" s="3" t="s">
        <v>205</v>
      </c>
      <c r="F3123" s="3" t="s">
        <v>214</v>
      </c>
      <c r="G3123" s="5">
        <v>6.0000000000000001E-3</v>
      </c>
      <c r="H3123" s="6" t="s">
        <v>56</v>
      </c>
      <c r="I3123" s="3" t="s">
        <v>45</v>
      </c>
    </row>
    <row r="3124" spans="1:9" ht="48" customHeight="1">
      <c r="A3124" s="3" t="s">
        <v>40</v>
      </c>
      <c r="B3124" s="3" t="s">
        <v>39</v>
      </c>
      <c r="C3124" s="4">
        <v>46054</v>
      </c>
      <c r="D3124" s="4">
        <v>46081</v>
      </c>
      <c r="E3124" s="3" t="s">
        <v>205</v>
      </c>
      <c r="F3124" s="3" t="s">
        <v>215</v>
      </c>
      <c r="G3124" s="5">
        <v>6.0000000000000001E-3</v>
      </c>
      <c r="H3124" s="6" t="s">
        <v>56</v>
      </c>
      <c r="I3124" s="3" t="s">
        <v>45</v>
      </c>
    </row>
    <row r="3125" spans="1:9" ht="48" customHeight="1">
      <c r="A3125" s="3" t="s">
        <v>40</v>
      </c>
      <c r="B3125" s="3" t="s">
        <v>39</v>
      </c>
      <c r="C3125" s="4">
        <v>46054</v>
      </c>
      <c r="D3125" s="4">
        <v>46081</v>
      </c>
      <c r="E3125" s="3" t="s">
        <v>205</v>
      </c>
      <c r="F3125" s="3" t="s">
        <v>224</v>
      </c>
      <c r="G3125" s="5">
        <v>5.0000000000000001E-3</v>
      </c>
      <c r="H3125" s="6" t="s">
        <v>56</v>
      </c>
      <c r="I3125" s="3" t="s">
        <v>45</v>
      </c>
    </row>
    <row r="3126" spans="1:9" ht="48" customHeight="1">
      <c r="A3126" s="3" t="s">
        <v>40</v>
      </c>
      <c r="B3126" s="3" t="s">
        <v>39</v>
      </c>
      <c r="C3126" s="4">
        <v>46054</v>
      </c>
      <c r="D3126" s="4">
        <v>46081</v>
      </c>
      <c r="E3126" s="3" t="s">
        <v>205</v>
      </c>
      <c r="F3126" s="3" t="s">
        <v>217</v>
      </c>
      <c r="G3126" s="5">
        <v>5.0000000000000001E-3</v>
      </c>
      <c r="H3126" s="6" t="s">
        <v>56</v>
      </c>
      <c r="I3126" s="3" t="s">
        <v>45</v>
      </c>
    </row>
    <row r="3127" spans="1:9" ht="48" customHeight="1">
      <c r="A3127" s="3" t="s">
        <v>40</v>
      </c>
      <c r="B3127" s="3" t="s">
        <v>39</v>
      </c>
      <c r="C3127" s="4">
        <v>46054</v>
      </c>
      <c r="D3127" s="4">
        <v>46081</v>
      </c>
      <c r="E3127" s="3" t="s">
        <v>205</v>
      </c>
      <c r="F3127" s="3" t="s">
        <v>218</v>
      </c>
      <c r="G3127" s="5">
        <v>5.0000000000000001E-3</v>
      </c>
      <c r="H3127" s="6" t="s">
        <v>56</v>
      </c>
      <c r="I3127" s="3" t="s">
        <v>45</v>
      </c>
    </row>
    <row r="3128" spans="1:9" ht="48" customHeight="1">
      <c r="A3128" s="3" t="s">
        <v>40</v>
      </c>
      <c r="B3128" s="3" t="s">
        <v>39</v>
      </c>
      <c r="C3128" s="4">
        <v>46054</v>
      </c>
      <c r="D3128" s="4">
        <v>46081</v>
      </c>
      <c r="E3128" s="3" t="s">
        <v>205</v>
      </c>
      <c r="F3128" s="3" t="s">
        <v>212</v>
      </c>
      <c r="G3128" s="5">
        <v>5.0000000000000001E-3</v>
      </c>
      <c r="H3128" s="6" t="s">
        <v>56</v>
      </c>
      <c r="I3128" s="3" t="s">
        <v>45</v>
      </c>
    </row>
    <row r="3129" spans="1:9" ht="48" customHeight="1">
      <c r="A3129" s="3" t="s">
        <v>40</v>
      </c>
      <c r="B3129" s="3" t="s">
        <v>39</v>
      </c>
      <c r="C3129" s="4">
        <v>46054</v>
      </c>
      <c r="D3129" s="4">
        <v>46081</v>
      </c>
      <c r="E3129" s="3" t="s">
        <v>205</v>
      </c>
      <c r="F3129" s="3" t="s">
        <v>213</v>
      </c>
      <c r="G3129" s="5">
        <v>5.0000000000000001E-3</v>
      </c>
      <c r="H3129" s="6" t="s">
        <v>56</v>
      </c>
      <c r="I3129" s="3" t="s">
        <v>45</v>
      </c>
    </row>
    <row r="3130" spans="1:9" ht="48" customHeight="1">
      <c r="A3130" s="3" t="s">
        <v>40</v>
      </c>
      <c r="B3130" s="3" t="s">
        <v>39</v>
      </c>
      <c r="C3130" s="4">
        <v>46054</v>
      </c>
      <c r="D3130" s="4">
        <v>46081</v>
      </c>
      <c r="E3130" s="3" t="s">
        <v>205</v>
      </c>
      <c r="F3130" s="3" t="s">
        <v>227</v>
      </c>
      <c r="G3130" s="5">
        <v>4.0000000000000001E-3</v>
      </c>
      <c r="H3130" s="6" t="s">
        <v>56</v>
      </c>
      <c r="I3130" s="3" t="s">
        <v>45</v>
      </c>
    </row>
    <row r="3131" spans="1:9" ht="48" customHeight="1">
      <c r="A3131" s="3" t="s">
        <v>40</v>
      </c>
      <c r="B3131" s="3" t="s">
        <v>39</v>
      </c>
      <c r="C3131" s="4">
        <v>46054</v>
      </c>
      <c r="D3131" s="4">
        <v>46081</v>
      </c>
      <c r="E3131" s="3" t="s">
        <v>205</v>
      </c>
      <c r="F3131" s="3" t="s">
        <v>221</v>
      </c>
      <c r="G3131" s="5">
        <v>4.0000000000000001E-3</v>
      </c>
      <c r="H3131" s="6" t="s">
        <v>56</v>
      </c>
      <c r="I3131" s="3" t="s">
        <v>45</v>
      </c>
    </row>
    <row r="3132" spans="1:9" ht="48" customHeight="1">
      <c r="A3132" s="3" t="s">
        <v>40</v>
      </c>
      <c r="B3132" s="3" t="s">
        <v>39</v>
      </c>
      <c r="C3132" s="4">
        <v>46054</v>
      </c>
      <c r="D3132" s="4">
        <v>46081</v>
      </c>
      <c r="E3132" s="3" t="s">
        <v>205</v>
      </c>
      <c r="F3132" s="3" t="s">
        <v>223</v>
      </c>
      <c r="G3132" s="5">
        <v>3.0000000000000001E-3</v>
      </c>
      <c r="H3132" s="6" t="s">
        <v>56</v>
      </c>
      <c r="I3132" s="3" t="s">
        <v>45</v>
      </c>
    </row>
    <row r="3133" spans="1:9" ht="48" customHeight="1">
      <c r="A3133" s="3" t="s">
        <v>40</v>
      </c>
      <c r="B3133" s="3" t="s">
        <v>39</v>
      </c>
      <c r="C3133" s="4">
        <v>46054</v>
      </c>
      <c r="D3133" s="4">
        <v>46081</v>
      </c>
      <c r="E3133" s="3" t="s">
        <v>205</v>
      </c>
      <c r="F3133" s="3" t="s">
        <v>226</v>
      </c>
      <c r="G3133" s="5">
        <v>3.0000000000000001E-3</v>
      </c>
      <c r="H3133" s="6" t="s">
        <v>56</v>
      </c>
      <c r="I3133" s="3" t="s">
        <v>45</v>
      </c>
    </row>
    <row r="3134" spans="1:9" ht="48" customHeight="1">
      <c r="A3134" s="3" t="s">
        <v>40</v>
      </c>
      <c r="B3134" s="3" t="s">
        <v>39</v>
      </c>
      <c r="C3134" s="4">
        <v>46054</v>
      </c>
      <c r="D3134" s="4">
        <v>46081</v>
      </c>
      <c r="E3134" s="3" t="s">
        <v>205</v>
      </c>
      <c r="F3134" s="3" t="s">
        <v>228</v>
      </c>
      <c r="G3134" s="5">
        <v>3.0000000000000001E-3</v>
      </c>
      <c r="H3134" s="6" t="s">
        <v>56</v>
      </c>
      <c r="I3134" s="3" t="s">
        <v>45</v>
      </c>
    </row>
    <row r="3135" spans="1:9" ht="48" customHeight="1">
      <c r="A3135" s="3" t="s">
        <v>40</v>
      </c>
      <c r="B3135" s="3" t="s">
        <v>39</v>
      </c>
      <c r="C3135" s="4">
        <v>46054</v>
      </c>
      <c r="D3135" s="4">
        <v>46081</v>
      </c>
      <c r="E3135" s="3" t="s">
        <v>205</v>
      </c>
      <c r="F3135" s="3" t="s">
        <v>229</v>
      </c>
      <c r="G3135" s="5">
        <v>2E-3</v>
      </c>
      <c r="H3135" s="6" t="s">
        <v>56</v>
      </c>
      <c r="I3135" s="3" t="s">
        <v>45</v>
      </c>
    </row>
    <row r="3136" spans="1:9" ht="48" customHeight="1">
      <c r="A3136" s="3" t="s">
        <v>40</v>
      </c>
      <c r="B3136" s="3" t="s">
        <v>39</v>
      </c>
      <c r="C3136" s="4">
        <v>46054</v>
      </c>
      <c r="D3136" s="4">
        <v>46081</v>
      </c>
      <c r="E3136" s="3" t="s">
        <v>205</v>
      </c>
      <c r="F3136" s="3" t="s">
        <v>230</v>
      </c>
      <c r="G3136" s="5">
        <v>2E-3</v>
      </c>
      <c r="H3136" s="6" t="s">
        <v>56</v>
      </c>
      <c r="I3136" s="3" t="s">
        <v>45</v>
      </c>
    </row>
    <row r="3137" spans="1:9" ht="48" customHeight="1">
      <c r="A3137" s="3" t="s">
        <v>40</v>
      </c>
      <c r="B3137" s="3" t="s">
        <v>39</v>
      </c>
      <c r="C3137" s="4">
        <v>46054</v>
      </c>
      <c r="D3137" s="4">
        <v>46081</v>
      </c>
      <c r="E3137" s="3" t="s">
        <v>236</v>
      </c>
      <c r="F3137" s="3" t="s">
        <v>232</v>
      </c>
      <c r="G3137" s="5">
        <v>0.01</v>
      </c>
      <c r="H3137" s="6" t="s">
        <v>56</v>
      </c>
      <c r="I3137" s="3" t="s">
        <v>45</v>
      </c>
    </row>
    <row r="3138" spans="1:9" ht="48" customHeight="1">
      <c r="A3138" s="3" t="s">
        <v>40</v>
      </c>
      <c r="B3138" s="3" t="s">
        <v>39</v>
      </c>
      <c r="C3138" s="4">
        <v>46054</v>
      </c>
      <c r="D3138" s="4">
        <v>46081</v>
      </c>
      <c r="E3138" s="3" t="s">
        <v>236</v>
      </c>
      <c r="F3138" s="3" t="s">
        <v>238</v>
      </c>
      <c r="G3138" s="5">
        <v>6.9999999999999993E-3</v>
      </c>
      <c r="H3138" s="6" t="s">
        <v>56</v>
      </c>
      <c r="I3138" s="3" t="s">
        <v>45</v>
      </c>
    </row>
    <row r="3139" spans="1:9" ht="48" customHeight="1">
      <c r="A3139" s="3" t="s">
        <v>40</v>
      </c>
      <c r="B3139" s="3" t="s">
        <v>39</v>
      </c>
      <c r="C3139" s="4">
        <v>46054</v>
      </c>
      <c r="D3139" s="4">
        <v>46081</v>
      </c>
      <c r="E3139" s="3" t="s">
        <v>236</v>
      </c>
      <c r="F3139" s="3" t="s">
        <v>239</v>
      </c>
      <c r="G3139" s="5">
        <v>6.9999999999999993E-3</v>
      </c>
      <c r="H3139" s="6" t="s">
        <v>56</v>
      </c>
      <c r="I3139" s="3" t="s">
        <v>45</v>
      </c>
    </row>
    <row r="3140" spans="1:9" ht="48" customHeight="1">
      <c r="A3140" s="3" t="s">
        <v>40</v>
      </c>
      <c r="B3140" s="3" t="s">
        <v>39</v>
      </c>
      <c r="C3140" s="4">
        <v>46054</v>
      </c>
      <c r="D3140" s="4">
        <v>46081</v>
      </c>
      <c r="E3140" s="3" t="s">
        <v>236</v>
      </c>
      <c r="F3140" s="3" t="s">
        <v>240</v>
      </c>
      <c r="G3140" s="5">
        <v>6.0000000000000001E-3</v>
      </c>
      <c r="H3140" s="6" t="s">
        <v>56</v>
      </c>
      <c r="I3140" s="3" t="s">
        <v>45</v>
      </c>
    </row>
    <row r="3141" spans="1:9" ht="48" customHeight="1">
      <c r="A3141" s="3" t="s">
        <v>40</v>
      </c>
      <c r="B3141" s="3" t="s">
        <v>39</v>
      </c>
      <c r="C3141" s="4">
        <v>46054</v>
      </c>
      <c r="D3141" s="4">
        <v>46081</v>
      </c>
      <c r="E3141" s="3" t="s">
        <v>236</v>
      </c>
      <c r="F3141" s="3" t="s">
        <v>237</v>
      </c>
      <c r="G3141" s="5">
        <v>6.0000000000000001E-3</v>
      </c>
      <c r="H3141" s="6" t="s">
        <v>56</v>
      </c>
      <c r="I3141" s="3" t="s">
        <v>45</v>
      </c>
    </row>
    <row r="3142" spans="1:9" ht="48" customHeight="1">
      <c r="A3142" s="3" t="s">
        <v>40</v>
      </c>
      <c r="B3142" s="3" t="s">
        <v>39</v>
      </c>
      <c r="C3142" s="4">
        <v>46054</v>
      </c>
      <c r="D3142" s="4">
        <v>46081</v>
      </c>
      <c r="E3142" s="3" t="s">
        <v>236</v>
      </c>
      <c r="F3142" s="3" t="s">
        <v>241</v>
      </c>
      <c r="G3142" s="5">
        <v>4.0000000000000001E-3</v>
      </c>
      <c r="H3142" s="6" t="s">
        <v>56</v>
      </c>
      <c r="I3142" s="3" t="s">
        <v>45</v>
      </c>
    </row>
    <row r="3143" spans="1:9" ht="48" customHeight="1">
      <c r="A3143" s="3" t="s">
        <v>40</v>
      </c>
      <c r="B3143" s="3" t="s">
        <v>39</v>
      </c>
      <c r="C3143" s="4">
        <v>46054</v>
      </c>
      <c r="D3143" s="4">
        <v>46081</v>
      </c>
      <c r="E3143" s="3" t="s">
        <v>236</v>
      </c>
      <c r="F3143" s="3" t="s">
        <v>230</v>
      </c>
      <c r="G3143" s="5">
        <v>3.0000000000000001E-3</v>
      </c>
      <c r="H3143" s="6" t="s">
        <v>56</v>
      </c>
      <c r="I3143" s="3" t="s">
        <v>45</v>
      </c>
    </row>
    <row r="3144" spans="1:9" ht="48" customHeight="1">
      <c r="A3144" s="3" t="s">
        <v>40</v>
      </c>
      <c r="B3144" s="3" t="s">
        <v>39</v>
      </c>
      <c r="C3144" s="4">
        <v>46054</v>
      </c>
      <c r="D3144" s="4">
        <v>46081</v>
      </c>
      <c r="E3144" s="3" t="s">
        <v>236</v>
      </c>
      <c r="F3144" s="3" t="s">
        <v>234</v>
      </c>
      <c r="G3144" s="5">
        <v>1E-3</v>
      </c>
      <c r="H3144" s="6" t="s">
        <v>56</v>
      </c>
      <c r="I3144" s="3" t="s">
        <v>45</v>
      </c>
    </row>
    <row r="3145" spans="1:9" ht="48" customHeight="1">
      <c r="A3145" s="3" t="s">
        <v>40</v>
      </c>
      <c r="B3145" s="3" t="s">
        <v>39</v>
      </c>
      <c r="C3145" s="4">
        <v>46054</v>
      </c>
      <c r="D3145" s="4">
        <v>46081</v>
      </c>
      <c r="E3145" s="3" t="s">
        <v>236</v>
      </c>
      <c r="F3145" s="3" t="s">
        <v>242</v>
      </c>
      <c r="G3145" s="5">
        <v>1E-3</v>
      </c>
      <c r="H3145" s="6" t="s">
        <v>56</v>
      </c>
      <c r="I3145" s="3" t="s">
        <v>45</v>
      </c>
    </row>
    <row r="3146" spans="1:9" ht="48" customHeight="1">
      <c r="A3146" s="3" t="s">
        <v>40</v>
      </c>
      <c r="B3146" s="3" t="s">
        <v>39</v>
      </c>
      <c r="C3146" s="4">
        <v>46054</v>
      </c>
      <c r="D3146" s="4">
        <v>46081</v>
      </c>
      <c r="E3146" s="3" t="s">
        <v>236</v>
      </c>
      <c r="F3146" s="3" t="s">
        <v>243</v>
      </c>
      <c r="G3146" s="5">
        <v>0</v>
      </c>
      <c r="H3146" s="6" t="s">
        <v>56</v>
      </c>
      <c r="I3146" s="3" t="s">
        <v>45</v>
      </c>
    </row>
    <row r="3147" spans="1:9" ht="48" customHeight="1">
      <c r="A3147" s="3" t="s">
        <v>40</v>
      </c>
      <c r="B3147" s="3" t="s">
        <v>39</v>
      </c>
      <c r="C3147" s="4">
        <v>46054</v>
      </c>
      <c r="D3147" s="4">
        <v>46081</v>
      </c>
      <c r="E3147" s="3" t="s">
        <v>81</v>
      </c>
      <c r="F3147" s="3" t="s">
        <v>333</v>
      </c>
      <c r="G3147" s="5">
        <v>6.9999999999999993E-3</v>
      </c>
      <c r="H3147" s="6" t="s">
        <v>56</v>
      </c>
      <c r="I3147" s="3" t="s">
        <v>45</v>
      </c>
    </row>
    <row r="3148" spans="1:9" ht="48" customHeight="1">
      <c r="A3148" s="3" t="s">
        <v>40</v>
      </c>
      <c r="B3148" s="3" t="s">
        <v>39</v>
      </c>
      <c r="C3148" s="4">
        <v>46054</v>
      </c>
      <c r="D3148" s="4">
        <v>46081</v>
      </c>
      <c r="E3148" s="3" t="s">
        <v>81</v>
      </c>
      <c r="F3148" s="3" t="s">
        <v>330</v>
      </c>
      <c r="G3148" s="5">
        <v>4.0000000000000001E-3</v>
      </c>
      <c r="H3148" s="6" t="s">
        <v>56</v>
      </c>
      <c r="I3148" s="3" t="s">
        <v>45</v>
      </c>
    </row>
    <row r="3149" spans="1:9" ht="48" customHeight="1">
      <c r="A3149" s="3" t="s">
        <v>40</v>
      </c>
      <c r="B3149" s="3" t="s">
        <v>39</v>
      </c>
      <c r="C3149" s="4">
        <v>46054</v>
      </c>
      <c r="D3149" s="4">
        <v>46081</v>
      </c>
      <c r="E3149" s="3" t="s">
        <v>81</v>
      </c>
      <c r="F3149" s="3" t="s">
        <v>326</v>
      </c>
      <c r="G3149" s="5">
        <v>3.0000000000000001E-3</v>
      </c>
      <c r="H3149" s="6" t="s">
        <v>56</v>
      </c>
      <c r="I3149" s="3" t="s">
        <v>45</v>
      </c>
    </row>
    <row r="3150" spans="1:9" ht="48" customHeight="1">
      <c r="A3150" s="3" t="s">
        <v>40</v>
      </c>
      <c r="B3150" s="3" t="s">
        <v>39</v>
      </c>
      <c r="C3150" s="4">
        <v>46054</v>
      </c>
      <c r="D3150" s="4">
        <v>46081</v>
      </c>
      <c r="E3150" s="3" t="s">
        <v>81</v>
      </c>
      <c r="F3150" s="3" t="s">
        <v>327</v>
      </c>
      <c r="G3150" s="5">
        <v>2E-3</v>
      </c>
      <c r="H3150" s="6" t="s">
        <v>56</v>
      </c>
      <c r="I3150" s="3" t="s">
        <v>45</v>
      </c>
    </row>
    <row r="3151" spans="1:9" ht="48" customHeight="1">
      <c r="A3151" s="3" t="s">
        <v>40</v>
      </c>
      <c r="B3151" s="3" t="s">
        <v>39</v>
      </c>
      <c r="C3151" s="4">
        <v>46054</v>
      </c>
      <c r="D3151" s="4">
        <v>46081</v>
      </c>
      <c r="E3151" s="3" t="s">
        <v>81</v>
      </c>
      <c r="F3151" s="3" t="s">
        <v>328</v>
      </c>
      <c r="G3151" s="5">
        <v>2E-3</v>
      </c>
      <c r="H3151" s="6" t="s">
        <v>56</v>
      </c>
      <c r="I3151" s="3" t="s">
        <v>45</v>
      </c>
    </row>
    <row r="3152" spans="1:9" ht="48" customHeight="1">
      <c r="A3152" s="3" t="s">
        <v>40</v>
      </c>
      <c r="B3152" s="3" t="s">
        <v>39</v>
      </c>
      <c r="C3152" s="4">
        <v>46054</v>
      </c>
      <c r="D3152" s="4">
        <v>46081</v>
      </c>
      <c r="E3152" s="3" t="s">
        <v>81</v>
      </c>
      <c r="F3152" s="3" t="s">
        <v>325</v>
      </c>
      <c r="G3152" s="5">
        <v>2E-3</v>
      </c>
      <c r="H3152" s="6" t="s">
        <v>56</v>
      </c>
      <c r="I3152" s="3" t="s">
        <v>45</v>
      </c>
    </row>
    <row r="3153" spans="1:9" ht="48" customHeight="1">
      <c r="A3153" s="3" t="s">
        <v>40</v>
      </c>
      <c r="B3153" s="3" t="s">
        <v>39</v>
      </c>
      <c r="C3153" s="4">
        <v>46054</v>
      </c>
      <c r="D3153" s="4">
        <v>46081</v>
      </c>
      <c r="E3153" s="3" t="s">
        <v>81</v>
      </c>
      <c r="F3153" s="3" t="s">
        <v>332</v>
      </c>
      <c r="G3153" s="5">
        <v>2E-3</v>
      </c>
      <c r="H3153" s="6" t="s">
        <v>56</v>
      </c>
      <c r="I3153" s="3" t="s">
        <v>45</v>
      </c>
    </row>
    <row r="3154" spans="1:9" ht="48" customHeight="1">
      <c r="A3154" s="3" t="s">
        <v>40</v>
      </c>
      <c r="B3154" s="3" t="s">
        <v>39</v>
      </c>
      <c r="C3154" s="4">
        <v>46054</v>
      </c>
      <c r="D3154" s="4">
        <v>46081</v>
      </c>
      <c r="E3154" s="3" t="s">
        <v>81</v>
      </c>
      <c r="F3154" s="3" t="s">
        <v>345</v>
      </c>
      <c r="G3154" s="5">
        <v>2E-3</v>
      </c>
      <c r="H3154" s="6" t="s">
        <v>56</v>
      </c>
      <c r="I3154" s="3" t="s">
        <v>45</v>
      </c>
    </row>
    <row r="3155" spans="1:9" ht="48" customHeight="1">
      <c r="A3155" s="3" t="s">
        <v>40</v>
      </c>
      <c r="B3155" s="3" t="s">
        <v>39</v>
      </c>
      <c r="C3155" s="4">
        <v>46054</v>
      </c>
      <c r="D3155" s="4">
        <v>46081</v>
      </c>
      <c r="E3155" s="3" t="s">
        <v>81</v>
      </c>
      <c r="F3155" s="3" t="s">
        <v>329</v>
      </c>
      <c r="G3155" s="5">
        <v>1E-3</v>
      </c>
      <c r="H3155" s="6" t="s">
        <v>56</v>
      </c>
      <c r="I3155" s="3" t="s">
        <v>45</v>
      </c>
    </row>
    <row r="3156" spans="1:9" ht="48" customHeight="1">
      <c r="A3156" s="3" t="s">
        <v>40</v>
      </c>
      <c r="B3156" s="3" t="s">
        <v>39</v>
      </c>
      <c r="C3156" s="4">
        <v>46054</v>
      </c>
      <c r="D3156" s="4">
        <v>46081</v>
      </c>
      <c r="E3156" s="3" t="s">
        <v>81</v>
      </c>
      <c r="F3156" s="3" t="s">
        <v>334</v>
      </c>
      <c r="G3156" s="5">
        <v>1E-3</v>
      </c>
      <c r="H3156" s="6" t="s">
        <v>56</v>
      </c>
      <c r="I3156" s="3" t="s">
        <v>45</v>
      </c>
    </row>
    <row r="3157" spans="1:9" ht="48" customHeight="1">
      <c r="A3157" s="3" t="s">
        <v>40</v>
      </c>
      <c r="B3157" s="3" t="s">
        <v>39</v>
      </c>
      <c r="C3157" s="4">
        <v>46054</v>
      </c>
      <c r="D3157" s="4">
        <v>46081</v>
      </c>
      <c r="E3157" s="3" t="s">
        <v>81</v>
      </c>
      <c r="F3157" s="3" t="s">
        <v>331</v>
      </c>
      <c r="G3157" s="5">
        <v>1E-3</v>
      </c>
      <c r="H3157" s="6" t="s">
        <v>56</v>
      </c>
      <c r="I3157" s="3" t="s">
        <v>45</v>
      </c>
    </row>
    <row r="3158" spans="1:9" ht="48" customHeight="1">
      <c r="A3158" s="3" t="s">
        <v>40</v>
      </c>
      <c r="B3158" s="3" t="s">
        <v>39</v>
      </c>
      <c r="C3158" s="4">
        <v>46054</v>
      </c>
      <c r="D3158" s="4">
        <v>46081</v>
      </c>
      <c r="E3158" s="3" t="s">
        <v>81</v>
      </c>
      <c r="F3158" s="3" t="s">
        <v>335</v>
      </c>
      <c r="G3158" s="5">
        <v>1E-3</v>
      </c>
      <c r="H3158" s="6" t="s">
        <v>56</v>
      </c>
      <c r="I3158" s="3" t="s">
        <v>45</v>
      </c>
    </row>
    <row r="3159" spans="1:9" ht="48" customHeight="1">
      <c r="A3159" s="3" t="s">
        <v>40</v>
      </c>
      <c r="B3159" s="3" t="s">
        <v>39</v>
      </c>
      <c r="C3159" s="4">
        <v>46054</v>
      </c>
      <c r="D3159" s="4">
        <v>46081</v>
      </c>
      <c r="E3159" s="3" t="s">
        <v>81</v>
      </c>
      <c r="F3159" s="3" t="s">
        <v>343</v>
      </c>
      <c r="G3159" s="5">
        <v>1E-3</v>
      </c>
      <c r="H3159" s="6" t="s">
        <v>56</v>
      </c>
      <c r="I3159" s="3" t="s">
        <v>45</v>
      </c>
    </row>
    <row r="3160" spans="1:9" ht="48" customHeight="1">
      <c r="A3160" s="3" t="s">
        <v>40</v>
      </c>
      <c r="B3160" s="3" t="s">
        <v>39</v>
      </c>
      <c r="C3160" s="4">
        <v>46054</v>
      </c>
      <c r="D3160" s="4">
        <v>46081</v>
      </c>
      <c r="E3160" s="3" t="s">
        <v>81</v>
      </c>
      <c r="F3160" s="3" t="s">
        <v>344</v>
      </c>
      <c r="G3160" s="5">
        <v>1E-3</v>
      </c>
      <c r="H3160" s="6" t="s">
        <v>56</v>
      </c>
      <c r="I3160" s="3" t="s">
        <v>45</v>
      </c>
    </row>
    <row r="3161" spans="1:9" ht="48" customHeight="1">
      <c r="A3161" s="3" t="s">
        <v>40</v>
      </c>
      <c r="B3161" s="3" t="s">
        <v>39</v>
      </c>
      <c r="C3161" s="4">
        <v>46054</v>
      </c>
      <c r="D3161" s="4">
        <v>46081</v>
      </c>
      <c r="E3161" s="3" t="s">
        <v>81</v>
      </c>
      <c r="F3161" s="3" t="s">
        <v>346</v>
      </c>
      <c r="G3161" s="5">
        <v>1E-3</v>
      </c>
      <c r="H3161" s="6" t="s">
        <v>56</v>
      </c>
      <c r="I3161" s="3" t="s">
        <v>45</v>
      </c>
    </row>
    <row r="3162" spans="1:9" ht="48" customHeight="1">
      <c r="A3162" s="3" t="s">
        <v>40</v>
      </c>
      <c r="B3162" s="3" t="s">
        <v>39</v>
      </c>
      <c r="C3162" s="4">
        <v>46054</v>
      </c>
      <c r="D3162" s="4">
        <v>46081</v>
      </c>
      <c r="E3162" s="3" t="s">
        <v>81</v>
      </c>
      <c r="F3162" s="3" t="s">
        <v>336</v>
      </c>
      <c r="G3162" s="5">
        <v>0</v>
      </c>
      <c r="H3162" s="6" t="s">
        <v>56</v>
      </c>
      <c r="I3162" s="3" t="s">
        <v>45</v>
      </c>
    </row>
    <row r="3163" spans="1:9" ht="48" customHeight="1">
      <c r="A3163" s="3" t="s">
        <v>40</v>
      </c>
      <c r="B3163" s="3" t="s">
        <v>39</v>
      </c>
      <c r="C3163" s="4">
        <v>46054</v>
      </c>
      <c r="D3163" s="4">
        <v>46081</v>
      </c>
      <c r="E3163" s="3" t="s">
        <v>81</v>
      </c>
      <c r="F3163" s="3" t="s">
        <v>337</v>
      </c>
      <c r="G3163" s="5">
        <v>0</v>
      </c>
      <c r="H3163" s="6" t="s">
        <v>56</v>
      </c>
      <c r="I3163" s="3" t="s">
        <v>45</v>
      </c>
    </row>
    <row r="3164" spans="1:9" ht="48" customHeight="1">
      <c r="A3164" s="3" t="s">
        <v>40</v>
      </c>
      <c r="B3164" s="3" t="s">
        <v>39</v>
      </c>
      <c r="C3164" s="4">
        <v>46054</v>
      </c>
      <c r="D3164" s="4">
        <v>46081</v>
      </c>
      <c r="E3164" s="3" t="s">
        <v>81</v>
      </c>
      <c r="F3164" s="3" t="s">
        <v>338</v>
      </c>
      <c r="G3164" s="5">
        <v>0</v>
      </c>
      <c r="H3164" s="6" t="s">
        <v>56</v>
      </c>
      <c r="I3164" s="3" t="s">
        <v>45</v>
      </c>
    </row>
    <row r="3165" spans="1:9" ht="48" customHeight="1">
      <c r="A3165" s="3" t="s">
        <v>40</v>
      </c>
      <c r="B3165" s="3" t="s">
        <v>39</v>
      </c>
      <c r="C3165" s="4">
        <v>46054</v>
      </c>
      <c r="D3165" s="4">
        <v>46081</v>
      </c>
      <c r="E3165" s="3" t="s">
        <v>81</v>
      </c>
      <c r="F3165" s="3" t="s">
        <v>339</v>
      </c>
      <c r="G3165" s="5">
        <v>0</v>
      </c>
      <c r="H3165" s="6" t="s">
        <v>56</v>
      </c>
      <c r="I3165" s="3" t="s">
        <v>45</v>
      </c>
    </row>
    <row r="3166" spans="1:9" ht="48" customHeight="1">
      <c r="A3166" s="3" t="s">
        <v>40</v>
      </c>
      <c r="B3166" s="3" t="s">
        <v>39</v>
      </c>
      <c r="C3166" s="4">
        <v>46054</v>
      </c>
      <c r="D3166" s="4">
        <v>46081</v>
      </c>
      <c r="E3166" s="3" t="s">
        <v>81</v>
      </c>
      <c r="F3166" s="3" t="s">
        <v>340</v>
      </c>
      <c r="G3166" s="5">
        <v>0</v>
      </c>
      <c r="H3166" s="6" t="s">
        <v>56</v>
      </c>
      <c r="I3166" s="3" t="s">
        <v>45</v>
      </c>
    </row>
    <row r="3167" spans="1:9" ht="48" customHeight="1">
      <c r="A3167" s="3" t="s">
        <v>40</v>
      </c>
      <c r="B3167" s="3" t="s">
        <v>39</v>
      </c>
      <c r="C3167" s="4">
        <v>46054</v>
      </c>
      <c r="D3167" s="4">
        <v>46081</v>
      </c>
      <c r="E3167" s="3" t="s">
        <v>81</v>
      </c>
      <c r="F3167" s="3" t="s">
        <v>341</v>
      </c>
      <c r="G3167" s="5">
        <v>0</v>
      </c>
      <c r="H3167" s="6" t="s">
        <v>56</v>
      </c>
      <c r="I3167" s="3" t="s">
        <v>45</v>
      </c>
    </row>
    <row r="3168" spans="1:9" ht="48" customHeight="1">
      <c r="A3168" s="3" t="s">
        <v>40</v>
      </c>
      <c r="B3168" s="3" t="s">
        <v>39</v>
      </c>
      <c r="C3168" s="4">
        <v>46054</v>
      </c>
      <c r="D3168" s="4">
        <v>46081</v>
      </c>
      <c r="E3168" s="3" t="s">
        <v>81</v>
      </c>
      <c r="F3168" s="3" t="s">
        <v>342</v>
      </c>
      <c r="G3168" s="5">
        <v>0</v>
      </c>
      <c r="H3168" s="6" t="s">
        <v>56</v>
      </c>
      <c r="I3168" s="3" t="s">
        <v>45</v>
      </c>
    </row>
    <row r="3169" spans="1:9" ht="48" customHeight="1">
      <c r="A3169" s="3" t="s">
        <v>40</v>
      </c>
      <c r="B3169" s="3" t="s">
        <v>39</v>
      </c>
      <c r="C3169" s="4">
        <v>46054</v>
      </c>
      <c r="D3169" s="4">
        <v>46081</v>
      </c>
      <c r="E3169" s="3" t="s">
        <v>81</v>
      </c>
      <c r="F3169" s="3" t="s">
        <v>347</v>
      </c>
      <c r="G3169" s="5">
        <v>0</v>
      </c>
      <c r="H3169" s="6" t="s">
        <v>56</v>
      </c>
      <c r="I3169" s="3" t="s">
        <v>45</v>
      </c>
    </row>
    <row r="3170" spans="1:9" ht="48" customHeight="1">
      <c r="A3170" s="3" t="s">
        <v>40</v>
      </c>
      <c r="B3170" s="3" t="s">
        <v>39</v>
      </c>
      <c r="C3170" s="4">
        <v>46054</v>
      </c>
      <c r="D3170" s="4">
        <v>46081</v>
      </c>
      <c r="E3170" s="3" t="s">
        <v>68</v>
      </c>
      <c r="F3170" s="3" t="s">
        <v>150</v>
      </c>
      <c r="G3170" s="5">
        <v>5.0000000000000001E-3</v>
      </c>
      <c r="H3170" s="6" t="s">
        <v>56</v>
      </c>
      <c r="I3170" s="3" t="s">
        <v>45</v>
      </c>
    </row>
    <row r="3171" spans="1:9" ht="48" customHeight="1">
      <c r="A3171" s="3" t="s">
        <v>40</v>
      </c>
      <c r="B3171" s="3" t="s">
        <v>39</v>
      </c>
      <c r="C3171" s="4">
        <v>46054</v>
      </c>
      <c r="D3171" s="4">
        <v>46081</v>
      </c>
      <c r="E3171" s="3" t="s">
        <v>68</v>
      </c>
      <c r="F3171" s="3" t="s">
        <v>147</v>
      </c>
      <c r="G3171" s="5">
        <v>5.0000000000000001E-3</v>
      </c>
      <c r="H3171" s="6" t="s">
        <v>56</v>
      </c>
      <c r="I3171" s="3" t="s">
        <v>45</v>
      </c>
    </row>
    <row r="3172" spans="1:9" ht="48" customHeight="1">
      <c r="A3172" s="3" t="s">
        <v>40</v>
      </c>
      <c r="B3172" s="3" t="s">
        <v>39</v>
      </c>
      <c r="C3172" s="4">
        <v>46054</v>
      </c>
      <c r="D3172" s="4">
        <v>46081</v>
      </c>
      <c r="E3172" s="3" t="s">
        <v>68</v>
      </c>
      <c r="F3172" s="3" t="s">
        <v>151</v>
      </c>
      <c r="G3172" s="5">
        <v>4.0000000000000001E-3</v>
      </c>
      <c r="H3172" s="6" t="s">
        <v>56</v>
      </c>
      <c r="I3172" s="3" t="s">
        <v>45</v>
      </c>
    </row>
    <row r="3173" spans="1:9" ht="48" customHeight="1">
      <c r="A3173" s="3" t="s">
        <v>40</v>
      </c>
      <c r="B3173" s="3" t="s">
        <v>39</v>
      </c>
      <c r="C3173" s="4">
        <v>46054</v>
      </c>
      <c r="D3173" s="4">
        <v>46081</v>
      </c>
      <c r="E3173" s="3" t="s">
        <v>68</v>
      </c>
      <c r="F3173" s="3" t="s">
        <v>148</v>
      </c>
      <c r="G3173" s="5">
        <v>3.0000000000000001E-3</v>
      </c>
      <c r="H3173" s="6" t="s">
        <v>56</v>
      </c>
      <c r="I3173" s="3" t="s">
        <v>45</v>
      </c>
    </row>
    <row r="3174" spans="1:9" ht="48" customHeight="1">
      <c r="A3174" s="3" t="s">
        <v>40</v>
      </c>
      <c r="B3174" s="3" t="s">
        <v>39</v>
      </c>
      <c r="C3174" s="4">
        <v>46054</v>
      </c>
      <c r="D3174" s="4">
        <v>46081</v>
      </c>
      <c r="E3174" s="3" t="s">
        <v>68</v>
      </c>
      <c r="F3174" s="3" t="s">
        <v>149</v>
      </c>
      <c r="G3174" s="5">
        <v>2E-3</v>
      </c>
      <c r="H3174" s="6" t="s">
        <v>56</v>
      </c>
      <c r="I3174" s="3" t="s">
        <v>45</v>
      </c>
    </row>
    <row r="3175" spans="1:9" ht="48" customHeight="1">
      <c r="A3175" s="3" t="s">
        <v>40</v>
      </c>
      <c r="B3175" s="3" t="s">
        <v>39</v>
      </c>
      <c r="C3175" s="4">
        <v>46054</v>
      </c>
      <c r="D3175" s="4">
        <v>46081</v>
      </c>
      <c r="E3175" s="3" t="s">
        <v>68</v>
      </c>
      <c r="F3175" s="3" t="s">
        <v>155</v>
      </c>
      <c r="G3175" s="5">
        <v>1E-3</v>
      </c>
      <c r="H3175" s="6" t="s">
        <v>56</v>
      </c>
      <c r="I3175" s="3" t="s">
        <v>45</v>
      </c>
    </row>
    <row r="3176" spans="1:9" ht="48" customHeight="1">
      <c r="A3176" s="3" t="s">
        <v>40</v>
      </c>
      <c r="B3176" s="3" t="s">
        <v>39</v>
      </c>
      <c r="C3176" s="4">
        <v>46054</v>
      </c>
      <c r="D3176" s="4">
        <v>46081</v>
      </c>
      <c r="E3176" s="3" t="s">
        <v>68</v>
      </c>
      <c r="F3176" s="3" t="s">
        <v>152</v>
      </c>
      <c r="G3176" s="5">
        <v>1E-3</v>
      </c>
      <c r="H3176" s="6" t="s">
        <v>56</v>
      </c>
      <c r="I3176" s="3" t="s">
        <v>45</v>
      </c>
    </row>
    <row r="3177" spans="1:9" ht="48" customHeight="1">
      <c r="A3177" s="3" t="s">
        <v>40</v>
      </c>
      <c r="B3177" s="3" t="s">
        <v>39</v>
      </c>
      <c r="C3177" s="4">
        <v>46054</v>
      </c>
      <c r="D3177" s="4">
        <v>46081</v>
      </c>
      <c r="E3177" s="3" t="s">
        <v>68</v>
      </c>
      <c r="F3177" s="3" t="s">
        <v>157</v>
      </c>
      <c r="G3177" s="5">
        <v>1E-3</v>
      </c>
      <c r="H3177" s="6" t="s">
        <v>56</v>
      </c>
      <c r="I3177" s="3" t="s">
        <v>45</v>
      </c>
    </row>
    <row r="3178" spans="1:9" ht="48" customHeight="1">
      <c r="A3178" s="3" t="s">
        <v>40</v>
      </c>
      <c r="B3178" s="3" t="s">
        <v>39</v>
      </c>
      <c r="C3178" s="4">
        <v>46054</v>
      </c>
      <c r="D3178" s="4">
        <v>46081</v>
      </c>
      <c r="E3178" s="3" t="s">
        <v>68</v>
      </c>
      <c r="F3178" s="3" t="s">
        <v>146</v>
      </c>
      <c r="G3178" s="5">
        <v>1E-3</v>
      </c>
      <c r="H3178" s="6" t="s">
        <v>56</v>
      </c>
      <c r="I3178" s="3" t="s">
        <v>45</v>
      </c>
    </row>
    <row r="3179" spans="1:9" ht="48" customHeight="1">
      <c r="A3179" s="3" t="s">
        <v>40</v>
      </c>
      <c r="B3179" s="3" t="s">
        <v>39</v>
      </c>
      <c r="C3179" s="4">
        <v>46054</v>
      </c>
      <c r="D3179" s="4">
        <v>46081</v>
      </c>
      <c r="E3179" s="3" t="s">
        <v>68</v>
      </c>
      <c r="F3179" s="3" t="s">
        <v>66</v>
      </c>
      <c r="G3179" s="5">
        <v>1E-3</v>
      </c>
      <c r="H3179" s="6" t="s">
        <v>56</v>
      </c>
      <c r="I3179" s="3" t="s">
        <v>45</v>
      </c>
    </row>
    <row r="3180" spans="1:9" ht="48" customHeight="1">
      <c r="A3180" s="3" t="s">
        <v>40</v>
      </c>
      <c r="B3180" s="3" t="s">
        <v>39</v>
      </c>
      <c r="C3180" s="4">
        <v>46054</v>
      </c>
      <c r="D3180" s="4">
        <v>46081</v>
      </c>
      <c r="E3180" s="3" t="s">
        <v>68</v>
      </c>
      <c r="F3180" s="3" t="s">
        <v>154</v>
      </c>
      <c r="G3180" s="5">
        <v>1E-3</v>
      </c>
      <c r="H3180" s="6" t="s">
        <v>56</v>
      </c>
      <c r="I3180" s="3" t="s">
        <v>45</v>
      </c>
    </row>
    <row r="3181" spans="1:9" ht="48" customHeight="1">
      <c r="A3181" s="3" t="s">
        <v>40</v>
      </c>
      <c r="B3181" s="3" t="s">
        <v>39</v>
      </c>
      <c r="C3181" s="4">
        <v>46054</v>
      </c>
      <c r="D3181" s="4">
        <v>46081</v>
      </c>
      <c r="E3181" s="3" t="s">
        <v>68</v>
      </c>
      <c r="F3181" s="3" t="s">
        <v>159</v>
      </c>
      <c r="G3181" s="5">
        <v>0</v>
      </c>
      <c r="H3181" s="6" t="s">
        <v>56</v>
      </c>
      <c r="I3181" s="3" t="s">
        <v>45</v>
      </c>
    </row>
    <row r="3182" spans="1:9" ht="48" customHeight="1">
      <c r="A3182" s="3" t="s">
        <v>40</v>
      </c>
      <c r="B3182" s="3" t="s">
        <v>39</v>
      </c>
      <c r="C3182" s="4">
        <v>46054</v>
      </c>
      <c r="D3182" s="4">
        <v>46081</v>
      </c>
      <c r="E3182" s="3" t="s">
        <v>68</v>
      </c>
      <c r="F3182" s="3" t="s">
        <v>160</v>
      </c>
      <c r="G3182" s="5">
        <v>0</v>
      </c>
      <c r="H3182" s="6" t="s">
        <v>56</v>
      </c>
      <c r="I3182" s="3" t="s">
        <v>45</v>
      </c>
    </row>
    <row r="3183" spans="1:9" ht="48" customHeight="1">
      <c r="A3183" s="3" t="s">
        <v>40</v>
      </c>
      <c r="B3183" s="3" t="s">
        <v>39</v>
      </c>
      <c r="C3183" s="4">
        <v>46054</v>
      </c>
      <c r="D3183" s="4">
        <v>46081</v>
      </c>
      <c r="E3183" s="3" t="s">
        <v>68</v>
      </c>
      <c r="F3183" s="3" t="s">
        <v>156</v>
      </c>
      <c r="G3183" s="5">
        <v>0</v>
      </c>
      <c r="H3183" s="6" t="s">
        <v>56</v>
      </c>
      <c r="I3183" s="3" t="s">
        <v>45</v>
      </c>
    </row>
    <row r="3184" spans="1:9" ht="48" customHeight="1">
      <c r="A3184" s="3" t="s">
        <v>40</v>
      </c>
      <c r="B3184" s="3" t="s">
        <v>39</v>
      </c>
      <c r="C3184" s="4">
        <v>46054</v>
      </c>
      <c r="D3184" s="4">
        <v>46081</v>
      </c>
      <c r="E3184" s="3" t="s">
        <v>68</v>
      </c>
      <c r="F3184" s="3" t="s">
        <v>158</v>
      </c>
      <c r="G3184" s="5">
        <v>0</v>
      </c>
      <c r="H3184" s="6" t="s">
        <v>56</v>
      </c>
      <c r="I3184" s="3" t="s">
        <v>45</v>
      </c>
    </row>
    <row r="3185" spans="1:9" ht="48" customHeight="1">
      <c r="A3185" s="3" t="s">
        <v>40</v>
      </c>
      <c r="B3185" s="3" t="s">
        <v>39</v>
      </c>
      <c r="C3185" s="4">
        <v>46054</v>
      </c>
      <c r="D3185" s="4">
        <v>46081</v>
      </c>
      <c r="E3185" s="3" t="s">
        <v>68</v>
      </c>
      <c r="F3185" s="3" t="s">
        <v>153</v>
      </c>
      <c r="G3185" s="5">
        <v>0</v>
      </c>
      <c r="H3185" s="6" t="s">
        <v>56</v>
      </c>
      <c r="I3185" s="3" t="s">
        <v>45</v>
      </c>
    </row>
    <row r="3186" spans="1:9" ht="48" customHeight="1">
      <c r="A3186" s="3" t="s">
        <v>40</v>
      </c>
      <c r="B3186" s="3" t="s">
        <v>39</v>
      </c>
      <c r="C3186" s="4">
        <v>46054</v>
      </c>
      <c r="D3186" s="4">
        <v>46081</v>
      </c>
      <c r="E3186" s="3" t="s">
        <v>302</v>
      </c>
      <c r="F3186" s="3" t="s">
        <v>307</v>
      </c>
      <c r="G3186" s="5">
        <v>3.0000000000000001E-3</v>
      </c>
      <c r="H3186" s="6" t="s">
        <v>56</v>
      </c>
      <c r="I3186" s="3" t="s">
        <v>45</v>
      </c>
    </row>
    <row r="3187" spans="1:9" ht="48" customHeight="1">
      <c r="A3187" s="3" t="s">
        <v>40</v>
      </c>
      <c r="B3187" s="3" t="s">
        <v>39</v>
      </c>
      <c r="C3187" s="4">
        <v>46054</v>
      </c>
      <c r="D3187" s="4">
        <v>46081</v>
      </c>
      <c r="E3187" s="3" t="s">
        <v>302</v>
      </c>
      <c r="F3187" s="3" t="s">
        <v>308</v>
      </c>
      <c r="G3187" s="5">
        <v>2E-3</v>
      </c>
      <c r="H3187" s="6" t="s">
        <v>56</v>
      </c>
      <c r="I3187" s="3" t="s">
        <v>45</v>
      </c>
    </row>
    <row r="3188" spans="1:9" ht="48" customHeight="1">
      <c r="A3188" s="3" t="s">
        <v>40</v>
      </c>
      <c r="B3188" s="3" t="s">
        <v>39</v>
      </c>
      <c r="C3188" s="4">
        <v>46054</v>
      </c>
      <c r="D3188" s="4">
        <v>46081</v>
      </c>
      <c r="E3188" s="3" t="s">
        <v>302</v>
      </c>
      <c r="F3188" s="3" t="s">
        <v>309</v>
      </c>
      <c r="G3188" s="5">
        <v>2E-3</v>
      </c>
      <c r="H3188" s="6" t="s">
        <v>56</v>
      </c>
      <c r="I3188" s="3" t="s">
        <v>45</v>
      </c>
    </row>
    <row r="3189" spans="1:9" ht="48" customHeight="1">
      <c r="A3189" s="3" t="s">
        <v>40</v>
      </c>
      <c r="B3189" s="3" t="s">
        <v>39</v>
      </c>
      <c r="C3189" s="4">
        <v>46054</v>
      </c>
      <c r="D3189" s="4">
        <v>46081</v>
      </c>
      <c r="E3189" s="3" t="s">
        <v>302</v>
      </c>
      <c r="F3189" s="3" t="s">
        <v>303</v>
      </c>
      <c r="G3189" s="5">
        <v>1E-3</v>
      </c>
      <c r="H3189" s="6" t="s">
        <v>56</v>
      </c>
      <c r="I3189" s="3" t="s">
        <v>45</v>
      </c>
    </row>
    <row r="3190" spans="1:9" ht="48" customHeight="1">
      <c r="A3190" s="3" t="s">
        <v>40</v>
      </c>
      <c r="B3190" s="3" t="s">
        <v>39</v>
      </c>
      <c r="C3190" s="4">
        <v>46054</v>
      </c>
      <c r="D3190" s="4">
        <v>46081</v>
      </c>
      <c r="E3190" s="3" t="s">
        <v>302</v>
      </c>
      <c r="F3190" s="3" t="s">
        <v>304</v>
      </c>
      <c r="G3190" s="5">
        <v>1E-3</v>
      </c>
      <c r="H3190" s="6" t="s">
        <v>56</v>
      </c>
      <c r="I3190" s="3" t="s">
        <v>45</v>
      </c>
    </row>
    <row r="3191" spans="1:9" ht="48" customHeight="1">
      <c r="A3191" s="3" t="s">
        <v>40</v>
      </c>
      <c r="B3191" s="3" t="s">
        <v>39</v>
      </c>
      <c r="C3191" s="4">
        <v>46054</v>
      </c>
      <c r="D3191" s="4">
        <v>46081</v>
      </c>
      <c r="E3191" s="3" t="s">
        <v>302</v>
      </c>
      <c r="F3191" s="3" t="s">
        <v>310</v>
      </c>
      <c r="G3191" s="5">
        <v>1E-3</v>
      </c>
      <c r="H3191" s="6" t="s">
        <v>56</v>
      </c>
      <c r="I3191" s="3" t="s">
        <v>45</v>
      </c>
    </row>
    <row r="3192" spans="1:9" ht="48" customHeight="1">
      <c r="A3192" s="3" t="s">
        <v>40</v>
      </c>
      <c r="B3192" s="3" t="s">
        <v>39</v>
      </c>
      <c r="C3192" s="4">
        <v>46054</v>
      </c>
      <c r="D3192" s="4">
        <v>46081</v>
      </c>
      <c r="E3192" s="3" t="s">
        <v>302</v>
      </c>
      <c r="F3192" s="3" t="s">
        <v>311</v>
      </c>
      <c r="G3192" s="5">
        <v>1E-3</v>
      </c>
      <c r="H3192" s="6" t="s">
        <v>56</v>
      </c>
      <c r="I3192" s="3" t="s">
        <v>45</v>
      </c>
    </row>
    <row r="3193" spans="1:9" ht="48" customHeight="1">
      <c r="A3193" s="3" t="s">
        <v>40</v>
      </c>
      <c r="B3193" s="3" t="s">
        <v>39</v>
      </c>
      <c r="C3193" s="4">
        <v>46054</v>
      </c>
      <c r="D3193" s="4">
        <v>46081</v>
      </c>
      <c r="E3193" s="3" t="s">
        <v>302</v>
      </c>
      <c r="F3193" s="3" t="s">
        <v>305</v>
      </c>
      <c r="G3193" s="5">
        <v>1E-3</v>
      </c>
      <c r="H3193" s="6" t="s">
        <v>56</v>
      </c>
      <c r="I3193" s="3" t="s">
        <v>45</v>
      </c>
    </row>
    <row r="3194" spans="1:9" ht="48" customHeight="1">
      <c r="A3194" s="3" t="s">
        <v>40</v>
      </c>
      <c r="B3194" s="3" t="s">
        <v>39</v>
      </c>
      <c r="C3194" s="4">
        <v>46054</v>
      </c>
      <c r="D3194" s="4">
        <v>46081</v>
      </c>
      <c r="E3194" s="3" t="s">
        <v>302</v>
      </c>
      <c r="F3194" s="3" t="s">
        <v>306</v>
      </c>
      <c r="G3194" s="5">
        <v>1E-3</v>
      </c>
      <c r="H3194" s="6" t="s">
        <v>56</v>
      </c>
      <c r="I3194" s="3" t="s">
        <v>45</v>
      </c>
    </row>
    <row r="3195" spans="1:9" ht="48" customHeight="1">
      <c r="A3195" s="3" t="s">
        <v>40</v>
      </c>
      <c r="B3195" s="3" t="s">
        <v>39</v>
      </c>
      <c r="C3195" s="4">
        <v>46054</v>
      </c>
      <c r="D3195" s="4">
        <v>46081</v>
      </c>
      <c r="E3195" s="3" t="s">
        <v>302</v>
      </c>
      <c r="F3195" s="3" t="s">
        <v>312</v>
      </c>
      <c r="G3195" s="5">
        <v>0</v>
      </c>
      <c r="H3195" s="6" t="s">
        <v>56</v>
      </c>
      <c r="I3195" s="3" t="s">
        <v>45</v>
      </c>
    </row>
    <row r="3196" spans="1:9" ht="48" customHeight="1">
      <c r="A3196" s="3" t="s">
        <v>40</v>
      </c>
      <c r="B3196" s="3" t="s">
        <v>39</v>
      </c>
      <c r="C3196" s="4">
        <v>46054</v>
      </c>
      <c r="D3196" s="4">
        <v>46081</v>
      </c>
      <c r="E3196" s="3" t="s">
        <v>302</v>
      </c>
      <c r="F3196" s="3" t="s">
        <v>313</v>
      </c>
      <c r="G3196" s="5">
        <v>0</v>
      </c>
      <c r="H3196" s="6" t="s">
        <v>56</v>
      </c>
      <c r="I3196" s="3" t="s">
        <v>45</v>
      </c>
    </row>
    <row r="3197" spans="1:9" ht="48" customHeight="1">
      <c r="A3197" s="3" t="s">
        <v>40</v>
      </c>
      <c r="B3197" s="3" t="s">
        <v>39</v>
      </c>
      <c r="C3197" s="4">
        <v>46054</v>
      </c>
      <c r="D3197" s="4">
        <v>46081</v>
      </c>
      <c r="E3197" s="3" t="s">
        <v>302</v>
      </c>
      <c r="F3197" s="3" t="s">
        <v>314</v>
      </c>
      <c r="G3197" s="5">
        <v>0</v>
      </c>
      <c r="H3197" s="6" t="s">
        <v>56</v>
      </c>
      <c r="I3197" s="3" t="s">
        <v>45</v>
      </c>
    </row>
    <row r="3198" spans="1:9" ht="48" customHeight="1">
      <c r="A3198" s="3" t="s">
        <v>40</v>
      </c>
      <c r="B3198" s="3" t="s">
        <v>39</v>
      </c>
      <c r="C3198" s="4">
        <v>46054</v>
      </c>
      <c r="D3198" s="4">
        <v>46081</v>
      </c>
      <c r="E3198" s="3" t="s">
        <v>302</v>
      </c>
      <c r="F3198" s="3" t="s">
        <v>315</v>
      </c>
      <c r="G3198" s="5">
        <v>0</v>
      </c>
      <c r="H3198" s="6" t="s">
        <v>56</v>
      </c>
      <c r="I3198" s="3" t="s">
        <v>45</v>
      </c>
    </row>
    <row r="3199" spans="1:9" ht="48" customHeight="1">
      <c r="A3199" s="3" t="s">
        <v>40</v>
      </c>
      <c r="B3199" s="3" t="s">
        <v>39</v>
      </c>
      <c r="C3199" s="4">
        <v>46054</v>
      </c>
      <c r="D3199" s="4">
        <v>46081</v>
      </c>
      <c r="E3199" s="3" t="s">
        <v>302</v>
      </c>
      <c r="F3199" s="3" t="s">
        <v>316</v>
      </c>
      <c r="G3199" s="5">
        <v>0</v>
      </c>
      <c r="H3199" s="6" t="s">
        <v>56</v>
      </c>
      <c r="I3199" s="3" t="s">
        <v>45</v>
      </c>
    </row>
    <row r="3200" spans="1:9" ht="48" customHeight="1">
      <c r="A3200" s="3" t="s">
        <v>40</v>
      </c>
      <c r="B3200" s="3" t="s">
        <v>39</v>
      </c>
      <c r="C3200" s="4">
        <v>46054</v>
      </c>
      <c r="D3200" s="4">
        <v>46081</v>
      </c>
      <c r="E3200" s="3" t="s">
        <v>302</v>
      </c>
      <c r="F3200" s="3" t="s">
        <v>317</v>
      </c>
      <c r="G3200" s="5">
        <v>0</v>
      </c>
      <c r="H3200" s="6" t="s">
        <v>56</v>
      </c>
      <c r="I3200" s="3" t="s">
        <v>45</v>
      </c>
    </row>
    <row r="3201" spans="1:9" ht="48" customHeight="1">
      <c r="A3201" s="3" t="s">
        <v>40</v>
      </c>
      <c r="B3201" s="3" t="s">
        <v>39</v>
      </c>
      <c r="C3201" s="4">
        <v>46054</v>
      </c>
      <c r="D3201" s="4">
        <v>46081</v>
      </c>
      <c r="E3201" s="3" t="s">
        <v>302</v>
      </c>
      <c r="F3201" s="3" t="s">
        <v>318</v>
      </c>
      <c r="G3201" s="5">
        <v>0</v>
      </c>
      <c r="H3201" s="6" t="s">
        <v>56</v>
      </c>
      <c r="I3201" s="3" t="s">
        <v>45</v>
      </c>
    </row>
    <row r="3202" spans="1:9" ht="48" customHeight="1">
      <c r="A3202" s="3" t="s">
        <v>40</v>
      </c>
      <c r="B3202" s="3" t="s">
        <v>39</v>
      </c>
      <c r="C3202" s="4">
        <v>46054</v>
      </c>
      <c r="D3202" s="4">
        <v>46081</v>
      </c>
      <c r="E3202" s="3" t="s">
        <v>302</v>
      </c>
      <c r="F3202" s="3" t="s">
        <v>319</v>
      </c>
      <c r="G3202" s="5">
        <v>0</v>
      </c>
      <c r="H3202" s="6" t="s">
        <v>56</v>
      </c>
      <c r="I3202" s="3" t="s">
        <v>45</v>
      </c>
    </row>
    <row r="3203" spans="1:9" ht="48" customHeight="1">
      <c r="A3203" s="3" t="s">
        <v>40</v>
      </c>
      <c r="B3203" s="3" t="s">
        <v>39</v>
      </c>
      <c r="C3203" s="4">
        <v>46054</v>
      </c>
      <c r="D3203" s="4">
        <v>46081</v>
      </c>
      <c r="E3203" s="3" t="s">
        <v>302</v>
      </c>
      <c r="F3203" s="3" t="s">
        <v>320</v>
      </c>
      <c r="G3203" s="5">
        <v>0</v>
      </c>
      <c r="H3203" s="6" t="s">
        <v>56</v>
      </c>
      <c r="I3203" s="3" t="s">
        <v>45</v>
      </c>
    </row>
    <row r="3204" spans="1:9" ht="48" customHeight="1">
      <c r="A3204" s="3" t="s">
        <v>40</v>
      </c>
      <c r="B3204" s="3" t="s">
        <v>39</v>
      </c>
      <c r="C3204" s="4">
        <v>46054</v>
      </c>
      <c r="D3204" s="4">
        <v>46081</v>
      </c>
      <c r="E3204" s="3" t="s">
        <v>302</v>
      </c>
      <c r="F3204" s="3" t="s">
        <v>321</v>
      </c>
      <c r="G3204" s="5">
        <v>0</v>
      </c>
      <c r="H3204" s="6" t="s">
        <v>56</v>
      </c>
      <c r="I3204" s="3" t="s">
        <v>45</v>
      </c>
    </row>
    <row r="3205" spans="1:9" ht="48" customHeight="1">
      <c r="A3205" s="3" t="s">
        <v>40</v>
      </c>
      <c r="B3205" s="3" t="s">
        <v>39</v>
      </c>
      <c r="C3205" s="4">
        <v>46054</v>
      </c>
      <c r="D3205" s="4">
        <v>46081</v>
      </c>
      <c r="E3205" s="3" t="s">
        <v>302</v>
      </c>
      <c r="F3205" s="3" t="s">
        <v>322</v>
      </c>
      <c r="G3205" s="5">
        <v>0</v>
      </c>
      <c r="H3205" s="6" t="s">
        <v>56</v>
      </c>
      <c r="I3205" s="3" t="s">
        <v>45</v>
      </c>
    </row>
    <row r="3206" spans="1:9" ht="48" customHeight="1">
      <c r="A3206" s="3" t="s">
        <v>40</v>
      </c>
      <c r="B3206" s="3" t="s">
        <v>39</v>
      </c>
      <c r="C3206" s="4">
        <v>46054</v>
      </c>
      <c r="D3206" s="4">
        <v>46081</v>
      </c>
      <c r="E3206" s="3" t="s">
        <v>302</v>
      </c>
      <c r="F3206" s="3" t="s">
        <v>323</v>
      </c>
      <c r="G3206" s="5">
        <v>0</v>
      </c>
      <c r="H3206" s="6" t="s">
        <v>56</v>
      </c>
      <c r="I3206" s="3" t="s">
        <v>45</v>
      </c>
    </row>
    <row r="3207" spans="1:9" ht="48" customHeight="1">
      <c r="A3207" s="3" t="s">
        <v>40</v>
      </c>
      <c r="B3207" s="3" t="s">
        <v>39</v>
      </c>
      <c r="C3207" s="4">
        <v>46054</v>
      </c>
      <c r="D3207" s="4">
        <v>46081</v>
      </c>
      <c r="E3207" s="3" t="s">
        <v>302</v>
      </c>
      <c r="F3207" s="3" t="s">
        <v>324</v>
      </c>
      <c r="G3207" s="5">
        <v>0</v>
      </c>
      <c r="H3207" s="6" t="s">
        <v>56</v>
      </c>
      <c r="I3207" s="3" t="s">
        <v>45</v>
      </c>
    </row>
    <row r="3208" spans="1:9" ht="48" customHeight="1">
      <c r="A3208" s="3" t="s">
        <v>40</v>
      </c>
      <c r="B3208" s="3" t="s">
        <v>39</v>
      </c>
      <c r="C3208" s="4">
        <v>46054</v>
      </c>
      <c r="D3208" s="4">
        <v>46081</v>
      </c>
      <c r="E3208" s="3" t="s">
        <v>364</v>
      </c>
      <c r="F3208" s="3" t="s">
        <v>262</v>
      </c>
      <c r="G3208" s="5">
        <v>3.0000000000000001E-3</v>
      </c>
      <c r="H3208" s="6" t="s">
        <v>56</v>
      </c>
      <c r="I3208" s="3" t="s">
        <v>45</v>
      </c>
    </row>
    <row r="3209" spans="1:9" ht="48" customHeight="1">
      <c r="A3209" s="3" t="s">
        <v>40</v>
      </c>
      <c r="B3209" s="3" t="s">
        <v>39</v>
      </c>
      <c r="C3209" s="4">
        <v>46054</v>
      </c>
      <c r="D3209" s="4">
        <v>46081</v>
      </c>
      <c r="E3209" s="3" t="s">
        <v>364</v>
      </c>
      <c r="F3209" s="3" t="s">
        <v>365</v>
      </c>
      <c r="G3209" s="5">
        <v>3.0000000000000001E-3</v>
      </c>
      <c r="H3209" s="6" t="s">
        <v>56</v>
      </c>
      <c r="I3209" s="3" t="s">
        <v>45</v>
      </c>
    </row>
    <row r="3210" spans="1:9" ht="48" customHeight="1">
      <c r="A3210" s="3" t="s">
        <v>40</v>
      </c>
      <c r="B3210" s="3" t="s">
        <v>39</v>
      </c>
      <c r="C3210" s="4">
        <v>46054</v>
      </c>
      <c r="D3210" s="4">
        <v>46081</v>
      </c>
      <c r="E3210" s="3" t="s">
        <v>364</v>
      </c>
      <c r="F3210" s="3" t="s">
        <v>366</v>
      </c>
      <c r="G3210" s="5">
        <v>3.0000000000000001E-3</v>
      </c>
      <c r="H3210" s="6" t="s">
        <v>56</v>
      </c>
      <c r="I3210" s="3" t="s">
        <v>45</v>
      </c>
    </row>
    <row r="3211" spans="1:9" ht="48" customHeight="1">
      <c r="A3211" s="3" t="s">
        <v>40</v>
      </c>
      <c r="B3211" s="3" t="s">
        <v>39</v>
      </c>
      <c r="C3211" s="4">
        <v>46054</v>
      </c>
      <c r="D3211" s="4">
        <v>46081</v>
      </c>
      <c r="E3211" s="3" t="s">
        <v>364</v>
      </c>
      <c r="F3211" s="3" t="s">
        <v>234</v>
      </c>
      <c r="G3211" s="5">
        <v>2E-3</v>
      </c>
      <c r="H3211" s="6" t="s">
        <v>56</v>
      </c>
      <c r="I3211" s="3" t="s">
        <v>45</v>
      </c>
    </row>
    <row r="3212" spans="1:9" ht="48" customHeight="1">
      <c r="A3212" s="3" t="s">
        <v>40</v>
      </c>
      <c r="B3212" s="3" t="s">
        <v>39</v>
      </c>
      <c r="C3212" s="4">
        <v>46054</v>
      </c>
      <c r="D3212" s="4">
        <v>46081</v>
      </c>
      <c r="E3212" s="3" t="s">
        <v>364</v>
      </c>
      <c r="F3212" s="3" t="s">
        <v>367</v>
      </c>
      <c r="G3212" s="5">
        <v>2E-3</v>
      </c>
      <c r="H3212" s="6" t="s">
        <v>56</v>
      </c>
      <c r="I3212" s="3" t="s">
        <v>45</v>
      </c>
    </row>
    <row r="3213" spans="1:9" ht="48" customHeight="1">
      <c r="A3213" s="3" t="s">
        <v>40</v>
      </c>
      <c r="B3213" s="3" t="s">
        <v>39</v>
      </c>
      <c r="C3213" s="4">
        <v>46054</v>
      </c>
      <c r="D3213" s="4">
        <v>46081</v>
      </c>
      <c r="E3213" s="3" t="s">
        <v>364</v>
      </c>
      <c r="F3213" s="3" t="s">
        <v>230</v>
      </c>
      <c r="G3213" s="5">
        <v>1E-3</v>
      </c>
      <c r="H3213" s="6" t="s">
        <v>56</v>
      </c>
      <c r="I3213" s="3" t="s">
        <v>45</v>
      </c>
    </row>
    <row r="3214" spans="1:9" ht="48" customHeight="1">
      <c r="A3214" s="3" t="s">
        <v>40</v>
      </c>
      <c r="B3214" s="3" t="s">
        <v>39</v>
      </c>
      <c r="C3214" s="4">
        <v>46054</v>
      </c>
      <c r="D3214" s="4">
        <v>46081</v>
      </c>
      <c r="E3214" s="3" t="s">
        <v>364</v>
      </c>
      <c r="F3214" s="3" t="s">
        <v>232</v>
      </c>
      <c r="G3214" s="5">
        <v>1E-3</v>
      </c>
      <c r="H3214" s="6" t="s">
        <v>56</v>
      </c>
      <c r="I3214" s="3" t="s">
        <v>45</v>
      </c>
    </row>
    <row r="3215" spans="1:9" ht="48" customHeight="1">
      <c r="A3215" s="3" t="s">
        <v>40</v>
      </c>
      <c r="B3215" s="3" t="s">
        <v>39</v>
      </c>
      <c r="C3215" s="4">
        <v>46054</v>
      </c>
      <c r="D3215" s="4">
        <v>46081</v>
      </c>
      <c r="E3215" s="3" t="s">
        <v>364</v>
      </c>
      <c r="F3215" s="3" t="s">
        <v>265</v>
      </c>
      <c r="G3215" s="5">
        <v>0</v>
      </c>
      <c r="H3215" s="6" t="s">
        <v>56</v>
      </c>
      <c r="I3215" s="3" t="s">
        <v>45</v>
      </c>
    </row>
    <row r="3216" spans="1:9" ht="48" customHeight="1">
      <c r="A3216" s="3" t="s">
        <v>40</v>
      </c>
      <c r="B3216" s="3" t="s">
        <v>39</v>
      </c>
      <c r="C3216" s="4">
        <v>46054</v>
      </c>
      <c r="D3216" s="4">
        <v>46081</v>
      </c>
      <c r="E3216" s="3" t="s">
        <v>364</v>
      </c>
      <c r="F3216" s="3" t="s">
        <v>79</v>
      </c>
      <c r="G3216" s="5">
        <v>0</v>
      </c>
      <c r="H3216" s="6" t="s">
        <v>56</v>
      </c>
      <c r="I3216" s="3" t="s">
        <v>45</v>
      </c>
    </row>
    <row r="3217" spans="1:9" ht="48" customHeight="1">
      <c r="A3217" s="3" t="s">
        <v>40</v>
      </c>
      <c r="B3217" s="3" t="s">
        <v>39</v>
      </c>
      <c r="C3217" s="4">
        <v>46054</v>
      </c>
      <c r="D3217" s="4">
        <v>46081</v>
      </c>
      <c r="E3217" s="3" t="s">
        <v>231</v>
      </c>
      <c r="F3217" s="3" t="s">
        <v>233</v>
      </c>
      <c r="G3217" s="5">
        <v>5.0000000000000001E-3</v>
      </c>
      <c r="H3217" s="6" t="s">
        <v>56</v>
      </c>
      <c r="I3217" s="3" t="s">
        <v>45</v>
      </c>
    </row>
    <row r="3218" spans="1:9" ht="48" customHeight="1">
      <c r="A3218" s="3" t="s">
        <v>40</v>
      </c>
      <c r="B3218" s="3" t="s">
        <v>39</v>
      </c>
      <c r="C3218" s="4">
        <v>46054</v>
      </c>
      <c r="D3218" s="4">
        <v>46081</v>
      </c>
      <c r="E3218" s="3" t="s">
        <v>231</v>
      </c>
      <c r="F3218" s="3" t="s">
        <v>232</v>
      </c>
      <c r="G3218" s="5">
        <v>4.0000000000000001E-3</v>
      </c>
      <c r="H3218" s="6" t="s">
        <v>56</v>
      </c>
      <c r="I3218" s="3" t="s">
        <v>45</v>
      </c>
    </row>
    <row r="3219" spans="1:9" ht="48" customHeight="1">
      <c r="A3219" s="3" t="s">
        <v>40</v>
      </c>
      <c r="B3219" s="3" t="s">
        <v>39</v>
      </c>
      <c r="C3219" s="4">
        <v>46054</v>
      </c>
      <c r="D3219" s="4">
        <v>46081</v>
      </c>
      <c r="E3219" s="3" t="s">
        <v>231</v>
      </c>
      <c r="F3219" s="3" t="s">
        <v>234</v>
      </c>
      <c r="G3219" s="5">
        <v>2E-3</v>
      </c>
      <c r="H3219" s="6" t="s">
        <v>56</v>
      </c>
      <c r="I3219" s="3" t="s">
        <v>45</v>
      </c>
    </row>
    <row r="3220" spans="1:9" ht="48" customHeight="1">
      <c r="A3220" s="3" t="s">
        <v>40</v>
      </c>
      <c r="B3220" s="3" t="s">
        <v>39</v>
      </c>
      <c r="C3220" s="4">
        <v>46054</v>
      </c>
      <c r="D3220" s="4">
        <v>46081</v>
      </c>
      <c r="E3220" s="3" t="s">
        <v>231</v>
      </c>
      <c r="F3220" s="3" t="s">
        <v>230</v>
      </c>
      <c r="G3220" s="5">
        <v>2E-3</v>
      </c>
      <c r="H3220" s="6" t="s">
        <v>56</v>
      </c>
      <c r="I3220" s="3" t="s">
        <v>45</v>
      </c>
    </row>
    <row r="3221" spans="1:9" ht="48" customHeight="1">
      <c r="A3221" s="3" t="s">
        <v>40</v>
      </c>
      <c r="B3221" s="3" t="s">
        <v>39</v>
      </c>
      <c r="C3221" s="4">
        <v>46054</v>
      </c>
      <c r="D3221" s="4">
        <v>46081</v>
      </c>
      <c r="E3221" s="3" t="s">
        <v>231</v>
      </c>
      <c r="F3221" s="3" t="s">
        <v>235</v>
      </c>
      <c r="G3221" s="5">
        <v>2E-3</v>
      </c>
      <c r="H3221" s="6" t="s">
        <v>56</v>
      </c>
      <c r="I3221" s="3" t="s">
        <v>45</v>
      </c>
    </row>
    <row r="3222" spans="1:9" ht="48" customHeight="1">
      <c r="A3222" s="3" t="s">
        <v>40</v>
      </c>
      <c r="B3222" s="3" t="s">
        <v>39</v>
      </c>
      <c r="C3222" s="4">
        <v>46054</v>
      </c>
      <c r="D3222" s="4">
        <v>46081</v>
      </c>
      <c r="E3222" s="3" t="s">
        <v>368</v>
      </c>
      <c r="F3222" s="3" t="s">
        <v>369</v>
      </c>
      <c r="G3222" s="5">
        <v>2E-3</v>
      </c>
      <c r="H3222" s="6" t="s">
        <v>56</v>
      </c>
      <c r="I3222" s="3" t="s">
        <v>45</v>
      </c>
    </row>
    <row r="3223" spans="1:9" ht="48" customHeight="1">
      <c r="A3223" s="3" t="s">
        <v>40</v>
      </c>
      <c r="B3223" s="3" t="s">
        <v>39</v>
      </c>
      <c r="C3223" s="4">
        <v>46054</v>
      </c>
      <c r="D3223" s="4">
        <v>46081</v>
      </c>
      <c r="E3223" s="3" t="s">
        <v>368</v>
      </c>
      <c r="F3223" s="3" t="s">
        <v>370</v>
      </c>
      <c r="G3223" s="5">
        <v>2E-3</v>
      </c>
      <c r="H3223" s="6" t="s">
        <v>56</v>
      </c>
      <c r="I3223" s="3" t="s">
        <v>45</v>
      </c>
    </row>
    <row r="3224" spans="1:9" ht="48" customHeight="1">
      <c r="A3224" s="3" t="s">
        <v>40</v>
      </c>
      <c r="B3224" s="3" t="s">
        <v>39</v>
      </c>
      <c r="C3224" s="4">
        <v>46054</v>
      </c>
      <c r="D3224" s="4">
        <v>46081</v>
      </c>
      <c r="E3224" s="3" t="s">
        <v>368</v>
      </c>
      <c r="F3224" s="3" t="s">
        <v>372</v>
      </c>
      <c r="G3224" s="5">
        <v>1E-3</v>
      </c>
      <c r="H3224" s="6" t="s">
        <v>56</v>
      </c>
      <c r="I3224" s="3" t="s">
        <v>45</v>
      </c>
    </row>
    <row r="3225" spans="1:9" ht="48" customHeight="1">
      <c r="A3225" s="3" t="s">
        <v>40</v>
      </c>
      <c r="B3225" s="3" t="s">
        <v>39</v>
      </c>
      <c r="C3225" s="4">
        <v>46054</v>
      </c>
      <c r="D3225" s="4">
        <v>46081</v>
      </c>
      <c r="E3225" s="3" t="s">
        <v>368</v>
      </c>
      <c r="F3225" s="3" t="s">
        <v>373</v>
      </c>
      <c r="G3225" s="5">
        <v>1E-3</v>
      </c>
      <c r="H3225" s="6" t="s">
        <v>56</v>
      </c>
      <c r="I3225" s="3" t="s">
        <v>45</v>
      </c>
    </row>
    <row r="3226" spans="1:9" ht="48" customHeight="1">
      <c r="A3226" s="3" t="s">
        <v>40</v>
      </c>
      <c r="B3226" s="3" t="s">
        <v>39</v>
      </c>
      <c r="C3226" s="4">
        <v>46054</v>
      </c>
      <c r="D3226" s="4">
        <v>46081</v>
      </c>
      <c r="E3226" s="3" t="s">
        <v>368</v>
      </c>
      <c r="F3226" s="3" t="s">
        <v>265</v>
      </c>
      <c r="G3226" s="5">
        <v>1E-3</v>
      </c>
      <c r="H3226" s="6" t="s">
        <v>56</v>
      </c>
      <c r="I3226" s="3" t="s">
        <v>45</v>
      </c>
    </row>
    <row r="3227" spans="1:9" ht="48" customHeight="1">
      <c r="A3227" s="3" t="s">
        <v>40</v>
      </c>
      <c r="B3227" s="3" t="s">
        <v>39</v>
      </c>
      <c r="C3227" s="4">
        <v>46054</v>
      </c>
      <c r="D3227" s="4">
        <v>46081</v>
      </c>
      <c r="E3227" s="3" t="s">
        <v>368</v>
      </c>
      <c r="F3227" s="3" t="s">
        <v>262</v>
      </c>
      <c r="G3227" s="5">
        <v>1E-3</v>
      </c>
      <c r="H3227" s="6" t="s">
        <v>56</v>
      </c>
      <c r="I3227" s="3" t="s">
        <v>45</v>
      </c>
    </row>
    <row r="3228" spans="1:9" ht="48" customHeight="1">
      <c r="A3228" s="3" t="s">
        <v>40</v>
      </c>
      <c r="B3228" s="3" t="s">
        <v>39</v>
      </c>
      <c r="C3228" s="4">
        <v>46054</v>
      </c>
      <c r="D3228" s="4">
        <v>46081</v>
      </c>
      <c r="E3228" s="3" t="s">
        <v>368</v>
      </c>
      <c r="F3228" s="3" t="s">
        <v>371</v>
      </c>
      <c r="G3228" s="5">
        <v>1E-3</v>
      </c>
      <c r="H3228" s="6" t="s">
        <v>56</v>
      </c>
      <c r="I3228" s="3" t="s">
        <v>45</v>
      </c>
    </row>
    <row r="3229" spans="1:9" ht="48" customHeight="1">
      <c r="A3229" s="3" t="s">
        <v>40</v>
      </c>
      <c r="B3229" s="3" t="s">
        <v>39</v>
      </c>
      <c r="C3229" s="4">
        <v>46054</v>
      </c>
      <c r="D3229" s="4">
        <v>46081</v>
      </c>
      <c r="E3229" s="3" t="s">
        <v>368</v>
      </c>
      <c r="F3229" s="3" t="s">
        <v>374</v>
      </c>
      <c r="G3229" s="5">
        <v>1E-3</v>
      </c>
      <c r="H3229" s="6" t="s">
        <v>56</v>
      </c>
      <c r="I3229" s="3" t="s">
        <v>45</v>
      </c>
    </row>
    <row r="3230" spans="1:9" ht="48" customHeight="1">
      <c r="A3230" s="3" t="s">
        <v>40</v>
      </c>
      <c r="B3230" s="3" t="s">
        <v>39</v>
      </c>
      <c r="C3230" s="4">
        <v>46054</v>
      </c>
      <c r="D3230" s="4">
        <v>46081</v>
      </c>
      <c r="E3230" s="3" t="s">
        <v>368</v>
      </c>
      <c r="F3230" s="3" t="s">
        <v>207</v>
      </c>
      <c r="G3230" s="5">
        <v>1E-3</v>
      </c>
      <c r="H3230" s="6" t="s">
        <v>56</v>
      </c>
      <c r="I3230" s="3" t="s">
        <v>45</v>
      </c>
    </row>
    <row r="3231" spans="1:9" ht="48" customHeight="1">
      <c r="A3231" s="3" t="s">
        <v>40</v>
      </c>
      <c r="B3231" s="3" t="s">
        <v>39</v>
      </c>
      <c r="C3231" s="4">
        <v>46054</v>
      </c>
      <c r="D3231" s="4">
        <v>46081</v>
      </c>
      <c r="E3231" s="3" t="s">
        <v>368</v>
      </c>
      <c r="F3231" s="3" t="s">
        <v>375</v>
      </c>
      <c r="G3231" s="5">
        <v>1E-3</v>
      </c>
      <c r="H3231" s="6" t="s">
        <v>56</v>
      </c>
      <c r="I3231" s="3" t="s">
        <v>45</v>
      </c>
    </row>
    <row r="3232" spans="1:9" ht="48" customHeight="1">
      <c r="A3232" s="3" t="s">
        <v>40</v>
      </c>
      <c r="B3232" s="3" t="s">
        <v>39</v>
      </c>
      <c r="C3232" s="4">
        <v>46054</v>
      </c>
      <c r="D3232" s="4">
        <v>46081</v>
      </c>
      <c r="E3232" s="3" t="s">
        <v>368</v>
      </c>
      <c r="F3232" s="3" t="s">
        <v>376</v>
      </c>
      <c r="G3232" s="5">
        <v>1E-3</v>
      </c>
      <c r="H3232" s="6" t="s">
        <v>56</v>
      </c>
      <c r="I3232" s="3" t="s">
        <v>45</v>
      </c>
    </row>
    <row r="3233" spans="1:9" ht="48" customHeight="1">
      <c r="A3233" s="3" t="s">
        <v>40</v>
      </c>
      <c r="B3233" s="3" t="s">
        <v>39</v>
      </c>
      <c r="C3233" s="4">
        <v>46054</v>
      </c>
      <c r="D3233" s="4">
        <v>46081</v>
      </c>
      <c r="E3233" s="3" t="s">
        <v>368</v>
      </c>
      <c r="F3233" s="3" t="s">
        <v>377</v>
      </c>
      <c r="G3233" s="5">
        <v>1E-3</v>
      </c>
      <c r="H3233" s="6" t="s">
        <v>56</v>
      </c>
      <c r="I3233" s="3" t="s">
        <v>45</v>
      </c>
    </row>
    <row r="3234" spans="1:9" ht="48" customHeight="1">
      <c r="A3234" s="3" t="s">
        <v>40</v>
      </c>
      <c r="B3234" s="3" t="s">
        <v>39</v>
      </c>
      <c r="C3234" s="4">
        <v>46054</v>
      </c>
      <c r="D3234" s="4">
        <v>46081</v>
      </c>
      <c r="E3234" s="3" t="s">
        <v>368</v>
      </c>
      <c r="F3234" s="3" t="s">
        <v>378</v>
      </c>
      <c r="G3234" s="5">
        <v>1E-3</v>
      </c>
      <c r="H3234" s="6" t="s">
        <v>56</v>
      </c>
      <c r="I3234" s="3" t="s">
        <v>45</v>
      </c>
    </row>
    <row r="3235" spans="1:9" ht="48" customHeight="1">
      <c r="A3235" s="3" t="s">
        <v>40</v>
      </c>
      <c r="B3235" s="3" t="s">
        <v>39</v>
      </c>
      <c r="C3235" s="4">
        <v>46054</v>
      </c>
      <c r="D3235" s="4">
        <v>46081</v>
      </c>
      <c r="E3235" s="3" t="s">
        <v>368</v>
      </c>
      <c r="F3235" s="3" t="s">
        <v>230</v>
      </c>
      <c r="G3235" s="5">
        <v>0</v>
      </c>
      <c r="H3235" s="6" t="s">
        <v>56</v>
      </c>
      <c r="I3235" s="3" t="s">
        <v>45</v>
      </c>
    </row>
    <row r="3236" spans="1:9" ht="48" customHeight="1">
      <c r="A3236" s="3" t="s">
        <v>40</v>
      </c>
      <c r="B3236" s="3" t="s">
        <v>39</v>
      </c>
      <c r="C3236" s="4">
        <v>46054</v>
      </c>
      <c r="D3236" s="4">
        <v>46081</v>
      </c>
      <c r="E3236" s="3" t="s">
        <v>368</v>
      </c>
      <c r="F3236" s="3" t="s">
        <v>232</v>
      </c>
      <c r="G3236" s="5">
        <v>0</v>
      </c>
      <c r="H3236" s="6" t="s">
        <v>56</v>
      </c>
      <c r="I3236" s="3" t="s">
        <v>45</v>
      </c>
    </row>
    <row r="3237" spans="1:9" ht="48" customHeight="1">
      <c r="A3237" s="3" t="s">
        <v>40</v>
      </c>
      <c r="B3237" s="3" t="s">
        <v>39</v>
      </c>
      <c r="C3237" s="4">
        <v>46054</v>
      </c>
      <c r="D3237" s="4">
        <v>46081</v>
      </c>
      <c r="E3237" s="3" t="s">
        <v>368</v>
      </c>
      <c r="F3237" s="3" t="s">
        <v>234</v>
      </c>
      <c r="G3237" s="5">
        <v>0</v>
      </c>
      <c r="H3237" s="6" t="s">
        <v>56</v>
      </c>
      <c r="I3237" s="3" t="s">
        <v>45</v>
      </c>
    </row>
    <row r="3238" spans="1:9" ht="48" customHeight="1">
      <c r="A3238" s="3" t="s">
        <v>40</v>
      </c>
      <c r="B3238" s="3" t="s">
        <v>39</v>
      </c>
      <c r="C3238" s="4">
        <v>46054</v>
      </c>
      <c r="D3238" s="4">
        <v>46081</v>
      </c>
      <c r="E3238" s="3" t="s">
        <v>260</v>
      </c>
      <c r="F3238" s="3" t="s">
        <v>232</v>
      </c>
      <c r="G3238" s="5">
        <v>1E-3</v>
      </c>
      <c r="H3238" s="6" t="s">
        <v>56</v>
      </c>
      <c r="I3238" s="3" t="s">
        <v>45</v>
      </c>
    </row>
    <row r="3239" spans="1:9" ht="48" customHeight="1">
      <c r="A3239" s="3" t="s">
        <v>40</v>
      </c>
      <c r="B3239" s="3" t="s">
        <v>39</v>
      </c>
      <c r="C3239" s="4">
        <v>46054</v>
      </c>
      <c r="D3239" s="4">
        <v>46081</v>
      </c>
      <c r="E3239" s="3" t="s">
        <v>260</v>
      </c>
      <c r="F3239" s="3" t="s">
        <v>265</v>
      </c>
      <c r="G3239" s="5">
        <v>1E-3</v>
      </c>
      <c r="H3239" s="6" t="s">
        <v>56</v>
      </c>
      <c r="I3239" s="3" t="s">
        <v>45</v>
      </c>
    </row>
    <row r="3240" spans="1:9" ht="48" customHeight="1">
      <c r="A3240" s="3" t="s">
        <v>40</v>
      </c>
      <c r="B3240" s="3" t="s">
        <v>39</v>
      </c>
      <c r="C3240" s="4">
        <v>46054</v>
      </c>
      <c r="D3240" s="4">
        <v>46081</v>
      </c>
      <c r="E3240" s="3" t="s">
        <v>260</v>
      </c>
      <c r="F3240" s="3" t="s">
        <v>262</v>
      </c>
      <c r="G3240" s="5">
        <v>1E-3</v>
      </c>
      <c r="H3240" s="6" t="s">
        <v>56</v>
      </c>
      <c r="I3240" s="3" t="s">
        <v>45</v>
      </c>
    </row>
    <row r="3241" spans="1:9" ht="48" customHeight="1">
      <c r="A3241" s="3" t="s">
        <v>40</v>
      </c>
      <c r="B3241" s="3" t="s">
        <v>39</v>
      </c>
      <c r="C3241" s="4">
        <v>46054</v>
      </c>
      <c r="D3241" s="4">
        <v>46081</v>
      </c>
      <c r="E3241" s="3" t="s">
        <v>260</v>
      </c>
      <c r="F3241" s="3" t="s">
        <v>261</v>
      </c>
      <c r="G3241" s="5">
        <v>1E-3</v>
      </c>
      <c r="H3241" s="6" t="s">
        <v>56</v>
      </c>
      <c r="I3241" s="3" t="s">
        <v>45</v>
      </c>
    </row>
    <row r="3242" spans="1:9" ht="48" customHeight="1">
      <c r="A3242" s="3" t="s">
        <v>40</v>
      </c>
      <c r="B3242" s="3" t="s">
        <v>39</v>
      </c>
      <c r="C3242" s="4">
        <v>46054</v>
      </c>
      <c r="D3242" s="4">
        <v>46081</v>
      </c>
      <c r="E3242" s="3" t="s">
        <v>260</v>
      </c>
      <c r="F3242" s="3" t="s">
        <v>263</v>
      </c>
      <c r="G3242" s="5">
        <v>1E-3</v>
      </c>
      <c r="H3242" s="6" t="s">
        <v>56</v>
      </c>
      <c r="I3242" s="3" t="s">
        <v>45</v>
      </c>
    </row>
    <row r="3243" spans="1:9" ht="48" customHeight="1">
      <c r="A3243" s="3" t="s">
        <v>40</v>
      </c>
      <c r="B3243" s="3" t="s">
        <v>39</v>
      </c>
      <c r="C3243" s="4">
        <v>46054</v>
      </c>
      <c r="D3243" s="4">
        <v>46081</v>
      </c>
      <c r="E3243" s="3" t="s">
        <v>260</v>
      </c>
      <c r="F3243" s="3" t="s">
        <v>266</v>
      </c>
      <c r="G3243" s="5">
        <v>1E-3</v>
      </c>
      <c r="H3243" s="6" t="s">
        <v>56</v>
      </c>
      <c r="I3243" s="3" t="s">
        <v>45</v>
      </c>
    </row>
    <row r="3244" spans="1:9" ht="48" customHeight="1">
      <c r="A3244" s="3" t="s">
        <v>40</v>
      </c>
      <c r="B3244" s="3" t="s">
        <v>39</v>
      </c>
      <c r="C3244" s="4">
        <v>46054</v>
      </c>
      <c r="D3244" s="4">
        <v>46081</v>
      </c>
      <c r="E3244" s="3" t="s">
        <v>260</v>
      </c>
      <c r="F3244" s="3" t="s">
        <v>264</v>
      </c>
      <c r="G3244" s="5">
        <v>1E-3</v>
      </c>
      <c r="H3244" s="6" t="s">
        <v>56</v>
      </c>
      <c r="I3244" s="3" t="s">
        <v>45</v>
      </c>
    </row>
    <row r="3245" spans="1:9" ht="48" customHeight="1">
      <c r="A3245" s="3" t="s">
        <v>40</v>
      </c>
      <c r="B3245" s="3" t="s">
        <v>39</v>
      </c>
      <c r="C3245" s="4">
        <v>46054</v>
      </c>
      <c r="D3245" s="4">
        <v>46081</v>
      </c>
      <c r="E3245" s="3" t="s">
        <v>260</v>
      </c>
      <c r="F3245" s="3" t="s">
        <v>267</v>
      </c>
      <c r="G3245" s="5">
        <v>1E-3</v>
      </c>
      <c r="H3245" s="6" t="s">
        <v>56</v>
      </c>
      <c r="I3245" s="3" t="s">
        <v>45</v>
      </c>
    </row>
    <row r="3246" spans="1:9" ht="48" customHeight="1">
      <c r="A3246" s="3" t="s">
        <v>40</v>
      </c>
      <c r="B3246" s="3" t="s">
        <v>39</v>
      </c>
      <c r="C3246" s="4">
        <v>46054</v>
      </c>
      <c r="D3246" s="4">
        <v>46081</v>
      </c>
      <c r="E3246" s="3" t="s">
        <v>260</v>
      </c>
      <c r="F3246" s="3" t="s">
        <v>268</v>
      </c>
      <c r="G3246" s="5">
        <v>1E-3</v>
      </c>
      <c r="H3246" s="6" t="s">
        <v>56</v>
      </c>
      <c r="I3246" s="3" t="s">
        <v>45</v>
      </c>
    </row>
    <row r="3247" spans="1:9" ht="48" customHeight="1">
      <c r="A3247" s="3" t="s">
        <v>40</v>
      </c>
      <c r="B3247" s="3" t="s">
        <v>39</v>
      </c>
      <c r="C3247" s="4">
        <v>46054</v>
      </c>
      <c r="D3247" s="4">
        <v>46081</v>
      </c>
      <c r="E3247" s="3" t="s">
        <v>260</v>
      </c>
      <c r="F3247" s="3" t="s">
        <v>270</v>
      </c>
      <c r="G3247" s="5">
        <v>1E-3</v>
      </c>
      <c r="H3247" s="6" t="s">
        <v>56</v>
      </c>
      <c r="I3247" s="3" t="s">
        <v>45</v>
      </c>
    </row>
    <row r="3248" spans="1:9" ht="48" customHeight="1">
      <c r="A3248" s="3" t="s">
        <v>40</v>
      </c>
      <c r="B3248" s="3" t="s">
        <v>39</v>
      </c>
      <c r="C3248" s="4">
        <v>46054</v>
      </c>
      <c r="D3248" s="4">
        <v>46081</v>
      </c>
      <c r="E3248" s="3" t="s">
        <v>260</v>
      </c>
      <c r="F3248" s="3" t="s">
        <v>234</v>
      </c>
      <c r="G3248" s="5">
        <v>0</v>
      </c>
      <c r="H3248" s="6" t="s">
        <v>56</v>
      </c>
      <c r="I3248" s="3" t="s">
        <v>45</v>
      </c>
    </row>
    <row r="3249" spans="1:9" ht="48" customHeight="1">
      <c r="A3249" s="3" t="s">
        <v>40</v>
      </c>
      <c r="B3249" s="3" t="s">
        <v>39</v>
      </c>
      <c r="C3249" s="4">
        <v>46054</v>
      </c>
      <c r="D3249" s="4">
        <v>46081</v>
      </c>
      <c r="E3249" s="3" t="s">
        <v>260</v>
      </c>
      <c r="F3249" s="3" t="s">
        <v>273</v>
      </c>
      <c r="G3249" s="5">
        <v>0</v>
      </c>
      <c r="H3249" s="6" t="s">
        <v>56</v>
      </c>
      <c r="I3249" s="3" t="s">
        <v>45</v>
      </c>
    </row>
    <row r="3250" spans="1:9" ht="48" customHeight="1">
      <c r="A3250" s="3" t="s">
        <v>40</v>
      </c>
      <c r="B3250" s="3" t="s">
        <v>39</v>
      </c>
      <c r="C3250" s="4">
        <v>46054</v>
      </c>
      <c r="D3250" s="4">
        <v>46081</v>
      </c>
      <c r="E3250" s="3" t="s">
        <v>260</v>
      </c>
      <c r="F3250" s="3" t="s">
        <v>274</v>
      </c>
      <c r="G3250" s="5">
        <v>0</v>
      </c>
      <c r="H3250" s="6" t="s">
        <v>56</v>
      </c>
      <c r="I3250" s="3" t="s">
        <v>45</v>
      </c>
    </row>
    <row r="3251" spans="1:9" ht="48" customHeight="1">
      <c r="A3251" s="3" t="s">
        <v>40</v>
      </c>
      <c r="B3251" s="3" t="s">
        <v>39</v>
      </c>
      <c r="C3251" s="4">
        <v>46054</v>
      </c>
      <c r="D3251" s="4">
        <v>46081</v>
      </c>
      <c r="E3251" s="3" t="s">
        <v>260</v>
      </c>
      <c r="F3251" s="3" t="s">
        <v>275</v>
      </c>
      <c r="G3251" s="5">
        <v>0</v>
      </c>
      <c r="H3251" s="6" t="s">
        <v>56</v>
      </c>
      <c r="I3251" s="3" t="s">
        <v>45</v>
      </c>
    </row>
    <row r="3252" spans="1:9" ht="48" customHeight="1">
      <c r="A3252" s="3" t="s">
        <v>40</v>
      </c>
      <c r="B3252" s="3" t="s">
        <v>39</v>
      </c>
      <c r="C3252" s="4">
        <v>46054</v>
      </c>
      <c r="D3252" s="4">
        <v>46081</v>
      </c>
      <c r="E3252" s="3" t="s">
        <v>260</v>
      </c>
      <c r="F3252" s="3" t="s">
        <v>276</v>
      </c>
      <c r="G3252" s="5">
        <v>0</v>
      </c>
      <c r="H3252" s="6" t="s">
        <v>56</v>
      </c>
      <c r="I3252" s="3" t="s">
        <v>45</v>
      </c>
    </row>
    <row r="3253" spans="1:9" ht="48" customHeight="1">
      <c r="A3253" s="3" t="s">
        <v>40</v>
      </c>
      <c r="B3253" s="3" t="s">
        <v>39</v>
      </c>
      <c r="C3253" s="4">
        <v>46054</v>
      </c>
      <c r="D3253" s="4">
        <v>46081</v>
      </c>
      <c r="E3253" s="3" t="s">
        <v>260</v>
      </c>
      <c r="F3253" s="3" t="s">
        <v>277</v>
      </c>
      <c r="G3253" s="5">
        <v>0</v>
      </c>
      <c r="H3253" s="6" t="s">
        <v>56</v>
      </c>
      <c r="I3253" s="3" t="s">
        <v>45</v>
      </c>
    </row>
    <row r="3254" spans="1:9" ht="48" customHeight="1">
      <c r="A3254" s="3" t="s">
        <v>40</v>
      </c>
      <c r="B3254" s="3" t="s">
        <v>39</v>
      </c>
      <c r="C3254" s="4">
        <v>46054</v>
      </c>
      <c r="D3254" s="4">
        <v>46081</v>
      </c>
      <c r="E3254" s="3" t="s">
        <v>260</v>
      </c>
      <c r="F3254" s="3" t="s">
        <v>278</v>
      </c>
      <c r="G3254" s="5">
        <v>0</v>
      </c>
      <c r="H3254" s="6" t="s">
        <v>56</v>
      </c>
      <c r="I3254" s="3" t="s">
        <v>45</v>
      </c>
    </row>
    <row r="3255" spans="1:9" ht="48" customHeight="1">
      <c r="A3255" s="3" t="s">
        <v>40</v>
      </c>
      <c r="B3255" s="3" t="s">
        <v>39</v>
      </c>
      <c r="C3255" s="4">
        <v>46054</v>
      </c>
      <c r="D3255" s="4">
        <v>46081</v>
      </c>
      <c r="E3255" s="3" t="s">
        <v>260</v>
      </c>
      <c r="F3255" s="3" t="s">
        <v>269</v>
      </c>
      <c r="G3255" s="5">
        <v>0</v>
      </c>
      <c r="H3255" s="6" t="s">
        <v>56</v>
      </c>
      <c r="I3255" s="3" t="s">
        <v>45</v>
      </c>
    </row>
    <row r="3256" spans="1:9" ht="48" customHeight="1">
      <c r="A3256" s="3" t="s">
        <v>40</v>
      </c>
      <c r="B3256" s="3" t="s">
        <v>39</v>
      </c>
      <c r="C3256" s="4">
        <v>46054</v>
      </c>
      <c r="D3256" s="4">
        <v>46081</v>
      </c>
      <c r="E3256" s="3" t="s">
        <v>260</v>
      </c>
      <c r="F3256" s="3" t="s">
        <v>279</v>
      </c>
      <c r="G3256" s="5">
        <v>0</v>
      </c>
      <c r="H3256" s="6" t="s">
        <v>56</v>
      </c>
      <c r="I3256" s="3" t="s">
        <v>45</v>
      </c>
    </row>
    <row r="3257" spans="1:9" ht="48" customHeight="1">
      <c r="A3257" s="3" t="s">
        <v>40</v>
      </c>
      <c r="B3257" s="3" t="s">
        <v>39</v>
      </c>
      <c r="C3257" s="4">
        <v>46054</v>
      </c>
      <c r="D3257" s="4">
        <v>46081</v>
      </c>
      <c r="E3257" s="3" t="s">
        <v>260</v>
      </c>
      <c r="F3257" s="3" t="s">
        <v>280</v>
      </c>
      <c r="G3257" s="5">
        <v>0</v>
      </c>
      <c r="H3257" s="6" t="s">
        <v>56</v>
      </c>
      <c r="I3257" s="3" t="s">
        <v>45</v>
      </c>
    </row>
    <row r="3258" spans="1:9" ht="48" customHeight="1">
      <c r="A3258" s="3" t="s">
        <v>40</v>
      </c>
      <c r="B3258" s="3" t="s">
        <v>39</v>
      </c>
      <c r="C3258" s="4">
        <v>46054</v>
      </c>
      <c r="D3258" s="4">
        <v>46081</v>
      </c>
      <c r="E3258" s="3" t="s">
        <v>260</v>
      </c>
      <c r="F3258" s="3" t="s">
        <v>271</v>
      </c>
      <c r="G3258" s="5">
        <v>0</v>
      </c>
      <c r="H3258" s="6" t="s">
        <v>56</v>
      </c>
      <c r="I3258" s="3" t="s">
        <v>45</v>
      </c>
    </row>
    <row r="3259" spans="1:9" ht="48" customHeight="1">
      <c r="A3259" s="3" t="s">
        <v>40</v>
      </c>
      <c r="B3259" s="3" t="s">
        <v>39</v>
      </c>
      <c r="C3259" s="4">
        <v>46054</v>
      </c>
      <c r="D3259" s="4">
        <v>46081</v>
      </c>
      <c r="E3259" s="3" t="s">
        <v>260</v>
      </c>
      <c r="F3259" s="3" t="s">
        <v>281</v>
      </c>
      <c r="G3259" s="5">
        <v>0</v>
      </c>
      <c r="H3259" s="6" t="s">
        <v>56</v>
      </c>
      <c r="I3259" s="3" t="s">
        <v>45</v>
      </c>
    </row>
    <row r="3260" spans="1:9" ht="48" customHeight="1">
      <c r="A3260" s="3" t="s">
        <v>40</v>
      </c>
      <c r="B3260" s="3" t="s">
        <v>39</v>
      </c>
      <c r="C3260" s="4">
        <v>46054</v>
      </c>
      <c r="D3260" s="4">
        <v>46081</v>
      </c>
      <c r="E3260" s="3" t="s">
        <v>260</v>
      </c>
      <c r="F3260" s="3" t="s">
        <v>272</v>
      </c>
      <c r="G3260" s="5">
        <v>0</v>
      </c>
      <c r="H3260" s="6" t="s">
        <v>56</v>
      </c>
      <c r="I3260" s="3" t="s">
        <v>45</v>
      </c>
    </row>
    <row r="3261" spans="1:9" ht="48" customHeight="1">
      <c r="A3261" s="3" t="s">
        <v>40</v>
      </c>
      <c r="B3261" s="3" t="s">
        <v>39</v>
      </c>
      <c r="C3261" s="4">
        <v>46054</v>
      </c>
      <c r="D3261" s="4">
        <v>46081</v>
      </c>
      <c r="E3261" s="3" t="s">
        <v>260</v>
      </c>
      <c r="F3261" s="3" t="s">
        <v>282</v>
      </c>
      <c r="G3261" s="5">
        <v>0</v>
      </c>
      <c r="H3261" s="6" t="s">
        <v>56</v>
      </c>
      <c r="I3261" s="3" t="s">
        <v>45</v>
      </c>
    </row>
    <row r="3262" spans="1:9" ht="48" customHeight="1">
      <c r="A3262" s="3" t="s">
        <v>40</v>
      </c>
      <c r="B3262" s="3" t="s">
        <v>39</v>
      </c>
      <c r="C3262" s="4">
        <v>46054</v>
      </c>
      <c r="D3262" s="4">
        <v>46081</v>
      </c>
      <c r="E3262" s="3" t="s">
        <v>260</v>
      </c>
      <c r="F3262" s="3" t="s">
        <v>283</v>
      </c>
      <c r="G3262" s="5">
        <v>0</v>
      </c>
      <c r="H3262" s="6" t="s">
        <v>56</v>
      </c>
      <c r="I3262" s="3" t="s">
        <v>45</v>
      </c>
    </row>
    <row r="3263" spans="1:9" ht="48" customHeight="1">
      <c r="A3263" s="3" t="s">
        <v>40</v>
      </c>
      <c r="B3263" s="3" t="s">
        <v>39</v>
      </c>
      <c r="C3263" s="4">
        <v>46054</v>
      </c>
      <c r="D3263" s="4">
        <v>46081</v>
      </c>
      <c r="E3263" s="3" t="s">
        <v>260</v>
      </c>
      <c r="F3263" s="3" t="s">
        <v>284</v>
      </c>
      <c r="G3263" s="5">
        <v>0</v>
      </c>
      <c r="H3263" s="6" t="s">
        <v>56</v>
      </c>
      <c r="I3263" s="3" t="s">
        <v>45</v>
      </c>
    </row>
    <row r="3264" spans="1:9" ht="48" customHeight="1">
      <c r="A3264" s="3" t="s">
        <v>40</v>
      </c>
      <c r="B3264" s="3" t="s">
        <v>39</v>
      </c>
      <c r="C3264" s="4">
        <v>46054</v>
      </c>
      <c r="D3264" s="4">
        <v>46081</v>
      </c>
      <c r="E3264" s="3" t="s">
        <v>260</v>
      </c>
      <c r="F3264" s="3" t="s">
        <v>285</v>
      </c>
      <c r="G3264" s="5">
        <v>0</v>
      </c>
      <c r="H3264" s="6" t="s">
        <v>56</v>
      </c>
      <c r="I3264" s="3" t="s">
        <v>45</v>
      </c>
    </row>
    <row r="3265" spans="1:9" ht="48" customHeight="1">
      <c r="A3265" s="3" t="s">
        <v>40</v>
      </c>
      <c r="B3265" s="3" t="s">
        <v>39</v>
      </c>
      <c r="C3265" s="4">
        <v>46054</v>
      </c>
      <c r="D3265" s="4">
        <v>46081</v>
      </c>
      <c r="E3265" s="3" t="s">
        <v>379</v>
      </c>
      <c r="F3265" s="3" t="s">
        <v>265</v>
      </c>
      <c r="G3265" s="5">
        <v>3.0000000000000001E-3</v>
      </c>
      <c r="H3265" s="6" t="s">
        <v>56</v>
      </c>
      <c r="I3265" s="3" t="s">
        <v>45</v>
      </c>
    </row>
    <row r="3266" spans="1:9" ht="48" customHeight="1">
      <c r="A3266" s="3" t="s">
        <v>40</v>
      </c>
      <c r="B3266" s="3" t="s">
        <v>39</v>
      </c>
      <c r="C3266" s="4">
        <v>46054</v>
      </c>
      <c r="D3266" s="4">
        <v>46081</v>
      </c>
      <c r="E3266" s="3" t="s">
        <v>379</v>
      </c>
      <c r="F3266" s="3" t="s">
        <v>234</v>
      </c>
      <c r="G3266" s="5">
        <v>2E-3</v>
      </c>
      <c r="H3266" s="6" t="s">
        <v>56</v>
      </c>
      <c r="I3266" s="3" t="s">
        <v>45</v>
      </c>
    </row>
    <row r="3267" spans="1:9" ht="48" customHeight="1">
      <c r="A3267" s="3" t="s">
        <v>40</v>
      </c>
      <c r="B3267" s="3" t="s">
        <v>39</v>
      </c>
      <c r="C3267" s="4">
        <v>46054</v>
      </c>
      <c r="D3267" s="4">
        <v>46081</v>
      </c>
      <c r="E3267" s="3" t="s">
        <v>379</v>
      </c>
      <c r="F3267" s="3" t="s">
        <v>262</v>
      </c>
      <c r="G3267" s="5">
        <v>2E-3</v>
      </c>
      <c r="H3267" s="6" t="s">
        <v>56</v>
      </c>
      <c r="I3267" s="3" t="s">
        <v>45</v>
      </c>
    </row>
    <row r="3268" spans="1:9" ht="48" customHeight="1">
      <c r="A3268" s="3" t="s">
        <v>40</v>
      </c>
      <c r="B3268" s="3" t="s">
        <v>39</v>
      </c>
      <c r="C3268" s="4">
        <v>46054</v>
      </c>
      <c r="D3268" s="4">
        <v>46081</v>
      </c>
      <c r="E3268" s="3" t="s">
        <v>379</v>
      </c>
      <c r="F3268" s="3" t="s">
        <v>380</v>
      </c>
      <c r="G3268" s="5">
        <v>2E-3</v>
      </c>
      <c r="H3268" s="6" t="s">
        <v>56</v>
      </c>
      <c r="I3268" s="3" t="s">
        <v>45</v>
      </c>
    </row>
    <row r="3269" spans="1:9" ht="48" customHeight="1">
      <c r="A3269" s="3" t="s">
        <v>40</v>
      </c>
      <c r="B3269" s="3" t="s">
        <v>39</v>
      </c>
      <c r="C3269" s="4">
        <v>46054</v>
      </c>
      <c r="D3269" s="4">
        <v>46081</v>
      </c>
      <c r="E3269" s="3" t="s">
        <v>379</v>
      </c>
      <c r="F3269" s="3" t="s">
        <v>230</v>
      </c>
      <c r="G3269" s="5">
        <v>1E-3</v>
      </c>
      <c r="H3269" s="6" t="s">
        <v>56</v>
      </c>
      <c r="I3269" s="3" t="s">
        <v>45</v>
      </c>
    </row>
    <row r="3270" spans="1:9" ht="48" customHeight="1">
      <c r="A3270" s="3" t="s">
        <v>40</v>
      </c>
      <c r="B3270" s="3" t="s">
        <v>39</v>
      </c>
      <c r="C3270" s="4">
        <v>46054</v>
      </c>
      <c r="D3270" s="4">
        <v>46081</v>
      </c>
      <c r="E3270" s="3" t="s">
        <v>244</v>
      </c>
      <c r="F3270" s="3" t="s">
        <v>245</v>
      </c>
      <c r="G3270" s="5">
        <v>2E-3</v>
      </c>
      <c r="H3270" s="6" t="s">
        <v>56</v>
      </c>
      <c r="I3270" s="3" t="s">
        <v>45</v>
      </c>
    </row>
    <row r="3271" spans="1:9" ht="48" customHeight="1">
      <c r="A3271" s="3" t="s">
        <v>40</v>
      </c>
      <c r="B3271" s="3" t="s">
        <v>39</v>
      </c>
      <c r="C3271" s="4">
        <v>46054</v>
      </c>
      <c r="D3271" s="4">
        <v>46081</v>
      </c>
      <c r="E3271" s="3" t="s">
        <v>244</v>
      </c>
      <c r="F3271" s="3" t="s">
        <v>246</v>
      </c>
      <c r="G3271" s="5">
        <v>2E-3</v>
      </c>
      <c r="H3271" s="6" t="s">
        <v>56</v>
      </c>
      <c r="I3271" s="3" t="s">
        <v>45</v>
      </c>
    </row>
    <row r="3272" spans="1:9" ht="48" customHeight="1">
      <c r="A3272" s="3" t="s">
        <v>40</v>
      </c>
      <c r="B3272" s="3" t="s">
        <v>39</v>
      </c>
      <c r="C3272" s="4">
        <v>46054</v>
      </c>
      <c r="D3272" s="4">
        <v>46081</v>
      </c>
      <c r="E3272" s="3" t="s">
        <v>244</v>
      </c>
      <c r="F3272" s="3" t="s">
        <v>248</v>
      </c>
      <c r="G3272" s="5">
        <v>1E-3</v>
      </c>
      <c r="H3272" s="6" t="s">
        <v>56</v>
      </c>
      <c r="I3272" s="3" t="s">
        <v>45</v>
      </c>
    </row>
    <row r="3273" spans="1:9" ht="48" customHeight="1">
      <c r="A3273" s="3" t="s">
        <v>40</v>
      </c>
      <c r="B3273" s="3" t="s">
        <v>39</v>
      </c>
      <c r="C3273" s="4">
        <v>46054</v>
      </c>
      <c r="D3273" s="4">
        <v>46081</v>
      </c>
      <c r="E3273" s="3" t="s">
        <v>244</v>
      </c>
      <c r="F3273" s="3" t="s">
        <v>247</v>
      </c>
      <c r="G3273" s="5">
        <v>1E-3</v>
      </c>
      <c r="H3273" s="6" t="s">
        <v>56</v>
      </c>
      <c r="I3273" s="3" t="s">
        <v>45</v>
      </c>
    </row>
    <row r="3274" spans="1:9" ht="48" customHeight="1">
      <c r="A3274" s="3" t="s">
        <v>40</v>
      </c>
      <c r="B3274" s="3" t="s">
        <v>39</v>
      </c>
      <c r="C3274" s="4">
        <v>46054</v>
      </c>
      <c r="D3274" s="4">
        <v>46081</v>
      </c>
      <c r="E3274" s="3" t="s">
        <v>244</v>
      </c>
      <c r="F3274" s="3" t="s">
        <v>249</v>
      </c>
      <c r="G3274" s="5">
        <v>1E-3</v>
      </c>
      <c r="H3274" s="6" t="s">
        <v>56</v>
      </c>
      <c r="I3274" s="3" t="s">
        <v>45</v>
      </c>
    </row>
    <row r="3275" spans="1:9" ht="48" customHeight="1">
      <c r="A3275" s="3" t="s">
        <v>40</v>
      </c>
      <c r="B3275" s="3" t="s">
        <v>39</v>
      </c>
      <c r="C3275" s="4">
        <v>46054</v>
      </c>
      <c r="D3275" s="4">
        <v>46081</v>
      </c>
      <c r="E3275" s="3" t="s">
        <v>244</v>
      </c>
      <c r="F3275" s="3" t="s">
        <v>250</v>
      </c>
      <c r="G3275" s="5">
        <v>0</v>
      </c>
      <c r="H3275" s="6" t="s">
        <v>56</v>
      </c>
      <c r="I3275" s="3" t="s">
        <v>45</v>
      </c>
    </row>
    <row r="3276" spans="1:9" ht="48" customHeight="1">
      <c r="A3276" s="3" t="s">
        <v>40</v>
      </c>
      <c r="B3276" s="3" t="s">
        <v>39</v>
      </c>
      <c r="C3276" s="4">
        <v>46054</v>
      </c>
      <c r="D3276" s="4">
        <v>46081</v>
      </c>
      <c r="E3276" s="3" t="s">
        <v>244</v>
      </c>
      <c r="F3276" s="3" t="s">
        <v>251</v>
      </c>
      <c r="G3276" s="5">
        <v>0</v>
      </c>
      <c r="H3276" s="6" t="s">
        <v>56</v>
      </c>
      <c r="I3276" s="3" t="s">
        <v>45</v>
      </c>
    </row>
    <row r="3277" spans="1:9" ht="48" customHeight="1">
      <c r="A3277" s="3" t="s">
        <v>40</v>
      </c>
      <c r="B3277" s="3" t="s">
        <v>39</v>
      </c>
      <c r="C3277" s="4">
        <v>46054</v>
      </c>
      <c r="D3277" s="4">
        <v>46081</v>
      </c>
      <c r="E3277" s="3" t="s">
        <v>244</v>
      </c>
      <c r="F3277" s="3" t="s">
        <v>252</v>
      </c>
      <c r="G3277" s="5">
        <v>0</v>
      </c>
      <c r="H3277" s="6" t="s">
        <v>56</v>
      </c>
      <c r="I3277" s="3" t="s">
        <v>45</v>
      </c>
    </row>
    <row r="3278" spans="1:9" ht="48" customHeight="1">
      <c r="A3278" s="3" t="s">
        <v>40</v>
      </c>
      <c r="B3278" s="3" t="s">
        <v>39</v>
      </c>
      <c r="C3278" s="4">
        <v>46054</v>
      </c>
      <c r="D3278" s="4">
        <v>46081</v>
      </c>
      <c r="E3278" s="3" t="s">
        <v>244</v>
      </c>
      <c r="F3278" s="3" t="s">
        <v>255</v>
      </c>
      <c r="G3278" s="5">
        <v>0</v>
      </c>
      <c r="H3278" s="6" t="s">
        <v>56</v>
      </c>
      <c r="I3278" s="3" t="s">
        <v>45</v>
      </c>
    </row>
    <row r="3279" spans="1:9" ht="48" customHeight="1">
      <c r="A3279" s="3" t="s">
        <v>40</v>
      </c>
      <c r="B3279" s="3" t="s">
        <v>39</v>
      </c>
      <c r="C3279" s="4">
        <v>46054</v>
      </c>
      <c r="D3279" s="4">
        <v>46081</v>
      </c>
      <c r="E3279" s="3" t="s">
        <v>244</v>
      </c>
      <c r="F3279" s="3" t="s">
        <v>256</v>
      </c>
      <c r="G3279" s="5">
        <v>0</v>
      </c>
      <c r="H3279" s="6" t="s">
        <v>56</v>
      </c>
      <c r="I3279" s="3" t="s">
        <v>45</v>
      </c>
    </row>
    <row r="3280" spans="1:9" ht="48" customHeight="1">
      <c r="A3280" s="3" t="s">
        <v>40</v>
      </c>
      <c r="B3280" s="3" t="s">
        <v>39</v>
      </c>
      <c r="C3280" s="4">
        <v>46054</v>
      </c>
      <c r="D3280" s="4">
        <v>46081</v>
      </c>
      <c r="E3280" s="3" t="s">
        <v>244</v>
      </c>
      <c r="F3280" s="3" t="s">
        <v>257</v>
      </c>
      <c r="G3280" s="5">
        <v>0</v>
      </c>
      <c r="H3280" s="6" t="s">
        <v>56</v>
      </c>
      <c r="I3280" s="3" t="s">
        <v>45</v>
      </c>
    </row>
    <row r="3281" spans="1:9" ht="48" customHeight="1">
      <c r="A3281" s="3" t="s">
        <v>40</v>
      </c>
      <c r="B3281" s="3" t="s">
        <v>39</v>
      </c>
      <c r="C3281" s="4">
        <v>46054</v>
      </c>
      <c r="D3281" s="4">
        <v>46081</v>
      </c>
      <c r="E3281" s="3" t="s">
        <v>244</v>
      </c>
      <c r="F3281" s="3" t="s">
        <v>258</v>
      </c>
      <c r="G3281" s="5">
        <v>0</v>
      </c>
      <c r="H3281" s="6" t="s">
        <v>56</v>
      </c>
      <c r="I3281" s="3" t="s">
        <v>45</v>
      </c>
    </row>
    <row r="3282" spans="1:9" ht="48" customHeight="1">
      <c r="A3282" s="3" t="s">
        <v>40</v>
      </c>
      <c r="B3282" s="3" t="s">
        <v>39</v>
      </c>
      <c r="C3282" s="4">
        <v>46054</v>
      </c>
      <c r="D3282" s="4">
        <v>46081</v>
      </c>
      <c r="E3282" s="3" t="s">
        <v>244</v>
      </c>
      <c r="F3282" s="3" t="s">
        <v>259</v>
      </c>
      <c r="G3282" s="5">
        <v>0</v>
      </c>
      <c r="H3282" s="6" t="s">
        <v>56</v>
      </c>
      <c r="I3282" s="3" t="s">
        <v>45</v>
      </c>
    </row>
    <row r="3283" spans="1:9" ht="48" customHeight="1">
      <c r="A3283" s="3" t="s">
        <v>40</v>
      </c>
      <c r="B3283" s="3" t="s">
        <v>39</v>
      </c>
      <c r="C3283" s="4">
        <v>46054</v>
      </c>
      <c r="D3283" s="4">
        <v>46081</v>
      </c>
      <c r="E3283" s="3" t="s">
        <v>244</v>
      </c>
      <c r="F3283" s="3" t="s">
        <v>253</v>
      </c>
      <c r="G3283" s="5">
        <v>0</v>
      </c>
      <c r="H3283" s="6" t="s">
        <v>56</v>
      </c>
      <c r="I3283" s="3" t="s">
        <v>45</v>
      </c>
    </row>
    <row r="3284" spans="1:9" ht="48" customHeight="1">
      <c r="A3284" s="3" t="s">
        <v>40</v>
      </c>
      <c r="B3284" s="3" t="s">
        <v>39</v>
      </c>
      <c r="C3284" s="4">
        <v>46054</v>
      </c>
      <c r="D3284" s="4">
        <v>46081</v>
      </c>
      <c r="E3284" s="3" t="s">
        <v>244</v>
      </c>
      <c r="F3284" s="3" t="s">
        <v>254</v>
      </c>
      <c r="G3284" s="5">
        <v>0</v>
      </c>
      <c r="H3284" s="6" t="s">
        <v>56</v>
      </c>
      <c r="I3284" s="3" t="s">
        <v>45</v>
      </c>
    </row>
    <row r="3285" spans="1:9" ht="48" customHeight="1">
      <c r="A3285" s="3" t="s">
        <v>40</v>
      </c>
      <c r="B3285" s="3" t="s">
        <v>39</v>
      </c>
      <c r="C3285" s="4">
        <v>46054</v>
      </c>
      <c r="D3285" s="4">
        <v>46081</v>
      </c>
      <c r="E3285" s="3" t="s">
        <v>301</v>
      </c>
      <c r="F3285" s="3" t="s">
        <v>301</v>
      </c>
      <c r="G3285" s="5">
        <v>6.0000000000000001E-3</v>
      </c>
      <c r="H3285" s="6" t="s">
        <v>56</v>
      </c>
      <c r="I3285" s="3" t="s">
        <v>45</v>
      </c>
    </row>
    <row r="3286" spans="1:9" ht="48" customHeight="1">
      <c r="A3286" s="3" t="s">
        <v>40</v>
      </c>
      <c r="B3286" s="3" t="s">
        <v>39</v>
      </c>
      <c r="C3286" s="4">
        <v>46054</v>
      </c>
      <c r="D3286" s="4">
        <v>46081</v>
      </c>
      <c r="E3286" s="3" t="s">
        <v>381</v>
      </c>
      <c r="F3286" s="3" t="s">
        <v>382</v>
      </c>
      <c r="G3286" s="5">
        <v>2E-3</v>
      </c>
      <c r="H3286" s="6" t="s">
        <v>56</v>
      </c>
      <c r="I3286" s="3" t="s">
        <v>45</v>
      </c>
    </row>
    <row r="3287" spans="1:9" ht="48" customHeight="1">
      <c r="A3287" s="3" t="s">
        <v>40</v>
      </c>
      <c r="B3287" s="3" t="s">
        <v>39</v>
      </c>
      <c r="C3287" s="4">
        <v>46054</v>
      </c>
      <c r="D3287" s="4">
        <v>46081</v>
      </c>
      <c r="E3287" s="3" t="s">
        <v>381</v>
      </c>
      <c r="F3287" s="3" t="s">
        <v>383</v>
      </c>
      <c r="G3287" s="5">
        <v>1E-3</v>
      </c>
      <c r="H3287" s="6" t="s">
        <v>56</v>
      </c>
      <c r="I3287" s="3" t="s">
        <v>45</v>
      </c>
    </row>
    <row r="3288" spans="1:9" ht="48" customHeight="1">
      <c r="A3288" s="3" t="s">
        <v>40</v>
      </c>
      <c r="B3288" s="3" t="s">
        <v>39</v>
      </c>
      <c r="C3288" s="4">
        <v>46082</v>
      </c>
      <c r="D3288" s="4">
        <v>46112</v>
      </c>
      <c r="E3288" s="3" t="s">
        <v>47</v>
      </c>
      <c r="F3288" s="3" t="s">
        <v>348</v>
      </c>
      <c r="G3288" s="5">
        <v>8.5000000000000006E-2</v>
      </c>
      <c r="H3288" s="6" t="s">
        <v>58</v>
      </c>
      <c r="I3288" s="3" t="s">
        <v>45</v>
      </c>
    </row>
    <row r="3289" spans="1:9" ht="48" customHeight="1">
      <c r="A3289" s="3" t="s">
        <v>40</v>
      </c>
      <c r="B3289" s="3" t="s">
        <v>39</v>
      </c>
      <c r="C3289" s="4">
        <v>46082</v>
      </c>
      <c r="D3289" s="4">
        <v>46112</v>
      </c>
      <c r="E3289" s="3" t="s">
        <v>47</v>
      </c>
      <c r="F3289" s="3" t="s">
        <v>358</v>
      </c>
      <c r="G3289" s="5">
        <v>6.6000000000000003E-2</v>
      </c>
      <c r="H3289" s="6" t="s">
        <v>58</v>
      </c>
      <c r="I3289" s="3" t="s">
        <v>45</v>
      </c>
    </row>
    <row r="3290" spans="1:9" ht="48" customHeight="1">
      <c r="A3290" s="3" t="s">
        <v>40</v>
      </c>
      <c r="B3290" s="3" t="s">
        <v>39</v>
      </c>
      <c r="C3290" s="4">
        <v>46082</v>
      </c>
      <c r="D3290" s="4">
        <v>46112</v>
      </c>
      <c r="E3290" s="3" t="s">
        <v>47</v>
      </c>
      <c r="F3290" s="3" t="s">
        <v>357</v>
      </c>
      <c r="G3290" s="5">
        <v>3.7000000000000005E-2</v>
      </c>
      <c r="H3290" s="6" t="s">
        <v>58</v>
      </c>
      <c r="I3290" s="3" t="s">
        <v>45</v>
      </c>
    </row>
    <row r="3291" spans="1:9" ht="48" customHeight="1">
      <c r="A3291" s="3" t="s">
        <v>40</v>
      </c>
      <c r="B3291" s="3" t="s">
        <v>39</v>
      </c>
      <c r="C3291" s="4">
        <v>46082</v>
      </c>
      <c r="D3291" s="4">
        <v>46112</v>
      </c>
      <c r="E3291" s="3" t="s">
        <v>47</v>
      </c>
      <c r="F3291" s="3" t="s">
        <v>352</v>
      </c>
      <c r="G3291" s="5">
        <v>3.1E-2</v>
      </c>
      <c r="H3291" s="6" t="s">
        <v>58</v>
      </c>
      <c r="I3291" s="3" t="s">
        <v>45</v>
      </c>
    </row>
    <row r="3292" spans="1:9" ht="48" customHeight="1">
      <c r="A3292" s="3" t="s">
        <v>40</v>
      </c>
      <c r="B3292" s="3" t="s">
        <v>39</v>
      </c>
      <c r="C3292" s="4">
        <v>46082</v>
      </c>
      <c r="D3292" s="4">
        <v>46112</v>
      </c>
      <c r="E3292" s="3" t="s">
        <v>47</v>
      </c>
      <c r="F3292" s="3" t="s">
        <v>349</v>
      </c>
      <c r="G3292" s="5">
        <v>1.7000000000000001E-2</v>
      </c>
      <c r="H3292" s="6" t="s">
        <v>58</v>
      </c>
      <c r="I3292" s="3" t="s">
        <v>45</v>
      </c>
    </row>
    <row r="3293" spans="1:9" ht="48" customHeight="1">
      <c r="A3293" s="3" t="s">
        <v>40</v>
      </c>
      <c r="B3293" s="3" t="s">
        <v>39</v>
      </c>
      <c r="C3293" s="4">
        <v>46082</v>
      </c>
      <c r="D3293" s="4">
        <v>46112</v>
      </c>
      <c r="E3293" s="3" t="s">
        <v>47</v>
      </c>
      <c r="F3293" s="3" t="s">
        <v>350</v>
      </c>
      <c r="G3293" s="5">
        <v>1.2E-2</v>
      </c>
      <c r="H3293" s="6" t="s">
        <v>58</v>
      </c>
      <c r="I3293" s="3" t="s">
        <v>45</v>
      </c>
    </row>
    <row r="3294" spans="1:9" ht="48" customHeight="1">
      <c r="A3294" s="3" t="s">
        <v>40</v>
      </c>
      <c r="B3294" s="3" t="s">
        <v>39</v>
      </c>
      <c r="C3294" s="4">
        <v>46082</v>
      </c>
      <c r="D3294" s="4">
        <v>46112</v>
      </c>
      <c r="E3294" s="3" t="s">
        <v>47</v>
      </c>
      <c r="F3294" s="3" t="s">
        <v>351</v>
      </c>
      <c r="G3294" s="5">
        <v>6.9999999999999993E-3</v>
      </c>
      <c r="H3294" s="6" t="s">
        <v>58</v>
      </c>
      <c r="I3294" s="3" t="s">
        <v>45</v>
      </c>
    </row>
    <row r="3295" spans="1:9" ht="48" customHeight="1">
      <c r="A3295" s="3" t="s">
        <v>40</v>
      </c>
      <c r="B3295" s="3" t="s">
        <v>39</v>
      </c>
      <c r="C3295" s="4">
        <v>46082</v>
      </c>
      <c r="D3295" s="4">
        <v>46112</v>
      </c>
      <c r="E3295" s="3" t="s">
        <v>47</v>
      </c>
      <c r="F3295" s="3" t="s">
        <v>356</v>
      </c>
      <c r="G3295" s="5">
        <v>6.9999999999999993E-3</v>
      </c>
      <c r="H3295" s="6" t="s">
        <v>58</v>
      </c>
      <c r="I3295" s="3" t="s">
        <v>45</v>
      </c>
    </row>
    <row r="3296" spans="1:9" ht="48" customHeight="1">
      <c r="A3296" s="3" t="s">
        <v>40</v>
      </c>
      <c r="B3296" s="3" t="s">
        <v>39</v>
      </c>
      <c r="C3296" s="4">
        <v>46082</v>
      </c>
      <c r="D3296" s="4">
        <v>46112</v>
      </c>
      <c r="E3296" s="3" t="s">
        <v>47</v>
      </c>
      <c r="F3296" s="3" t="s">
        <v>354</v>
      </c>
      <c r="G3296" s="5">
        <v>6.0000000000000001E-3</v>
      </c>
      <c r="H3296" s="6" t="s">
        <v>58</v>
      </c>
      <c r="I3296" s="3" t="s">
        <v>45</v>
      </c>
    </row>
    <row r="3297" spans="1:9" ht="48" customHeight="1">
      <c r="A3297" s="3" t="s">
        <v>40</v>
      </c>
      <c r="B3297" s="3" t="s">
        <v>39</v>
      </c>
      <c r="C3297" s="4">
        <v>46082</v>
      </c>
      <c r="D3297" s="4">
        <v>46112</v>
      </c>
      <c r="E3297" s="3" t="s">
        <v>47</v>
      </c>
      <c r="F3297" s="3" t="s">
        <v>353</v>
      </c>
      <c r="G3297" s="5">
        <v>3.0000000000000001E-3</v>
      </c>
      <c r="H3297" s="6" t="s">
        <v>58</v>
      </c>
      <c r="I3297" s="3" t="s">
        <v>45</v>
      </c>
    </row>
    <row r="3298" spans="1:9" ht="48" customHeight="1">
      <c r="A3298" s="3" t="s">
        <v>40</v>
      </c>
      <c r="B3298" s="3" t="s">
        <v>39</v>
      </c>
      <c r="C3298" s="4">
        <v>46082</v>
      </c>
      <c r="D3298" s="4">
        <v>46112</v>
      </c>
      <c r="E3298" s="3" t="s">
        <v>47</v>
      </c>
      <c r="F3298" s="3" t="s">
        <v>355</v>
      </c>
      <c r="G3298" s="5">
        <v>3.0000000000000001E-3</v>
      </c>
      <c r="H3298" s="6" t="s">
        <v>58</v>
      </c>
      <c r="I3298" s="3" t="s">
        <v>45</v>
      </c>
    </row>
    <row r="3299" spans="1:9" ht="48" customHeight="1">
      <c r="A3299" s="3" t="s">
        <v>40</v>
      </c>
      <c r="B3299" s="3" t="s">
        <v>39</v>
      </c>
      <c r="C3299" s="4">
        <v>46082</v>
      </c>
      <c r="D3299" s="4">
        <v>46112</v>
      </c>
      <c r="E3299" s="3" t="s">
        <v>47</v>
      </c>
      <c r="F3299" s="3" t="s">
        <v>359</v>
      </c>
      <c r="G3299" s="5">
        <v>1E-3</v>
      </c>
      <c r="H3299" s="6" t="s">
        <v>58</v>
      </c>
      <c r="I3299" s="3" t="s">
        <v>45</v>
      </c>
    </row>
    <row r="3300" spans="1:9" ht="48" customHeight="1">
      <c r="A3300" s="3" t="s">
        <v>40</v>
      </c>
      <c r="B3300" s="3" t="s">
        <v>39</v>
      </c>
      <c r="C3300" s="4">
        <v>46082</v>
      </c>
      <c r="D3300" s="4">
        <v>46112</v>
      </c>
      <c r="E3300" s="3" t="s">
        <v>47</v>
      </c>
      <c r="F3300" s="3" t="s">
        <v>360</v>
      </c>
      <c r="G3300" s="5">
        <v>1E-3</v>
      </c>
      <c r="H3300" s="6" t="s">
        <v>58</v>
      </c>
      <c r="I3300" s="3" t="s">
        <v>45</v>
      </c>
    </row>
    <row r="3301" spans="1:9" ht="48" customHeight="1">
      <c r="A3301" s="3" t="s">
        <v>40</v>
      </c>
      <c r="B3301" s="3" t="s">
        <v>39</v>
      </c>
      <c r="C3301" s="4">
        <v>46082</v>
      </c>
      <c r="D3301" s="4">
        <v>46112</v>
      </c>
      <c r="E3301" s="3" t="s">
        <v>47</v>
      </c>
      <c r="F3301" s="3" t="s">
        <v>361</v>
      </c>
      <c r="G3301" s="5">
        <v>1E-3</v>
      </c>
      <c r="H3301" s="6" t="s">
        <v>58</v>
      </c>
      <c r="I3301" s="3" t="s">
        <v>45</v>
      </c>
    </row>
    <row r="3302" spans="1:9" ht="48" customHeight="1">
      <c r="A3302" s="3" t="s">
        <v>40</v>
      </c>
      <c r="B3302" s="3" t="s">
        <v>39</v>
      </c>
      <c r="C3302" s="4">
        <v>46082</v>
      </c>
      <c r="D3302" s="4">
        <v>46112</v>
      </c>
      <c r="E3302" s="3" t="s">
        <v>47</v>
      </c>
      <c r="F3302" s="3" t="s">
        <v>362</v>
      </c>
      <c r="G3302" s="5">
        <v>1E-3</v>
      </c>
      <c r="H3302" s="6" t="s">
        <v>58</v>
      </c>
      <c r="I3302" s="3" t="s">
        <v>45</v>
      </c>
    </row>
    <row r="3303" spans="1:9" ht="48" customHeight="1">
      <c r="A3303" s="3" t="s">
        <v>40</v>
      </c>
      <c r="B3303" s="3" t="s">
        <v>39</v>
      </c>
      <c r="C3303" s="4">
        <v>46082</v>
      </c>
      <c r="D3303" s="4">
        <v>46112</v>
      </c>
      <c r="E3303" s="3" t="s">
        <v>47</v>
      </c>
      <c r="F3303" s="3" t="s">
        <v>318</v>
      </c>
      <c r="G3303" s="5">
        <v>1E-3</v>
      </c>
      <c r="H3303" s="6" t="s">
        <v>58</v>
      </c>
      <c r="I3303" s="3" t="s">
        <v>45</v>
      </c>
    </row>
    <row r="3304" spans="1:9" ht="48" customHeight="1">
      <c r="A3304" s="3" t="s">
        <v>40</v>
      </c>
      <c r="B3304" s="3" t="s">
        <v>39</v>
      </c>
      <c r="C3304" s="4">
        <v>46082</v>
      </c>
      <c r="D3304" s="4">
        <v>46112</v>
      </c>
      <c r="E3304" s="3" t="s">
        <v>47</v>
      </c>
      <c r="F3304" s="3" t="s">
        <v>363</v>
      </c>
      <c r="G3304" s="5">
        <v>1E-3</v>
      </c>
      <c r="H3304" s="6" t="s">
        <v>58</v>
      </c>
      <c r="I3304" s="3" t="s">
        <v>45</v>
      </c>
    </row>
    <row r="3305" spans="1:9" ht="48" customHeight="1">
      <c r="A3305" s="3" t="s">
        <v>40</v>
      </c>
      <c r="B3305" s="3" t="s">
        <v>39</v>
      </c>
      <c r="C3305" s="4">
        <v>46082</v>
      </c>
      <c r="D3305" s="4">
        <v>46112</v>
      </c>
      <c r="E3305" s="3" t="s">
        <v>161</v>
      </c>
      <c r="F3305" s="3" t="s">
        <v>172</v>
      </c>
      <c r="G3305" s="5">
        <v>1.2E-2</v>
      </c>
      <c r="H3305" s="6" t="s">
        <v>58</v>
      </c>
      <c r="I3305" s="3" t="s">
        <v>45</v>
      </c>
    </row>
    <row r="3306" spans="1:9" ht="48" customHeight="1">
      <c r="A3306" s="3" t="s">
        <v>40</v>
      </c>
      <c r="B3306" s="3" t="s">
        <v>39</v>
      </c>
      <c r="C3306" s="4">
        <v>46082</v>
      </c>
      <c r="D3306" s="4">
        <v>46112</v>
      </c>
      <c r="E3306" s="3" t="s">
        <v>161</v>
      </c>
      <c r="F3306" s="3" t="s">
        <v>162</v>
      </c>
      <c r="G3306" s="5">
        <v>0.01</v>
      </c>
      <c r="H3306" s="6" t="s">
        <v>58</v>
      </c>
      <c r="I3306" s="3" t="s">
        <v>45</v>
      </c>
    </row>
    <row r="3307" spans="1:9" ht="48" customHeight="1">
      <c r="A3307" s="3" t="s">
        <v>40</v>
      </c>
      <c r="B3307" s="3" t="s">
        <v>39</v>
      </c>
      <c r="C3307" s="4">
        <v>46082</v>
      </c>
      <c r="D3307" s="4">
        <v>46112</v>
      </c>
      <c r="E3307" s="3" t="s">
        <v>161</v>
      </c>
      <c r="F3307" s="3" t="s">
        <v>184</v>
      </c>
      <c r="G3307" s="5">
        <v>0.01</v>
      </c>
      <c r="H3307" s="6" t="s">
        <v>58</v>
      </c>
      <c r="I3307" s="3" t="s">
        <v>45</v>
      </c>
    </row>
    <row r="3308" spans="1:9" ht="48" customHeight="1">
      <c r="A3308" s="3" t="s">
        <v>40</v>
      </c>
      <c r="B3308" s="3" t="s">
        <v>39</v>
      </c>
      <c r="C3308" s="4">
        <v>46082</v>
      </c>
      <c r="D3308" s="4">
        <v>46112</v>
      </c>
      <c r="E3308" s="3" t="s">
        <v>161</v>
      </c>
      <c r="F3308" s="3" t="s">
        <v>166</v>
      </c>
      <c r="G3308" s="5">
        <v>9.0000000000000011E-3</v>
      </c>
      <c r="H3308" s="6" t="s">
        <v>58</v>
      </c>
      <c r="I3308" s="3" t="s">
        <v>45</v>
      </c>
    </row>
    <row r="3309" spans="1:9" ht="48" customHeight="1">
      <c r="A3309" s="3" t="s">
        <v>40</v>
      </c>
      <c r="B3309" s="3" t="s">
        <v>39</v>
      </c>
      <c r="C3309" s="4">
        <v>46082</v>
      </c>
      <c r="D3309" s="4">
        <v>46112</v>
      </c>
      <c r="E3309" s="3" t="s">
        <v>161</v>
      </c>
      <c r="F3309" s="3" t="s">
        <v>168</v>
      </c>
      <c r="G3309" s="5">
        <v>8.0000000000000002E-3</v>
      </c>
      <c r="H3309" s="6" t="s">
        <v>58</v>
      </c>
      <c r="I3309" s="3" t="s">
        <v>45</v>
      </c>
    </row>
    <row r="3310" spans="1:9" ht="48" customHeight="1">
      <c r="A3310" s="3" t="s">
        <v>40</v>
      </c>
      <c r="B3310" s="3" t="s">
        <v>39</v>
      </c>
      <c r="C3310" s="4">
        <v>46082</v>
      </c>
      <c r="D3310" s="4">
        <v>46112</v>
      </c>
      <c r="E3310" s="3" t="s">
        <v>161</v>
      </c>
      <c r="F3310" s="3" t="s">
        <v>180</v>
      </c>
      <c r="G3310" s="5">
        <v>8.0000000000000002E-3</v>
      </c>
      <c r="H3310" s="6" t="s">
        <v>58</v>
      </c>
      <c r="I3310" s="3" t="s">
        <v>45</v>
      </c>
    </row>
    <row r="3311" spans="1:9" ht="48" customHeight="1">
      <c r="A3311" s="3" t="s">
        <v>40</v>
      </c>
      <c r="B3311" s="3" t="s">
        <v>39</v>
      </c>
      <c r="C3311" s="4">
        <v>46082</v>
      </c>
      <c r="D3311" s="4">
        <v>46112</v>
      </c>
      <c r="E3311" s="3" t="s">
        <v>161</v>
      </c>
      <c r="F3311" s="3" t="s">
        <v>164</v>
      </c>
      <c r="G3311" s="5">
        <v>6.9999999999999993E-3</v>
      </c>
      <c r="H3311" s="6" t="s">
        <v>58</v>
      </c>
      <c r="I3311" s="3" t="s">
        <v>45</v>
      </c>
    </row>
    <row r="3312" spans="1:9" ht="48" customHeight="1">
      <c r="A3312" s="3" t="s">
        <v>40</v>
      </c>
      <c r="B3312" s="3" t="s">
        <v>39</v>
      </c>
      <c r="C3312" s="4">
        <v>46082</v>
      </c>
      <c r="D3312" s="4">
        <v>46112</v>
      </c>
      <c r="E3312" s="3" t="s">
        <v>161</v>
      </c>
      <c r="F3312" s="3" t="s">
        <v>171</v>
      </c>
      <c r="G3312" s="5">
        <v>6.9999999999999993E-3</v>
      </c>
      <c r="H3312" s="6" t="s">
        <v>58</v>
      </c>
      <c r="I3312" s="3" t="s">
        <v>45</v>
      </c>
    </row>
    <row r="3313" spans="1:9" ht="48" customHeight="1">
      <c r="A3313" s="3" t="s">
        <v>40</v>
      </c>
      <c r="B3313" s="3" t="s">
        <v>39</v>
      </c>
      <c r="C3313" s="4">
        <v>46082</v>
      </c>
      <c r="D3313" s="4">
        <v>46112</v>
      </c>
      <c r="E3313" s="3" t="s">
        <v>161</v>
      </c>
      <c r="F3313" s="3" t="s">
        <v>163</v>
      </c>
      <c r="G3313" s="5">
        <v>6.9999999999999993E-3</v>
      </c>
      <c r="H3313" s="6" t="s">
        <v>58</v>
      </c>
      <c r="I3313" s="3" t="s">
        <v>45</v>
      </c>
    </row>
    <row r="3314" spans="1:9" ht="48" customHeight="1">
      <c r="A3314" s="3" t="s">
        <v>40</v>
      </c>
      <c r="B3314" s="3" t="s">
        <v>39</v>
      </c>
      <c r="C3314" s="4">
        <v>46082</v>
      </c>
      <c r="D3314" s="4">
        <v>46112</v>
      </c>
      <c r="E3314" s="3" t="s">
        <v>161</v>
      </c>
      <c r="F3314" s="3" t="s">
        <v>195</v>
      </c>
      <c r="G3314" s="5">
        <v>6.9999999999999993E-3</v>
      </c>
      <c r="H3314" s="6" t="s">
        <v>58</v>
      </c>
      <c r="I3314" s="3" t="s">
        <v>45</v>
      </c>
    </row>
    <row r="3315" spans="1:9" ht="48" customHeight="1">
      <c r="A3315" s="3" t="s">
        <v>40</v>
      </c>
      <c r="B3315" s="3" t="s">
        <v>39</v>
      </c>
      <c r="C3315" s="4">
        <v>46082</v>
      </c>
      <c r="D3315" s="4">
        <v>46112</v>
      </c>
      <c r="E3315" s="3" t="s">
        <v>161</v>
      </c>
      <c r="F3315" s="3" t="s">
        <v>385</v>
      </c>
      <c r="G3315" s="5">
        <v>6.9999999999999993E-3</v>
      </c>
      <c r="H3315" s="6" t="s">
        <v>58</v>
      </c>
      <c r="I3315" s="3" t="s">
        <v>45</v>
      </c>
    </row>
    <row r="3316" spans="1:9" ht="48" customHeight="1">
      <c r="A3316" s="3" t="s">
        <v>40</v>
      </c>
      <c r="B3316" s="3" t="s">
        <v>39</v>
      </c>
      <c r="C3316" s="4">
        <v>46082</v>
      </c>
      <c r="D3316" s="4">
        <v>46112</v>
      </c>
      <c r="E3316" s="3" t="s">
        <v>161</v>
      </c>
      <c r="F3316" s="3" t="s">
        <v>167</v>
      </c>
      <c r="G3316" s="5">
        <v>6.0000000000000001E-3</v>
      </c>
      <c r="H3316" s="6" t="s">
        <v>58</v>
      </c>
      <c r="I3316" s="3" t="s">
        <v>45</v>
      </c>
    </row>
    <row r="3317" spans="1:9" ht="48" customHeight="1">
      <c r="A3317" s="3" t="s">
        <v>40</v>
      </c>
      <c r="B3317" s="3" t="s">
        <v>39</v>
      </c>
      <c r="C3317" s="4">
        <v>46082</v>
      </c>
      <c r="D3317" s="4">
        <v>46112</v>
      </c>
      <c r="E3317" s="3" t="s">
        <v>161</v>
      </c>
      <c r="F3317" s="3" t="s">
        <v>191</v>
      </c>
      <c r="G3317" s="5">
        <v>6.0000000000000001E-3</v>
      </c>
      <c r="H3317" s="6" t="s">
        <v>58</v>
      </c>
      <c r="I3317" s="3" t="s">
        <v>45</v>
      </c>
    </row>
    <row r="3318" spans="1:9" ht="48" customHeight="1">
      <c r="A3318" s="3" t="s">
        <v>40</v>
      </c>
      <c r="B3318" s="3" t="s">
        <v>39</v>
      </c>
      <c r="C3318" s="4">
        <v>46082</v>
      </c>
      <c r="D3318" s="4">
        <v>46112</v>
      </c>
      <c r="E3318" s="3" t="s">
        <v>161</v>
      </c>
      <c r="F3318" s="3" t="s">
        <v>177</v>
      </c>
      <c r="G3318" s="5">
        <v>6.0000000000000001E-3</v>
      </c>
      <c r="H3318" s="6" t="s">
        <v>58</v>
      </c>
      <c r="I3318" s="3" t="s">
        <v>45</v>
      </c>
    </row>
    <row r="3319" spans="1:9" ht="48" customHeight="1">
      <c r="A3319" s="3" t="s">
        <v>40</v>
      </c>
      <c r="B3319" s="3" t="s">
        <v>39</v>
      </c>
      <c r="C3319" s="4">
        <v>46082</v>
      </c>
      <c r="D3319" s="4">
        <v>46112</v>
      </c>
      <c r="E3319" s="3" t="s">
        <v>161</v>
      </c>
      <c r="F3319" s="3" t="s">
        <v>188</v>
      </c>
      <c r="G3319" s="5">
        <v>6.0000000000000001E-3</v>
      </c>
      <c r="H3319" s="6" t="s">
        <v>58</v>
      </c>
      <c r="I3319" s="3" t="s">
        <v>45</v>
      </c>
    </row>
    <row r="3320" spans="1:9" ht="48" customHeight="1">
      <c r="A3320" s="3" t="s">
        <v>40</v>
      </c>
      <c r="B3320" s="3" t="s">
        <v>39</v>
      </c>
      <c r="C3320" s="4">
        <v>46082</v>
      </c>
      <c r="D3320" s="4">
        <v>46112</v>
      </c>
      <c r="E3320" s="3" t="s">
        <v>161</v>
      </c>
      <c r="F3320" s="3" t="s">
        <v>181</v>
      </c>
      <c r="G3320" s="5">
        <v>6.0000000000000001E-3</v>
      </c>
      <c r="H3320" s="6" t="s">
        <v>58</v>
      </c>
      <c r="I3320" s="3" t="s">
        <v>45</v>
      </c>
    </row>
    <row r="3321" spans="1:9" ht="48" customHeight="1">
      <c r="A3321" s="3" t="s">
        <v>40</v>
      </c>
      <c r="B3321" s="3" t="s">
        <v>39</v>
      </c>
      <c r="C3321" s="4">
        <v>46082</v>
      </c>
      <c r="D3321" s="4">
        <v>46112</v>
      </c>
      <c r="E3321" s="3" t="s">
        <v>161</v>
      </c>
      <c r="F3321" s="3" t="s">
        <v>173</v>
      </c>
      <c r="G3321" s="5">
        <v>6.0000000000000001E-3</v>
      </c>
      <c r="H3321" s="6" t="s">
        <v>58</v>
      </c>
      <c r="I3321" s="3" t="s">
        <v>45</v>
      </c>
    </row>
    <row r="3322" spans="1:9" ht="48" customHeight="1">
      <c r="A3322" s="3" t="s">
        <v>40</v>
      </c>
      <c r="B3322" s="3" t="s">
        <v>39</v>
      </c>
      <c r="C3322" s="4">
        <v>46082</v>
      </c>
      <c r="D3322" s="4">
        <v>46112</v>
      </c>
      <c r="E3322" s="3" t="s">
        <v>161</v>
      </c>
      <c r="F3322" s="3" t="s">
        <v>174</v>
      </c>
      <c r="G3322" s="5">
        <v>5.0000000000000001E-3</v>
      </c>
      <c r="H3322" s="6" t="s">
        <v>58</v>
      </c>
      <c r="I3322" s="3" t="s">
        <v>45</v>
      </c>
    </row>
    <row r="3323" spans="1:9" ht="48" customHeight="1">
      <c r="A3323" s="3" t="s">
        <v>40</v>
      </c>
      <c r="B3323" s="3" t="s">
        <v>39</v>
      </c>
      <c r="C3323" s="4">
        <v>46082</v>
      </c>
      <c r="D3323" s="4">
        <v>46112</v>
      </c>
      <c r="E3323" s="3" t="s">
        <v>161</v>
      </c>
      <c r="F3323" s="3" t="s">
        <v>169</v>
      </c>
      <c r="G3323" s="5">
        <v>5.0000000000000001E-3</v>
      </c>
      <c r="H3323" s="6" t="s">
        <v>58</v>
      </c>
      <c r="I3323" s="3" t="s">
        <v>45</v>
      </c>
    </row>
    <row r="3324" spans="1:9" ht="48" customHeight="1">
      <c r="A3324" s="3" t="s">
        <v>40</v>
      </c>
      <c r="B3324" s="3" t="s">
        <v>39</v>
      </c>
      <c r="C3324" s="4">
        <v>46082</v>
      </c>
      <c r="D3324" s="4">
        <v>46112</v>
      </c>
      <c r="E3324" s="3" t="s">
        <v>161</v>
      </c>
      <c r="F3324" s="3" t="s">
        <v>165</v>
      </c>
      <c r="G3324" s="5">
        <v>5.0000000000000001E-3</v>
      </c>
      <c r="H3324" s="6" t="s">
        <v>58</v>
      </c>
      <c r="I3324" s="3" t="s">
        <v>45</v>
      </c>
    </row>
    <row r="3325" spans="1:9" ht="48" customHeight="1">
      <c r="A3325" s="3" t="s">
        <v>40</v>
      </c>
      <c r="B3325" s="3" t="s">
        <v>39</v>
      </c>
      <c r="C3325" s="4">
        <v>46082</v>
      </c>
      <c r="D3325" s="4">
        <v>46112</v>
      </c>
      <c r="E3325" s="3" t="s">
        <v>161</v>
      </c>
      <c r="F3325" s="3" t="s">
        <v>170</v>
      </c>
      <c r="G3325" s="5">
        <v>5.0000000000000001E-3</v>
      </c>
      <c r="H3325" s="6" t="s">
        <v>58</v>
      </c>
      <c r="I3325" s="3" t="s">
        <v>45</v>
      </c>
    </row>
    <row r="3326" spans="1:9" ht="48" customHeight="1">
      <c r="A3326" s="3" t="s">
        <v>40</v>
      </c>
      <c r="B3326" s="3" t="s">
        <v>39</v>
      </c>
      <c r="C3326" s="4">
        <v>46082</v>
      </c>
      <c r="D3326" s="4">
        <v>46112</v>
      </c>
      <c r="E3326" s="3" t="s">
        <v>161</v>
      </c>
      <c r="F3326" s="3" t="s">
        <v>182</v>
      </c>
      <c r="G3326" s="5">
        <v>5.0000000000000001E-3</v>
      </c>
      <c r="H3326" s="6" t="s">
        <v>58</v>
      </c>
      <c r="I3326" s="3" t="s">
        <v>45</v>
      </c>
    </row>
    <row r="3327" spans="1:9" ht="48" customHeight="1">
      <c r="A3327" s="3" t="s">
        <v>40</v>
      </c>
      <c r="B3327" s="3" t="s">
        <v>39</v>
      </c>
      <c r="C3327" s="4">
        <v>46082</v>
      </c>
      <c r="D3327" s="4">
        <v>46112</v>
      </c>
      <c r="E3327" s="3" t="s">
        <v>161</v>
      </c>
      <c r="F3327" s="3" t="s">
        <v>196</v>
      </c>
      <c r="G3327" s="5">
        <v>5.0000000000000001E-3</v>
      </c>
      <c r="H3327" s="6" t="s">
        <v>58</v>
      </c>
      <c r="I3327" s="3" t="s">
        <v>45</v>
      </c>
    </row>
    <row r="3328" spans="1:9" ht="48" customHeight="1">
      <c r="A3328" s="3" t="s">
        <v>40</v>
      </c>
      <c r="B3328" s="3" t="s">
        <v>39</v>
      </c>
      <c r="C3328" s="4">
        <v>46082</v>
      </c>
      <c r="D3328" s="4">
        <v>46112</v>
      </c>
      <c r="E3328" s="3" t="s">
        <v>161</v>
      </c>
      <c r="F3328" s="3" t="s">
        <v>200</v>
      </c>
      <c r="G3328" s="5">
        <v>5.0000000000000001E-3</v>
      </c>
      <c r="H3328" s="6" t="s">
        <v>58</v>
      </c>
      <c r="I3328" s="3" t="s">
        <v>45</v>
      </c>
    </row>
    <row r="3329" spans="1:9" ht="48" customHeight="1">
      <c r="A3329" s="3" t="s">
        <v>40</v>
      </c>
      <c r="B3329" s="3" t="s">
        <v>39</v>
      </c>
      <c r="C3329" s="4">
        <v>46082</v>
      </c>
      <c r="D3329" s="4">
        <v>46112</v>
      </c>
      <c r="E3329" s="3" t="s">
        <v>161</v>
      </c>
      <c r="F3329" s="3" t="s">
        <v>175</v>
      </c>
      <c r="G3329" s="5">
        <v>4.0000000000000001E-3</v>
      </c>
      <c r="H3329" s="6" t="s">
        <v>58</v>
      </c>
      <c r="I3329" s="3" t="s">
        <v>45</v>
      </c>
    </row>
    <row r="3330" spans="1:9" ht="48" customHeight="1">
      <c r="A3330" s="3" t="s">
        <v>40</v>
      </c>
      <c r="B3330" s="3" t="s">
        <v>39</v>
      </c>
      <c r="C3330" s="4">
        <v>46082</v>
      </c>
      <c r="D3330" s="4">
        <v>46112</v>
      </c>
      <c r="E3330" s="3" t="s">
        <v>161</v>
      </c>
      <c r="F3330" s="3" t="s">
        <v>189</v>
      </c>
      <c r="G3330" s="5">
        <v>4.0000000000000001E-3</v>
      </c>
      <c r="H3330" s="6" t="s">
        <v>58</v>
      </c>
      <c r="I3330" s="3" t="s">
        <v>45</v>
      </c>
    </row>
    <row r="3331" spans="1:9" ht="48" customHeight="1">
      <c r="A3331" s="3" t="s">
        <v>40</v>
      </c>
      <c r="B3331" s="3" t="s">
        <v>39</v>
      </c>
      <c r="C3331" s="4">
        <v>46082</v>
      </c>
      <c r="D3331" s="4">
        <v>46112</v>
      </c>
      <c r="E3331" s="3" t="s">
        <v>161</v>
      </c>
      <c r="F3331" s="3" t="s">
        <v>190</v>
      </c>
      <c r="G3331" s="5">
        <v>4.0000000000000001E-3</v>
      </c>
      <c r="H3331" s="6" t="s">
        <v>58</v>
      </c>
      <c r="I3331" s="3" t="s">
        <v>45</v>
      </c>
    </row>
    <row r="3332" spans="1:9" ht="48" customHeight="1">
      <c r="A3332" s="3" t="s">
        <v>40</v>
      </c>
      <c r="B3332" s="3" t="s">
        <v>39</v>
      </c>
      <c r="C3332" s="4">
        <v>46082</v>
      </c>
      <c r="D3332" s="4">
        <v>46112</v>
      </c>
      <c r="E3332" s="3" t="s">
        <v>161</v>
      </c>
      <c r="F3332" s="3" t="s">
        <v>176</v>
      </c>
      <c r="G3332" s="5">
        <v>4.0000000000000001E-3</v>
      </c>
      <c r="H3332" s="6" t="s">
        <v>58</v>
      </c>
      <c r="I3332" s="3" t="s">
        <v>45</v>
      </c>
    </row>
    <row r="3333" spans="1:9" ht="48" customHeight="1">
      <c r="A3333" s="3" t="s">
        <v>40</v>
      </c>
      <c r="B3333" s="3" t="s">
        <v>39</v>
      </c>
      <c r="C3333" s="4">
        <v>46082</v>
      </c>
      <c r="D3333" s="4">
        <v>46112</v>
      </c>
      <c r="E3333" s="3" t="s">
        <v>161</v>
      </c>
      <c r="F3333" s="3" t="s">
        <v>193</v>
      </c>
      <c r="G3333" s="5">
        <v>4.0000000000000001E-3</v>
      </c>
      <c r="H3333" s="6" t="s">
        <v>58</v>
      </c>
      <c r="I3333" s="3" t="s">
        <v>45</v>
      </c>
    </row>
    <row r="3334" spans="1:9" ht="48" customHeight="1">
      <c r="A3334" s="3" t="s">
        <v>40</v>
      </c>
      <c r="B3334" s="3" t="s">
        <v>39</v>
      </c>
      <c r="C3334" s="4">
        <v>46082</v>
      </c>
      <c r="D3334" s="4">
        <v>46112</v>
      </c>
      <c r="E3334" s="3" t="s">
        <v>161</v>
      </c>
      <c r="F3334" s="3" t="s">
        <v>178</v>
      </c>
      <c r="G3334" s="5">
        <v>4.0000000000000001E-3</v>
      </c>
      <c r="H3334" s="6" t="s">
        <v>58</v>
      </c>
      <c r="I3334" s="3" t="s">
        <v>45</v>
      </c>
    </row>
    <row r="3335" spans="1:9" ht="48" customHeight="1">
      <c r="A3335" s="3" t="s">
        <v>40</v>
      </c>
      <c r="B3335" s="3" t="s">
        <v>39</v>
      </c>
      <c r="C3335" s="4">
        <v>46082</v>
      </c>
      <c r="D3335" s="4">
        <v>46112</v>
      </c>
      <c r="E3335" s="3" t="s">
        <v>161</v>
      </c>
      <c r="F3335" s="3" t="s">
        <v>179</v>
      </c>
      <c r="G3335" s="5">
        <v>4.0000000000000001E-3</v>
      </c>
      <c r="H3335" s="6" t="s">
        <v>58</v>
      </c>
      <c r="I3335" s="3" t="s">
        <v>45</v>
      </c>
    </row>
    <row r="3336" spans="1:9" ht="48" customHeight="1">
      <c r="A3336" s="3" t="s">
        <v>40</v>
      </c>
      <c r="B3336" s="3" t="s">
        <v>39</v>
      </c>
      <c r="C3336" s="4">
        <v>46082</v>
      </c>
      <c r="D3336" s="4">
        <v>46112</v>
      </c>
      <c r="E3336" s="3" t="s">
        <v>161</v>
      </c>
      <c r="F3336" s="3" t="s">
        <v>183</v>
      </c>
      <c r="G3336" s="5">
        <v>4.0000000000000001E-3</v>
      </c>
      <c r="H3336" s="6" t="s">
        <v>58</v>
      </c>
      <c r="I3336" s="3" t="s">
        <v>45</v>
      </c>
    </row>
    <row r="3337" spans="1:9" ht="48" customHeight="1">
      <c r="A3337" s="3" t="s">
        <v>40</v>
      </c>
      <c r="B3337" s="3" t="s">
        <v>39</v>
      </c>
      <c r="C3337" s="4">
        <v>46082</v>
      </c>
      <c r="D3337" s="4">
        <v>46112</v>
      </c>
      <c r="E3337" s="3" t="s">
        <v>161</v>
      </c>
      <c r="F3337" s="3" t="s">
        <v>384</v>
      </c>
      <c r="G3337" s="5">
        <v>4.0000000000000001E-3</v>
      </c>
      <c r="H3337" s="6" t="s">
        <v>58</v>
      </c>
      <c r="I3337" s="3" t="s">
        <v>45</v>
      </c>
    </row>
    <row r="3338" spans="1:9" ht="48" customHeight="1">
      <c r="A3338" s="3" t="s">
        <v>40</v>
      </c>
      <c r="B3338" s="3" t="s">
        <v>39</v>
      </c>
      <c r="C3338" s="4">
        <v>46082</v>
      </c>
      <c r="D3338" s="4">
        <v>46112</v>
      </c>
      <c r="E3338" s="3" t="s">
        <v>161</v>
      </c>
      <c r="F3338" s="3" t="s">
        <v>201</v>
      </c>
      <c r="G3338" s="5">
        <v>4.0000000000000001E-3</v>
      </c>
      <c r="H3338" s="6" t="s">
        <v>58</v>
      </c>
      <c r="I3338" s="3" t="s">
        <v>45</v>
      </c>
    </row>
    <row r="3339" spans="1:9" ht="48" customHeight="1">
      <c r="A3339" s="3" t="s">
        <v>40</v>
      </c>
      <c r="B3339" s="3" t="s">
        <v>39</v>
      </c>
      <c r="C3339" s="4">
        <v>46082</v>
      </c>
      <c r="D3339" s="4">
        <v>46112</v>
      </c>
      <c r="E3339" s="3" t="s">
        <v>161</v>
      </c>
      <c r="F3339" s="3" t="s">
        <v>185</v>
      </c>
      <c r="G3339" s="5">
        <v>3.0000000000000001E-3</v>
      </c>
      <c r="H3339" s="6" t="s">
        <v>58</v>
      </c>
      <c r="I3339" s="3" t="s">
        <v>45</v>
      </c>
    </row>
    <row r="3340" spans="1:9" ht="48" customHeight="1">
      <c r="A3340" s="3" t="s">
        <v>40</v>
      </c>
      <c r="B3340" s="3" t="s">
        <v>39</v>
      </c>
      <c r="C3340" s="4">
        <v>46082</v>
      </c>
      <c r="D3340" s="4">
        <v>46112</v>
      </c>
      <c r="E3340" s="3" t="s">
        <v>161</v>
      </c>
      <c r="F3340" s="3" t="s">
        <v>186</v>
      </c>
      <c r="G3340" s="5">
        <v>3.0000000000000001E-3</v>
      </c>
      <c r="H3340" s="6" t="s">
        <v>58</v>
      </c>
      <c r="I3340" s="3" t="s">
        <v>45</v>
      </c>
    </row>
    <row r="3341" spans="1:9" ht="48" customHeight="1">
      <c r="A3341" s="3" t="s">
        <v>40</v>
      </c>
      <c r="B3341" s="3" t="s">
        <v>39</v>
      </c>
      <c r="C3341" s="4">
        <v>46082</v>
      </c>
      <c r="D3341" s="4">
        <v>46112</v>
      </c>
      <c r="E3341" s="3" t="s">
        <v>161</v>
      </c>
      <c r="F3341" s="3" t="s">
        <v>187</v>
      </c>
      <c r="G3341" s="5">
        <v>3.0000000000000001E-3</v>
      </c>
      <c r="H3341" s="6" t="s">
        <v>58</v>
      </c>
      <c r="I3341" s="3" t="s">
        <v>45</v>
      </c>
    </row>
    <row r="3342" spans="1:9" ht="48" customHeight="1">
      <c r="A3342" s="3" t="s">
        <v>40</v>
      </c>
      <c r="B3342" s="3" t="s">
        <v>39</v>
      </c>
      <c r="C3342" s="4">
        <v>46082</v>
      </c>
      <c r="D3342" s="4">
        <v>46112</v>
      </c>
      <c r="E3342" s="3" t="s">
        <v>161</v>
      </c>
      <c r="F3342" s="3" t="s">
        <v>192</v>
      </c>
      <c r="G3342" s="5">
        <v>3.0000000000000001E-3</v>
      </c>
      <c r="H3342" s="6" t="s">
        <v>58</v>
      </c>
      <c r="I3342" s="3" t="s">
        <v>45</v>
      </c>
    </row>
    <row r="3343" spans="1:9" ht="48" customHeight="1">
      <c r="A3343" s="3" t="s">
        <v>40</v>
      </c>
      <c r="B3343" s="3" t="s">
        <v>39</v>
      </c>
      <c r="C3343" s="4">
        <v>46082</v>
      </c>
      <c r="D3343" s="4">
        <v>46112</v>
      </c>
      <c r="E3343" s="3" t="s">
        <v>161</v>
      </c>
      <c r="F3343" s="3" t="s">
        <v>194</v>
      </c>
      <c r="G3343" s="5">
        <v>3.0000000000000001E-3</v>
      </c>
      <c r="H3343" s="6" t="s">
        <v>58</v>
      </c>
      <c r="I3343" s="3" t="s">
        <v>45</v>
      </c>
    </row>
    <row r="3344" spans="1:9" ht="48" customHeight="1">
      <c r="A3344" s="3" t="s">
        <v>40</v>
      </c>
      <c r="B3344" s="3" t="s">
        <v>39</v>
      </c>
      <c r="C3344" s="4">
        <v>46082</v>
      </c>
      <c r="D3344" s="4">
        <v>46112</v>
      </c>
      <c r="E3344" s="3" t="s">
        <v>161</v>
      </c>
      <c r="F3344" s="3" t="s">
        <v>386</v>
      </c>
      <c r="G3344" s="5">
        <v>3.0000000000000001E-3</v>
      </c>
      <c r="H3344" s="6" t="s">
        <v>58</v>
      </c>
      <c r="I3344" s="3" t="s">
        <v>45</v>
      </c>
    </row>
    <row r="3345" spans="1:9" ht="48" customHeight="1">
      <c r="A3345" s="3" t="s">
        <v>40</v>
      </c>
      <c r="B3345" s="3" t="s">
        <v>39</v>
      </c>
      <c r="C3345" s="4">
        <v>46082</v>
      </c>
      <c r="D3345" s="4">
        <v>46112</v>
      </c>
      <c r="E3345" s="3" t="s">
        <v>161</v>
      </c>
      <c r="F3345" s="3" t="s">
        <v>387</v>
      </c>
      <c r="G3345" s="5">
        <v>3.0000000000000001E-3</v>
      </c>
      <c r="H3345" s="6" t="s">
        <v>58</v>
      </c>
      <c r="I3345" s="3" t="s">
        <v>45</v>
      </c>
    </row>
    <row r="3346" spans="1:9" ht="48" customHeight="1">
      <c r="A3346" s="3" t="s">
        <v>40</v>
      </c>
      <c r="B3346" s="3" t="s">
        <v>39</v>
      </c>
      <c r="C3346" s="4">
        <v>46082</v>
      </c>
      <c r="D3346" s="4">
        <v>46112</v>
      </c>
      <c r="E3346" s="3" t="s">
        <v>161</v>
      </c>
      <c r="F3346" s="3" t="s">
        <v>199</v>
      </c>
      <c r="G3346" s="5">
        <v>3.0000000000000001E-3</v>
      </c>
      <c r="H3346" s="6" t="s">
        <v>58</v>
      </c>
      <c r="I3346" s="3" t="s">
        <v>45</v>
      </c>
    </row>
    <row r="3347" spans="1:9" ht="48" customHeight="1">
      <c r="A3347" s="3" t="s">
        <v>40</v>
      </c>
      <c r="B3347" s="3" t="s">
        <v>39</v>
      </c>
      <c r="C3347" s="4">
        <v>46082</v>
      </c>
      <c r="D3347" s="4">
        <v>46112</v>
      </c>
      <c r="E3347" s="3" t="s">
        <v>161</v>
      </c>
      <c r="F3347" s="3" t="s">
        <v>197</v>
      </c>
      <c r="G3347" s="5">
        <v>2E-3</v>
      </c>
      <c r="H3347" s="6" t="s">
        <v>58</v>
      </c>
      <c r="I3347" s="3" t="s">
        <v>45</v>
      </c>
    </row>
    <row r="3348" spans="1:9" ht="48" customHeight="1">
      <c r="A3348" s="3" t="s">
        <v>40</v>
      </c>
      <c r="B3348" s="3" t="s">
        <v>39</v>
      </c>
      <c r="C3348" s="4">
        <v>46082</v>
      </c>
      <c r="D3348" s="4">
        <v>46112</v>
      </c>
      <c r="E3348" s="3" t="s">
        <v>161</v>
      </c>
      <c r="F3348" s="3" t="s">
        <v>204</v>
      </c>
      <c r="G3348" s="5">
        <v>2E-3</v>
      </c>
      <c r="H3348" s="6" t="s">
        <v>58</v>
      </c>
      <c r="I3348" s="3" t="s">
        <v>45</v>
      </c>
    </row>
    <row r="3349" spans="1:9" ht="48" customHeight="1">
      <c r="A3349" s="3" t="s">
        <v>40</v>
      </c>
      <c r="B3349" s="3" t="s">
        <v>39</v>
      </c>
      <c r="C3349" s="4">
        <v>46082</v>
      </c>
      <c r="D3349" s="4">
        <v>46112</v>
      </c>
      <c r="E3349" s="3" t="s">
        <v>161</v>
      </c>
      <c r="F3349" s="3" t="s">
        <v>202</v>
      </c>
      <c r="G3349" s="5">
        <v>1E-3</v>
      </c>
      <c r="H3349" s="6" t="s">
        <v>58</v>
      </c>
      <c r="I3349" s="3" t="s">
        <v>45</v>
      </c>
    </row>
    <row r="3350" spans="1:9" ht="48" customHeight="1">
      <c r="A3350" s="3" t="s">
        <v>40</v>
      </c>
      <c r="B3350" s="3" t="s">
        <v>39</v>
      </c>
      <c r="C3350" s="4">
        <v>46082</v>
      </c>
      <c r="D3350" s="4">
        <v>46112</v>
      </c>
      <c r="E3350" s="3" t="s">
        <v>161</v>
      </c>
      <c r="F3350" s="3" t="s">
        <v>198</v>
      </c>
      <c r="G3350" s="5">
        <v>1E-3</v>
      </c>
      <c r="H3350" s="6" t="s">
        <v>58</v>
      </c>
      <c r="I3350" s="3" t="s">
        <v>45</v>
      </c>
    </row>
    <row r="3351" spans="1:9" ht="48" customHeight="1">
      <c r="A3351" s="3" t="s">
        <v>40</v>
      </c>
      <c r="B3351" s="3" t="s">
        <v>39</v>
      </c>
      <c r="C3351" s="4">
        <v>46082</v>
      </c>
      <c r="D3351" s="4">
        <v>46112</v>
      </c>
      <c r="E3351" s="3" t="s">
        <v>161</v>
      </c>
      <c r="F3351" s="3" t="s">
        <v>203</v>
      </c>
      <c r="G3351" s="5">
        <v>0</v>
      </c>
      <c r="H3351" s="6" t="s">
        <v>58</v>
      </c>
      <c r="I3351" s="3" t="s">
        <v>45</v>
      </c>
    </row>
    <row r="3352" spans="1:9" ht="48" customHeight="1">
      <c r="A3352" s="3" t="s">
        <v>40</v>
      </c>
      <c r="B3352" s="3" t="s">
        <v>39</v>
      </c>
      <c r="C3352" s="4">
        <v>46082</v>
      </c>
      <c r="D3352" s="4">
        <v>46112</v>
      </c>
      <c r="E3352" s="3" t="s">
        <v>286</v>
      </c>
      <c r="F3352" s="3" t="s">
        <v>293</v>
      </c>
      <c r="G3352" s="5">
        <v>0.11</v>
      </c>
      <c r="H3352" s="6" t="s">
        <v>58</v>
      </c>
      <c r="I3352" s="3" t="s">
        <v>45</v>
      </c>
    </row>
    <row r="3353" spans="1:9" ht="48" customHeight="1">
      <c r="A3353" s="3" t="s">
        <v>40</v>
      </c>
      <c r="B3353" s="3" t="s">
        <v>39</v>
      </c>
      <c r="C3353" s="4">
        <v>46082</v>
      </c>
      <c r="D3353" s="4">
        <v>46112</v>
      </c>
      <c r="E3353" s="3" t="s">
        <v>286</v>
      </c>
      <c r="F3353" s="3" t="s">
        <v>300</v>
      </c>
      <c r="G3353" s="5">
        <v>2.1000000000000001E-2</v>
      </c>
      <c r="H3353" s="6" t="s">
        <v>58</v>
      </c>
      <c r="I3353" s="3" t="s">
        <v>45</v>
      </c>
    </row>
    <row r="3354" spans="1:9" ht="48" customHeight="1">
      <c r="A3354" s="3" t="s">
        <v>40</v>
      </c>
      <c r="B3354" s="3" t="s">
        <v>39</v>
      </c>
      <c r="C3354" s="4">
        <v>46082</v>
      </c>
      <c r="D3354" s="4">
        <v>46112</v>
      </c>
      <c r="E3354" s="3" t="s">
        <v>286</v>
      </c>
      <c r="F3354" s="3" t="s">
        <v>291</v>
      </c>
      <c r="G3354" s="5">
        <v>1.4999999999999999E-2</v>
      </c>
      <c r="H3354" s="6" t="s">
        <v>58</v>
      </c>
      <c r="I3354" s="3" t="s">
        <v>45</v>
      </c>
    </row>
    <row r="3355" spans="1:9" ht="48" customHeight="1">
      <c r="A3355" s="3" t="s">
        <v>40</v>
      </c>
      <c r="B3355" s="3" t="s">
        <v>39</v>
      </c>
      <c r="C3355" s="4">
        <v>46082</v>
      </c>
      <c r="D3355" s="4">
        <v>46112</v>
      </c>
      <c r="E3355" s="3" t="s">
        <v>286</v>
      </c>
      <c r="F3355" s="3" t="s">
        <v>287</v>
      </c>
      <c r="G3355" s="5">
        <v>5.0000000000000001E-3</v>
      </c>
      <c r="H3355" s="6" t="s">
        <v>58</v>
      </c>
      <c r="I3355" s="3" t="s">
        <v>45</v>
      </c>
    </row>
    <row r="3356" spans="1:9" ht="48" customHeight="1">
      <c r="A3356" s="3" t="s">
        <v>40</v>
      </c>
      <c r="B3356" s="3" t="s">
        <v>39</v>
      </c>
      <c r="C3356" s="4">
        <v>46082</v>
      </c>
      <c r="D3356" s="4">
        <v>46112</v>
      </c>
      <c r="E3356" s="3" t="s">
        <v>286</v>
      </c>
      <c r="F3356" s="3" t="s">
        <v>292</v>
      </c>
      <c r="G3356" s="5">
        <v>5.0000000000000001E-3</v>
      </c>
      <c r="H3356" s="6" t="s">
        <v>58</v>
      </c>
      <c r="I3356" s="3" t="s">
        <v>45</v>
      </c>
    </row>
    <row r="3357" spans="1:9" ht="48" customHeight="1">
      <c r="A3357" s="3" t="s">
        <v>40</v>
      </c>
      <c r="B3357" s="3" t="s">
        <v>39</v>
      </c>
      <c r="C3357" s="4">
        <v>46082</v>
      </c>
      <c r="D3357" s="4">
        <v>46112</v>
      </c>
      <c r="E3357" s="3" t="s">
        <v>286</v>
      </c>
      <c r="F3357" s="3" t="s">
        <v>288</v>
      </c>
      <c r="G3357" s="5">
        <v>4.0000000000000001E-3</v>
      </c>
      <c r="H3357" s="6" t="s">
        <v>58</v>
      </c>
      <c r="I3357" s="3" t="s">
        <v>45</v>
      </c>
    </row>
    <row r="3358" spans="1:9" ht="48" customHeight="1">
      <c r="A3358" s="3" t="s">
        <v>40</v>
      </c>
      <c r="B3358" s="3" t="s">
        <v>39</v>
      </c>
      <c r="C3358" s="4">
        <v>46082</v>
      </c>
      <c r="D3358" s="4">
        <v>46112</v>
      </c>
      <c r="E3358" s="3" t="s">
        <v>286</v>
      </c>
      <c r="F3358" s="3" t="s">
        <v>289</v>
      </c>
      <c r="G3358" s="5">
        <v>4.0000000000000001E-3</v>
      </c>
      <c r="H3358" s="6" t="s">
        <v>58</v>
      </c>
      <c r="I3358" s="3" t="s">
        <v>45</v>
      </c>
    </row>
    <row r="3359" spans="1:9" ht="48" customHeight="1">
      <c r="A3359" s="3" t="s">
        <v>40</v>
      </c>
      <c r="B3359" s="3" t="s">
        <v>39</v>
      </c>
      <c r="C3359" s="4">
        <v>46082</v>
      </c>
      <c r="D3359" s="4">
        <v>46112</v>
      </c>
      <c r="E3359" s="3" t="s">
        <v>286</v>
      </c>
      <c r="F3359" s="3" t="s">
        <v>290</v>
      </c>
      <c r="G3359" s="5">
        <v>3.0000000000000001E-3</v>
      </c>
      <c r="H3359" s="6" t="s">
        <v>58</v>
      </c>
      <c r="I3359" s="3" t="s">
        <v>45</v>
      </c>
    </row>
    <row r="3360" spans="1:9" ht="48" customHeight="1">
      <c r="A3360" s="3" t="s">
        <v>40</v>
      </c>
      <c r="B3360" s="3" t="s">
        <v>39</v>
      </c>
      <c r="C3360" s="4">
        <v>46082</v>
      </c>
      <c r="D3360" s="4">
        <v>46112</v>
      </c>
      <c r="E3360" s="3" t="s">
        <v>286</v>
      </c>
      <c r="F3360" s="3" t="s">
        <v>297</v>
      </c>
      <c r="G3360" s="5">
        <v>2E-3</v>
      </c>
      <c r="H3360" s="6" t="s">
        <v>58</v>
      </c>
      <c r="I3360" s="3" t="s">
        <v>45</v>
      </c>
    </row>
    <row r="3361" spans="1:9" ht="48" customHeight="1">
      <c r="A3361" s="3" t="s">
        <v>40</v>
      </c>
      <c r="B3361" s="3" t="s">
        <v>39</v>
      </c>
      <c r="C3361" s="4">
        <v>46082</v>
      </c>
      <c r="D3361" s="4">
        <v>46112</v>
      </c>
      <c r="E3361" s="3" t="s">
        <v>286</v>
      </c>
      <c r="F3361" s="3" t="s">
        <v>298</v>
      </c>
      <c r="G3361" s="5">
        <v>1E-3</v>
      </c>
      <c r="H3361" s="6" t="s">
        <v>58</v>
      </c>
      <c r="I3361" s="3" t="s">
        <v>45</v>
      </c>
    </row>
    <row r="3362" spans="1:9" ht="48" customHeight="1">
      <c r="A3362" s="3" t="s">
        <v>40</v>
      </c>
      <c r="B3362" s="3" t="s">
        <v>39</v>
      </c>
      <c r="C3362" s="4">
        <v>46082</v>
      </c>
      <c r="D3362" s="4">
        <v>46112</v>
      </c>
      <c r="E3362" s="3" t="s">
        <v>286</v>
      </c>
      <c r="F3362" s="3" t="s">
        <v>299</v>
      </c>
      <c r="G3362" s="5">
        <v>1E-3</v>
      </c>
      <c r="H3362" s="6" t="s">
        <v>58</v>
      </c>
      <c r="I3362" s="3" t="s">
        <v>45</v>
      </c>
    </row>
    <row r="3363" spans="1:9" ht="48" customHeight="1">
      <c r="A3363" s="3" t="s">
        <v>40</v>
      </c>
      <c r="B3363" s="3" t="s">
        <v>39</v>
      </c>
      <c r="C3363" s="4">
        <v>46082</v>
      </c>
      <c r="D3363" s="4">
        <v>46112</v>
      </c>
      <c r="E3363" s="3" t="s">
        <v>286</v>
      </c>
      <c r="F3363" s="3" t="s">
        <v>294</v>
      </c>
      <c r="G3363" s="5">
        <v>0</v>
      </c>
      <c r="H3363" s="6" t="s">
        <v>58</v>
      </c>
      <c r="I3363" s="3" t="s">
        <v>45</v>
      </c>
    </row>
    <row r="3364" spans="1:9" ht="48" customHeight="1">
      <c r="A3364" s="3" t="s">
        <v>40</v>
      </c>
      <c r="B3364" s="3" t="s">
        <v>39</v>
      </c>
      <c r="C3364" s="4">
        <v>46082</v>
      </c>
      <c r="D3364" s="4">
        <v>46112</v>
      </c>
      <c r="E3364" s="3" t="s">
        <v>286</v>
      </c>
      <c r="F3364" s="3" t="s">
        <v>295</v>
      </c>
      <c r="G3364" s="5">
        <v>0</v>
      </c>
      <c r="H3364" s="6" t="s">
        <v>58</v>
      </c>
      <c r="I3364" s="3" t="s">
        <v>45</v>
      </c>
    </row>
    <row r="3365" spans="1:9" ht="48" customHeight="1">
      <c r="A3365" s="3" t="s">
        <v>40</v>
      </c>
      <c r="B3365" s="3" t="s">
        <v>39</v>
      </c>
      <c r="C3365" s="4">
        <v>46082</v>
      </c>
      <c r="D3365" s="4">
        <v>46112</v>
      </c>
      <c r="E3365" s="3" t="s">
        <v>286</v>
      </c>
      <c r="F3365" s="3" t="s">
        <v>296</v>
      </c>
      <c r="G3365" s="5">
        <v>0</v>
      </c>
      <c r="H3365" s="6" t="s">
        <v>58</v>
      </c>
      <c r="I3365" s="3" t="s">
        <v>45</v>
      </c>
    </row>
    <row r="3366" spans="1:9" ht="48" customHeight="1">
      <c r="A3366" s="3" t="s">
        <v>40</v>
      </c>
      <c r="B3366" s="3" t="s">
        <v>39</v>
      </c>
      <c r="C3366" s="4">
        <v>46082</v>
      </c>
      <c r="D3366" s="4">
        <v>46112</v>
      </c>
      <c r="E3366" s="3" t="s">
        <v>205</v>
      </c>
      <c r="F3366" s="3" t="s">
        <v>210</v>
      </c>
      <c r="G3366" s="5">
        <v>9.0000000000000011E-3</v>
      </c>
      <c r="H3366" s="6" t="s">
        <v>58</v>
      </c>
      <c r="I3366" s="3" t="s">
        <v>45</v>
      </c>
    </row>
    <row r="3367" spans="1:9" ht="48" customHeight="1">
      <c r="A3367" s="3" t="s">
        <v>40</v>
      </c>
      <c r="B3367" s="3" t="s">
        <v>39</v>
      </c>
      <c r="C3367" s="4">
        <v>46082</v>
      </c>
      <c r="D3367" s="4">
        <v>46112</v>
      </c>
      <c r="E3367" s="3" t="s">
        <v>205</v>
      </c>
      <c r="F3367" s="3" t="s">
        <v>216</v>
      </c>
      <c r="G3367" s="5">
        <v>8.0000000000000002E-3</v>
      </c>
      <c r="H3367" s="6" t="s">
        <v>58</v>
      </c>
      <c r="I3367" s="3" t="s">
        <v>45</v>
      </c>
    </row>
    <row r="3368" spans="1:9" ht="48" customHeight="1">
      <c r="A3368" s="3" t="s">
        <v>40</v>
      </c>
      <c r="B3368" s="3" t="s">
        <v>39</v>
      </c>
      <c r="C3368" s="4">
        <v>46082</v>
      </c>
      <c r="D3368" s="4">
        <v>46112</v>
      </c>
      <c r="E3368" s="3" t="s">
        <v>205</v>
      </c>
      <c r="F3368" s="3" t="s">
        <v>220</v>
      </c>
      <c r="G3368" s="5">
        <v>6.9999999999999993E-3</v>
      </c>
      <c r="H3368" s="6" t="s">
        <v>58</v>
      </c>
      <c r="I3368" s="3" t="s">
        <v>45</v>
      </c>
    </row>
    <row r="3369" spans="1:9" ht="48" customHeight="1">
      <c r="A3369" s="3" t="s">
        <v>40</v>
      </c>
      <c r="B3369" s="3" t="s">
        <v>39</v>
      </c>
      <c r="C3369" s="4">
        <v>46082</v>
      </c>
      <c r="D3369" s="4">
        <v>46112</v>
      </c>
      <c r="E3369" s="3" t="s">
        <v>205</v>
      </c>
      <c r="F3369" s="3" t="s">
        <v>211</v>
      </c>
      <c r="G3369" s="5">
        <v>6.0000000000000001E-3</v>
      </c>
      <c r="H3369" s="6" t="s">
        <v>58</v>
      </c>
      <c r="I3369" s="3" t="s">
        <v>45</v>
      </c>
    </row>
    <row r="3370" spans="1:9" ht="48" customHeight="1">
      <c r="A3370" s="3" t="s">
        <v>40</v>
      </c>
      <c r="B3370" s="3" t="s">
        <v>39</v>
      </c>
      <c r="C3370" s="4">
        <v>46082</v>
      </c>
      <c r="D3370" s="4">
        <v>46112</v>
      </c>
      <c r="E3370" s="3" t="s">
        <v>205</v>
      </c>
      <c r="F3370" s="3" t="s">
        <v>207</v>
      </c>
      <c r="G3370" s="5">
        <v>6.0000000000000001E-3</v>
      </c>
      <c r="H3370" s="6" t="s">
        <v>58</v>
      </c>
      <c r="I3370" s="3" t="s">
        <v>45</v>
      </c>
    </row>
    <row r="3371" spans="1:9" ht="48" customHeight="1">
      <c r="A3371" s="3" t="s">
        <v>40</v>
      </c>
      <c r="B3371" s="3" t="s">
        <v>39</v>
      </c>
      <c r="C3371" s="4">
        <v>46082</v>
      </c>
      <c r="D3371" s="4">
        <v>46112</v>
      </c>
      <c r="E3371" s="3" t="s">
        <v>205</v>
      </c>
      <c r="F3371" s="3" t="s">
        <v>206</v>
      </c>
      <c r="G3371" s="5">
        <v>6.0000000000000001E-3</v>
      </c>
      <c r="H3371" s="6" t="s">
        <v>58</v>
      </c>
      <c r="I3371" s="3" t="s">
        <v>45</v>
      </c>
    </row>
    <row r="3372" spans="1:9" ht="48" customHeight="1">
      <c r="A3372" s="3" t="s">
        <v>40</v>
      </c>
      <c r="B3372" s="3" t="s">
        <v>39</v>
      </c>
      <c r="C3372" s="4">
        <v>46082</v>
      </c>
      <c r="D3372" s="4">
        <v>46112</v>
      </c>
      <c r="E3372" s="3" t="s">
        <v>205</v>
      </c>
      <c r="F3372" s="3" t="s">
        <v>209</v>
      </c>
      <c r="G3372" s="5">
        <v>6.0000000000000001E-3</v>
      </c>
      <c r="H3372" s="6" t="s">
        <v>58</v>
      </c>
      <c r="I3372" s="3" t="s">
        <v>45</v>
      </c>
    </row>
    <row r="3373" spans="1:9" ht="48" customHeight="1">
      <c r="A3373" s="3" t="s">
        <v>40</v>
      </c>
      <c r="B3373" s="3" t="s">
        <v>39</v>
      </c>
      <c r="C3373" s="4">
        <v>46082</v>
      </c>
      <c r="D3373" s="4">
        <v>46112</v>
      </c>
      <c r="E3373" s="3" t="s">
        <v>205</v>
      </c>
      <c r="F3373" s="3" t="s">
        <v>224</v>
      </c>
      <c r="G3373" s="5">
        <v>5.0000000000000001E-3</v>
      </c>
      <c r="H3373" s="6" t="s">
        <v>58</v>
      </c>
      <c r="I3373" s="3" t="s">
        <v>45</v>
      </c>
    </row>
    <row r="3374" spans="1:9" ht="48" customHeight="1">
      <c r="A3374" s="3" t="s">
        <v>40</v>
      </c>
      <c r="B3374" s="3" t="s">
        <v>39</v>
      </c>
      <c r="C3374" s="4">
        <v>46082</v>
      </c>
      <c r="D3374" s="4">
        <v>46112</v>
      </c>
      <c r="E3374" s="3" t="s">
        <v>205</v>
      </c>
      <c r="F3374" s="3" t="s">
        <v>217</v>
      </c>
      <c r="G3374" s="5">
        <v>5.0000000000000001E-3</v>
      </c>
      <c r="H3374" s="6" t="s">
        <v>58</v>
      </c>
      <c r="I3374" s="3" t="s">
        <v>45</v>
      </c>
    </row>
    <row r="3375" spans="1:9" ht="48" customHeight="1">
      <c r="A3375" s="3" t="s">
        <v>40</v>
      </c>
      <c r="B3375" s="3" t="s">
        <v>39</v>
      </c>
      <c r="C3375" s="4">
        <v>46082</v>
      </c>
      <c r="D3375" s="4">
        <v>46112</v>
      </c>
      <c r="E3375" s="3" t="s">
        <v>205</v>
      </c>
      <c r="F3375" s="3" t="s">
        <v>218</v>
      </c>
      <c r="G3375" s="5">
        <v>5.0000000000000001E-3</v>
      </c>
      <c r="H3375" s="6" t="s">
        <v>58</v>
      </c>
      <c r="I3375" s="3" t="s">
        <v>45</v>
      </c>
    </row>
    <row r="3376" spans="1:9" ht="48" customHeight="1">
      <c r="A3376" s="3" t="s">
        <v>40</v>
      </c>
      <c r="B3376" s="3" t="s">
        <v>39</v>
      </c>
      <c r="C3376" s="4">
        <v>46082</v>
      </c>
      <c r="D3376" s="4">
        <v>46112</v>
      </c>
      <c r="E3376" s="3" t="s">
        <v>205</v>
      </c>
      <c r="F3376" s="3" t="s">
        <v>225</v>
      </c>
      <c r="G3376" s="5">
        <v>5.0000000000000001E-3</v>
      </c>
      <c r="H3376" s="6" t="s">
        <v>58</v>
      </c>
      <c r="I3376" s="3" t="s">
        <v>45</v>
      </c>
    </row>
    <row r="3377" spans="1:9" ht="48" customHeight="1">
      <c r="A3377" s="3" t="s">
        <v>40</v>
      </c>
      <c r="B3377" s="3" t="s">
        <v>39</v>
      </c>
      <c r="C3377" s="4">
        <v>46082</v>
      </c>
      <c r="D3377" s="4">
        <v>46112</v>
      </c>
      <c r="E3377" s="3" t="s">
        <v>205</v>
      </c>
      <c r="F3377" s="3" t="s">
        <v>219</v>
      </c>
      <c r="G3377" s="5">
        <v>5.0000000000000001E-3</v>
      </c>
      <c r="H3377" s="6" t="s">
        <v>58</v>
      </c>
      <c r="I3377" s="3" t="s">
        <v>45</v>
      </c>
    </row>
    <row r="3378" spans="1:9" ht="48" customHeight="1">
      <c r="A3378" s="3" t="s">
        <v>40</v>
      </c>
      <c r="B3378" s="3" t="s">
        <v>39</v>
      </c>
      <c r="C3378" s="4">
        <v>46082</v>
      </c>
      <c r="D3378" s="4">
        <v>46112</v>
      </c>
      <c r="E3378" s="3" t="s">
        <v>205</v>
      </c>
      <c r="F3378" s="3" t="s">
        <v>221</v>
      </c>
      <c r="G3378" s="5">
        <v>5.0000000000000001E-3</v>
      </c>
      <c r="H3378" s="6" t="s">
        <v>58</v>
      </c>
      <c r="I3378" s="3" t="s">
        <v>45</v>
      </c>
    </row>
    <row r="3379" spans="1:9" ht="48" customHeight="1">
      <c r="A3379" s="3" t="s">
        <v>40</v>
      </c>
      <c r="B3379" s="3" t="s">
        <v>39</v>
      </c>
      <c r="C3379" s="4">
        <v>46082</v>
      </c>
      <c r="D3379" s="4">
        <v>46112</v>
      </c>
      <c r="E3379" s="3" t="s">
        <v>205</v>
      </c>
      <c r="F3379" s="3" t="s">
        <v>208</v>
      </c>
      <c r="G3379" s="5">
        <v>5.0000000000000001E-3</v>
      </c>
      <c r="H3379" s="6" t="s">
        <v>58</v>
      </c>
      <c r="I3379" s="3" t="s">
        <v>45</v>
      </c>
    </row>
    <row r="3380" spans="1:9" ht="48" customHeight="1">
      <c r="A3380" s="3" t="s">
        <v>40</v>
      </c>
      <c r="B3380" s="3" t="s">
        <v>39</v>
      </c>
      <c r="C3380" s="4">
        <v>46082</v>
      </c>
      <c r="D3380" s="4">
        <v>46112</v>
      </c>
      <c r="E3380" s="3" t="s">
        <v>205</v>
      </c>
      <c r="F3380" s="3" t="s">
        <v>213</v>
      </c>
      <c r="G3380" s="5">
        <v>5.0000000000000001E-3</v>
      </c>
      <c r="H3380" s="6" t="s">
        <v>58</v>
      </c>
      <c r="I3380" s="3" t="s">
        <v>45</v>
      </c>
    </row>
    <row r="3381" spans="1:9" ht="48" customHeight="1">
      <c r="A3381" s="3" t="s">
        <v>40</v>
      </c>
      <c r="B3381" s="3" t="s">
        <v>39</v>
      </c>
      <c r="C3381" s="4">
        <v>46082</v>
      </c>
      <c r="D3381" s="4">
        <v>46112</v>
      </c>
      <c r="E3381" s="3" t="s">
        <v>205</v>
      </c>
      <c r="F3381" s="3" t="s">
        <v>214</v>
      </c>
      <c r="G3381" s="5">
        <v>5.0000000000000001E-3</v>
      </c>
      <c r="H3381" s="6" t="s">
        <v>58</v>
      </c>
      <c r="I3381" s="3" t="s">
        <v>45</v>
      </c>
    </row>
    <row r="3382" spans="1:9" ht="48" customHeight="1">
      <c r="A3382" s="3" t="s">
        <v>40</v>
      </c>
      <c r="B3382" s="3" t="s">
        <v>39</v>
      </c>
      <c r="C3382" s="4">
        <v>46082</v>
      </c>
      <c r="D3382" s="4">
        <v>46112</v>
      </c>
      <c r="E3382" s="3" t="s">
        <v>205</v>
      </c>
      <c r="F3382" s="3" t="s">
        <v>215</v>
      </c>
      <c r="G3382" s="5">
        <v>5.0000000000000001E-3</v>
      </c>
      <c r="H3382" s="6" t="s">
        <v>58</v>
      </c>
      <c r="I3382" s="3" t="s">
        <v>45</v>
      </c>
    </row>
    <row r="3383" spans="1:9" ht="48" customHeight="1">
      <c r="A3383" s="3" t="s">
        <v>40</v>
      </c>
      <c r="B3383" s="3" t="s">
        <v>39</v>
      </c>
      <c r="C3383" s="4">
        <v>46082</v>
      </c>
      <c r="D3383" s="4">
        <v>46112</v>
      </c>
      <c r="E3383" s="3" t="s">
        <v>205</v>
      </c>
      <c r="F3383" s="3" t="s">
        <v>222</v>
      </c>
      <c r="G3383" s="5">
        <v>4.0000000000000001E-3</v>
      </c>
      <c r="H3383" s="6" t="s">
        <v>58</v>
      </c>
      <c r="I3383" s="3" t="s">
        <v>45</v>
      </c>
    </row>
    <row r="3384" spans="1:9" ht="48" customHeight="1">
      <c r="A3384" s="3" t="s">
        <v>40</v>
      </c>
      <c r="B3384" s="3" t="s">
        <v>39</v>
      </c>
      <c r="C3384" s="4">
        <v>46082</v>
      </c>
      <c r="D3384" s="4">
        <v>46112</v>
      </c>
      <c r="E3384" s="3" t="s">
        <v>205</v>
      </c>
      <c r="F3384" s="3" t="s">
        <v>212</v>
      </c>
      <c r="G3384" s="5">
        <v>4.0000000000000001E-3</v>
      </c>
      <c r="H3384" s="6" t="s">
        <v>58</v>
      </c>
      <c r="I3384" s="3" t="s">
        <v>45</v>
      </c>
    </row>
    <row r="3385" spans="1:9" ht="48" customHeight="1">
      <c r="A3385" s="3" t="s">
        <v>40</v>
      </c>
      <c r="B3385" s="3" t="s">
        <v>39</v>
      </c>
      <c r="C3385" s="4">
        <v>46082</v>
      </c>
      <c r="D3385" s="4">
        <v>46112</v>
      </c>
      <c r="E3385" s="3" t="s">
        <v>205</v>
      </c>
      <c r="F3385" s="3" t="s">
        <v>223</v>
      </c>
      <c r="G3385" s="5">
        <v>3.0000000000000001E-3</v>
      </c>
      <c r="H3385" s="6" t="s">
        <v>58</v>
      </c>
      <c r="I3385" s="3" t="s">
        <v>45</v>
      </c>
    </row>
    <row r="3386" spans="1:9" ht="48" customHeight="1">
      <c r="A3386" s="3" t="s">
        <v>40</v>
      </c>
      <c r="B3386" s="3" t="s">
        <v>39</v>
      </c>
      <c r="C3386" s="4">
        <v>46082</v>
      </c>
      <c r="D3386" s="4">
        <v>46112</v>
      </c>
      <c r="E3386" s="3" t="s">
        <v>205</v>
      </c>
      <c r="F3386" s="3" t="s">
        <v>226</v>
      </c>
      <c r="G3386" s="5">
        <v>3.0000000000000001E-3</v>
      </c>
      <c r="H3386" s="6" t="s">
        <v>58</v>
      </c>
      <c r="I3386" s="3" t="s">
        <v>45</v>
      </c>
    </row>
    <row r="3387" spans="1:9" ht="48" customHeight="1">
      <c r="A3387" s="3" t="s">
        <v>40</v>
      </c>
      <c r="B3387" s="3" t="s">
        <v>39</v>
      </c>
      <c r="C3387" s="4">
        <v>46082</v>
      </c>
      <c r="D3387" s="4">
        <v>46112</v>
      </c>
      <c r="E3387" s="3" t="s">
        <v>205</v>
      </c>
      <c r="F3387" s="3" t="s">
        <v>227</v>
      </c>
      <c r="G3387" s="5">
        <v>3.0000000000000001E-3</v>
      </c>
      <c r="H3387" s="6" t="s">
        <v>58</v>
      </c>
      <c r="I3387" s="3" t="s">
        <v>45</v>
      </c>
    </row>
    <row r="3388" spans="1:9" ht="48" customHeight="1">
      <c r="A3388" s="3" t="s">
        <v>40</v>
      </c>
      <c r="B3388" s="3" t="s">
        <v>39</v>
      </c>
      <c r="C3388" s="4">
        <v>46082</v>
      </c>
      <c r="D3388" s="4">
        <v>46112</v>
      </c>
      <c r="E3388" s="3" t="s">
        <v>205</v>
      </c>
      <c r="F3388" s="3" t="s">
        <v>228</v>
      </c>
      <c r="G3388" s="5">
        <v>3.0000000000000001E-3</v>
      </c>
      <c r="H3388" s="6" t="s">
        <v>58</v>
      </c>
      <c r="I3388" s="3" t="s">
        <v>45</v>
      </c>
    </row>
    <row r="3389" spans="1:9" ht="48" customHeight="1">
      <c r="A3389" s="3" t="s">
        <v>40</v>
      </c>
      <c r="B3389" s="3" t="s">
        <v>39</v>
      </c>
      <c r="C3389" s="4">
        <v>46082</v>
      </c>
      <c r="D3389" s="4">
        <v>46112</v>
      </c>
      <c r="E3389" s="3" t="s">
        <v>205</v>
      </c>
      <c r="F3389" s="3" t="s">
        <v>229</v>
      </c>
      <c r="G3389" s="5">
        <v>2E-3</v>
      </c>
      <c r="H3389" s="6" t="s">
        <v>58</v>
      </c>
      <c r="I3389" s="3" t="s">
        <v>45</v>
      </c>
    </row>
    <row r="3390" spans="1:9" ht="48" customHeight="1">
      <c r="A3390" s="3" t="s">
        <v>40</v>
      </c>
      <c r="B3390" s="3" t="s">
        <v>39</v>
      </c>
      <c r="C3390" s="4">
        <v>46082</v>
      </c>
      <c r="D3390" s="4">
        <v>46112</v>
      </c>
      <c r="E3390" s="3" t="s">
        <v>205</v>
      </c>
      <c r="F3390" s="3" t="s">
        <v>230</v>
      </c>
      <c r="G3390" s="5">
        <v>1E-3</v>
      </c>
      <c r="H3390" s="6" t="s">
        <v>58</v>
      </c>
      <c r="I3390" s="3" t="s">
        <v>45</v>
      </c>
    </row>
    <row r="3391" spans="1:9" ht="48" customHeight="1">
      <c r="A3391" s="3" t="s">
        <v>40</v>
      </c>
      <c r="B3391" s="3" t="s">
        <v>39</v>
      </c>
      <c r="C3391" s="4">
        <v>46082</v>
      </c>
      <c r="D3391" s="4">
        <v>46112</v>
      </c>
      <c r="E3391" s="3" t="s">
        <v>81</v>
      </c>
      <c r="F3391" s="3" t="s">
        <v>333</v>
      </c>
      <c r="G3391" s="5">
        <v>9.0000000000000011E-3</v>
      </c>
      <c r="H3391" s="6" t="s">
        <v>58</v>
      </c>
      <c r="I3391" s="3" t="s">
        <v>45</v>
      </c>
    </row>
    <row r="3392" spans="1:9" ht="48" customHeight="1">
      <c r="A3392" s="3" t="s">
        <v>40</v>
      </c>
      <c r="B3392" s="3" t="s">
        <v>39</v>
      </c>
      <c r="C3392" s="4">
        <v>46082</v>
      </c>
      <c r="D3392" s="4">
        <v>46112</v>
      </c>
      <c r="E3392" s="3" t="s">
        <v>81</v>
      </c>
      <c r="F3392" s="3" t="s">
        <v>330</v>
      </c>
      <c r="G3392" s="5">
        <v>4.0000000000000001E-3</v>
      </c>
      <c r="H3392" s="6" t="s">
        <v>58</v>
      </c>
      <c r="I3392" s="3" t="s">
        <v>45</v>
      </c>
    </row>
    <row r="3393" spans="1:9" ht="48" customHeight="1">
      <c r="A3393" s="3" t="s">
        <v>40</v>
      </c>
      <c r="B3393" s="3" t="s">
        <v>39</v>
      </c>
      <c r="C3393" s="4">
        <v>46082</v>
      </c>
      <c r="D3393" s="4">
        <v>46112</v>
      </c>
      <c r="E3393" s="3" t="s">
        <v>81</v>
      </c>
      <c r="F3393" s="3" t="s">
        <v>327</v>
      </c>
      <c r="G3393" s="5">
        <v>3.0000000000000001E-3</v>
      </c>
      <c r="H3393" s="6" t="s">
        <v>58</v>
      </c>
      <c r="I3393" s="3" t="s">
        <v>45</v>
      </c>
    </row>
    <row r="3394" spans="1:9" ht="48" customHeight="1">
      <c r="A3394" s="3" t="s">
        <v>40</v>
      </c>
      <c r="B3394" s="3" t="s">
        <v>39</v>
      </c>
      <c r="C3394" s="4">
        <v>46082</v>
      </c>
      <c r="D3394" s="4">
        <v>46112</v>
      </c>
      <c r="E3394" s="3" t="s">
        <v>81</v>
      </c>
      <c r="F3394" s="3" t="s">
        <v>325</v>
      </c>
      <c r="G3394" s="5">
        <v>3.0000000000000001E-3</v>
      </c>
      <c r="H3394" s="6" t="s">
        <v>58</v>
      </c>
      <c r="I3394" s="3" t="s">
        <v>45</v>
      </c>
    </row>
    <row r="3395" spans="1:9" ht="48" customHeight="1">
      <c r="A3395" s="3" t="s">
        <v>40</v>
      </c>
      <c r="B3395" s="3" t="s">
        <v>39</v>
      </c>
      <c r="C3395" s="4">
        <v>46082</v>
      </c>
      <c r="D3395" s="4">
        <v>46112</v>
      </c>
      <c r="E3395" s="3" t="s">
        <v>81</v>
      </c>
      <c r="F3395" s="3" t="s">
        <v>345</v>
      </c>
      <c r="G3395" s="5">
        <v>3.0000000000000001E-3</v>
      </c>
      <c r="H3395" s="6" t="s">
        <v>58</v>
      </c>
      <c r="I3395" s="3" t="s">
        <v>45</v>
      </c>
    </row>
    <row r="3396" spans="1:9" ht="48" customHeight="1">
      <c r="A3396" s="3" t="s">
        <v>40</v>
      </c>
      <c r="B3396" s="3" t="s">
        <v>39</v>
      </c>
      <c r="C3396" s="4">
        <v>46082</v>
      </c>
      <c r="D3396" s="4">
        <v>46112</v>
      </c>
      <c r="E3396" s="3" t="s">
        <v>81</v>
      </c>
      <c r="F3396" s="3" t="s">
        <v>326</v>
      </c>
      <c r="G3396" s="5">
        <v>2E-3</v>
      </c>
      <c r="H3396" s="6" t="s">
        <v>58</v>
      </c>
      <c r="I3396" s="3" t="s">
        <v>45</v>
      </c>
    </row>
    <row r="3397" spans="1:9" ht="48" customHeight="1">
      <c r="A3397" s="3" t="s">
        <v>40</v>
      </c>
      <c r="B3397" s="3" t="s">
        <v>39</v>
      </c>
      <c r="C3397" s="4">
        <v>46082</v>
      </c>
      <c r="D3397" s="4">
        <v>46112</v>
      </c>
      <c r="E3397" s="3" t="s">
        <v>81</v>
      </c>
      <c r="F3397" s="3" t="s">
        <v>328</v>
      </c>
      <c r="G3397" s="5">
        <v>2E-3</v>
      </c>
      <c r="H3397" s="6" t="s">
        <v>58</v>
      </c>
      <c r="I3397" s="3" t="s">
        <v>45</v>
      </c>
    </row>
    <row r="3398" spans="1:9" ht="48" customHeight="1">
      <c r="A3398" s="3" t="s">
        <v>40</v>
      </c>
      <c r="B3398" s="3" t="s">
        <v>39</v>
      </c>
      <c r="C3398" s="4">
        <v>46082</v>
      </c>
      <c r="D3398" s="4">
        <v>46112</v>
      </c>
      <c r="E3398" s="3" t="s">
        <v>81</v>
      </c>
      <c r="F3398" s="3" t="s">
        <v>332</v>
      </c>
      <c r="G3398" s="5">
        <v>2E-3</v>
      </c>
      <c r="H3398" s="6" t="s">
        <v>58</v>
      </c>
      <c r="I3398" s="3" t="s">
        <v>45</v>
      </c>
    </row>
    <row r="3399" spans="1:9" ht="48" customHeight="1">
      <c r="A3399" s="3" t="s">
        <v>40</v>
      </c>
      <c r="B3399" s="3" t="s">
        <v>39</v>
      </c>
      <c r="C3399" s="4">
        <v>46082</v>
      </c>
      <c r="D3399" s="4">
        <v>46112</v>
      </c>
      <c r="E3399" s="3" t="s">
        <v>81</v>
      </c>
      <c r="F3399" s="3" t="s">
        <v>344</v>
      </c>
      <c r="G3399" s="5">
        <v>2E-3</v>
      </c>
      <c r="H3399" s="6" t="s">
        <v>58</v>
      </c>
      <c r="I3399" s="3" t="s">
        <v>45</v>
      </c>
    </row>
    <row r="3400" spans="1:9" ht="48" customHeight="1">
      <c r="A3400" s="3" t="s">
        <v>40</v>
      </c>
      <c r="B3400" s="3" t="s">
        <v>39</v>
      </c>
      <c r="C3400" s="4">
        <v>46082</v>
      </c>
      <c r="D3400" s="4">
        <v>46112</v>
      </c>
      <c r="E3400" s="3" t="s">
        <v>81</v>
      </c>
      <c r="F3400" s="3" t="s">
        <v>346</v>
      </c>
      <c r="G3400" s="5">
        <v>2E-3</v>
      </c>
      <c r="H3400" s="6" t="s">
        <v>58</v>
      </c>
      <c r="I3400" s="3" t="s">
        <v>45</v>
      </c>
    </row>
    <row r="3401" spans="1:9" ht="48" customHeight="1">
      <c r="A3401" s="3" t="s">
        <v>40</v>
      </c>
      <c r="B3401" s="3" t="s">
        <v>39</v>
      </c>
      <c r="C3401" s="4">
        <v>46082</v>
      </c>
      <c r="D3401" s="4">
        <v>46112</v>
      </c>
      <c r="E3401" s="3" t="s">
        <v>81</v>
      </c>
      <c r="F3401" s="3" t="s">
        <v>329</v>
      </c>
      <c r="G3401" s="5">
        <v>1E-3</v>
      </c>
      <c r="H3401" s="6" t="s">
        <v>58</v>
      </c>
      <c r="I3401" s="3" t="s">
        <v>45</v>
      </c>
    </row>
    <row r="3402" spans="1:9" ht="48" customHeight="1">
      <c r="A3402" s="3" t="s">
        <v>40</v>
      </c>
      <c r="B3402" s="3" t="s">
        <v>39</v>
      </c>
      <c r="C3402" s="4">
        <v>46082</v>
      </c>
      <c r="D3402" s="4">
        <v>46112</v>
      </c>
      <c r="E3402" s="3" t="s">
        <v>81</v>
      </c>
      <c r="F3402" s="3" t="s">
        <v>334</v>
      </c>
      <c r="G3402" s="5">
        <v>1E-3</v>
      </c>
      <c r="H3402" s="6" t="s">
        <v>58</v>
      </c>
      <c r="I3402" s="3" t="s">
        <v>45</v>
      </c>
    </row>
    <row r="3403" spans="1:9" ht="48" customHeight="1">
      <c r="A3403" s="3" t="s">
        <v>40</v>
      </c>
      <c r="B3403" s="3" t="s">
        <v>39</v>
      </c>
      <c r="C3403" s="4">
        <v>46082</v>
      </c>
      <c r="D3403" s="4">
        <v>46112</v>
      </c>
      <c r="E3403" s="3" t="s">
        <v>81</v>
      </c>
      <c r="F3403" s="3" t="s">
        <v>331</v>
      </c>
      <c r="G3403" s="5">
        <v>1E-3</v>
      </c>
      <c r="H3403" s="6" t="s">
        <v>58</v>
      </c>
      <c r="I3403" s="3" t="s">
        <v>45</v>
      </c>
    </row>
    <row r="3404" spans="1:9" ht="48" customHeight="1">
      <c r="A3404" s="3" t="s">
        <v>40</v>
      </c>
      <c r="B3404" s="3" t="s">
        <v>39</v>
      </c>
      <c r="C3404" s="4">
        <v>46082</v>
      </c>
      <c r="D3404" s="4">
        <v>46112</v>
      </c>
      <c r="E3404" s="3" t="s">
        <v>81</v>
      </c>
      <c r="F3404" s="3" t="s">
        <v>335</v>
      </c>
      <c r="G3404" s="5">
        <v>1E-3</v>
      </c>
      <c r="H3404" s="6" t="s">
        <v>58</v>
      </c>
      <c r="I3404" s="3" t="s">
        <v>45</v>
      </c>
    </row>
    <row r="3405" spans="1:9" ht="48" customHeight="1">
      <c r="A3405" s="3" t="s">
        <v>40</v>
      </c>
      <c r="B3405" s="3" t="s">
        <v>39</v>
      </c>
      <c r="C3405" s="4">
        <v>46082</v>
      </c>
      <c r="D3405" s="4">
        <v>46112</v>
      </c>
      <c r="E3405" s="3" t="s">
        <v>81</v>
      </c>
      <c r="F3405" s="3" t="s">
        <v>336</v>
      </c>
      <c r="G3405" s="5">
        <v>1E-3</v>
      </c>
      <c r="H3405" s="6" t="s">
        <v>58</v>
      </c>
      <c r="I3405" s="3" t="s">
        <v>45</v>
      </c>
    </row>
    <row r="3406" spans="1:9" ht="48" customHeight="1">
      <c r="A3406" s="3" t="s">
        <v>40</v>
      </c>
      <c r="B3406" s="3" t="s">
        <v>39</v>
      </c>
      <c r="C3406" s="4">
        <v>46082</v>
      </c>
      <c r="D3406" s="4">
        <v>46112</v>
      </c>
      <c r="E3406" s="3" t="s">
        <v>81</v>
      </c>
      <c r="F3406" s="3" t="s">
        <v>343</v>
      </c>
      <c r="G3406" s="5">
        <v>1E-3</v>
      </c>
      <c r="H3406" s="6" t="s">
        <v>58</v>
      </c>
      <c r="I3406" s="3" t="s">
        <v>45</v>
      </c>
    </row>
    <row r="3407" spans="1:9" ht="48" customHeight="1">
      <c r="A3407" s="3" t="s">
        <v>40</v>
      </c>
      <c r="B3407" s="3" t="s">
        <v>39</v>
      </c>
      <c r="C3407" s="4">
        <v>46082</v>
      </c>
      <c r="D3407" s="4">
        <v>46112</v>
      </c>
      <c r="E3407" s="3" t="s">
        <v>81</v>
      </c>
      <c r="F3407" s="3" t="s">
        <v>337</v>
      </c>
      <c r="G3407" s="5">
        <v>0</v>
      </c>
      <c r="H3407" s="6" t="s">
        <v>58</v>
      </c>
      <c r="I3407" s="3" t="s">
        <v>45</v>
      </c>
    </row>
    <row r="3408" spans="1:9" ht="48" customHeight="1">
      <c r="A3408" s="3" t="s">
        <v>40</v>
      </c>
      <c r="B3408" s="3" t="s">
        <v>39</v>
      </c>
      <c r="C3408" s="4">
        <v>46082</v>
      </c>
      <c r="D3408" s="4">
        <v>46112</v>
      </c>
      <c r="E3408" s="3" t="s">
        <v>81</v>
      </c>
      <c r="F3408" s="3" t="s">
        <v>338</v>
      </c>
      <c r="G3408" s="5">
        <v>0</v>
      </c>
      <c r="H3408" s="6" t="s">
        <v>58</v>
      </c>
      <c r="I3408" s="3" t="s">
        <v>45</v>
      </c>
    </row>
    <row r="3409" spans="1:9" ht="48" customHeight="1">
      <c r="A3409" s="3" t="s">
        <v>40</v>
      </c>
      <c r="B3409" s="3" t="s">
        <v>39</v>
      </c>
      <c r="C3409" s="4">
        <v>46082</v>
      </c>
      <c r="D3409" s="4">
        <v>46112</v>
      </c>
      <c r="E3409" s="3" t="s">
        <v>81</v>
      </c>
      <c r="F3409" s="3" t="s">
        <v>339</v>
      </c>
      <c r="G3409" s="5">
        <v>0</v>
      </c>
      <c r="H3409" s="6" t="s">
        <v>58</v>
      </c>
      <c r="I3409" s="3" t="s">
        <v>45</v>
      </c>
    </row>
    <row r="3410" spans="1:9" ht="48" customHeight="1">
      <c r="A3410" s="3" t="s">
        <v>40</v>
      </c>
      <c r="B3410" s="3" t="s">
        <v>39</v>
      </c>
      <c r="C3410" s="4">
        <v>46082</v>
      </c>
      <c r="D3410" s="4">
        <v>46112</v>
      </c>
      <c r="E3410" s="3" t="s">
        <v>81</v>
      </c>
      <c r="F3410" s="3" t="s">
        <v>340</v>
      </c>
      <c r="G3410" s="5">
        <v>0</v>
      </c>
      <c r="H3410" s="6" t="s">
        <v>58</v>
      </c>
      <c r="I3410" s="3" t="s">
        <v>45</v>
      </c>
    </row>
    <row r="3411" spans="1:9" ht="48" customHeight="1">
      <c r="A3411" s="3" t="s">
        <v>40</v>
      </c>
      <c r="B3411" s="3" t="s">
        <v>39</v>
      </c>
      <c r="C3411" s="4">
        <v>46082</v>
      </c>
      <c r="D3411" s="4">
        <v>46112</v>
      </c>
      <c r="E3411" s="3" t="s">
        <v>81</v>
      </c>
      <c r="F3411" s="3" t="s">
        <v>341</v>
      </c>
      <c r="G3411" s="5">
        <v>0</v>
      </c>
      <c r="H3411" s="6" t="s">
        <v>58</v>
      </c>
      <c r="I3411" s="3" t="s">
        <v>45</v>
      </c>
    </row>
    <row r="3412" spans="1:9" ht="48" customHeight="1">
      <c r="A3412" s="3" t="s">
        <v>40</v>
      </c>
      <c r="B3412" s="3" t="s">
        <v>39</v>
      </c>
      <c r="C3412" s="4">
        <v>46082</v>
      </c>
      <c r="D3412" s="4">
        <v>46112</v>
      </c>
      <c r="E3412" s="3" t="s">
        <v>81</v>
      </c>
      <c r="F3412" s="3" t="s">
        <v>342</v>
      </c>
      <c r="G3412" s="5">
        <v>0</v>
      </c>
      <c r="H3412" s="6" t="s">
        <v>58</v>
      </c>
      <c r="I3412" s="3" t="s">
        <v>45</v>
      </c>
    </row>
    <row r="3413" spans="1:9" ht="48" customHeight="1">
      <c r="A3413" s="3" t="s">
        <v>40</v>
      </c>
      <c r="B3413" s="3" t="s">
        <v>39</v>
      </c>
      <c r="C3413" s="4">
        <v>46082</v>
      </c>
      <c r="D3413" s="4">
        <v>46112</v>
      </c>
      <c r="E3413" s="3" t="s">
        <v>81</v>
      </c>
      <c r="F3413" s="3" t="s">
        <v>347</v>
      </c>
      <c r="G3413" s="5">
        <v>0</v>
      </c>
      <c r="H3413" s="6" t="s">
        <v>58</v>
      </c>
      <c r="I3413" s="3" t="s">
        <v>45</v>
      </c>
    </row>
    <row r="3414" spans="1:9" ht="48" customHeight="1">
      <c r="A3414" s="3" t="s">
        <v>40</v>
      </c>
      <c r="B3414" s="3" t="s">
        <v>39</v>
      </c>
      <c r="C3414" s="4">
        <v>46082</v>
      </c>
      <c r="D3414" s="4">
        <v>46112</v>
      </c>
      <c r="E3414" s="3" t="s">
        <v>236</v>
      </c>
      <c r="F3414" s="3" t="s">
        <v>232</v>
      </c>
      <c r="G3414" s="5">
        <v>9.0000000000000011E-3</v>
      </c>
      <c r="H3414" s="6" t="s">
        <v>58</v>
      </c>
      <c r="I3414" s="3" t="s">
        <v>45</v>
      </c>
    </row>
    <row r="3415" spans="1:9" ht="48" customHeight="1">
      <c r="A3415" s="3" t="s">
        <v>40</v>
      </c>
      <c r="B3415" s="3" t="s">
        <v>39</v>
      </c>
      <c r="C3415" s="4">
        <v>46082</v>
      </c>
      <c r="D3415" s="4">
        <v>46112</v>
      </c>
      <c r="E3415" s="3" t="s">
        <v>236</v>
      </c>
      <c r="F3415" s="3" t="s">
        <v>238</v>
      </c>
      <c r="G3415" s="5">
        <v>6.0000000000000001E-3</v>
      </c>
      <c r="H3415" s="6" t="s">
        <v>58</v>
      </c>
      <c r="I3415" s="3" t="s">
        <v>45</v>
      </c>
    </row>
    <row r="3416" spans="1:9" ht="48" customHeight="1">
      <c r="A3416" s="3" t="s">
        <v>40</v>
      </c>
      <c r="B3416" s="3" t="s">
        <v>39</v>
      </c>
      <c r="C3416" s="4">
        <v>46082</v>
      </c>
      <c r="D3416" s="4">
        <v>46112</v>
      </c>
      <c r="E3416" s="3" t="s">
        <v>236</v>
      </c>
      <c r="F3416" s="3" t="s">
        <v>239</v>
      </c>
      <c r="G3416" s="5">
        <v>5.0000000000000001E-3</v>
      </c>
      <c r="H3416" s="6" t="s">
        <v>58</v>
      </c>
      <c r="I3416" s="3" t="s">
        <v>45</v>
      </c>
    </row>
    <row r="3417" spans="1:9" ht="48" customHeight="1">
      <c r="A3417" s="3" t="s">
        <v>40</v>
      </c>
      <c r="B3417" s="3" t="s">
        <v>39</v>
      </c>
      <c r="C3417" s="4">
        <v>46082</v>
      </c>
      <c r="D3417" s="4">
        <v>46112</v>
      </c>
      <c r="E3417" s="3" t="s">
        <v>236</v>
      </c>
      <c r="F3417" s="3" t="s">
        <v>240</v>
      </c>
      <c r="G3417" s="5">
        <v>4.0000000000000001E-3</v>
      </c>
      <c r="H3417" s="6" t="s">
        <v>58</v>
      </c>
      <c r="I3417" s="3" t="s">
        <v>45</v>
      </c>
    </row>
    <row r="3418" spans="1:9" ht="48" customHeight="1">
      <c r="A3418" s="3" t="s">
        <v>40</v>
      </c>
      <c r="B3418" s="3" t="s">
        <v>39</v>
      </c>
      <c r="C3418" s="4">
        <v>46082</v>
      </c>
      <c r="D3418" s="4">
        <v>46112</v>
      </c>
      <c r="E3418" s="3" t="s">
        <v>236</v>
      </c>
      <c r="F3418" s="3" t="s">
        <v>237</v>
      </c>
      <c r="G3418" s="5">
        <v>4.0000000000000001E-3</v>
      </c>
      <c r="H3418" s="6" t="s">
        <v>58</v>
      </c>
      <c r="I3418" s="3" t="s">
        <v>45</v>
      </c>
    </row>
    <row r="3419" spans="1:9" ht="48" customHeight="1">
      <c r="A3419" s="3" t="s">
        <v>40</v>
      </c>
      <c r="B3419" s="3" t="s">
        <v>39</v>
      </c>
      <c r="C3419" s="4">
        <v>46082</v>
      </c>
      <c r="D3419" s="4">
        <v>46112</v>
      </c>
      <c r="E3419" s="3" t="s">
        <v>236</v>
      </c>
      <c r="F3419" s="3" t="s">
        <v>230</v>
      </c>
      <c r="G3419" s="5">
        <v>3.0000000000000001E-3</v>
      </c>
      <c r="H3419" s="6" t="s">
        <v>58</v>
      </c>
      <c r="I3419" s="3" t="s">
        <v>45</v>
      </c>
    </row>
    <row r="3420" spans="1:9" ht="48" customHeight="1">
      <c r="A3420" s="3" t="s">
        <v>40</v>
      </c>
      <c r="B3420" s="3" t="s">
        <v>39</v>
      </c>
      <c r="C3420" s="4">
        <v>46082</v>
      </c>
      <c r="D3420" s="4">
        <v>46112</v>
      </c>
      <c r="E3420" s="3" t="s">
        <v>236</v>
      </c>
      <c r="F3420" s="3" t="s">
        <v>241</v>
      </c>
      <c r="G3420" s="5">
        <v>3.0000000000000001E-3</v>
      </c>
      <c r="H3420" s="6" t="s">
        <v>58</v>
      </c>
      <c r="I3420" s="3" t="s">
        <v>45</v>
      </c>
    </row>
    <row r="3421" spans="1:9" ht="48" customHeight="1">
      <c r="A3421" s="3" t="s">
        <v>40</v>
      </c>
      <c r="B3421" s="3" t="s">
        <v>39</v>
      </c>
      <c r="C3421" s="4">
        <v>46082</v>
      </c>
      <c r="D3421" s="4">
        <v>46112</v>
      </c>
      <c r="E3421" s="3" t="s">
        <v>236</v>
      </c>
      <c r="F3421" s="3" t="s">
        <v>234</v>
      </c>
      <c r="G3421" s="5">
        <v>1E-3</v>
      </c>
      <c r="H3421" s="6" t="s">
        <v>58</v>
      </c>
      <c r="I3421" s="3" t="s">
        <v>45</v>
      </c>
    </row>
    <row r="3422" spans="1:9" ht="48" customHeight="1">
      <c r="A3422" s="3" t="s">
        <v>40</v>
      </c>
      <c r="B3422" s="3" t="s">
        <v>39</v>
      </c>
      <c r="C3422" s="4">
        <v>46082</v>
      </c>
      <c r="D3422" s="4">
        <v>46112</v>
      </c>
      <c r="E3422" s="3" t="s">
        <v>236</v>
      </c>
      <c r="F3422" s="3" t="s">
        <v>242</v>
      </c>
      <c r="G3422" s="5">
        <v>1E-3</v>
      </c>
      <c r="H3422" s="6" t="s">
        <v>58</v>
      </c>
      <c r="I3422" s="3" t="s">
        <v>45</v>
      </c>
    </row>
    <row r="3423" spans="1:9" ht="48" customHeight="1">
      <c r="A3423" s="3" t="s">
        <v>40</v>
      </c>
      <c r="B3423" s="3" t="s">
        <v>39</v>
      </c>
      <c r="C3423" s="4">
        <v>46082</v>
      </c>
      <c r="D3423" s="4">
        <v>46112</v>
      </c>
      <c r="E3423" s="3" t="s">
        <v>236</v>
      </c>
      <c r="F3423" s="3" t="s">
        <v>243</v>
      </c>
      <c r="G3423" s="5">
        <v>0</v>
      </c>
      <c r="H3423" s="6" t="s">
        <v>58</v>
      </c>
      <c r="I3423" s="3" t="s">
        <v>45</v>
      </c>
    </row>
    <row r="3424" spans="1:9" ht="48" customHeight="1">
      <c r="A3424" s="3" t="s">
        <v>40</v>
      </c>
      <c r="B3424" s="3" t="s">
        <v>39</v>
      </c>
      <c r="C3424" s="4">
        <v>46082</v>
      </c>
      <c r="D3424" s="4">
        <v>46112</v>
      </c>
      <c r="E3424" s="3" t="s">
        <v>68</v>
      </c>
      <c r="F3424" s="3" t="s">
        <v>147</v>
      </c>
      <c r="G3424" s="5">
        <v>5.0000000000000001E-3</v>
      </c>
      <c r="H3424" s="6" t="s">
        <v>58</v>
      </c>
      <c r="I3424" s="3" t="s">
        <v>45</v>
      </c>
    </row>
    <row r="3425" spans="1:9" ht="48" customHeight="1">
      <c r="A3425" s="3" t="s">
        <v>40</v>
      </c>
      <c r="B3425" s="3" t="s">
        <v>39</v>
      </c>
      <c r="C3425" s="4">
        <v>46082</v>
      </c>
      <c r="D3425" s="4">
        <v>46112</v>
      </c>
      <c r="E3425" s="3" t="s">
        <v>68</v>
      </c>
      <c r="F3425" s="3" t="s">
        <v>150</v>
      </c>
      <c r="G3425" s="5">
        <v>4.0000000000000001E-3</v>
      </c>
      <c r="H3425" s="6" t="s">
        <v>58</v>
      </c>
      <c r="I3425" s="3" t="s">
        <v>45</v>
      </c>
    </row>
    <row r="3426" spans="1:9" ht="48" customHeight="1">
      <c r="A3426" s="3" t="s">
        <v>40</v>
      </c>
      <c r="B3426" s="3" t="s">
        <v>39</v>
      </c>
      <c r="C3426" s="4">
        <v>46082</v>
      </c>
      <c r="D3426" s="4">
        <v>46112</v>
      </c>
      <c r="E3426" s="3" t="s">
        <v>68</v>
      </c>
      <c r="F3426" s="3" t="s">
        <v>151</v>
      </c>
      <c r="G3426" s="5">
        <v>3.0000000000000001E-3</v>
      </c>
      <c r="H3426" s="6" t="s">
        <v>58</v>
      </c>
      <c r="I3426" s="3" t="s">
        <v>45</v>
      </c>
    </row>
    <row r="3427" spans="1:9" ht="48" customHeight="1">
      <c r="A3427" s="3" t="s">
        <v>40</v>
      </c>
      <c r="B3427" s="3" t="s">
        <v>39</v>
      </c>
      <c r="C3427" s="4">
        <v>46082</v>
      </c>
      <c r="D3427" s="4">
        <v>46112</v>
      </c>
      <c r="E3427" s="3" t="s">
        <v>68</v>
      </c>
      <c r="F3427" s="3" t="s">
        <v>148</v>
      </c>
      <c r="G3427" s="5">
        <v>3.0000000000000001E-3</v>
      </c>
      <c r="H3427" s="6" t="s">
        <v>58</v>
      </c>
      <c r="I3427" s="3" t="s">
        <v>45</v>
      </c>
    </row>
    <row r="3428" spans="1:9" ht="48" customHeight="1">
      <c r="A3428" s="3" t="s">
        <v>40</v>
      </c>
      <c r="B3428" s="3" t="s">
        <v>39</v>
      </c>
      <c r="C3428" s="4">
        <v>46082</v>
      </c>
      <c r="D3428" s="4">
        <v>46112</v>
      </c>
      <c r="E3428" s="3" t="s">
        <v>68</v>
      </c>
      <c r="F3428" s="3" t="s">
        <v>149</v>
      </c>
      <c r="G3428" s="5">
        <v>2E-3</v>
      </c>
      <c r="H3428" s="6" t="s">
        <v>58</v>
      </c>
      <c r="I3428" s="3" t="s">
        <v>45</v>
      </c>
    </row>
    <row r="3429" spans="1:9" ht="48" customHeight="1">
      <c r="A3429" s="3" t="s">
        <v>40</v>
      </c>
      <c r="B3429" s="3" t="s">
        <v>39</v>
      </c>
      <c r="C3429" s="4">
        <v>46082</v>
      </c>
      <c r="D3429" s="4">
        <v>46112</v>
      </c>
      <c r="E3429" s="3" t="s">
        <v>68</v>
      </c>
      <c r="F3429" s="3" t="s">
        <v>155</v>
      </c>
      <c r="G3429" s="5">
        <v>1E-3</v>
      </c>
      <c r="H3429" s="6" t="s">
        <v>58</v>
      </c>
      <c r="I3429" s="3" t="s">
        <v>45</v>
      </c>
    </row>
    <row r="3430" spans="1:9" ht="48" customHeight="1">
      <c r="A3430" s="3" t="s">
        <v>40</v>
      </c>
      <c r="B3430" s="3" t="s">
        <v>39</v>
      </c>
      <c r="C3430" s="4">
        <v>46082</v>
      </c>
      <c r="D3430" s="4">
        <v>46112</v>
      </c>
      <c r="E3430" s="3" t="s">
        <v>68</v>
      </c>
      <c r="F3430" s="3" t="s">
        <v>152</v>
      </c>
      <c r="G3430" s="5">
        <v>1E-3</v>
      </c>
      <c r="H3430" s="6" t="s">
        <v>58</v>
      </c>
      <c r="I3430" s="3" t="s">
        <v>45</v>
      </c>
    </row>
    <row r="3431" spans="1:9" ht="48" customHeight="1">
      <c r="A3431" s="3" t="s">
        <v>40</v>
      </c>
      <c r="B3431" s="3" t="s">
        <v>39</v>
      </c>
      <c r="C3431" s="4">
        <v>46082</v>
      </c>
      <c r="D3431" s="4">
        <v>46112</v>
      </c>
      <c r="E3431" s="3" t="s">
        <v>68</v>
      </c>
      <c r="F3431" s="3" t="s">
        <v>157</v>
      </c>
      <c r="G3431" s="5">
        <v>1E-3</v>
      </c>
      <c r="H3431" s="6" t="s">
        <v>58</v>
      </c>
      <c r="I3431" s="3" t="s">
        <v>45</v>
      </c>
    </row>
    <row r="3432" spans="1:9" ht="48" customHeight="1">
      <c r="A3432" s="3" t="s">
        <v>40</v>
      </c>
      <c r="B3432" s="3" t="s">
        <v>39</v>
      </c>
      <c r="C3432" s="4">
        <v>46082</v>
      </c>
      <c r="D3432" s="4">
        <v>46112</v>
      </c>
      <c r="E3432" s="3" t="s">
        <v>68</v>
      </c>
      <c r="F3432" s="3" t="s">
        <v>160</v>
      </c>
      <c r="G3432" s="5">
        <v>1E-3</v>
      </c>
      <c r="H3432" s="6" t="s">
        <v>58</v>
      </c>
      <c r="I3432" s="3" t="s">
        <v>45</v>
      </c>
    </row>
    <row r="3433" spans="1:9" ht="48" customHeight="1">
      <c r="A3433" s="3" t="s">
        <v>40</v>
      </c>
      <c r="B3433" s="3" t="s">
        <v>39</v>
      </c>
      <c r="C3433" s="4">
        <v>46082</v>
      </c>
      <c r="D3433" s="4">
        <v>46112</v>
      </c>
      <c r="E3433" s="3" t="s">
        <v>68</v>
      </c>
      <c r="F3433" s="3" t="s">
        <v>146</v>
      </c>
      <c r="G3433" s="5">
        <v>1E-3</v>
      </c>
      <c r="H3433" s="6" t="s">
        <v>58</v>
      </c>
      <c r="I3433" s="3" t="s">
        <v>45</v>
      </c>
    </row>
    <row r="3434" spans="1:9" ht="48" customHeight="1">
      <c r="A3434" s="3" t="s">
        <v>40</v>
      </c>
      <c r="B3434" s="3" t="s">
        <v>39</v>
      </c>
      <c r="C3434" s="4">
        <v>46082</v>
      </c>
      <c r="D3434" s="4">
        <v>46112</v>
      </c>
      <c r="E3434" s="3" t="s">
        <v>68</v>
      </c>
      <c r="F3434" s="3" t="s">
        <v>66</v>
      </c>
      <c r="G3434" s="5">
        <v>1E-3</v>
      </c>
      <c r="H3434" s="6" t="s">
        <v>58</v>
      </c>
      <c r="I3434" s="3" t="s">
        <v>45</v>
      </c>
    </row>
    <row r="3435" spans="1:9" ht="48" customHeight="1">
      <c r="A3435" s="3" t="s">
        <v>40</v>
      </c>
      <c r="B3435" s="3" t="s">
        <v>39</v>
      </c>
      <c r="C3435" s="4">
        <v>46082</v>
      </c>
      <c r="D3435" s="4">
        <v>46112</v>
      </c>
      <c r="E3435" s="3" t="s">
        <v>68</v>
      </c>
      <c r="F3435" s="3" t="s">
        <v>154</v>
      </c>
      <c r="G3435" s="5">
        <v>1E-3</v>
      </c>
      <c r="H3435" s="6" t="s">
        <v>58</v>
      </c>
      <c r="I3435" s="3" t="s">
        <v>45</v>
      </c>
    </row>
    <row r="3436" spans="1:9" ht="48" customHeight="1">
      <c r="A3436" s="3" t="s">
        <v>40</v>
      </c>
      <c r="B3436" s="3" t="s">
        <v>39</v>
      </c>
      <c r="C3436" s="4">
        <v>46082</v>
      </c>
      <c r="D3436" s="4">
        <v>46112</v>
      </c>
      <c r="E3436" s="3" t="s">
        <v>68</v>
      </c>
      <c r="F3436" s="3" t="s">
        <v>159</v>
      </c>
      <c r="G3436" s="5">
        <v>0</v>
      </c>
      <c r="H3436" s="6" t="s">
        <v>58</v>
      </c>
      <c r="I3436" s="3" t="s">
        <v>45</v>
      </c>
    </row>
    <row r="3437" spans="1:9" ht="48" customHeight="1">
      <c r="A3437" s="3" t="s">
        <v>40</v>
      </c>
      <c r="B3437" s="3" t="s">
        <v>39</v>
      </c>
      <c r="C3437" s="4">
        <v>46082</v>
      </c>
      <c r="D3437" s="4">
        <v>46112</v>
      </c>
      <c r="E3437" s="3" t="s">
        <v>68</v>
      </c>
      <c r="F3437" s="3" t="s">
        <v>156</v>
      </c>
      <c r="G3437" s="5">
        <v>0</v>
      </c>
      <c r="H3437" s="6" t="s">
        <v>58</v>
      </c>
      <c r="I3437" s="3" t="s">
        <v>45</v>
      </c>
    </row>
    <row r="3438" spans="1:9" ht="48" customHeight="1">
      <c r="A3438" s="3" t="s">
        <v>40</v>
      </c>
      <c r="B3438" s="3" t="s">
        <v>39</v>
      </c>
      <c r="C3438" s="4">
        <v>46082</v>
      </c>
      <c r="D3438" s="4">
        <v>46112</v>
      </c>
      <c r="E3438" s="3" t="s">
        <v>68</v>
      </c>
      <c r="F3438" s="3" t="s">
        <v>158</v>
      </c>
      <c r="G3438" s="5">
        <v>0</v>
      </c>
      <c r="H3438" s="6" t="s">
        <v>58</v>
      </c>
      <c r="I3438" s="3" t="s">
        <v>45</v>
      </c>
    </row>
    <row r="3439" spans="1:9" ht="48" customHeight="1">
      <c r="A3439" s="3" t="s">
        <v>40</v>
      </c>
      <c r="B3439" s="3" t="s">
        <v>39</v>
      </c>
      <c r="C3439" s="4">
        <v>46082</v>
      </c>
      <c r="D3439" s="4">
        <v>46112</v>
      </c>
      <c r="E3439" s="3" t="s">
        <v>68</v>
      </c>
      <c r="F3439" s="3" t="s">
        <v>153</v>
      </c>
      <c r="G3439" s="5">
        <v>0</v>
      </c>
      <c r="H3439" s="6" t="s">
        <v>58</v>
      </c>
      <c r="I3439" s="3" t="s">
        <v>45</v>
      </c>
    </row>
    <row r="3440" spans="1:9" ht="48" customHeight="1">
      <c r="A3440" s="3" t="s">
        <v>40</v>
      </c>
      <c r="B3440" s="3" t="s">
        <v>39</v>
      </c>
      <c r="C3440" s="4">
        <v>46082</v>
      </c>
      <c r="D3440" s="4">
        <v>46112</v>
      </c>
      <c r="E3440" s="3" t="s">
        <v>364</v>
      </c>
      <c r="F3440" s="3" t="s">
        <v>366</v>
      </c>
      <c r="G3440" s="5">
        <v>4.0000000000000001E-3</v>
      </c>
      <c r="H3440" s="6" t="s">
        <v>58</v>
      </c>
      <c r="I3440" s="3" t="s">
        <v>45</v>
      </c>
    </row>
    <row r="3441" spans="1:9" ht="48" customHeight="1">
      <c r="A3441" s="3" t="s">
        <v>40</v>
      </c>
      <c r="B3441" s="3" t="s">
        <v>39</v>
      </c>
      <c r="C3441" s="4">
        <v>46082</v>
      </c>
      <c r="D3441" s="4">
        <v>46112</v>
      </c>
      <c r="E3441" s="3" t="s">
        <v>364</v>
      </c>
      <c r="F3441" s="3" t="s">
        <v>234</v>
      </c>
      <c r="G3441" s="5">
        <v>3.0000000000000001E-3</v>
      </c>
      <c r="H3441" s="6" t="s">
        <v>58</v>
      </c>
      <c r="I3441" s="3" t="s">
        <v>45</v>
      </c>
    </row>
    <row r="3442" spans="1:9" ht="48" customHeight="1">
      <c r="A3442" s="3" t="s">
        <v>40</v>
      </c>
      <c r="B3442" s="3" t="s">
        <v>39</v>
      </c>
      <c r="C3442" s="4">
        <v>46082</v>
      </c>
      <c r="D3442" s="4">
        <v>46112</v>
      </c>
      <c r="E3442" s="3" t="s">
        <v>364</v>
      </c>
      <c r="F3442" s="3" t="s">
        <v>262</v>
      </c>
      <c r="G3442" s="5">
        <v>3.0000000000000001E-3</v>
      </c>
      <c r="H3442" s="6" t="s">
        <v>58</v>
      </c>
      <c r="I3442" s="3" t="s">
        <v>45</v>
      </c>
    </row>
    <row r="3443" spans="1:9" ht="48" customHeight="1">
      <c r="A3443" s="3" t="s">
        <v>40</v>
      </c>
      <c r="B3443" s="3" t="s">
        <v>39</v>
      </c>
      <c r="C3443" s="4">
        <v>46082</v>
      </c>
      <c r="D3443" s="4">
        <v>46112</v>
      </c>
      <c r="E3443" s="3" t="s">
        <v>364</v>
      </c>
      <c r="F3443" s="3" t="s">
        <v>365</v>
      </c>
      <c r="G3443" s="5">
        <v>3.0000000000000001E-3</v>
      </c>
      <c r="H3443" s="6" t="s">
        <v>58</v>
      </c>
      <c r="I3443" s="3" t="s">
        <v>45</v>
      </c>
    </row>
    <row r="3444" spans="1:9" ht="48" customHeight="1">
      <c r="A3444" s="3" t="s">
        <v>40</v>
      </c>
      <c r="B3444" s="3" t="s">
        <v>39</v>
      </c>
      <c r="C3444" s="4">
        <v>46082</v>
      </c>
      <c r="D3444" s="4">
        <v>46112</v>
      </c>
      <c r="E3444" s="3" t="s">
        <v>364</v>
      </c>
      <c r="F3444" s="3" t="s">
        <v>367</v>
      </c>
      <c r="G3444" s="5">
        <v>2E-3</v>
      </c>
      <c r="H3444" s="6" t="s">
        <v>58</v>
      </c>
      <c r="I3444" s="3" t="s">
        <v>45</v>
      </c>
    </row>
    <row r="3445" spans="1:9" ht="48" customHeight="1">
      <c r="A3445" s="3" t="s">
        <v>40</v>
      </c>
      <c r="B3445" s="3" t="s">
        <v>39</v>
      </c>
      <c r="C3445" s="4">
        <v>46082</v>
      </c>
      <c r="D3445" s="4">
        <v>46112</v>
      </c>
      <c r="E3445" s="3" t="s">
        <v>364</v>
      </c>
      <c r="F3445" s="3" t="s">
        <v>230</v>
      </c>
      <c r="G3445" s="5">
        <v>1E-3</v>
      </c>
      <c r="H3445" s="6" t="s">
        <v>58</v>
      </c>
      <c r="I3445" s="3" t="s">
        <v>45</v>
      </c>
    </row>
    <row r="3446" spans="1:9" ht="48" customHeight="1">
      <c r="A3446" s="3" t="s">
        <v>40</v>
      </c>
      <c r="B3446" s="3" t="s">
        <v>39</v>
      </c>
      <c r="C3446" s="4">
        <v>46082</v>
      </c>
      <c r="D3446" s="4">
        <v>46112</v>
      </c>
      <c r="E3446" s="3" t="s">
        <v>364</v>
      </c>
      <c r="F3446" s="3" t="s">
        <v>232</v>
      </c>
      <c r="G3446" s="5">
        <v>1E-3</v>
      </c>
      <c r="H3446" s="6" t="s">
        <v>58</v>
      </c>
      <c r="I3446" s="3" t="s">
        <v>45</v>
      </c>
    </row>
    <row r="3447" spans="1:9" ht="48" customHeight="1">
      <c r="A3447" s="3" t="s">
        <v>40</v>
      </c>
      <c r="B3447" s="3" t="s">
        <v>39</v>
      </c>
      <c r="C3447" s="4">
        <v>46082</v>
      </c>
      <c r="D3447" s="4">
        <v>46112</v>
      </c>
      <c r="E3447" s="3" t="s">
        <v>364</v>
      </c>
      <c r="F3447" s="3" t="s">
        <v>265</v>
      </c>
      <c r="G3447" s="5">
        <v>1E-3</v>
      </c>
      <c r="H3447" s="6" t="s">
        <v>58</v>
      </c>
      <c r="I3447" s="3" t="s">
        <v>45</v>
      </c>
    </row>
    <row r="3448" spans="1:9" ht="48" customHeight="1">
      <c r="A3448" s="3" t="s">
        <v>40</v>
      </c>
      <c r="B3448" s="3" t="s">
        <v>39</v>
      </c>
      <c r="C3448" s="4">
        <v>46082</v>
      </c>
      <c r="D3448" s="4">
        <v>46112</v>
      </c>
      <c r="E3448" s="3" t="s">
        <v>364</v>
      </c>
      <c r="F3448" s="3" t="s">
        <v>79</v>
      </c>
      <c r="G3448" s="5">
        <v>0</v>
      </c>
      <c r="H3448" s="6" t="s">
        <v>58</v>
      </c>
      <c r="I3448" s="3" t="s">
        <v>45</v>
      </c>
    </row>
    <row r="3449" spans="1:9" ht="48" customHeight="1">
      <c r="A3449" s="3" t="s">
        <v>40</v>
      </c>
      <c r="B3449" s="3" t="s">
        <v>39</v>
      </c>
      <c r="C3449" s="4">
        <v>46082</v>
      </c>
      <c r="D3449" s="4">
        <v>46112</v>
      </c>
      <c r="E3449" s="3" t="s">
        <v>302</v>
      </c>
      <c r="F3449" s="3" t="s">
        <v>303</v>
      </c>
      <c r="G3449" s="5">
        <v>2E-3</v>
      </c>
      <c r="H3449" s="6" t="s">
        <v>58</v>
      </c>
      <c r="I3449" s="3" t="s">
        <v>45</v>
      </c>
    </row>
    <row r="3450" spans="1:9" ht="48" customHeight="1">
      <c r="A3450" s="3" t="s">
        <v>40</v>
      </c>
      <c r="B3450" s="3" t="s">
        <v>39</v>
      </c>
      <c r="C3450" s="4">
        <v>46082</v>
      </c>
      <c r="D3450" s="4">
        <v>46112</v>
      </c>
      <c r="E3450" s="3" t="s">
        <v>302</v>
      </c>
      <c r="F3450" s="3" t="s">
        <v>307</v>
      </c>
      <c r="G3450" s="5">
        <v>2E-3</v>
      </c>
      <c r="H3450" s="6" t="s">
        <v>58</v>
      </c>
      <c r="I3450" s="3" t="s">
        <v>45</v>
      </c>
    </row>
    <row r="3451" spans="1:9" ht="48" customHeight="1">
      <c r="A3451" s="3" t="s">
        <v>40</v>
      </c>
      <c r="B3451" s="3" t="s">
        <v>39</v>
      </c>
      <c r="C3451" s="4">
        <v>46082</v>
      </c>
      <c r="D3451" s="4">
        <v>46112</v>
      </c>
      <c r="E3451" s="3" t="s">
        <v>302</v>
      </c>
      <c r="F3451" s="3" t="s">
        <v>308</v>
      </c>
      <c r="G3451" s="5">
        <v>2E-3</v>
      </c>
      <c r="H3451" s="6" t="s">
        <v>58</v>
      </c>
      <c r="I3451" s="3" t="s">
        <v>45</v>
      </c>
    </row>
    <row r="3452" spans="1:9" ht="48" customHeight="1">
      <c r="A3452" s="3" t="s">
        <v>40</v>
      </c>
      <c r="B3452" s="3" t="s">
        <v>39</v>
      </c>
      <c r="C3452" s="4">
        <v>46082</v>
      </c>
      <c r="D3452" s="4">
        <v>46112</v>
      </c>
      <c r="E3452" s="3" t="s">
        <v>302</v>
      </c>
      <c r="F3452" s="3" t="s">
        <v>304</v>
      </c>
      <c r="G3452" s="5">
        <v>1E-3</v>
      </c>
      <c r="H3452" s="6" t="s">
        <v>58</v>
      </c>
      <c r="I3452" s="3" t="s">
        <v>45</v>
      </c>
    </row>
    <row r="3453" spans="1:9" ht="48" customHeight="1">
      <c r="A3453" s="3" t="s">
        <v>40</v>
      </c>
      <c r="B3453" s="3" t="s">
        <v>39</v>
      </c>
      <c r="C3453" s="4">
        <v>46082</v>
      </c>
      <c r="D3453" s="4">
        <v>46112</v>
      </c>
      <c r="E3453" s="3" t="s">
        <v>302</v>
      </c>
      <c r="F3453" s="3" t="s">
        <v>310</v>
      </c>
      <c r="G3453" s="5">
        <v>1E-3</v>
      </c>
      <c r="H3453" s="6" t="s">
        <v>58</v>
      </c>
      <c r="I3453" s="3" t="s">
        <v>45</v>
      </c>
    </row>
    <row r="3454" spans="1:9" ht="48" customHeight="1">
      <c r="A3454" s="3" t="s">
        <v>40</v>
      </c>
      <c r="B3454" s="3" t="s">
        <v>39</v>
      </c>
      <c r="C3454" s="4">
        <v>46082</v>
      </c>
      <c r="D3454" s="4">
        <v>46112</v>
      </c>
      <c r="E3454" s="3" t="s">
        <v>302</v>
      </c>
      <c r="F3454" s="3" t="s">
        <v>311</v>
      </c>
      <c r="G3454" s="5">
        <v>1E-3</v>
      </c>
      <c r="H3454" s="6" t="s">
        <v>58</v>
      </c>
      <c r="I3454" s="3" t="s">
        <v>45</v>
      </c>
    </row>
    <row r="3455" spans="1:9" ht="48" customHeight="1">
      <c r="A3455" s="3" t="s">
        <v>40</v>
      </c>
      <c r="B3455" s="3" t="s">
        <v>39</v>
      </c>
      <c r="C3455" s="4">
        <v>46082</v>
      </c>
      <c r="D3455" s="4">
        <v>46112</v>
      </c>
      <c r="E3455" s="3" t="s">
        <v>302</v>
      </c>
      <c r="F3455" s="3" t="s">
        <v>306</v>
      </c>
      <c r="G3455" s="5">
        <v>1E-3</v>
      </c>
      <c r="H3455" s="6" t="s">
        <v>58</v>
      </c>
      <c r="I3455" s="3" t="s">
        <v>45</v>
      </c>
    </row>
    <row r="3456" spans="1:9" ht="48" customHeight="1">
      <c r="A3456" s="3" t="s">
        <v>40</v>
      </c>
      <c r="B3456" s="3" t="s">
        <v>39</v>
      </c>
      <c r="C3456" s="4">
        <v>46082</v>
      </c>
      <c r="D3456" s="4">
        <v>46112</v>
      </c>
      <c r="E3456" s="3" t="s">
        <v>302</v>
      </c>
      <c r="F3456" s="3" t="s">
        <v>312</v>
      </c>
      <c r="G3456" s="5">
        <v>1E-3</v>
      </c>
      <c r="H3456" s="6" t="s">
        <v>58</v>
      </c>
      <c r="I3456" s="3" t="s">
        <v>45</v>
      </c>
    </row>
    <row r="3457" spans="1:9" ht="48" customHeight="1">
      <c r="A3457" s="3" t="s">
        <v>40</v>
      </c>
      <c r="B3457" s="3" t="s">
        <v>39</v>
      </c>
      <c r="C3457" s="4">
        <v>46082</v>
      </c>
      <c r="D3457" s="4">
        <v>46112</v>
      </c>
      <c r="E3457" s="3" t="s">
        <v>302</v>
      </c>
      <c r="F3457" s="3" t="s">
        <v>314</v>
      </c>
      <c r="G3457" s="5">
        <v>1E-3</v>
      </c>
      <c r="H3457" s="6" t="s">
        <v>58</v>
      </c>
      <c r="I3457" s="3" t="s">
        <v>45</v>
      </c>
    </row>
    <row r="3458" spans="1:9" ht="48" customHeight="1">
      <c r="A3458" s="3" t="s">
        <v>40</v>
      </c>
      <c r="B3458" s="3" t="s">
        <v>39</v>
      </c>
      <c r="C3458" s="4">
        <v>46082</v>
      </c>
      <c r="D3458" s="4">
        <v>46112</v>
      </c>
      <c r="E3458" s="3" t="s">
        <v>302</v>
      </c>
      <c r="F3458" s="3" t="s">
        <v>309</v>
      </c>
      <c r="G3458" s="5">
        <v>1E-3</v>
      </c>
      <c r="H3458" s="6" t="s">
        <v>58</v>
      </c>
      <c r="I3458" s="3" t="s">
        <v>45</v>
      </c>
    </row>
    <row r="3459" spans="1:9" ht="48" customHeight="1">
      <c r="A3459" s="3" t="s">
        <v>40</v>
      </c>
      <c r="B3459" s="3" t="s">
        <v>39</v>
      </c>
      <c r="C3459" s="4">
        <v>46082</v>
      </c>
      <c r="D3459" s="4">
        <v>46112</v>
      </c>
      <c r="E3459" s="3" t="s">
        <v>302</v>
      </c>
      <c r="F3459" s="3" t="s">
        <v>305</v>
      </c>
      <c r="G3459" s="5">
        <v>0</v>
      </c>
      <c r="H3459" s="6" t="s">
        <v>58</v>
      </c>
      <c r="I3459" s="3" t="s">
        <v>45</v>
      </c>
    </row>
    <row r="3460" spans="1:9" ht="48" customHeight="1">
      <c r="A3460" s="3" t="s">
        <v>40</v>
      </c>
      <c r="B3460" s="3" t="s">
        <v>39</v>
      </c>
      <c r="C3460" s="4">
        <v>46082</v>
      </c>
      <c r="D3460" s="4">
        <v>46112</v>
      </c>
      <c r="E3460" s="3" t="s">
        <v>302</v>
      </c>
      <c r="F3460" s="3" t="s">
        <v>313</v>
      </c>
      <c r="G3460" s="5">
        <v>0</v>
      </c>
      <c r="H3460" s="6" t="s">
        <v>58</v>
      </c>
      <c r="I3460" s="3" t="s">
        <v>45</v>
      </c>
    </row>
    <row r="3461" spans="1:9" ht="48" customHeight="1">
      <c r="A3461" s="3" t="s">
        <v>40</v>
      </c>
      <c r="B3461" s="3" t="s">
        <v>39</v>
      </c>
      <c r="C3461" s="4">
        <v>46082</v>
      </c>
      <c r="D3461" s="4">
        <v>46112</v>
      </c>
      <c r="E3461" s="3" t="s">
        <v>302</v>
      </c>
      <c r="F3461" s="3" t="s">
        <v>315</v>
      </c>
      <c r="G3461" s="5">
        <v>0</v>
      </c>
      <c r="H3461" s="6" t="s">
        <v>58</v>
      </c>
      <c r="I3461" s="3" t="s">
        <v>45</v>
      </c>
    </row>
    <row r="3462" spans="1:9" ht="48" customHeight="1">
      <c r="A3462" s="3" t="s">
        <v>40</v>
      </c>
      <c r="B3462" s="3" t="s">
        <v>39</v>
      </c>
      <c r="C3462" s="4">
        <v>46082</v>
      </c>
      <c r="D3462" s="4">
        <v>46112</v>
      </c>
      <c r="E3462" s="3" t="s">
        <v>302</v>
      </c>
      <c r="F3462" s="3" t="s">
        <v>316</v>
      </c>
      <c r="G3462" s="5">
        <v>0</v>
      </c>
      <c r="H3462" s="6" t="s">
        <v>58</v>
      </c>
      <c r="I3462" s="3" t="s">
        <v>45</v>
      </c>
    </row>
    <row r="3463" spans="1:9" ht="48" customHeight="1">
      <c r="A3463" s="3" t="s">
        <v>40</v>
      </c>
      <c r="B3463" s="3" t="s">
        <v>39</v>
      </c>
      <c r="C3463" s="4">
        <v>46082</v>
      </c>
      <c r="D3463" s="4">
        <v>46112</v>
      </c>
      <c r="E3463" s="3" t="s">
        <v>302</v>
      </c>
      <c r="F3463" s="3" t="s">
        <v>317</v>
      </c>
      <c r="G3463" s="5">
        <v>0</v>
      </c>
      <c r="H3463" s="6" t="s">
        <v>58</v>
      </c>
      <c r="I3463" s="3" t="s">
        <v>45</v>
      </c>
    </row>
    <row r="3464" spans="1:9" ht="48" customHeight="1">
      <c r="A3464" s="3" t="s">
        <v>40</v>
      </c>
      <c r="B3464" s="3" t="s">
        <v>39</v>
      </c>
      <c r="C3464" s="4">
        <v>46082</v>
      </c>
      <c r="D3464" s="4">
        <v>46112</v>
      </c>
      <c r="E3464" s="3" t="s">
        <v>302</v>
      </c>
      <c r="F3464" s="3" t="s">
        <v>318</v>
      </c>
      <c r="G3464" s="5">
        <v>0</v>
      </c>
      <c r="H3464" s="6" t="s">
        <v>58</v>
      </c>
      <c r="I3464" s="3" t="s">
        <v>45</v>
      </c>
    </row>
    <row r="3465" spans="1:9" ht="48" customHeight="1">
      <c r="A3465" s="3" t="s">
        <v>40</v>
      </c>
      <c r="B3465" s="3" t="s">
        <v>39</v>
      </c>
      <c r="C3465" s="4">
        <v>46082</v>
      </c>
      <c r="D3465" s="4">
        <v>46112</v>
      </c>
      <c r="E3465" s="3" t="s">
        <v>302</v>
      </c>
      <c r="F3465" s="3" t="s">
        <v>319</v>
      </c>
      <c r="G3465" s="5">
        <v>0</v>
      </c>
      <c r="H3465" s="6" t="s">
        <v>58</v>
      </c>
      <c r="I3465" s="3" t="s">
        <v>45</v>
      </c>
    </row>
    <row r="3466" spans="1:9" ht="48" customHeight="1">
      <c r="A3466" s="3" t="s">
        <v>40</v>
      </c>
      <c r="B3466" s="3" t="s">
        <v>39</v>
      </c>
      <c r="C3466" s="4">
        <v>46082</v>
      </c>
      <c r="D3466" s="4">
        <v>46112</v>
      </c>
      <c r="E3466" s="3" t="s">
        <v>302</v>
      </c>
      <c r="F3466" s="3" t="s">
        <v>320</v>
      </c>
      <c r="G3466" s="5">
        <v>0</v>
      </c>
      <c r="H3466" s="6" t="s">
        <v>58</v>
      </c>
      <c r="I3466" s="3" t="s">
        <v>45</v>
      </c>
    </row>
    <row r="3467" spans="1:9" ht="48" customHeight="1">
      <c r="A3467" s="3" t="s">
        <v>40</v>
      </c>
      <c r="B3467" s="3" t="s">
        <v>39</v>
      </c>
      <c r="C3467" s="4">
        <v>46082</v>
      </c>
      <c r="D3467" s="4">
        <v>46112</v>
      </c>
      <c r="E3467" s="3" t="s">
        <v>302</v>
      </c>
      <c r="F3467" s="3" t="s">
        <v>321</v>
      </c>
      <c r="G3467" s="5">
        <v>0</v>
      </c>
      <c r="H3467" s="6" t="s">
        <v>58</v>
      </c>
      <c r="I3467" s="3" t="s">
        <v>45</v>
      </c>
    </row>
    <row r="3468" spans="1:9" ht="48" customHeight="1">
      <c r="A3468" s="3" t="s">
        <v>40</v>
      </c>
      <c r="B3468" s="3" t="s">
        <v>39</v>
      </c>
      <c r="C3468" s="4">
        <v>46082</v>
      </c>
      <c r="D3468" s="4">
        <v>46112</v>
      </c>
      <c r="E3468" s="3" t="s">
        <v>302</v>
      </c>
      <c r="F3468" s="3" t="s">
        <v>322</v>
      </c>
      <c r="G3468" s="5">
        <v>0</v>
      </c>
      <c r="H3468" s="6" t="s">
        <v>58</v>
      </c>
      <c r="I3468" s="3" t="s">
        <v>45</v>
      </c>
    </row>
    <row r="3469" spans="1:9" ht="48" customHeight="1">
      <c r="A3469" s="3" t="s">
        <v>40</v>
      </c>
      <c r="B3469" s="3" t="s">
        <v>39</v>
      </c>
      <c r="C3469" s="4">
        <v>46082</v>
      </c>
      <c r="D3469" s="4">
        <v>46112</v>
      </c>
      <c r="E3469" s="3" t="s">
        <v>302</v>
      </c>
      <c r="F3469" s="3" t="s">
        <v>323</v>
      </c>
      <c r="G3469" s="5">
        <v>0</v>
      </c>
      <c r="H3469" s="6" t="s">
        <v>58</v>
      </c>
      <c r="I3469" s="3" t="s">
        <v>45</v>
      </c>
    </row>
    <row r="3470" spans="1:9" ht="48" customHeight="1">
      <c r="A3470" s="3" t="s">
        <v>40</v>
      </c>
      <c r="B3470" s="3" t="s">
        <v>39</v>
      </c>
      <c r="C3470" s="4">
        <v>46082</v>
      </c>
      <c r="D3470" s="4">
        <v>46112</v>
      </c>
      <c r="E3470" s="3" t="s">
        <v>302</v>
      </c>
      <c r="F3470" s="3" t="s">
        <v>324</v>
      </c>
      <c r="G3470" s="5">
        <v>0</v>
      </c>
      <c r="H3470" s="6" t="s">
        <v>58</v>
      </c>
      <c r="I3470" s="3" t="s">
        <v>45</v>
      </c>
    </row>
    <row r="3471" spans="1:9" ht="48" customHeight="1">
      <c r="A3471" s="3" t="s">
        <v>40</v>
      </c>
      <c r="B3471" s="3" t="s">
        <v>39</v>
      </c>
      <c r="C3471" s="4">
        <v>46082</v>
      </c>
      <c r="D3471" s="4">
        <v>46112</v>
      </c>
      <c r="E3471" s="3" t="s">
        <v>231</v>
      </c>
      <c r="F3471" s="3" t="s">
        <v>232</v>
      </c>
      <c r="G3471" s="5">
        <v>5.0000000000000001E-3</v>
      </c>
      <c r="H3471" s="6" t="s">
        <v>58</v>
      </c>
      <c r="I3471" s="3" t="s">
        <v>45</v>
      </c>
    </row>
    <row r="3472" spans="1:9" ht="48" customHeight="1">
      <c r="A3472" s="3" t="s">
        <v>40</v>
      </c>
      <c r="B3472" s="3" t="s">
        <v>39</v>
      </c>
      <c r="C3472" s="4">
        <v>46082</v>
      </c>
      <c r="D3472" s="4">
        <v>46112</v>
      </c>
      <c r="E3472" s="3" t="s">
        <v>231</v>
      </c>
      <c r="F3472" s="3" t="s">
        <v>233</v>
      </c>
      <c r="G3472" s="5">
        <v>4.0000000000000001E-3</v>
      </c>
      <c r="H3472" s="6" t="s">
        <v>58</v>
      </c>
      <c r="I3472" s="3" t="s">
        <v>45</v>
      </c>
    </row>
    <row r="3473" spans="1:9" ht="48" customHeight="1">
      <c r="A3473" s="3" t="s">
        <v>40</v>
      </c>
      <c r="B3473" s="3" t="s">
        <v>39</v>
      </c>
      <c r="C3473" s="4">
        <v>46082</v>
      </c>
      <c r="D3473" s="4">
        <v>46112</v>
      </c>
      <c r="E3473" s="3" t="s">
        <v>231</v>
      </c>
      <c r="F3473" s="3" t="s">
        <v>234</v>
      </c>
      <c r="G3473" s="5">
        <v>2E-3</v>
      </c>
      <c r="H3473" s="6" t="s">
        <v>58</v>
      </c>
      <c r="I3473" s="3" t="s">
        <v>45</v>
      </c>
    </row>
    <row r="3474" spans="1:9" ht="48" customHeight="1">
      <c r="A3474" s="3" t="s">
        <v>40</v>
      </c>
      <c r="B3474" s="3" t="s">
        <v>39</v>
      </c>
      <c r="C3474" s="4">
        <v>46082</v>
      </c>
      <c r="D3474" s="4">
        <v>46112</v>
      </c>
      <c r="E3474" s="3" t="s">
        <v>231</v>
      </c>
      <c r="F3474" s="3" t="s">
        <v>230</v>
      </c>
      <c r="G3474" s="5">
        <v>2E-3</v>
      </c>
      <c r="H3474" s="6" t="s">
        <v>58</v>
      </c>
      <c r="I3474" s="3" t="s">
        <v>45</v>
      </c>
    </row>
    <row r="3475" spans="1:9" ht="48" customHeight="1">
      <c r="A3475" s="3" t="s">
        <v>40</v>
      </c>
      <c r="B3475" s="3" t="s">
        <v>39</v>
      </c>
      <c r="C3475" s="4">
        <v>46082</v>
      </c>
      <c r="D3475" s="4">
        <v>46112</v>
      </c>
      <c r="E3475" s="3" t="s">
        <v>231</v>
      </c>
      <c r="F3475" s="3" t="s">
        <v>235</v>
      </c>
      <c r="G3475" s="5">
        <v>1E-3</v>
      </c>
      <c r="H3475" s="6" t="s">
        <v>58</v>
      </c>
      <c r="I3475" s="3" t="s">
        <v>45</v>
      </c>
    </row>
    <row r="3476" spans="1:9" ht="48" customHeight="1">
      <c r="A3476" s="3" t="s">
        <v>40</v>
      </c>
      <c r="B3476" s="3" t="s">
        <v>39</v>
      </c>
      <c r="C3476" s="4">
        <v>46082</v>
      </c>
      <c r="D3476" s="4">
        <v>46112</v>
      </c>
      <c r="E3476" s="3" t="s">
        <v>368</v>
      </c>
      <c r="F3476" s="3" t="s">
        <v>370</v>
      </c>
      <c r="G3476" s="5">
        <v>2E-3</v>
      </c>
      <c r="H3476" s="6" t="s">
        <v>58</v>
      </c>
      <c r="I3476" s="3" t="s">
        <v>45</v>
      </c>
    </row>
    <row r="3477" spans="1:9" ht="48" customHeight="1">
      <c r="A3477" s="3" t="s">
        <v>40</v>
      </c>
      <c r="B3477" s="3" t="s">
        <v>39</v>
      </c>
      <c r="C3477" s="4">
        <v>46082</v>
      </c>
      <c r="D3477" s="4">
        <v>46112</v>
      </c>
      <c r="E3477" s="3" t="s">
        <v>368</v>
      </c>
      <c r="F3477" s="3" t="s">
        <v>369</v>
      </c>
      <c r="G3477" s="5">
        <v>1E-3</v>
      </c>
      <c r="H3477" s="6" t="s">
        <v>58</v>
      </c>
      <c r="I3477" s="3" t="s">
        <v>45</v>
      </c>
    </row>
    <row r="3478" spans="1:9" ht="48" customHeight="1">
      <c r="A3478" s="3" t="s">
        <v>40</v>
      </c>
      <c r="B3478" s="3" t="s">
        <v>39</v>
      </c>
      <c r="C3478" s="4">
        <v>46082</v>
      </c>
      <c r="D3478" s="4">
        <v>46112</v>
      </c>
      <c r="E3478" s="3" t="s">
        <v>368</v>
      </c>
      <c r="F3478" s="3" t="s">
        <v>373</v>
      </c>
      <c r="G3478" s="5">
        <v>1E-3</v>
      </c>
      <c r="H3478" s="6" t="s">
        <v>58</v>
      </c>
      <c r="I3478" s="3" t="s">
        <v>45</v>
      </c>
    </row>
    <row r="3479" spans="1:9" ht="48" customHeight="1">
      <c r="A3479" s="3" t="s">
        <v>40</v>
      </c>
      <c r="B3479" s="3" t="s">
        <v>39</v>
      </c>
      <c r="C3479" s="4">
        <v>46082</v>
      </c>
      <c r="D3479" s="4">
        <v>46112</v>
      </c>
      <c r="E3479" s="3" t="s">
        <v>368</v>
      </c>
      <c r="F3479" s="3" t="s">
        <v>265</v>
      </c>
      <c r="G3479" s="5">
        <v>1E-3</v>
      </c>
      <c r="H3479" s="6" t="s">
        <v>58</v>
      </c>
      <c r="I3479" s="3" t="s">
        <v>45</v>
      </c>
    </row>
    <row r="3480" spans="1:9" ht="48" customHeight="1">
      <c r="A3480" s="3" t="s">
        <v>40</v>
      </c>
      <c r="B3480" s="3" t="s">
        <v>39</v>
      </c>
      <c r="C3480" s="4">
        <v>46082</v>
      </c>
      <c r="D3480" s="4">
        <v>46112</v>
      </c>
      <c r="E3480" s="3" t="s">
        <v>368</v>
      </c>
      <c r="F3480" s="3" t="s">
        <v>262</v>
      </c>
      <c r="G3480" s="5">
        <v>1E-3</v>
      </c>
      <c r="H3480" s="6" t="s">
        <v>58</v>
      </c>
      <c r="I3480" s="3" t="s">
        <v>45</v>
      </c>
    </row>
    <row r="3481" spans="1:9" ht="48" customHeight="1">
      <c r="A3481" s="3" t="s">
        <v>40</v>
      </c>
      <c r="B3481" s="3" t="s">
        <v>39</v>
      </c>
      <c r="C3481" s="4">
        <v>46082</v>
      </c>
      <c r="D3481" s="4">
        <v>46112</v>
      </c>
      <c r="E3481" s="3" t="s">
        <v>368</v>
      </c>
      <c r="F3481" s="3" t="s">
        <v>371</v>
      </c>
      <c r="G3481" s="5">
        <v>1E-3</v>
      </c>
      <c r="H3481" s="6" t="s">
        <v>58</v>
      </c>
      <c r="I3481" s="3" t="s">
        <v>45</v>
      </c>
    </row>
    <row r="3482" spans="1:9" ht="48" customHeight="1">
      <c r="A3482" s="3" t="s">
        <v>40</v>
      </c>
      <c r="B3482" s="3" t="s">
        <v>39</v>
      </c>
      <c r="C3482" s="4">
        <v>46082</v>
      </c>
      <c r="D3482" s="4">
        <v>46112</v>
      </c>
      <c r="E3482" s="3" t="s">
        <v>368</v>
      </c>
      <c r="F3482" s="3" t="s">
        <v>374</v>
      </c>
      <c r="G3482" s="5">
        <v>1E-3</v>
      </c>
      <c r="H3482" s="6" t="s">
        <v>58</v>
      </c>
      <c r="I3482" s="3" t="s">
        <v>45</v>
      </c>
    </row>
    <row r="3483" spans="1:9" ht="48" customHeight="1">
      <c r="A3483" s="3" t="s">
        <v>40</v>
      </c>
      <c r="B3483" s="3" t="s">
        <v>39</v>
      </c>
      <c r="C3483" s="4">
        <v>46082</v>
      </c>
      <c r="D3483" s="4">
        <v>46112</v>
      </c>
      <c r="E3483" s="3" t="s">
        <v>368</v>
      </c>
      <c r="F3483" s="3" t="s">
        <v>375</v>
      </c>
      <c r="G3483" s="5">
        <v>1E-3</v>
      </c>
      <c r="H3483" s="6" t="s">
        <v>58</v>
      </c>
      <c r="I3483" s="3" t="s">
        <v>45</v>
      </c>
    </row>
    <row r="3484" spans="1:9" ht="48" customHeight="1">
      <c r="A3484" s="3" t="s">
        <v>40</v>
      </c>
      <c r="B3484" s="3" t="s">
        <v>39</v>
      </c>
      <c r="C3484" s="4">
        <v>46082</v>
      </c>
      <c r="D3484" s="4">
        <v>46112</v>
      </c>
      <c r="E3484" s="3" t="s">
        <v>368</v>
      </c>
      <c r="F3484" s="3" t="s">
        <v>376</v>
      </c>
      <c r="G3484" s="5">
        <v>1E-3</v>
      </c>
      <c r="H3484" s="6" t="s">
        <v>58</v>
      </c>
      <c r="I3484" s="3" t="s">
        <v>45</v>
      </c>
    </row>
    <row r="3485" spans="1:9" ht="48" customHeight="1">
      <c r="A3485" s="3" t="s">
        <v>40</v>
      </c>
      <c r="B3485" s="3" t="s">
        <v>39</v>
      </c>
      <c r="C3485" s="4">
        <v>46082</v>
      </c>
      <c r="D3485" s="4">
        <v>46112</v>
      </c>
      <c r="E3485" s="3" t="s">
        <v>368</v>
      </c>
      <c r="F3485" s="3" t="s">
        <v>377</v>
      </c>
      <c r="G3485" s="5">
        <v>1E-3</v>
      </c>
      <c r="H3485" s="6" t="s">
        <v>58</v>
      </c>
      <c r="I3485" s="3" t="s">
        <v>45</v>
      </c>
    </row>
    <row r="3486" spans="1:9" ht="48" customHeight="1">
      <c r="A3486" s="3" t="s">
        <v>40</v>
      </c>
      <c r="B3486" s="3" t="s">
        <v>39</v>
      </c>
      <c r="C3486" s="4">
        <v>46082</v>
      </c>
      <c r="D3486" s="4">
        <v>46112</v>
      </c>
      <c r="E3486" s="3" t="s">
        <v>368</v>
      </c>
      <c r="F3486" s="3" t="s">
        <v>378</v>
      </c>
      <c r="G3486" s="5">
        <v>1E-3</v>
      </c>
      <c r="H3486" s="6" t="s">
        <v>58</v>
      </c>
      <c r="I3486" s="3" t="s">
        <v>45</v>
      </c>
    </row>
    <row r="3487" spans="1:9" ht="48" customHeight="1">
      <c r="A3487" s="3" t="s">
        <v>40</v>
      </c>
      <c r="B3487" s="3" t="s">
        <v>39</v>
      </c>
      <c r="C3487" s="4">
        <v>46082</v>
      </c>
      <c r="D3487" s="4">
        <v>46112</v>
      </c>
      <c r="E3487" s="3" t="s">
        <v>368</v>
      </c>
      <c r="F3487" s="3" t="s">
        <v>230</v>
      </c>
      <c r="G3487" s="5">
        <v>0</v>
      </c>
      <c r="H3487" s="6" t="s">
        <v>58</v>
      </c>
      <c r="I3487" s="3" t="s">
        <v>45</v>
      </c>
    </row>
    <row r="3488" spans="1:9" ht="48" customHeight="1">
      <c r="A3488" s="3" t="s">
        <v>40</v>
      </c>
      <c r="B3488" s="3" t="s">
        <v>39</v>
      </c>
      <c r="C3488" s="4">
        <v>46082</v>
      </c>
      <c r="D3488" s="4">
        <v>46112</v>
      </c>
      <c r="E3488" s="3" t="s">
        <v>368</v>
      </c>
      <c r="F3488" s="3" t="s">
        <v>232</v>
      </c>
      <c r="G3488" s="5">
        <v>0</v>
      </c>
      <c r="H3488" s="6" t="s">
        <v>58</v>
      </c>
      <c r="I3488" s="3" t="s">
        <v>45</v>
      </c>
    </row>
    <row r="3489" spans="1:9" ht="48" customHeight="1">
      <c r="A3489" s="3" t="s">
        <v>40</v>
      </c>
      <c r="B3489" s="3" t="s">
        <v>39</v>
      </c>
      <c r="C3489" s="4">
        <v>46082</v>
      </c>
      <c r="D3489" s="4">
        <v>46112</v>
      </c>
      <c r="E3489" s="3" t="s">
        <v>368</v>
      </c>
      <c r="F3489" s="3" t="s">
        <v>234</v>
      </c>
      <c r="G3489" s="5">
        <v>0</v>
      </c>
      <c r="H3489" s="6" t="s">
        <v>58</v>
      </c>
      <c r="I3489" s="3" t="s">
        <v>45</v>
      </c>
    </row>
    <row r="3490" spans="1:9" ht="48" customHeight="1">
      <c r="A3490" s="3" t="s">
        <v>40</v>
      </c>
      <c r="B3490" s="3" t="s">
        <v>39</v>
      </c>
      <c r="C3490" s="4">
        <v>46082</v>
      </c>
      <c r="D3490" s="4">
        <v>46112</v>
      </c>
      <c r="E3490" s="3" t="s">
        <v>368</v>
      </c>
      <c r="F3490" s="3" t="s">
        <v>372</v>
      </c>
      <c r="G3490" s="5">
        <v>0</v>
      </c>
      <c r="H3490" s="6" t="s">
        <v>58</v>
      </c>
      <c r="I3490" s="3" t="s">
        <v>45</v>
      </c>
    </row>
    <row r="3491" spans="1:9" ht="48" customHeight="1">
      <c r="A3491" s="3" t="s">
        <v>40</v>
      </c>
      <c r="B3491" s="3" t="s">
        <v>39</v>
      </c>
      <c r="C3491" s="4">
        <v>46082</v>
      </c>
      <c r="D3491" s="4">
        <v>46112</v>
      </c>
      <c r="E3491" s="3" t="s">
        <v>368</v>
      </c>
      <c r="F3491" s="3" t="s">
        <v>207</v>
      </c>
      <c r="G3491" s="5">
        <v>0</v>
      </c>
      <c r="H3491" s="6" t="s">
        <v>58</v>
      </c>
      <c r="I3491" s="3" t="s">
        <v>45</v>
      </c>
    </row>
    <row r="3492" spans="1:9" ht="48" customHeight="1">
      <c r="A3492" s="3" t="s">
        <v>40</v>
      </c>
      <c r="B3492" s="3" t="s">
        <v>39</v>
      </c>
      <c r="C3492" s="4">
        <v>46082</v>
      </c>
      <c r="D3492" s="4">
        <v>46112</v>
      </c>
      <c r="E3492" s="3" t="s">
        <v>260</v>
      </c>
      <c r="F3492" s="3" t="s">
        <v>232</v>
      </c>
      <c r="G3492" s="5">
        <v>1E-3</v>
      </c>
      <c r="H3492" s="6" t="s">
        <v>58</v>
      </c>
      <c r="I3492" s="3" t="s">
        <v>45</v>
      </c>
    </row>
    <row r="3493" spans="1:9" ht="48" customHeight="1">
      <c r="A3493" s="3" t="s">
        <v>40</v>
      </c>
      <c r="B3493" s="3" t="s">
        <v>39</v>
      </c>
      <c r="C3493" s="4">
        <v>46082</v>
      </c>
      <c r="D3493" s="4">
        <v>46112</v>
      </c>
      <c r="E3493" s="3" t="s">
        <v>260</v>
      </c>
      <c r="F3493" s="3" t="s">
        <v>262</v>
      </c>
      <c r="G3493" s="5">
        <v>1E-3</v>
      </c>
      <c r="H3493" s="6" t="s">
        <v>58</v>
      </c>
      <c r="I3493" s="3" t="s">
        <v>45</v>
      </c>
    </row>
    <row r="3494" spans="1:9" ht="48" customHeight="1">
      <c r="A3494" s="3" t="s">
        <v>40</v>
      </c>
      <c r="B3494" s="3" t="s">
        <v>39</v>
      </c>
      <c r="C3494" s="4">
        <v>46082</v>
      </c>
      <c r="D3494" s="4">
        <v>46112</v>
      </c>
      <c r="E3494" s="3" t="s">
        <v>260</v>
      </c>
      <c r="F3494" s="3" t="s">
        <v>261</v>
      </c>
      <c r="G3494" s="5">
        <v>1E-3</v>
      </c>
      <c r="H3494" s="6" t="s">
        <v>58</v>
      </c>
      <c r="I3494" s="3" t="s">
        <v>45</v>
      </c>
    </row>
    <row r="3495" spans="1:9" ht="48" customHeight="1">
      <c r="A3495" s="3" t="s">
        <v>40</v>
      </c>
      <c r="B3495" s="3" t="s">
        <v>39</v>
      </c>
      <c r="C3495" s="4">
        <v>46082</v>
      </c>
      <c r="D3495" s="4">
        <v>46112</v>
      </c>
      <c r="E3495" s="3" t="s">
        <v>260</v>
      </c>
      <c r="F3495" s="3" t="s">
        <v>263</v>
      </c>
      <c r="G3495" s="5">
        <v>1E-3</v>
      </c>
      <c r="H3495" s="6" t="s">
        <v>58</v>
      </c>
      <c r="I3495" s="3" t="s">
        <v>45</v>
      </c>
    </row>
    <row r="3496" spans="1:9" ht="48" customHeight="1">
      <c r="A3496" s="3" t="s">
        <v>40</v>
      </c>
      <c r="B3496" s="3" t="s">
        <v>39</v>
      </c>
      <c r="C3496" s="4">
        <v>46082</v>
      </c>
      <c r="D3496" s="4">
        <v>46112</v>
      </c>
      <c r="E3496" s="3" t="s">
        <v>260</v>
      </c>
      <c r="F3496" s="3" t="s">
        <v>264</v>
      </c>
      <c r="G3496" s="5">
        <v>1E-3</v>
      </c>
      <c r="H3496" s="6" t="s">
        <v>58</v>
      </c>
      <c r="I3496" s="3" t="s">
        <v>45</v>
      </c>
    </row>
    <row r="3497" spans="1:9" ht="48" customHeight="1">
      <c r="A3497" s="3" t="s">
        <v>40</v>
      </c>
      <c r="B3497" s="3" t="s">
        <v>39</v>
      </c>
      <c r="C3497" s="4">
        <v>46082</v>
      </c>
      <c r="D3497" s="4">
        <v>46112</v>
      </c>
      <c r="E3497" s="3" t="s">
        <v>260</v>
      </c>
      <c r="F3497" s="3" t="s">
        <v>268</v>
      </c>
      <c r="G3497" s="5">
        <v>1E-3</v>
      </c>
      <c r="H3497" s="6" t="s">
        <v>58</v>
      </c>
      <c r="I3497" s="3" t="s">
        <v>45</v>
      </c>
    </row>
    <row r="3498" spans="1:9" ht="48" customHeight="1">
      <c r="A3498" s="3" t="s">
        <v>40</v>
      </c>
      <c r="B3498" s="3" t="s">
        <v>39</v>
      </c>
      <c r="C3498" s="4">
        <v>46082</v>
      </c>
      <c r="D3498" s="4">
        <v>46112</v>
      </c>
      <c r="E3498" s="3" t="s">
        <v>260</v>
      </c>
      <c r="F3498" s="3" t="s">
        <v>234</v>
      </c>
      <c r="G3498" s="5">
        <v>0</v>
      </c>
      <c r="H3498" s="6" t="s">
        <v>58</v>
      </c>
      <c r="I3498" s="3" t="s">
        <v>45</v>
      </c>
    </row>
    <row r="3499" spans="1:9" ht="48" customHeight="1">
      <c r="A3499" s="3" t="s">
        <v>40</v>
      </c>
      <c r="B3499" s="3" t="s">
        <v>39</v>
      </c>
      <c r="C3499" s="4">
        <v>46082</v>
      </c>
      <c r="D3499" s="4">
        <v>46112</v>
      </c>
      <c r="E3499" s="3" t="s">
        <v>260</v>
      </c>
      <c r="F3499" s="3" t="s">
        <v>265</v>
      </c>
      <c r="G3499" s="5">
        <v>0</v>
      </c>
      <c r="H3499" s="6" t="s">
        <v>58</v>
      </c>
      <c r="I3499" s="3" t="s">
        <v>45</v>
      </c>
    </row>
    <row r="3500" spans="1:9" ht="48" customHeight="1">
      <c r="A3500" s="3" t="s">
        <v>40</v>
      </c>
      <c r="B3500" s="3" t="s">
        <v>39</v>
      </c>
      <c r="C3500" s="4">
        <v>46082</v>
      </c>
      <c r="D3500" s="4">
        <v>46112</v>
      </c>
      <c r="E3500" s="3" t="s">
        <v>260</v>
      </c>
      <c r="F3500" s="3" t="s">
        <v>266</v>
      </c>
      <c r="G3500" s="5">
        <v>0</v>
      </c>
      <c r="H3500" s="6" t="s">
        <v>58</v>
      </c>
      <c r="I3500" s="3" t="s">
        <v>45</v>
      </c>
    </row>
    <row r="3501" spans="1:9" ht="48" customHeight="1">
      <c r="A3501" s="3" t="s">
        <v>40</v>
      </c>
      <c r="B3501" s="3" t="s">
        <v>39</v>
      </c>
      <c r="C3501" s="4">
        <v>46082</v>
      </c>
      <c r="D3501" s="4">
        <v>46112</v>
      </c>
      <c r="E3501" s="3" t="s">
        <v>260</v>
      </c>
      <c r="F3501" s="3" t="s">
        <v>267</v>
      </c>
      <c r="G3501" s="5">
        <v>0</v>
      </c>
      <c r="H3501" s="6" t="s">
        <v>58</v>
      </c>
      <c r="I3501" s="3" t="s">
        <v>45</v>
      </c>
    </row>
    <row r="3502" spans="1:9" ht="48" customHeight="1">
      <c r="A3502" s="3" t="s">
        <v>40</v>
      </c>
      <c r="B3502" s="3" t="s">
        <v>39</v>
      </c>
      <c r="C3502" s="4">
        <v>46082</v>
      </c>
      <c r="D3502" s="4">
        <v>46112</v>
      </c>
      <c r="E3502" s="3" t="s">
        <v>260</v>
      </c>
      <c r="F3502" s="3" t="s">
        <v>273</v>
      </c>
      <c r="G3502" s="5">
        <v>0</v>
      </c>
      <c r="H3502" s="6" t="s">
        <v>58</v>
      </c>
      <c r="I3502" s="3" t="s">
        <v>45</v>
      </c>
    </row>
    <row r="3503" spans="1:9" ht="48" customHeight="1">
      <c r="A3503" s="3" t="s">
        <v>40</v>
      </c>
      <c r="B3503" s="3" t="s">
        <v>39</v>
      </c>
      <c r="C3503" s="4">
        <v>46082</v>
      </c>
      <c r="D3503" s="4">
        <v>46112</v>
      </c>
      <c r="E3503" s="3" t="s">
        <v>260</v>
      </c>
      <c r="F3503" s="3" t="s">
        <v>274</v>
      </c>
      <c r="G3503" s="5">
        <v>0</v>
      </c>
      <c r="H3503" s="6" t="s">
        <v>58</v>
      </c>
      <c r="I3503" s="3" t="s">
        <v>45</v>
      </c>
    </row>
    <row r="3504" spans="1:9" ht="48" customHeight="1">
      <c r="A3504" s="3" t="s">
        <v>40</v>
      </c>
      <c r="B3504" s="3" t="s">
        <v>39</v>
      </c>
      <c r="C3504" s="4">
        <v>46082</v>
      </c>
      <c r="D3504" s="4">
        <v>46112</v>
      </c>
      <c r="E3504" s="3" t="s">
        <v>260</v>
      </c>
      <c r="F3504" s="3" t="s">
        <v>275</v>
      </c>
      <c r="G3504" s="5">
        <v>0</v>
      </c>
      <c r="H3504" s="6" t="s">
        <v>58</v>
      </c>
      <c r="I3504" s="3" t="s">
        <v>45</v>
      </c>
    </row>
    <row r="3505" spans="1:9" ht="48" customHeight="1">
      <c r="A3505" s="3" t="s">
        <v>40</v>
      </c>
      <c r="B3505" s="3" t="s">
        <v>39</v>
      </c>
      <c r="C3505" s="4">
        <v>46082</v>
      </c>
      <c r="D3505" s="4">
        <v>46112</v>
      </c>
      <c r="E3505" s="3" t="s">
        <v>260</v>
      </c>
      <c r="F3505" s="3" t="s">
        <v>276</v>
      </c>
      <c r="G3505" s="5">
        <v>0</v>
      </c>
      <c r="H3505" s="6" t="s">
        <v>58</v>
      </c>
      <c r="I3505" s="3" t="s">
        <v>45</v>
      </c>
    </row>
    <row r="3506" spans="1:9" ht="48" customHeight="1">
      <c r="A3506" s="3" t="s">
        <v>40</v>
      </c>
      <c r="B3506" s="3" t="s">
        <v>39</v>
      </c>
      <c r="C3506" s="4">
        <v>46082</v>
      </c>
      <c r="D3506" s="4">
        <v>46112</v>
      </c>
      <c r="E3506" s="3" t="s">
        <v>260</v>
      </c>
      <c r="F3506" s="3" t="s">
        <v>277</v>
      </c>
      <c r="G3506" s="5">
        <v>0</v>
      </c>
      <c r="H3506" s="6" t="s">
        <v>58</v>
      </c>
      <c r="I3506" s="3" t="s">
        <v>45</v>
      </c>
    </row>
    <row r="3507" spans="1:9" ht="48" customHeight="1">
      <c r="A3507" s="3" t="s">
        <v>40</v>
      </c>
      <c r="B3507" s="3" t="s">
        <v>39</v>
      </c>
      <c r="C3507" s="4">
        <v>46082</v>
      </c>
      <c r="D3507" s="4">
        <v>46112</v>
      </c>
      <c r="E3507" s="3" t="s">
        <v>260</v>
      </c>
      <c r="F3507" s="3" t="s">
        <v>278</v>
      </c>
      <c r="G3507" s="5">
        <v>0</v>
      </c>
      <c r="H3507" s="6" t="s">
        <v>58</v>
      </c>
      <c r="I3507" s="3" t="s">
        <v>45</v>
      </c>
    </row>
    <row r="3508" spans="1:9" ht="48" customHeight="1">
      <c r="A3508" s="3" t="s">
        <v>40</v>
      </c>
      <c r="B3508" s="3" t="s">
        <v>39</v>
      </c>
      <c r="C3508" s="4">
        <v>46082</v>
      </c>
      <c r="D3508" s="4">
        <v>46112</v>
      </c>
      <c r="E3508" s="3" t="s">
        <v>260</v>
      </c>
      <c r="F3508" s="3" t="s">
        <v>269</v>
      </c>
      <c r="G3508" s="5">
        <v>0</v>
      </c>
      <c r="H3508" s="6" t="s">
        <v>58</v>
      </c>
      <c r="I3508" s="3" t="s">
        <v>45</v>
      </c>
    </row>
    <row r="3509" spans="1:9" ht="48" customHeight="1">
      <c r="A3509" s="3" t="s">
        <v>40</v>
      </c>
      <c r="B3509" s="3" t="s">
        <v>39</v>
      </c>
      <c r="C3509" s="4">
        <v>46082</v>
      </c>
      <c r="D3509" s="4">
        <v>46112</v>
      </c>
      <c r="E3509" s="3" t="s">
        <v>260</v>
      </c>
      <c r="F3509" s="3" t="s">
        <v>279</v>
      </c>
      <c r="G3509" s="5">
        <v>0</v>
      </c>
      <c r="H3509" s="6" t="s">
        <v>58</v>
      </c>
      <c r="I3509" s="3" t="s">
        <v>45</v>
      </c>
    </row>
    <row r="3510" spans="1:9" ht="48" customHeight="1">
      <c r="A3510" s="3" t="s">
        <v>40</v>
      </c>
      <c r="B3510" s="3" t="s">
        <v>39</v>
      </c>
      <c r="C3510" s="4">
        <v>46082</v>
      </c>
      <c r="D3510" s="4">
        <v>46112</v>
      </c>
      <c r="E3510" s="3" t="s">
        <v>260</v>
      </c>
      <c r="F3510" s="3" t="s">
        <v>270</v>
      </c>
      <c r="G3510" s="5">
        <v>0</v>
      </c>
      <c r="H3510" s="6" t="s">
        <v>58</v>
      </c>
      <c r="I3510" s="3" t="s">
        <v>45</v>
      </c>
    </row>
    <row r="3511" spans="1:9" ht="48" customHeight="1">
      <c r="A3511" s="3" t="s">
        <v>40</v>
      </c>
      <c r="B3511" s="3" t="s">
        <v>39</v>
      </c>
      <c r="C3511" s="4">
        <v>46082</v>
      </c>
      <c r="D3511" s="4">
        <v>46112</v>
      </c>
      <c r="E3511" s="3" t="s">
        <v>260</v>
      </c>
      <c r="F3511" s="3" t="s">
        <v>280</v>
      </c>
      <c r="G3511" s="5">
        <v>0</v>
      </c>
      <c r="H3511" s="6" t="s">
        <v>58</v>
      </c>
      <c r="I3511" s="3" t="s">
        <v>45</v>
      </c>
    </row>
    <row r="3512" spans="1:9" ht="48" customHeight="1">
      <c r="A3512" s="3" t="s">
        <v>40</v>
      </c>
      <c r="B3512" s="3" t="s">
        <v>39</v>
      </c>
      <c r="C3512" s="4">
        <v>46082</v>
      </c>
      <c r="D3512" s="4">
        <v>46112</v>
      </c>
      <c r="E3512" s="3" t="s">
        <v>260</v>
      </c>
      <c r="F3512" s="3" t="s">
        <v>271</v>
      </c>
      <c r="G3512" s="5">
        <v>0</v>
      </c>
      <c r="H3512" s="6" t="s">
        <v>58</v>
      </c>
      <c r="I3512" s="3" t="s">
        <v>45</v>
      </c>
    </row>
    <row r="3513" spans="1:9" ht="48" customHeight="1">
      <c r="A3513" s="3" t="s">
        <v>40</v>
      </c>
      <c r="B3513" s="3" t="s">
        <v>39</v>
      </c>
      <c r="C3513" s="4">
        <v>46082</v>
      </c>
      <c r="D3513" s="4">
        <v>46112</v>
      </c>
      <c r="E3513" s="3" t="s">
        <v>260</v>
      </c>
      <c r="F3513" s="3" t="s">
        <v>281</v>
      </c>
      <c r="G3513" s="5">
        <v>0</v>
      </c>
      <c r="H3513" s="6" t="s">
        <v>58</v>
      </c>
      <c r="I3513" s="3" t="s">
        <v>45</v>
      </c>
    </row>
    <row r="3514" spans="1:9" ht="48" customHeight="1">
      <c r="A3514" s="3" t="s">
        <v>40</v>
      </c>
      <c r="B3514" s="3" t="s">
        <v>39</v>
      </c>
      <c r="C3514" s="4">
        <v>46082</v>
      </c>
      <c r="D3514" s="4">
        <v>46112</v>
      </c>
      <c r="E3514" s="3" t="s">
        <v>260</v>
      </c>
      <c r="F3514" s="3" t="s">
        <v>272</v>
      </c>
      <c r="G3514" s="5">
        <v>0</v>
      </c>
      <c r="H3514" s="6" t="s">
        <v>58</v>
      </c>
      <c r="I3514" s="3" t="s">
        <v>45</v>
      </c>
    </row>
    <row r="3515" spans="1:9" ht="48" customHeight="1">
      <c r="A3515" s="3" t="s">
        <v>40</v>
      </c>
      <c r="B3515" s="3" t="s">
        <v>39</v>
      </c>
      <c r="C3515" s="4">
        <v>46082</v>
      </c>
      <c r="D3515" s="4">
        <v>46112</v>
      </c>
      <c r="E3515" s="3" t="s">
        <v>260</v>
      </c>
      <c r="F3515" s="3" t="s">
        <v>282</v>
      </c>
      <c r="G3515" s="5">
        <v>0</v>
      </c>
      <c r="H3515" s="6" t="s">
        <v>58</v>
      </c>
      <c r="I3515" s="3" t="s">
        <v>45</v>
      </c>
    </row>
    <row r="3516" spans="1:9" ht="48" customHeight="1">
      <c r="A3516" s="3" t="s">
        <v>40</v>
      </c>
      <c r="B3516" s="3" t="s">
        <v>39</v>
      </c>
      <c r="C3516" s="4">
        <v>46082</v>
      </c>
      <c r="D3516" s="4">
        <v>46112</v>
      </c>
      <c r="E3516" s="3" t="s">
        <v>260</v>
      </c>
      <c r="F3516" s="3" t="s">
        <v>283</v>
      </c>
      <c r="G3516" s="5">
        <v>0</v>
      </c>
      <c r="H3516" s="6" t="s">
        <v>58</v>
      </c>
      <c r="I3516" s="3" t="s">
        <v>45</v>
      </c>
    </row>
    <row r="3517" spans="1:9" ht="48" customHeight="1">
      <c r="A3517" s="3" t="s">
        <v>40</v>
      </c>
      <c r="B3517" s="3" t="s">
        <v>39</v>
      </c>
      <c r="C3517" s="4">
        <v>46082</v>
      </c>
      <c r="D3517" s="4">
        <v>46112</v>
      </c>
      <c r="E3517" s="3" t="s">
        <v>260</v>
      </c>
      <c r="F3517" s="3" t="s">
        <v>284</v>
      </c>
      <c r="G3517" s="5">
        <v>0</v>
      </c>
      <c r="H3517" s="6" t="s">
        <v>58</v>
      </c>
      <c r="I3517" s="3" t="s">
        <v>45</v>
      </c>
    </row>
    <row r="3518" spans="1:9" ht="48" customHeight="1">
      <c r="A3518" s="3" t="s">
        <v>40</v>
      </c>
      <c r="B3518" s="3" t="s">
        <v>39</v>
      </c>
      <c r="C3518" s="4">
        <v>46082</v>
      </c>
      <c r="D3518" s="4">
        <v>46112</v>
      </c>
      <c r="E3518" s="3" t="s">
        <v>260</v>
      </c>
      <c r="F3518" s="3" t="s">
        <v>285</v>
      </c>
      <c r="G3518" s="5">
        <v>0</v>
      </c>
      <c r="H3518" s="6" t="s">
        <v>58</v>
      </c>
      <c r="I3518" s="3" t="s">
        <v>45</v>
      </c>
    </row>
    <row r="3519" spans="1:9" ht="48" customHeight="1">
      <c r="A3519" s="3" t="s">
        <v>40</v>
      </c>
      <c r="B3519" s="3" t="s">
        <v>39</v>
      </c>
      <c r="C3519" s="4">
        <v>46082</v>
      </c>
      <c r="D3519" s="4">
        <v>46112</v>
      </c>
      <c r="E3519" s="3" t="s">
        <v>244</v>
      </c>
      <c r="F3519" s="3" t="s">
        <v>245</v>
      </c>
      <c r="G3519" s="5">
        <v>2E-3</v>
      </c>
      <c r="H3519" s="6" t="s">
        <v>58</v>
      </c>
      <c r="I3519" s="3" t="s">
        <v>45</v>
      </c>
    </row>
    <row r="3520" spans="1:9" ht="48" customHeight="1">
      <c r="A3520" s="3" t="s">
        <v>40</v>
      </c>
      <c r="B3520" s="3" t="s">
        <v>39</v>
      </c>
      <c r="C3520" s="4">
        <v>46082</v>
      </c>
      <c r="D3520" s="4">
        <v>46112</v>
      </c>
      <c r="E3520" s="3" t="s">
        <v>244</v>
      </c>
      <c r="F3520" s="3" t="s">
        <v>246</v>
      </c>
      <c r="G3520" s="5">
        <v>2E-3</v>
      </c>
      <c r="H3520" s="6" t="s">
        <v>58</v>
      </c>
      <c r="I3520" s="3" t="s">
        <v>45</v>
      </c>
    </row>
    <row r="3521" spans="1:9" ht="48" customHeight="1">
      <c r="A3521" s="3" t="s">
        <v>40</v>
      </c>
      <c r="B3521" s="3" t="s">
        <v>39</v>
      </c>
      <c r="C3521" s="4">
        <v>46082</v>
      </c>
      <c r="D3521" s="4">
        <v>46112</v>
      </c>
      <c r="E3521" s="3" t="s">
        <v>244</v>
      </c>
      <c r="F3521" s="3" t="s">
        <v>248</v>
      </c>
      <c r="G3521" s="5">
        <v>1E-3</v>
      </c>
      <c r="H3521" s="6" t="s">
        <v>58</v>
      </c>
      <c r="I3521" s="3" t="s">
        <v>45</v>
      </c>
    </row>
    <row r="3522" spans="1:9" ht="48" customHeight="1">
      <c r="A3522" s="3" t="s">
        <v>40</v>
      </c>
      <c r="B3522" s="3" t="s">
        <v>39</v>
      </c>
      <c r="C3522" s="4">
        <v>46082</v>
      </c>
      <c r="D3522" s="4">
        <v>46112</v>
      </c>
      <c r="E3522" s="3" t="s">
        <v>244</v>
      </c>
      <c r="F3522" s="3" t="s">
        <v>247</v>
      </c>
      <c r="G3522" s="5">
        <v>1E-3</v>
      </c>
      <c r="H3522" s="6" t="s">
        <v>58</v>
      </c>
      <c r="I3522" s="3" t="s">
        <v>45</v>
      </c>
    </row>
    <row r="3523" spans="1:9" ht="48" customHeight="1">
      <c r="A3523" s="3" t="s">
        <v>40</v>
      </c>
      <c r="B3523" s="3" t="s">
        <v>39</v>
      </c>
      <c r="C3523" s="4">
        <v>46082</v>
      </c>
      <c r="D3523" s="4">
        <v>46112</v>
      </c>
      <c r="E3523" s="3" t="s">
        <v>244</v>
      </c>
      <c r="F3523" s="3" t="s">
        <v>249</v>
      </c>
      <c r="G3523" s="5">
        <v>1E-3</v>
      </c>
      <c r="H3523" s="6" t="s">
        <v>58</v>
      </c>
      <c r="I3523" s="3" t="s">
        <v>45</v>
      </c>
    </row>
    <row r="3524" spans="1:9" ht="48" customHeight="1">
      <c r="A3524" s="3" t="s">
        <v>40</v>
      </c>
      <c r="B3524" s="3" t="s">
        <v>39</v>
      </c>
      <c r="C3524" s="4">
        <v>46082</v>
      </c>
      <c r="D3524" s="4">
        <v>46112</v>
      </c>
      <c r="E3524" s="3" t="s">
        <v>244</v>
      </c>
      <c r="F3524" s="3" t="s">
        <v>250</v>
      </c>
      <c r="G3524" s="5">
        <v>0</v>
      </c>
      <c r="H3524" s="6" t="s">
        <v>58</v>
      </c>
      <c r="I3524" s="3" t="s">
        <v>45</v>
      </c>
    </row>
    <row r="3525" spans="1:9" ht="48" customHeight="1">
      <c r="A3525" s="3" t="s">
        <v>40</v>
      </c>
      <c r="B3525" s="3" t="s">
        <v>39</v>
      </c>
      <c r="C3525" s="4">
        <v>46082</v>
      </c>
      <c r="D3525" s="4">
        <v>46112</v>
      </c>
      <c r="E3525" s="3" t="s">
        <v>244</v>
      </c>
      <c r="F3525" s="3" t="s">
        <v>251</v>
      </c>
      <c r="G3525" s="5">
        <v>0</v>
      </c>
      <c r="H3525" s="6" t="s">
        <v>58</v>
      </c>
      <c r="I3525" s="3" t="s">
        <v>45</v>
      </c>
    </row>
    <row r="3526" spans="1:9" ht="48" customHeight="1">
      <c r="A3526" s="3" t="s">
        <v>40</v>
      </c>
      <c r="B3526" s="3" t="s">
        <v>39</v>
      </c>
      <c r="C3526" s="4">
        <v>46082</v>
      </c>
      <c r="D3526" s="4">
        <v>46112</v>
      </c>
      <c r="E3526" s="3" t="s">
        <v>244</v>
      </c>
      <c r="F3526" s="3" t="s">
        <v>252</v>
      </c>
      <c r="G3526" s="5">
        <v>0</v>
      </c>
      <c r="H3526" s="6" t="s">
        <v>58</v>
      </c>
      <c r="I3526" s="3" t="s">
        <v>45</v>
      </c>
    </row>
    <row r="3527" spans="1:9" ht="48" customHeight="1">
      <c r="A3527" s="3" t="s">
        <v>40</v>
      </c>
      <c r="B3527" s="3" t="s">
        <v>39</v>
      </c>
      <c r="C3527" s="4">
        <v>46082</v>
      </c>
      <c r="D3527" s="4">
        <v>46112</v>
      </c>
      <c r="E3527" s="3" t="s">
        <v>244</v>
      </c>
      <c r="F3527" s="3" t="s">
        <v>255</v>
      </c>
      <c r="G3527" s="5">
        <v>0</v>
      </c>
      <c r="H3527" s="6" t="s">
        <v>58</v>
      </c>
      <c r="I3527" s="3" t="s">
        <v>45</v>
      </c>
    </row>
    <row r="3528" spans="1:9" ht="48" customHeight="1">
      <c r="A3528" s="3" t="s">
        <v>40</v>
      </c>
      <c r="B3528" s="3" t="s">
        <v>39</v>
      </c>
      <c r="C3528" s="4">
        <v>46082</v>
      </c>
      <c r="D3528" s="4">
        <v>46112</v>
      </c>
      <c r="E3528" s="3" t="s">
        <v>244</v>
      </c>
      <c r="F3528" s="3" t="s">
        <v>256</v>
      </c>
      <c r="G3528" s="5">
        <v>0</v>
      </c>
      <c r="H3528" s="6" t="s">
        <v>58</v>
      </c>
      <c r="I3528" s="3" t="s">
        <v>45</v>
      </c>
    </row>
    <row r="3529" spans="1:9" ht="48" customHeight="1">
      <c r="A3529" s="3" t="s">
        <v>40</v>
      </c>
      <c r="B3529" s="3" t="s">
        <v>39</v>
      </c>
      <c r="C3529" s="4">
        <v>46082</v>
      </c>
      <c r="D3529" s="4">
        <v>46112</v>
      </c>
      <c r="E3529" s="3" t="s">
        <v>244</v>
      </c>
      <c r="F3529" s="3" t="s">
        <v>257</v>
      </c>
      <c r="G3529" s="5">
        <v>0</v>
      </c>
      <c r="H3529" s="6" t="s">
        <v>58</v>
      </c>
      <c r="I3529" s="3" t="s">
        <v>45</v>
      </c>
    </row>
    <row r="3530" spans="1:9" ht="48" customHeight="1">
      <c r="A3530" s="3" t="s">
        <v>40</v>
      </c>
      <c r="B3530" s="3" t="s">
        <v>39</v>
      </c>
      <c r="C3530" s="4">
        <v>46082</v>
      </c>
      <c r="D3530" s="4">
        <v>46112</v>
      </c>
      <c r="E3530" s="3" t="s">
        <v>244</v>
      </c>
      <c r="F3530" s="3" t="s">
        <v>258</v>
      </c>
      <c r="G3530" s="5">
        <v>0</v>
      </c>
      <c r="H3530" s="6" t="s">
        <v>58</v>
      </c>
      <c r="I3530" s="3" t="s">
        <v>45</v>
      </c>
    </row>
    <row r="3531" spans="1:9" ht="48" customHeight="1">
      <c r="A3531" s="3" t="s">
        <v>40</v>
      </c>
      <c r="B3531" s="3" t="s">
        <v>39</v>
      </c>
      <c r="C3531" s="4">
        <v>46082</v>
      </c>
      <c r="D3531" s="4">
        <v>46112</v>
      </c>
      <c r="E3531" s="3" t="s">
        <v>244</v>
      </c>
      <c r="F3531" s="3" t="s">
        <v>259</v>
      </c>
      <c r="G3531" s="5">
        <v>0</v>
      </c>
      <c r="H3531" s="6" t="s">
        <v>58</v>
      </c>
      <c r="I3531" s="3" t="s">
        <v>45</v>
      </c>
    </row>
    <row r="3532" spans="1:9" ht="48" customHeight="1">
      <c r="A3532" s="3" t="s">
        <v>40</v>
      </c>
      <c r="B3532" s="3" t="s">
        <v>39</v>
      </c>
      <c r="C3532" s="4">
        <v>46082</v>
      </c>
      <c r="D3532" s="4">
        <v>46112</v>
      </c>
      <c r="E3532" s="3" t="s">
        <v>244</v>
      </c>
      <c r="F3532" s="3" t="s">
        <v>253</v>
      </c>
      <c r="G3532" s="5">
        <v>0</v>
      </c>
      <c r="H3532" s="6" t="s">
        <v>58</v>
      </c>
      <c r="I3532" s="3" t="s">
        <v>45</v>
      </c>
    </row>
    <row r="3533" spans="1:9" ht="48" customHeight="1">
      <c r="A3533" s="3" t="s">
        <v>40</v>
      </c>
      <c r="B3533" s="3" t="s">
        <v>39</v>
      </c>
      <c r="C3533" s="4">
        <v>46082</v>
      </c>
      <c r="D3533" s="4">
        <v>46112</v>
      </c>
      <c r="E3533" s="3" t="s">
        <v>244</v>
      </c>
      <c r="F3533" s="3" t="s">
        <v>254</v>
      </c>
      <c r="G3533" s="5">
        <v>0</v>
      </c>
      <c r="H3533" s="6" t="s">
        <v>58</v>
      </c>
      <c r="I3533" s="3" t="s">
        <v>45</v>
      </c>
    </row>
    <row r="3534" spans="1:9" ht="48" customHeight="1">
      <c r="A3534" s="3" t="s">
        <v>40</v>
      </c>
      <c r="B3534" s="3" t="s">
        <v>39</v>
      </c>
      <c r="C3534" s="4">
        <v>46082</v>
      </c>
      <c r="D3534" s="4">
        <v>46112</v>
      </c>
      <c r="E3534" s="3" t="s">
        <v>379</v>
      </c>
      <c r="F3534" s="3" t="s">
        <v>265</v>
      </c>
      <c r="G3534" s="5">
        <v>2E-3</v>
      </c>
      <c r="H3534" s="6" t="s">
        <v>58</v>
      </c>
      <c r="I3534" s="3" t="s">
        <v>45</v>
      </c>
    </row>
    <row r="3535" spans="1:9" ht="48" customHeight="1">
      <c r="A3535" s="3" t="s">
        <v>40</v>
      </c>
      <c r="B3535" s="3" t="s">
        <v>39</v>
      </c>
      <c r="C3535" s="4">
        <v>46082</v>
      </c>
      <c r="D3535" s="4">
        <v>46112</v>
      </c>
      <c r="E3535" s="3" t="s">
        <v>379</v>
      </c>
      <c r="F3535" s="3" t="s">
        <v>380</v>
      </c>
      <c r="G3535" s="5">
        <v>2E-3</v>
      </c>
      <c r="H3535" s="6" t="s">
        <v>58</v>
      </c>
      <c r="I3535" s="3" t="s">
        <v>45</v>
      </c>
    </row>
    <row r="3536" spans="1:9" ht="48" customHeight="1">
      <c r="A3536" s="3" t="s">
        <v>40</v>
      </c>
      <c r="B3536" s="3" t="s">
        <v>39</v>
      </c>
      <c r="C3536" s="4">
        <v>46082</v>
      </c>
      <c r="D3536" s="4">
        <v>46112</v>
      </c>
      <c r="E3536" s="3" t="s">
        <v>379</v>
      </c>
      <c r="F3536" s="3" t="s">
        <v>230</v>
      </c>
      <c r="G3536" s="5">
        <v>1E-3</v>
      </c>
      <c r="H3536" s="6" t="s">
        <v>58</v>
      </c>
      <c r="I3536" s="3" t="s">
        <v>45</v>
      </c>
    </row>
    <row r="3537" spans="1:9" ht="48" customHeight="1">
      <c r="A3537" s="3" t="s">
        <v>40</v>
      </c>
      <c r="B3537" s="3" t="s">
        <v>39</v>
      </c>
      <c r="C3537" s="4">
        <v>46082</v>
      </c>
      <c r="D3537" s="4">
        <v>46112</v>
      </c>
      <c r="E3537" s="3" t="s">
        <v>379</v>
      </c>
      <c r="F3537" s="3" t="s">
        <v>234</v>
      </c>
      <c r="G3537" s="5">
        <v>1E-3</v>
      </c>
      <c r="H3537" s="6" t="s">
        <v>58</v>
      </c>
      <c r="I3537" s="3" t="s">
        <v>45</v>
      </c>
    </row>
    <row r="3538" spans="1:9" ht="48" customHeight="1">
      <c r="A3538" s="3" t="s">
        <v>40</v>
      </c>
      <c r="B3538" s="3" t="s">
        <v>39</v>
      </c>
      <c r="C3538" s="4">
        <v>46082</v>
      </c>
      <c r="D3538" s="4">
        <v>46112</v>
      </c>
      <c r="E3538" s="3" t="s">
        <v>379</v>
      </c>
      <c r="F3538" s="3" t="s">
        <v>262</v>
      </c>
      <c r="G3538" s="5">
        <v>1E-3</v>
      </c>
      <c r="H3538" s="6" t="s">
        <v>58</v>
      </c>
      <c r="I3538" s="3" t="s">
        <v>45</v>
      </c>
    </row>
    <row r="3539" spans="1:9" ht="48" customHeight="1">
      <c r="A3539" s="3" t="s">
        <v>40</v>
      </c>
      <c r="B3539" s="3" t="s">
        <v>39</v>
      </c>
      <c r="C3539" s="4">
        <v>46082</v>
      </c>
      <c r="D3539" s="4">
        <v>46112</v>
      </c>
      <c r="E3539" s="3" t="s">
        <v>301</v>
      </c>
      <c r="F3539" s="3" t="s">
        <v>301</v>
      </c>
      <c r="G3539" s="5">
        <v>5.0000000000000001E-3</v>
      </c>
      <c r="H3539" s="6" t="s">
        <v>58</v>
      </c>
      <c r="I3539" s="3" t="s">
        <v>45</v>
      </c>
    </row>
    <row r="3540" spans="1:9" ht="48" customHeight="1">
      <c r="A3540" s="3" t="s">
        <v>40</v>
      </c>
      <c r="B3540" s="3" t="s">
        <v>39</v>
      </c>
      <c r="C3540" s="4">
        <v>46082</v>
      </c>
      <c r="D3540" s="4">
        <v>46112</v>
      </c>
      <c r="E3540" s="3" t="s">
        <v>381</v>
      </c>
      <c r="F3540" s="3" t="s">
        <v>382</v>
      </c>
      <c r="G3540" s="5">
        <v>2E-3</v>
      </c>
      <c r="H3540" s="6" t="s">
        <v>58</v>
      </c>
      <c r="I3540" s="3" t="s">
        <v>45</v>
      </c>
    </row>
    <row r="3541" spans="1:9" ht="48" customHeight="1">
      <c r="A3541" s="3" t="s">
        <v>40</v>
      </c>
      <c r="B3541" s="3" t="s">
        <v>39</v>
      </c>
      <c r="C3541" s="4">
        <v>46082</v>
      </c>
      <c r="D3541" s="4">
        <v>46112</v>
      </c>
      <c r="E3541" s="3" t="s">
        <v>381</v>
      </c>
      <c r="F3541" s="3" t="s">
        <v>383</v>
      </c>
      <c r="G3541" s="5">
        <v>1E-3</v>
      </c>
      <c r="H3541" s="6" t="s">
        <v>58</v>
      </c>
      <c r="I3541" s="3" t="s">
        <v>45</v>
      </c>
    </row>
    <row r="3542" spans="1:9" ht="48" customHeight="1">
      <c r="A3542" s="3" t="s">
        <v>40</v>
      </c>
      <c r="B3542" s="3" t="s">
        <v>39</v>
      </c>
      <c r="C3542" s="4">
        <v>46113</v>
      </c>
      <c r="D3542" s="4">
        <v>46142</v>
      </c>
      <c r="E3542" s="3" t="s">
        <v>47</v>
      </c>
      <c r="F3542" s="3" t="s">
        <v>348</v>
      </c>
      <c r="G3542" s="5">
        <v>7.5999999999999998E-2</v>
      </c>
      <c r="H3542" s="6" t="s">
        <v>59</v>
      </c>
      <c r="I3542" s="3" t="s">
        <v>45</v>
      </c>
    </row>
    <row r="3543" spans="1:9" ht="48" customHeight="1">
      <c r="A3543" s="3" t="s">
        <v>40</v>
      </c>
      <c r="B3543" s="3" t="s">
        <v>39</v>
      </c>
      <c r="C3543" s="4">
        <v>46113</v>
      </c>
      <c r="D3543" s="4">
        <v>46142</v>
      </c>
      <c r="E3543" s="3" t="s">
        <v>47</v>
      </c>
      <c r="F3543" s="3" t="s">
        <v>358</v>
      </c>
      <c r="G3543" s="5">
        <v>5.7999999999999996E-2</v>
      </c>
      <c r="H3543" s="6" t="s">
        <v>59</v>
      </c>
      <c r="I3543" s="3" t="s">
        <v>45</v>
      </c>
    </row>
    <row r="3544" spans="1:9" ht="48" customHeight="1">
      <c r="A3544" s="3" t="s">
        <v>40</v>
      </c>
      <c r="B3544" s="3" t="s">
        <v>39</v>
      </c>
      <c r="C3544" s="4">
        <v>46113</v>
      </c>
      <c r="D3544" s="4">
        <v>46142</v>
      </c>
      <c r="E3544" s="3" t="s">
        <v>47</v>
      </c>
      <c r="F3544" s="3" t="s">
        <v>357</v>
      </c>
      <c r="G3544" s="5">
        <v>3.3000000000000002E-2</v>
      </c>
      <c r="H3544" s="6" t="s">
        <v>59</v>
      </c>
      <c r="I3544" s="3" t="s">
        <v>45</v>
      </c>
    </row>
    <row r="3545" spans="1:9" ht="48" customHeight="1">
      <c r="A3545" s="3" t="s">
        <v>40</v>
      </c>
      <c r="B3545" s="3" t="s">
        <v>39</v>
      </c>
      <c r="C3545" s="4">
        <v>46113</v>
      </c>
      <c r="D3545" s="4">
        <v>46142</v>
      </c>
      <c r="E3545" s="3" t="s">
        <v>47</v>
      </c>
      <c r="F3545" s="3" t="s">
        <v>352</v>
      </c>
      <c r="G3545" s="5">
        <v>3.2000000000000001E-2</v>
      </c>
      <c r="H3545" s="6" t="s">
        <v>59</v>
      </c>
      <c r="I3545" s="3" t="s">
        <v>45</v>
      </c>
    </row>
    <row r="3546" spans="1:9" ht="48" customHeight="1">
      <c r="A3546" s="3" t="s">
        <v>40</v>
      </c>
      <c r="B3546" s="3" t="s">
        <v>39</v>
      </c>
      <c r="C3546" s="4">
        <v>46113</v>
      </c>
      <c r="D3546" s="4">
        <v>46142</v>
      </c>
      <c r="E3546" s="3" t="s">
        <v>47</v>
      </c>
      <c r="F3546" s="3" t="s">
        <v>349</v>
      </c>
      <c r="G3546" s="5">
        <v>1.8000000000000002E-2</v>
      </c>
      <c r="H3546" s="6" t="s">
        <v>59</v>
      </c>
      <c r="I3546" s="3" t="s">
        <v>45</v>
      </c>
    </row>
    <row r="3547" spans="1:9" ht="48" customHeight="1">
      <c r="A3547" s="3" t="s">
        <v>40</v>
      </c>
      <c r="B3547" s="3" t="s">
        <v>39</v>
      </c>
      <c r="C3547" s="4">
        <v>46113</v>
      </c>
      <c r="D3547" s="4">
        <v>46142</v>
      </c>
      <c r="E3547" s="3" t="s">
        <v>47</v>
      </c>
      <c r="F3547" s="3" t="s">
        <v>350</v>
      </c>
      <c r="G3547" s="5">
        <v>1.3000000000000001E-2</v>
      </c>
      <c r="H3547" s="6" t="s">
        <v>59</v>
      </c>
      <c r="I3547" s="3" t="s">
        <v>45</v>
      </c>
    </row>
    <row r="3548" spans="1:9" ht="48" customHeight="1">
      <c r="A3548" s="3" t="s">
        <v>40</v>
      </c>
      <c r="B3548" s="3" t="s">
        <v>39</v>
      </c>
      <c r="C3548" s="4">
        <v>46113</v>
      </c>
      <c r="D3548" s="4">
        <v>46142</v>
      </c>
      <c r="E3548" s="3" t="s">
        <v>47</v>
      </c>
      <c r="F3548" s="3" t="s">
        <v>351</v>
      </c>
      <c r="G3548" s="5">
        <v>8.0000000000000002E-3</v>
      </c>
      <c r="H3548" s="6" t="s">
        <v>59</v>
      </c>
      <c r="I3548" s="3" t="s">
        <v>45</v>
      </c>
    </row>
    <row r="3549" spans="1:9" ht="48" customHeight="1">
      <c r="A3549" s="3" t="s">
        <v>40</v>
      </c>
      <c r="B3549" s="3" t="s">
        <v>39</v>
      </c>
      <c r="C3549" s="4">
        <v>46113</v>
      </c>
      <c r="D3549" s="4">
        <v>46142</v>
      </c>
      <c r="E3549" s="3" t="s">
        <v>47</v>
      </c>
      <c r="F3549" s="3" t="s">
        <v>354</v>
      </c>
      <c r="G3549" s="5">
        <v>6.9999999999999993E-3</v>
      </c>
      <c r="H3549" s="6" t="s">
        <v>59</v>
      </c>
      <c r="I3549" s="3" t="s">
        <v>45</v>
      </c>
    </row>
    <row r="3550" spans="1:9" ht="48" customHeight="1">
      <c r="A3550" s="3" t="s">
        <v>40</v>
      </c>
      <c r="B3550" s="3" t="s">
        <v>39</v>
      </c>
      <c r="C3550" s="4">
        <v>46113</v>
      </c>
      <c r="D3550" s="4">
        <v>46142</v>
      </c>
      <c r="E3550" s="3" t="s">
        <v>47</v>
      </c>
      <c r="F3550" s="3" t="s">
        <v>356</v>
      </c>
      <c r="G3550" s="5">
        <v>6.0000000000000001E-3</v>
      </c>
      <c r="H3550" s="6" t="s">
        <v>59</v>
      </c>
      <c r="I3550" s="3" t="s">
        <v>45</v>
      </c>
    </row>
    <row r="3551" spans="1:9" ht="48" customHeight="1">
      <c r="A3551" s="3" t="s">
        <v>40</v>
      </c>
      <c r="B3551" s="3" t="s">
        <v>39</v>
      </c>
      <c r="C3551" s="4">
        <v>46113</v>
      </c>
      <c r="D3551" s="4">
        <v>46142</v>
      </c>
      <c r="E3551" s="3" t="s">
        <v>47</v>
      </c>
      <c r="F3551" s="3" t="s">
        <v>353</v>
      </c>
      <c r="G3551" s="5">
        <v>4.0000000000000001E-3</v>
      </c>
      <c r="H3551" s="6" t="s">
        <v>59</v>
      </c>
      <c r="I3551" s="3" t="s">
        <v>45</v>
      </c>
    </row>
    <row r="3552" spans="1:9" ht="48" customHeight="1">
      <c r="A3552" s="3" t="s">
        <v>40</v>
      </c>
      <c r="B3552" s="3" t="s">
        <v>39</v>
      </c>
      <c r="C3552" s="4">
        <v>46113</v>
      </c>
      <c r="D3552" s="4">
        <v>46142</v>
      </c>
      <c r="E3552" s="3" t="s">
        <v>47</v>
      </c>
      <c r="F3552" s="3" t="s">
        <v>355</v>
      </c>
      <c r="G3552" s="5">
        <v>3.0000000000000001E-3</v>
      </c>
      <c r="H3552" s="6" t="s">
        <v>59</v>
      </c>
      <c r="I3552" s="3" t="s">
        <v>45</v>
      </c>
    </row>
    <row r="3553" spans="1:9" ht="48" customHeight="1">
      <c r="A3553" s="3" t="s">
        <v>40</v>
      </c>
      <c r="B3553" s="3" t="s">
        <v>39</v>
      </c>
      <c r="C3553" s="4">
        <v>46113</v>
      </c>
      <c r="D3553" s="4">
        <v>46142</v>
      </c>
      <c r="E3553" s="3" t="s">
        <v>47</v>
      </c>
      <c r="F3553" s="3" t="s">
        <v>361</v>
      </c>
      <c r="G3553" s="5">
        <v>2E-3</v>
      </c>
      <c r="H3553" s="6" t="s">
        <v>59</v>
      </c>
      <c r="I3553" s="3" t="s">
        <v>45</v>
      </c>
    </row>
    <row r="3554" spans="1:9" ht="48" customHeight="1">
      <c r="A3554" s="3" t="s">
        <v>40</v>
      </c>
      <c r="B3554" s="3" t="s">
        <v>39</v>
      </c>
      <c r="C3554" s="4">
        <v>46113</v>
      </c>
      <c r="D3554" s="4">
        <v>46142</v>
      </c>
      <c r="E3554" s="3" t="s">
        <v>47</v>
      </c>
      <c r="F3554" s="3" t="s">
        <v>362</v>
      </c>
      <c r="G3554" s="5">
        <v>2E-3</v>
      </c>
      <c r="H3554" s="6" t="s">
        <v>59</v>
      </c>
      <c r="I3554" s="3" t="s">
        <v>45</v>
      </c>
    </row>
    <row r="3555" spans="1:9" ht="48" customHeight="1">
      <c r="A3555" s="3" t="s">
        <v>40</v>
      </c>
      <c r="B3555" s="3" t="s">
        <v>39</v>
      </c>
      <c r="C3555" s="4">
        <v>46113</v>
      </c>
      <c r="D3555" s="4">
        <v>46142</v>
      </c>
      <c r="E3555" s="3" t="s">
        <v>47</v>
      </c>
      <c r="F3555" s="3" t="s">
        <v>318</v>
      </c>
      <c r="G3555" s="5">
        <v>2E-3</v>
      </c>
      <c r="H3555" s="6" t="s">
        <v>59</v>
      </c>
      <c r="I3555" s="3" t="s">
        <v>45</v>
      </c>
    </row>
    <row r="3556" spans="1:9" ht="48" customHeight="1">
      <c r="A3556" s="3" t="s">
        <v>40</v>
      </c>
      <c r="B3556" s="3" t="s">
        <v>39</v>
      </c>
      <c r="C3556" s="4">
        <v>46113</v>
      </c>
      <c r="D3556" s="4">
        <v>46142</v>
      </c>
      <c r="E3556" s="3" t="s">
        <v>47</v>
      </c>
      <c r="F3556" s="3" t="s">
        <v>363</v>
      </c>
      <c r="G3556" s="5">
        <v>2E-3</v>
      </c>
      <c r="H3556" s="6" t="s">
        <v>59</v>
      </c>
      <c r="I3556" s="3" t="s">
        <v>45</v>
      </c>
    </row>
    <row r="3557" spans="1:9" ht="48" customHeight="1">
      <c r="A3557" s="3" t="s">
        <v>40</v>
      </c>
      <c r="B3557" s="3" t="s">
        <v>39</v>
      </c>
      <c r="C3557" s="4">
        <v>46113</v>
      </c>
      <c r="D3557" s="4">
        <v>46142</v>
      </c>
      <c r="E3557" s="3" t="s">
        <v>47</v>
      </c>
      <c r="F3557" s="3" t="s">
        <v>359</v>
      </c>
      <c r="G3557" s="5">
        <v>1E-3</v>
      </c>
      <c r="H3557" s="6" t="s">
        <v>59</v>
      </c>
      <c r="I3557" s="3" t="s">
        <v>45</v>
      </c>
    </row>
    <row r="3558" spans="1:9" ht="48" customHeight="1">
      <c r="A3558" s="3" t="s">
        <v>40</v>
      </c>
      <c r="B3558" s="3" t="s">
        <v>39</v>
      </c>
      <c r="C3558" s="4">
        <v>46113</v>
      </c>
      <c r="D3558" s="4">
        <v>46142</v>
      </c>
      <c r="E3558" s="3" t="s">
        <v>47</v>
      </c>
      <c r="F3558" s="3" t="s">
        <v>360</v>
      </c>
      <c r="G3558" s="5">
        <v>1E-3</v>
      </c>
      <c r="H3558" s="6" t="s">
        <v>59</v>
      </c>
      <c r="I3558" s="3" t="s">
        <v>45</v>
      </c>
    </row>
    <row r="3559" spans="1:9" ht="48" customHeight="1">
      <c r="A3559" s="3" t="s">
        <v>40</v>
      </c>
      <c r="B3559" s="3" t="s">
        <v>39</v>
      </c>
      <c r="C3559" s="4">
        <v>46113</v>
      </c>
      <c r="D3559" s="4">
        <v>46142</v>
      </c>
      <c r="E3559" s="3" t="s">
        <v>161</v>
      </c>
      <c r="F3559" s="3" t="s">
        <v>172</v>
      </c>
      <c r="G3559" s="5">
        <v>1.3000000000000001E-2</v>
      </c>
      <c r="H3559" s="6" t="s">
        <v>59</v>
      </c>
      <c r="I3559" s="3" t="s">
        <v>45</v>
      </c>
    </row>
    <row r="3560" spans="1:9" ht="48" customHeight="1">
      <c r="A3560" s="3" t="s">
        <v>40</v>
      </c>
      <c r="B3560" s="3" t="s">
        <v>39</v>
      </c>
      <c r="C3560" s="4">
        <v>46113</v>
      </c>
      <c r="D3560" s="4">
        <v>46142</v>
      </c>
      <c r="E3560" s="3" t="s">
        <v>161</v>
      </c>
      <c r="F3560" s="3" t="s">
        <v>184</v>
      </c>
      <c r="G3560" s="5">
        <v>0.01</v>
      </c>
      <c r="H3560" s="6" t="s">
        <v>59</v>
      </c>
      <c r="I3560" s="3" t="s">
        <v>45</v>
      </c>
    </row>
    <row r="3561" spans="1:9" ht="48" customHeight="1">
      <c r="A3561" s="3" t="s">
        <v>40</v>
      </c>
      <c r="B3561" s="3" t="s">
        <v>39</v>
      </c>
      <c r="C3561" s="4">
        <v>46113</v>
      </c>
      <c r="D3561" s="4">
        <v>46142</v>
      </c>
      <c r="E3561" s="3" t="s">
        <v>161</v>
      </c>
      <c r="F3561" s="3" t="s">
        <v>162</v>
      </c>
      <c r="G3561" s="5">
        <v>9.0000000000000011E-3</v>
      </c>
      <c r="H3561" s="6" t="s">
        <v>59</v>
      </c>
      <c r="I3561" s="3" t="s">
        <v>45</v>
      </c>
    </row>
    <row r="3562" spans="1:9" ht="48" customHeight="1">
      <c r="A3562" s="3" t="s">
        <v>40</v>
      </c>
      <c r="B3562" s="3" t="s">
        <v>39</v>
      </c>
      <c r="C3562" s="4">
        <v>46113</v>
      </c>
      <c r="D3562" s="4">
        <v>46142</v>
      </c>
      <c r="E3562" s="3" t="s">
        <v>161</v>
      </c>
      <c r="F3562" s="3" t="s">
        <v>166</v>
      </c>
      <c r="G3562" s="5">
        <v>9.0000000000000011E-3</v>
      </c>
      <c r="H3562" s="6" t="s">
        <v>59</v>
      </c>
      <c r="I3562" s="3" t="s">
        <v>45</v>
      </c>
    </row>
    <row r="3563" spans="1:9" ht="48" customHeight="1">
      <c r="A3563" s="3" t="s">
        <v>40</v>
      </c>
      <c r="B3563" s="3" t="s">
        <v>39</v>
      </c>
      <c r="C3563" s="4">
        <v>46113</v>
      </c>
      <c r="D3563" s="4">
        <v>46142</v>
      </c>
      <c r="E3563" s="3" t="s">
        <v>161</v>
      </c>
      <c r="F3563" s="3" t="s">
        <v>164</v>
      </c>
      <c r="G3563" s="5">
        <v>8.0000000000000002E-3</v>
      </c>
      <c r="H3563" s="6" t="s">
        <v>59</v>
      </c>
      <c r="I3563" s="3" t="s">
        <v>45</v>
      </c>
    </row>
    <row r="3564" spans="1:9" ht="48" customHeight="1">
      <c r="A3564" s="3" t="s">
        <v>40</v>
      </c>
      <c r="B3564" s="3" t="s">
        <v>39</v>
      </c>
      <c r="C3564" s="4">
        <v>46113</v>
      </c>
      <c r="D3564" s="4">
        <v>46142</v>
      </c>
      <c r="E3564" s="3" t="s">
        <v>161</v>
      </c>
      <c r="F3564" s="3" t="s">
        <v>168</v>
      </c>
      <c r="G3564" s="5">
        <v>8.0000000000000002E-3</v>
      </c>
      <c r="H3564" s="6" t="s">
        <v>59</v>
      </c>
      <c r="I3564" s="3" t="s">
        <v>45</v>
      </c>
    </row>
    <row r="3565" spans="1:9" ht="48" customHeight="1">
      <c r="A3565" s="3" t="s">
        <v>40</v>
      </c>
      <c r="B3565" s="3" t="s">
        <v>39</v>
      </c>
      <c r="C3565" s="4">
        <v>46113</v>
      </c>
      <c r="D3565" s="4">
        <v>46142</v>
      </c>
      <c r="E3565" s="3" t="s">
        <v>161</v>
      </c>
      <c r="F3565" s="3" t="s">
        <v>163</v>
      </c>
      <c r="G3565" s="5">
        <v>8.0000000000000002E-3</v>
      </c>
      <c r="H3565" s="6" t="s">
        <v>59</v>
      </c>
      <c r="I3565" s="3" t="s">
        <v>45</v>
      </c>
    </row>
    <row r="3566" spans="1:9" ht="48" customHeight="1">
      <c r="A3566" s="3" t="s">
        <v>40</v>
      </c>
      <c r="B3566" s="3" t="s">
        <v>39</v>
      </c>
      <c r="C3566" s="4">
        <v>46113</v>
      </c>
      <c r="D3566" s="4">
        <v>46142</v>
      </c>
      <c r="E3566" s="3" t="s">
        <v>161</v>
      </c>
      <c r="F3566" s="3" t="s">
        <v>169</v>
      </c>
      <c r="G3566" s="5">
        <v>6.9999999999999993E-3</v>
      </c>
      <c r="H3566" s="6" t="s">
        <v>59</v>
      </c>
      <c r="I3566" s="3" t="s">
        <v>45</v>
      </c>
    </row>
    <row r="3567" spans="1:9" ht="48" customHeight="1">
      <c r="A3567" s="3" t="s">
        <v>40</v>
      </c>
      <c r="B3567" s="3" t="s">
        <v>39</v>
      </c>
      <c r="C3567" s="4">
        <v>46113</v>
      </c>
      <c r="D3567" s="4">
        <v>46142</v>
      </c>
      <c r="E3567" s="3" t="s">
        <v>161</v>
      </c>
      <c r="F3567" s="3" t="s">
        <v>177</v>
      </c>
      <c r="G3567" s="5">
        <v>6.9999999999999993E-3</v>
      </c>
      <c r="H3567" s="6" t="s">
        <v>59</v>
      </c>
      <c r="I3567" s="3" t="s">
        <v>45</v>
      </c>
    </row>
    <row r="3568" spans="1:9" ht="48" customHeight="1">
      <c r="A3568" s="3" t="s">
        <v>40</v>
      </c>
      <c r="B3568" s="3" t="s">
        <v>39</v>
      </c>
      <c r="C3568" s="4">
        <v>46113</v>
      </c>
      <c r="D3568" s="4">
        <v>46142</v>
      </c>
      <c r="E3568" s="3" t="s">
        <v>161</v>
      </c>
      <c r="F3568" s="3" t="s">
        <v>188</v>
      </c>
      <c r="G3568" s="5">
        <v>6.9999999999999993E-3</v>
      </c>
      <c r="H3568" s="6" t="s">
        <v>59</v>
      </c>
      <c r="I3568" s="3" t="s">
        <v>45</v>
      </c>
    </row>
    <row r="3569" spans="1:9" ht="48" customHeight="1">
      <c r="A3569" s="3" t="s">
        <v>40</v>
      </c>
      <c r="B3569" s="3" t="s">
        <v>39</v>
      </c>
      <c r="C3569" s="4">
        <v>46113</v>
      </c>
      <c r="D3569" s="4">
        <v>46142</v>
      </c>
      <c r="E3569" s="3" t="s">
        <v>161</v>
      </c>
      <c r="F3569" s="3" t="s">
        <v>180</v>
      </c>
      <c r="G3569" s="5">
        <v>6.9999999999999993E-3</v>
      </c>
      <c r="H3569" s="6" t="s">
        <v>59</v>
      </c>
      <c r="I3569" s="3" t="s">
        <v>45</v>
      </c>
    </row>
    <row r="3570" spans="1:9" ht="48" customHeight="1">
      <c r="A3570" s="3" t="s">
        <v>40</v>
      </c>
      <c r="B3570" s="3" t="s">
        <v>39</v>
      </c>
      <c r="C3570" s="4">
        <v>46113</v>
      </c>
      <c r="D3570" s="4">
        <v>46142</v>
      </c>
      <c r="E3570" s="3" t="s">
        <v>161</v>
      </c>
      <c r="F3570" s="3" t="s">
        <v>195</v>
      </c>
      <c r="G3570" s="5">
        <v>6.9999999999999993E-3</v>
      </c>
      <c r="H3570" s="6" t="s">
        <v>59</v>
      </c>
      <c r="I3570" s="3" t="s">
        <v>45</v>
      </c>
    </row>
    <row r="3571" spans="1:9" ht="48" customHeight="1">
      <c r="A3571" s="3" t="s">
        <v>40</v>
      </c>
      <c r="B3571" s="3" t="s">
        <v>39</v>
      </c>
      <c r="C3571" s="4">
        <v>46113</v>
      </c>
      <c r="D3571" s="4">
        <v>46142</v>
      </c>
      <c r="E3571" s="3" t="s">
        <v>161</v>
      </c>
      <c r="F3571" s="3" t="s">
        <v>173</v>
      </c>
      <c r="G3571" s="5">
        <v>6.9999999999999993E-3</v>
      </c>
      <c r="H3571" s="6" t="s">
        <v>59</v>
      </c>
      <c r="I3571" s="3" t="s">
        <v>45</v>
      </c>
    </row>
    <row r="3572" spans="1:9" ht="48" customHeight="1">
      <c r="A3572" s="3" t="s">
        <v>40</v>
      </c>
      <c r="B3572" s="3" t="s">
        <v>39</v>
      </c>
      <c r="C3572" s="4">
        <v>46113</v>
      </c>
      <c r="D3572" s="4">
        <v>46142</v>
      </c>
      <c r="E3572" s="3" t="s">
        <v>161</v>
      </c>
      <c r="F3572" s="3" t="s">
        <v>191</v>
      </c>
      <c r="G3572" s="5">
        <v>6.0000000000000001E-3</v>
      </c>
      <c r="H3572" s="6" t="s">
        <v>59</v>
      </c>
      <c r="I3572" s="3" t="s">
        <v>45</v>
      </c>
    </row>
    <row r="3573" spans="1:9" ht="48" customHeight="1">
      <c r="A3573" s="3" t="s">
        <v>40</v>
      </c>
      <c r="B3573" s="3" t="s">
        <v>39</v>
      </c>
      <c r="C3573" s="4">
        <v>46113</v>
      </c>
      <c r="D3573" s="4">
        <v>46142</v>
      </c>
      <c r="E3573" s="3" t="s">
        <v>161</v>
      </c>
      <c r="F3573" s="3" t="s">
        <v>170</v>
      </c>
      <c r="G3573" s="5">
        <v>6.0000000000000001E-3</v>
      </c>
      <c r="H3573" s="6" t="s">
        <v>59</v>
      </c>
      <c r="I3573" s="3" t="s">
        <v>45</v>
      </c>
    </row>
    <row r="3574" spans="1:9" ht="48" customHeight="1">
      <c r="A3574" s="3" t="s">
        <v>40</v>
      </c>
      <c r="B3574" s="3" t="s">
        <v>39</v>
      </c>
      <c r="C3574" s="4">
        <v>46113</v>
      </c>
      <c r="D3574" s="4">
        <v>46142</v>
      </c>
      <c r="E3574" s="3" t="s">
        <v>161</v>
      </c>
      <c r="F3574" s="3" t="s">
        <v>181</v>
      </c>
      <c r="G3574" s="5">
        <v>6.0000000000000001E-3</v>
      </c>
      <c r="H3574" s="6" t="s">
        <v>59</v>
      </c>
      <c r="I3574" s="3" t="s">
        <v>45</v>
      </c>
    </row>
    <row r="3575" spans="1:9" ht="48" customHeight="1">
      <c r="A3575" s="3" t="s">
        <v>40</v>
      </c>
      <c r="B3575" s="3" t="s">
        <v>39</v>
      </c>
      <c r="C3575" s="4">
        <v>46113</v>
      </c>
      <c r="D3575" s="4">
        <v>46142</v>
      </c>
      <c r="E3575" s="3" t="s">
        <v>161</v>
      </c>
      <c r="F3575" s="3" t="s">
        <v>385</v>
      </c>
      <c r="G3575" s="5">
        <v>6.0000000000000001E-3</v>
      </c>
      <c r="H3575" s="6" t="s">
        <v>59</v>
      </c>
      <c r="I3575" s="3" t="s">
        <v>45</v>
      </c>
    </row>
    <row r="3576" spans="1:9" ht="48" customHeight="1">
      <c r="A3576" s="3" t="s">
        <v>40</v>
      </c>
      <c r="B3576" s="3" t="s">
        <v>39</v>
      </c>
      <c r="C3576" s="4">
        <v>46113</v>
      </c>
      <c r="D3576" s="4">
        <v>46142</v>
      </c>
      <c r="E3576" s="3" t="s">
        <v>161</v>
      </c>
      <c r="F3576" s="3" t="s">
        <v>200</v>
      </c>
      <c r="G3576" s="5">
        <v>6.0000000000000001E-3</v>
      </c>
      <c r="H3576" s="6" t="s">
        <v>59</v>
      </c>
      <c r="I3576" s="3" t="s">
        <v>45</v>
      </c>
    </row>
    <row r="3577" spans="1:9" ht="48" customHeight="1">
      <c r="A3577" s="3" t="s">
        <v>40</v>
      </c>
      <c r="B3577" s="3" t="s">
        <v>39</v>
      </c>
      <c r="C3577" s="4">
        <v>46113</v>
      </c>
      <c r="D3577" s="4">
        <v>46142</v>
      </c>
      <c r="E3577" s="3" t="s">
        <v>161</v>
      </c>
      <c r="F3577" s="3" t="s">
        <v>174</v>
      </c>
      <c r="G3577" s="5">
        <v>5.0000000000000001E-3</v>
      </c>
      <c r="H3577" s="6" t="s">
        <v>59</v>
      </c>
      <c r="I3577" s="3" t="s">
        <v>45</v>
      </c>
    </row>
    <row r="3578" spans="1:9" ht="48" customHeight="1">
      <c r="A3578" s="3" t="s">
        <v>40</v>
      </c>
      <c r="B3578" s="3" t="s">
        <v>39</v>
      </c>
      <c r="C3578" s="4">
        <v>46113</v>
      </c>
      <c r="D3578" s="4">
        <v>46142</v>
      </c>
      <c r="E3578" s="3" t="s">
        <v>161</v>
      </c>
      <c r="F3578" s="3" t="s">
        <v>167</v>
      </c>
      <c r="G3578" s="5">
        <v>5.0000000000000001E-3</v>
      </c>
      <c r="H3578" s="6" t="s">
        <v>59</v>
      </c>
      <c r="I3578" s="3" t="s">
        <v>45</v>
      </c>
    </row>
    <row r="3579" spans="1:9" ht="48" customHeight="1">
      <c r="A3579" s="3" t="s">
        <v>40</v>
      </c>
      <c r="B3579" s="3" t="s">
        <v>39</v>
      </c>
      <c r="C3579" s="4">
        <v>46113</v>
      </c>
      <c r="D3579" s="4">
        <v>46142</v>
      </c>
      <c r="E3579" s="3" t="s">
        <v>161</v>
      </c>
      <c r="F3579" s="3" t="s">
        <v>189</v>
      </c>
      <c r="G3579" s="5">
        <v>5.0000000000000001E-3</v>
      </c>
      <c r="H3579" s="6" t="s">
        <v>59</v>
      </c>
      <c r="I3579" s="3" t="s">
        <v>45</v>
      </c>
    </row>
    <row r="3580" spans="1:9" ht="48" customHeight="1">
      <c r="A3580" s="3" t="s">
        <v>40</v>
      </c>
      <c r="B3580" s="3" t="s">
        <v>39</v>
      </c>
      <c r="C3580" s="4">
        <v>46113</v>
      </c>
      <c r="D3580" s="4">
        <v>46142</v>
      </c>
      <c r="E3580" s="3" t="s">
        <v>161</v>
      </c>
      <c r="F3580" s="3" t="s">
        <v>165</v>
      </c>
      <c r="G3580" s="5">
        <v>5.0000000000000001E-3</v>
      </c>
      <c r="H3580" s="6" t="s">
        <v>59</v>
      </c>
      <c r="I3580" s="3" t="s">
        <v>45</v>
      </c>
    </row>
    <row r="3581" spans="1:9" ht="48" customHeight="1">
      <c r="A3581" s="3" t="s">
        <v>40</v>
      </c>
      <c r="B3581" s="3" t="s">
        <v>39</v>
      </c>
      <c r="C3581" s="4">
        <v>46113</v>
      </c>
      <c r="D3581" s="4">
        <v>46142</v>
      </c>
      <c r="E3581" s="3" t="s">
        <v>161</v>
      </c>
      <c r="F3581" s="3" t="s">
        <v>171</v>
      </c>
      <c r="G3581" s="5">
        <v>5.0000000000000001E-3</v>
      </c>
      <c r="H3581" s="6" t="s">
        <v>59</v>
      </c>
      <c r="I3581" s="3" t="s">
        <v>45</v>
      </c>
    </row>
    <row r="3582" spans="1:9" ht="48" customHeight="1">
      <c r="A3582" s="3" t="s">
        <v>40</v>
      </c>
      <c r="B3582" s="3" t="s">
        <v>39</v>
      </c>
      <c r="C3582" s="4">
        <v>46113</v>
      </c>
      <c r="D3582" s="4">
        <v>46142</v>
      </c>
      <c r="E3582" s="3" t="s">
        <v>161</v>
      </c>
      <c r="F3582" s="3" t="s">
        <v>182</v>
      </c>
      <c r="G3582" s="5">
        <v>5.0000000000000001E-3</v>
      </c>
      <c r="H3582" s="6" t="s">
        <v>59</v>
      </c>
      <c r="I3582" s="3" t="s">
        <v>45</v>
      </c>
    </row>
    <row r="3583" spans="1:9" ht="48" customHeight="1">
      <c r="A3583" s="3" t="s">
        <v>40</v>
      </c>
      <c r="B3583" s="3" t="s">
        <v>39</v>
      </c>
      <c r="C3583" s="4">
        <v>46113</v>
      </c>
      <c r="D3583" s="4">
        <v>46142</v>
      </c>
      <c r="E3583" s="3" t="s">
        <v>161</v>
      </c>
      <c r="F3583" s="3" t="s">
        <v>183</v>
      </c>
      <c r="G3583" s="5">
        <v>5.0000000000000001E-3</v>
      </c>
      <c r="H3583" s="6" t="s">
        <v>59</v>
      </c>
      <c r="I3583" s="3" t="s">
        <v>45</v>
      </c>
    </row>
    <row r="3584" spans="1:9" ht="48" customHeight="1">
      <c r="A3584" s="3" t="s">
        <v>40</v>
      </c>
      <c r="B3584" s="3" t="s">
        <v>39</v>
      </c>
      <c r="C3584" s="4">
        <v>46113</v>
      </c>
      <c r="D3584" s="4">
        <v>46142</v>
      </c>
      <c r="E3584" s="3" t="s">
        <v>161</v>
      </c>
      <c r="F3584" s="3" t="s">
        <v>384</v>
      </c>
      <c r="G3584" s="5">
        <v>5.0000000000000001E-3</v>
      </c>
      <c r="H3584" s="6" t="s">
        <v>59</v>
      </c>
      <c r="I3584" s="3" t="s">
        <v>45</v>
      </c>
    </row>
    <row r="3585" spans="1:9" ht="48" customHeight="1">
      <c r="A3585" s="3" t="s">
        <v>40</v>
      </c>
      <c r="B3585" s="3" t="s">
        <v>39</v>
      </c>
      <c r="C3585" s="4">
        <v>46113</v>
      </c>
      <c r="D3585" s="4">
        <v>46142</v>
      </c>
      <c r="E3585" s="3" t="s">
        <v>161</v>
      </c>
      <c r="F3585" s="3" t="s">
        <v>196</v>
      </c>
      <c r="G3585" s="5">
        <v>5.0000000000000001E-3</v>
      </c>
      <c r="H3585" s="6" t="s">
        <v>59</v>
      </c>
      <c r="I3585" s="3" t="s">
        <v>45</v>
      </c>
    </row>
    <row r="3586" spans="1:9" ht="48" customHeight="1">
      <c r="A3586" s="3" t="s">
        <v>40</v>
      </c>
      <c r="B3586" s="3" t="s">
        <v>39</v>
      </c>
      <c r="C3586" s="4">
        <v>46113</v>
      </c>
      <c r="D3586" s="4">
        <v>46142</v>
      </c>
      <c r="E3586" s="3" t="s">
        <v>161</v>
      </c>
      <c r="F3586" s="3" t="s">
        <v>175</v>
      </c>
      <c r="G3586" s="5">
        <v>4.0000000000000001E-3</v>
      </c>
      <c r="H3586" s="6" t="s">
        <v>59</v>
      </c>
      <c r="I3586" s="3" t="s">
        <v>45</v>
      </c>
    </row>
    <row r="3587" spans="1:9" ht="48" customHeight="1">
      <c r="A3587" s="3" t="s">
        <v>40</v>
      </c>
      <c r="B3587" s="3" t="s">
        <v>39</v>
      </c>
      <c r="C3587" s="4">
        <v>46113</v>
      </c>
      <c r="D3587" s="4">
        <v>46142</v>
      </c>
      <c r="E3587" s="3" t="s">
        <v>161</v>
      </c>
      <c r="F3587" s="3" t="s">
        <v>190</v>
      </c>
      <c r="G3587" s="5">
        <v>4.0000000000000001E-3</v>
      </c>
      <c r="H3587" s="6" t="s">
        <v>59</v>
      </c>
      <c r="I3587" s="3" t="s">
        <v>45</v>
      </c>
    </row>
    <row r="3588" spans="1:9" ht="48" customHeight="1">
      <c r="A3588" s="3" t="s">
        <v>40</v>
      </c>
      <c r="B3588" s="3" t="s">
        <v>39</v>
      </c>
      <c r="C3588" s="4">
        <v>46113</v>
      </c>
      <c r="D3588" s="4">
        <v>46142</v>
      </c>
      <c r="E3588" s="3" t="s">
        <v>161</v>
      </c>
      <c r="F3588" s="3" t="s">
        <v>176</v>
      </c>
      <c r="G3588" s="5">
        <v>4.0000000000000001E-3</v>
      </c>
      <c r="H3588" s="6" t="s">
        <v>59</v>
      </c>
      <c r="I3588" s="3" t="s">
        <v>45</v>
      </c>
    </row>
    <row r="3589" spans="1:9" ht="48" customHeight="1">
      <c r="A3589" s="3" t="s">
        <v>40</v>
      </c>
      <c r="B3589" s="3" t="s">
        <v>39</v>
      </c>
      <c r="C3589" s="4">
        <v>46113</v>
      </c>
      <c r="D3589" s="4">
        <v>46142</v>
      </c>
      <c r="E3589" s="3" t="s">
        <v>161</v>
      </c>
      <c r="F3589" s="3" t="s">
        <v>187</v>
      </c>
      <c r="G3589" s="5">
        <v>4.0000000000000001E-3</v>
      </c>
      <c r="H3589" s="6" t="s">
        <v>59</v>
      </c>
      <c r="I3589" s="3" t="s">
        <v>45</v>
      </c>
    </row>
    <row r="3590" spans="1:9" ht="48" customHeight="1">
      <c r="A3590" s="3" t="s">
        <v>40</v>
      </c>
      <c r="B3590" s="3" t="s">
        <v>39</v>
      </c>
      <c r="C3590" s="4">
        <v>46113</v>
      </c>
      <c r="D3590" s="4">
        <v>46142</v>
      </c>
      <c r="E3590" s="3" t="s">
        <v>161</v>
      </c>
      <c r="F3590" s="3" t="s">
        <v>193</v>
      </c>
      <c r="G3590" s="5">
        <v>4.0000000000000001E-3</v>
      </c>
      <c r="H3590" s="6" t="s">
        <v>59</v>
      </c>
      <c r="I3590" s="3" t="s">
        <v>45</v>
      </c>
    </row>
    <row r="3591" spans="1:9" ht="48" customHeight="1">
      <c r="A3591" s="3" t="s">
        <v>40</v>
      </c>
      <c r="B3591" s="3" t="s">
        <v>39</v>
      </c>
      <c r="C3591" s="4">
        <v>46113</v>
      </c>
      <c r="D3591" s="4">
        <v>46142</v>
      </c>
      <c r="E3591" s="3" t="s">
        <v>161</v>
      </c>
      <c r="F3591" s="3" t="s">
        <v>178</v>
      </c>
      <c r="G3591" s="5">
        <v>4.0000000000000001E-3</v>
      </c>
      <c r="H3591" s="6" t="s">
        <v>59</v>
      </c>
      <c r="I3591" s="3" t="s">
        <v>45</v>
      </c>
    </row>
    <row r="3592" spans="1:9" ht="48" customHeight="1">
      <c r="A3592" s="3" t="s">
        <v>40</v>
      </c>
      <c r="B3592" s="3" t="s">
        <v>39</v>
      </c>
      <c r="C3592" s="4">
        <v>46113</v>
      </c>
      <c r="D3592" s="4">
        <v>46142</v>
      </c>
      <c r="E3592" s="3" t="s">
        <v>161</v>
      </c>
      <c r="F3592" s="3" t="s">
        <v>179</v>
      </c>
      <c r="G3592" s="5">
        <v>4.0000000000000001E-3</v>
      </c>
      <c r="H3592" s="6" t="s">
        <v>59</v>
      </c>
      <c r="I3592" s="3" t="s">
        <v>45</v>
      </c>
    </row>
    <row r="3593" spans="1:9" ht="48" customHeight="1">
      <c r="A3593" s="3" t="s">
        <v>40</v>
      </c>
      <c r="B3593" s="3" t="s">
        <v>39</v>
      </c>
      <c r="C3593" s="4">
        <v>46113</v>
      </c>
      <c r="D3593" s="4">
        <v>46142</v>
      </c>
      <c r="E3593" s="3" t="s">
        <v>161</v>
      </c>
      <c r="F3593" s="3" t="s">
        <v>201</v>
      </c>
      <c r="G3593" s="5">
        <v>4.0000000000000001E-3</v>
      </c>
      <c r="H3593" s="6" t="s">
        <v>59</v>
      </c>
      <c r="I3593" s="3" t="s">
        <v>45</v>
      </c>
    </row>
    <row r="3594" spans="1:9" ht="48" customHeight="1">
      <c r="A3594" s="3" t="s">
        <v>40</v>
      </c>
      <c r="B3594" s="3" t="s">
        <v>39</v>
      </c>
      <c r="C3594" s="4">
        <v>46113</v>
      </c>
      <c r="D3594" s="4">
        <v>46142</v>
      </c>
      <c r="E3594" s="3" t="s">
        <v>161</v>
      </c>
      <c r="F3594" s="3" t="s">
        <v>185</v>
      </c>
      <c r="G3594" s="5">
        <v>3.0000000000000001E-3</v>
      </c>
      <c r="H3594" s="6" t="s">
        <v>59</v>
      </c>
      <c r="I3594" s="3" t="s">
        <v>45</v>
      </c>
    </row>
    <row r="3595" spans="1:9" ht="48" customHeight="1">
      <c r="A3595" s="3" t="s">
        <v>40</v>
      </c>
      <c r="B3595" s="3" t="s">
        <v>39</v>
      </c>
      <c r="C3595" s="4">
        <v>46113</v>
      </c>
      <c r="D3595" s="4">
        <v>46142</v>
      </c>
      <c r="E3595" s="3" t="s">
        <v>161</v>
      </c>
      <c r="F3595" s="3" t="s">
        <v>186</v>
      </c>
      <c r="G3595" s="5">
        <v>3.0000000000000001E-3</v>
      </c>
      <c r="H3595" s="6" t="s">
        <v>59</v>
      </c>
      <c r="I3595" s="3" t="s">
        <v>45</v>
      </c>
    </row>
    <row r="3596" spans="1:9" ht="48" customHeight="1">
      <c r="A3596" s="3" t="s">
        <v>40</v>
      </c>
      <c r="B3596" s="3" t="s">
        <v>39</v>
      </c>
      <c r="C3596" s="4">
        <v>46113</v>
      </c>
      <c r="D3596" s="4">
        <v>46142</v>
      </c>
      <c r="E3596" s="3" t="s">
        <v>161</v>
      </c>
      <c r="F3596" s="3" t="s">
        <v>192</v>
      </c>
      <c r="G3596" s="5">
        <v>3.0000000000000001E-3</v>
      </c>
      <c r="H3596" s="6" t="s">
        <v>59</v>
      </c>
      <c r="I3596" s="3" t="s">
        <v>45</v>
      </c>
    </row>
    <row r="3597" spans="1:9" ht="48" customHeight="1">
      <c r="A3597" s="3" t="s">
        <v>40</v>
      </c>
      <c r="B3597" s="3" t="s">
        <v>39</v>
      </c>
      <c r="C3597" s="4">
        <v>46113</v>
      </c>
      <c r="D3597" s="4">
        <v>46142</v>
      </c>
      <c r="E3597" s="3" t="s">
        <v>161</v>
      </c>
      <c r="F3597" s="3" t="s">
        <v>194</v>
      </c>
      <c r="G3597" s="5">
        <v>3.0000000000000001E-3</v>
      </c>
      <c r="H3597" s="6" t="s">
        <v>59</v>
      </c>
      <c r="I3597" s="3" t="s">
        <v>45</v>
      </c>
    </row>
    <row r="3598" spans="1:9" ht="48" customHeight="1">
      <c r="A3598" s="3" t="s">
        <v>40</v>
      </c>
      <c r="B3598" s="3" t="s">
        <v>39</v>
      </c>
      <c r="C3598" s="4">
        <v>46113</v>
      </c>
      <c r="D3598" s="4">
        <v>46142</v>
      </c>
      <c r="E3598" s="3" t="s">
        <v>161</v>
      </c>
      <c r="F3598" s="3" t="s">
        <v>386</v>
      </c>
      <c r="G3598" s="5">
        <v>3.0000000000000001E-3</v>
      </c>
      <c r="H3598" s="6" t="s">
        <v>59</v>
      </c>
      <c r="I3598" s="3" t="s">
        <v>45</v>
      </c>
    </row>
    <row r="3599" spans="1:9" ht="48" customHeight="1">
      <c r="A3599" s="3" t="s">
        <v>40</v>
      </c>
      <c r="B3599" s="3" t="s">
        <v>39</v>
      </c>
      <c r="C3599" s="4">
        <v>46113</v>
      </c>
      <c r="D3599" s="4">
        <v>46142</v>
      </c>
      <c r="E3599" s="3" t="s">
        <v>161</v>
      </c>
      <c r="F3599" s="3" t="s">
        <v>387</v>
      </c>
      <c r="G3599" s="5">
        <v>3.0000000000000001E-3</v>
      </c>
      <c r="H3599" s="6" t="s">
        <v>59</v>
      </c>
      <c r="I3599" s="3" t="s">
        <v>45</v>
      </c>
    </row>
    <row r="3600" spans="1:9" ht="48" customHeight="1">
      <c r="A3600" s="3" t="s">
        <v>40</v>
      </c>
      <c r="B3600" s="3" t="s">
        <v>39</v>
      </c>
      <c r="C3600" s="4">
        <v>46113</v>
      </c>
      <c r="D3600" s="4">
        <v>46142</v>
      </c>
      <c r="E3600" s="3" t="s">
        <v>161</v>
      </c>
      <c r="F3600" s="3" t="s">
        <v>197</v>
      </c>
      <c r="G3600" s="5">
        <v>2E-3</v>
      </c>
      <c r="H3600" s="6" t="s">
        <v>59</v>
      </c>
      <c r="I3600" s="3" t="s">
        <v>45</v>
      </c>
    </row>
    <row r="3601" spans="1:9" ht="48" customHeight="1">
      <c r="A3601" s="3" t="s">
        <v>40</v>
      </c>
      <c r="B3601" s="3" t="s">
        <v>39</v>
      </c>
      <c r="C3601" s="4">
        <v>46113</v>
      </c>
      <c r="D3601" s="4">
        <v>46142</v>
      </c>
      <c r="E3601" s="3" t="s">
        <v>161</v>
      </c>
      <c r="F3601" s="3" t="s">
        <v>199</v>
      </c>
      <c r="G3601" s="5">
        <v>2E-3</v>
      </c>
      <c r="H3601" s="6" t="s">
        <v>59</v>
      </c>
      <c r="I3601" s="3" t="s">
        <v>45</v>
      </c>
    </row>
    <row r="3602" spans="1:9" ht="48" customHeight="1">
      <c r="A3602" s="3" t="s">
        <v>40</v>
      </c>
      <c r="B3602" s="3" t="s">
        <v>39</v>
      </c>
      <c r="C3602" s="4">
        <v>46113</v>
      </c>
      <c r="D3602" s="4">
        <v>46142</v>
      </c>
      <c r="E3602" s="3" t="s">
        <v>161</v>
      </c>
      <c r="F3602" s="3" t="s">
        <v>202</v>
      </c>
      <c r="G3602" s="5">
        <v>1E-3</v>
      </c>
      <c r="H3602" s="6" t="s">
        <v>59</v>
      </c>
      <c r="I3602" s="3" t="s">
        <v>45</v>
      </c>
    </row>
    <row r="3603" spans="1:9" ht="48" customHeight="1">
      <c r="A3603" s="3" t="s">
        <v>40</v>
      </c>
      <c r="B3603" s="3" t="s">
        <v>39</v>
      </c>
      <c r="C3603" s="4">
        <v>46113</v>
      </c>
      <c r="D3603" s="4">
        <v>46142</v>
      </c>
      <c r="E3603" s="3" t="s">
        <v>161</v>
      </c>
      <c r="F3603" s="3" t="s">
        <v>198</v>
      </c>
      <c r="G3603" s="5">
        <v>1E-3</v>
      </c>
      <c r="H3603" s="6" t="s">
        <v>59</v>
      </c>
      <c r="I3603" s="3" t="s">
        <v>45</v>
      </c>
    </row>
    <row r="3604" spans="1:9" ht="48" customHeight="1">
      <c r="A3604" s="3" t="s">
        <v>40</v>
      </c>
      <c r="B3604" s="3" t="s">
        <v>39</v>
      </c>
      <c r="C3604" s="4">
        <v>46113</v>
      </c>
      <c r="D3604" s="4">
        <v>46142</v>
      </c>
      <c r="E3604" s="3" t="s">
        <v>161</v>
      </c>
      <c r="F3604" s="3" t="s">
        <v>204</v>
      </c>
      <c r="G3604" s="5">
        <v>1E-3</v>
      </c>
      <c r="H3604" s="6" t="s">
        <v>59</v>
      </c>
      <c r="I3604" s="3" t="s">
        <v>45</v>
      </c>
    </row>
    <row r="3605" spans="1:9" ht="48" customHeight="1">
      <c r="A3605" s="3" t="s">
        <v>40</v>
      </c>
      <c r="B3605" s="3" t="s">
        <v>39</v>
      </c>
      <c r="C3605" s="4">
        <v>46113</v>
      </c>
      <c r="D3605" s="4">
        <v>46142</v>
      </c>
      <c r="E3605" s="3" t="s">
        <v>161</v>
      </c>
      <c r="F3605" s="3" t="s">
        <v>203</v>
      </c>
      <c r="G3605" s="5">
        <v>0</v>
      </c>
      <c r="H3605" s="6" t="s">
        <v>59</v>
      </c>
      <c r="I3605" s="3" t="s">
        <v>45</v>
      </c>
    </row>
    <row r="3606" spans="1:9" ht="48" customHeight="1">
      <c r="A3606" s="3" t="s">
        <v>40</v>
      </c>
      <c r="B3606" s="3" t="s">
        <v>39</v>
      </c>
      <c r="C3606" s="4">
        <v>46113</v>
      </c>
      <c r="D3606" s="4">
        <v>46142</v>
      </c>
      <c r="E3606" s="3" t="s">
        <v>286</v>
      </c>
      <c r="F3606" s="3" t="s">
        <v>293</v>
      </c>
      <c r="G3606" s="5">
        <v>9.5000000000000001E-2</v>
      </c>
      <c r="H3606" s="6" t="s">
        <v>59</v>
      </c>
      <c r="I3606" s="3" t="s">
        <v>45</v>
      </c>
    </row>
    <row r="3607" spans="1:9" ht="48" customHeight="1">
      <c r="A3607" s="3" t="s">
        <v>40</v>
      </c>
      <c r="B3607" s="3" t="s">
        <v>39</v>
      </c>
      <c r="C3607" s="4">
        <v>46113</v>
      </c>
      <c r="D3607" s="4">
        <v>46142</v>
      </c>
      <c r="E3607" s="3" t="s">
        <v>286</v>
      </c>
      <c r="F3607" s="3" t="s">
        <v>300</v>
      </c>
      <c r="G3607" s="5">
        <v>1.8000000000000002E-2</v>
      </c>
      <c r="H3607" s="6" t="s">
        <v>59</v>
      </c>
      <c r="I3607" s="3" t="s">
        <v>45</v>
      </c>
    </row>
    <row r="3608" spans="1:9" ht="48" customHeight="1">
      <c r="A3608" s="3" t="s">
        <v>40</v>
      </c>
      <c r="B3608" s="3" t="s">
        <v>39</v>
      </c>
      <c r="C3608" s="4">
        <v>46113</v>
      </c>
      <c r="D3608" s="4">
        <v>46142</v>
      </c>
      <c r="E3608" s="3" t="s">
        <v>286</v>
      </c>
      <c r="F3608" s="3" t="s">
        <v>291</v>
      </c>
      <c r="G3608" s="5">
        <v>1.3999999999999999E-2</v>
      </c>
      <c r="H3608" s="6" t="s">
        <v>59</v>
      </c>
      <c r="I3608" s="3" t="s">
        <v>45</v>
      </c>
    </row>
    <row r="3609" spans="1:9" ht="48" customHeight="1">
      <c r="A3609" s="3" t="s">
        <v>40</v>
      </c>
      <c r="B3609" s="3" t="s">
        <v>39</v>
      </c>
      <c r="C3609" s="4">
        <v>46113</v>
      </c>
      <c r="D3609" s="4">
        <v>46142</v>
      </c>
      <c r="E3609" s="3" t="s">
        <v>286</v>
      </c>
      <c r="F3609" s="3" t="s">
        <v>287</v>
      </c>
      <c r="G3609" s="5">
        <v>5.0000000000000001E-3</v>
      </c>
      <c r="H3609" s="6" t="s">
        <v>59</v>
      </c>
      <c r="I3609" s="3" t="s">
        <v>45</v>
      </c>
    </row>
    <row r="3610" spans="1:9" ht="48" customHeight="1">
      <c r="A3610" s="3" t="s">
        <v>40</v>
      </c>
      <c r="B3610" s="3" t="s">
        <v>39</v>
      </c>
      <c r="C3610" s="4">
        <v>46113</v>
      </c>
      <c r="D3610" s="4">
        <v>46142</v>
      </c>
      <c r="E3610" s="3" t="s">
        <v>286</v>
      </c>
      <c r="F3610" s="3" t="s">
        <v>288</v>
      </c>
      <c r="G3610" s="5">
        <v>4.0000000000000001E-3</v>
      </c>
      <c r="H3610" s="6" t="s">
        <v>59</v>
      </c>
      <c r="I3610" s="3" t="s">
        <v>45</v>
      </c>
    </row>
    <row r="3611" spans="1:9" ht="48" customHeight="1">
      <c r="A3611" s="3" t="s">
        <v>40</v>
      </c>
      <c r="B3611" s="3" t="s">
        <v>39</v>
      </c>
      <c r="C3611" s="4">
        <v>46113</v>
      </c>
      <c r="D3611" s="4">
        <v>46142</v>
      </c>
      <c r="E3611" s="3" t="s">
        <v>286</v>
      </c>
      <c r="F3611" s="3" t="s">
        <v>289</v>
      </c>
      <c r="G3611" s="5">
        <v>4.0000000000000001E-3</v>
      </c>
      <c r="H3611" s="6" t="s">
        <v>59</v>
      </c>
      <c r="I3611" s="3" t="s">
        <v>45</v>
      </c>
    </row>
    <row r="3612" spans="1:9" ht="48" customHeight="1">
      <c r="A3612" s="3" t="s">
        <v>40</v>
      </c>
      <c r="B3612" s="3" t="s">
        <v>39</v>
      </c>
      <c r="C3612" s="4">
        <v>46113</v>
      </c>
      <c r="D3612" s="4">
        <v>46142</v>
      </c>
      <c r="E3612" s="3" t="s">
        <v>286</v>
      </c>
      <c r="F3612" s="3" t="s">
        <v>292</v>
      </c>
      <c r="G3612" s="5">
        <v>4.0000000000000001E-3</v>
      </c>
      <c r="H3612" s="6" t="s">
        <v>59</v>
      </c>
      <c r="I3612" s="3" t="s">
        <v>45</v>
      </c>
    </row>
    <row r="3613" spans="1:9" ht="48" customHeight="1">
      <c r="A3613" s="3" t="s">
        <v>40</v>
      </c>
      <c r="B3613" s="3" t="s">
        <v>39</v>
      </c>
      <c r="C3613" s="4">
        <v>46113</v>
      </c>
      <c r="D3613" s="4">
        <v>46142</v>
      </c>
      <c r="E3613" s="3" t="s">
        <v>286</v>
      </c>
      <c r="F3613" s="3" t="s">
        <v>290</v>
      </c>
      <c r="G3613" s="5">
        <v>3.0000000000000001E-3</v>
      </c>
      <c r="H3613" s="6" t="s">
        <v>59</v>
      </c>
      <c r="I3613" s="3" t="s">
        <v>45</v>
      </c>
    </row>
    <row r="3614" spans="1:9" ht="48" customHeight="1">
      <c r="A3614" s="3" t="s">
        <v>40</v>
      </c>
      <c r="B3614" s="3" t="s">
        <v>39</v>
      </c>
      <c r="C3614" s="4">
        <v>46113</v>
      </c>
      <c r="D3614" s="4">
        <v>46142</v>
      </c>
      <c r="E3614" s="3" t="s">
        <v>286</v>
      </c>
      <c r="F3614" s="3" t="s">
        <v>297</v>
      </c>
      <c r="G3614" s="5">
        <v>2E-3</v>
      </c>
      <c r="H3614" s="6" t="s">
        <v>59</v>
      </c>
      <c r="I3614" s="3" t="s">
        <v>45</v>
      </c>
    </row>
    <row r="3615" spans="1:9" ht="48" customHeight="1">
      <c r="A3615" s="3" t="s">
        <v>40</v>
      </c>
      <c r="B3615" s="3" t="s">
        <v>39</v>
      </c>
      <c r="C3615" s="4">
        <v>46113</v>
      </c>
      <c r="D3615" s="4">
        <v>46142</v>
      </c>
      <c r="E3615" s="3" t="s">
        <v>286</v>
      </c>
      <c r="F3615" s="3" t="s">
        <v>294</v>
      </c>
      <c r="G3615" s="5">
        <v>1E-3</v>
      </c>
      <c r="H3615" s="6" t="s">
        <v>59</v>
      </c>
      <c r="I3615" s="3" t="s">
        <v>45</v>
      </c>
    </row>
    <row r="3616" spans="1:9" ht="48" customHeight="1">
      <c r="A3616" s="3" t="s">
        <v>40</v>
      </c>
      <c r="B3616" s="3" t="s">
        <v>39</v>
      </c>
      <c r="C3616" s="4">
        <v>46113</v>
      </c>
      <c r="D3616" s="4">
        <v>46142</v>
      </c>
      <c r="E3616" s="3" t="s">
        <v>286</v>
      </c>
      <c r="F3616" s="3" t="s">
        <v>296</v>
      </c>
      <c r="G3616" s="5">
        <v>1E-3</v>
      </c>
      <c r="H3616" s="6" t="s">
        <v>59</v>
      </c>
      <c r="I3616" s="3" t="s">
        <v>45</v>
      </c>
    </row>
    <row r="3617" spans="1:9" ht="48" customHeight="1">
      <c r="A3617" s="3" t="s">
        <v>40</v>
      </c>
      <c r="B3617" s="3" t="s">
        <v>39</v>
      </c>
      <c r="C3617" s="4">
        <v>46113</v>
      </c>
      <c r="D3617" s="4">
        <v>46142</v>
      </c>
      <c r="E3617" s="3" t="s">
        <v>286</v>
      </c>
      <c r="F3617" s="3" t="s">
        <v>298</v>
      </c>
      <c r="G3617" s="5">
        <v>1E-3</v>
      </c>
      <c r="H3617" s="6" t="s">
        <v>59</v>
      </c>
      <c r="I3617" s="3" t="s">
        <v>45</v>
      </c>
    </row>
    <row r="3618" spans="1:9" ht="48" customHeight="1">
      <c r="A3618" s="3" t="s">
        <v>40</v>
      </c>
      <c r="B3618" s="3" t="s">
        <v>39</v>
      </c>
      <c r="C3618" s="4">
        <v>46113</v>
      </c>
      <c r="D3618" s="4">
        <v>46142</v>
      </c>
      <c r="E3618" s="3" t="s">
        <v>286</v>
      </c>
      <c r="F3618" s="3" t="s">
        <v>299</v>
      </c>
      <c r="G3618" s="5">
        <v>1E-3</v>
      </c>
      <c r="H3618" s="6" t="s">
        <v>59</v>
      </c>
      <c r="I3618" s="3" t="s">
        <v>45</v>
      </c>
    </row>
    <row r="3619" spans="1:9" ht="48" customHeight="1">
      <c r="A3619" s="3" t="s">
        <v>40</v>
      </c>
      <c r="B3619" s="3" t="s">
        <v>39</v>
      </c>
      <c r="C3619" s="4">
        <v>46113</v>
      </c>
      <c r="D3619" s="4">
        <v>46142</v>
      </c>
      <c r="E3619" s="3" t="s">
        <v>286</v>
      </c>
      <c r="F3619" s="3" t="s">
        <v>295</v>
      </c>
      <c r="G3619" s="5">
        <v>0</v>
      </c>
      <c r="H3619" s="6" t="s">
        <v>59</v>
      </c>
      <c r="I3619" s="3" t="s">
        <v>45</v>
      </c>
    </row>
    <row r="3620" spans="1:9" ht="48" customHeight="1">
      <c r="A3620" s="3" t="s">
        <v>40</v>
      </c>
      <c r="B3620" s="3" t="s">
        <v>39</v>
      </c>
      <c r="C3620" s="4">
        <v>46113</v>
      </c>
      <c r="D3620" s="4">
        <v>46142</v>
      </c>
      <c r="E3620" s="3" t="s">
        <v>205</v>
      </c>
      <c r="F3620" s="3" t="s">
        <v>210</v>
      </c>
      <c r="G3620" s="5">
        <v>9.0000000000000011E-3</v>
      </c>
      <c r="H3620" s="6" t="s">
        <v>59</v>
      </c>
      <c r="I3620" s="3" t="s">
        <v>45</v>
      </c>
    </row>
    <row r="3621" spans="1:9" ht="48" customHeight="1">
      <c r="A3621" s="3" t="s">
        <v>40</v>
      </c>
      <c r="B3621" s="3" t="s">
        <v>39</v>
      </c>
      <c r="C3621" s="4">
        <v>46113</v>
      </c>
      <c r="D3621" s="4">
        <v>46142</v>
      </c>
      <c r="E3621" s="3" t="s">
        <v>205</v>
      </c>
      <c r="F3621" s="3" t="s">
        <v>216</v>
      </c>
      <c r="G3621" s="5">
        <v>9.0000000000000011E-3</v>
      </c>
      <c r="H3621" s="6" t="s">
        <v>59</v>
      </c>
      <c r="I3621" s="3" t="s">
        <v>45</v>
      </c>
    </row>
    <row r="3622" spans="1:9" ht="48" customHeight="1">
      <c r="A3622" s="3" t="s">
        <v>40</v>
      </c>
      <c r="B3622" s="3" t="s">
        <v>39</v>
      </c>
      <c r="C3622" s="4">
        <v>46113</v>
      </c>
      <c r="D3622" s="4">
        <v>46142</v>
      </c>
      <c r="E3622" s="3" t="s">
        <v>205</v>
      </c>
      <c r="F3622" s="3" t="s">
        <v>209</v>
      </c>
      <c r="G3622" s="5">
        <v>8.0000000000000002E-3</v>
      </c>
      <c r="H3622" s="6" t="s">
        <v>59</v>
      </c>
      <c r="I3622" s="3" t="s">
        <v>45</v>
      </c>
    </row>
    <row r="3623" spans="1:9" ht="48" customHeight="1">
      <c r="A3623" s="3" t="s">
        <v>40</v>
      </c>
      <c r="B3623" s="3" t="s">
        <v>39</v>
      </c>
      <c r="C3623" s="4">
        <v>46113</v>
      </c>
      <c r="D3623" s="4">
        <v>46142</v>
      </c>
      <c r="E3623" s="3" t="s">
        <v>205</v>
      </c>
      <c r="F3623" s="3" t="s">
        <v>220</v>
      </c>
      <c r="G3623" s="5">
        <v>6.9999999999999993E-3</v>
      </c>
      <c r="H3623" s="6" t="s">
        <v>59</v>
      </c>
      <c r="I3623" s="3" t="s">
        <v>45</v>
      </c>
    </row>
    <row r="3624" spans="1:9" ht="48" customHeight="1">
      <c r="A3624" s="3" t="s">
        <v>40</v>
      </c>
      <c r="B3624" s="3" t="s">
        <v>39</v>
      </c>
      <c r="C3624" s="4">
        <v>46113</v>
      </c>
      <c r="D3624" s="4">
        <v>46142</v>
      </c>
      <c r="E3624" s="3" t="s">
        <v>205</v>
      </c>
      <c r="F3624" s="3" t="s">
        <v>207</v>
      </c>
      <c r="G3624" s="5">
        <v>6.9999999999999993E-3</v>
      </c>
      <c r="H3624" s="6" t="s">
        <v>59</v>
      </c>
      <c r="I3624" s="3" t="s">
        <v>45</v>
      </c>
    </row>
    <row r="3625" spans="1:9" ht="48" customHeight="1">
      <c r="A3625" s="3" t="s">
        <v>40</v>
      </c>
      <c r="B3625" s="3" t="s">
        <v>39</v>
      </c>
      <c r="C3625" s="4">
        <v>46113</v>
      </c>
      <c r="D3625" s="4">
        <v>46142</v>
      </c>
      <c r="E3625" s="3" t="s">
        <v>205</v>
      </c>
      <c r="F3625" s="3" t="s">
        <v>225</v>
      </c>
      <c r="G3625" s="5">
        <v>6.0000000000000001E-3</v>
      </c>
      <c r="H3625" s="6" t="s">
        <v>59</v>
      </c>
      <c r="I3625" s="3" t="s">
        <v>45</v>
      </c>
    </row>
    <row r="3626" spans="1:9" ht="48" customHeight="1">
      <c r="A3626" s="3" t="s">
        <v>40</v>
      </c>
      <c r="B3626" s="3" t="s">
        <v>39</v>
      </c>
      <c r="C3626" s="4">
        <v>46113</v>
      </c>
      <c r="D3626" s="4">
        <v>46142</v>
      </c>
      <c r="E3626" s="3" t="s">
        <v>205</v>
      </c>
      <c r="F3626" s="3" t="s">
        <v>211</v>
      </c>
      <c r="G3626" s="5">
        <v>6.0000000000000001E-3</v>
      </c>
      <c r="H3626" s="6" t="s">
        <v>59</v>
      </c>
      <c r="I3626" s="3" t="s">
        <v>45</v>
      </c>
    </row>
    <row r="3627" spans="1:9" ht="48" customHeight="1">
      <c r="A3627" s="3" t="s">
        <v>40</v>
      </c>
      <c r="B3627" s="3" t="s">
        <v>39</v>
      </c>
      <c r="C3627" s="4">
        <v>46113</v>
      </c>
      <c r="D3627" s="4">
        <v>46142</v>
      </c>
      <c r="E3627" s="3" t="s">
        <v>205</v>
      </c>
      <c r="F3627" s="3" t="s">
        <v>214</v>
      </c>
      <c r="G3627" s="5">
        <v>6.0000000000000001E-3</v>
      </c>
      <c r="H3627" s="6" t="s">
        <v>59</v>
      </c>
      <c r="I3627" s="3" t="s">
        <v>45</v>
      </c>
    </row>
    <row r="3628" spans="1:9" ht="48" customHeight="1">
      <c r="A3628" s="3" t="s">
        <v>40</v>
      </c>
      <c r="B3628" s="3" t="s">
        <v>39</v>
      </c>
      <c r="C3628" s="4">
        <v>46113</v>
      </c>
      <c r="D3628" s="4">
        <v>46142</v>
      </c>
      <c r="E3628" s="3" t="s">
        <v>205</v>
      </c>
      <c r="F3628" s="3" t="s">
        <v>206</v>
      </c>
      <c r="G3628" s="5">
        <v>6.0000000000000001E-3</v>
      </c>
      <c r="H3628" s="6" t="s">
        <v>59</v>
      </c>
      <c r="I3628" s="3" t="s">
        <v>45</v>
      </c>
    </row>
    <row r="3629" spans="1:9" ht="48" customHeight="1">
      <c r="A3629" s="3" t="s">
        <v>40</v>
      </c>
      <c r="B3629" s="3" t="s">
        <v>39</v>
      </c>
      <c r="C3629" s="4">
        <v>46113</v>
      </c>
      <c r="D3629" s="4">
        <v>46142</v>
      </c>
      <c r="E3629" s="3" t="s">
        <v>205</v>
      </c>
      <c r="F3629" s="3" t="s">
        <v>215</v>
      </c>
      <c r="G3629" s="5">
        <v>6.0000000000000001E-3</v>
      </c>
      <c r="H3629" s="6" t="s">
        <v>59</v>
      </c>
      <c r="I3629" s="3" t="s">
        <v>45</v>
      </c>
    </row>
    <row r="3630" spans="1:9" ht="48" customHeight="1">
      <c r="A3630" s="3" t="s">
        <v>40</v>
      </c>
      <c r="B3630" s="3" t="s">
        <v>39</v>
      </c>
      <c r="C3630" s="4">
        <v>46113</v>
      </c>
      <c r="D3630" s="4">
        <v>46142</v>
      </c>
      <c r="E3630" s="3" t="s">
        <v>205</v>
      </c>
      <c r="F3630" s="3" t="s">
        <v>224</v>
      </c>
      <c r="G3630" s="5">
        <v>5.0000000000000001E-3</v>
      </c>
      <c r="H3630" s="6" t="s">
        <v>59</v>
      </c>
      <c r="I3630" s="3" t="s">
        <v>45</v>
      </c>
    </row>
    <row r="3631" spans="1:9" ht="48" customHeight="1">
      <c r="A3631" s="3" t="s">
        <v>40</v>
      </c>
      <c r="B3631" s="3" t="s">
        <v>39</v>
      </c>
      <c r="C3631" s="4">
        <v>46113</v>
      </c>
      <c r="D3631" s="4">
        <v>46142</v>
      </c>
      <c r="E3631" s="3" t="s">
        <v>205</v>
      </c>
      <c r="F3631" s="3" t="s">
        <v>217</v>
      </c>
      <c r="G3631" s="5">
        <v>5.0000000000000001E-3</v>
      </c>
      <c r="H3631" s="6" t="s">
        <v>59</v>
      </c>
      <c r="I3631" s="3" t="s">
        <v>45</v>
      </c>
    </row>
    <row r="3632" spans="1:9" ht="48" customHeight="1">
      <c r="A3632" s="3" t="s">
        <v>40</v>
      </c>
      <c r="B3632" s="3" t="s">
        <v>39</v>
      </c>
      <c r="C3632" s="4">
        <v>46113</v>
      </c>
      <c r="D3632" s="4">
        <v>46142</v>
      </c>
      <c r="E3632" s="3" t="s">
        <v>205</v>
      </c>
      <c r="F3632" s="3" t="s">
        <v>218</v>
      </c>
      <c r="G3632" s="5">
        <v>5.0000000000000001E-3</v>
      </c>
      <c r="H3632" s="6" t="s">
        <v>59</v>
      </c>
      <c r="I3632" s="3" t="s">
        <v>45</v>
      </c>
    </row>
    <row r="3633" spans="1:9" ht="48" customHeight="1">
      <c r="A3633" s="3" t="s">
        <v>40</v>
      </c>
      <c r="B3633" s="3" t="s">
        <v>39</v>
      </c>
      <c r="C3633" s="4">
        <v>46113</v>
      </c>
      <c r="D3633" s="4">
        <v>46142</v>
      </c>
      <c r="E3633" s="3" t="s">
        <v>205</v>
      </c>
      <c r="F3633" s="3" t="s">
        <v>219</v>
      </c>
      <c r="G3633" s="5">
        <v>5.0000000000000001E-3</v>
      </c>
      <c r="H3633" s="6" t="s">
        <v>59</v>
      </c>
      <c r="I3633" s="3" t="s">
        <v>45</v>
      </c>
    </row>
    <row r="3634" spans="1:9" ht="48" customHeight="1">
      <c r="A3634" s="3" t="s">
        <v>40</v>
      </c>
      <c r="B3634" s="3" t="s">
        <v>39</v>
      </c>
      <c r="C3634" s="4">
        <v>46113</v>
      </c>
      <c r="D3634" s="4">
        <v>46142</v>
      </c>
      <c r="E3634" s="3" t="s">
        <v>205</v>
      </c>
      <c r="F3634" s="3" t="s">
        <v>208</v>
      </c>
      <c r="G3634" s="5">
        <v>5.0000000000000001E-3</v>
      </c>
      <c r="H3634" s="6" t="s">
        <v>59</v>
      </c>
      <c r="I3634" s="3" t="s">
        <v>45</v>
      </c>
    </row>
    <row r="3635" spans="1:9" ht="48" customHeight="1">
      <c r="A3635" s="3" t="s">
        <v>40</v>
      </c>
      <c r="B3635" s="3" t="s">
        <v>39</v>
      </c>
      <c r="C3635" s="4">
        <v>46113</v>
      </c>
      <c r="D3635" s="4">
        <v>46142</v>
      </c>
      <c r="E3635" s="3" t="s">
        <v>205</v>
      </c>
      <c r="F3635" s="3" t="s">
        <v>213</v>
      </c>
      <c r="G3635" s="5">
        <v>5.0000000000000001E-3</v>
      </c>
      <c r="H3635" s="6" t="s">
        <v>59</v>
      </c>
      <c r="I3635" s="3" t="s">
        <v>45</v>
      </c>
    </row>
    <row r="3636" spans="1:9" ht="48" customHeight="1">
      <c r="A3636" s="3" t="s">
        <v>40</v>
      </c>
      <c r="B3636" s="3" t="s">
        <v>39</v>
      </c>
      <c r="C3636" s="4">
        <v>46113</v>
      </c>
      <c r="D3636" s="4">
        <v>46142</v>
      </c>
      <c r="E3636" s="3" t="s">
        <v>205</v>
      </c>
      <c r="F3636" s="3" t="s">
        <v>227</v>
      </c>
      <c r="G3636" s="5">
        <v>4.0000000000000001E-3</v>
      </c>
      <c r="H3636" s="6" t="s">
        <v>59</v>
      </c>
      <c r="I3636" s="3" t="s">
        <v>45</v>
      </c>
    </row>
    <row r="3637" spans="1:9" ht="48" customHeight="1">
      <c r="A3637" s="3" t="s">
        <v>40</v>
      </c>
      <c r="B3637" s="3" t="s">
        <v>39</v>
      </c>
      <c r="C3637" s="4">
        <v>46113</v>
      </c>
      <c r="D3637" s="4">
        <v>46142</v>
      </c>
      <c r="E3637" s="3" t="s">
        <v>205</v>
      </c>
      <c r="F3637" s="3" t="s">
        <v>221</v>
      </c>
      <c r="G3637" s="5">
        <v>4.0000000000000001E-3</v>
      </c>
      <c r="H3637" s="6" t="s">
        <v>59</v>
      </c>
      <c r="I3637" s="3" t="s">
        <v>45</v>
      </c>
    </row>
    <row r="3638" spans="1:9" ht="48" customHeight="1">
      <c r="A3638" s="3" t="s">
        <v>40</v>
      </c>
      <c r="B3638" s="3" t="s">
        <v>39</v>
      </c>
      <c r="C3638" s="4">
        <v>46113</v>
      </c>
      <c r="D3638" s="4">
        <v>46142</v>
      </c>
      <c r="E3638" s="3" t="s">
        <v>205</v>
      </c>
      <c r="F3638" s="3" t="s">
        <v>222</v>
      </c>
      <c r="G3638" s="5">
        <v>4.0000000000000001E-3</v>
      </c>
      <c r="H3638" s="6" t="s">
        <v>59</v>
      </c>
      <c r="I3638" s="3" t="s">
        <v>45</v>
      </c>
    </row>
    <row r="3639" spans="1:9" ht="48" customHeight="1">
      <c r="A3639" s="3" t="s">
        <v>40</v>
      </c>
      <c r="B3639" s="3" t="s">
        <v>39</v>
      </c>
      <c r="C3639" s="4">
        <v>46113</v>
      </c>
      <c r="D3639" s="4">
        <v>46142</v>
      </c>
      <c r="E3639" s="3" t="s">
        <v>205</v>
      </c>
      <c r="F3639" s="3" t="s">
        <v>212</v>
      </c>
      <c r="G3639" s="5">
        <v>4.0000000000000001E-3</v>
      </c>
      <c r="H3639" s="6" t="s">
        <v>59</v>
      </c>
      <c r="I3639" s="3" t="s">
        <v>45</v>
      </c>
    </row>
    <row r="3640" spans="1:9" ht="48" customHeight="1">
      <c r="A3640" s="3" t="s">
        <v>40</v>
      </c>
      <c r="B3640" s="3" t="s">
        <v>39</v>
      </c>
      <c r="C3640" s="4">
        <v>46113</v>
      </c>
      <c r="D3640" s="4">
        <v>46142</v>
      </c>
      <c r="E3640" s="3" t="s">
        <v>205</v>
      </c>
      <c r="F3640" s="3" t="s">
        <v>223</v>
      </c>
      <c r="G3640" s="5">
        <v>3.0000000000000001E-3</v>
      </c>
      <c r="H3640" s="6" t="s">
        <v>59</v>
      </c>
      <c r="I3640" s="3" t="s">
        <v>45</v>
      </c>
    </row>
    <row r="3641" spans="1:9" ht="48" customHeight="1">
      <c r="A3641" s="3" t="s">
        <v>40</v>
      </c>
      <c r="B3641" s="3" t="s">
        <v>39</v>
      </c>
      <c r="C3641" s="4">
        <v>46113</v>
      </c>
      <c r="D3641" s="4">
        <v>46142</v>
      </c>
      <c r="E3641" s="3" t="s">
        <v>205</v>
      </c>
      <c r="F3641" s="3" t="s">
        <v>226</v>
      </c>
      <c r="G3641" s="5">
        <v>3.0000000000000001E-3</v>
      </c>
      <c r="H3641" s="6" t="s">
        <v>59</v>
      </c>
      <c r="I3641" s="3" t="s">
        <v>45</v>
      </c>
    </row>
    <row r="3642" spans="1:9" ht="48" customHeight="1">
      <c r="A3642" s="3" t="s">
        <v>40</v>
      </c>
      <c r="B3642" s="3" t="s">
        <v>39</v>
      </c>
      <c r="C3642" s="4">
        <v>46113</v>
      </c>
      <c r="D3642" s="4">
        <v>46142</v>
      </c>
      <c r="E3642" s="3" t="s">
        <v>205</v>
      </c>
      <c r="F3642" s="3" t="s">
        <v>229</v>
      </c>
      <c r="G3642" s="5">
        <v>2E-3</v>
      </c>
      <c r="H3642" s="6" t="s">
        <v>59</v>
      </c>
      <c r="I3642" s="3" t="s">
        <v>45</v>
      </c>
    </row>
    <row r="3643" spans="1:9" ht="48" customHeight="1">
      <c r="A3643" s="3" t="s">
        <v>40</v>
      </c>
      <c r="B3643" s="3" t="s">
        <v>39</v>
      </c>
      <c r="C3643" s="4">
        <v>46113</v>
      </c>
      <c r="D3643" s="4">
        <v>46142</v>
      </c>
      <c r="E3643" s="3" t="s">
        <v>205</v>
      </c>
      <c r="F3643" s="3" t="s">
        <v>230</v>
      </c>
      <c r="G3643" s="5">
        <v>2E-3</v>
      </c>
      <c r="H3643" s="6" t="s">
        <v>59</v>
      </c>
      <c r="I3643" s="3" t="s">
        <v>45</v>
      </c>
    </row>
    <row r="3644" spans="1:9" ht="48" customHeight="1">
      <c r="A3644" s="3" t="s">
        <v>40</v>
      </c>
      <c r="B3644" s="3" t="s">
        <v>39</v>
      </c>
      <c r="C3644" s="4">
        <v>46113</v>
      </c>
      <c r="D3644" s="4">
        <v>46142</v>
      </c>
      <c r="E3644" s="3" t="s">
        <v>205</v>
      </c>
      <c r="F3644" s="3" t="s">
        <v>228</v>
      </c>
      <c r="G3644" s="5">
        <v>2E-3</v>
      </c>
      <c r="H3644" s="6" t="s">
        <v>59</v>
      </c>
      <c r="I3644" s="3" t="s">
        <v>45</v>
      </c>
    </row>
    <row r="3645" spans="1:9" ht="48" customHeight="1">
      <c r="A3645" s="3" t="s">
        <v>40</v>
      </c>
      <c r="B3645" s="3" t="s">
        <v>39</v>
      </c>
      <c r="C3645" s="4">
        <v>46113</v>
      </c>
      <c r="D3645" s="4">
        <v>46142</v>
      </c>
      <c r="E3645" s="3" t="s">
        <v>81</v>
      </c>
      <c r="F3645" s="3" t="s">
        <v>333</v>
      </c>
      <c r="G3645" s="5">
        <v>9.0000000000000011E-3</v>
      </c>
      <c r="H3645" s="6" t="s">
        <v>59</v>
      </c>
      <c r="I3645" s="3" t="s">
        <v>45</v>
      </c>
    </row>
    <row r="3646" spans="1:9" ht="48" customHeight="1">
      <c r="A3646" s="3" t="s">
        <v>40</v>
      </c>
      <c r="B3646" s="3" t="s">
        <v>39</v>
      </c>
      <c r="C3646" s="4">
        <v>46113</v>
      </c>
      <c r="D3646" s="4">
        <v>46142</v>
      </c>
      <c r="E3646" s="3" t="s">
        <v>81</v>
      </c>
      <c r="F3646" s="3" t="s">
        <v>330</v>
      </c>
      <c r="G3646" s="5">
        <v>5.0000000000000001E-3</v>
      </c>
      <c r="H3646" s="6" t="s">
        <v>59</v>
      </c>
      <c r="I3646" s="3" t="s">
        <v>45</v>
      </c>
    </row>
    <row r="3647" spans="1:9" ht="48" customHeight="1">
      <c r="A3647" s="3" t="s">
        <v>40</v>
      </c>
      <c r="B3647" s="3" t="s">
        <v>39</v>
      </c>
      <c r="C3647" s="4">
        <v>46113</v>
      </c>
      <c r="D3647" s="4">
        <v>46142</v>
      </c>
      <c r="E3647" s="3" t="s">
        <v>81</v>
      </c>
      <c r="F3647" s="3" t="s">
        <v>325</v>
      </c>
      <c r="G3647" s="5">
        <v>4.0000000000000001E-3</v>
      </c>
      <c r="H3647" s="6" t="s">
        <v>59</v>
      </c>
      <c r="I3647" s="3" t="s">
        <v>45</v>
      </c>
    </row>
    <row r="3648" spans="1:9" ht="48" customHeight="1">
      <c r="A3648" s="3" t="s">
        <v>40</v>
      </c>
      <c r="B3648" s="3" t="s">
        <v>39</v>
      </c>
      <c r="C3648" s="4">
        <v>46113</v>
      </c>
      <c r="D3648" s="4">
        <v>46142</v>
      </c>
      <c r="E3648" s="3" t="s">
        <v>81</v>
      </c>
      <c r="F3648" s="3" t="s">
        <v>326</v>
      </c>
      <c r="G3648" s="5">
        <v>3.0000000000000001E-3</v>
      </c>
      <c r="H3648" s="6" t="s">
        <v>59</v>
      </c>
      <c r="I3648" s="3" t="s">
        <v>45</v>
      </c>
    </row>
    <row r="3649" spans="1:9" ht="48" customHeight="1">
      <c r="A3649" s="3" t="s">
        <v>40</v>
      </c>
      <c r="B3649" s="3" t="s">
        <v>39</v>
      </c>
      <c r="C3649" s="4">
        <v>46113</v>
      </c>
      <c r="D3649" s="4">
        <v>46142</v>
      </c>
      <c r="E3649" s="3" t="s">
        <v>81</v>
      </c>
      <c r="F3649" s="3" t="s">
        <v>327</v>
      </c>
      <c r="G3649" s="5">
        <v>3.0000000000000001E-3</v>
      </c>
      <c r="H3649" s="6" t="s">
        <v>59</v>
      </c>
      <c r="I3649" s="3" t="s">
        <v>45</v>
      </c>
    </row>
    <row r="3650" spans="1:9" ht="48" customHeight="1">
      <c r="A3650" s="3" t="s">
        <v>40</v>
      </c>
      <c r="B3650" s="3" t="s">
        <v>39</v>
      </c>
      <c r="C3650" s="4">
        <v>46113</v>
      </c>
      <c r="D3650" s="4">
        <v>46142</v>
      </c>
      <c r="E3650" s="3" t="s">
        <v>81</v>
      </c>
      <c r="F3650" s="3" t="s">
        <v>328</v>
      </c>
      <c r="G3650" s="5">
        <v>3.0000000000000001E-3</v>
      </c>
      <c r="H3650" s="6" t="s">
        <v>59</v>
      </c>
      <c r="I3650" s="3" t="s">
        <v>45</v>
      </c>
    </row>
    <row r="3651" spans="1:9" ht="48" customHeight="1">
      <c r="A3651" s="3" t="s">
        <v>40</v>
      </c>
      <c r="B3651" s="3" t="s">
        <v>39</v>
      </c>
      <c r="C3651" s="4">
        <v>46113</v>
      </c>
      <c r="D3651" s="4">
        <v>46142</v>
      </c>
      <c r="E3651" s="3" t="s">
        <v>81</v>
      </c>
      <c r="F3651" s="3" t="s">
        <v>332</v>
      </c>
      <c r="G3651" s="5">
        <v>3.0000000000000001E-3</v>
      </c>
      <c r="H3651" s="6" t="s">
        <v>59</v>
      </c>
      <c r="I3651" s="3" t="s">
        <v>45</v>
      </c>
    </row>
    <row r="3652" spans="1:9" ht="48" customHeight="1">
      <c r="A3652" s="3" t="s">
        <v>40</v>
      </c>
      <c r="B3652" s="3" t="s">
        <v>39</v>
      </c>
      <c r="C3652" s="4">
        <v>46113</v>
      </c>
      <c r="D3652" s="4">
        <v>46142</v>
      </c>
      <c r="E3652" s="3" t="s">
        <v>81</v>
      </c>
      <c r="F3652" s="3" t="s">
        <v>345</v>
      </c>
      <c r="G3652" s="5">
        <v>3.0000000000000001E-3</v>
      </c>
      <c r="H3652" s="6" t="s">
        <v>59</v>
      </c>
      <c r="I3652" s="3" t="s">
        <v>45</v>
      </c>
    </row>
    <row r="3653" spans="1:9" ht="48" customHeight="1">
      <c r="A3653" s="3" t="s">
        <v>40</v>
      </c>
      <c r="B3653" s="3" t="s">
        <v>39</v>
      </c>
      <c r="C3653" s="4">
        <v>46113</v>
      </c>
      <c r="D3653" s="4">
        <v>46142</v>
      </c>
      <c r="E3653" s="3" t="s">
        <v>81</v>
      </c>
      <c r="F3653" s="3" t="s">
        <v>331</v>
      </c>
      <c r="G3653" s="5">
        <v>2E-3</v>
      </c>
      <c r="H3653" s="6" t="s">
        <v>59</v>
      </c>
      <c r="I3653" s="3" t="s">
        <v>45</v>
      </c>
    </row>
    <row r="3654" spans="1:9" ht="48" customHeight="1">
      <c r="A3654" s="3" t="s">
        <v>40</v>
      </c>
      <c r="B3654" s="3" t="s">
        <v>39</v>
      </c>
      <c r="C3654" s="4">
        <v>46113</v>
      </c>
      <c r="D3654" s="4">
        <v>46142</v>
      </c>
      <c r="E3654" s="3" t="s">
        <v>81</v>
      </c>
      <c r="F3654" s="3" t="s">
        <v>344</v>
      </c>
      <c r="G3654" s="5">
        <v>2E-3</v>
      </c>
      <c r="H3654" s="6" t="s">
        <v>59</v>
      </c>
      <c r="I3654" s="3" t="s">
        <v>45</v>
      </c>
    </row>
    <row r="3655" spans="1:9" ht="48" customHeight="1">
      <c r="A3655" s="3" t="s">
        <v>40</v>
      </c>
      <c r="B3655" s="3" t="s">
        <v>39</v>
      </c>
      <c r="C3655" s="4">
        <v>46113</v>
      </c>
      <c r="D3655" s="4">
        <v>46142</v>
      </c>
      <c r="E3655" s="3" t="s">
        <v>81</v>
      </c>
      <c r="F3655" s="3" t="s">
        <v>346</v>
      </c>
      <c r="G3655" s="5">
        <v>2E-3</v>
      </c>
      <c r="H3655" s="6" t="s">
        <v>59</v>
      </c>
      <c r="I3655" s="3" t="s">
        <v>45</v>
      </c>
    </row>
    <row r="3656" spans="1:9" ht="48" customHeight="1">
      <c r="A3656" s="3" t="s">
        <v>40</v>
      </c>
      <c r="B3656" s="3" t="s">
        <v>39</v>
      </c>
      <c r="C3656" s="4">
        <v>46113</v>
      </c>
      <c r="D3656" s="4">
        <v>46142</v>
      </c>
      <c r="E3656" s="3" t="s">
        <v>81</v>
      </c>
      <c r="F3656" s="3" t="s">
        <v>329</v>
      </c>
      <c r="G3656" s="5">
        <v>1E-3</v>
      </c>
      <c r="H3656" s="6" t="s">
        <v>59</v>
      </c>
      <c r="I3656" s="3" t="s">
        <v>45</v>
      </c>
    </row>
    <row r="3657" spans="1:9" ht="48" customHeight="1">
      <c r="A3657" s="3" t="s">
        <v>40</v>
      </c>
      <c r="B3657" s="3" t="s">
        <v>39</v>
      </c>
      <c r="C3657" s="4">
        <v>46113</v>
      </c>
      <c r="D3657" s="4">
        <v>46142</v>
      </c>
      <c r="E3657" s="3" t="s">
        <v>81</v>
      </c>
      <c r="F3657" s="3" t="s">
        <v>334</v>
      </c>
      <c r="G3657" s="5">
        <v>1E-3</v>
      </c>
      <c r="H3657" s="6" t="s">
        <v>59</v>
      </c>
      <c r="I3657" s="3" t="s">
        <v>45</v>
      </c>
    </row>
    <row r="3658" spans="1:9" ht="48" customHeight="1">
      <c r="A3658" s="3" t="s">
        <v>40</v>
      </c>
      <c r="B3658" s="3" t="s">
        <v>39</v>
      </c>
      <c r="C3658" s="4">
        <v>46113</v>
      </c>
      <c r="D3658" s="4">
        <v>46142</v>
      </c>
      <c r="E3658" s="3" t="s">
        <v>81</v>
      </c>
      <c r="F3658" s="3" t="s">
        <v>335</v>
      </c>
      <c r="G3658" s="5">
        <v>1E-3</v>
      </c>
      <c r="H3658" s="6" t="s">
        <v>59</v>
      </c>
      <c r="I3658" s="3" t="s">
        <v>45</v>
      </c>
    </row>
    <row r="3659" spans="1:9" ht="48" customHeight="1">
      <c r="A3659" s="3" t="s">
        <v>40</v>
      </c>
      <c r="B3659" s="3" t="s">
        <v>39</v>
      </c>
      <c r="C3659" s="4">
        <v>46113</v>
      </c>
      <c r="D3659" s="4">
        <v>46142</v>
      </c>
      <c r="E3659" s="3" t="s">
        <v>81</v>
      </c>
      <c r="F3659" s="3" t="s">
        <v>336</v>
      </c>
      <c r="G3659" s="5">
        <v>1E-3</v>
      </c>
      <c r="H3659" s="6" t="s">
        <v>59</v>
      </c>
      <c r="I3659" s="3" t="s">
        <v>45</v>
      </c>
    </row>
    <row r="3660" spans="1:9" ht="48" customHeight="1">
      <c r="A3660" s="3" t="s">
        <v>40</v>
      </c>
      <c r="B3660" s="3" t="s">
        <v>39</v>
      </c>
      <c r="C3660" s="4">
        <v>46113</v>
      </c>
      <c r="D3660" s="4">
        <v>46142</v>
      </c>
      <c r="E3660" s="3" t="s">
        <v>81</v>
      </c>
      <c r="F3660" s="3" t="s">
        <v>337</v>
      </c>
      <c r="G3660" s="5">
        <v>1E-3</v>
      </c>
      <c r="H3660" s="6" t="s">
        <v>59</v>
      </c>
      <c r="I3660" s="3" t="s">
        <v>45</v>
      </c>
    </row>
    <row r="3661" spans="1:9" ht="48" customHeight="1">
      <c r="A3661" s="3" t="s">
        <v>40</v>
      </c>
      <c r="B3661" s="3" t="s">
        <v>39</v>
      </c>
      <c r="C3661" s="4">
        <v>46113</v>
      </c>
      <c r="D3661" s="4">
        <v>46142</v>
      </c>
      <c r="E3661" s="3" t="s">
        <v>81</v>
      </c>
      <c r="F3661" s="3" t="s">
        <v>339</v>
      </c>
      <c r="G3661" s="5">
        <v>1E-3</v>
      </c>
      <c r="H3661" s="6" t="s">
        <v>59</v>
      </c>
      <c r="I3661" s="3" t="s">
        <v>45</v>
      </c>
    </row>
    <row r="3662" spans="1:9" ht="48" customHeight="1">
      <c r="A3662" s="3" t="s">
        <v>40</v>
      </c>
      <c r="B3662" s="3" t="s">
        <v>39</v>
      </c>
      <c r="C3662" s="4">
        <v>46113</v>
      </c>
      <c r="D3662" s="4">
        <v>46142</v>
      </c>
      <c r="E3662" s="3" t="s">
        <v>81</v>
      </c>
      <c r="F3662" s="3" t="s">
        <v>343</v>
      </c>
      <c r="G3662" s="5">
        <v>1E-3</v>
      </c>
      <c r="H3662" s="6" t="s">
        <v>59</v>
      </c>
      <c r="I3662" s="3" t="s">
        <v>45</v>
      </c>
    </row>
    <row r="3663" spans="1:9" ht="48" customHeight="1">
      <c r="A3663" s="3" t="s">
        <v>40</v>
      </c>
      <c r="B3663" s="3" t="s">
        <v>39</v>
      </c>
      <c r="C3663" s="4">
        <v>46113</v>
      </c>
      <c r="D3663" s="4">
        <v>46142</v>
      </c>
      <c r="E3663" s="3" t="s">
        <v>81</v>
      </c>
      <c r="F3663" s="3" t="s">
        <v>338</v>
      </c>
      <c r="G3663" s="5">
        <v>0</v>
      </c>
      <c r="H3663" s="6" t="s">
        <v>59</v>
      </c>
      <c r="I3663" s="3" t="s">
        <v>45</v>
      </c>
    </row>
    <row r="3664" spans="1:9" ht="48" customHeight="1">
      <c r="A3664" s="3" t="s">
        <v>40</v>
      </c>
      <c r="B3664" s="3" t="s">
        <v>39</v>
      </c>
      <c r="C3664" s="4">
        <v>46113</v>
      </c>
      <c r="D3664" s="4">
        <v>46142</v>
      </c>
      <c r="E3664" s="3" t="s">
        <v>81</v>
      </c>
      <c r="F3664" s="3" t="s">
        <v>340</v>
      </c>
      <c r="G3664" s="5">
        <v>0</v>
      </c>
      <c r="H3664" s="6" t="s">
        <v>59</v>
      </c>
      <c r="I3664" s="3" t="s">
        <v>45</v>
      </c>
    </row>
    <row r="3665" spans="1:9" ht="48" customHeight="1">
      <c r="A3665" s="3" t="s">
        <v>40</v>
      </c>
      <c r="B3665" s="3" t="s">
        <v>39</v>
      </c>
      <c r="C3665" s="4">
        <v>46113</v>
      </c>
      <c r="D3665" s="4">
        <v>46142</v>
      </c>
      <c r="E3665" s="3" t="s">
        <v>81</v>
      </c>
      <c r="F3665" s="3" t="s">
        <v>341</v>
      </c>
      <c r="G3665" s="5">
        <v>0</v>
      </c>
      <c r="H3665" s="6" t="s">
        <v>59</v>
      </c>
      <c r="I3665" s="3" t="s">
        <v>45</v>
      </c>
    </row>
    <row r="3666" spans="1:9" ht="48" customHeight="1">
      <c r="A3666" s="3" t="s">
        <v>40</v>
      </c>
      <c r="B3666" s="3" t="s">
        <v>39</v>
      </c>
      <c r="C3666" s="4">
        <v>46113</v>
      </c>
      <c r="D3666" s="4">
        <v>46142</v>
      </c>
      <c r="E3666" s="3" t="s">
        <v>81</v>
      </c>
      <c r="F3666" s="3" t="s">
        <v>342</v>
      </c>
      <c r="G3666" s="5">
        <v>0</v>
      </c>
      <c r="H3666" s="6" t="s">
        <v>59</v>
      </c>
      <c r="I3666" s="3" t="s">
        <v>45</v>
      </c>
    </row>
    <row r="3667" spans="1:9" ht="48" customHeight="1">
      <c r="A3667" s="3" t="s">
        <v>40</v>
      </c>
      <c r="B3667" s="3" t="s">
        <v>39</v>
      </c>
      <c r="C3667" s="4">
        <v>46113</v>
      </c>
      <c r="D3667" s="4">
        <v>46142</v>
      </c>
      <c r="E3667" s="3" t="s">
        <v>81</v>
      </c>
      <c r="F3667" s="3" t="s">
        <v>347</v>
      </c>
      <c r="G3667" s="5">
        <v>0</v>
      </c>
      <c r="H3667" s="6" t="s">
        <v>59</v>
      </c>
      <c r="I3667" s="3" t="s">
        <v>45</v>
      </c>
    </row>
    <row r="3668" spans="1:9" ht="48" customHeight="1">
      <c r="A3668" s="3" t="s">
        <v>40</v>
      </c>
      <c r="B3668" s="3" t="s">
        <v>39</v>
      </c>
      <c r="C3668" s="4">
        <v>46113</v>
      </c>
      <c r="D3668" s="4">
        <v>46142</v>
      </c>
      <c r="E3668" s="3" t="s">
        <v>236</v>
      </c>
      <c r="F3668" s="3" t="s">
        <v>232</v>
      </c>
      <c r="G3668" s="5">
        <v>9.0000000000000011E-3</v>
      </c>
      <c r="H3668" s="6" t="s">
        <v>59</v>
      </c>
      <c r="I3668" s="3" t="s">
        <v>45</v>
      </c>
    </row>
    <row r="3669" spans="1:9" ht="48" customHeight="1">
      <c r="A3669" s="3" t="s">
        <v>40</v>
      </c>
      <c r="B3669" s="3" t="s">
        <v>39</v>
      </c>
      <c r="C3669" s="4">
        <v>46113</v>
      </c>
      <c r="D3669" s="4">
        <v>46142</v>
      </c>
      <c r="E3669" s="3" t="s">
        <v>236</v>
      </c>
      <c r="F3669" s="3" t="s">
        <v>239</v>
      </c>
      <c r="G3669" s="5">
        <v>6.9999999999999993E-3</v>
      </c>
      <c r="H3669" s="6" t="s">
        <v>59</v>
      </c>
      <c r="I3669" s="3" t="s">
        <v>45</v>
      </c>
    </row>
    <row r="3670" spans="1:9" ht="48" customHeight="1">
      <c r="A3670" s="3" t="s">
        <v>40</v>
      </c>
      <c r="B3670" s="3" t="s">
        <v>39</v>
      </c>
      <c r="C3670" s="4">
        <v>46113</v>
      </c>
      <c r="D3670" s="4">
        <v>46142</v>
      </c>
      <c r="E3670" s="3" t="s">
        <v>236</v>
      </c>
      <c r="F3670" s="3" t="s">
        <v>238</v>
      </c>
      <c r="G3670" s="5">
        <v>6.0000000000000001E-3</v>
      </c>
      <c r="H3670" s="6" t="s">
        <v>59</v>
      </c>
      <c r="I3670" s="3" t="s">
        <v>45</v>
      </c>
    </row>
    <row r="3671" spans="1:9" ht="48" customHeight="1">
      <c r="A3671" s="3" t="s">
        <v>40</v>
      </c>
      <c r="B3671" s="3" t="s">
        <v>39</v>
      </c>
      <c r="C3671" s="4">
        <v>46113</v>
      </c>
      <c r="D3671" s="4">
        <v>46142</v>
      </c>
      <c r="E3671" s="3" t="s">
        <v>236</v>
      </c>
      <c r="F3671" s="3" t="s">
        <v>240</v>
      </c>
      <c r="G3671" s="5">
        <v>5.0000000000000001E-3</v>
      </c>
      <c r="H3671" s="6" t="s">
        <v>59</v>
      </c>
      <c r="I3671" s="3" t="s">
        <v>45</v>
      </c>
    </row>
    <row r="3672" spans="1:9" ht="48" customHeight="1">
      <c r="A3672" s="3" t="s">
        <v>40</v>
      </c>
      <c r="B3672" s="3" t="s">
        <v>39</v>
      </c>
      <c r="C3672" s="4">
        <v>46113</v>
      </c>
      <c r="D3672" s="4">
        <v>46142</v>
      </c>
      <c r="E3672" s="3" t="s">
        <v>236</v>
      </c>
      <c r="F3672" s="3" t="s">
        <v>237</v>
      </c>
      <c r="G3672" s="5">
        <v>5.0000000000000001E-3</v>
      </c>
      <c r="H3672" s="6" t="s">
        <v>59</v>
      </c>
      <c r="I3672" s="3" t="s">
        <v>45</v>
      </c>
    </row>
    <row r="3673" spans="1:9" ht="48" customHeight="1">
      <c r="A3673" s="3" t="s">
        <v>40</v>
      </c>
      <c r="B3673" s="3" t="s">
        <v>39</v>
      </c>
      <c r="C3673" s="4">
        <v>46113</v>
      </c>
      <c r="D3673" s="4">
        <v>46142</v>
      </c>
      <c r="E3673" s="3" t="s">
        <v>236</v>
      </c>
      <c r="F3673" s="3" t="s">
        <v>241</v>
      </c>
      <c r="G3673" s="5">
        <v>4.0000000000000001E-3</v>
      </c>
      <c r="H3673" s="6" t="s">
        <v>59</v>
      </c>
      <c r="I3673" s="3" t="s">
        <v>45</v>
      </c>
    </row>
    <row r="3674" spans="1:9" ht="48" customHeight="1">
      <c r="A3674" s="3" t="s">
        <v>40</v>
      </c>
      <c r="B3674" s="3" t="s">
        <v>39</v>
      </c>
      <c r="C3674" s="4">
        <v>46113</v>
      </c>
      <c r="D3674" s="4">
        <v>46142</v>
      </c>
      <c r="E3674" s="3" t="s">
        <v>236</v>
      </c>
      <c r="F3674" s="3" t="s">
        <v>230</v>
      </c>
      <c r="G3674" s="5">
        <v>2E-3</v>
      </c>
      <c r="H3674" s="6" t="s">
        <v>59</v>
      </c>
      <c r="I3674" s="3" t="s">
        <v>45</v>
      </c>
    </row>
    <row r="3675" spans="1:9" ht="48" customHeight="1">
      <c r="A3675" s="3" t="s">
        <v>40</v>
      </c>
      <c r="B3675" s="3" t="s">
        <v>39</v>
      </c>
      <c r="C3675" s="4">
        <v>46113</v>
      </c>
      <c r="D3675" s="4">
        <v>46142</v>
      </c>
      <c r="E3675" s="3" t="s">
        <v>236</v>
      </c>
      <c r="F3675" s="3" t="s">
        <v>234</v>
      </c>
      <c r="G3675" s="5">
        <v>1E-3</v>
      </c>
      <c r="H3675" s="6" t="s">
        <v>59</v>
      </c>
      <c r="I3675" s="3" t="s">
        <v>45</v>
      </c>
    </row>
    <row r="3676" spans="1:9" ht="48" customHeight="1">
      <c r="A3676" s="3" t="s">
        <v>40</v>
      </c>
      <c r="B3676" s="3" t="s">
        <v>39</v>
      </c>
      <c r="C3676" s="4">
        <v>46113</v>
      </c>
      <c r="D3676" s="4">
        <v>46142</v>
      </c>
      <c r="E3676" s="3" t="s">
        <v>236</v>
      </c>
      <c r="F3676" s="3" t="s">
        <v>242</v>
      </c>
      <c r="G3676" s="5">
        <v>1E-3</v>
      </c>
      <c r="H3676" s="6" t="s">
        <v>59</v>
      </c>
      <c r="I3676" s="3" t="s">
        <v>45</v>
      </c>
    </row>
    <row r="3677" spans="1:9" ht="48" customHeight="1">
      <c r="A3677" s="3" t="s">
        <v>40</v>
      </c>
      <c r="B3677" s="3" t="s">
        <v>39</v>
      </c>
      <c r="C3677" s="4">
        <v>46113</v>
      </c>
      <c r="D3677" s="4">
        <v>46142</v>
      </c>
      <c r="E3677" s="3" t="s">
        <v>236</v>
      </c>
      <c r="F3677" s="3" t="s">
        <v>243</v>
      </c>
      <c r="G3677" s="5">
        <v>0</v>
      </c>
      <c r="H3677" s="6" t="s">
        <v>59</v>
      </c>
      <c r="I3677" s="3" t="s">
        <v>45</v>
      </c>
    </row>
    <row r="3678" spans="1:9" ht="48" customHeight="1">
      <c r="A3678" s="3" t="s">
        <v>40</v>
      </c>
      <c r="B3678" s="3" t="s">
        <v>39</v>
      </c>
      <c r="C3678" s="4">
        <v>46113</v>
      </c>
      <c r="D3678" s="4">
        <v>46142</v>
      </c>
      <c r="E3678" s="3" t="s">
        <v>68</v>
      </c>
      <c r="F3678" s="3" t="s">
        <v>151</v>
      </c>
      <c r="G3678" s="5">
        <v>4.0000000000000001E-3</v>
      </c>
      <c r="H3678" s="6" t="s">
        <v>59</v>
      </c>
      <c r="I3678" s="3" t="s">
        <v>45</v>
      </c>
    </row>
    <row r="3679" spans="1:9" ht="48" customHeight="1">
      <c r="A3679" s="3" t="s">
        <v>40</v>
      </c>
      <c r="B3679" s="3" t="s">
        <v>39</v>
      </c>
      <c r="C3679" s="4">
        <v>46113</v>
      </c>
      <c r="D3679" s="4">
        <v>46142</v>
      </c>
      <c r="E3679" s="3" t="s">
        <v>68</v>
      </c>
      <c r="F3679" s="3" t="s">
        <v>150</v>
      </c>
      <c r="G3679" s="5">
        <v>4.0000000000000001E-3</v>
      </c>
      <c r="H3679" s="6" t="s">
        <v>59</v>
      </c>
      <c r="I3679" s="3" t="s">
        <v>45</v>
      </c>
    </row>
    <row r="3680" spans="1:9" ht="48" customHeight="1">
      <c r="A3680" s="3" t="s">
        <v>40</v>
      </c>
      <c r="B3680" s="3" t="s">
        <v>39</v>
      </c>
      <c r="C3680" s="4">
        <v>46113</v>
      </c>
      <c r="D3680" s="4">
        <v>46142</v>
      </c>
      <c r="E3680" s="3" t="s">
        <v>68</v>
      </c>
      <c r="F3680" s="3" t="s">
        <v>147</v>
      </c>
      <c r="G3680" s="5">
        <v>4.0000000000000001E-3</v>
      </c>
      <c r="H3680" s="6" t="s">
        <v>59</v>
      </c>
      <c r="I3680" s="3" t="s">
        <v>45</v>
      </c>
    </row>
    <row r="3681" spans="1:9" ht="48" customHeight="1">
      <c r="A3681" s="3" t="s">
        <v>40</v>
      </c>
      <c r="B3681" s="3" t="s">
        <v>39</v>
      </c>
      <c r="C3681" s="4">
        <v>46113</v>
      </c>
      <c r="D3681" s="4">
        <v>46142</v>
      </c>
      <c r="E3681" s="3" t="s">
        <v>68</v>
      </c>
      <c r="F3681" s="3" t="s">
        <v>148</v>
      </c>
      <c r="G3681" s="5">
        <v>3.0000000000000001E-3</v>
      </c>
      <c r="H3681" s="6" t="s">
        <v>59</v>
      </c>
      <c r="I3681" s="3" t="s">
        <v>45</v>
      </c>
    </row>
    <row r="3682" spans="1:9" ht="48" customHeight="1">
      <c r="A3682" s="3" t="s">
        <v>40</v>
      </c>
      <c r="B3682" s="3" t="s">
        <v>39</v>
      </c>
      <c r="C3682" s="4">
        <v>46113</v>
      </c>
      <c r="D3682" s="4">
        <v>46142</v>
      </c>
      <c r="E3682" s="3" t="s">
        <v>68</v>
      </c>
      <c r="F3682" s="3" t="s">
        <v>149</v>
      </c>
      <c r="G3682" s="5">
        <v>2E-3</v>
      </c>
      <c r="H3682" s="6" t="s">
        <v>59</v>
      </c>
      <c r="I3682" s="3" t="s">
        <v>45</v>
      </c>
    </row>
    <row r="3683" spans="1:9" ht="48" customHeight="1">
      <c r="A3683" s="3" t="s">
        <v>40</v>
      </c>
      <c r="B3683" s="3" t="s">
        <v>39</v>
      </c>
      <c r="C3683" s="4">
        <v>46113</v>
      </c>
      <c r="D3683" s="4">
        <v>46142</v>
      </c>
      <c r="E3683" s="3" t="s">
        <v>68</v>
      </c>
      <c r="F3683" s="3" t="s">
        <v>155</v>
      </c>
      <c r="G3683" s="5">
        <v>1E-3</v>
      </c>
      <c r="H3683" s="6" t="s">
        <v>59</v>
      </c>
      <c r="I3683" s="3" t="s">
        <v>45</v>
      </c>
    </row>
    <row r="3684" spans="1:9" ht="48" customHeight="1">
      <c r="A3684" s="3" t="s">
        <v>40</v>
      </c>
      <c r="B3684" s="3" t="s">
        <v>39</v>
      </c>
      <c r="C3684" s="4">
        <v>46113</v>
      </c>
      <c r="D3684" s="4">
        <v>46142</v>
      </c>
      <c r="E3684" s="3" t="s">
        <v>68</v>
      </c>
      <c r="F3684" s="3" t="s">
        <v>152</v>
      </c>
      <c r="G3684" s="5">
        <v>1E-3</v>
      </c>
      <c r="H3684" s="6" t="s">
        <v>59</v>
      </c>
      <c r="I3684" s="3" t="s">
        <v>45</v>
      </c>
    </row>
    <row r="3685" spans="1:9" ht="48" customHeight="1">
      <c r="A3685" s="3" t="s">
        <v>40</v>
      </c>
      <c r="B3685" s="3" t="s">
        <v>39</v>
      </c>
      <c r="C3685" s="4">
        <v>46113</v>
      </c>
      <c r="D3685" s="4">
        <v>46142</v>
      </c>
      <c r="E3685" s="3" t="s">
        <v>68</v>
      </c>
      <c r="F3685" s="3" t="s">
        <v>157</v>
      </c>
      <c r="G3685" s="5">
        <v>1E-3</v>
      </c>
      <c r="H3685" s="6" t="s">
        <v>59</v>
      </c>
      <c r="I3685" s="3" t="s">
        <v>45</v>
      </c>
    </row>
    <row r="3686" spans="1:9" ht="48" customHeight="1">
      <c r="A3686" s="3" t="s">
        <v>40</v>
      </c>
      <c r="B3686" s="3" t="s">
        <v>39</v>
      </c>
      <c r="C3686" s="4">
        <v>46113</v>
      </c>
      <c r="D3686" s="4">
        <v>46142</v>
      </c>
      <c r="E3686" s="3" t="s">
        <v>68</v>
      </c>
      <c r="F3686" s="3" t="s">
        <v>159</v>
      </c>
      <c r="G3686" s="5">
        <v>1E-3</v>
      </c>
      <c r="H3686" s="6" t="s">
        <v>59</v>
      </c>
      <c r="I3686" s="3" t="s">
        <v>45</v>
      </c>
    </row>
    <row r="3687" spans="1:9" ht="48" customHeight="1">
      <c r="A3687" s="3" t="s">
        <v>40</v>
      </c>
      <c r="B3687" s="3" t="s">
        <v>39</v>
      </c>
      <c r="C3687" s="4">
        <v>46113</v>
      </c>
      <c r="D3687" s="4">
        <v>46142</v>
      </c>
      <c r="E3687" s="3" t="s">
        <v>68</v>
      </c>
      <c r="F3687" s="3" t="s">
        <v>156</v>
      </c>
      <c r="G3687" s="5">
        <v>1E-3</v>
      </c>
      <c r="H3687" s="6" t="s">
        <v>59</v>
      </c>
      <c r="I3687" s="3" t="s">
        <v>45</v>
      </c>
    </row>
    <row r="3688" spans="1:9" ht="48" customHeight="1">
      <c r="A3688" s="3" t="s">
        <v>40</v>
      </c>
      <c r="B3688" s="3" t="s">
        <v>39</v>
      </c>
      <c r="C3688" s="4">
        <v>46113</v>
      </c>
      <c r="D3688" s="4">
        <v>46142</v>
      </c>
      <c r="E3688" s="3" t="s">
        <v>68</v>
      </c>
      <c r="F3688" s="3" t="s">
        <v>158</v>
      </c>
      <c r="G3688" s="5">
        <v>1E-3</v>
      </c>
      <c r="H3688" s="6" t="s">
        <v>59</v>
      </c>
      <c r="I3688" s="3" t="s">
        <v>45</v>
      </c>
    </row>
    <row r="3689" spans="1:9" ht="48" customHeight="1">
      <c r="A3689" s="3" t="s">
        <v>40</v>
      </c>
      <c r="B3689" s="3" t="s">
        <v>39</v>
      </c>
      <c r="C3689" s="4">
        <v>46113</v>
      </c>
      <c r="D3689" s="4">
        <v>46142</v>
      </c>
      <c r="E3689" s="3" t="s">
        <v>68</v>
      </c>
      <c r="F3689" s="3" t="s">
        <v>146</v>
      </c>
      <c r="G3689" s="5">
        <v>1E-3</v>
      </c>
      <c r="H3689" s="6" t="s">
        <v>59</v>
      </c>
      <c r="I3689" s="3" t="s">
        <v>45</v>
      </c>
    </row>
    <row r="3690" spans="1:9" ht="48" customHeight="1">
      <c r="A3690" s="3" t="s">
        <v>40</v>
      </c>
      <c r="B3690" s="3" t="s">
        <v>39</v>
      </c>
      <c r="C3690" s="4">
        <v>46113</v>
      </c>
      <c r="D3690" s="4">
        <v>46142</v>
      </c>
      <c r="E3690" s="3" t="s">
        <v>68</v>
      </c>
      <c r="F3690" s="3" t="s">
        <v>66</v>
      </c>
      <c r="G3690" s="5">
        <v>1E-3</v>
      </c>
      <c r="H3690" s="6" t="s">
        <v>59</v>
      </c>
      <c r="I3690" s="3" t="s">
        <v>45</v>
      </c>
    </row>
    <row r="3691" spans="1:9" ht="48" customHeight="1">
      <c r="A3691" s="3" t="s">
        <v>40</v>
      </c>
      <c r="B3691" s="3" t="s">
        <v>39</v>
      </c>
      <c r="C3691" s="4">
        <v>46113</v>
      </c>
      <c r="D3691" s="4">
        <v>46142</v>
      </c>
      <c r="E3691" s="3" t="s">
        <v>68</v>
      </c>
      <c r="F3691" s="3" t="s">
        <v>154</v>
      </c>
      <c r="G3691" s="5">
        <v>1E-3</v>
      </c>
      <c r="H3691" s="6" t="s">
        <v>59</v>
      </c>
      <c r="I3691" s="3" t="s">
        <v>45</v>
      </c>
    </row>
    <row r="3692" spans="1:9" ht="48" customHeight="1">
      <c r="A3692" s="3" t="s">
        <v>40</v>
      </c>
      <c r="B3692" s="3" t="s">
        <v>39</v>
      </c>
      <c r="C3692" s="4">
        <v>46113</v>
      </c>
      <c r="D3692" s="4">
        <v>46142</v>
      </c>
      <c r="E3692" s="3" t="s">
        <v>68</v>
      </c>
      <c r="F3692" s="3" t="s">
        <v>160</v>
      </c>
      <c r="G3692" s="5">
        <v>0</v>
      </c>
      <c r="H3692" s="6" t="s">
        <v>59</v>
      </c>
      <c r="I3692" s="3" t="s">
        <v>45</v>
      </c>
    </row>
    <row r="3693" spans="1:9" ht="48" customHeight="1">
      <c r="A3693" s="3" t="s">
        <v>40</v>
      </c>
      <c r="B3693" s="3" t="s">
        <v>39</v>
      </c>
      <c r="C3693" s="4">
        <v>46113</v>
      </c>
      <c r="D3693" s="4">
        <v>46142</v>
      </c>
      <c r="E3693" s="3" t="s">
        <v>68</v>
      </c>
      <c r="F3693" s="3" t="s">
        <v>153</v>
      </c>
      <c r="G3693" s="5">
        <v>0</v>
      </c>
      <c r="H3693" s="6" t="s">
        <v>59</v>
      </c>
      <c r="I3693" s="3" t="s">
        <v>45</v>
      </c>
    </row>
    <row r="3694" spans="1:9" ht="48" customHeight="1">
      <c r="A3694" s="3" t="s">
        <v>40</v>
      </c>
      <c r="B3694" s="3" t="s">
        <v>39</v>
      </c>
      <c r="C3694" s="4">
        <v>46113</v>
      </c>
      <c r="D3694" s="4">
        <v>46142</v>
      </c>
      <c r="E3694" s="3" t="s">
        <v>364</v>
      </c>
      <c r="F3694" s="3" t="s">
        <v>262</v>
      </c>
      <c r="G3694" s="5">
        <v>5.0000000000000001E-3</v>
      </c>
      <c r="H3694" s="6" t="s">
        <v>59</v>
      </c>
      <c r="I3694" s="3" t="s">
        <v>45</v>
      </c>
    </row>
    <row r="3695" spans="1:9" ht="48" customHeight="1">
      <c r="A3695" s="3" t="s">
        <v>40</v>
      </c>
      <c r="B3695" s="3" t="s">
        <v>39</v>
      </c>
      <c r="C3695" s="4">
        <v>46113</v>
      </c>
      <c r="D3695" s="4">
        <v>46142</v>
      </c>
      <c r="E3695" s="3" t="s">
        <v>364</v>
      </c>
      <c r="F3695" s="3" t="s">
        <v>366</v>
      </c>
      <c r="G3695" s="5">
        <v>5.0000000000000001E-3</v>
      </c>
      <c r="H3695" s="6" t="s">
        <v>59</v>
      </c>
      <c r="I3695" s="3" t="s">
        <v>45</v>
      </c>
    </row>
    <row r="3696" spans="1:9" ht="48" customHeight="1">
      <c r="A3696" s="3" t="s">
        <v>40</v>
      </c>
      <c r="B3696" s="3" t="s">
        <v>39</v>
      </c>
      <c r="C3696" s="4">
        <v>46113</v>
      </c>
      <c r="D3696" s="4">
        <v>46142</v>
      </c>
      <c r="E3696" s="3" t="s">
        <v>364</v>
      </c>
      <c r="F3696" s="3" t="s">
        <v>234</v>
      </c>
      <c r="G3696" s="5">
        <v>3.0000000000000001E-3</v>
      </c>
      <c r="H3696" s="6" t="s">
        <v>59</v>
      </c>
      <c r="I3696" s="3" t="s">
        <v>45</v>
      </c>
    </row>
    <row r="3697" spans="1:9" ht="48" customHeight="1">
      <c r="A3697" s="3" t="s">
        <v>40</v>
      </c>
      <c r="B3697" s="3" t="s">
        <v>39</v>
      </c>
      <c r="C3697" s="4">
        <v>46113</v>
      </c>
      <c r="D3697" s="4">
        <v>46142</v>
      </c>
      <c r="E3697" s="3" t="s">
        <v>364</v>
      </c>
      <c r="F3697" s="3" t="s">
        <v>365</v>
      </c>
      <c r="G3697" s="5">
        <v>3.0000000000000001E-3</v>
      </c>
      <c r="H3697" s="6" t="s">
        <v>59</v>
      </c>
      <c r="I3697" s="3" t="s">
        <v>45</v>
      </c>
    </row>
    <row r="3698" spans="1:9" ht="48" customHeight="1">
      <c r="A3698" s="3" t="s">
        <v>40</v>
      </c>
      <c r="B3698" s="3" t="s">
        <v>39</v>
      </c>
      <c r="C3698" s="4">
        <v>46113</v>
      </c>
      <c r="D3698" s="4">
        <v>46142</v>
      </c>
      <c r="E3698" s="3" t="s">
        <v>364</v>
      </c>
      <c r="F3698" s="3" t="s">
        <v>367</v>
      </c>
      <c r="G3698" s="5">
        <v>2E-3</v>
      </c>
      <c r="H3698" s="6" t="s">
        <v>59</v>
      </c>
      <c r="I3698" s="3" t="s">
        <v>45</v>
      </c>
    </row>
    <row r="3699" spans="1:9" ht="48" customHeight="1">
      <c r="A3699" s="3" t="s">
        <v>40</v>
      </c>
      <c r="B3699" s="3" t="s">
        <v>39</v>
      </c>
      <c r="C3699" s="4">
        <v>46113</v>
      </c>
      <c r="D3699" s="4">
        <v>46142</v>
      </c>
      <c r="E3699" s="3" t="s">
        <v>364</v>
      </c>
      <c r="F3699" s="3" t="s">
        <v>230</v>
      </c>
      <c r="G3699" s="5">
        <v>1E-3</v>
      </c>
      <c r="H3699" s="6" t="s">
        <v>59</v>
      </c>
      <c r="I3699" s="3" t="s">
        <v>45</v>
      </c>
    </row>
    <row r="3700" spans="1:9" ht="48" customHeight="1">
      <c r="A3700" s="3" t="s">
        <v>40</v>
      </c>
      <c r="B3700" s="3" t="s">
        <v>39</v>
      </c>
      <c r="C3700" s="4">
        <v>46113</v>
      </c>
      <c r="D3700" s="4">
        <v>46142</v>
      </c>
      <c r="E3700" s="3" t="s">
        <v>364</v>
      </c>
      <c r="F3700" s="3" t="s">
        <v>232</v>
      </c>
      <c r="G3700" s="5">
        <v>1E-3</v>
      </c>
      <c r="H3700" s="6" t="s">
        <v>59</v>
      </c>
      <c r="I3700" s="3" t="s">
        <v>45</v>
      </c>
    </row>
    <row r="3701" spans="1:9" ht="48" customHeight="1">
      <c r="A3701" s="3" t="s">
        <v>40</v>
      </c>
      <c r="B3701" s="3" t="s">
        <v>39</v>
      </c>
      <c r="C3701" s="4">
        <v>46113</v>
      </c>
      <c r="D3701" s="4">
        <v>46142</v>
      </c>
      <c r="E3701" s="3" t="s">
        <v>364</v>
      </c>
      <c r="F3701" s="3" t="s">
        <v>265</v>
      </c>
      <c r="G3701" s="5">
        <v>1E-3</v>
      </c>
      <c r="H3701" s="6" t="s">
        <v>59</v>
      </c>
      <c r="I3701" s="3" t="s">
        <v>45</v>
      </c>
    </row>
    <row r="3702" spans="1:9" ht="48" customHeight="1">
      <c r="A3702" s="3" t="s">
        <v>40</v>
      </c>
      <c r="B3702" s="3" t="s">
        <v>39</v>
      </c>
      <c r="C3702" s="4">
        <v>46113</v>
      </c>
      <c r="D3702" s="4">
        <v>46142</v>
      </c>
      <c r="E3702" s="3" t="s">
        <v>364</v>
      </c>
      <c r="F3702" s="3" t="s">
        <v>79</v>
      </c>
      <c r="G3702" s="5">
        <v>0</v>
      </c>
      <c r="H3702" s="6" t="s">
        <v>59</v>
      </c>
      <c r="I3702" s="3" t="s">
        <v>45</v>
      </c>
    </row>
    <row r="3703" spans="1:9" ht="48" customHeight="1">
      <c r="A3703" s="3" t="s">
        <v>40</v>
      </c>
      <c r="B3703" s="3" t="s">
        <v>39</v>
      </c>
      <c r="C3703" s="4">
        <v>46113</v>
      </c>
      <c r="D3703" s="4">
        <v>46142</v>
      </c>
      <c r="E3703" s="3" t="s">
        <v>302</v>
      </c>
      <c r="F3703" s="3" t="s">
        <v>307</v>
      </c>
      <c r="G3703" s="5">
        <v>2E-3</v>
      </c>
      <c r="H3703" s="6" t="s">
        <v>59</v>
      </c>
      <c r="I3703" s="3" t="s">
        <v>45</v>
      </c>
    </row>
    <row r="3704" spans="1:9" ht="48" customHeight="1">
      <c r="A3704" s="3" t="s">
        <v>40</v>
      </c>
      <c r="B3704" s="3" t="s">
        <v>39</v>
      </c>
      <c r="C3704" s="4">
        <v>46113</v>
      </c>
      <c r="D3704" s="4">
        <v>46142</v>
      </c>
      <c r="E3704" s="3" t="s">
        <v>302</v>
      </c>
      <c r="F3704" s="3" t="s">
        <v>309</v>
      </c>
      <c r="G3704" s="5">
        <v>2E-3</v>
      </c>
      <c r="H3704" s="6" t="s">
        <v>59</v>
      </c>
      <c r="I3704" s="3" t="s">
        <v>45</v>
      </c>
    </row>
    <row r="3705" spans="1:9" ht="48" customHeight="1">
      <c r="A3705" s="3" t="s">
        <v>40</v>
      </c>
      <c r="B3705" s="3" t="s">
        <v>39</v>
      </c>
      <c r="C3705" s="4">
        <v>46113</v>
      </c>
      <c r="D3705" s="4">
        <v>46142</v>
      </c>
      <c r="E3705" s="3" t="s">
        <v>302</v>
      </c>
      <c r="F3705" s="3" t="s">
        <v>303</v>
      </c>
      <c r="G3705" s="5">
        <v>1E-3</v>
      </c>
      <c r="H3705" s="6" t="s">
        <v>59</v>
      </c>
      <c r="I3705" s="3" t="s">
        <v>45</v>
      </c>
    </row>
    <row r="3706" spans="1:9" ht="48" customHeight="1">
      <c r="A3706" s="3" t="s">
        <v>40</v>
      </c>
      <c r="B3706" s="3" t="s">
        <v>39</v>
      </c>
      <c r="C3706" s="4">
        <v>46113</v>
      </c>
      <c r="D3706" s="4">
        <v>46142</v>
      </c>
      <c r="E3706" s="3" t="s">
        <v>302</v>
      </c>
      <c r="F3706" s="3" t="s">
        <v>304</v>
      </c>
      <c r="G3706" s="5">
        <v>1E-3</v>
      </c>
      <c r="H3706" s="6" t="s">
        <v>59</v>
      </c>
      <c r="I3706" s="3" t="s">
        <v>45</v>
      </c>
    </row>
    <row r="3707" spans="1:9" ht="48" customHeight="1">
      <c r="A3707" s="3" t="s">
        <v>40</v>
      </c>
      <c r="B3707" s="3" t="s">
        <v>39</v>
      </c>
      <c r="C3707" s="4">
        <v>46113</v>
      </c>
      <c r="D3707" s="4">
        <v>46142</v>
      </c>
      <c r="E3707" s="3" t="s">
        <v>302</v>
      </c>
      <c r="F3707" s="3" t="s">
        <v>310</v>
      </c>
      <c r="G3707" s="5">
        <v>1E-3</v>
      </c>
      <c r="H3707" s="6" t="s">
        <v>59</v>
      </c>
      <c r="I3707" s="3" t="s">
        <v>45</v>
      </c>
    </row>
    <row r="3708" spans="1:9" ht="48" customHeight="1">
      <c r="A3708" s="3" t="s">
        <v>40</v>
      </c>
      <c r="B3708" s="3" t="s">
        <v>39</v>
      </c>
      <c r="C3708" s="4">
        <v>46113</v>
      </c>
      <c r="D3708" s="4">
        <v>46142</v>
      </c>
      <c r="E3708" s="3" t="s">
        <v>302</v>
      </c>
      <c r="F3708" s="3" t="s">
        <v>311</v>
      </c>
      <c r="G3708" s="5">
        <v>1E-3</v>
      </c>
      <c r="H3708" s="6" t="s">
        <v>59</v>
      </c>
      <c r="I3708" s="3" t="s">
        <v>45</v>
      </c>
    </row>
    <row r="3709" spans="1:9" ht="48" customHeight="1">
      <c r="A3709" s="3" t="s">
        <v>40</v>
      </c>
      <c r="B3709" s="3" t="s">
        <v>39</v>
      </c>
      <c r="C3709" s="4">
        <v>46113</v>
      </c>
      <c r="D3709" s="4">
        <v>46142</v>
      </c>
      <c r="E3709" s="3" t="s">
        <v>302</v>
      </c>
      <c r="F3709" s="3" t="s">
        <v>305</v>
      </c>
      <c r="G3709" s="5">
        <v>1E-3</v>
      </c>
      <c r="H3709" s="6" t="s">
        <v>59</v>
      </c>
      <c r="I3709" s="3" t="s">
        <v>45</v>
      </c>
    </row>
    <row r="3710" spans="1:9" ht="48" customHeight="1">
      <c r="A3710" s="3" t="s">
        <v>40</v>
      </c>
      <c r="B3710" s="3" t="s">
        <v>39</v>
      </c>
      <c r="C3710" s="4">
        <v>46113</v>
      </c>
      <c r="D3710" s="4">
        <v>46142</v>
      </c>
      <c r="E3710" s="3" t="s">
        <v>302</v>
      </c>
      <c r="F3710" s="3" t="s">
        <v>306</v>
      </c>
      <c r="G3710" s="5">
        <v>1E-3</v>
      </c>
      <c r="H3710" s="6" t="s">
        <v>59</v>
      </c>
      <c r="I3710" s="3" t="s">
        <v>45</v>
      </c>
    </row>
    <row r="3711" spans="1:9" ht="48" customHeight="1">
      <c r="A3711" s="3" t="s">
        <v>40</v>
      </c>
      <c r="B3711" s="3" t="s">
        <v>39</v>
      </c>
      <c r="C3711" s="4">
        <v>46113</v>
      </c>
      <c r="D3711" s="4">
        <v>46142</v>
      </c>
      <c r="E3711" s="3" t="s">
        <v>302</v>
      </c>
      <c r="F3711" s="3" t="s">
        <v>312</v>
      </c>
      <c r="G3711" s="5">
        <v>1E-3</v>
      </c>
      <c r="H3711" s="6" t="s">
        <v>59</v>
      </c>
      <c r="I3711" s="3" t="s">
        <v>45</v>
      </c>
    </row>
    <row r="3712" spans="1:9" ht="48" customHeight="1">
      <c r="A3712" s="3" t="s">
        <v>40</v>
      </c>
      <c r="B3712" s="3" t="s">
        <v>39</v>
      </c>
      <c r="C3712" s="4">
        <v>46113</v>
      </c>
      <c r="D3712" s="4">
        <v>46142</v>
      </c>
      <c r="E3712" s="3" t="s">
        <v>302</v>
      </c>
      <c r="F3712" s="3" t="s">
        <v>314</v>
      </c>
      <c r="G3712" s="5">
        <v>1E-3</v>
      </c>
      <c r="H3712" s="6" t="s">
        <v>59</v>
      </c>
      <c r="I3712" s="3" t="s">
        <v>45</v>
      </c>
    </row>
    <row r="3713" spans="1:9" ht="48" customHeight="1">
      <c r="A3713" s="3" t="s">
        <v>40</v>
      </c>
      <c r="B3713" s="3" t="s">
        <v>39</v>
      </c>
      <c r="C3713" s="4">
        <v>46113</v>
      </c>
      <c r="D3713" s="4">
        <v>46142</v>
      </c>
      <c r="E3713" s="3" t="s">
        <v>302</v>
      </c>
      <c r="F3713" s="3" t="s">
        <v>308</v>
      </c>
      <c r="G3713" s="5">
        <v>1E-3</v>
      </c>
      <c r="H3713" s="6" t="s">
        <v>59</v>
      </c>
      <c r="I3713" s="3" t="s">
        <v>45</v>
      </c>
    </row>
    <row r="3714" spans="1:9" ht="48" customHeight="1">
      <c r="A3714" s="3" t="s">
        <v>40</v>
      </c>
      <c r="B3714" s="3" t="s">
        <v>39</v>
      </c>
      <c r="C3714" s="4">
        <v>46113</v>
      </c>
      <c r="D3714" s="4">
        <v>46142</v>
      </c>
      <c r="E3714" s="3" t="s">
        <v>302</v>
      </c>
      <c r="F3714" s="3" t="s">
        <v>313</v>
      </c>
      <c r="G3714" s="5">
        <v>0</v>
      </c>
      <c r="H3714" s="6" t="s">
        <v>59</v>
      </c>
      <c r="I3714" s="3" t="s">
        <v>45</v>
      </c>
    </row>
    <row r="3715" spans="1:9" ht="48" customHeight="1">
      <c r="A3715" s="3" t="s">
        <v>40</v>
      </c>
      <c r="B3715" s="3" t="s">
        <v>39</v>
      </c>
      <c r="C3715" s="4">
        <v>46113</v>
      </c>
      <c r="D3715" s="4">
        <v>46142</v>
      </c>
      <c r="E3715" s="3" t="s">
        <v>302</v>
      </c>
      <c r="F3715" s="3" t="s">
        <v>315</v>
      </c>
      <c r="G3715" s="5">
        <v>0</v>
      </c>
      <c r="H3715" s="6" t="s">
        <v>59</v>
      </c>
      <c r="I3715" s="3" t="s">
        <v>45</v>
      </c>
    </row>
    <row r="3716" spans="1:9" ht="48" customHeight="1">
      <c r="A3716" s="3" t="s">
        <v>40</v>
      </c>
      <c r="B3716" s="3" t="s">
        <v>39</v>
      </c>
      <c r="C3716" s="4">
        <v>46113</v>
      </c>
      <c r="D3716" s="4">
        <v>46142</v>
      </c>
      <c r="E3716" s="3" t="s">
        <v>302</v>
      </c>
      <c r="F3716" s="3" t="s">
        <v>316</v>
      </c>
      <c r="G3716" s="5">
        <v>0</v>
      </c>
      <c r="H3716" s="6" t="s">
        <v>59</v>
      </c>
      <c r="I3716" s="3" t="s">
        <v>45</v>
      </c>
    </row>
    <row r="3717" spans="1:9" ht="48" customHeight="1">
      <c r="A3717" s="3" t="s">
        <v>40</v>
      </c>
      <c r="B3717" s="3" t="s">
        <v>39</v>
      </c>
      <c r="C3717" s="4">
        <v>46113</v>
      </c>
      <c r="D3717" s="4">
        <v>46142</v>
      </c>
      <c r="E3717" s="3" t="s">
        <v>302</v>
      </c>
      <c r="F3717" s="3" t="s">
        <v>317</v>
      </c>
      <c r="G3717" s="5">
        <v>0</v>
      </c>
      <c r="H3717" s="6" t="s">
        <v>59</v>
      </c>
      <c r="I3717" s="3" t="s">
        <v>45</v>
      </c>
    </row>
    <row r="3718" spans="1:9" ht="48" customHeight="1">
      <c r="A3718" s="3" t="s">
        <v>40</v>
      </c>
      <c r="B3718" s="3" t="s">
        <v>39</v>
      </c>
      <c r="C3718" s="4">
        <v>46113</v>
      </c>
      <c r="D3718" s="4">
        <v>46142</v>
      </c>
      <c r="E3718" s="3" t="s">
        <v>302</v>
      </c>
      <c r="F3718" s="3" t="s">
        <v>318</v>
      </c>
      <c r="G3718" s="5">
        <v>0</v>
      </c>
      <c r="H3718" s="6" t="s">
        <v>59</v>
      </c>
      <c r="I3718" s="3" t="s">
        <v>45</v>
      </c>
    </row>
    <row r="3719" spans="1:9" ht="48" customHeight="1">
      <c r="A3719" s="3" t="s">
        <v>40</v>
      </c>
      <c r="B3719" s="3" t="s">
        <v>39</v>
      </c>
      <c r="C3719" s="4">
        <v>46113</v>
      </c>
      <c r="D3719" s="4">
        <v>46142</v>
      </c>
      <c r="E3719" s="3" t="s">
        <v>302</v>
      </c>
      <c r="F3719" s="3" t="s">
        <v>319</v>
      </c>
      <c r="G3719" s="5">
        <v>0</v>
      </c>
      <c r="H3719" s="6" t="s">
        <v>59</v>
      </c>
      <c r="I3719" s="3" t="s">
        <v>45</v>
      </c>
    </row>
    <row r="3720" spans="1:9" ht="48" customHeight="1">
      <c r="A3720" s="3" t="s">
        <v>40</v>
      </c>
      <c r="B3720" s="3" t="s">
        <v>39</v>
      </c>
      <c r="C3720" s="4">
        <v>46113</v>
      </c>
      <c r="D3720" s="4">
        <v>46142</v>
      </c>
      <c r="E3720" s="3" t="s">
        <v>302</v>
      </c>
      <c r="F3720" s="3" t="s">
        <v>320</v>
      </c>
      <c r="G3720" s="5">
        <v>0</v>
      </c>
      <c r="H3720" s="6" t="s">
        <v>59</v>
      </c>
      <c r="I3720" s="3" t="s">
        <v>45</v>
      </c>
    </row>
    <row r="3721" spans="1:9" ht="48" customHeight="1">
      <c r="A3721" s="3" t="s">
        <v>40</v>
      </c>
      <c r="B3721" s="3" t="s">
        <v>39</v>
      </c>
      <c r="C3721" s="4">
        <v>46113</v>
      </c>
      <c r="D3721" s="4">
        <v>46142</v>
      </c>
      <c r="E3721" s="3" t="s">
        <v>302</v>
      </c>
      <c r="F3721" s="3" t="s">
        <v>321</v>
      </c>
      <c r="G3721" s="5">
        <v>0</v>
      </c>
      <c r="H3721" s="6" t="s">
        <v>59</v>
      </c>
      <c r="I3721" s="3" t="s">
        <v>45</v>
      </c>
    </row>
    <row r="3722" spans="1:9" ht="48" customHeight="1">
      <c r="A3722" s="3" t="s">
        <v>40</v>
      </c>
      <c r="B3722" s="3" t="s">
        <v>39</v>
      </c>
      <c r="C3722" s="4">
        <v>46113</v>
      </c>
      <c r="D3722" s="4">
        <v>46142</v>
      </c>
      <c r="E3722" s="3" t="s">
        <v>302</v>
      </c>
      <c r="F3722" s="3" t="s">
        <v>322</v>
      </c>
      <c r="G3722" s="5">
        <v>0</v>
      </c>
      <c r="H3722" s="6" t="s">
        <v>59</v>
      </c>
      <c r="I3722" s="3" t="s">
        <v>45</v>
      </c>
    </row>
    <row r="3723" spans="1:9" ht="48" customHeight="1">
      <c r="A3723" s="3" t="s">
        <v>40</v>
      </c>
      <c r="B3723" s="3" t="s">
        <v>39</v>
      </c>
      <c r="C3723" s="4">
        <v>46113</v>
      </c>
      <c r="D3723" s="4">
        <v>46142</v>
      </c>
      <c r="E3723" s="3" t="s">
        <v>302</v>
      </c>
      <c r="F3723" s="3" t="s">
        <v>323</v>
      </c>
      <c r="G3723" s="5">
        <v>0</v>
      </c>
      <c r="H3723" s="6" t="s">
        <v>59</v>
      </c>
      <c r="I3723" s="3" t="s">
        <v>45</v>
      </c>
    </row>
    <row r="3724" spans="1:9" ht="48" customHeight="1">
      <c r="A3724" s="3" t="s">
        <v>40</v>
      </c>
      <c r="B3724" s="3" t="s">
        <v>39</v>
      </c>
      <c r="C3724" s="4">
        <v>46113</v>
      </c>
      <c r="D3724" s="4">
        <v>46142</v>
      </c>
      <c r="E3724" s="3" t="s">
        <v>302</v>
      </c>
      <c r="F3724" s="3" t="s">
        <v>324</v>
      </c>
      <c r="G3724" s="5">
        <v>0</v>
      </c>
      <c r="H3724" s="6" t="s">
        <v>59</v>
      </c>
      <c r="I3724" s="3" t="s">
        <v>45</v>
      </c>
    </row>
    <row r="3725" spans="1:9" ht="48" customHeight="1">
      <c r="A3725" s="3" t="s">
        <v>40</v>
      </c>
      <c r="B3725" s="3" t="s">
        <v>39</v>
      </c>
      <c r="C3725" s="4">
        <v>46113</v>
      </c>
      <c r="D3725" s="4">
        <v>46142</v>
      </c>
      <c r="E3725" s="3" t="s">
        <v>368</v>
      </c>
      <c r="F3725" s="3" t="s">
        <v>369</v>
      </c>
      <c r="G3725" s="5">
        <v>2E-3</v>
      </c>
      <c r="H3725" s="6" t="s">
        <v>59</v>
      </c>
      <c r="I3725" s="3" t="s">
        <v>45</v>
      </c>
    </row>
    <row r="3726" spans="1:9" ht="48" customHeight="1">
      <c r="A3726" s="3" t="s">
        <v>40</v>
      </c>
      <c r="B3726" s="3" t="s">
        <v>39</v>
      </c>
      <c r="C3726" s="4">
        <v>46113</v>
      </c>
      <c r="D3726" s="4">
        <v>46142</v>
      </c>
      <c r="E3726" s="3" t="s">
        <v>368</v>
      </c>
      <c r="F3726" s="3" t="s">
        <v>373</v>
      </c>
      <c r="G3726" s="5">
        <v>2E-3</v>
      </c>
      <c r="H3726" s="6" t="s">
        <v>59</v>
      </c>
      <c r="I3726" s="3" t="s">
        <v>45</v>
      </c>
    </row>
    <row r="3727" spans="1:9" ht="48" customHeight="1">
      <c r="A3727" s="3" t="s">
        <v>40</v>
      </c>
      <c r="B3727" s="3" t="s">
        <v>39</v>
      </c>
      <c r="C3727" s="4">
        <v>46113</v>
      </c>
      <c r="D3727" s="4">
        <v>46142</v>
      </c>
      <c r="E3727" s="3" t="s">
        <v>368</v>
      </c>
      <c r="F3727" s="3" t="s">
        <v>370</v>
      </c>
      <c r="G3727" s="5">
        <v>2E-3</v>
      </c>
      <c r="H3727" s="6" t="s">
        <v>59</v>
      </c>
      <c r="I3727" s="3" t="s">
        <v>45</v>
      </c>
    </row>
    <row r="3728" spans="1:9" ht="48" customHeight="1">
      <c r="A3728" s="3" t="s">
        <v>40</v>
      </c>
      <c r="B3728" s="3" t="s">
        <v>39</v>
      </c>
      <c r="C3728" s="4">
        <v>46113</v>
      </c>
      <c r="D3728" s="4">
        <v>46142</v>
      </c>
      <c r="E3728" s="3" t="s">
        <v>368</v>
      </c>
      <c r="F3728" s="3" t="s">
        <v>232</v>
      </c>
      <c r="G3728" s="5">
        <v>1E-3</v>
      </c>
      <c r="H3728" s="6" t="s">
        <v>59</v>
      </c>
      <c r="I3728" s="3" t="s">
        <v>45</v>
      </c>
    </row>
    <row r="3729" spans="1:9" ht="48" customHeight="1">
      <c r="A3729" s="3" t="s">
        <v>40</v>
      </c>
      <c r="B3729" s="3" t="s">
        <v>39</v>
      </c>
      <c r="C3729" s="4">
        <v>46113</v>
      </c>
      <c r="D3729" s="4">
        <v>46142</v>
      </c>
      <c r="E3729" s="3" t="s">
        <v>368</v>
      </c>
      <c r="F3729" s="3" t="s">
        <v>265</v>
      </c>
      <c r="G3729" s="5">
        <v>1E-3</v>
      </c>
      <c r="H3729" s="6" t="s">
        <v>59</v>
      </c>
      <c r="I3729" s="3" t="s">
        <v>45</v>
      </c>
    </row>
    <row r="3730" spans="1:9" ht="48" customHeight="1">
      <c r="A3730" s="3" t="s">
        <v>40</v>
      </c>
      <c r="B3730" s="3" t="s">
        <v>39</v>
      </c>
      <c r="C3730" s="4">
        <v>46113</v>
      </c>
      <c r="D3730" s="4">
        <v>46142</v>
      </c>
      <c r="E3730" s="3" t="s">
        <v>368</v>
      </c>
      <c r="F3730" s="3" t="s">
        <v>262</v>
      </c>
      <c r="G3730" s="5">
        <v>1E-3</v>
      </c>
      <c r="H3730" s="6" t="s">
        <v>59</v>
      </c>
      <c r="I3730" s="3" t="s">
        <v>45</v>
      </c>
    </row>
    <row r="3731" spans="1:9" ht="48" customHeight="1">
      <c r="A3731" s="3" t="s">
        <v>40</v>
      </c>
      <c r="B3731" s="3" t="s">
        <v>39</v>
      </c>
      <c r="C3731" s="4">
        <v>46113</v>
      </c>
      <c r="D3731" s="4">
        <v>46142</v>
      </c>
      <c r="E3731" s="3" t="s">
        <v>368</v>
      </c>
      <c r="F3731" s="3" t="s">
        <v>371</v>
      </c>
      <c r="G3731" s="5">
        <v>1E-3</v>
      </c>
      <c r="H3731" s="6" t="s">
        <v>59</v>
      </c>
      <c r="I3731" s="3" t="s">
        <v>45</v>
      </c>
    </row>
    <row r="3732" spans="1:9" ht="48" customHeight="1">
      <c r="A3732" s="3" t="s">
        <v>40</v>
      </c>
      <c r="B3732" s="3" t="s">
        <v>39</v>
      </c>
      <c r="C3732" s="4">
        <v>46113</v>
      </c>
      <c r="D3732" s="4">
        <v>46142</v>
      </c>
      <c r="E3732" s="3" t="s">
        <v>368</v>
      </c>
      <c r="F3732" s="3" t="s">
        <v>374</v>
      </c>
      <c r="G3732" s="5">
        <v>1E-3</v>
      </c>
      <c r="H3732" s="6" t="s">
        <v>59</v>
      </c>
      <c r="I3732" s="3" t="s">
        <v>45</v>
      </c>
    </row>
    <row r="3733" spans="1:9" ht="48" customHeight="1">
      <c r="A3733" s="3" t="s">
        <v>40</v>
      </c>
      <c r="B3733" s="3" t="s">
        <v>39</v>
      </c>
      <c r="C3733" s="4">
        <v>46113</v>
      </c>
      <c r="D3733" s="4">
        <v>46142</v>
      </c>
      <c r="E3733" s="3" t="s">
        <v>368</v>
      </c>
      <c r="F3733" s="3" t="s">
        <v>207</v>
      </c>
      <c r="G3733" s="5">
        <v>1E-3</v>
      </c>
      <c r="H3733" s="6" t="s">
        <v>59</v>
      </c>
      <c r="I3733" s="3" t="s">
        <v>45</v>
      </c>
    </row>
    <row r="3734" spans="1:9" ht="48" customHeight="1">
      <c r="A3734" s="3" t="s">
        <v>40</v>
      </c>
      <c r="B3734" s="3" t="s">
        <v>39</v>
      </c>
      <c r="C3734" s="4">
        <v>46113</v>
      </c>
      <c r="D3734" s="4">
        <v>46142</v>
      </c>
      <c r="E3734" s="3" t="s">
        <v>368</v>
      </c>
      <c r="F3734" s="3" t="s">
        <v>375</v>
      </c>
      <c r="G3734" s="5">
        <v>1E-3</v>
      </c>
      <c r="H3734" s="6" t="s">
        <v>59</v>
      </c>
      <c r="I3734" s="3" t="s">
        <v>45</v>
      </c>
    </row>
    <row r="3735" spans="1:9" ht="48" customHeight="1">
      <c r="A3735" s="3" t="s">
        <v>40</v>
      </c>
      <c r="B3735" s="3" t="s">
        <v>39</v>
      </c>
      <c r="C3735" s="4">
        <v>46113</v>
      </c>
      <c r="D3735" s="4">
        <v>46142</v>
      </c>
      <c r="E3735" s="3" t="s">
        <v>368</v>
      </c>
      <c r="F3735" s="3" t="s">
        <v>376</v>
      </c>
      <c r="G3735" s="5">
        <v>1E-3</v>
      </c>
      <c r="H3735" s="6" t="s">
        <v>59</v>
      </c>
      <c r="I3735" s="3" t="s">
        <v>45</v>
      </c>
    </row>
    <row r="3736" spans="1:9" ht="48" customHeight="1">
      <c r="A3736" s="3" t="s">
        <v>40</v>
      </c>
      <c r="B3736" s="3" t="s">
        <v>39</v>
      </c>
      <c r="C3736" s="4">
        <v>46113</v>
      </c>
      <c r="D3736" s="4">
        <v>46142</v>
      </c>
      <c r="E3736" s="3" t="s">
        <v>368</v>
      </c>
      <c r="F3736" s="3" t="s">
        <v>377</v>
      </c>
      <c r="G3736" s="5">
        <v>1E-3</v>
      </c>
      <c r="H3736" s="6" t="s">
        <v>59</v>
      </c>
      <c r="I3736" s="3" t="s">
        <v>45</v>
      </c>
    </row>
    <row r="3737" spans="1:9" ht="48" customHeight="1">
      <c r="A3737" s="3" t="s">
        <v>40</v>
      </c>
      <c r="B3737" s="3" t="s">
        <v>39</v>
      </c>
      <c r="C3737" s="4">
        <v>46113</v>
      </c>
      <c r="D3737" s="4">
        <v>46142</v>
      </c>
      <c r="E3737" s="3" t="s">
        <v>368</v>
      </c>
      <c r="F3737" s="3" t="s">
        <v>378</v>
      </c>
      <c r="G3737" s="5">
        <v>1E-3</v>
      </c>
      <c r="H3737" s="6" t="s">
        <v>59</v>
      </c>
      <c r="I3737" s="3" t="s">
        <v>45</v>
      </c>
    </row>
    <row r="3738" spans="1:9" ht="48" customHeight="1">
      <c r="A3738" s="3" t="s">
        <v>40</v>
      </c>
      <c r="B3738" s="3" t="s">
        <v>39</v>
      </c>
      <c r="C3738" s="4">
        <v>46113</v>
      </c>
      <c r="D3738" s="4">
        <v>46142</v>
      </c>
      <c r="E3738" s="3" t="s">
        <v>368</v>
      </c>
      <c r="F3738" s="3" t="s">
        <v>230</v>
      </c>
      <c r="G3738" s="5">
        <v>0</v>
      </c>
      <c r="H3738" s="6" t="s">
        <v>59</v>
      </c>
      <c r="I3738" s="3" t="s">
        <v>45</v>
      </c>
    </row>
    <row r="3739" spans="1:9" ht="48" customHeight="1">
      <c r="A3739" s="3" t="s">
        <v>40</v>
      </c>
      <c r="B3739" s="3" t="s">
        <v>39</v>
      </c>
      <c r="C3739" s="4">
        <v>46113</v>
      </c>
      <c r="D3739" s="4">
        <v>46142</v>
      </c>
      <c r="E3739" s="3" t="s">
        <v>368</v>
      </c>
      <c r="F3739" s="3" t="s">
        <v>234</v>
      </c>
      <c r="G3739" s="5">
        <v>0</v>
      </c>
      <c r="H3739" s="6" t="s">
        <v>59</v>
      </c>
      <c r="I3739" s="3" t="s">
        <v>45</v>
      </c>
    </row>
    <row r="3740" spans="1:9" ht="48" customHeight="1">
      <c r="A3740" s="3" t="s">
        <v>40</v>
      </c>
      <c r="B3740" s="3" t="s">
        <v>39</v>
      </c>
      <c r="C3740" s="4">
        <v>46113</v>
      </c>
      <c r="D3740" s="4">
        <v>46142</v>
      </c>
      <c r="E3740" s="3" t="s">
        <v>368</v>
      </c>
      <c r="F3740" s="3" t="s">
        <v>372</v>
      </c>
      <c r="G3740" s="5">
        <v>0</v>
      </c>
      <c r="H3740" s="6" t="s">
        <v>59</v>
      </c>
      <c r="I3740" s="3" t="s">
        <v>45</v>
      </c>
    </row>
    <row r="3741" spans="1:9" ht="48" customHeight="1">
      <c r="A3741" s="3" t="s">
        <v>40</v>
      </c>
      <c r="B3741" s="3" t="s">
        <v>39</v>
      </c>
      <c r="C3741" s="4">
        <v>46113</v>
      </c>
      <c r="D3741" s="4">
        <v>46142</v>
      </c>
      <c r="E3741" s="3" t="s">
        <v>231</v>
      </c>
      <c r="F3741" s="3" t="s">
        <v>232</v>
      </c>
      <c r="G3741" s="5">
        <v>5.0000000000000001E-3</v>
      </c>
      <c r="H3741" s="6" t="s">
        <v>59</v>
      </c>
      <c r="I3741" s="3" t="s">
        <v>45</v>
      </c>
    </row>
    <row r="3742" spans="1:9" ht="48" customHeight="1">
      <c r="A3742" s="3" t="s">
        <v>40</v>
      </c>
      <c r="B3742" s="3" t="s">
        <v>39</v>
      </c>
      <c r="C3742" s="4">
        <v>46113</v>
      </c>
      <c r="D3742" s="4">
        <v>46142</v>
      </c>
      <c r="E3742" s="3" t="s">
        <v>231</v>
      </c>
      <c r="F3742" s="3" t="s">
        <v>233</v>
      </c>
      <c r="G3742" s="5">
        <v>4.0000000000000001E-3</v>
      </c>
      <c r="H3742" s="6" t="s">
        <v>59</v>
      </c>
      <c r="I3742" s="3" t="s">
        <v>45</v>
      </c>
    </row>
    <row r="3743" spans="1:9" ht="48" customHeight="1">
      <c r="A3743" s="3" t="s">
        <v>40</v>
      </c>
      <c r="B3743" s="3" t="s">
        <v>39</v>
      </c>
      <c r="C3743" s="4">
        <v>46113</v>
      </c>
      <c r="D3743" s="4">
        <v>46142</v>
      </c>
      <c r="E3743" s="3" t="s">
        <v>231</v>
      </c>
      <c r="F3743" s="3" t="s">
        <v>234</v>
      </c>
      <c r="G3743" s="5">
        <v>2E-3</v>
      </c>
      <c r="H3743" s="6" t="s">
        <v>59</v>
      </c>
      <c r="I3743" s="3" t="s">
        <v>45</v>
      </c>
    </row>
    <row r="3744" spans="1:9" ht="48" customHeight="1">
      <c r="A3744" s="3" t="s">
        <v>40</v>
      </c>
      <c r="B3744" s="3" t="s">
        <v>39</v>
      </c>
      <c r="C3744" s="4">
        <v>46113</v>
      </c>
      <c r="D3744" s="4">
        <v>46142</v>
      </c>
      <c r="E3744" s="3" t="s">
        <v>231</v>
      </c>
      <c r="F3744" s="3" t="s">
        <v>230</v>
      </c>
      <c r="G3744" s="5">
        <v>2E-3</v>
      </c>
      <c r="H3744" s="6" t="s">
        <v>59</v>
      </c>
      <c r="I3744" s="3" t="s">
        <v>45</v>
      </c>
    </row>
    <row r="3745" spans="1:9" ht="48" customHeight="1">
      <c r="A3745" s="3" t="s">
        <v>40</v>
      </c>
      <c r="B3745" s="3" t="s">
        <v>39</v>
      </c>
      <c r="C3745" s="4">
        <v>46113</v>
      </c>
      <c r="D3745" s="4">
        <v>46142</v>
      </c>
      <c r="E3745" s="3" t="s">
        <v>231</v>
      </c>
      <c r="F3745" s="3" t="s">
        <v>235</v>
      </c>
      <c r="G3745" s="5">
        <v>1E-3</v>
      </c>
      <c r="H3745" s="6" t="s">
        <v>59</v>
      </c>
      <c r="I3745" s="3" t="s">
        <v>45</v>
      </c>
    </row>
    <row r="3746" spans="1:9" ht="48" customHeight="1">
      <c r="A3746" s="3" t="s">
        <v>40</v>
      </c>
      <c r="B3746" s="3" t="s">
        <v>39</v>
      </c>
      <c r="C3746" s="4">
        <v>46113</v>
      </c>
      <c r="D3746" s="4">
        <v>46142</v>
      </c>
      <c r="E3746" s="3" t="s">
        <v>260</v>
      </c>
      <c r="F3746" s="3" t="s">
        <v>232</v>
      </c>
      <c r="G3746" s="5">
        <v>1E-3</v>
      </c>
      <c r="H3746" s="6" t="s">
        <v>59</v>
      </c>
      <c r="I3746" s="3" t="s">
        <v>45</v>
      </c>
    </row>
    <row r="3747" spans="1:9" ht="48" customHeight="1">
      <c r="A3747" s="3" t="s">
        <v>40</v>
      </c>
      <c r="B3747" s="3" t="s">
        <v>39</v>
      </c>
      <c r="C3747" s="4">
        <v>46113</v>
      </c>
      <c r="D3747" s="4">
        <v>46142</v>
      </c>
      <c r="E3747" s="3" t="s">
        <v>260</v>
      </c>
      <c r="F3747" s="3" t="s">
        <v>262</v>
      </c>
      <c r="G3747" s="5">
        <v>1E-3</v>
      </c>
      <c r="H3747" s="6" t="s">
        <v>59</v>
      </c>
      <c r="I3747" s="3" t="s">
        <v>45</v>
      </c>
    </row>
    <row r="3748" spans="1:9" ht="48" customHeight="1">
      <c r="A3748" s="3" t="s">
        <v>40</v>
      </c>
      <c r="B3748" s="3" t="s">
        <v>39</v>
      </c>
      <c r="C3748" s="4">
        <v>46113</v>
      </c>
      <c r="D3748" s="4">
        <v>46142</v>
      </c>
      <c r="E3748" s="3" t="s">
        <v>260</v>
      </c>
      <c r="F3748" s="3" t="s">
        <v>261</v>
      </c>
      <c r="G3748" s="5">
        <v>1E-3</v>
      </c>
      <c r="H3748" s="6" t="s">
        <v>59</v>
      </c>
      <c r="I3748" s="3" t="s">
        <v>45</v>
      </c>
    </row>
    <row r="3749" spans="1:9" ht="48" customHeight="1">
      <c r="A3749" s="3" t="s">
        <v>40</v>
      </c>
      <c r="B3749" s="3" t="s">
        <v>39</v>
      </c>
      <c r="C3749" s="4">
        <v>46113</v>
      </c>
      <c r="D3749" s="4">
        <v>46142</v>
      </c>
      <c r="E3749" s="3" t="s">
        <v>260</v>
      </c>
      <c r="F3749" s="3" t="s">
        <v>266</v>
      </c>
      <c r="G3749" s="5">
        <v>1E-3</v>
      </c>
      <c r="H3749" s="6" t="s">
        <v>59</v>
      </c>
      <c r="I3749" s="3" t="s">
        <v>45</v>
      </c>
    </row>
    <row r="3750" spans="1:9" ht="48" customHeight="1">
      <c r="A3750" s="3" t="s">
        <v>40</v>
      </c>
      <c r="B3750" s="3" t="s">
        <v>39</v>
      </c>
      <c r="C3750" s="4">
        <v>46113</v>
      </c>
      <c r="D3750" s="4">
        <v>46142</v>
      </c>
      <c r="E3750" s="3" t="s">
        <v>260</v>
      </c>
      <c r="F3750" s="3" t="s">
        <v>264</v>
      </c>
      <c r="G3750" s="5">
        <v>1E-3</v>
      </c>
      <c r="H3750" s="6" t="s">
        <v>59</v>
      </c>
      <c r="I3750" s="3" t="s">
        <v>45</v>
      </c>
    </row>
    <row r="3751" spans="1:9" ht="48" customHeight="1">
      <c r="A3751" s="3" t="s">
        <v>40</v>
      </c>
      <c r="B3751" s="3" t="s">
        <v>39</v>
      </c>
      <c r="C3751" s="4">
        <v>46113</v>
      </c>
      <c r="D3751" s="4">
        <v>46142</v>
      </c>
      <c r="E3751" s="3" t="s">
        <v>260</v>
      </c>
      <c r="F3751" s="3" t="s">
        <v>268</v>
      </c>
      <c r="G3751" s="5">
        <v>1E-3</v>
      </c>
      <c r="H3751" s="6" t="s">
        <v>59</v>
      </c>
      <c r="I3751" s="3" t="s">
        <v>45</v>
      </c>
    </row>
    <row r="3752" spans="1:9" ht="48" customHeight="1">
      <c r="A3752" s="3" t="s">
        <v>40</v>
      </c>
      <c r="B3752" s="3" t="s">
        <v>39</v>
      </c>
      <c r="C3752" s="4">
        <v>46113</v>
      </c>
      <c r="D3752" s="4">
        <v>46142</v>
      </c>
      <c r="E3752" s="3" t="s">
        <v>260</v>
      </c>
      <c r="F3752" s="3" t="s">
        <v>234</v>
      </c>
      <c r="G3752" s="5">
        <v>0</v>
      </c>
      <c r="H3752" s="6" t="s">
        <v>59</v>
      </c>
      <c r="I3752" s="3" t="s">
        <v>45</v>
      </c>
    </row>
    <row r="3753" spans="1:9" ht="48" customHeight="1">
      <c r="A3753" s="3" t="s">
        <v>40</v>
      </c>
      <c r="B3753" s="3" t="s">
        <v>39</v>
      </c>
      <c r="C3753" s="4">
        <v>46113</v>
      </c>
      <c r="D3753" s="4">
        <v>46142</v>
      </c>
      <c r="E3753" s="3" t="s">
        <v>260</v>
      </c>
      <c r="F3753" s="3" t="s">
        <v>265</v>
      </c>
      <c r="G3753" s="5">
        <v>0</v>
      </c>
      <c r="H3753" s="6" t="s">
        <v>59</v>
      </c>
      <c r="I3753" s="3" t="s">
        <v>45</v>
      </c>
    </row>
    <row r="3754" spans="1:9" ht="48" customHeight="1">
      <c r="A3754" s="3" t="s">
        <v>40</v>
      </c>
      <c r="B3754" s="3" t="s">
        <v>39</v>
      </c>
      <c r="C3754" s="4">
        <v>46113</v>
      </c>
      <c r="D3754" s="4">
        <v>46142</v>
      </c>
      <c r="E3754" s="3" t="s">
        <v>260</v>
      </c>
      <c r="F3754" s="3" t="s">
        <v>263</v>
      </c>
      <c r="G3754" s="5">
        <v>0</v>
      </c>
      <c r="H3754" s="6" t="s">
        <v>59</v>
      </c>
      <c r="I3754" s="3" t="s">
        <v>45</v>
      </c>
    </row>
    <row r="3755" spans="1:9" ht="48" customHeight="1">
      <c r="A3755" s="3" t="s">
        <v>40</v>
      </c>
      <c r="B3755" s="3" t="s">
        <v>39</v>
      </c>
      <c r="C3755" s="4">
        <v>46113</v>
      </c>
      <c r="D3755" s="4">
        <v>46142</v>
      </c>
      <c r="E3755" s="3" t="s">
        <v>260</v>
      </c>
      <c r="F3755" s="3" t="s">
        <v>267</v>
      </c>
      <c r="G3755" s="5">
        <v>0</v>
      </c>
      <c r="H3755" s="6" t="s">
        <v>59</v>
      </c>
      <c r="I3755" s="3" t="s">
        <v>45</v>
      </c>
    </row>
    <row r="3756" spans="1:9" ht="48" customHeight="1">
      <c r="A3756" s="3" t="s">
        <v>40</v>
      </c>
      <c r="B3756" s="3" t="s">
        <v>39</v>
      </c>
      <c r="C3756" s="4">
        <v>46113</v>
      </c>
      <c r="D3756" s="4">
        <v>46142</v>
      </c>
      <c r="E3756" s="3" t="s">
        <v>260</v>
      </c>
      <c r="F3756" s="3" t="s">
        <v>273</v>
      </c>
      <c r="G3756" s="5">
        <v>0</v>
      </c>
      <c r="H3756" s="6" t="s">
        <v>59</v>
      </c>
      <c r="I3756" s="3" t="s">
        <v>45</v>
      </c>
    </row>
    <row r="3757" spans="1:9" ht="48" customHeight="1">
      <c r="A3757" s="3" t="s">
        <v>40</v>
      </c>
      <c r="B3757" s="3" t="s">
        <v>39</v>
      </c>
      <c r="C3757" s="4">
        <v>46113</v>
      </c>
      <c r="D3757" s="4">
        <v>46142</v>
      </c>
      <c r="E3757" s="3" t="s">
        <v>260</v>
      </c>
      <c r="F3757" s="3" t="s">
        <v>274</v>
      </c>
      <c r="G3757" s="5">
        <v>0</v>
      </c>
      <c r="H3757" s="6" t="s">
        <v>59</v>
      </c>
      <c r="I3757" s="3" t="s">
        <v>45</v>
      </c>
    </row>
    <row r="3758" spans="1:9" ht="48" customHeight="1">
      <c r="A3758" s="3" t="s">
        <v>40</v>
      </c>
      <c r="B3758" s="3" t="s">
        <v>39</v>
      </c>
      <c r="C3758" s="4">
        <v>46113</v>
      </c>
      <c r="D3758" s="4">
        <v>46142</v>
      </c>
      <c r="E3758" s="3" t="s">
        <v>260</v>
      </c>
      <c r="F3758" s="3" t="s">
        <v>275</v>
      </c>
      <c r="G3758" s="5">
        <v>0</v>
      </c>
      <c r="H3758" s="6" t="s">
        <v>59</v>
      </c>
      <c r="I3758" s="3" t="s">
        <v>45</v>
      </c>
    </row>
    <row r="3759" spans="1:9" ht="48" customHeight="1">
      <c r="A3759" s="3" t="s">
        <v>40</v>
      </c>
      <c r="B3759" s="3" t="s">
        <v>39</v>
      </c>
      <c r="C3759" s="4">
        <v>46113</v>
      </c>
      <c r="D3759" s="4">
        <v>46142</v>
      </c>
      <c r="E3759" s="3" t="s">
        <v>260</v>
      </c>
      <c r="F3759" s="3" t="s">
        <v>276</v>
      </c>
      <c r="G3759" s="5">
        <v>0</v>
      </c>
      <c r="H3759" s="6" t="s">
        <v>59</v>
      </c>
      <c r="I3759" s="3" t="s">
        <v>45</v>
      </c>
    </row>
    <row r="3760" spans="1:9" ht="48" customHeight="1">
      <c r="A3760" s="3" t="s">
        <v>40</v>
      </c>
      <c r="B3760" s="3" t="s">
        <v>39</v>
      </c>
      <c r="C3760" s="4">
        <v>46113</v>
      </c>
      <c r="D3760" s="4">
        <v>46142</v>
      </c>
      <c r="E3760" s="3" t="s">
        <v>260</v>
      </c>
      <c r="F3760" s="3" t="s">
        <v>277</v>
      </c>
      <c r="G3760" s="5">
        <v>0</v>
      </c>
      <c r="H3760" s="6" t="s">
        <v>59</v>
      </c>
      <c r="I3760" s="3" t="s">
        <v>45</v>
      </c>
    </row>
    <row r="3761" spans="1:9" ht="48" customHeight="1">
      <c r="A3761" s="3" t="s">
        <v>40</v>
      </c>
      <c r="B3761" s="3" t="s">
        <v>39</v>
      </c>
      <c r="C3761" s="4">
        <v>46113</v>
      </c>
      <c r="D3761" s="4">
        <v>46142</v>
      </c>
      <c r="E3761" s="3" t="s">
        <v>260</v>
      </c>
      <c r="F3761" s="3" t="s">
        <v>278</v>
      </c>
      <c r="G3761" s="5">
        <v>0</v>
      </c>
      <c r="H3761" s="6" t="s">
        <v>59</v>
      </c>
      <c r="I3761" s="3" t="s">
        <v>45</v>
      </c>
    </row>
    <row r="3762" spans="1:9" ht="48" customHeight="1">
      <c r="A3762" s="3" t="s">
        <v>40</v>
      </c>
      <c r="B3762" s="3" t="s">
        <v>39</v>
      </c>
      <c r="C3762" s="4">
        <v>46113</v>
      </c>
      <c r="D3762" s="4">
        <v>46142</v>
      </c>
      <c r="E3762" s="3" t="s">
        <v>260</v>
      </c>
      <c r="F3762" s="3" t="s">
        <v>269</v>
      </c>
      <c r="G3762" s="5">
        <v>0</v>
      </c>
      <c r="H3762" s="6" t="s">
        <v>59</v>
      </c>
      <c r="I3762" s="3" t="s">
        <v>45</v>
      </c>
    </row>
    <row r="3763" spans="1:9" ht="48" customHeight="1">
      <c r="A3763" s="3" t="s">
        <v>40</v>
      </c>
      <c r="B3763" s="3" t="s">
        <v>39</v>
      </c>
      <c r="C3763" s="4">
        <v>46113</v>
      </c>
      <c r="D3763" s="4">
        <v>46142</v>
      </c>
      <c r="E3763" s="3" t="s">
        <v>260</v>
      </c>
      <c r="F3763" s="3" t="s">
        <v>279</v>
      </c>
      <c r="G3763" s="5">
        <v>0</v>
      </c>
      <c r="H3763" s="6" t="s">
        <v>59</v>
      </c>
      <c r="I3763" s="3" t="s">
        <v>45</v>
      </c>
    </row>
    <row r="3764" spans="1:9" ht="48" customHeight="1">
      <c r="A3764" s="3" t="s">
        <v>40</v>
      </c>
      <c r="B3764" s="3" t="s">
        <v>39</v>
      </c>
      <c r="C3764" s="4">
        <v>46113</v>
      </c>
      <c r="D3764" s="4">
        <v>46142</v>
      </c>
      <c r="E3764" s="3" t="s">
        <v>260</v>
      </c>
      <c r="F3764" s="3" t="s">
        <v>270</v>
      </c>
      <c r="G3764" s="5">
        <v>0</v>
      </c>
      <c r="H3764" s="6" t="s">
        <v>59</v>
      </c>
      <c r="I3764" s="3" t="s">
        <v>45</v>
      </c>
    </row>
    <row r="3765" spans="1:9" ht="48" customHeight="1">
      <c r="A3765" s="3" t="s">
        <v>40</v>
      </c>
      <c r="B3765" s="3" t="s">
        <v>39</v>
      </c>
      <c r="C3765" s="4">
        <v>46113</v>
      </c>
      <c r="D3765" s="4">
        <v>46142</v>
      </c>
      <c r="E3765" s="3" t="s">
        <v>260</v>
      </c>
      <c r="F3765" s="3" t="s">
        <v>280</v>
      </c>
      <c r="G3765" s="5">
        <v>0</v>
      </c>
      <c r="H3765" s="6" t="s">
        <v>59</v>
      </c>
      <c r="I3765" s="3" t="s">
        <v>45</v>
      </c>
    </row>
    <row r="3766" spans="1:9" ht="48" customHeight="1">
      <c r="A3766" s="3" t="s">
        <v>40</v>
      </c>
      <c r="B3766" s="3" t="s">
        <v>39</v>
      </c>
      <c r="C3766" s="4">
        <v>46113</v>
      </c>
      <c r="D3766" s="4">
        <v>46142</v>
      </c>
      <c r="E3766" s="3" t="s">
        <v>260</v>
      </c>
      <c r="F3766" s="3" t="s">
        <v>271</v>
      </c>
      <c r="G3766" s="5">
        <v>0</v>
      </c>
      <c r="H3766" s="6" t="s">
        <v>59</v>
      </c>
      <c r="I3766" s="3" t="s">
        <v>45</v>
      </c>
    </row>
    <row r="3767" spans="1:9" ht="48" customHeight="1">
      <c r="A3767" s="3" t="s">
        <v>40</v>
      </c>
      <c r="B3767" s="3" t="s">
        <v>39</v>
      </c>
      <c r="C3767" s="4">
        <v>46113</v>
      </c>
      <c r="D3767" s="4">
        <v>46142</v>
      </c>
      <c r="E3767" s="3" t="s">
        <v>260</v>
      </c>
      <c r="F3767" s="3" t="s">
        <v>281</v>
      </c>
      <c r="G3767" s="5">
        <v>0</v>
      </c>
      <c r="H3767" s="6" t="s">
        <v>59</v>
      </c>
      <c r="I3767" s="3" t="s">
        <v>45</v>
      </c>
    </row>
    <row r="3768" spans="1:9" ht="48" customHeight="1">
      <c r="A3768" s="3" t="s">
        <v>40</v>
      </c>
      <c r="B3768" s="3" t="s">
        <v>39</v>
      </c>
      <c r="C3768" s="4">
        <v>46113</v>
      </c>
      <c r="D3768" s="4">
        <v>46142</v>
      </c>
      <c r="E3768" s="3" t="s">
        <v>260</v>
      </c>
      <c r="F3768" s="3" t="s">
        <v>272</v>
      </c>
      <c r="G3768" s="5">
        <v>0</v>
      </c>
      <c r="H3768" s="6" t="s">
        <v>59</v>
      </c>
      <c r="I3768" s="3" t="s">
        <v>45</v>
      </c>
    </row>
    <row r="3769" spans="1:9" ht="48" customHeight="1">
      <c r="A3769" s="3" t="s">
        <v>40</v>
      </c>
      <c r="B3769" s="3" t="s">
        <v>39</v>
      </c>
      <c r="C3769" s="4">
        <v>46113</v>
      </c>
      <c r="D3769" s="4">
        <v>46142</v>
      </c>
      <c r="E3769" s="3" t="s">
        <v>260</v>
      </c>
      <c r="F3769" s="3" t="s">
        <v>282</v>
      </c>
      <c r="G3769" s="5">
        <v>0</v>
      </c>
      <c r="H3769" s="6" t="s">
        <v>59</v>
      </c>
      <c r="I3769" s="3" t="s">
        <v>45</v>
      </c>
    </row>
    <row r="3770" spans="1:9" ht="48" customHeight="1">
      <c r="A3770" s="3" t="s">
        <v>40</v>
      </c>
      <c r="B3770" s="3" t="s">
        <v>39</v>
      </c>
      <c r="C3770" s="4">
        <v>46113</v>
      </c>
      <c r="D3770" s="4">
        <v>46142</v>
      </c>
      <c r="E3770" s="3" t="s">
        <v>260</v>
      </c>
      <c r="F3770" s="3" t="s">
        <v>283</v>
      </c>
      <c r="G3770" s="5">
        <v>0</v>
      </c>
      <c r="H3770" s="6" t="s">
        <v>59</v>
      </c>
      <c r="I3770" s="3" t="s">
        <v>45</v>
      </c>
    </row>
    <row r="3771" spans="1:9" ht="48" customHeight="1">
      <c r="A3771" s="3" t="s">
        <v>40</v>
      </c>
      <c r="B3771" s="3" t="s">
        <v>39</v>
      </c>
      <c r="C3771" s="4">
        <v>46113</v>
      </c>
      <c r="D3771" s="4">
        <v>46142</v>
      </c>
      <c r="E3771" s="3" t="s">
        <v>260</v>
      </c>
      <c r="F3771" s="3" t="s">
        <v>284</v>
      </c>
      <c r="G3771" s="5">
        <v>0</v>
      </c>
      <c r="H3771" s="6" t="s">
        <v>59</v>
      </c>
      <c r="I3771" s="3" t="s">
        <v>45</v>
      </c>
    </row>
    <row r="3772" spans="1:9" ht="48" customHeight="1">
      <c r="A3772" s="3" t="s">
        <v>40</v>
      </c>
      <c r="B3772" s="3" t="s">
        <v>39</v>
      </c>
      <c r="C3772" s="4">
        <v>46113</v>
      </c>
      <c r="D3772" s="4">
        <v>46142</v>
      </c>
      <c r="E3772" s="3" t="s">
        <v>260</v>
      </c>
      <c r="F3772" s="3" t="s">
        <v>285</v>
      </c>
      <c r="G3772" s="5">
        <v>0</v>
      </c>
      <c r="H3772" s="6" t="s">
        <v>59</v>
      </c>
      <c r="I3772" s="3" t="s">
        <v>45</v>
      </c>
    </row>
    <row r="3773" spans="1:9" ht="48" customHeight="1">
      <c r="A3773" s="3" t="s">
        <v>40</v>
      </c>
      <c r="B3773" s="3" t="s">
        <v>39</v>
      </c>
      <c r="C3773" s="4">
        <v>46113</v>
      </c>
      <c r="D3773" s="4">
        <v>46142</v>
      </c>
      <c r="E3773" s="3" t="s">
        <v>244</v>
      </c>
      <c r="F3773" s="3" t="s">
        <v>248</v>
      </c>
      <c r="G3773" s="5">
        <v>2E-3</v>
      </c>
      <c r="H3773" s="6" t="s">
        <v>59</v>
      </c>
      <c r="I3773" s="3" t="s">
        <v>45</v>
      </c>
    </row>
    <row r="3774" spans="1:9" ht="48" customHeight="1">
      <c r="A3774" s="3" t="s">
        <v>40</v>
      </c>
      <c r="B3774" s="3" t="s">
        <v>39</v>
      </c>
      <c r="C3774" s="4">
        <v>46113</v>
      </c>
      <c r="D3774" s="4">
        <v>46142</v>
      </c>
      <c r="E3774" s="3" t="s">
        <v>244</v>
      </c>
      <c r="F3774" s="3" t="s">
        <v>247</v>
      </c>
      <c r="G3774" s="5">
        <v>2E-3</v>
      </c>
      <c r="H3774" s="6" t="s">
        <v>59</v>
      </c>
      <c r="I3774" s="3" t="s">
        <v>45</v>
      </c>
    </row>
    <row r="3775" spans="1:9" ht="48" customHeight="1">
      <c r="A3775" s="3" t="s">
        <v>40</v>
      </c>
      <c r="B3775" s="3" t="s">
        <v>39</v>
      </c>
      <c r="C3775" s="4">
        <v>46113</v>
      </c>
      <c r="D3775" s="4">
        <v>46142</v>
      </c>
      <c r="E3775" s="3" t="s">
        <v>244</v>
      </c>
      <c r="F3775" s="3" t="s">
        <v>245</v>
      </c>
      <c r="G3775" s="5">
        <v>2E-3</v>
      </c>
      <c r="H3775" s="6" t="s">
        <v>59</v>
      </c>
      <c r="I3775" s="3" t="s">
        <v>45</v>
      </c>
    </row>
    <row r="3776" spans="1:9" ht="48" customHeight="1">
      <c r="A3776" s="3" t="s">
        <v>40</v>
      </c>
      <c r="B3776" s="3" t="s">
        <v>39</v>
      </c>
      <c r="C3776" s="4">
        <v>46113</v>
      </c>
      <c r="D3776" s="4">
        <v>46142</v>
      </c>
      <c r="E3776" s="3" t="s">
        <v>244</v>
      </c>
      <c r="F3776" s="3" t="s">
        <v>246</v>
      </c>
      <c r="G3776" s="5">
        <v>2E-3</v>
      </c>
      <c r="H3776" s="6" t="s">
        <v>59</v>
      </c>
      <c r="I3776" s="3" t="s">
        <v>45</v>
      </c>
    </row>
    <row r="3777" spans="1:9" ht="48" customHeight="1">
      <c r="A3777" s="3" t="s">
        <v>40</v>
      </c>
      <c r="B3777" s="3" t="s">
        <v>39</v>
      </c>
      <c r="C3777" s="4">
        <v>46113</v>
      </c>
      <c r="D3777" s="4">
        <v>46142</v>
      </c>
      <c r="E3777" s="3" t="s">
        <v>244</v>
      </c>
      <c r="F3777" s="3" t="s">
        <v>250</v>
      </c>
      <c r="G3777" s="5">
        <v>0</v>
      </c>
      <c r="H3777" s="6" t="s">
        <v>59</v>
      </c>
      <c r="I3777" s="3" t="s">
        <v>45</v>
      </c>
    </row>
    <row r="3778" spans="1:9" ht="48" customHeight="1">
      <c r="A3778" s="3" t="s">
        <v>40</v>
      </c>
      <c r="B3778" s="3" t="s">
        <v>39</v>
      </c>
      <c r="C3778" s="4">
        <v>46113</v>
      </c>
      <c r="D3778" s="4">
        <v>46142</v>
      </c>
      <c r="E3778" s="3" t="s">
        <v>244</v>
      </c>
      <c r="F3778" s="3" t="s">
        <v>251</v>
      </c>
      <c r="G3778" s="5">
        <v>0</v>
      </c>
      <c r="H3778" s="6" t="s">
        <v>59</v>
      </c>
      <c r="I3778" s="3" t="s">
        <v>45</v>
      </c>
    </row>
    <row r="3779" spans="1:9" ht="48" customHeight="1">
      <c r="A3779" s="3" t="s">
        <v>40</v>
      </c>
      <c r="B3779" s="3" t="s">
        <v>39</v>
      </c>
      <c r="C3779" s="4">
        <v>46113</v>
      </c>
      <c r="D3779" s="4">
        <v>46142</v>
      </c>
      <c r="E3779" s="3" t="s">
        <v>244</v>
      </c>
      <c r="F3779" s="3" t="s">
        <v>252</v>
      </c>
      <c r="G3779" s="5">
        <v>0</v>
      </c>
      <c r="H3779" s="6" t="s">
        <v>59</v>
      </c>
      <c r="I3779" s="3" t="s">
        <v>45</v>
      </c>
    </row>
    <row r="3780" spans="1:9" ht="48" customHeight="1">
      <c r="A3780" s="3" t="s">
        <v>40</v>
      </c>
      <c r="B3780" s="3" t="s">
        <v>39</v>
      </c>
      <c r="C3780" s="4">
        <v>46113</v>
      </c>
      <c r="D3780" s="4">
        <v>46142</v>
      </c>
      <c r="E3780" s="3" t="s">
        <v>244</v>
      </c>
      <c r="F3780" s="3" t="s">
        <v>249</v>
      </c>
      <c r="G3780" s="5">
        <v>0</v>
      </c>
      <c r="H3780" s="6" t="s">
        <v>59</v>
      </c>
      <c r="I3780" s="3" t="s">
        <v>45</v>
      </c>
    </row>
    <row r="3781" spans="1:9" ht="48" customHeight="1">
      <c r="A3781" s="3" t="s">
        <v>40</v>
      </c>
      <c r="B3781" s="3" t="s">
        <v>39</v>
      </c>
      <c r="C3781" s="4">
        <v>46113</v>
      </c>
      <c r="D3781" s="4">
        <v>46142</v>
      </c>
      <c r="E3781" s="3" t="s">
        <v>244</v>
      </c>
      <c r="F3781" s="3" t="s">
        <v>255</v>
      </c>
      <c r="G3781" s="5">
        <v>0</v>
      </c>
      <c r="H3781" s="6" t="s">
        <v>59</v>
      </c>
      <c r="I3781" s="3" t="s">
        <v>45</v>
      </c>
    </row>
    <row r="3782" spans="1:9" ht="48" customHeight="1">
      <c r="A3782" s="3" t="s">
        <v>40</v>
      </c>
      <c r="B3782" s="3" t="s">
        <v>39</v>
      </c>
      <c r="C3782" s="4">
        <v>46113</v>
      </c>
      <c r="D3782" s="4">
        <v>46142</v>
      </c>
      <c r="E3782" s="3" t="s">
        <v>244</v>
      </c>
      <c r="F3782" s="3" t="s">
        <v>256</v>
      </c>
      <c r="G3782" s="5">
        <v>0</v>
      </c>
      <c r="H3782" s="6" t="s">
        <v>59</v>
      </c>
      <c r="I3782" s="3" t="s">
        <v>45</v>
      </c>
    </row>
    <row r="3783" spans="1:9" ht="48" customHeight="1">
      <c r="A3783" s="3" t="s">
        <v>40</v>
      </c>
      <c r="B3783" s="3" t="s">
        <v>39</v>
      </c>
      <c r="C3783" s="4">
        <v>46113</v>
      </c>
      <c r="D3783" s="4">
        <v>46142</v>
      </c>
      <c r="E3783" s="3" t="s">
        <v>244</v>
      </c>
      <c r="F3783" s="3" t="s">
        <v>257</v>
      </c>
      <c r="G3783" s="5">
        <v>0</v>
      </c>
      <c r="H3783" s="6" t="s">
        <v>59</v>
      </c>
      <c r="I3783" s="3" t="s">
        <v>45</v>
      </c>
    </row>
    <row r="3784" spans="1:9" ht="48" customHeight="1">
      <c r="A3784" s="3" t="s">
        <v>40</v>
      </c>
      <c r="B3784" s="3" t="s">
        <v>39</v>
      </c>
      <c r="C3784" s="4">
        <v>46113</v>
      </c>
      <c r="D3784" s="4">
        <v>46142</v>
      </c>
      <c r="E3784" s="3" t="s">
        <v>244</v>
      </c>
      <c r="F3784" s="3" t="s">
        <v>258</v>
      </c>
      <c r="G3784" s="5">
        <v>0</v>
      </c>
      <c r="H3784" s="6" t="s">
        <v>59</v>
      </c>
      <c r="I3784" s="3" t="s">
        <v>45</v>
      </c>
    </row>
    <row r="3785" spans="1:9" ht="48" customHeight="1">
      <c r="A3785" s="3" t="s">
        <v>40</v>
      </c>
      <c r="B3785" s="3" t="s">
        <v>39</v>
      </c>
      <c r="C3785" s="4">
        <v>46113</v>
      </c>
      <c r="D3785" s="4">
        <v>46142</v>
      </c>
      <c r="E3785" s="3" t="s">
        <v>244</v>
      </c>
      <c r="F3785" s="3" t="s">
        <v>259</v>
      </c>
      <c r="G3785" s="5">
        <v>0</v>
      </c>
      <c r="H3785" s="6" t="s">
        <v>59</v>
      </c>
      <c r="I3785" s="3" t="s">
        <v>45</v>
      </c>
    </row>
    <row r="3786" spans="1:9" ht="48" customHeight="1">
      <c r="A3786" s="3" t="s">
        <v>40</v>
      </c>
      <c r="B3786" s="3" t="s">
        <v>39</v>
      </c>
      <c r="C3786" s="4">
        <v>46113</v>
      </c>
      <c r="D3786" s="4">
        <v>46142</v>
      </c>
      <c r="E3786" s="3" t="s">
        <v>244</v>
      </c>
      <c r="F3786" s="3" t="s">
        <v>253</v>
      </c>
      <c r="G3786" s="5">
        <v>0</v>
      </c>
      <c r="H3786" s="6" t="s">
        <v>59</v>
      </c>
      <c r="I3786" s="3" t="s">
        <v>45</v>
      </c>
    </row>
    <row r="3787" spans="1:9" ht="48" customHeight="1">
      <c r="A3787" s="3" t="s">
        <v>40</v>
      </c>
      <c r="B3787" s="3" t="s">
        <v>39</v>
      </c>
      <c r="C3787" s="4">
        <v>46113</v>
      </c>
      <c r="D3787" s="4">
        <v>46142</v>
      </c>
      <c r="E3787" s="3" t="s">
        <v>244</v>
      </c>
      <c r="F3787" s="3" t="s">
        <v>254</v>
      </c>
      <c r="G3787" s="5">
        <v>0</v>
      </c>
      <c r="H3787" s="6" t="s">
        <v>59</v>
      </c>
      <c r="I3787" s="3" t="s">
        <v>45</v>
      </c>
    </row>
    <row r="3788" spans="1:9" ht="48" customHeight="1">
      <c r="A3788" s="3" t="s">
        <v>40</v>
      </c>
      <c r="B3788" s="3" t="s">
        <v>39</v>
      </c>
      <c r="C3788" s="4">
        <v>46113</v>
      </c>
      <c r="D3788" s="4">
        <v>46142</v>
      </c>
      <c r="E3788" s="3" t="s">
        <v>379</v>
      </c>
      <c r="F3788" s="3" t="s">
        <v>230</v>
      </c>
      <c r="G3788" s="5">
        <v>2E-3</v>
      </c>
      <c r="H3788" s="6" t="s">
        <v>59</v>
      </c>
      <c r="I3788" s="3" t="s">
        <v>45</v>
      </c>
    </row>
    <row r="3789" spans="1:9" ht="48" customHeight="1">
      <c r="A3789" s="3" t="s">
        <v>40</v>
      </c>
      <c r="B3789" s="3" t="s">
        <v>39</v>
      </c>
      <c r="C3789" s="4">
        <v>46113</v>
      </c>
      <c r="D3789" s="4">
        <v>46142</v>
      </c>
      <c r="E3789" s="3" t="s">
        <v>379</v>
      </c>
      <c r="F3789" s="3" t="s">
        <v>265</v>
      </c>
      <c r="G3789" s="5">
        <v>2E-3</v>
      </c>
      <c r="H3789" s="6" t="s">
        <v>59</v>
      </c>
      <c r="I3789" s="3" t="s">
        <v>45</v>
      </c>
    </row>
    <row r="3790" spans="1:9" ht="48" customHeight="1">
      <c r="A3790" s="3" t="s">
        <v>40</v>
      </c>
      <c r="B3790" s="3" t="s">
        <v>39</v>
      </c>
      <c r="C3790" s="4">
        <v>46113</v>
      </c>
      <c r="D3790" s="4">
        <v>46142</v>
      </c>
      <c r="E3790" s="3" t="s">
        <v>379</v>
      </c>
      <c r="F3790" s="3" t="s">
        <v>380</v>
      </c>
      <c r="G3790" s="5">
        <v>2E-3</v>
      </c>
      <c r="H3790" s="6" t="s">
        <v>59</v>
      </c>
      <c r="I3790" s="3" t="s">
        <v>45</v>
      </c>
    </row>
    <row r="3791" spans="1:9" ht="48" customHeight="1">
      <c r="A3791" s="3" t="s">
        <v>40</v>
      </c>
      <c r="B3791" s="3" t="s">
        <v>39</v>
      </c>
      <c r="C3791" s="4">
        <v>46113</v>
      </c>
      <c r="D3791" s="4">
        <v>46142</v>
      </c>
      <c r="E3791" s="3" t="s">
        <v>379</v>
      </c>
      <c r="F3791" s="3" t="s">
        <v>234</v>
      </c>
      <c r="G3791" s="5">
        <v>1E-3</v>
      </c>
      <c r="H3791" s="6" t="s">
        <v>59</v>
      </c>
      <c r="I3791" s="3" t="s">
        <v>45</v>
      </c>
    </row>
    <row r="3792" spans="1:9" ht="48" customHeight="1">
      <c r="A3792" s="3" t="s">
        <v>40</v>
      </c>
      <c r="B3792" s="3" t="s">
        <v>39</v>
      </c>
      <c r="C3792" s="4">
        <v>46113</v>
      </c>
      <c r="D3792" s="4">
        <v>46142</v>
      </c>
      <c r="E3792" s="3" t="s">
        <v>379</v>
      </c>
      <c r="F3792" s="3" t="s">
        <v>262</v>
      </c>
      <c r="G3792" s="5">
        <v>1E-3</v>
      </c>
      <c r="H3792" s="6" t="s">
        <v>59</v>
      </c>
      <c r="I3792" s="3" t="s">
        <v>45</v>
      </c>
    </row>
    <row r="3793" spans="1:9" ht="48" customHeight="1">
      <c r="A3793" s="3" t="s">
        <v>40</v>
      </c>
      <c r="B3793" s="3" t="s">
        <v>39</v>
      </c>
      <c r="C3793" s="4">
        <v>46113</v>
      </c>
      <c r="D3793" s="4">
        <v>46142</v>
      </c>
      <c r="E3793" s="3" t="s">
        <v>301</v>
      </c>
      <c r="F3793" s="3" t="s">
        <v>301</v>
      </c>
      <c r="G3793" s="5">
        <v>4.0000000000000001E-3</v>
      </c>
      <c r="H3793" s="6" t="s">
        <v>59</v>
      </c>
      <c r="I3793" s="3" t="s">
        <v>45</v>
      </c>
    </row>
    <row r="3794" spans="1:9" ht="48" customHeight="1">
      <c r="A3794" s="3" t="s">
        <v>40</v>
      </c>
      <c r="B3794" s="3" t="s">
        <v>39</v>
      </c>
      <c r="C3794" s="4">
        <v>46113</v>
      </c>
      <c r="D3794" s="4">
        <v>46142</v>
      </c>
      <c r="E3794" s="3" t="s">
        <v>381</v>
      </c>
      <c r="F3794" s="3" t="s">
        <v>382</v>
      </c>
      <c r="G3794" s="5">
        <v>2E-3</v>
      </c>
      <c r="H3794" s="6" t="s">
        <v>59</v>
      </c>
      <c r="I3794" s="3" t="s">
        <v>45</v>
      </c>
    </row>
    <row r="3795" spans="1:9" ht="48" customHeight="1">
      <c r="A3795" s="3" t="s">
        <v>40</v>
      </c>
      <c r="B3795" s="3" t="s">
        <v>39</v>
      </c>
      <c r="C3795" s="4">
        <v>46113</v>
      </c>
      <c r="D3795" s="4">
        <v>46142</v>
      </c>
      <c r="E3795" s="3" t="s">
        <v>381</v>
      </c>
      <c r="F3795" s="3" t="s">
        <v>383</v>
      </c>
      <c r="G3795" s="5">
        <v>1E-3</v>
      </c>
      <c r="H3795" s="6" t="s">
        <v>59</v>
      </c>
      <c r="I3795" s="3" t="s">
        <v>45</v>
      </c>
    </row>
    <row r="3796" spans="1:9" ht="48" customHeight="1">
      <c r="A3796" s="3" t="s">
        <v>40</v>
      </c>
      <c r="B3796" s="3" t="s">
        <v>39</v>
      </c>
      <c r="C3796" s="4">
        <v>46143</v>
      </c>
      <c r="D3796" s="4">
        <v>46173</v>
      </c>
      <c r="E3796" s="3" t="s">
        <v>161</v>
      </c>
      <c r="F3796" s="3" t="s">
        <v>172</v>
      </c>
      <c r="G3796" s="5">
        <v>1.3999999999999999E-2</v>
      </c>
      <c r="H3796" s="6" t="s">
        <v>60</v>
      </c>
      <c r="I3796" s="3" t="s">
        <v>45</v>
      </c>
    </row>
    <row r="3797" spans="1:9" ht="48" customHeight="1">
      <c r="A3797" s="3" t="s">
        <v>40</v>
      </c>
      <c r="B3797" s="3" t="s">
        <v>39</v>
      </c>
      <c r="C3797" s="4">
        <v>46143</v>
      </c>
      <c r="D3797" s="4">
        <v>46173</v>
      </c>
      <c r="E3797" s="3" t="s">
        <v>161</v>
      </c>
      <c r="F3797" s="3" t="s">
        <v>162</v>
      </c>
      <c r="G3797" s="5">
        <v>1.2E-2</v>
      </c>
      <c r="H3797" s="6" t="s">
        <v>60</v>
      </c>
      <c r="I3797" s="3" t="s">
        <v>45</v>
      </c>
    </row>
    <row r="3798" spans="1:9" ht="48" customHeight="1">
      <c r="A3798" s="3" t="s">
        <v>40</v>
      </c>
      <c r="B3798" s="3" t="s">
        <v>39</v>
      </c>
      <c r="C3798" s="4">
        <v>46143</v>
      </c>
      <c r="D3798" s="4">
        <v>46173</v>
      </c>
      <c r="E3798" s="3" t="s">
        <v>161</v>
      </c>
      <c r="F3798" s="3" t="s">
        <v>166</v>
      </c>
      <c r="G3798" s="5">
        <v>1.2E-2</v>
      </c>
      <c r="H3798" s="6" t="s">
        <v>60</v>
      </c>
      <c r="I3798" s="3" t="s">
        <v>45</v>
      </c>
    </row>
    <row r="3799" spans="1:9" ht="48" customHeight="1">
      <c r="A3799" s="3" t="s">
        <v>40</v>
      </c>
      <c r="B3799" s="3" t="s">
        <v>39</v>
      </c>
      <c r="C3799" s="4">
        <v>46143</v>
      </c>
      <c r="D3799" s="4">
        <v>46173</v>
      </c>
      <c r="E3799" s="3" t="s">
        <v>161</v>
      </c>
      <c r="F3799" s="3" t="s">
        <v>184</v>
      </c>
      <c r="G3799" s="5">
        <v>1.2E-2</v>
      </c>
      <c r="H3799" s="6" t="s">
        <v>60</v>
      </c>
      <c r="I3799" s="3" t="s">
        <v>45</v>
      </c>
    </row>
    <row r="3800" spans="1:9" ht="48" customHeight="1">
      <c r="A3800" s="3" t="s">
        <v>40</v>
      </c>
      <c r="B3800" s="3" t="s">
        <v>39</v>
      </c>
      <c r="C3800" s="4">
        <v>46143</v>
      </c>
      <c r="D3800" s="4">
        <v>46173</v>
      </c>
      <c r="E3800" s="3" t="s">
        <v>161</v>
      </c>
      <c r="F3800" s="3" t="s">
        <v>168</v>
      </c>
      <c r="G3800" s="5">
        <v>0.01</v>
      </c>
      <c r="H3800" s="6" t="s">
        <v>60</v>
      </c>
      <c r="I3800" s="3" t="s">
        <v>45</v>
      </c>
    </row>
    <row r="3801" spans="1:9" ht="48" customHeight="1">
      <c r="A3801" s="3" t="s">
        <v>40</v>
      </c>
      <c r="B3801" s="3" t="s">
        <v>39</v>
      </c>
      <c r="C3801" s="4">
        <v>46143</v>
      </c>
      <c r="D3801" s="4">
        <v>46173</v>
      </c>
      <c r="E3801" s="3" t="s">
        <v>161</v>
      </c>
      <c r="F3801" s="3" t="s">
        <v>385</v>
      </c>
      <c r="G3801" s="5">
        <v>0.01</v>
      </c>
      <c r="H3801" s="6" t="s">
        <v>60</v>
      </c>
      <c r="I3801" s="3" t="s">
        <v>45</v>
      </c>
    </row>
    <row r="3802" spans="1:9" ht="48" customHeight="1">
      <c r="A3802" s="3" t="s">
        <v>40</v>
      </c>
      <c r="B3802" s="3" t="s">
        <v>39</v>
      </c>
      <c r="C3802" s="4">
        <v>46143</v>
      </c>
      <c r="D3802" s="4">
        <v>46173</v>
      </c>
      <c r="E3802" s="3" t="s">
        <v>161</v>
      </c>
      <c r="F3802" s="3" t="s">
        <v>164</v>
      </c>
      <c r="G3802" s="5">
        <v>9.0000000000000011E-3</v>
      </c>
      <c r="H3802" s="6" t="s">
        <v>60</v>
      </c>
      <c r="I3802" s="3" t="s">
        <v>45</v>
      </c>
    </row>
    <row r="3803" spans="1:9" ht="48" customHeight="1">
      <c r="A3803" s="3" t="s">
        <v>40</v>
      </c>
      <c r="B3803" s="3" t="s">
        <v>39</v>
      </c>
      <c r="C3803" s="4">
        <v>46143</v>
      </c>
      <c r="D3803" s="4">
        <v>46173</v>
      </c>
      <c r="E3803" s="3" t="s">
        <v>161</v>
      </c>
      <c r="F3803" s="3" t="s">
        <v>163</v>
      </c>
      <c r="G3803" s="5">
        <v>9.0000000000000011E-3</v>
      </c>
      <c r="H3803" s="6" t="s">
        <v>60</v>
      </c>
      <c r="I3803" s="3" t="s">
        <v>45</v>
      </c>
    </row>
    <row r="3804" spans="1:9" ht="48" customHeight="1">
      <c r="A3804" s="3" t="s">
        <v>40</v>
      </c>
      <c r="B3804" s="3" t="s">
        <v>39</v>
      </c>
      <c r="C3804" s="4">
        <v>46143</v>
      </c>
      <c r="D3804" s="4">
        <v>46173</v>
      </c>
      <c r="E3804" s="3" t="s">
        <v>161</v>
      </c>
      <c r="F3804" s="3" t="s">
        <v>180</v>
      </c>
      <c r="G3804" s="5">
        <v>9.0000000000000011E-3</v>
      </c>
      <c r="H3804" s="6" t="s">
        <v>60</v>
      </c>
      <c r="I3804" s="3" t="s">
        <v>45</v>
      </c>
    </row>
    <row r="3805" spans="1:9" ht="48" customHeight="1">
      <c r="A3805" s="3" t="s">
        <v>40</v>
      </c>
      <c r="B3805" s="3" t="s">
        <v>39</v>
      </c>
      <c r="C3805" s="4">
        <v>46143</v>
      </c>
      <c r="D3805" s="4">
        <v>46173</v>
      </c>
      <c r="E3805" s="3" t="s">
        <v>161</v>
      </c>
      <c r="F3805" s="3" t="s">
        <v>167</v>
      </c>
      <c r="G3805" s="5">
        <v>8.0000000000000002E-3</v>
      </c>
      <c r="H3805" s="6" t="s">
        <v>60</v>
      </c>
      <c r="I3805" s="3" t="s">
        <v>45</v>
      </c>
    </row>
    <row r="3806" spans="1:9" ht="48" customHeight="1">
      <c r="A3806" s="3" t="s">
        <v>40</v>
      </c>
      <c r="B3806" s="3" t="s">
        <v>39</v>
      </c>
      <c r="C3806" s="4">
        <v>46143</v>
      </c>
      <c r="D3806" s="4">
        <v>46173</v>
      </c>
      <c r="E3806" s="3" t="s">
        <v>161</v>
      </c>
      <c r="F3806" s="3" t="s">
        <v>188</v>
      </c>
      <c r="G3806" s="5">
        <v>8.0000000000000002E-3</v>
      </c>
      <c r="H3806" s="6" t="s">
        <v>60</v>
      </c>
      <c r="I3806" s="3" t="s">
        <v>45</v>
      </c>
    </row>
    <row r="3807" spans="1:9" ht="48" customHeight="1">
      <c r="A3807" s="3" t="s">
        <v>40</v>
      </c>
      <c r="B3807" s="3" t="s">
        <v>39</v>
      </c>
      <c r="C3807" s="4">
        <v>46143</v>
      </c>
      <c r="D3807" s="4">
        <v>46173</v>
      </c>
      <c r="E3807" s="3" t="s">
        <v>161</v>
      </c>
      <c r="F3807" s="3" t="s">
        <v>181</v>
      </c>
      <c r="G3807" s="5">
        <v>8.0000000000000002E-3</v>
      </c>
      <c r="H3807" s="6" t="s">
        <v>60</v>
      </c>
      <c r="I3807" s="3" t="s">
        <v>45</v>
      </c>
    </row>
    <row r="3808" spans="1:9" ht="48" customHeight="1">
      <c r="A3808" s="3" t="s">
        <v>40</v>
      </c>
      <c r="B3808" s="3" t="s">
        <v>39</v>
      </c>
      <c r="C3808" s="4">
        <v>46143</v>
      </c>
      <c r="D3808" s="4">
        <v>46173</v>
      </c>
      <c r="E3808" s="3" t="s">
        <v>161</v>
      </c>
      <c r="F3808" s="3" t="s">
        <v>195</v>
      </c>
      <c r="G3808" s="5">
        <v>8.0000000000000002E-3</v>
      </c>
      <c r="H3808" s="6" t="s">
        <v>60</v>
      </c>
      <c r="I3808" s="3" t="s">
        <v>45</v>
      </c>
    </row>
    <row r="3809" spans="1:9" ht="48" customHeight="1">
      <c r="A3809" s="3" t="s">
        <v>40</v>
      </c>
      <c r="B3809" s="3" t="s">
        <v>39</v>
      </c>
      <c r="C3809" s="4">
        <v>46143</v>
      </c>
      <c r="D3809" s="4">
        <v>46173</v>
      </c>
      <c r="E3809" s="3" t="s">
        <v>161</v>
      </c>
      <c r="F3809" s="3" t="s">
        <v>173</v>
      </c>
      <c r="G3809" s="5">
        <v>8.0000000000000002E-3</v>
      </c>
      <c r="H3809" s="6" t="s">
        <v>60</v>
      </c>
      <c r="I3809" s="3" t="s">
        <v>45</v>
      </c>
    </row>
    <row r="3810" spans="1:9" ht="48" customHeight="1">
      <c r="A3810" s="3" t="s">
        <v>40</v>
      </c>
      <c r="B3810" s="3" t="s">
        <v>39</v>
      </c>
      <c r="C3810" s="4">
        <v>46143</v>
      </c>
      <c r="D3810" s="4">
        <v>46173</v>
      </c>
      <c r="E3810" s="3" t="s">
        <v>161</v>
      </c>
      <c r="F3810" s="3" t="s">
        <v>169</v>
      </c>
      <c r="G3810" s="5">
        <v>6.9999999999999993E-3</v>
      </c>
      <c r="H3810" s="6" t="s">
        <v>60</v>
      </c>
      <c r="I3810" s="3" t="s">
        <v>45</v>
      </c>
    </row>
    <row r="3811" spans="1:9" ht="48" customHeight="1">
      <c r="A3811" s="3" t="s">
        <v>40</v>
      </c>
      <c r="B3811" s="3" t="s">
        <v>39</v>
      </c>
      <c r="C3811" s="4">
        <v>46143</v>
      </c>
      <c r="D3811" s="4">
        <v>46173</v>
      </c>
      <c r="E3811" s="3" t="s">
        <v>161</v>
      </c>
      <c r="F3811" s="3" t="s">
        <v>177</v>
      </c>
      <c r="G3811" s="5">
        <v>6.9999999999999993E-3</v>
      </c>
      <c r="H3811" s="6" t="s">
        <v>60</v>
      </c>
      <c r="I3811" s="3" t="s">
        <v>45</v>
      </c>
    </row>
    <row r="3812" spans="1:9" ht="48" customHeight="1">
      <c r="A3812" s="3" t="s">
        <v>40</v>
      </c>
      <c r="B3812" s="3" t="s">
        <v>39</v>
      </c>
      <c r="C3812" s="4">
        <v>46143</v>
      </c>
      <c r="D3812" s="4">
        <v>46173</v>
      </c>
      <c r="E3812" s="3" t="s">
        <v>161</v>
      </c>
      <c r="F3812" s="3" t="s">
        <v>174</v>
      </c>
      <c r="G3812" s="5">
        <v>6.0000000000000001E-3</v>
      </c>
      <c r="H3812" s="6" t="s">
        <v>60</v>
      </c>
      <c r="I3812" s="3" t="s">
        <v>45</v>
      </c>
    </row>
    <row r="3813" spans="1:9" ht="48" customHeight="1">
      <c r="A3813" s="3" t="s">
        <v>40</v>
      </c>
      <c r="B3813" s="3" t="s">
        <v>39</v>
      </c>
      <c r="C3813" s="4">
        <v>46143</v>
      </c>
      <c r="D3813" s="4">
        <v>46173</v>
      </c>
      <c r="E3813" s="3" t="s">
        <v>161</v>
      </c>
      <c r="F3813" s="3" t="s">
        <v>191</v>
      </c>
      <c r="G3813" s="5">
        <v>6.0000000000000001E-3</v>
      </c>
      <c r="H3813" s="6" t="s">
        <v>60</v>
      </c>
      <c r="I3813" s="3" t="s">
        <v>45</v>
      </c>
    </row>
    <row r="3814" spans="1:9" ht="48" customHeight="1">
      <c r="A3814" s="3" t="s">
        <v>40</v>
      </c>
      <c r="B3814" s="3" t="s">
        <v>39</v>
      </c>
      <c r="C3814" s="4">
        <v>46143</v>
      </c>
      <c r="D3814" s="4">
        <v>46173</v>
      </c>
      <c r="E3814" s="3" t="s">
        <v>161</v>
      </c>
      <c r="F3814" s="3" t="s">
        <v>165</v>
      </c>
      <c r="G3814" s="5">
        <v>6.0000000000000001E-3</v>
      </c>
      <c r="H3814" s="6" t="s">
        <v>60</v>
      </c>
      <c r="I3814" s="3" t="s">
        <v>45</v>
      </c>
    </row>
    <row r="3815" spans="1:9" ht="48" customHeight="1">
      <c r="A3815" s="3" t="s">
        <v>40</v>
      </c>
      <c r="B3815" s="3" t="s">
        <v>39</v>
      </c>
      <c r="C3815" s="4">
        <v>46143</v>
      </c>
      <c r="D3815" s="4">
        <v>46173</v>
      </c>
      <c r="E3815" s="3" t="s">
        <v>161</v>
      </c>
      <c r="F3815" s="3" t="s">
        <v>171</v>
      </c>
      <c r="G3815" s="5">
        <v>6.0000000000000001E-3</v>
      </c>
      <c r="H3815" s="6" t="s">
        <v>60</v>
      </c>
      <c r="I3815" s="3" t="s">
        <v>45</v>
      </c>
    </row>
    <row r="3816" spans="1:9" ht="48" customHeight="1">
      <c r="A3816" s="3" t="s">
        <v>40</v>
      </c>
      <c r="B3816" s="3" t="s">
        <v>39</v>
      </c>
      <c r="C3816" s="4">
        <v>46143</v>
      </c>
      <c r="D3816" s="4">
        <v>46173</v>
      </c>
      <c r="E3816" s="3" t="s">
        <v>161</v>
      </c>
      <c r="F3816" s="3" t="s">
        <v>178</v>
      </c>
      <c r="G3816" s="5">
        <v>6.0000000000000001E-3</v>
      </c>
      <c r="H3816" s="6" t="s">
        <v>60</v>
      </c>
      <c r="I3816" s="3" t="s">
        <v>45</v>
      </c>
    </row>
    <row r="3817" spans="1:9" ht="48" customHeight="1">
      <c r="A3817" s="3" t="s">
        <v>40</v>
      </c>
      <c r="B3817" s="3" t="s">
        <v>39</v>
      </c>
      <c r="C3817" s="4">
        <v>46143</v>
      </c>
      <c r="D3817" s="4">
        <v>46173</v>
      </c>
      <c r="E3817" s="3" t="s">
        <v>161</v>
      </c>
      <c r="F3817" s="3" t="s">
        <v>182</v>
      </c>
      <c r="G3817" s="5">
        <v>6.0000000000000001E-3</v>
      </c>
      <c r="H3817" s="6" t="s">
        <v>60</v>
      </c>
      <c r="I3817" s="3" t="s">
        <v>45</v>
      </c>
    </row>
    <row r="3818" spans="1:9" ht="48" customHeight="1">
      <c r="A3818" s="3" t="s">
        <v>40</v>
      </c>
      <c r="B3818" s="3" t="s">
        <v>39</v>
      </c>
      <c r="C3818" s="4">
        <v>46143</v>
      </c>
      <c r="D3818" s="4">
        <v>46173</v>
      </c>
      <c r="E3818" s="3" t="s">
        <v>161</v>
      </c>
      <c r="F3818" s="3" t="s">
        <v>384</v>
      </c>
      <c r="G3818" s="5">
        <v>6.0000000000000001E-3</v>
      </c>
      <c r="H3818" s="6" t="s">
        <v>60</v>
      </c>
      <c r="I3818" s="3" t="s">
        <v>45</v>
      </c>
    </row>
    <row r="3819" spans="1:9" ht="48" customHeight="1">
      <c r="A3819" s="3" t="s">
        <v>40</v>
      </c>
      <c r="B3819" s="3" t="s">
        <v>39</v>
      </c>
      <c r="C3819" s="4">
        <v>46143</v>
      </c>
      <c r="D3819" s="4">
        <v>46173</v>
      </c>
      <c r="E3819" s="3" t="s">
        <v>161</v>
      </c>
      <c r="F3819" s="3" t="s">
        <v>175</v>
      </c>
      <c r="G3819" s="5">
        <v>5.0000000000000001E-3</v>
      </c>
      <c r="H3819" s="6" t="s">
        <v>60</v>
      </c>
      <c r="I3819" s="3" t="s">
        <v>45</v>
      </c>
    </row>
    <row r="3820" spans="1:9" ht="48" customHeight="1">
      <c r="A3820" s="3" t="s">
        <v>40</v>
      </c>
      <c r="B3820" s="3" t="s">
        <v>39</v>
      </c>
      <c r="C3820" s="4">
        <v>46143</v>
      </c>
      <c r="D3820" s="4">
        <v>46173</v>
      </c>
      <c r="E3820" s="3" t="s">
        <v>161</v>
      </c>
      <c r="F3820" s="3" t="s">
        <v>189</v>
      </c>
      <c r="G3820" s="5">
        <v>5.0000000000000001E-3</v>
      </c>
      <c r="H3820" s="6" t="s">
        <v>60</v>
      </c>
      <c r="I3820" s="3" t="s">
        <v>45</v>
      </c>
    </row>
    <row r="3821" spans="1:9" ht="48" customHeight="1">
      <c r="A3821" s="3" t="s">
        <v>40</v>
      </c>
      <c r="B3821" s="3" t="s">
        <v>39</v>
      </c>
      <c r="C3821" s="4">
        <v>46143</v>
      </c>
      <c r="D3821" s="4">
        <v>46173</v>
      </c>
      <c r="E3821" s="3" t="s">
        <v>161</v>
      </c>
      <c r="F3821" s="3" t="s">
        <v>170</v>
      </c>
      <c r="G3821" s="5">
        <v>5.0000000000000001E-3</v>
      </c>
      <c r="H3821" s="6" t="s">
        <v>60</v>
      </c>
      <c r="I3821" s="3" t="s">
        <v>45</v>
      </c>
    </row>
    <row r="3822" spans="1:9" ht="48" customHeight="1">
      <c r="A3822" s="3" t="s">
        <v>40</v>
      </c>
      <c r="B3822" s="3" t="s">
        <v>39</v>
      </c>
      <c r="C3822" s="4">
        <v>46143</v>
      </c>
      <c r="D3822" s="4">
        <v>46173</v>
      </c>
      <c r="E3822" s="3" t="s">
        <v>161</v>
      </c>
      <c r="F3822" s="3" t="s">
        <v>187</v>
      </c>
      <c r="G3822" s="5">
        <v>5.0000000000000001E-3</v>
      </c>
      <c r="H3822" s="6" t="s">
        <v>60</v>
      </c>
      <c r="I3822" s="3" t="s">
        <v>45</v>
      </c>
    </row>
    <row r="3823" spans="1:9" ht="48" customHeight="1">
      <c r="A3823" s="3" t="s">
        <v>40</v>
      </c>
      <c r="B3823" s="3" t="s">
        <v>39</v>
      </c>
      <c r="C3823" s="4">
        <v>46143</v>
      </c>
      <c r="D3823" s="4">
        <v>46173</v>
      </c>
      <c r="E3823" s="3" t="s">
        <v>161</v>
      </c>
      <c r="F3823" s="3" t="s">
        <v>179</v>
      </c>
      <c r="G3823" s="5">
        <v>5.0000000000000001E-3</v>
      </c>
      <c r="H3823" s="6" t="s">
        <v>60</v>
      </c>
      <c r="I3823" s="3" t="s">
        <v>45</v>
      </c>
    </row>
    <row r="3824" spans="1:9" ht="48" customHeight="1">
      <c r="A3824" s="3" t="s">
        <v>40</v>
      </c>
      <c r="B3824" s="3" t="s">
        <v>39</v>
      </c>
      <c r="C3824" s="4">
        <v>46143</v>
      </c>
      <c r="D3824" s="4">
        <v>46173</v>
      </c>
      <c r="E3824" s="3" t="s">
        <v>161</v>
      </c>
      <c r="F3824" s="3" t="s">
        <v>183</v>
      </c>
      <c r="G3824" s="5">
        <v>5.0000000000000001E-3</v>
      </c>
      <c r="H3824" s="6" t="s">
        <v>60</v>
      </c>
      <c r="I3824" s="3" t="s">
        <v>45</v>
      </c>
    </row>
    <row r="3825" spans="1:9" ht="48" customHeight="1">
      <c r="A3825" s="3" t="s">
        <v>40</v>
      </c>
      <c r="B3825" s="3" t="s">
        <v>39</v>
      </c>
      <c r="C3825" s="4">
        <v>46143</v>
      </c>
      <c r="D3825" s="4">
        <v>46173</v>
      </c>
      <c r="E3825" s="3" t="s">
        <v>161</v>
      </c>
      <c r="F3825" s="3" t="s">
        <v>200</v>
      </c>
      <c r="G3825" s="5">
        <v>5.0000000000000001E-3</v>
      </c>
      <c r="H3825" s="6" t="s">
        <v>60</v>
      </c>
      <c r="I3825" s="3" t="s">
        <v>45</v>
      </c>
    </row>
    <row r="3826" spans="1:9" ht="48" customHeight="1">
      <c r="A3826" s="3" t="s">
        <v>40</v>
      </c>
      <c r="B3826" s="3" t="s">
        <v>39</v>
      </c>
      <c r="C3826" s="4">
        <v>46143</v>
      </c>
      <c r="D3826" s="4">
        <v>46173</v>
      </c>
      <c r="E3826" s="3" t="s">
        <v>161</v>
      </c>
      <c r="F3826" s="3" t="s">
        <v>190</v>
      </c>
      <c r="G3826" s="5">
        <v>4.0000000000000001E-3</v>
      </c>
      <c r="H3826" s="6" t="s">
        <v>60</v>
      </c>
      <c r="I3826" s="3" t="s">
        <v>45</v>
      </c>
    </row>
    <row r="3827" spans="1:9" ht="48" customHeight="1">
      <c r="A3827" s="3" t="s">
        <v>40</v>
      </c>
      <c r="B3827" s="3" t="s">
        <v>39</v>
      </c>
      <c r="C3827" s="4">
        <v>46143</v>
      </c>
      <c r="D3827" s="4">
        <v>46173</v>
      </c>
      <c r="E3827" s="3" t="s">
        <v>161</v>
      </c>
      <c r="F3827" s="3" t="s">
        <v>176</v>
      </c>
      <c r="G3827" s="5">
        <v>4.0000000000000001E-3</v>
      </c>
      <c r="H3827" s="6" t="s">
        <v>60</v>
      </c>
      <c r="I3827" s="3" t="s">
        <v>45</v>
      </c>
    </row>
    <row r="3828" spans="1:9" ht="48" customHeight="1">
      <c r="A3828" s="3" t="s">
        <v>40</v>
      </c>
      <c r="B3828" s="3" t="s">
        <v>39</v>
      </c>
      <c r="C3828" s="4">
        <v>46143</v>
      </c>
      <c r="D3828" s="4">
        <v>46173</v>
      </c>
      <c r="E3828" s="3" t="s">
        <v>161</v>
      </c>
      <c r="F3828" s="3" t="s">
        <v>185</v>
      </c>
      <c r="G3828" s="5">
        <v>4.0000000000000001E-3</v>
      </c>
      <c r="H3828" s="6" t="s">
        <v>60</v>
      </c>
      <c r="I3828" s="3" t="s">
        <v>45</v>
      </c>
    </row>
    <row r="3829" spans="1:9" ht="48" customHeight="1">
      <c r="A3829" s="3" t="s">
        <v>40</v>
      </c>
      <c r="B3829" s="3" t="s">
        <v>39</v>
      </c>
      <c r="C3829" s="4">
        <v>46143</v>
      </c>
      <c r="D3829" s="4">
        <v>46173</v>
      </c>
      <c r="E3829" s="3" t="s">
        <v>161</v>
      </c>
      <c r="F3829" s="3" t="s">
        <v>186</v>
      </c>
      <c r="G3829" s="5">
        <v>4.0000000000000001E-3</v>
      </c>
      <c r="H3829" s="6" t="s">
        <v>60</v>
      </c>
      <c r="I3829" s="3" t="s">
        <v>45</v>
      </c>
    </row>
    <row r="3830" spans="1:9" ht="48" customHeight="1">
      <c r="A3830" s="3" t="s">
        <v>40</v>
      </c>
      <c r="B3830" s="3" t="s">
        <v>39</v>
      </c>
      <c r="C3830" s="4">
        <v>46143</v>
      </c>
      <c r="D3830" s="4">
        <v>46173</v>
      </c>
      <c r="E3830" s="3" t="s">
        <v>161</v>
      </c>
      <c r="F3830" s="3" t="s">
        <v>192</v>
      </c>
      <c r="G3830" s="5">
        <v>4.0000000000000001E-3</v>
      </c>
      <c r="H3830" s="6" t="s">
        <v>60</v>
      </c>
      <c r="I3830" s="3" t="s">
        <v>45</v>
      </c>
    </row>
    <row r="3831" spans="1:9" ht="48" customHeight="1">
      <c r="A3831" s="3" t="s">
        <v>40</v>
      </c>
      <c r="B3831" s="3" t="s">
        <v>39</v>
      </c>
      <c r="C3831" s="4">
        <v>46143</v>
      </c>
      <c r="D3831" s="4">
        <v>46173</v>
      </c>
      <c r="E3831" s="3" t="s">
        <v>161</v>
      </c>
      <c r="F3831" s="3" t="s">
        <v>193</v>
      </c>
      <c r="G3831" s="5">
        <v>4.0000000000000001E-3</v>
      </c>
      <c r="H3831" s="6" t="s">
        <v>60</v>
      </c>
      <c r="I3831" s="3" t="s">
        <v>45</v>
      </c>
    </row>
    <row r="3832" spans="1:9" ht="48" customHeight="1">
      <c r="A3832" s="3" t="s">
        <v>40</v>
      </c>
      <c r="B3832" s="3" t="s">
        <v>39</v>
      </c>
      <c r="C3832" s="4">
        <v>46143</v>
      </c>
      <c r="D3832" s="4">
        <v>46173</v>
      </c>
      <c r="E3832" s="3" t="s">
        <v>161</v>
      </c>
      <c r="F3832" s="3" t="s">
        <v>196</v>
      </c>
      <c r="G3832" s="5">
        <v>4.0000000000000001E-3</v>
      </c>
      <c r="H3832" s="6" t="s">
        <v>60</v>
      </c>
      <c r="I3832" s="3" t="s">
        <v>45</v>
      </c>
    </row>
    <row r="3833" spans="1:9" ht="48" customHeight="1">
      <c r="A3833" s="3" t="s">
        <v>40</v>
      </c>
      <c r="B3833" s="3" t="s">
        <v>39</v>
      </c>
      <c r="C3833" s="4">
        <v>46143</v>
      </c>
      <c r="D3833" s="4">
        <v>46173</v>
      </c>
      <c r="E3833" s="3" t="s">
        <v>161</v>
      </c>
      <c r="F3833" s="3" t="s">
        <v>201</v>
      </c>
      <c r="G3833" s="5">
        <v>4.0000000000000001E-3</v>
      </c>
      <c r="H3833" s="6" t="s">
        <v>60</v>
      </c>
      <c r="I3833" s="3" t="s">
        <v>45</v>
      </c>
    </row>
    <row r="3834" spans="1:9" ht="48" customHeight="1">
      <c r="A3834" s="3" t="s">
        <v>40</v>
      </c>
      <c r="B3834" s="3" t="s">
        <v>39</v>
      </c>
      <c r="C3834" s="4">
        <v>46143</v>
      </c>
      <c r="D3834" s="4">
        <v>46173</v>
      </c>
      <c r="E3834" s="3" t="s">
        <v>161</v>
      </c>
      <c r="F3834" s="3" t="s">
        <v>194</v>
      </c>
      <c r="G3834" s="5">
        <v>3.0000000000000001E-3</v>
      </c>
      <c r="H3834" s="6" t="s">
        <v>60</v>
      </c>
      <c r="I3834" s="3" t="s">
        <v>45</v>
      </c>
    </row>
    <row r="3835" spans="1:9" ht="48" customHeight="1">
      <c r="A3835" s="3" t="s">
        <v>40</v>
      </c>
      <c r="B3835" s="3" t="s">
        <v>39</v>
      </c>
      <c r="C3835" s="4">
        <v>46143</v>
      </c>
      <c r="D3835" s="4">
        <v>46173</v>
      </c>
      <c r="E3835" s="3" t="s">
        <v>161</v>
      </c>
      <c r="F3835" s="3" t="s">
        <v>386</v>
      </c>
      <c r="G3835" s="5">
        <v>3.0000000000000001E-3</v>
      </c>
      <c r="H3835" s="6" t="s">
        <v>60</v>
      </c>
      <c r="I3835" s="3" t="s">
        <v>45</v>
      </c>
    </row>
    <row r="3836" spans="1:9" ht="48" customHeight="1">
      <c r="A3836" s="3" t="s">
        <v>40</v>
      </c>
      <c r="B3836" s="3" t="s">
        <v>39</v>
      </c>
      <c r="C3836" s="4">
        <v>46143</v>
      </c>
      <c r="D3836" s="4">
        <v>46173</v>
      </c>
      <c r="E3836" s="3" t="s">
        <v>161</v>
      </c>
      <c r="F3836" s="3" t="s">
        <v>387</v>
      </c>
      <c r="G3836" s="5">
        <v>3.0000000000000001E-3</v>
      </c>
      <c r="H3836" s="6" t="s">
        <v>60</v>
      </c>
      <c r="I3836" s="3" t="s">
        <v>45</v>
      </c>
    </row>
    <row r="3837" spans="1:9" ht="48" customHeight="1">
      <c r="A3837" s="3" t="s">
        <v>40</v>
      </c>
      <c r="B3837" s="3" t="s">
        <v>39</v>
      </c>
      <c r="C3837" s="4">
        <v>46143</v>
      </c>
      <c r="D3837" s="4">
        <v>46173</v>
      </c>
      <c r="E3837" s="3" t="s">
        <v>161</v>
      </c>
      <c r="F3837" s="3" t="s">
        <v>197</v>
      </c>
      <c r="G3837" s="5">
        <v>2E-3</v>
      </c>
      <c r="H3837" s="6" t="s">
        <v>60</v>
      </c>
      <c r="I3837" s="3" t="s">
        <v>45</v>
      </c>
    </row>
    <row r="3838" spans="1:9" ht="48" customHeight="1">
      <c r="A3838" s="3" t="s">
        <v>40</v>
      </c>
      <c r="B3838" s="3" t="s">
        <v>39</v>
      </c>
      <c r="C3838" s="4">
        <v>46143</v>
      </c>
      <c r="D3838" s="4">
        <v>46173</v>
      </c>
      <c r="E3838" s="3" t="s">
        <v>161</v>
      </c>
      <c r="F3838" s="3" t="s">
        <v>198</v>
      </c>
      <c r="G3838" s="5">
        <v>2E-3</v>
      </c>
      <c r="H3838" s="6" t="s">
        <v>60</v>
      </c>
      <c r="I3838" s="3" t="s">
        <v>45</v>
      </c>
    </row>
    <row r="3839" spans="1:9" ht="48" customHeight="1">
      <c r="A3839" s="3" t="s">
        <v>40</v>
      </c>
      <c r="B3839" s="3" t="s">
        <v>39</v>
      </c>
      <c r="C3839" s="4">
        <v>46143</v>
      </c>
      <c r="D3839" s="4">
        <v>46173</v>
      </c>
      <c r="E3839" s="3" t="s">
        <v>161</v>
      </c>
      <c r="F3839" s="3" t="s">
        <v>199</v>
      </c>
      <c r="G3839" s="5">
        <v>2E-3</v>
      </c>
      <c r="H3839" s="6" t="s">
        <v>60</v>
      </c>
      <c r="I3839" s="3" t="s">
        <v>45</v>
      </c>
    </row>
    <row r="3840" spans="1:9" ht="48" customHeight="1">
      <c r="A3840" s="3" t="s">
        <v>40</v>
      </c>
      <c r="B3840" s="3" t="s">
        <v>39</v>
      </c>
      <c r="C3840" s="4">
        <v>46143</v>
      </c>
      <c r="D3840" s="4">
        <v>46173</v>
      </c>
      <c r="E3840" s="3" t="s">
        <v>161</v>
      </c>
      <c r="F3840" s="3" t="s">
        <v>202</v>
      </c>
      <c r="G3840" s="5">
        <v>1E-3</v>
      </c>
      <c r="H3840" s="6" t="s">
        <v>60</v>
      </c>
      <c r="I3840" s="3" t="s">
        <v>45</v>
      </c>
    </row>
    <row r="3841" spans="1:9" ht="48" customHeight="1">
      <c r="A3841" s="3" t="s">
        <v>40</v>
      </c>
      <c r="B3841" s="3" t="s">
        <v>39</v>
      </c>
      <c r="C3841" s="4">
        <v>46143</v>
      </c>
      <c r="D3841" s="4">
        <v>46173</v>
      </c>
      <c r="E3841" s="3" t="s">
        <v>161</v>
      </c>
      <c r="F3841" s="3" t="s">
        <v>204</v>
      </c>
      <c r="G3841" s="5">
        <v>1E-3</v>
      </c>
      <c r="H3841" s="6" t="s">
        <v>60</v>
      </c>
      <c r="I3841" s="3" t="s">
        <v>45</v>
      </c>
    </row>
    <row r="3842" spans="1:9" ht="48" customHeight="1">
      <c r="A3842" s="3" t="s">
        <v>40</v>
      </c>
      <c r="B3842" s="3" t="s">
        <v>39</v>
      </c>
      <c r="C3842" s="4">
        <v>46143</v>
      </c>
      <c r="D3842" s="4">
        <v>46173</v>
      </c>
      <c r="E3842" s="3" t="s">
        <v>161</v>
      </c>
      <c r="F3842" s="3" t="s">
        <v>203</v>
      </c>
      <c r="G3842" s="5">
        <v>0</v>
      </c>
      <c r="H3842" s="6" t="s">
        <v>60</v>
      </c>
      <c r="I3842" s="3" t="s">
        <v>45</v>
      </c>
    </row>
    <row r="3843" spans="1:9" ht="48" customHeight="1">
      <c r="A3843" s="3" t="s">
        <v>40</v>
      </c>
      <c r="B3843" s="3" t="s">
        <v>39</v>
      </c>
      <c r="C3843" s="4">
        <v>46143</v>
      </c>
      <c r="D3843" s="4">
        <v>46173</v>
      </c>
      <c r="E3843" s="3" t="s">
        <v>47</v>
      </c>
      <c r="F3843" s="3" t="s">
        <v>348</v>
      </c>
      <c r="G3843" s="5">
        <v>6.8000000000000005E-2</v>
      </c>
      <c r="H3843" s="6" t="s">
        <v>60</v>
      </c>
      <c r="I3843" s="3" t="s">
        <v>45</v>
      </c>
    </row>
    <row r="3844" spans="1:9" ht="48" customHeight="1">
      <c r="A3844" s="3" t="s">
        <v>40</v>
      </c>
      <c r="B3844" s="3" t="s">
        <v>39</v>
      </c>
      <c r="C3844" s="4">
        <v>46143</v>
      </c>
      <c r="D3844" s="4">
        <v>46173</v>
      </c>
      <c r="E3844" s="3" t="s">
        <v>47</v>
      </c>
      <c r="F3844" s="3" t="s">
        <v>358</v>
      </c>
      <c r="G3844" s="5">
        <v>4.4999999999999998E-2</v>
      </c>
      <c r="H3844" s="6" t="s">
        <v>60</v>
      </c>
      <c r="I3844" s="3" t="s">
        <v>45</v>
      </c>
    </row>
    <row r="3845" spans="1:9" ht="48" customHeight="1">
      <c r="A3845" s="3" t="s">
        <v>40</v>
      </c>
      <c r="B3845" s="3" t="s">
        <v>39</v>
      </c>
      <c r="C3845" s="4">
        <v>46143</v>
      </c>
      <c r="D3845" s="4">
        <v>46173</v>
      </c>
      <c r="E3845" s="3" t="s">
        <v>47</v>
      </c>
      <c r="F3845" s="3" t="s">
        <v>352</v>
      </c>
      <c r="G3845" s="5">
        <v>2.7000000000000003E-2</v>
      </c>
      <c r="H3845" s="6" t="s">
        <v>60</v>
      </c>
      <c r="I3845" s="3" t="s">
        <v>45</v>
      </c>
    </row>
    <row r="3846" spans="1:9" ht="48" customHeight="1">
      <c r="A3846" s="3" t="s">
        <v>40</v>
      </c>
      <c r="B3846" s="3" t="s">
        <v>39</v>
      </c>
      <c r="C3846" s="4">
        <v>46143</v>
      </c>
      <c r="D3846" s="4">
        <v>46173</v>
      </c>
      <c r="E3846" s="3" t="s">
        <v>47</v>
      </c>
      <c r="F3846" s="3" t="s">
        <v>357</v>
      </c>
      <c r="G3846" s="5">
        <v>2.7000000000000003E-2</v>
      </c>
      <c r="H3846" s="6" t="s">
        <v>60</v>
      </c>
      <c r="I3846" s="3" t="s">
        <v>45</v>
      </c>
    </row>
    <row r="3847" spans="1:9" ht="48" customHeight="1">
      <c r="A3847" s="3" t="s">
        <v>40</v>
      </c>
      <c r="B3847" s="3" t="s">
        <v>39</v>
      </c>
      <c r="C3847" s="4">
        <v>46143</v>
      </c>
      <c r="D3847" s="4">
        <v>46173</v>
      </c>
      <c r="E3847" s="3" t="s">
        <v>47</v>
      </c>
      <c r="F3847" s="3" t="s">
        <v>349</v>
      </c>
      <c r="G3847" s="5">
        <v>1.3000000000000001E-2</v>
      </c>
      <c r="H3847" s="6" t="s">
        <v>60</v>
      </c>
      <c r="I3847" s="3" t="s">
        <v>45</v>
      </c>
    </row>
    <row r="3848" spans="1:9" ht="48" customHeight="1">
      <c r="A3848" s="3" t="s">
        <v>40</v>
      </c>
      <c r="B3848" s="3" t="s">
        <v>39</v>
      </c>
      <c r="C3848" s="4">
        <v>46143</v>
      </c>
      <c r="D3848" s="4">
        <v>46173</v>
      </c>
      <c r="E3848" s="3" t="s">
        <v>47</v>
      </c>
      <c r="F3848" s="3" t="s">
        <v>350</v>
      </c>
      <c r="G3848" s="5">
        <v>0.01</v>
      </c>
      <c r="H3848" s="6" t="s">
        <v>60</v>
      </c>
      <c r="I3848" s="3" t="s">
        <v>45</v>
      </c>
    </row>
    <row r="3849" spans="1:9" ht="48" customHeight="1">
      <c r="A3849" s="3" t="s">
        <v>40</v>
      </c>
      <c r="B3849" s="3" t="s">
        <v>39</v>
      </c>
      <c r="C3849" s="4">
        <v>46143</v>
      </c>
      <c r="D3849" s="4">
        <v>46173</v>
      </c>
      <c r="E3849" s="3" t="s">
        <v>47</v>
      </c>
      <c r="F3849" s="3" t="s">
        <v>351</v>
      </c>
      <c r="G3849" s="5">
        <v>6.9999999999999993E-3</v>
      </c>
      <c r="H3849" s="6" t="s">
        <v>60</v>
      </c>
      <c r="I3849" s="3" t="s">
        <v>45</v>
      </c>
    </row>
    <row r="3850" spans="1:9" ht="48" customHeight="1">
      <c r="A3850" s="3" t="s">
        <v>40</v>
      </c>
      <c r="B3850" s="3" t="s">
        <v>39</v>
      </c>
      <c r="C3850" s="4">
        <v>46143</v>
      </c>
      <c r="D3850" s="4">
        <v>46173</v>
      </c>
      <c r="E3850" s="3" t="s">
        <v>47</v>
      </c>
      <c r="F3850" s="3" t="s">
        <v>354</v>
      </c>
      <c r="G3850" s="5">
        <v>6.0000000000000001E-3</v>
      </c>
      <c r="H3850" s="6" t="s">
        <v>60</v>
      </c>
      <c r="I3850" s="3" t="s">
        <v>45</v>
      </c>
    </row>
    <row r="3851" spans="1:9" ht="48" customHeight="1">
      <c r="A3851" s="3" t="s">
        <v>40</v>
      </c>
      <c r="B3851" s="3" t="s">
        <v>39</v>
      </c>
      <c r="C3851" s="4">
        <v>46143</v>
      </c>
      <c r="D3851" s="4">
        <v>46173</v>
      </c>
      <c r="E3851" s="3" t="s">
        <v>47</v>
      </c>
      <c r="F3851" s="3" t="s">
        <v>356</v>
      </c>
      <c r="G3851" s="5">
        <v>5.0000000000000001E-3</v>
      </c>
      <c r="H3851" s="6" t="s">
        <v>60</v>
      </c>
      <c r="I3851" s="3" t="s">
        <v>45</v>
      </c>
    </row>
    <row r="3852" spans="1:9" ht="48" customHeight="1">
      <c r="A3852" s="3" t="s">
        <v>40</v>
      </c>
      <c r="B3852" s="3" t="s">
        <v>39</v>
      </c>
      <c r="C3852" s="4">
        <v>46143</v>
      </c>
      <c r="D3852" s="4">
        <v>46173</v>
      </c>
      <c r="E3852" s="3" t="s">
        <v>47</v>
      </c>
      <c r="F3852" s="3" t="s">
        <v>353</v>
      </c>
      <c r="G3852" s="5">
        <v>2E-3</v>
      </c>
      <c r="H3852" s="6" t="s">
        <v>60</v>
      </c>
      <c r="I3852" s="3" t="s">
        <v>45</v>
      </c>
    </row>
    <row r="3853" spans="1:9" ht="48" customHeight="1">
      <c r="A3853" s="3" t="s">
        <v>40</v>
      </c>
      <c r="B3853" s="3" t="s">
        <v>39</v>
      </c>
      <c r="C3853" s="4">
        <v>46143</v>
      </c>
      <c r="D3853" s="4">
        <v>46173</v>
      </c>
      <c r="E3853" s="3" t="s">
        <v>47</v>
      </c>
      <c r="F3853" s="3" t="s">
        <v>355</v>
      </c>
      <c r="G3853" s="5">
        <v>2E-3</v>
      </c>
      <c r="H3853" s="6" t="s">
        <v>60</v>
      </c>
      <c r="I3853" s="3" t="s">
        <v>45</v>
      </c>
    </row>
    <row r="3854" spans="1:9" ht="48" customHeight="1">
      <c r="A3854" s="3" t="s">
        <v>40</v>
      </c>
      <c r="B3854" s="3" t="s">
        <v>39</v>
      </c>
      <c r="C3854" s="4">
        <v>46143</v>
      </c>
      <c r="D3854" s="4">
        <v>46173</v>
      </c>
      <c r="E3854" s="3" t="s">
        <v>47</v>
      </c>
      <c r="F3854" s="3" t="s">
        <v>361</v>
      </c>
      <c r="G3854" s="5">
        <v>1E-3</v>
      </c>
      <c r="H3854" s="6" t="s">
        <v>60</v>
      </c>
      <c r="I3854" s="3" t="s">
        <v>45</v>
      </c>
    </row>
    <row r="3855" spans="1:9" ht="48" customHeight="1">
      <c r="A3855" s="3" t="s">
        <v>40</v>
      </c>
      <c r="B3855" s="3" t="s">
        <v>39</v>
      </c>
      <c r="C3855" s="4">
        <v>46143</v>
      </c>
      <c r="D3855" s="4">
        <v>46173</v>
      </c>
      <c r="E3855" s="3" t="s">
        <v>47</v>
      </c>
      <c r="F3855" s="3" t="s">
        <v>362</v>
      </c>
      <c r="G3855" s="5">
        <v>1E-3</v>
      </c>
      <c r="H3855" s="6" t="s">
        <v>60</v>
      </c>
      <c r="I3855" s="3" t="s">
        <v>45</v>
      </c>
    </row>
    <row r="3856" spans="1:9" ht="48" customHeight="1">
      <c r="A3856" s="3" t="s">
        <v>40</v>
      </c>
      <c r="B3856" s="3" t="s">
        <v>39</v>
      </c>
      <c r="C3856" s="4">
        <v>46143</v>
      </c>
      <c r="D3856" s="4">
        <v>46173</v>
      </c>
      <c r="E3856" s="3" t="s">
        <v>47</v>
      </c>
      <c r="F3856" s="3" t="s">
        <v>318</v>
      </c>
      <c r="G3856" s="5">
        <v>1E-3</v>
      </c>
      <c r="H3856" s="6" t="s">
        <v>60</v>
      </c>
      <c r="I3856" s="3" t="s">
        <v>45</v>
      </c>
    </row>
    <row r="3857" spans="1:9" ht="48" customHeight="1">
      <c r="A3857" s="3" t="s">
        <v>40</v>
      </c>
      <c r="B3857" s="3" t="s">
        <v>39</v>
      </c>
      <c r="C3857" s="4">
        <v>46143</v>
      </c>
      <c r="D3857" s="4">
        <v>46173</v>
      </c>
      <c r="E3857" s="3" t="s">
        <v>47</v>
      </c>
      <c r="F3857" s="3" t="s">
        <v>363</v>
      </c>
      <c r="G3857" s="5">
        <v>1E-3</v>
      </c>
      <c r="H3857" s="6" t="s">
        <v>60</v>
      </c>
      <c r="I3857" s="3" t="s">
        <v>45</v>
      </c>
    </row>
    <row r="3858" spans="1:9" ht="48" customHeight="1">
      <c r="A3858" s="3" t="s">
        <v>40</v>
      </c>
      <c r="B3858" s="3" t="s">
        <v>39</v>
      </c>
      <c r="C3858" s="4">
        <v>46143</v>
      </c>
      <c r="D3858" s="4">
        <v>46173</v>
      </c>
      <c r="E3858" s="3" t="s">
        <v>47</v>
      </c>
      <c r="F3858" s="3" t="s">
        <v>359</v>
      </c>
      <c r="G3858" s="5">
        <v>0</v>
      </c>
      <c r="H3858" s="6" t="s">
        <v>60</v>
      </c>
      <c r="I3858" s="3" t="s">
        <v>45</v>
      </c>
    </row>
    <row r="3859" spans="1:9" ht="48" customHeight="1">
      <c r="A3859" s="3" t="s">
        <v>40</v>
      </c>
      <c r="B3859" s="3" t="s">
        <v>39</v>
      </c>
      <c r="C3859" s="4">
        <v>46143</v>
      </c>
      <c r="D3859" s="4">
        <v>46173</v>
      </c>
      <c r="E3859" s="3" t="s">
        <v>47</v>
      </c>
      <c r="F3859" s="3" t="s">
        <v>360</v>
      </c>
      <c r="G3859" s="5">
        <v>0</v>
      </c>
      <c r="H3859" s="6" t="s">
        <v>60</v>
      </c>
      <c r="I3859" s="3" t="s">
        <v>45</v>
      </c>
    </row>
    <row r="3860" spans="1:9" ht="48" customHeight="1">
      <c r="A3860" s="3" t="s">
        <v>40</v>
      </c>
      <c r="B3860" s="3" t="s">
        <v>39</v>
      </c>
      <c r="C3860" s="4">
        <v>46143</v>
      </c>
      <c r="D3860" s="4">
        <v>46173</v>
      </c>
      <c r="E3860" s="3" t="s">
        <v>205</v>
      </c>
      <c r="F3860" s="3" t="s">
        <v>210</v>
      </c>
      <c r="G3860" s="5">
        <v>1.1000000000000001E-2</v>
      </c>
      <c r="H3860" s="6" t="s">
        <v>60</v>
      </c>
      <c r="I3860" s="3" t="s">
        <v>45</v>
      </c>
    </row>
    <row r="3861" spans="1:9" ht="48" customHeight="1">
      <c r="A3861" s="3" t="s">
        <v>40</v>
      </c>
      <c r="B3861" s="3" t="s">
        <v>39</v>
      </c>
      <c r="C3861" s="4">
        <v>46143</v>
      </c>
      <c r="D3861" s="4">
        <v>46173</v>
      </c>
      <c r="E3861" s="3" t="s">
        <v>205</v>
      </c>
      <c r="F3861" s="3" t="s">
        <v>216</v>
      </c>
      <c r="G3861" s="5">
        <v>0.01</v>
      </c>
      <c r="H3861" s="6" t="s">
        <v>60</v>
      </c>
      <c r="I3861" s="3" t="s">
        <v>45</v>
      </c>
    </row>
    <row r="3862" spans="1:9" ht="48" customHeight="1">
      <c r="A3862" s="3" t="s">
        <v>40</v>
      </c>
      <c r="B3862" s="3" t="s">
        <v>39</v>
      </c>
      <c r="C3862" s="4">
        <v>46143</v>
      </c>
      <c r="D3862" s="4">
        <v>46173</v>
      </c>
      <c r="E3862" s="3" t="s">
        <v>205</v>
      </c>
      <c r="F3862" s="3" t="s">
        <v>209</v>
      </c>
      <c r="G3862" s="5">
        <v>8.0000000000000002E-3</v>
      </c>
      <c r="H3862" s="6" t="s">
        <v>60</v>
      </c>
      <c r="I3862" s="3" t="s">
        <v>45</v>
      </c>
    </row>
    <row r="3863" spans="1:9" ht="48" customHeight="1">
      <c r="A3863" s="3" t="s">
        <v>40</v>
      </c>
      <c r="B3863" s="3" t="s">
        <v>39</v>
      </c>
      <c r="C3863" s="4">
        <v>46143</v>
      </c>
      <c r="D3863" s="4">
        <v>46173</v>
      </c>
      <c r="E3863" s="3" t="s">
        <v>205</v>
      </c>
      <c r="F3863" s="3" t="s">
        <v>220</v>
      </c>
      <c r="G3863" s="5">
        <v>6.9999999999999993E-3</v>
      </c>
      <c r="H3863" s="6" t="s">
        <v>60</v>
      </c>
      <c r="I3863" s="3" t="s">
        <v>45</v>
      </c>
    </row>
    <row r="3864" spans="1:9" ht="48" customHeight="1">
      <c r="A3864" s="3" t="s">
        <v>40</v>
      </c>
      <c r="B3864" s="3" t="s">
        <v>39</v>
      </c>
      <c r="C3864" s="4">
        <v>46143</v>
      </c>
      <c r="D3864" s="4">
        <v>46173</v>
      </c>
      <c r="E3864" s="3" t="s">
        <v>205</v>
      </c>
      <c r="F3864" s="3" t="s">
        <v>211</v>
      </c>
      <c r="G3864" s="5">
        <v>6.9999999999999993E-3</v>
      </c>
      <c r="H3864" s="6" t="s">
        <v>60</v>
      </c>
      <c r="I3864" s="3" t="s">
        <v>45</v>
      </c>
    </row>
    <row r="3865" spans="1:9" ht="48" customHeight="1">
      <c r="A3865" s="3" t="s">
        <v>40</v>
      </c>
      <c r="B3865" s="3" t="s">
        <v>39</v>
      </c>
      <c r="C3865" s="4">
        <v>46143</v>
      </c>
      <c r="D3865" s="4">
        <v>46173</v>
      </c>
      <c r="E3865" s="3" t="s">
        <v>205</v>
      </c>
      <c r="F3865" s="3" t="s">
        <v>207</v>
      </c>
      <c r="G3865" s="5">
        <v>6.9999999999999993E-3</v>
      </c>
      <c r="H3865" s="6" t="s">
        <v>60</v>
      </c>
      <c r="I3865" s="3" t="s">
        <v>45</v>
      </c>
    </row>
    <row r="3866" spans="1:9" ht="48" customHeight="1">
      <c r="A3866" s="3" t="s">
        <v>40</v>
      </c>
      <c r="B3866" s="3" t="s">
        <v>39</v>
      </c>
      <c r="C3866" s="4">
        <v>46143</v>
      </c>
      <c r="D3866" s="4">
        <v>46173</v>
      </c>
      <c r="E3866" s="3" t="s">
        <v>205</v>
      </c>
      <c r="F3866" s="3" t="s">
        <v>206</v>
      </c>
      <c r="G3866" s="5">
        <v>6.9999999999999993E-3</v>
      </c>
      <c r="H3866" s="6" t="s">
        <v>60</v>
      </c>
      <c r="I3866" s="3" t="s">
        <v>45</v>
      </c>
    </row>
    <row r="3867" spans="1:9" ht="48" customHeight="1">
      <c r="A3867" s="3" t="s">
        <v>40</v>
      </c>
      <c r="B3867" s="3" t="s">
        <v>39</v>
      </c>
      <c r="C3867" s="4">
        <v>46143</v>
      </c>
      <c r="D3867" s="4">
        <v>46173</v>
      </c>
      <c r="E3867" s="3" t="s">
        <v>205</v>
      </c>
      <c r="F3867" s="3" t="s">
        <v>224</v>
      </c>
      <c r="G3867" s="5">
        <v>6.0000000000000001E-3</v>
      </c>
      <c r="H3867" s="6" t="s">
        <v>60</v>
      </c>
      <c r="I3867" s="3" t="s">
        <v>45</v>
      </c>
    </row>
    <row r="3868" spans="1:9" ht="48" customHeight="1">
      <c r="A3868" s="3" t="s">
        <v>40</v>
      </c>
      <c r="B3868" s="3" t="s">
        <v>39</v>
      </c>
      <c r="C3868" s="4">
        <v>46143</v>
      </c>
      <c r="D3868" s="4">
        <v>46173</v>
      </c>
      <c r="E3868" s="3" t="s">
        <v>205</v>
      </c>
      <c r="F3868" s="3" t="s">
        <v>218</v>
      </c>
      <c r="G3868" s="5">
        <v>6.0000000000000001E-3</v>
      </c>
      <c r="H3868" s="6" t="s">
        <v>60</v>
      </c>
      <c r="I3868" s="3" t="s">
        <v>45</v>
      </c>
    </row>
    <row r="3869" spans="1:9" ht="48" customHeight="1">
      <c r="A3869" s="3" t="s">
        <v>40</v>
      </c>
      <c r="B3869" s="3" t="s">
        <v>39</v>
      </c>
      <c r="C3869" s="4">
        <v>46143</v>
      </c>
      <c r="D3869" s="4">
        <v>46173</v>
      </c>
      <c r="E3869" s="3" t="s">
        <v>205</v>
      </c>
      <c r="F3869" s="3" t="s">
        <v>225</v>
      </c>
      <c r="G3869" s="5">
        <v>6.0000000000000001E-3</v>
      </c>
      <c r="H3869" s="6" t="s">
        <v>60</v>
      </c>
      <c r="I3869" s="3" t="s">
        <v>45</v>
      </c>
    </row>
    <row r="3870" spans="1:9" ht="48" customHeight="1">
      <c r="A3870" s="3" t="s">
        <v>40</v>
      </c>
      <c r="B3870" s="3" t="s">
        <v>39</v>
      </c>
      <c r="C3870" s="4">
        <v>46143</v>
      </c>
      <c r="D3870" s="4">
        <v>46173</v>
      </c>
      <c r="E3870" s="3" t="s">
        <v>205</v>
      </c>
      <c r="F3870" s="3" t="s">
        <v>219</v>
      </c>
      <c r="G3870" s="5">
        <v>6.0000000000000001E-3</v>
      </c>
      <c r="H3870" s="6" t="s">
        <v>60</v>
      </c>
      <c r="I3870" s="3" t="s">
        <v>45</v>
      </c>
    </row>
    <row r="3871" spans="1:9" ht="48" customHeight="1">
      <c r="A3871" s="3" t="s">
        <v>40</v>
      </c>
      <c r="B3871" s="3" t="s">
        <v>39</v>
      </c>
      <c r="C3871" s="4">
        <v>46143</v>
      </c>
      <c r="D3871" s="4">
        <v>46173</v>
      </c>
      <c r="E3871" s="3" t="s">
        <v>205</v>
      </c>
      <c r="F3871" s="3" t="s">
        <v>213</v>
      </c>
      <c r="G3871" s="5">
        <v>6.0000000000000001E-3</v>
      </c>
      <c r="H3871" s="6" t="s">
        <v>60</v>
      </c>
      <c r="I3871" s="3" t="s">
        <v>45</v>
      </c>
    </row>
    <row r="3872" spans="1:9" ht="48" customHeight="1">
      <c r="A3872" s="3" t="s">
        <v>40</v>
      </c>
      <c r="B3872" s="3" t="s">
        <v>39</v>
      </c>
      <c r="C3872" s="4">
        <v>46143</v>
      </c>
      <c r="D3872" s="4">
        <v>46173</v>
      </c>
      <c r="E3872" s="3" t="s">
        <v>205</v>
      </c>
      <c r="F3872" s="3" t="s">
        <v>214</v>
      </c>
      <c r="G3872" s="5">
        <v>6.0000000000000001E-3</v>
      </c>
      <c r="H3872" s="6" t="s">
        <v>60</v>
      </c>
      <c r="I3872" s="3" t="s">
        <v>45</v>
      </c>
    </row>
    <row r="3873" spans="1:9" ht="48" customHeight="1">
      <c r="A3873" s="3" t="s">
        <v>40</v>
      </c>
      <c r="B3873" s="3" t="s">
        <v>39</v>
      </c>
      <c r="C3873" s="4">
        <v>46143</v>
      </c>
      <c r="D3873" s="4">
        <v>46173</v>
      </c>
      <c r="E3873" s="3" t="s">
        <v>205</v>
      </c>
      <c r="F3873" s="3" t="s">
        <v>215</v>
      </c>
      <c r="G3873" s="5">
        <v>6.0000000000000001E-3</v>
      </c>
      <c r="H3873" s="6" t="s">
        <v>60</v>
      </c>
      <c r="I3873" s="3" t="s">
        <v>45</v>
      </c>
    </row>
    <row r="3874" spans="1:9" ht="48" customHeight="1">
      <c r="A3874" s="3" t="s">
        <v>40</v>
      </c>
      <c r="B3874" s="3" t="s">
        <v>39</v>
      </c>
      <c r="C3874" s="4">
        <v>46143</v>
      </c>
      <c r="D3874" s="4">
        <v>46173</v>
      </c>
      <c r="E3874" s="3" t="s">
        <v>205</v>
      </c>
      <c r="F3874" s="3" t="s">
        <v>217</v>
      </c>
      <c r="G3874" s="5">
        <v>5.0000000000000001E-3</v>
      </c>
      <c r="H3874" s="6" t="s">
        <v>60</v>
      </c>
      <c r="I3874" s="3" t="s">
        <v>45</v>
      </c>
    </row>
    <row r="3875" spans="1:9" ht="48" customHeight="1">
      <c r="A3875" s="3" t="s">
        <v>40</v>
      </c>
      <c r="B3875" s="3" t="s">
        <v>39</v>
      </c>
      <c r="C3875" s="4">
        <v>46143</v>
      </c>
      <c r="D3875" s="4">
        <v>46173</v>
      </c>
      <c r="E3875" s="3" t="s">
        <v>205</v>
      </c>
      <c r="F3875" s="3" t="s">
        <v>222</v>
      </c>
      <c r="G3875" s="5">
        <v>5.0000000000000001E-3</v>
      </c>
      <c r="H3875" s="6" t="s">
        <v>60</v>
      </c>
      <c r="I3875" s="3" t="s">
        <v>45</v>
      </c>
    </row>
    <row r="3876" spans="1:9" ht="48" customHeight="1">
      <c r="A3876" s="3" t="s">
        <v>40</v>
      </c>
      <c r="B3876" s="3" t="s">
        <v>39</v>
      </c>
      <c r="C3876" s="4">
        <v>46143</v>
      </c>
      <c r="D3876" s="4">
        <v>46173</v>
      </c>
      <c r="E3876" s="3" t="s">
        <v>205</v>
      </c>
      <c r="F3876" s="3" t="s">
        <v>212</v>
      </c>
      <c r="G3876" s="5">
        <v>5.0000000000000001E-3</v>
      </c>
      <c r="H3876" s="6" t="s">
        <v>60</v>
      </c>
      <c r="I3876" s="3" t="s">
        <v>45</v>
      </c>
    </row>
    <row r="3877" spans="1:9" ht="48" customHeight="1">
      <c r="A3877" s="3" t="s">
        <v>40</v>
      </c>
      <c r="B3877" s="3" t="s">
        <v>39</v>
      </c>
      <c r="C3877" s="4">
        <v>46143</v>
      </c>
      <c r="D3877" s="4">
        <v>46173</v>
      </c>
      <c r="E3877" s="3" t="s">
        <v>205</v>
      </c>
      <c r="F3877" s="3" t="s">
        <v>208</v>
      </c>
      <c r="G3877" s="5">
        <v>5.0000000000000001E-3</v>
      </c>
      <c r="H3877" s="6" t="s">
        <v>60</v>
      </c>
      <c r="I3877" s="3" t="s">
        <v>45</v>
      </c>
    </row>
    <row r="3878" spans="1:9" ht="48" customHeight="1">
      <c r="A3878" s="3" t="s">
        <v>40</v>
      </c>
      <c r="B3878" s="3" t="s">
        <v>39</v>
      </c>
      <c r="C3878" s="4">
        <v>46143</v>
      </c>
      <c r="D3878" s="4">
        <v>46173</v>
      </c>
      <c r="E3878" s="3" t="s">
        <v>205</v>
      </c>
      <c r="F3878" s="3" t="s">
        <v>221</v>
      </c>
      <c r="G3878" s="5">
        <v>4.0000000000000001E-3</v>
      </c>
      <c r="H3878" s="6" t="s">
        <v>60</v>
      </c>
      <c r="I3878" s="3" t="s">
        <v>45</v>
      </c>
    </row>
    <row r="3879" spans="1:9" ht="48" customHeight="1">
      <c r="A3879" s="3" t="s">
        <v>40</v>
      </c>
      <c r="B3879" s="3" t="s">
        <v>39</v>
      </c>
      <c r="C3879" s="4">
        <v>46143</v>
      </c>
      <c r="D3879" s="4">
        <v>46173</v>
      </c>
      <c r="E3879" s="3" t="s">
        <v>205</v>
      </c>
      <c r="F3879" s="3" t="s">
        <v>223</v>
      </c>
      <c r="G3879" s="5">
        <v>3.0000000000000001E-3</v>
      </c>
      <c r="H3879" s="6" t="s">
        <v>60</v>
      </c>
      <c r="I3879" s="3" t="s">
        <v>45</v>
      </c>
    </row>
    <row r="3880" spans="1:9" ht="48" customHeight="1">
      <c r="A3880" s="3" t="s">
        <v>40</v>
      </c>
      <c r="B3880" s="3" t="s">
        <v>39</v>
      </c>
      <c r="C3880" s="4">
        <v>46143</v>
      </c>
      <c r="D3880" s="4">
        <v>46173</v>
      </c>
      <c r="E3880" s="3" t="s">
        <v>205</v>
      </c>
      <c r="F3880" s="3" t="s">
        <v>226</v>
      </c>
      <c r="G3880" s="5">
        <v>3.0000000000000001E-3</v>
      </c>
      <c r="H3880" s="6" t="s">
        <v>60</v>
      </c>
      <c r="I3880" s="3" t="s">
        <v>45</v>
      </c>
    </row>
    <row r="3881" spans="1:9" ht="48" customHeight="1">
      <c r="A3881" s="3" t="s">
        <v>40</v>
      </c>
      <c r="B3881" s="3" t="s">
        <v>39</v>
      </c>
      <c r="C3881" s="4">
        <v>46143</v>
      </c>
      <c r="D3881" s="4">
        <v>46173</v>
      </c>
      <c r="E3881" s="3" t="s">
        <v>205</v>
      </c>
      <c r="F3881" s="3" t="s">
        <v>227</v>
      </c>
      <c r="G3881" s="5">
        <v>3.0000000000000001E-3</v>
      </c>
      <c r="H3881" s="6" t="s">
        <v>60</v>
      </c>
      <c r="I3881" s="3" t="s">
        <v>45</v>
      </c>
    </row>
    <row r="3882" spans="1:9" ht="48" customHeight="1">
      <c r="A3882" s="3" t="s">
        <v>40</v>
      </c>
      <c r="B3882" s="3" t="s">
        <v>39</v>
      </c>
      <c r="C3882" s="4">
        <v>46143</v>
      </c>
      <c r="D3882" s="4">
        <v>46173</v>
      </c>
      <c r="E3882" s="3" t="s">
        <v>205</v>
      </c>
      <c r="F3882" s="3" t="s">
        <v>228</v>
      </c>
      <c r="G3882" s="5">
        <v>3.0000000000000001E-3</v>
      </c>
      <c r="H3882" s="6" t="s">
        <v>60</v>
      </c>
      <c r="I3882" s="3" t="s">
        <v>45</v>
      </c>
    </row>
    <row r="3883" spans="1:9" ht="48" customHeight="1">
      <c r="A3883" s="3" t="s">
        <v>40</v>
      </c>
      <c r="B3883" s="3" t="s">
        <v>39</v>
      </c>
      <c r="C3883" s="4">
        <v>46143</v>
      </c>
      <c r="D3883" s="4">
        <v>46173</v>
      </c>
      <c r="E3883" s="3" t="s">
        <v>205</v>
      </c>
      <c r="F3883" s="3" t="s">
        <v>229</v>
      </c>
      <c r="G3883" s="5">
        <v>2E-3</v>
      </c>
      <c r="H3883" s="6" t="s">
        <v>60</v>
      </c>
      <c r="I3883" s="3" t="s">
        <v>45</v>
      </c>
    </row>
    <row r="3884" spans="1:9" ht="48" customHeight="1">
      <c r="A3884" s="3" t="s">
        <v>40</v>
      </c>
      <c r="B3884" s="3" t="s">
        <v>39</v>
      </c>
      <c r="C3884" s="4">
        <v>46143</v>
      </c>
      <c r="D3884" s="4">
        <v>46173</v>
      </c>
      <c r="E3884" s="3" t="s">
        <v>205</v>
      </c>
      <c r="F3884" s="3" t="s">
        <v>230</v>
      </c>
      <c r="G3884" s="5">
        <v>2E-3</v>
      </c>
      <c r="H3884" s="6" t="s">
        <v>60</v>
      </c>
      <c r="I3884" s="3" t="s">
        <v>45</v>
      </c>
    </row>
    <row r="3885" spans="1:9" ht="48" customHeight="1">
      <c r="A3885" s="3" t="s">
        <v>40</v>
      </c>
      <c r="B3885" s="3" t="s">
        <v>39</v>
      </c>
      <c r="C3885" s="4">
        <v>46143</v>
      </c>
      <c r="D3885" s="4">
        <v>46173</v>
      </c>
      <c r="E3885" s="3" t="s">
        <v>286</v>
      </c>
      <c r="F3885" s="3" t="s">
        <v>293</v>
      </c>
      <c r="G3885" s="5">
        <v>7.8E-2</v>
      </c>
      <c r="H3885" s="6" t="s">
        <v>60</v>
      </c>
      <c r="I3885" s="3" t="s">
        <v>45</v>
      </c>
    </row>
    <row r="3886" spans="1:9" ht="48" customHeight="1">
      <c r="A3886" s="3" t="s">
        <v>40</v>
      </c>
      <c r="B3886" s="3" t="s">
        <v>39</v>
      </c>
      <c r="C3886" s="4">
        <v>46143</v>
      </c>
      <c r="D3886" s="4">
        <v>46173</v>
      </c>
      <c r="E3886" s="3" t="s">
        <v>286</v>
      </c>
      <c r="F3886" s="3" t="s">
        <v>291</v>
      </c>
      <c r="G3886" s="5">
        <v>1.4999999999999999E-2</v>
      </c>
      <c r="H3886" s="6" t="s">
        <v>60</v>
      </c>
      <c r="I3886" s="3" t="s">
        <v>45</v>
      </c>
    </row>
    <row r="3887" spans="1:9" ht="48" customHeight="1">
      <c r="A3887" s="3" t="s">
        <v>40</v>
      </c>
      <c r="B3887" s="3" t="s">
        <v>39</v>
      </c>
      <c r="C3887" s="4">
        <v>46143</v>
      </c>
      <c r="D3887" s="4">
        <v>46173</v>
      </c>
      <c r="E3887" s="3" t="s">
        <v>286</v>
      </c>
      <c r="F3887" s="3" t="s">
        <v>300</v>
      </c>
      <c r="G3887" s="5">
        <v>1.4999999999999999E-2</v>
      </c>
      <c r="H3887" s="6" t="s">
        <v>60</v>
      </c>
      <c r="I3887" s="3" t="s">
        <v>45</v>
      </c>
    </row>
    <row r="3888" spans="1:9" ht="48" customHeight="1">
      <c r="A3888" s="3" t="s">
        <v>40</v>
      </c>
      <c r="B3888" s="3" t="s">
        <v>39</v>
      </c>
      <c r="C3888" s="4">
        <v>46143</v>
      </c>
      <c r="D3888" s="4">
        <v>46173</v>
      </c>
      <c r="E3888" s="3" t="s">
        <v>286</v>
      </c>
      <c r="F3888" s="3" t="s">
        <v>287</v>
      </c>
      <c r="G3888" s="5">
        <v>6.0000000000000001E-3</v>
      </c>
      <c r="H3888" s="6" t="s">
        <v>60</v>
      </c>
      <c r="I3888" s="3" t="s">
        <v>45</v>
      </c>
    </row>
    <row r="3889" spans="1:9" ht="48" customHeight="1">
      <c r="A3889" s="3" t="s">
        <v>40</v>
      </c>
      <c r="B3889" s="3" t="s">
        <v>39</v>
      </c>
      <c r="C3889" s="4">
        <v>46143</v>
      </c>
      <c r="D3889" s="4">
        <v>46173</v>
      </c>
      <c r="E3889" s="3" t="s">
        <v>286</v>
      </c>
      <c r="F3889" s="3" t="s">
        <v>292</v>
      </c>
      <c r="G3889" s="5">
        <v>5.0000000000000001E-3</v>
      </c>
      <c r="H3889" s="6" t="s">
        <v>60</v>
      </c>
      <c r="I3889" s="3" t="s">
        <v>45</v>
      </c>
    </row>
    <row r="3890" spans="1:9" ht="48" customHeight="1">
      <c r="A3890" s="3" t="s">
        <v>40</v>
      </c>
      <c r="B3890" s="3" t="s">
        <v>39</v>
      </c>
      <c r="C3890" s="4">
        <v>46143</v>
      </c>
      <c r="D3890" s="4">
        <v>46173</v>
      </c>
      <c r="E3890" s="3" t="s">
        <v>286</v>
      </c>
      <c r="F3890" s="3" t="s">
        <v>288</v>
      </c>
      <c r="G3890" s="5">
        <v>4.0000000000000001E-3</v>
      </c>
      <c r="H3890" s="6" t="s">
        <v>60</v>
      </c>
      <c r="I3890" s="3" t="s">
        <v>45</v>
      </c>
    </row>
    <row r="3891" spans="1:9" ht="48" customHeight="1">
      <c r="A3891" s="3" t="s">
        <v>40</v>
      </c>
      <c r="B3891" s="3" t="s">
        <v>39</v>
      </c>
      <c r="C3891" s="4">
        <v>46143</v>
      </c>
      <c r="D3891" s="4">
        <v>46173</v>
      </c>
      <c r="E3891" s="3" t="s">
        <v>286</v>
      </c>
      <c r="F3891" s="3" t="s">
        <v>289</v>
      </c>
      <c r="G3891" s="5">
        <v>4.0000000000000001E-3</v>
      </c>
      <c r="H3891" s="6" t="s">
        <v>60</v>
      </c>
      <c r="I3891" s="3" t="s">
        <v>45</v>
      </c>
    </row>
    <row r="3892" spans="1:9" ht="48" customHeight="1">
      <c r="A3892" s="3" t="s">
        <v>40</v>
      </c>
      <c r="B3892" s="3" t="s">
        <v>39</v>
      </c>
      <c r="C3892" s="4">
        <v>46143</v>
      </c>
      <c r="D3892" s="4">
        <v>46173</v>
      </c>
      <c r="E3892" s="3" t="s">
        <v>286</v>
      </c>
      <c r="F3892" s="3" t="s">
        <v>290</v>
      </c>
      <c r="G3892" s="5">
        <v>3.0000000000000001E-3</v>
      </c>
      <c r="H3892" s="6" t="s">
        <v>60</v>
      </c>
      <c r="I3892" s="3" t="s">
        <v>45</v>
      </c>
    </row>
    <row r="3893" spans="1:9" ht="48" customHeight="1">
      <c r="A3893" s="3" t="s">
        <v>40</v>
      </c>
      <c r="B3893" s="3" t="s">
        <v>39</v>
      </c>
      <c r="C3893" s="4">
        <v>46143</v>
      </c>
      <c r="D3893" s="4">
        <v>46173</v>
      </c>
      <c r="E3893" s="3" t="s">
        <v>286</v>
      </c>
      <c r="F3893" s="3" t="s">
        <v>297</v>
      </c>
      <c r="G3893" s="5">
        <v>3.0000000000000001E-3</v>
      </c>
      <c r="H3893" s="6" t="s">
        <v>60</v>
      </c>
      <c r="I3893" s="3" t="s">
        <v>45</v>
      </c>
    </row>
    <row r="3894" spans="1:9" ht="48" customHeight="1">
      <c r="A3894" s="3" t="s">
        <v>40</v>
      </c>
      <c r="B3894" s="3" t="s">
        <v>39</v>
      </c>
      <c r="C3894" s="4">
        <v>46143</v>
      </c>
      <c r="D3894" s="4">
        <v>46173</v>
      </c>
      <c r="E3894" s="3" t="s">
        <v>286</v>
      </c>
      <c r="F3894" s="3" t="s">
        <v>298</v>
      </c>
      <c r="G3894" s="5">
        <v>1E-3</v>
      </c>
      <c r="H3894" s="6" t="s">
        <v>60</v>
      </c>
      <c r="I3894" s="3" t="s">
        <v>45</v>
      </c>
    </row>
    <row r="3895" spans="1:9" ht="48" customHeight="1">
      <c r="A3895" s="3" t="s">
        <v>40</v>
      </c>
      <c r="B3895" s="3" t="s">
        <v>39</v>
      </c>
      <c r="C3895" s="4">
        <v>46143</v>
      </c>
      <c r="D3895" s="4">
        <v>46173</v>
      </c>
      <c r="E3895" s="3" t="s">
        <v>286</v>
      </c>
      <c r="F3895" s="3" t="s">
        <v>299</v>
      </c>
      <c r="G3895" s="5">
        <v>1E-3</v>
      </c>
      <c r="H3895" s="6" t="s">
        <v>60</v>
      </c>
      <c r="I3895" s="3" t="s">
        <v>45</v>
      </c>
    </row>
    <row r="3896" spans="1:9" ht="48" customHeight="1">
      <c r="A3896" s="3" t="s">
        <v>40</v>
      </c>
      <c r="B3896" s="3" t="s">
        <v>39</v>
      </c>
      <c r="C3896" s="4">
        <v>46143</v>
      </c>
      <c r="D3896" s="4">
        <v>46173</v>
      </c>
      <c r="E3896" s="3" t="s">
        <v>286</v>
      </c>
      <c r="F3896" s="3" t="s">
        <v>294</v>
      </c>
      <c r="G3896" s="5">
        <v>0</v>
      </c>
      <c r="H3896" s="6" t="s">
        <v>60</v>
      </c>
      <c r="I3896" s="3" t="s">
        <v>45</v>
      </c>
    </row>
    <row r="3897" spans="1:9" ht="48" customHeight="1">
      <c r="A3897" s="3" t="s">
        <v>40</v>
      </c>
      <c r="B3897" s="3" t="s">
        <v>39</v>
      </c>
      <c r="C3897" s="4">
        <v>46143</v>
      </c>
      <c r="D3897" s="4">
        <v>46173</v>
      </c>
      <c r="E3897" s="3" t="s">
        <v>286</v>
      </c>
      <c r="F3897" s="3" t="s">
        <v>295</v>
      </c>
      <c r="G3897" s="5">
        <v>0</v>
      </c>
      <c r="H3897" s="6" t="s">
        <v>60</v>
      </c>
      <c r="I3897" s="3" t="s">
        <v>45</v>
      </c>
    </row>
    <row r="3898" spans="1:9" ht="48" customHeight="1">
      <c r="A3898" s="3" t="s">
        <v>40</v>
      </c>
      <c r="B3898" s="3" t="s">
        <v>39</v>
      </c>
      <c r="C3898" s="4">
        <v>46143</v>
      </c>
      <c r="D3898" s="4">
        <v>46173</v>
      </c>
      <c r="E3898" s="3" t="s">
        <v>286</v>
      </c>
      <c r="F3898" s="3" t="s">
        <v>296</v>
      </c>
      <c r="G3898" s="5">
        <v>0</v>
      </c>
      <c r="H3898" s="6" t="s">
        <v>60</v>
      </c>
      <c r="I3898" s="3" t="s">
        <v>45</v>
      </c>
    </row>
    <row r="3899" spans="1:9" ht="48" customHeight="1">
      <c r="A3899" s="3" t="s">
        <v>40</v>
      </c>
      <c r="B3899" s="3" t="s">
        <v>39</v>
      </c>
      <c r="C3899" s="4">
        <v>46143</v>
      </c>
      <c r="D3899" s="4">
        <v>46173</v>
      </c>
      <c r="E3899" s="3" t="s">
        <v>236</v>
      </c>
      <c r="F3899" s="3" t="s">
        <v>232</v>
      </c>
      <c r="G3899" s="5">
        <v>0.01</v>
      </c>
      <c r="H3899" s="6" t="s">
        <v>60</v>
      </c>
      <c r="I3899" s="3" t="s">
        <v>45</v>
      </c>
    </row>
    <row r="3900" spans="1:9" ht="48" customHeight="1">
      <c r="A3900" s="3" t="s">
        <v>40</v>
      </c>
      <c r="B3900" s="3" t="s">
        <v>39</v>
      </c>
      <c r="C3900" s="4">
        <v>46143</v>
      </c>
      <c r="D3900" s="4">
        <v>46173</v>
      </c>
      <c r="E3900" s="3" t="s">
        <v>236</v>
      </c>
      <c r="F3900" s="3" t="s">
        <v>238</v>
      </c>
      <c r="G3900" s="5">
        <v>8.0000000000000002E-3</v>
      </c>
      <c r="H3900" s="6" t="s">
        <v>60</v>
      </c>
      <c r="I3900" s="3" t="s">
        <v>45</v>
      </c>
    </row>
    <row r="3901" spans="1:9" ht="48" customHeight="1">
      <c r="A3901" s="3" t="s">
        <v>40</v>
      </c>
      <c r="B3901" s="3" t="s">
        <v>39</v>
      </c>
      <c r="C3901" s="4">
        <v>46143</v>
      </c>
      <c r="D3901" s="4">
        <v>46173</v>
      </c>
      <c r="E3901" s="3" t="s">
        <v>236</v>
      </c>
      <c r="F3901" s="3" t="s">
        <v>237</v>
      </c>
      <c r="G3901" s="5">
        <v>6.9999999999999993E-3</v>
      </c>
      <c r="H3901" s="6" t="s">
        <v>60</v>
      </c>
      <c r="I3901" s="3" t="s">
        <v>45</v>
      </c>
    </row>
    <row r="3902" spans="1:9" ht="48" customHeight="1">
      <c r="A3902" s="3" t="s">
        <v>40</v>
      </c>
      <c r="B3902" s="3" t="s">
        <v>39</v>
      </c>
      <c r="C3902" s="4">
        <v>46143</v>
      </c>
      <c r="D3902" s="4">
        <v>46173</v>
      </c>
      <c r="E3902" s="3" t="s">
        <v>236</v>
      </c>
      <c r="F3902" s="3" t="s">
        <v>240</v>
      </c>
      <c r="G3902" s="5">
        <v>6.0000000000000001E-3</v>
      </c>
      <c r="H3902" s="6" t="s">
        <v>60</v>
      </c>
      <c r="I3902" s="3" t="s">
        <v>45</v>
      </c>
    </row>
    <row r="3903" spans="1:9" ht="48" customHeight="1">
      <c r="A3903" s="3" t="s">
        <v>40</v>
      </c>
      <c r="B3903" s="3" t="s">
        <v>39</v>
      </c>
      <c r="C3903" s="4">
        <v>46143</v>
      </c>
      <c r="D3903" s="4">
        <v>46173</v>
      </c>
      <c r="E3903" s="3" t="s">
        <v>236</v>
      </c>
      <c r="F3903" s="3" t="s">
        <v>239</v>
      </c>
      <c r="G3903" s="5">
        <v>6.0000000000000001E-3</v>
      </c>
      <c r="H3903" s="6" t="s">
        <v>60</v>
      </c>
      <c r="I3903" s="3" t="s">
        <v>45</v>
      </c>
    </row>
    <row r="3904" spans="1:9" ht="48" customHeight="1">
      <c r="A3904" s="3" t="s">
        <v>40</v>
      </c>
      <c r="B3904" s="3" t="s">
        <v>39</v>
      </c>
      <c r="C3904" s="4">
        <v>46143</v>
      </c>
      <c r="D3904" s="4">
        <v>46173</v>
      </c>
      <c r="E3904" s="3" t="s">
        <v>236</v>
      </c>
      <c r="F3904" s="3" t="s">
        <v>241</v>
      </c>
      <c r="G3904" s="5">
        <v>4.0000000000000001E-3</v>
      </c>
      <c r="H3904" s="6" t="s">
        <v>60</v>
      </c>
      <c r="I3904" s="3" t="s">
        <v>45</v>
      </c>
    </row>
    <row r="3905" spans="1:9" ht="48" customHeight="1">
      <c r="A3905" s="3" t="s">
        <v>40</v>
      </c>
      <c r="B3905" s="3" t="s">
        <v>39</v>
      </c>
      <c r="C3905" s="4">
        <v>46143</v>
      </c>
      <c r="D3905" s="4">
        <v>46173</v>
      </c>
      <c r="E3905" s="3" t="s">
        <v>236</v>
      </c>
      <c r="F3905" s="3" t="s">
        <v>230</v>
      </c>
      <c r="G3905" s="5">
        <v>3.0000000000000001E-3</v>
      </c>
      <c r="H3905" s="6" t="s">
        <v>60</v>
      </c>
      <c r="I3905" s="3" t="s">
        <v>45</v>
      </c>
    </row>
    <row r="3906" spans="1:9" ht="48" customHeight="1">
      <c r="A3906" s="3" t="s">
        <v>40</v>
      </c>
      <c r="B3906" s="3" t="s">
        <v>39</v>
      </c>
      <c r="C3906" s="4">
        <v>46143</v>
      </c>
      <c r="D3906" s="4">
        <v>46173</v>
      </c>
      <c r="E3906" s="3" t="s">
        <v>236</v>
      </c>
      <c r="F3906" s="3" t="s">
        <v>234</v>
      </c>
      <c r="G3906" s="5">
        <v>1E-3</v>
      </c>
      <c r="H3906" s="6" t="s">
        <v>60</v>
      </c>
      <c r="I3906" s="3" t="s">
        <v>45</v>
      </c>
    </row>
    <row r="3907" spans="1:9" ht="48" customHeight="1">
      <c r="A3907" s="3" t="s">
        <v>40</v>
      </c>
      <c r="B3907" s="3" t="s">
        <v>39</v>
      </c>
      <c r="C3907" s="4">
        <v>46143</v>
      </c>
      <c r="D3907" s="4">
        <v>46173</v>
      </c>
      <c r="E3907" s="3" t="s">
        <v>236</v>
      </c>
      <c r="F3907" s="3" t="s">
        <v>242</v>
      </c>
      <c r="G3907" s="5">
        <v>1E-3</v>
      </c>
      <c r="H3907" s="6" t="s">
        <v>60</v>
      </c>
      <c r="I3907" s="3" t="s">
        <v>45</v>
      </c>
    </row>
    <row r="3908" spans="1:9" ht="48" customHeight="1">
      <c r="A3908" s="3" t="s">
        <v>40</v>
      </c>
      <c r="B3908" s="3" t="s">
        <v>39</v>
      </c>
      <c r="C3908" s="4">
        <v>46143</v>
      </c>
      <c r="D3908" s="4">
        <v>46173</v>
      </c>
      <c r="E3908" s="3" t="s">
        <v>236</v>
      </c>
      <c r="F3908" s="3" t="s">
        <v>243</v>
      </c>
      <c r="G3908" s="5">
        <v>0</v>
      </c>
      <c r="H3908" s="6" t="s">
        <v>60</v>
      </c>
      <c r="I3908" s="3" t="s">
        <v>45</v>
      </c>
    </row>
    <row r="3909" spans="1:9" ht="48" customHeight="1">
      <c r="A3909" s="3" t="s">
        <v>40</v>
      </c>
      <c r="B3909" s="3" t="s">
        <v>39</v>
      </c>
      <c r="C3909" s="4">
        <v>46143</v>
      </c>
      <c r="D3909" s="4">
        <v>46173</v>
      </c>
      <c r="E3909" s="3" t="s">
        <v>81</v>
      </c>
      <c r="F3909" s="3" t="s">
        <v>333</v>
      </c>
      <c r="G3909" s="5">
        <v>8.0000000000000002E-3</v>
      </c>
      <c r="H3909" s="6" t="s">
        <v>60</v>
      </c>
      <c r="I3909" s="3" t="s">
        <v>45</v>
      </c>
    </row>
    <row r="3910" spans="1:9" ht="48" customHeight="1">
      <c r="A3910" s="3" t="s">
        <v>40</v>
      </c>
      <c r="B3910" s="3" t="s">
        <v>39</v>
      </c>
      <c r="C3910" s="4">
        <v>46143</v>
      </c>
      <c r="D3910" s="4">
        <v>46173</v>
      </c>
      <c r="E3910" s="3" t="s">
        <v>81</v>
      </c>
      <c r="F3910" s="3" t="s">
        <v>330</v>
      </c>
      <c r="G3910" s="5">
        <v>4.0000000000000001E-3</v>
      </c>
      <c r="H3910" s="6" t="s">
        <v>60</v>
      </c>
      <c r="I3910" s="3" t="s">
        <v>45</v>
      </c>
    </row>
    <row r="3911" spans="1:9" ht="48" customHeight="1">
      <c r="A3911" s="3" t="s">
        <v>40</v>
      </c>
      <c r="B3911" s="3" t="s">
        <v>39</v>
      </c>
      <c r="C3911" s="4">
        <v>46143</v>
      </c>
      <c r="D3911" s="4">
        <v>46173</v>
      </c>
      <c r="E3911" s="3" t="s">
        <v>81</v>
      </c>
      <c r="F3911" s="3" t="s">
        <v>326</v>
      </c>
      <c r="G3911" s="5">
        <v>3.0000000000000001E-3</v>
      </c>
      <c r="H3911" s="6" t="s">
        <v>60</v>
      </c>
      <c r="I3911" s="3" t="s">
        <v>45</v>
      </c>
    </row>
    <row r="3912" spans="1:9" ht="48" customHeight="1">
      <c r="A3912" s="3" t="s">
        <v>40</v>
      </c>
      <c r="B3912" s="3" t="s">
        <v>39</v>
      </c>
      <c r="C3912" s="4">
        <v>46143</v>
      </c>
      <c r="D3912" s="4">
        <v>46173</v>
      </c>
      <c r="E3912" s="3" t="s">
        <v>81</v>
      </c>
      <c r="F3912" s="3" t="s">
        <v>327</v>
      </c>
      <c r="G3912" s="5">
        <v>3.0000000000000001E-3</v>
      </c>
      <c r="H3912" s="6" t="s">
        <v>60</v>
      </c>
      <c r="I3912" s="3" t="s">
        <v>45</v>
      </c>
    </row>
    <row r="3913" spans="1:9" ht="48" customHeight="1">
      <c r="A3913" s="3" t="s">
        <v>40</v>
      </c>
      <c r="B3913" s="3" t="s">
        <v>39</v>
      </c>
      <c r="C3913" s="4">
        <v>46143</v>
      </c>
      <c r="D3913" s="4">
        <v>46173</v>
      </c>
      <c r="E3913" s="3" t="s">
        <v>81</v>
      </c>
      <c r="F3913" s="3" t="s">
        <v>328</v>
      </c>
      <c r="G3913" s="5">
        <v>3.0000000000000001E-3</v>
      </c>
      <c r="H3913" s="6" t="s">
        <v>60</v>
      </c>
      <c r="I3913" s="3" t="s">
        <v>45</v>
      </c>
    </row>
    <row r="3914" spans="1:9" ht="48" customHeight="1">
      <c r="A3914" s="3" t="s">
        <v>40</v>
      </c>
      <c r="B3914" s="3" t="s">
        <v>39</v>
      </c>
      <c r="C3914" s="4">
        <v>46143</v>
      </c>
      <c r="D3914" s="4">
        <v>46173</v>
      </c>
      <c r="E3914" s="3" t="s">
        <v>81</v>
      </c>
      <c r="F3914" s="3" t="s">
        <v>325</v>
      </c>
      <c r="G3914" s="5">
        <v>3.0000000000000001E-3</v>
      </c>
      <c r="H3914" s="6" t="s">
        <v>60</v>
      </c>
      <c r="I3914" s="3" t="s">
        <v>45</v>
      </c>
    </row>
    <row r="3915" spans="1:9" ht="48" customHeight="1">
      <c r="A3915" s="3" t="s">
        <v>40</v>
      </c>
      <c r="B3915" s="3" t="s">
        <v>39</v>
      </c>
      <c r="C3915" s="4">
        <v>46143</v>
      </c>
      <c r="D3915" s="4">
        <v>46173</v>
      </c>
      <c r="E3915" s="3" t="s">
        <v>81</v>
      </c>
      <c r="F3915" s="3" t="s">
        <v>332</v>
      </c>
      <c r="G3915" s="5">
        <v>3.0000000000000001E-3</v>
      </c>
      <c r="H3915" s="6" t="s">
        <v>60</v>
      </c>
      <c r="I3915" s="3" t="s">
        <v>45</v>
      </c>
    </row>
    <row r="3916" spans="1:9" ht="48" customHeight="1">
      <c r="A3916" s="3" t="s">
        <v>40</v>
      </c>
      <c r="B3916" s="3" t="s">
        <v>39</v>
      </c>
      <c r="C3916" s="4">
        <v>46143</v>
      </c>
      <c r="D3916" s="4">
        <v>46173</v>
      </c>
      <c r="E3916" s="3" t="s">
        <v>81</v>
      </c>
      <c r="F3916" s="3" t="s">
        <v>345</v>
      </c>
      <c r="G3916" s="5">
        <v>3.0000000000000001E-3</v>
      </c>
      <c r="H3916" s="6" t="s">
        <v>60</v>
      </c>
      <c r="I3916" s="3" t="s">
        <v>45</v>
      </c>
    </row>
    <row r="3917" spans="1:9" ht="48" customHeight="1">
      <c r="A3917" s="3" t="s">
        <v>40</v>
      </c>
      <c r="B3917" s="3" t="s">
        <v>39</v>
      </c>
      <c r="C3917" s="4">
        <v>46143</v>
      </c>
      <c r="D3917" s="4">
        <v>46173</v>
      </c>
      <c r="E3917" s="3" t="s">
        <v>81</v>
      </c>
      <c r="F3917" s="3" t="s">
        <v>344</v>
      </c>
      <c r="G3917" s="5">
        <v>2E-3</v>
      </c>
      <c r="H3917" s="6" t="s">
        <v>60</v>
      </c>
      <c r="I3917" s="3" t="s">
        <v>45</v>
      </c>
    </row>
    <row r="3918" spans="1:9" ht="48" customHeight="1">
      <c r="A3918" s="3" t="s">
        <v>40</v>
      </c>
      <c r="B3918" s="3" t="s">
        <v>39</v>
      </c>
      <c r="C3918" s="4">
        <v>46143</v>
      </c>
      <c r="D3918" s="4">
        <v>46173</v>
      </c>
      <c r="E3918" s="3" t="s">
        <v>81</v>
      </c>
      <c r="F3918" s="3" t="s">
        <v>329</v>
      </c>
      <c r="G3918" s="5">
        <v>1E-3</v>
      </c>
      <c r="H3918" s="6" t="s">
        <v>60</v>
      </c>
      <c r="I3918" s="3" t="s">
        <v>45</v>
      </c>
    </row>
    <row r="3919" spans="1:9" ht="48" customHeight="1">
      <c r="A3919" s="3" t="s">
        <v>40</v>
      </c>
      <c r="B3919" s="3" t="s">
        <v>39</v>
      </c>
      <c r="C3919" s="4">
        <v>46143</v>
      </c>
      <c r="D3919" s="4">
        <v>46173</v>
      </c>
      <c r="E3919" s="3" t="s">
        <v>81</v>
      </c>
      <c r="F3919" s="3" t="s">
        <v>334</v>
      </c>
      <c r="G3919" s="5">
        <v>1E-3</v>
      </c>
      <c r="H3919" s="6" t="s">
        <v>60</v>
      </c>
      <c r="I3919" s="3" t="s">
        <v>45</v>
      </c>
    </row>
    <row r="3920" spans="1:9" ht="48" customHeight="1">
      <c r="A3920" s="3" t="s">
        <v>40</v>
      </c>
      <c r="B3920" s="3" t="s">
        <v>39</v>
      </c>
      <c r="C3920" s="4">
        <v>46143</v>
      </c>
      <c r="D3920" s="4">
        <v>46173</v>
      </c>
      <c r="E3920" s="3" t="s">
        <v>81</v>
      </c>
      <c r="F3920" s="3" t="s">
        <v>331</v>
      </c>
      <c r="G3920" s="5">
        <v>1E-3</v>
      </c>
      <c r="H3920" s="6" t="s">
        <v>60</v>
      </c>
      <c r="I3920" s="3" t="s">
        <v>45</v>
      </c>
    </row>
    <row r="3921" spans="1:9" ht="48" customHeight="1">
      <c r="A3921" s="3" t="s">
        <v>40</v>
      </c>
      <c r="B3921" s="3" t="s">
        <v>39</v>
      </c>
      <c r="C3921" s="4">
        <v>46143</v>
      </c>
      <c r="D3921" s="4">
        <v>46173</v>
      </c>
      <c r="E3921" s="3" t="s">
        <v>81</v>
      </c>
      <c r="F3921" s="3" t="s">
        <v>335</v>
      </c>
      <c r="G3921" s="5">
        <v>1E-3</v>
      </c>
      <c r="H3921" s="6" t="s">
        <v>60</v>
      </c>
      <c r="I3921" s="3" t="s">
        <v>45</v>
      </c>
    </row>
    <row r="3922" spans="1:9" ht="48" customHeight="1">
      <c r="A3922" s="3" t="s">
        <v>40</v>
      </c>
      <c r="B3922" s="3" t="s">
        <v>39</v>
      </c>
      <c r="C3922" s="4">
        <v>46143</v>
      </c>
      <c r="D3922" s="4">
        <v>46173</v>
      </c>
      <c r="E3922" s="3" t="s">
        <v>81</v>
      </c>
      <c r="F3922" s="3" t="s">
        <v>336</v>
      </c>
      <c r="G3922" s="5">
        <v>1E-3</v>
      </c>
      <c r="H3922" s="6" t="s">
        <v>60</v>
      </c>
      <c r="I3922" s="3" t="s">
        <v>45</v>
      </c>
    </row>
    <row r="3923" spans="1:9" ht="48" customHeight="1">
      <c r="A3923" s="3" t="s">
        <v>40</v>
      </c>
      <c r="B3923" s="3" t="s">
        <v>39</v>
      </c>
      <c r="C3923" s="4">
        <v>46143</v>
      </c>
      <c r="D3923" s="4">
        <v>46173</v>
      </c>
      <c r="E3923" s="3" t="s">
        <v>81</v>
      </c>
      <c r="F3923" s="3" t="s">
        <v>337</v>
      </c>
      <c r="G3923" s="5">
        <v>1E-3</v>
      </c>
      <c r="H3923" s="6" t="s">
        <v>60</v>
      </c>
      <c r="I3923" s="3" t="s">
        <v>45</v>
      </c>
    </row>
    <row r="3924" spans="1:9" ht="48" customHeight="1">
      <c r="A3924" s="3" t="s">
        <v>40</v>
      </c>
      <c r="B3924" s="3" t="s">
        <v>39</v>
      </c>
      <c r="C3924" s="4">
        <v>46143</v>
      </c>
      <c r="D3924" s="4">
        <v>46173</v>
      </c>
      <c r="E3924" s="3" t="s">
        <v>81</v>
      </c>
      <c r="F3924" s="3" t="s">
        <v>339</v>
      </c>
      <c r="G3924" s="5">
        <v>1E-3</v>
      </c>
      <c r="H3924" s="6" t="s">
        <v>60</v>
      </c>
      <c r="I3924" s="3" t="s">
        <v>45</v>
      </c>
    </row>
    <row r="3925" spans="1:9" ht="48" customHeight="1">
      <c r="A3925" s="3" t="s">
        <v>40</v>
      </c>
      <c r="B3925" s="3" t="s">
        <v>39</v>
      </c>
      <c r="C3925" s="4">
        <v>46143</v>
      </c>
      <c r="D3925" s="4">
        <v>46173</v>
      </c>
      <c r="E3925" s="3" t="s">
        <v>81</v>
      </c>
      <c r="F3925" s="3" t="s">
        <v>343</v>
      </c>
      <c r="G3925" s="5">
        <v>1E-3</v>
      </c>
      <c r="H3925" s="6" t="s">
        <v>60</v>
      </c>
      <c r="I3925" s="3" t="s">
        <v>45</v>
      </c>
    </row>
    <row r="3926" spans="1:9" ht="48" customHeight="1">
      <c r="A3926" s="3" t="s">
        <v>40</v>
      </c>
      <c r="B3926" s="3" t="s">
        <v>39</v>
      </c>
      <c r="C3926" s="4">
        <v>46143</v>
      </c>
      <c r="D3926" s="4">
        <v>46173</v>
      </c>
      <c r="E3926" s="3" t="s">
        <v>81</v>
      </c>
      <c r="F3926" s="3" t="s">
        <v>346</v>
      </c>
      <c r="G3926" s="5">
        <v>1E-3</v>
      </c>
      <c r="H3926" s="6" t="s">
        <v>60</v>
      </c>
      <c r="I3926" s="3" t="s">
        <v>45</v>
      </c>
    </row>
    <row r="3927" spans="1:9" ht="48" customHeight="1">
      <c r="A3927" s="3" t="s">
        <v>40</v>
      </c>
      <c r="B3927" s="3" t="s">
        <v>39</v>
      </c>
      <c r="C3927" s="4">
        <v>46143</v>
      </c>
      <c r="D3927" s="4">
        <v>46173</v>
      </c>
      <c r="E3927" s="3" t="s">
        <v>81</v>
      </c>
      <c r="F3927" s="3" t="s">
        <v>338</v>
      </c>
      <c r="G3927" s="5">
        <v>0</v>
      </c>
      <c r="H3927" s="6" t="s">
        <v>60</v>
      </c>
      <c r="I3927" s="3" t="s">
        <v>45</v>
      </c>
    </row>
    <row r="3928" spans="1:9" ht="48" customHeight="1">
      <c r="A3928" s="3" t="s">
        <v>40</v>
      </c>
      <c r="B3928" s="3" t="s">
        <v>39</v>
      </c>
      <c r="C3928" s="4">
        <v>46143</v>
      </c>
      <c r="D3928" s="4">
        <v>46173</v>
      </c>
      <c r="E3928" s="3" t="s">
        <v>81</v>
      </c>
      <c r="F3928" s="3" t="s">
        <v>340</v>
      </c>
      <c r="G3928" s="5">
        <v>0</v>
      </c>
      <c r="H3928" s="6" t="s">
        <v>60</v>
      </c>
      <c r="I3928" s="3" t="s">
        <v>45</v>
      </c>
    </row>
    <row r="3929" spans="1:9" ht="48" customHeight="1">
      <c r="A3929" s="3" t="s">
        <v>40</v>
      </c>
      <c r="B3929" s="3" t="s">
        <v>39</v>
      </c>
      <c r="C3929" s="4">
        <v>46143</v>
      </c>
      <c r="D3929" s="4">
        <v>46173</v>
      </c>
      <c r="E3929" s="3" t="s">
        <v>81</v>
      </c>
      <c r="F3929" s="3" t="s">
        <v>341</v>
      </c>
      <c r="G3929" s="5">
        <v>0</v>
      </c>
      <c r="H3929" s="6" t="s">
        <v>60</v>
      </c>
      <c r="I3929" s="3" t="s">
        <v>45</v>
      </c>
    </row>
    <row r="3930" spans="1:9" ht="48" customHeight="1">
      <c r="A3930" s="3" t="s">
        <v>40</v>
      </c>
      <c r="B3930" s="3" t="s">
        <v>39</v>
      </c>
      <c r="C3930" s="4">
        <v>46143</v>
      </c>
      <c r="D3930" s="4">
        <v>46173</v>
      </c>
      <c r="E3930" s="3" t="s">
        <v>81</v>
      </c>
      <c r="F3930" s="3" t="s">
        <v>342</v>
      </c>
      <c r="G3930" s="5">
        <v>0</v>
      </c>
      <c r="H3930" s="6" t="s">
        <v>60</v>
      </c>
      <c r="I3930" s="3" t="s">
        <v>45</v>
      </c>
    </row>
    <row r="3931" spans="1:9" ht="48" customHeight="1">
      <c r="A3931" s="3" t="s">
        <v>40</v>
      </c>
      <c r="B3931" s="3" t="s">
        <v>39</v>
      </c>
      <c r="C3931" s="4">
        <v>46143</v>
      </c>
      <c r="D3931" s="4">
        <v>46173</v>
      </c>
      <c r="E3931" s="3" t="s">
        <v>81</v>
      </c>
      <c r="F3931" s="3" t="s">
        <v>347</v>
      </c>
      <c r="G3931" s="5">
        <v>0</v>
      </c>
      <c r="H3931" s="6" t="s">
        <v>60</v>
      </c>
      <c r="I3931" s="3" t="s">
        <v>45</v>
      </c>
    </row>
    <row r="3932" spans="1:9" ht="48" customHeight="1">
      <c r="A3932" s="3" t="s">
        <v>40</v>
      </c>
      <c r="B3932" s="3" t="s">
        <v>39</v>
      </c>
      <c r="C3932" s="4">
        <v>46143</v>
      </c>
      <c r="D3932" s="4">
        <v>46173</v>
      </c>
      <c r="E3932" s="3" t="s">
        <v>68</v>
      </c>
      <c r="F3932" s="3" t="s">
        <v>150</v>
      </c>
      <c r="G3932" s="5">
        <v>5.0000000000000001E-3</v>
      </c>
      <c r="H3932" s="6" t="s">
        <v>60</v>
      </c>
      <c r="I3932" s="3" t="s">
        <v>45</v>
      </c>
    </row>
    <row r="3933" spans="1:9" ht="48" customHeight="1">
      <c r="A3933" s="3" t="s">
        <v>40</v>
      </c>
      <c r="B3933" s="3" t="s">
        <v>39</v>
      </c>
      <c r="C3933" s="4">
        <v>46143</v>
      </c>
      <c r="D3933" s="4">
        <v>46173</v>
      </c>
      <c r="E3933" s="3" t="s">
        <v>68</v>
      </c>
      <c r="F3933" s="3" t="s">
        <v>147</v>
      </c>
      <c r="G3933" s="5">
        <v>5.0000000000000001E-3</v>
      </c>
      <c r="H3933" s="6" t="s">
        <v>60</v>
      </c>
      <c r="I3933" s="3" t="s">
        <v>45</v>
      </c>
    </row>
    <row r="3934" spans="1:9" ht="48" customHeight="1">
      <c r="A3934" s="3" t="s">
        <v>40</v>
      </c>
      <c r="B3934" s="3" t="s">
        <v>39</v>
      </c>
      <c r="C3934" s="4">
        <v>46143</v>
      </c>
      <c r="D3934" s="4">
        <v>46173</v>
      </c>
      <c r="E3934" s="3" t="s">
        <v>68</v>
      </c>
      <c r="F3934" s="3" t="s">
        <v>151</v>
      </c>
      <c r="G3934" s="5">
        <v>4.0000000000000001E-3</v>
      </c>
      <c r="H3934" s="6" t="s">
        <v>60</v>
      </c>
      <c r="I3934" s="3" t="s">
        <v>45</v>
      </c>
    </row>
    <row r="3935" spans="1:9" ht="48" customHeight="1">
      <c r="A3935" s="3" t="s">
        <v>40</v>
      </c>
      <c r="B3935" s="3" t="s">
        <v>39</v>
      </c>
      <c r="C3935" s="4">
        <v>46143</v>
      </c>
      <c r="D3935" s="4">
        <v>46173</v>
      </c>
      <c r="E3935" s="3" t="s">
        <v>68</v>
      </c>
      <c r="F3935" s="3" t="s">
        <v>148</v>
      </c>
      <c r="G3935" s="5">
        <v>3.0000000000000001E-3</v>
      </c>
      <c r="H3935" s="6" t="s">
        <v>60</v>
      </c>
      <c r="I3935" s="3" t="s">
        <v>45</v>
      </c>
    </row>
    <row r="3936" spans="1:9" ht="48" customHeight="1">
      <c r="A3936" s="3" t="s">
        <v>40</v>
      </c>
      <c r="B3936" s="3" t="s">
        <v>39</v>
      </c>
      <c r="C3936" s="4">
        <v>46143</v>
      </c>
      <c r="D3936" s="4">
        <v>46173</v>
      </c>
      <c r="E3936" s="3" t="s">
        <v>68</v>
      </c>
      <c r="F3936" s="3" t="s">
        <v>149</v>
      </c>
      <c r="G3936" s="5">
        <v>2E-3</v>
      </c>
      <c r="H3936" s="6" t="s">
        <v>60</v>
      </c>
      <c r="I3936" s="3" t="s">
        <v>45</v>
      </c>
    </row>
    <row r="3937" spans="1:9" ht="48" customHeight="1">
      <c r="A3937" s="3" t="s">
        <v>40</v>
      </c>
      <c r="B3937" s="3" t="s">
        <v>39</v>
      </c>
      <c r="C3937" s="4">
        <v>46143</v>
      </c>
      <c r="D3937" s="4">
        <v>46173</v>
      </c>
      <c r="E3937" s="3" t="s">
        <v>68</v>
      </c>
      <c r="F3937" s="3" t="s">
        <v>155</v>
      </c>
      <c r="G3937" s="5">
        <v>1E-3</v>
      </c>
      <c r="H3937" s="6" t="s">
        <v>60</v>
      </c>
      <c r="I3937" s="3" t="s">
        <v>45</v>
      </c>
    </row>
    <row r="3938" spans="1:9" ht="48" customHeight="1">
      <c r="A3938" s="3" t="s">
        <v>40</v>
      </c>
      <c r="B3938" s="3" t="s">
        <v>39</v>
      </c>
      <c r="C3938" s="4">
        <v>46143</v>
      </c>
      <c r="D3938" s="4">
        <v>46173</v>
      </c>
      <c r="E3938" s="3" t="s">
        <v>68</v>
      </c>
      <c r="F3938" s="3" t="s">
        <v>152</v>
      </c>
      <c r="G3938" s="5">
        <v>1E-3</v>
      </c>
      <c r="H3938" s="6" t="s">
        <v>60</v>
      </c>
      <c r="I3938" s="3" t="s">
        <v>45</v>
      </c>
    </row>
    <row r="3939" spans="1:9" ht="48" customHeight="1">
      <c r="A3939" s="3" t="s">
        <v>40</v>
      </c>
      <c r="B3939" s="3" t="s">
        <v>39</v>
      </c>
      <c r="C3939" s="4">
        <v>46143</v>
      </c>
      <c r="D3939" s="4">
        <v>46173</v>
      </c>
      <c r="E3939" s="3" t="s">
        <v>68</v>
      </c>
      <c r="F3939" s="3" t="s">
        <v>157</v>
      </c>
      <c r="G3939" s="5">
        <v>1E-3</v>
      </c>
      <c r="H3939" s="6" t="s">
        <v>60</v>
      </c>
      <c r="I3939" s="3" t="s">
        <v>45</v>
      </c>
    </row>
    <row r="3940" spans="1:9" ht="48" customHeight="1">
      <c r="A3940" s="3" t="s">
        <v>40</v>
      </c>
      <c r="B3940" s="3" t="s">
        <v>39</v>
      </c>
      <c r="C3940" s="4">
        <v>46143</v>
      </c>
      <c r="D3940" s="4">
        <v>46173</v>
      </c>
      <c r="E3940" s="3" t="s">
        <v>68</v>
      </c>
      <c r="F3940" s="3" t="s">
        <v>159</v>
      </c>
      <c r="G3940" s="5">
        <v>1E-3</v>
      </c>
      <c r="H3940" s="6" t="s">
        <v>60</v>
      </c>
      <c r="I3940" s="3" t="s">
        <v>45</v>
      </c>
    </row>
    <row r="3941" spans="1:9" ht="48" customHeight="1">
      <c r="A3941" s="3" t="s">
        <v>40</v>
      </c>
      <c r="B3941" s="3" t="s">
        <v>39</v>
      </c>
      <c r="C3941" s="4">
        <v>46143</v>
      </c>
      <c r="D3941" s="4">
        <v>46173</v>
      </c>
      <c r="E3941" s="3" t="s">
        <v>68</v>
      </c>
      <c r="F3941" s="3" t="s">
        <v>146</v>
      </c>
      <c r="G3941" s="5">
        <v>1E-3</v>
      </c>
      <c r="H3941" s="6" t="s">
        <v>60</v>
      </c>
      <c r="I3941" s="3" t="s">
        <v>45</v>
      </c>
    </row>
    <row r="3942" spans="1:9" ht="48" customHeight="1">
      <c r="A3942" s="3" t="s">
        <v>40</v>
      </c>
      <c r="B3942" s="3" t="s">
        <v>39</v>
      </c>
      <c r="C3942" s="4">
        <v>46143</v>
      </c>
      <c r="D3942" s="4">
        <v>46173</v>
      </c>
      <c r="E3942" s="3" t="s">
        <v>68</v>
      </c>
      <c r="F3942" s="3" t="s">
        <v>66</v>
      </c>
      <c r="G3942" s="5">
        <v>1E-3</v>
      </c>
      <c r="H3942" s="6" t="s">
        <v>60</v>
      </c>
      <c r="I3942" s="3" t="s">
        <v>45</v>
      </c>
    </row>
    <row r="3943" spans="1:9" ht="48" customHeight="1">
      <c r="A3943" s="3" t="s">
        <v>40</v>
      </c>
      <c r="B3943" s="3" t="s">
        <v>39</v>
      </c>
      <c r="C3943" s="4">
        <v>46143</v>
      </c>
      <c r="D3943" s="4">
        <v>46173</v>
      </c>
      <c r="E3943" s="3" t="s">
        <v>68</v>
      </c>
      <c r="F3943" s="3" t="s">
        <v>154</v>
      </c>
      <c r="G3943" s="5">
        <v>1E-3</v>
      </c>
      <c r="H3943" s="6" t="s">
        <v>60</v>
      </c>
      <c r="I3943" s="3" t="s">
        <v>45</v>
      </c>
    </row>
    <row r="3944" spans="1:9" ht="48" customHeight="1">
      <c r="A3944" s="3" t="s">
        <v>40</v>
      </c>
      <c r="B3944" s="3" t="s">
        <v>39</v>
      </c>
      <c r="C3944" s="4">
        <v>46143</v>
      </c>
      <c r="D3944" s="4">
        <v>46173</v>
      </c>
      <c r="E3944" s="3" t="s">
        <v>68</v>
      </c>
      <c r="F3944" s="3" t="s">
        <v>160</v>
      </c>
      <c r="G3944" s="5">
        <v>0</v>
      </c>
      <c r="H3944" s="6" t="s">
        <v>60</v>
      </c>
      <c r="I3944" s="3" t="s">
        <v>45</v>
      </c>
    </row>
    <row r="3945" spans="1:9" ht="48" customHeight="1">
      <c r="A3945" s="3" t="s">
        <v>40</v>
      </c>
      <c r="B3945" s="3" t="s">
        <v>39</v>
      </c>
      <c r="C3945" s="4">
        <v>46143</v>
      </c>
      <c r="D3945" s="4">
        <v>46173</v>
      </c>
      <c r="E3945" s="3" t="s">
        <v>68</v>
      </c>
      <c r="F3945" s="3" t="s">
        <v>156</v>
      </c>
      <c r="G3945" s="5">
        <v>0</v>
      </c>
      <c r="H3945" s="6" t="s">
        <v>60</v>
      </c>
      <c r="I3945" s="3" t="s">
        <v>45</v>
      </c>
    </row>
    <row r="3946" spans="1:9" ht="48" customHeight="1">
      <c r="A3946" s="3" t="s">
        <v>40</v>
      </c>
      <c r="B3946" s="3" t="s">
        <v>39</v>
      </c>
      <c r="C3946" s="4">
        <v>46143</v>
      </c>
      <c r="D3946" s="4">
        <v>46173</v>
      </c>
      <c r="E3946" s="3" t="s">
        <v>68</v>
      </c>
      <c r="F3946" s="3" t="s">
        <v>158</v>
      </c>
      <c r="G3946" s="5">
        <v>0</v>
      </c>
      <c r="H3946" s="6" t="s">
        <v>60</v>
      </c>
      <c r="I3946" s="3" t="s">
        <v>45</v>
      </c>
    </row>
    <row r="3947" spans="1:9" ht="48" customHeight="1">
      <c r="A3947" s="3" t="s">
        <v>40</v>
      </c>
      <c r="B3947" s="3" t="s">
        <v>39</v>
      </c>
      <c r="C3947" s="4">
        <v>46143</v>
      </c>
      <c r="D3947" s="4">
        <v>46173</v>
      </c>
      <c r="E3947" s="3" t="s">
        <v>68</v>
      </c>
      <c r="F3947" s="3" t="s">
        <v>153</v>
      </c>
      <c r="G3947" s="5">
        <v>0</v>
      </c>
      <c r="H3947" s="6" t="s">
        <v>60</v>
      </c>
      <c r="I3947" s="3" t="s">
        <v>45</v>
      </c>
    </row>
    <row r="3948" spans="1:9" ht="48" customHeight="1">
      <c r="A3948" s="3" t="s">
        <v>40</v>
      </c>
      <c r="B3948" s="3" t="s">
        <v>39</v>
      </c>
      <c r="C3948" s="4">
        <v>46143</v>
      </c>
      <c r="D3948" s="4">
        <v>46173</v>
      </c>
      <c r="E3948" s="3" t="s">
        <v>364</v>
      </c>
      <c r="F3948" s="3" t="s">
        <v>262</v>
      </c>
      <c r="G3948" s="5">
        <v>5.0000000000000001E-3</v>
      </c>
      <c r="H3948" s="6" t="s">
        <v>60</v>
      </c>
      <c r="I3948" s="3" t="s">
        <v>45</v>
      </c>
    </row>
    <row r="3949" spans="1:9" ht="48" customHeight="1">
      <c r="A3949" s="3" t="s">
        <v>40</v>
      </c>
      <c r="B3949" s="3" t="s">
        <v>39</v>
      </c>
      <c r="C3949" s="4">
        <v>46143</v>
      </c>
      <c r="D3949" s="4">
        <v>46173</v>
      </c>
      <c r="E3949" s="3" t="s">
        <v>364</v>
      </c>
      <c r="F3949" s="3" t="s">
        <v>366</v>
      </c>
      <c r="G3949" s="5">
        <v>5.0000000000000001E-3</v>
      </c>
      <c r="H3949" s="6" t="s">
        <v>60</v>
      </c>
      <c r="I3949" s="3" t="s">
        <v>45</v>
      </c>
    </row>
    <row r="3950" spans="1:9" ht="48" customHeight="1">
      <c r="A3950" s="3" t="s">
        <v>40</v>
      </c>
      <c r="B3950" s="3" t="s">
        <v>39</v>
      </c>
      <c r="C3950" s="4">
        <v>46143</v>
      </c>
      <c r="D3950" s="4">
        <v>46173</v>
      </c>
      <c r="E3950" s="3" t="s">
        <v>364</v>
      </c>
      <c r="F3950" s="3" t="s">
        <v>365</v>
      </c>
      <c r="G3950" s="5">
        <v>4.0000000000000001E-3</v>
      </c>
      <c r="H3950" s="6" t="s">
        <v>60</v>
      </c>
      <c r="I3950" s="3" t="s">
        <v>45</v>
      </c>
    </row>
    <row r="3951" spans="1:9" ht="48" customHeight="1">
      <c r="A3951" s="3" t="s">
        <v>40</v>
      </c>
      <c r="B3951" s="3" t="s">
        <v>39</v>
      </c>
      <c r="C3951" s="4">
        <v>46143</v>
      </c>
      <c r="D3951" s="4">
        <v>46173</v>
      </c>
      <c r="E3951" s="3" t="s">
        <v>364</v>
      </c>
      <c r="F3951" s="3" t="s">
        <v>234</v>
      </c>
      <c r="G3951" s="5">
        <v>3.0000000000000001E-3</v>
      </c>
      <c r="H3951" s="6" t="s">
        <v>60</v>
      </c>
      <c r="I3951" s="3" t="s">
        <v>45</v>
      </c>
    </row>
    <row r="3952" spans="1:9" ht="48" customHeight="1">
      <c r="A3952" s="3" t="s">
        <v>40</v>
      </c>
      <c r="B3952" s="3" t="s">
        <v>39</v>
      </c>
      <c r="C3952" s="4">
        <v>46143</v>
      </c>
      <c r="D3952" s="4">
        <v>46173</v>
      </c>
      <c r="E3952" s="3" t="s">
        <v>364</v>
      </c>
      <c r="F3952" s="3" t="s">
        <v>367</v>
      </c>
      <c r="G3952" s="5">
        <v>2E-3</v>
      </c>
      <c r="H3952" s="6" t="s">
        <v>60</v>
      </c>
      <c r="I3952" s="3" t="s">
        <v>45</v>
      </c>
    </row>
    <row r="3953" spans="1:9" ht="48" customHeight="1">
      <c r="A3953" s="3" t="s">
        <v>40</v>
      </c>
      <c r="B3953" s="3" t="s">
        <v>39</v>
      </c>
      <c r="C3953" s="4">
        <v>46143</v>
      </c>
      <c r="D3953" s="4">
        <v>46173</v>
      </c>
      <c r="E3953" s="3" t="s">
        <v>364</v>
      </c>
      <c r="F3953" s="3" t="s">
        <v>230</v>
      </c>
      <c r="G3953" s="5">
        <v>1E-3</v>
      </c>
      <c r="H3953" s="6" t="s">
        <v>60</v>
      </c>
      <c r="I3953" s="3" t="s">
        <v>45</v>
      </c>
    </row>
    <row r="3954" spans="1:9" ht="48" customHeight="1">
      <c r="A3954" s="3" t="s">
        <v>40</v>
      </c>
      <c r="B3954" s="3" t="s">
        <v>39</v>
      </c>
      <c r="C3954" s="4">
        <v>46143</v>
      </c>
      <c r="D3954" s="4">
        <v>46173</v>
      </c>
      <c r="E3954" s="3" t="s">
        <v>364</v>
      </c>
      <c r="F3954" s="3" t="s">
        <v>232</v>
      </c>
      <c r="G3954" s="5">
        <v>1E-3</v>
      </c>
      <c r="H3954" s="6" t="s">
        <v>60</v>
      </c>
      <c r="I3954" s="3" t="s">
        <v>45</v>
      </c>
    </row>
    <row r="3955" spans="1:9" ht="48" customHeight="1">
      <c r="A3955" s="3" t="s">
        <v>40</v>
      </c>
      <c r="B3955" s="3" t="s">
        <v>39</v>
      </c>
      <c r="C3955" s="4">
        <v>46143</v>
      </c>
      <c r="D3955" s="4">
        <v>46173</v>
      </c>
      <c r="E3955" s="3" t="s">
        <v>364</v>
      </c>
      <c r="F3955" s="3" t="s">
        <v>265</v>
      </c>
      <c r="G3955" s="5">
        <v>1E-3</v>
      </c>
      <c r="H3955" s="6" t="s">
        <v>60</v>
      </c>
      <c r="I3955" s="3" t="s">
        <v>45</v>
      </c>
    </row>
    <row r="3956" spans="1:9" ht="48" customHeight="1">
      <c r="A3956" s="3" t="s">
        <v>40</v>
      </c>
      <c r="B3956" s="3" t="s">
        <v>39</v>
      </c>
      <c r="C3956" s="4">
        <v>46143</v>
      </c>
      <c r="D3956" s="4">
        <v>46173</v>
      </c>
      <c r="E3956" s="3" t="s">
        <v>364</v>
      </c>
      <c r="F3956" s="3" t="s">
        <v>79</v>
      </c>
      <c r="G3956" s="5">
        <v>0</v>
      </c>
      <c r="H3956" s="6" t="s">
        <v>60</v>
      </c>
      <c r="I3956" s="3" t="s">
        <v>45</v>
      </c>
    </row>
    <row r="3957" spans="1:9" ht="48" customHeight="1">
      <c r="A3957" s="3" t="s">
        <v>40</v>
      </c>
      <c r="B3957" s="3" t="s">
        <v>39</v>
      </c>
      <c r="C3957" s="4">
        <v>46143</v>
      </c>
      <c r="D3957" s="4">
        <v>46173</v>
      </c>
      <c r="E3957" s="3" t="s">
        <v>302</v>
      </c>
      <c r="F3957" s="3" t="s">
        <v>307</v>
      </c>
      <c r="G3957" s="5">
        <v>3.0000000000000001E-3</v>
      </c>
      <c r="H3957" s="6" t="s">
        <v>60</v>
      </c>
      <c r="I3957" s="3" t="s">
        <v>45</v>
      </c>
    </row>
    <row r="3958" spans="1:9" ht="48" customHeight="1">
      <c r="A3958" s="3" t="s">
        <v>40</v>
      </c>
      <c r="B3958" s="3" t="s">
        <v>39</v>
      </c>
      <c r="C3958" s="4">
        <v>46143</v>
      </c>
      <c r="D3958" s="4">
        <v>46173</v>
      </c>
      <c r="E3958" s="3" t="s">
        <v>302</v>
      </c>
      <c r="F3958" s="3" t="s">
        <v>304</v>
      </c>
      <c r="G3958" s="5">
        <v>2E-3</v>
      </c>
      <c r="H3958" s="6" t="s">
        <v>60</v>
      </c>
      <c r="I3958" s="3" t="s">
        <v>45</v>
      </c>
    </row>
    <row r="3959" spans="1:9" ht="48" customHeight="1">
      <c r="A3959" s="3" t="s">
        <v>40</v>
      </c>
      <c r="B3959" s="3" t="s">
        <v>39</v>
      </c>
      <c r="C3959" s="4">
        <v>46143</v>
      </c>
      <c r="D3959" s="4">
        <v>46173</v>
      </c>
      <c r="E3959" s="3" t="s">
        <v>302</v>
      </c>
      <c r="F3959" s="3" t="s">
        <v>308</v>
      </c>
      <c r="G3959" s="5">
        <v>2E-3</v>
      </c>
      <c r="H3959" s="6" t="s">
        <v>60</v>
      </c>
      <c r="I3959" s="3" t="s">
        <v>45</v>
      </c>
    </row>
    <row r="3960" spans="1:9" ht="48" customHeight="1">
      <c r="A3960" s="3" t="s">
        <v>40</v>
      </c>
      <c r="B3960" s="3" t="s">
        <v>39</v>
      </c>
      <c r="C3960" s="4">
        <v>46143</v>
      </c>
      <c r="D3960" s="4">
        <v>46173</v>
      </c>
      <c r="E3960" s="3" t="s">
        <v>302</v>
      </c>
      <c r="F3960" s="3" t="s">
        <v>309</v>
      </c>
      <c r="G3960" s="5">
        <v>2E-3</v>
      </c>
      <c r="H3960" s="6" t="s">
        <v>60</v>
      </c>
      <c r="I3960" s="3" t="s">
        <v>45</v>
      </c>
    </row>
    <row r="3961" spans="1:9" ht="48" customHeight="1">
      <c r="A3961" s="3" t="s">
        <v>40</v>
      </c>
      <c r="B3961" s="3" t="s">
        <v>39</v>
      </c>
      <c r="C3961" s="4">
        <v>46143</v>
      </c>
      <c r="D3961" s="4">
        <v>46173</v>
      </c>
      <c r="E3961" s="3" t="s">
        <v>302</v>
      </c>
      <c r="F3961" s="3" t="s">
        <v>303</v>
      </c>
      <c r="G3961" s="5">
        <v>1E-3</v>
      </c>
      <c r="H3961" s="6" t="s">
        <v>60</v>
      </c>
      <c r="I3961" s="3" t="s">
        <v>45</v>
      </c>
    </row>
    <row r="3962" spans="1:9" ht="48" customHeight="1">
      <c r="A3962" s="3" t="s">
        <v>40</v>
      </c>
      <c r="B3962" s="3" t="s">
        <v>39</v>
      </c>
      <c r="C3962" s="4">
        <v>46143</v>
      </c>
      <c r="D3962" s="4">
        <v>46173</v>
      </c>
      <c r="E3962" s="3" t="s">
        <v>302</v>
      </c>
      <c r="F3962" s="3" t="s">
        <v>310</v>
      </c>
      <c r="G3962" s="5">
        <v>1E-3</v>
      </c>
      <c r="H3962" s="6" t="s">
        <v>60</v>
      </c>
      <c r="I3962" s="3" t="s">
        <v>45</v>
      </c>
    </row>
    <row r="3963" spans="1:9" ht="48" customHeight="1">
      <c r="A3963" s="3" t="s">
        <v>40</v>
      </c>
      <c r="B3963" s="3" t="s">
        <v>39</v>
      </c>
      <c r="C3963" s="4">
        <v>46143</v>
      </c>
      <c r="D3963" s="4">
        <v>46173</v>
      </c>
      <c r="E3963" s="3" t="s">
        <v>302</v>
      </c>
      <c r="F3963" s="3" t="s">
        <v>311</v>
      </c>
      <c r="G3963" s="5">
        <v>1E-3</v>
      </c>
      <c r="H3963" s="6" t="s">
        <v>60</v>
      </c>
      <c r="I3963" s="3" t="s">
        <v>45</v>
      </c>
    </row>
    <row r="3964" spans="1:9" ht="48" customHeight="1">
      <c r="A3964" s="3" t="s">
        <v>40</v>
      </c>
      <c r="B3964" s="3" t="s">
        <v>39</v>
      </c>
      <c r="C3964" s="4">
        <v>46143</v>
      </c>
      <c r="D3964" s="4">
        <v>46173</v>
      </c>
      <c r="E3964" s="3" t="s">
        <v>302</v>
      </c>
      <c r="F3964" s="3" t="s">
        <v>305</v>
      </c>
      <c r="G3964" s="5">
        <v>1E-3</v>
      </c>
      <c r="H3964" s="6" t="s">
        <v>60</v>
      </c>
      <c r="I3964" s="3" t="s">
        <v>45</v>
      </c>
    </row>
    <row r="3965" spans="1:9" ht="48" customHeight="1">
      <c r="A3965" s="3" t="s">
        <v>40</v>
      </c>
      <c r="B3965" s="3" t="s">
        <v>39</v>
      </c>
      <c r="C3965" s="4">
        <v>46143</v>
      </c>
      <c r="D3965" s="4">
        <v>46173</v>
      </c>
      <c r="E3965" s="3" t="s">
        <v>302</v>
      </c>
      <c r="F3965" s="3" t="s">
        <v>306</v>
      </c>
      <c r="G3965" s="5">
        <v>1E-3</v>
      </c>
      <c r="H3965" s="6" t="s">
        <v>60</v>
      </c>
      <c r="I3965" s="3" t="s">
        <v>45</v>
      </c>
    </row>
    <row r="3966" spans="1:9" ht="48" customHeight="1">
      <c r="A3966" s="3" t="s">
        <v>40</v>
      </c>
      <c r="B3966" s="3" t="s">
        <v>39</v>
      </c>
      <c r="C3966" s="4">
        <v>46143</v>
      </c>
      <c r="D3966" s="4">
        <v>46173</v>
      </c>
      <c r="E3966" s="3" t="s">
        <v>302</v>
      </c>
      <c r="F3966" s="3" t="s">
        <v>312</v>
      </c>
      <c r="G3966" s="5">
        <v>1E-3</v>
      </c>
      <c r="H3966" s="6" t="s">
        <v>60</v>
      </c>
      <c r="I3966" s="3" t="s">
        <v>45</v>
      </c>
    </row>
    <row r="3967" spans="1:9" ht="48" customHeight="1">
      <c r="A3967" s="3" t="s">
        <v>40</v>
      </c>
      <c r="B3967" s="3" t="s">
        <v>39</v>
      </c>
      <c r="C3967" s="4">
        <v>46143</v>
      </c>
      <c r="D3967" s="4">
        <v>46173</v>
      </c>
      <c r="E3967" s="3" t="s">
        <v>302</v>
      </c>
      <c r="F3967" s="3" t="s">
        <v>314</v>
      </c>
      <c r="G3967" s="5">
        <v>1E-3</v>
      </c>
      <c r="H3967" s="6" t="s">
        <v>60</v>
      </c>
      <c r="I3967" s="3" t="s">
        <v>45</v>
      </c>
    </row>
    <row r="3968" spans="1:9" ht="48" customHeight="1">
      <c r="A3968" s="3" t="s">
        <v>40</v>
      </c>
      <c r="B3968" s="3" t="s">
        <v>39</v>
      </c>
      <c r="C3968" s="4">
        <v>46143</v>
      </c>
      <c r="D3968" s="4">
        <v>46173</v>
      </c>
      <c r="E3968" s="3" t="s">
        <v>302</v>
      </c>
      <c r="F3968" s="3" t="s">
        <v>313</v>
      </c>
      <c r="G3968" s="5">
        <v>0</v>
      </c>
      <c r="H3968" s="6" t="s">
        <v>60</v>
      </c>
      <c r="I3968" s="3" t="s">
        <v>45</v>
      </c>
    </row>
    <row r="3969" spans="1:9" ht="48" customHeight="1">
      <c r="A3969" s="3" t="s">
        <v>40</v>
      </c>
      <c r="B3969" s="3" t="s">
        <v>39</v>
      </c>
      <c r="C3969" s="4">
        <v>46143</v>
      </c>
      <c r="D3969" s="4">
        <v>46173</v>
      </c>
      <c r="E3969" s="3" t="s">
        <v>302</v>
      </c>
      <c r="F3969" s="3" t="s">
        <v>315</v>
      </c>
      <c r="G3969" s="5">
        <v>0</v>
      </c>
      <c r="H3969" s="6" t="s">
        <v>60</v>
      </c>
      <c r="I3969" s="3" t="s">
        <v>45</v>
      </c>
    </row>
    <row r="3970" spans="1:9" ht="48" customHeight="1">
      <c r="A3970" s="3" t="s">
        <v>40</v>
      </c>
      <c r="B3970" s="3" t="s">
        <v>39</v>
      </c>
      <c r="C3970" s="4">
        <v>46143</v>
      </c>
      <c r="D3970" s="4">
        <v>46173</v>
      </c>
      <c r="E3970" s="3" t="s">
        <v>302</v>
      </c>
      <c r="F3970" s="3" t="s">
        <v>316</v>
      </c>
      <c r="G3970" s="5">
        <v>0</v>
      </c>
      <c r="H3970" s="6" t="s">
        <v>60</v>
      </c>
      <c r="I3970" s="3" t="s">
        <v>45</v>
      </c>
    </row>
    <row r="3971" spans="1:9" ht="48" customHeight="1">
      <c r="A3971" s="3" t="s">
        <v>40</v>
      </c>
      <c r="B3971" s="3" t="s">
        <v>39</v>
      </c>
      <c r="C3971" s="4">
        <v>46143</v>
      </c>
      <c r="D3971" s="4">
        <v>46173</v>
      </c>
      <c r="E3971" s="3" t="s">
        <v>302</v>
      </c>
      <c r="F3971" s="3" t="s">
        <v>317</v>
      </c>
      <c r="G3971" s="5">
        <v>0</v>
      </c>
      <c r="H3971" s="6" t="s">
        <v>60</v>
      </c>
      <c r="I3971" s="3" t="s">
        <v>45</v>
      </c>
    </row>
    <row r="3972" spans="1:9" ht="48" customHeight="1">
      <c r="A3972" s="3" t="s">
        <v>40</v>
      </c>
      <c r="B3972" s="3" t="s">
        <v>39</v>
      </c>
      <c r="C3972" s="4">
        <v>46143</v>
      </c>
      <c r="D3972" s="4">
        <v>46173</v>
      </c>
      <c r="E3972" s="3" t="s">
        <v>302</v>
      </c>
      <c r="F3972" s="3" t="s">
        <v>318</v>
      </c>
      <c r="G3972" s="5">
        <v>0</v>
      </c>
      <c r="H3972" s="6" t="s">
        <v>60</v>
      </c>
      <c r="I3972" s="3" t="s">
        <v>45</v>
      </c>
    </row>
    <row r="3973" spans="1:9" ht="48" customHeight="1">
      <c r="A3973" s="3" t="s">
        <v>40</v>
      </c>
      <c r="B3973" s="3" t="s">
        <v>39</v>
      </c>
      <c r="C3973" s="4">
        <v>46143</v>
      </c>
      <c r="D3973" s="4">
        <v>46173</v>
      </c>
      <c r="E3973" s="3" t="s">
        <v>302</v>
      </c>
      <c r="F3973" s="3" t="s">
        <v>319</v>
      </c>
      <c r="G3973" s="5">
        <v>0</v>
      </c>
      <c r="H3973" s="6" t="s">
        <v>60</v>
      </c>
      <c r="I3973" s="3" t="s">
        <v>45</v>
      </c>
    </row>
    <row r="3974" spans="1:9" ht="48" customHeight="1">
      <c r="A3974" s="3" t="s">
        <v>40</v>
      </c>
      <c r="B3974" s="3" t="s">
        <v>39</v>
      </c>
      <c r="C3974" s="4">
        <v>46143</v>
      </c>
      <c r="D3974" s="4">
        <v>46173</v>
      </c>
      <c r="E3974" s="3" t="s">
        <v>302</v>
      </c>
      <c r="F3974" s="3" t="s">
        <v>320</v>
      </c>
      <c r="G3974" s="5">
        <v>0</v>
      </c>
      <c r="H3974" s="6" t="s">
        <v>60</v>
      </c>
      <c r="I3974" s="3" t="s">
        <v>45</v>
      </c>
    </row>
    <row r="3975" spans="1:9" ht="48" customHeight="1">
      <c r="A3975" s="3" t="s">
        <v>40</v>
      </c>
      <c r="B3975" s="3" t="s">
        <v>39</v>
      </c>
      <c r="C3975" s="4">
        <v>46143</v>
      </c>
      <c r="D3975" s="4">
        <v>46173</v>
      </c>
      <c r="E3975" s="3" t="s">
        <v>302</v>
      </c>
      <c r="F3975" s="3" t="s">
        <v>321</v>
      </c>
      <c r="G3975" s="5">
        <v>0</v>
      </c>
      <c r="H3975" s="6" t="s">
        <v>60</v>
      </c>
      <c r="I3975" s="3" t="s">
        <v>45</v>
      </c>
    </row>
    <row r="3976" spans="1:9" ht="48" customHeight="1">
      <c r="A3976" s="3" t="s">
        <v>40</v>
      </c>
      <c r="B3976" s="3" t="s">
        <v>39</v>
      </c>
      <c r="C3976" s="4">
        <v>46143</v>
      </c>
      <c r="D3976" s="4">
        <v>46173</v>
      </c>
      <c r="E3976" s="3" t="s">
        <v>302</v>
      </c>
      <c r="F3976" s="3" t="s">
        <v>322</v>
      </c>
      <c r="G3976" s="5">
        <v>0</v>
      </c>
      <c r="H3976" s="6" t="s">
        <v>60</v>
      </c>
      <c r="I3976" s="3" t="s">
        <v>45</v>
      </c>
    </row>
    <row r="3977" spans="1:9" ht="48" customHeight="1">
      <c r="A3977" s="3" t="s">
        <v>40</v>
      </c>
      <c r="B3977" s="3" t="s">
        <v>39</v>
      </c>
      <c r="C3977" s="4">
        <v>46143</v>
      </c>
      <c r="D3977" s="4">
        <v>46173</v>
      </c>
      <c r="E3977" s="3" t="s">
        <v>302</v>
      </c>
      <c r="F3977" s="3" t="s">
        <v>323</v>
      </c>
      <c r="G3977" s="5">
        <v>0</v>
      </c>
      <c r="H3977" s="6" t="s">
        <v>60</v>
      </c>
      <c r="I3977" s="3" t="s">
        <v>45</v>
      </c>
    </row>
    <row r="3978" spans="1:9" ht="48" customHeight="1">
      <c r="A3978" s="3" t="s">
        <v>40</v>
      </c>
      <c r="B3978" s="3" t="s">
        <v>39</v>
      </c>
      <c r="C3978" s="4">
        <v>46143</v>
      </c>
      <c r="D3978" s="4">
        <v>46173</v>
      </c>
      <c r="E3978" s="3" t="s">
        <v>302</v>
      </c>
      <c r="F3978" s="3" t="s">
        <v>324</v>
      </c>
      <c r="G3978" s="5">
        <v>0</v>
      </c>
      <c r="H3978" s="6" t="s">
        <v>60</v>
      </c>
      <c r="I3978" s="3" t="s">
        <v>45</v>
      </c>
    </row>
    <row r="3979" spans="1:9" ht="48" customHeight="1">
      <c r="A3979" s="3" t="s">
        <v>40</v>
      </c>
      <c r="B3979" s="3" t="s">
        <v>39</v>
      </c>
      <c r="C3979" s="4">
        <v>46143</v>
      </c>
      <c r="D3979" s="4">
        <v>46173</v>
      </c>
      <c r="E3979" s="3" t="s">
        <v>368</v>
      </c>
      <c r="F3979" s="3" t="s">
        <v>369</v>
      </c>
      <c r="G3979" s="5">
        <v>2E-3</v>
      </c>
      <c r="H3979" s="6" t="s">
        <v>60</v>
      </c>
      <c r="I3979" s="3" t="s">
        <v>45</v>
      </c>
    </row>
    <row r="3980" spans="1:9" ht="48" customHeight="1">
      <c r="A3980" s="3" t="s">
        <v>40</v>
      </c>
      <c r="B3980" s="3" t="s">
        <v>39</v>
      </c>
      <c r="C3980" s="4">
        <v>46143</v>
      </c>
      <c r="D3980" s="4">
        <v>46173</v>
      </c>
      <c r="E3980" s="3" t="s">
        <v>368</v>
      </c>
      <c r="F3980" s="3" t="s">
        <v>373</v>
      </c>
      <c r="G3980" s="5">
        <v>2E-3</v>
      </c>
      <c r="H3980" s="6" t="s">
        <v>60</v>
      </c>
      <c r="I3980" s="3" t="s">
        <v>45</v>
      </c>
    </row>
    <row r="3981" spans="1:9" ht="48" customHeight="1">
      <c r="A3981" s="3" t="s">
        <v>40</v>
      </c>
      <c r="B3981" s="3" t="s">
        <v>39</v>
      </c>
      <c r="C3981" s="4">
        <v>46143</v>
      </c>
      <c r="D3981" s="4">
        <v>46173</v>
      </c>
      <c r="E3981" s="3" t="s">
        <v>368</v>
      </c>
      <c r="F3981" s="3" t="s">
        <v>262</v>
      </c>
      <c r="G3981" s="5">
        <v>2E-3</v>
      </c>
      <c r="H3981" s="6" t="s">
        <v>60</v>
      </c>
      <c r="I3981" s="3" t="s">
        <v>45</v>
      </c>
    </row>
    <row r="3982" spans="1:9" ht="48" customHeight="1">
      <c r="A3982" s="3" t="s">
        <v>40</v>
      </c>
      <c r="B3982" s="3" t="s">
        <v>39</v>
      </c>
      <c r="C3982" s="4">
        <v>46143</v>
      </c>
      <c r="D3982" s="4">
        <v>46173</v>
      </c>
      <c r="E3982" s="3" t="s">
        <v>368</v>
      </c>
      <c r="F3982" s="3" t="s">
        <v>370</v>
      </c>
      <c r="G3982" s="5">
        <v>2E-3</v>
      </c>
      <c r="H3982" s="6" t="s">
        <v>60</v>
      </c>
      <c r="I3982" s="3" t="s">
        <v>45</v>
      </c>
    </row>
    <row r="3983" spans="1:9" ht="48" customHeight="1">
      <c r="A3983" s="3" t="s">
        <v>40</v>
      </c>
      <c r="B3983" s="3" t="s">
        <v>39</v>
      </c>
      <c r="C3983" s="4">
        <v>46143</v>
      </c>
      <c r="D3983" s="4">
        <v>46173</v>
      </c>
      <c r="E3983" s="3" t="s">
        <v>368</v>
      </c>
      <c r="F3983" s="3" t="s">
        <v>371</v>
      </c>
      <c r="G3983" s="5">
        <v>2E-3</v>
      </c>
      <c r="H3983" s="6" t="s">
        <v>60</v>
      </c>
      <c r="I3983" s="3" t="s">
        <v>45</v>
      </c>
    </row>
    <row r="3984" spans="1:9" ht="48" customHeight="1">
      <c r="A3984" s="3" t="s">
        <v>40</v>
      </c>
      <c r="B3984" s="3" t="s">
        <v>39</v>
      </c>
      <c r="C3984" s="4">
        <v>46143</v>
      </c>
      <c r="D3984" s="4">
        <v>46173</v>
      </c>
      <c r="E3984" s="3" t="s">
        <v>368</v>
      </c>
      <c r="F3984" s="3" t="s">
        <v>232</v>
      </c>
      <c r="G3984" s="5">
        <v>1E-3</v>
      </c>
      <c r="H3984" s="6" t="s">
        <v>60</v>
      </c>
      <c r="I3984" s="3" t="s">
        <v>45</v>
      </c>
    </row>
    <row r="3985" spans="1:9" ht="48" customHeight="1">
      <c r="A3985" s="3" t="s">
        <v>40</v>
      </c>
      <c r="B3985" s="3" t="s">
        <v>39</v>
      </c>
      <c r="C3985" s="4">
        <v>46143</v>
      </c>
      <c r="D3985" s="4">
        <v>46173</v>
      </c>
      <c r="E3985" s="3" t="s">
        <v>368</v>
      </c>
      <c r="F3985" s="3" t="s">
        <v>372</v>
      </c>
      <c r="G3985" s="5">
        <v>1E-3</v>
      </c>
      <c r="H3985" s="6" t="s">
        <v>60</v>
      </c>
      <c r="I3985" s="3" t="s">
        <v>45</v>
      </c>
    </row>
    <row r="3986" spans="1:9" ht="48" customHeight="1">
      <c r="A3986" s="3" t="s">
        <v>40</v>
      </c>
      <c r="B3986" s="3" t="s">
        <v>39</v>
      </c>
      <c r="C3986" s="4">
        <v>46143</v>
      </c>
      <c r="D3986" s="4">
        <v>46173</v>
      </c>
      <c r="E3986" s="3" t="s">
        <v>368</v>
      </c>
      <c r="F3986" s="3" t="s">
        <v>265</v>
      </c>
      <c r="G3986" s="5">
        <v>1E-3</v>
      </c>
      <c r="H3986" s="6" t="s">
        <v>60</v>
      </c>
      <c r="I3986" s="3" t="s">
        <v>45</v>
      </c>
    </row>
    <row r="3987" spans="1:9" ht="48" customHeight="1">
      <c r="A3987" s="3" t="s">
        <v>40</v>
      </c>
      <c r="B3987" s="3" t="s">
        <v>39</v>
      </c>
      <c r="C3987" s="4">
        <v>46143</v>
      </c>
      <c r="D3987" s="4">
        <v>46173</v>
      </c>
      <c r="E3987" s="3" t="s">
        <v>368</v>
      </c>
      <c r="F3987" s="3" t="s">
        <v>374</v>
      </c>
      <c r="G3987" s="5">
        <v>1E-3</v>
      </c>
      <c r="H3987" s="6" t="s">
        <v>60</v>
      </c>
      <c r="I3987" s="3" t="s">
        <v>45</v>
      </c>
    </row>
    <row r="3988" spans="1:9" ht="48" customHeight="1">
      <c r="A3988" s="3" t="s">
        <v>40</v>
      </c>
      <c r="B3988" s="3" t="s">
        <v>39</v>
      </c>
      <c r="C3988" s="4">
        <v>46143</v>
      </c>
      <c r="D3988" s="4">
        <v>46173</v>
      </c>
      <c r="E3988" s="3" t="s">
        <v>368</v>
      </c>
      <c r="F3988" s="3" t="s">
        <v>207</v>
      </c>
      <c r="G3988" s="5">
        <v>1E-3</v>
      </c>
      <c r="H3988" s="6" t="s">
        <v>60</v>
      </c>
      <c r="I3988" s="3" t="s">
        <v>45</v>
      </c>
    </row>
    <row r="3989" spans="1:9" ht="48" customHeight="1">
      <c r="A3989" s="3" t="s">
        <v>40</v>
      </c>
      <c r="B3989" s="3" t="s">
        <v>39</v>
      </c>
      <c r="C3989" s="4">
        <v>46143</v>
      </c>
      <c r="D3989" s="4">
        <v>46173</v>
      </c>
      <c r="E3989" s="3" t="s">
        <v>368</v>
      </c>
      <c r="F3989" s="3" t="s">
        <v>375</v>
      </c>
      <c r="G3989" s="5">
        <v>1E-3</v>
      </c>
      <c r="H3989" s="6" t="s">
        <v>60</v>
      </c>
      <c r="I3989" s="3" t="s">
        <v>45</v>
      </c>
    </row>
    <row r="3990" spans="1:9" ht="48" customHeight="1">
      <c r="A3990" s="3" t="s">
        <v>40</v>
      </c>
      <c r="B3990" s="3" t="s">
        <v>39</v>
      </c>
      <c r="C3990" s="4">
        <v>46143</v>
      </c>
      <c r="D3990" s="4">
        <v>46173</v>
      </c>
      <c r="E3990" s="3" t="s">
        <v>368</v>
      </c>
      <c r="F3990" s="3" t="s">
        <v>376</v>
      </c>
      <c r="G3990" s="5">
        <v>1E-3</v>
      </c>
      <c r="H3990" s="6" t="s">
        <v>60</v>
      </c>
      <c r="I3990" s="3" t="s">
        <v>45</v>
      </c>
    </row>
    <row r="3991" spans="1:9" ht="48" customHeight="1">
      <c r="A3991" s="3" t="s">
        <v>40</v>
      </c>
      <c r="B3991" s="3" t="s">
        <v>39</v>
      </c>
      <c r="C3991" s="4">
        <v>46143</v>
      </c>
      <c r="D3991" s="4">
        <v>46173</v>
      </c>
      <c r="E3991" s="3" t="s">
        <v>368</v>
      </c>
      <c r="F3991" s="3" t="s">
        <v>377</v>
      </c>
      <c r="G3991" s="5">
        <v>1E-3</v>
      </c>
      <c r="H3991" s="6" t="s">
        <v>60</v>
      </c>
      <c r="I3991" s="3" t="s">
        <v>45</v>
      </c>
    </row>
    <row r="3992" spans="1:9" ht="48" customHeight="1">
      <c r="A3992" s="3" t="s">
        <v>40</v>
      </c>
      <c r="B3992" s="3" t="s">
        <v>39</v>
      </c>
      <c r="C3992" s="4">
        <v>46143</v>
      </c>
      <c r="D3992" s="4">
        <v>46173</v>
      </c>
      <c r="E3992" s="3" t="s">
        <v>368</v>
      </c>
      <c r="F3992" s="3" t="s">
        <v>378</v>
      </c>
      <c r="G3992" s="5">
        <v>1E-3</v>
      </c>
      <c r="H3992" s="6" t="s">
        <v>60</v>
      </c>
      <c r="I3992" s="3" t="s">
        <v>45</v>
      </c>
    </row>
    <row r="3993" spans="1:9" ht="48" customHeight="1">
      <c r="A3993" s="3" t="s">
        <v>40</v>
      </c>
      <c r="B3993" s="3" t="s">
        <v>39</v>
      </c>
      <c r="C3993" s="4">
        <v>46143</v>
      </c>
      <c r="D3993" s="4">
        <v>46173</v>
      </c>
      <c r="E3993" s="3" t="s">
        <v>368</v>
      </c>
      <c r="F3993" s="3" t="s">
        <v>230</v>
      </c>
      <c r="G3993" s="5">
        <v>0</v>
      </c>
      <c r="H3993" s="6" t="s">
        <v>60</v>
      </c>
      <c r="I3993" s="3" t="s">
        <v>45</v>
      </c>
    </row>
    <row r="3994" spans="1:9" ht="48" customHeight="1">
      <c r="A3994" s="3" t="s">
        <v>40</v>
      </c>
      <c r="B3994" s="3" t="s">
        <v>39</v>
      </c>
      <c r="C3994" s="4">
        <v>46143</v>
      </c>
      <c r="D3994" s="4">
        <v>46173</v>
      </c>
      <c r="E3994" s="3" t="s">
        <v>368</v>
      </c>
      <c r="F3994" s="3" t="s">
        <v>234</v>
      </c>
      <c r="G3994" s="5">
        <v>0</v>
      </c>
      <c r="H3994" s="6" t="s">
        <v>60</v>
      </c>
      <c r="I3994" s="3" t="s">
        <v>45</v>
      </c>
    </row>
    <row r="3995" spans="1:9" ht="48" customHeight="1">
      <c r="A3995" s="3" t="s">
        <v>40</v>
      </c>
      <c r="B3995" s="3" t="s">
        <v>39</v>
      </c>
      <c r="C3995" s="4">
        <v>46143</v>
      </c>
      <c r="D3995" s="4">
        <v>46173</v>
      </c>
      <c r="E3995" s="3" t="s">
        <v>231</v>
      </c>
      <c r="F3995" s="3" t="s">
        <v>232</v>
      </c>
      <c r="G3995" s="5">
        <v>5.0000000000000001E-3</v>
      </c>
      <c r="H3995" s="6" t="s">
        <v>60</v>
      </c>
      <c r="I3995" s="3" t="s">
        <v>45</v>
      </c>
    </row>
    <row r="3996" spans="1:9" ht="48" customHeight="1">
      <c r="A3996" s="3" t="s">
        <v>40</v>
      </c>
      <c r="B3996" s="3" t="s">
        <v>39</v>
      </c>
      <c r="C3996" s="4">
        <v>46143</v>
      </c>
      <c r="D3996" s="4">
        <v>46173</v>
      </c>
      <c r="E3996" s="3" t="s">
        <v>231</v>
      </c>
      <c r="F3996" s="3" t="s">
        <v>233</v>
      </c>
      <c r="G3996" s="5">
        <v>5.0000000000000001E-3</v>
      </c>
      <c r="H3996" s="6" t="s">
        <v>60</v>
      </c>
      <c r="I3996" s="3" t="s">
        <v>45</v>
      </c>
    </row>
    <row r="3997" spans="1:9" ht="48" customHeight="1">
      <c r="A3997" s="3" t="s">
        <v>40</v>
      </c>
      <c r="B3997" s="3" t="s">
        <v>39</v>
      </c>
      <c r="C3997" s="4">
        <v>46143</v>
      </c>
      <c r="D3997" s="4">
        <v>46173</v>
      </c>
      <c r="E3997" s="3" t="s">
        <v>231</v>
      </c>
      <c r="F3997" s="3" t="s">
        <v>234</v>
      </c>
      <c r="G3997" s="5">
        <v>2E-3</v>
      </c>
      <c r="H3997" s="6" t="s">
        <v>60</v>
      </c>
      <c r="I3997" s="3" t="s">
        <v>45</v>
      </c>
    </row>
    <row r="3998" spans="1:9" ht="48" customHeight="1">
      <c r="A3998" s="3" t="s">
        <v>40</v>
      </c>
      <c r="B3998" s="3" t="s">
        <v>39</v>
      </c>
      <c r="C3998" s="4">
        <v>46143</v>
      </c>
      <c r="D3998" s="4">
        <v>46173</v>
      </c>
      <c r="E3998" s="3" t="s">
        <v>231</v>
      </c>
      <c r="F3998" s="3" t="s">
        <v>230</v>
      </c>
      <c r="G3998" s="5">
        <v>2E-3</v>
      </c>
      <c r="H3998" s="6" t="s">
        <v>60</v>
      </c>
      <c r="I3998" s="3" t="s">
        <v>45</v>
      </c>
    </row>
    <row r="3999" spans="1:9" ht="48" customHeight="1">
      <c r="A3999" s="3" t="s">
        <v>40</v>
      </c>
      <c r="B3999" s="3" t="s">
        <v>39</v>
      </c>
      <c r="C3999" s="4">
        <v>46143</v>
      </c>
      <c r="D3999" s="4">
        <v>46173</v>
      </c>
      <c r="E3999" s="3" t="s">
        <v>231</v>
      </c>
      <c r="F3999" s="3" t="s">
        <v>235</v>
      </c>
      <c r="G3999" s="5">
        <v>2E-3</v>
      </c>
      <c r="H3999" s="6" t="s">
        <v>60</v>
      </c>
      <c r="I3999" s="3" t="s">
        <v>45</v>
      </c>
    </row>
    <row r="4000" spans="1:9" ht="48" customHeight="1">
      <c r="A4000" s="3" t="s">
        <v>40</v>
      </c>
      <c r="B4000" s="3" t="s">
        <v>39</v>
      </c>
      <c r="C4000" s="4">
        <v>46143</v>
      </c>
      <c r="D4000" s="4">
        <v>46173</v>
      </c>
      <c r="E4000" s="3" t="s">
        <v>260</v>
      </c>
      <c r="F4000" s="3" t="s">
        <v>262</v>
      </c>
      <c r="G4000" s="5">
        <v>2E-3</v>
      </c>
      <c r="H4000" s="6" t="s">
        <v>60</v>
      </c>
      <c r="I4000" s="3" t="s">
        <v>45</v>
      </c>
    </row>
    <row r="4001" spans="1:9" ht="48" customHeight="1">
      <c r="A4001" s="3" t="s">
        <v>40</v>
      </c>
      <c r="B4001" s="3" t="s">
        <v>39</v>
      </c>
      <c r="C4001" s="4">
        <v>46143</v>
      </c>
      <c r="D4001" s="4">
        <v>46173</v>
      </c>
      <c r="E4001" s="3" t="s">
        <v>260</v>
      </c>
      <c r="F4001" s="3" t="s">
        <v>261</v>
      </c>
      <c r="G4001" s="5">
        <v>2E-3</v>
      </c>
      <c r="H4001" s="6" t="s">
        <v>60</v>
      </c>
      <c r="I4001" s="3" t="s">
        <v>45</v>
      </c>
    </row>
    <row r="4002" spans="1:9" ht="48" customHeight="1">
      <c r="A4002" s="3" t="s">
        <v>40</v>
      </c>
      <c r="B4002" s="3" t="s">
        <v>39</v>
      </c>
      <c r="C4002" s="4">
        <v>46143</v>
      </c>
      <c r="D4002" s="4">
        <v>46173</v>
      </c>
      <c r="E4002" s="3" t="s">
        <v>260</v>
      </c>
      <c r="F4002" s="3" t="s">
        <v>234</v>
      </c>
      <c r="G4002" s="5">
        <v>1E-3</v>
      </c>
      <c r="H4002" s="6" t="s">
        <v>60</v>
      </c>
      <c r="I4002" s="3" t="s">
        <v>45</v>
      </c>
    </row>
    <row r="4003" spans="1:9" ht="48" customHeight="1">
      <c r="A4003" s="3" t="s">
        <v>40</v>
      </c>
      <c r="B4003" s="3" t="s">
        <v>39</v>
      </c>
      <c r="C4003" s="4">
        <v>46143</v>
      </c>
      <c r="D4003" s="4">
        <v>46173</v>
      </c>
      <c r="E4003" s="3" t="s">
        <v>260</v>
      </c>
      <c r="F4003" s="3" t="s">
        <v>232</v>
      </c>
      <c r="G4003" s="5">
        <v>1E-3</v>
      </c>
      <c r="H4003" s="6" t="s">
        <v>60</v>
      </c>
      <c r="I4003" s="3" t="s">
        <v>45</v>
      </c>
    </row>
    <row r="4004" spans="1:9" ht="48" customHeight="1">
      <c r="A4004" s="3" t="s">
        <v>40</v>
      </c>
      <c r="B4004" s="3" t="s">
        <v>39</v>
      </c>
      <c r="C4004" s="4">
        <v>46143</v>
      </c>
      <c r="D4004" s="4">
        <v>46173</v>
      </c>
      <c r="E4004" s="3" t="s">
        <v>260</v>
      </c>
      <c r="F4004" s="3" t="s">
        <v>265</v>
      </c>
      <c r="G4004" s="5">
        <v>1E-3</v>
      </c>
      <c r="H4004" s="6" t="s">
        <v>60</v>
      </c>
      <c r="I4004" s="3" t="s">
        <v>45</v>
      </c>
    </row>
    <row r="4005" spans="1:9" ht="48" customHeight="1">
      <c r="A4005" s="3" t="s">
        <v>40</v>
      </c>
      <c r="B4005" s="3" t="s">
        <v>39</v>
      </c>
      <c r="C4005" s="4">
        <v>46143</v>
      </c>
      <c r="D4005" s="4">
        <v>46173</v>
      </c>
      <c r="E4005" s="3" t="s">
        <v>260</v>
      </c>
      <c r="F4005" s="3" t="s">
        <v>263</v>
      </c>
      <c r="G4005" s="5">
        <v>1E-3</v>
      </c>
      <c r="H4005" s="6" t="s">
        <v>60</v>
      </c>
      <c r="I4005" s="3" t="s">
        <v>45</v>
      </c>
    </row>
    <row r="4006" spans="1:9" ht="48" customHeight="1">
      <c r="A4006" s="3" t="s">
        <v>40</v>
      </c>
      <c r="B4006" s="3" t="s">
        <v>39</v>
      </c>
      <c r="C4006" s="4">
        <v>46143</v>
      </c>
      <c r="D4006" s="4">
        <v>46173</v>
      </c>
      <c r="E4006" s="3" t="s">
        <v>260</v>
      </c>
      <c r="F4006" s="3" t="s">
        <v>266</v>
      </c>
      <c r="G4006" s="5">
        <v>1E-3</v>
      </c>
      <c r="H4006" s="6" t="s">
        <v>60</v>
      </c>
      <c r="I4006" s="3" t="s">
        <v>45</v>
      </c>
    </row>
    <row r="4007" spans="1:9" ht="48" customHeight="1">
      <c r="A4007" s="3" t="s">
        <v>40</v>
      </c>
      <c r="B4007" s="3" t="s">
        <v>39</v>
      </c>
      <c r="C4007" s="4">
        <v>46143</v>
      </c>
      <c r="D4007" s="4">
        <v>46173</v>
      </c>
      <c r="E4007" s="3" t="s">
        <v>260</v>
      </c>
      <c r="F4007" s="3" t="s">
        <v>264</v>
      </c>
      <c r="G4007" s="5">
        <v>1E-3</v>
      </c>
      <c r="H4007" s="6" t="s">
        <v>60</v>
      </c>
      <c r="I4007" s="3" t="s">
        <v>45</v>
      </c>
    </row>
    <row r="4008" spans="1:9" ht="48" customHeight="1">
      <c r="A4008" s="3" t="s">
        <v>40</v>
      </c>
      <c r="B4008" s="3" t="s">
        <v>39</v>
      </c>
      <c r="C4008" s="4">
        <v>46143</v>
      </c>
      <c r="D4008" s="4">
        <v>46173</v>
      </c>
      <c r="E4008" s="3" t="s">
        <v>260</v>
      </c>
      <c r="F4008" s="3" t="s">
        <v>267</v>
      </c>
      <c r="G4008" s="5">
        <v>1E-3</v>
      </c>
      <c r="H4008" s="6" t="s">
        <v>60</v>
      </c>
      <c r="I4008" s="3" t="s">
        <v>45</v>
      </c>
    </row>
    <row r="4009" spans="1:9" ht="48" customHeight="1">
      <c r="A4009" s="3" t="s">
        <v>40</v>
      </c>
      <c r="B4009" s="3" t="s">
        <v>39</v>
      </c>
      <c r="C4009" s="4">
        <v>46143</v>
      </c>
      <c r="D4009" s="4">
        <v>46173</v>
      </c>
      <c r="E4009" s="3" t="s">
        <v>260</v>
      </c>
      <c r="F4009" s="3" t="s">
        <v>268</v>
      </c>
      <c r="G4009" s="5">
        <v>1E-3</v>
      </c>
      <c r="H4009" s="6" t="s">
        <v>60</v>
      </c>
      <c r="I4009" s="3" t="s">
        <v>45</v>
      </c>
    </row>
    <row r="4010" spans="1:9" ht="48" customHeight="1">
      <c r="A4010" s="3" t="s">
        <v>40</v>
      </c>
      <c r="B4010" s="3" t="s">
        <v>39</v>
      </c>
      <c r="C4010" s="4">
        <v>46143</v>
      </c>
      <c r="D4010" s="4">
        <v>46173</v>
      </c>
      <c r="E4010" s="3" t="s">
        <v>260</v>
      </c>
      <c r="F4010" s="3" t="s">
        <v>273</v>
      </c>
      <c r="G4010" s="5">
        <v>0</v>
      </c>
      <c r="H4010" s="6" t="s">
        <v>60</v>
      </c>
      <c r="I4010" s="3" t="s">
        <v>45</v>
      </c>
    </row>
    <row r="4011" spans="1:9" ht="48" customHeight="1">
      <c r="A4011" s="3" t="s">
        <v>40</v>
      </c>
      <c r="B4011" s="3" t="s">
        <v>39</v>
      </c>
      <c r="C4011" s="4">
        <v>46143</v>
      </c>
      <c r="D4011" s="4">
        <v>46173</v>
      </c>
      <c r="E4011" s="3" t="s">
        <v>260</v>
      </c>
      <c r="F4011" s="3" t="s">
        <v>274</v>
      </c>
      <c r="G4011" s="5">
        <v>0</v>
      </c>
      <c r="H4011" s="6" t="s">
        <v>60</v>
      </c>
      <c r="I4011" s="3" t="s">
        <v>45</v>
      </c>
    </row>
    <row r="4012" spans="1:9" ht="48" customHeight="1">
      <c r="A4012" s="3" t="s">
        <v>40</v>
      </c>
      <c r="B4012" s="3" t="s">
        <v>39</v>
      </c>
      <c r="C4012" s="4">
        <v>46143</v>
      </c>
      <c r="D4012" s="4">
        <v>46173</v>
      </c>
      <c r="E4012" s="3" t="s">
        <v>260</v>
      </c>
      <c r="F4012" s="3" t="s">
        <v>275</v>
      </c>
      <c r="G4012" s="5">
        <v>0</v>
      </c>
      <c r="H4012" s="6" t="s">
        <v>60</v>
      </c>
      <c r="I4012" s="3" t="s">
        <v>45</v>
      </c>
    </row>
    <row r="4013" spans="1:9" ht="48" customHeight="1">
      <c r="A4013" s="3" t="s">
        <v>40</v>
      </c>
      <c r="B4013" s="3" t="s">
        <v>39</v>
      </c>
      <c r="C4013" s="4">
        <v>46143</v>
      </c>
      <c r="D4013" s="4">
        <v>46173</v>
      </c>
      <c r="E4013" s="3" t="s">
        <v>260</v>
      </c>
      <c r="F4013" s="3" t="s">
        <v>276</v>
      </c>
      <c r="G4013" s="5">
        <v>0</v>
      </c>
      <c r="H4013" s="6" t="s">
        <v>60</v>
      </c>
      <c r="I4013" s="3" t="s">
        <v>45</v>
      </c>
    </row>
    <row r="4014" spans="1:9" ht="48" customHeight="1">
      <c r="A4014" s="3" t="s">
        <v>40</v>
      </c>
      <c r="B4014" s="3" t="s">
        <v>39</v>
      </c>
      <c r="C4014" s="4">
        <v>46143</v>
      </c>
      <c r="D4014" s="4">
        <v>46173</v>
      </c>
      <c r="E4014" s="3" t="s">
        <v>260</v>
      </c>
      <c r="F4014" s="3" t="s">
        <v>277</v>
      </c>
      <c r="G4014" s="5">
        <v>0</v>
      </c>
      <c r="H4014" s="6" t="s">
        <v>60</v>
      </c>
      <c r="I4014" s="3" t="s">
        <v>45</v>
      </c>
    </row>
    <row r="4015" spans="1:9" ht="48" customHeight="1">
      <c r="A4015" s="3" t="s">
        <v>40</v>
      </c>
      <c r="B4015" s="3" t="s">
        <v>39</v>
      </c>
      <c r="C4015" s="4">
        <v>46143</v>
      </c>
      <c r="D4015" s="4">
        <v>46173</v>
      </c>
      <c r="E4015" s="3" t="s">
        <v>260</v>
      </c>
      <c r="F4015" s="3" t="s">
        <v>278</v>
      </c>
      <c r="G4015" s="5">
        <v>0</v>
      </c>
      <c r="H4015" s="6" t="s">
        <v>60</v>
      </c>
      <c r="I4015" s="3" t="s">
        <v>45</v>
      </c>
    </row>
    <row r="4016" spans="1:9" ht="48" customHeight="1">
      <c r="A4016" s="3" t="s">
        <v>40</v>
      </c>
      <c r="B4016" s="3" t="s">
        <v>39</v>
      </c>
      <c r="C4016" s="4">
        <v>46143</v>
      </c>
      <c r="D4016" s="4">
        <v>46173</v>
      </c>
      <c r="E4016" s="3" t="s">
        <v>260</v>
      </c>
      <c r="F4016" s="3" t="s">
        <v>269</v>
      </c>
      <c r="G4016" s="5">
        <v>0</v>
      </c>
      <c r="H4016" s="6" t="s">
        <v>60</v>
      </c>
      <c r="I4016" s="3" t="s">
        <v>45</v>
      </c>
    </row>
    <row r="4017" spans="1:9" ht="48" customHeight="1">
      <c r="A4017" s="3" t="s">
        <v>40</v>
      </c>
      <c r="B4017" s="3" t="s">
        <v>39</v>
      </c>
      <c r="C4017" s="4">
        <v>46143</v>
      </c>
      <c r="D4017" s="4">
        <v>46173</v>
      </c>
      <c r="E4017" s="3" t="s">
        <v>260</v>
      </c>
      <c r="F4017" s="3" t="s">
        <v>279</v>
      </c>
      <c r="G4017" s="5">
        <v>0</v>
      </c>
      <c r="H4017" s="6" t="s">
        <v>60</v>
      </c>
      <c r="I4017" s="3" t="s">
        <v>45</v>
      </c>
    </row>
    <row r="4018" spans="1:9" ht="48" customHeight="1">
      <c r="A4018" s="3" t="s">
        <v>40</v>
      </c>
      <c r="B4018" s="3" t="s">
        <v>39</v>
      </c>
      <c r="C4018" s="4">
        <v>46143</v>
      </c>
      <c r="D4018" s="4">
        <v>46173</v>
      </c>
      <c r="E4018" s="3" t="s">
        <v>260</v>
      </c>
      <c r="F4018" s="3" t="s">
        <v>270</v>
      </c>
      <c r="G4018" s="5">
        <v>0</v>
      </c>
      <c r="H4018" s="6" t="s">
        <v>60</v>
      </c>
      <c r="I4018" s="3" t="s">
        <v>45</v>
      </c>
    </row>
    <row r="4019" spans="1:9" ht="48" customHeight="1">
      <c r="A4019" s="3" t="s">
        <v>40</v>
      </c>
      <c r="B4019" s="3" t="s">
        <v>39</v>
      </c>
      <c r="C4019" s="4">
        <v>46143</v>
      </c>
      <c r="D4019" s="4">
        <v>46173</v>
      </c>
      <c r="E4019" s="3" t="s">
        <v>260</v>
      </c>
      <c r="F4019" s="3" t="s">
        <v>280</v>
      </c>
      <c r="G4019" s="5">
        <v>0</v>
      </c>
      <c r="H4019" s="6" t="s">
        <v>60</v>
      </c>
      <c r="I4019" s="3" t="s">
        <v>45</v>
      </c>
    </row>
    <row r="4020" spans="1:9" ht="48" customHeight="1">
      <c r="A4020" s="3" t="s">
        <v>40</v>
      </c>
      <c r="B4020" s="3" t="s">
        <v>39</v>
      </c>
      <c r="C4020" s="4">
        <v>46143</v>
      </c>
      <c r="D4020" s="4">
        <v>46173</v>
      </c>
      <c r="E4020" s="3" t="s">
        <v>260</v>
      </c>
      <c r="F4020" s="3" t="s">
        <v>271</v>
      </c>
      <c r="G4020" s="5">
        <v>0</v>
      </c>
      <c r="H4020" s="6" t="s">
        <v>60</v>
      </c>
      <c r="I4020" s="3" t="s">
        <v>45</v>
      </c>
    </row>
    <row r="4021" spans="1:9" ht="48" customHeight="1">
      <c r="A4021" s="3" t="s">
        <v>40</v>
      </c>
      <c r="B4021" s="3" t="s">
        <v>39</v>
      </c>
      <c r="C4021" s="4">
        <v>46143</v>
      </c>
      <c r="D4021" s="4">
        <v>46173</v>
      </c>
      <c r="E4021" s="3" t="s">
        <v>260</v>
      </c>
      <c r="F4021" s="3" t="s">
        <v>281</v>
      </c>
      <c r="G4021" s="5">
        <v>0</v>
      </c>
      <c r="H4021" s="6" t="s">
        <v>60</v>
      </c>
      <c r="I4021" s="3" t="s">
        <v>45</v>
      </c>
    </row>
    <row r="4022" spans="1:9" ht="48" customHeight="1">
      <c r="A4022" s="3" t="s">
        <v>40</v>
      </c>
      <c r="B4022" s="3" t="s">
        <v>39</v>
      </c>
      <c r="C4022" s="4">
        <v>46143</v>
      </c>
      <c r="D4022" s="4">
        <v>46173</v>
      </c>
      <c r="E4022" s="3" t="s">
        <v>260</v>
      </c>
      <c r="F4022" s="3" t="s">
        <v>272</v>
      </c>
      <c r="G4022" s="5">
        <v>0</v>
      </c>
      <c r="H4022" s="6" t="s">
        <v>60</v>
      </c>
      <c r="I4022" s="3" t="s">
        <v>45</v>
      </c>
    </row>
    <row r="4023" spans="1:9" ht="48" customHeight="1">
      <c r="A4023" s="3" t="s">
        <v>40</v>
      </c>
      <c r="B4023" s="3" t="s">
        <v>39</v>
      </c>
      <c r="C4023" s="4">
        <v>46143</v>
      </c>
      <c r="D4023" s="4">
        <v>46173</v>
      </c>
      <c r="E4023" s="3" t="s">
        <v>260</v>
      </c>
      <c r="F4023" s="3" t="s">
        <v>282</v>
      </c>
      <c r="G4023" s="5">
        <v>0</v>
      </c>
      <c r="H4023" s="6" t="s">
        <v>60</v>
      </c>
      <c r="I4023" s="3" t="s">
        <v>45</v>
      </c>
    </row>
    <row r="4024" spans="1:9" ht="48" customHeight="1">
      <c r="A4024" s="3" t="s">
        <v>40</v>
      </c>
      <c r="B4024" s="3" t="s">
        <v>39</v>
      </c>
      <c r="C4024" s="4">
        <v>46143</v>
      </c>
      <c r="D4024" s="4">
        <v>46173</v>
      </c>
      <c r="E4024" s="3" t="s">
        <v>260</v>
      </c>
      <c r="F4024" s="3" t="s">
        <v>283</v>
      </c>
      <c r="G4024" s="5">
        <v>0</v>
      </c>
      <c r="H4024" s="6" t="s">
        <v>60</v>
      </c>
      <c r="I4024" s="3" t="s">
        <v>45</v>
      </c>
    </row>
    <row r="4025" spans="1:9" ht="48" customHeight="1">
      <c r="A4025" s="3" t="s">
        <v>40</v>
      </c>
      <c r="B4025" s="3" t="s">
        <v>39</v>
      </c>
      <c r="C4025" s="4">
        <v>46143</v>
      </c>
      <c r="D4025" s="4">
        <v>46173</v>
      </c>
      <c r="E4025" s="3" t="s">
        <v>260</v>
      </c>
      <c r="F4025" s="3" t="s">
        <v>284</v>
      </c>
      <c r="G4025" s="5">
        <v>0</v>
      </c>
      <c r="H4025" s="6" t="s">
        <v>60</v>
      </c>
      <c r="I4025" s="3" t="s">
        <v>45</v>
      </c>
    </row>
    <row r="4026" spans="1:9" ht="48" customHeight="1">
      <c r="A4026" s="3" t="s">
        <v>40</v>
      </c>
      <c r="B4026" s="3" t="s">
        <v>39</v>
      </c>
      <c r="C4026" s="4">
        <v>46143</v>
      </c>
      <c r="D4026" s="4">
        <v>46173</v>
      </c>
      <c r="E4026" s="3" t="s">
        <v>260</v>
      </c>
      <c r="F4026" s="3" t="s">
        <v>285</v>
      </c>
      <c r="G4026" s="5">
        <v>0</v>
      </c>
      <c r="H4026" s="6" t="s">
        <v>60</v>
      </c>
      <c r="I4026" s="3" t="s">
        <v>45</v>
      </c>
    </row>
    <row r="4027" spans="1:9" ht="48" customHeight="1">
      <c r="A4027" s="3" t="s">
        <v>40</v>
      </c>
      <c r="B4027" s="3" t="s">
        <v>39</v>
      </c>
      <c r="C4027" s="4">
        <v>46143</v>
      </c>
      <c r="D4027" s="4">
        <v>46173</v>
      </c>
      <c r="E4027" s="3" t="s">
        <v>379</v>
      </c>
      <c r="F4027" s="3" t="s">
        <v>265</v>
      </c>
      <c r="G4027" s="5">
        <v>3.0000000000000001E-3</v>
      </c>
      <c r="H4027" s="6" t="s">
        <v>60</v>
      </c>
      <c r="I4027" s="3" t="s">
        <v>45</v>
      </c>
    </row>
    <row r="4028" spans="1:9" ht="48" customHeight="1">
      <c r="A4028" s="3" t="s">
        <v>40</v>
      </c>
      <c r="B4028" s="3" t="s">
        <v>39</v>
      </c>
      <c r="C4028" s="4">
        <v>46143</v>
      </c>
      <c r="D4028" s="4">
        <v>46173</v>
      </c>
      <c r="E4028" s="3" t="s">
        <v>379</v>
      </c>
      <c r="F4028" s="3" t="s">
        <v>230</v>
      </c>
      <c r="G4028" s="5">
        <v>2E-3</v>
      </c>
      <c r="H4028" s="6" t="s">
        <v>60</v>
      </c>
      <c r="I4028" s="3" t="s">
        <v>45</v>
      </c>
    </row>
    <row r="4029" spans="1:9" ht="48" customHeight="1">
      <c r="A4029" s="3" t="s">
        <v>40</v>
      </c>
      <c r="B4029" s="3" t="s">
        <v>39</v>
      </c>
      <c r="C4029" s="4">
        <v>46143</v>
      </c>
      <c r="D4029" s="4">
        <v>46173</v>
      </c>
      <c r="E4029" s="3" t="s">
        <v>379</v>
      </c>
      <c r="F4029" s="3" t="s">
        <v>262</v>
      </c>
      <c r="G4029" s="5">
        <v>2E-3</v>
      </c>
      <c r="H4029" s="6" t="s">
        <v>60</v>
      </c>
      <c r="I4029" s="3" t="s">
        <v>45</v>
      </c>
    </row>
    <row r="4030" spans="1:9" ht="48" customHeight="1">
      <c r="A4030" s="3" t="s">
        <v>40</v>
      </c>
      <c r="B4030" s="3" t="s">
        <v>39</v>
      </c>
      <c r="C4030" s="4">
        <v>46143</v>
      </c>
      <c r="D4030" s="4">
        <v>46173</v>
      </c>
      <c r="E4030" s="3" t="s">
        <v>379</v>
      </c>
      <c r="F4030" s="3" t="s">
        <v>380</v>
      </c>
      <c r="G4030" s="5">
        <v>2E-3</v>
      </c>
      <c r="H4030" s="6" t="s">
        <v>60</v>
      </c>
      <c r="I4030" s="3" t="s">
        <v>45</v>
      </c>
    </row>
    <row r="4031" spans="1:9" ht="48" customHeight="1">
      <c r="A4031" s="3" t="s">
        <v>40</v>
      </c>
      <c r="B4031" s="3" t="s">
        <v>39</v>
      </c>
      <c r="C4031" s="4">
        <v>46143</v>
      </c>
      <c r="D4031" s="4">
        <v>46173</v>
      </c>
      <c r="E4031" s="3" t="s">
        <v>379</v>
      </c>
      <c r="F4031" s="3" t="s">
        <v>234</v>
      </c>
      <c r="G4031" s="5">
        <v>1E-3</v>
      </c>
      <c r="H4031" s="6" t="s">
        <v>60</v>
      </c>
      <c r="I4031" s="3" t="s">
        <v>45</v>
      </c>
    </row>
    <row r="4032" spans="1:9" ht="48" customHeight="1">
      <c r="A4032" s="3" t="s">
        <v>40</v>
      </c>
      <c r="B4032" s="3" t="s">
        <v>39</v>
      </c>
      <c r="C4032" s="4">
        <v>46143</v>
      </c>
      <c r="D4032" s="4">
        <v>46173</v>
      </c>
      <c r="E4032" s="3" t="s">
        <v>244</v>
      </c>
      <c r="F4032" s="3" t="s">
        <v>248</v>
      </c>
      <c r="G4032" s="5">
        <v>2E-3</v>
      </c>
      <c r="H4032" s="6" t="s">
        <v>60</v>
      </c>
      <c r="I4032" s="3" t="s">
        <v>45</v>
      </c>
    </row>
    <row r="4033" spans="1:9" ht="48" customHeight="1">
      <c r="A4033" s="3" t="s">
        <v>40</v>
      </c>
      <c r="B4033" s="3" t="s">
        <v>39</v>
      </c>
      <c r="C4033" s="4">
        <v>46143</v>
      </c>
      <c r="D4033" s="4">
        <v>46173</v>
      </c>
      <c r="E4033" s="3" t="s">
        <v>244</v>
      </c>
      <c r="F4033" s="3" t="s">
        <v>247</v>
      </c>
      <c r="G4033" s="5">
        <v>2E-3</v>
      </c>
      <c r="H4033" s="6" t="s">
        <v>60</v>
      </c>
      <c r="I4033" s="3" t="s">
        <v>45</v>
      </c>
    </row>
    <row r="4034" spans="1:9" ht="48" customHeight="1">
      <c r="A4034" s="3" t="s">
        <v>40</v>
      </c>
      <c r="B4034" s="3" t="s">
        <v>39</v>
      </c>
      <c r="C4034" s="4">
        <v>46143</v>
      </c>
      <c r="D4034" s="4">
        <v>46173</v>
      </c>
      <c r="E4034" s="3" t="s">
        <v>244</v>
      </c>
      <c r="F4034" s="3" t="s">
        <v>245</v>
      </c>
      <c r="G4034" s="5">
        <v>2E-3</v>
      </c>
      <c r="H4034" s="6" t="s">
        <v>60</v>
      </c>
      <c r="I4034" s="3" t="s">
        <v>45</v>
      </c>
    </row>
    <row r="4035" spans="1:9" ht="48" customHeight="1">
      <c r="A4035" s="3" t="s">
        <v>40</v>
      </c>
      <c r="B4035" s="3" t="s">
        <v>39</v>
      </c>
      <c r="C4035" s="4">
        <v>46143</v>
      </c>
      <c r="D4035" s="4">
        <v>46173</v>
      </c>
      <c r="E4035" s="3" t="s">
        <v>244</v>
      </c>
      <c r="F4035" s="3" t="s">
        <v>246</v>
      </c>
      <c r="G4035" s="5">
        <v>2E-3</v>
      </c>
      <c r="H4035" s="6" t="s">
        <v>60</v>
      </c>
      <c r="I4035" s="3" t="s">
        <v>45</v>
      </c>
    </row>
    <row r="4036" spans="1:9" ht="48" customHeight="1">
      <c r="A4036" s="3" t="s">
        <v>40</v>
      </c>
      <c r="B4036" s="3" t="s">
        <v>39</v>
      </c>
      <c r="C4036" s="4">
        <v>46143</v>
      </c>
      <c r="D4036" s="4">
        <v>46173</v>
      </c>
      <c r="E4036" s="3" t="s">
        <v>244</v>
      </c>
      <c r="F4036" s="3" t="s">
        <v>249</v>
      </c>
      <c r="G4036" s="5">
        <v>1E-3</v>
      </c>
      <c r="H4036" s="6" t="s">
        <v>60</v>
      </c>
      <c r="I4036" s="3" t="s">
        <v>45</v>
      </c>
    </row>
    <row r="4037" spans="1:9" ht="48" customHeight="1">
      <c r="A4037" s="3" t="s">
        <v>40</v>
      </c>
      <c r="B4037" s="3" t="s">
        <v>39</v>
      </c>
      <c r="C4037" s="4">
        <v>46143</v>
      </c>
      <c r="D4037" s="4">
        <v>46173</v>
      </c>
      <c r="E4037" s="3" t="s">
        <v>244</v>
      </c>
      <c r="F4037" s="3" t="s">
        <v>250</v>
      </c>
      <c r="G4037" s="5">
        <v>0</v>
      </c>
      <c r="H4037" s="6" t="s">
        <v>60</v>
      </c>
      <c r="I4037" s="3" t="s">
        <v>45</v>
      </c>
    </row>
    <row r="4038" spans="1:9" ht="48" customHeight="1">
      <c r="A4038" s="3" t="s">
        <v>40</v>
      </c>
      <c r="B4038" s="3" t="s">
        <v>39</v>
      </c>
      <c r="C4038" s="4">
        <v>46143</v>
      </c>
      <c r="D4038" s="4">
        <v>46173</v>
      </c>
      <c r="E4038" s="3" t="s">
        <v>244</v>
      </c>
      <c r="F4038" s="3" t="s">
        <v>251</v>
      </c>
      <c r="G4038" s="5">
        <v>0</v>
      </c>
      <c r="H4038" s="6" t="s">
        <v>60</v>
      </c>
      <c r="I4038" s="3" t="s">
        <v>45</v>
      </c>
    </row>
    <row r="4039" spans="1:9" ht="48" customHeight="1">
      <c r="A4039" s="3" t="s">
        <v>40</v>
      </c>
      <c r="B4039" s="3" t="s">
        <v>39</v>
      </c>
      <c r="C4039" s="4">
        <v>46143</v>
      </c>
      <c r="D4039" s="4">
        <v>46173</v>
      </c>
      <c r="E4039" s="3" t="s">
        <v>244</v>
      </c>
      <c r="F4039" s="3" t="s">
        <v>252</v>
      </c>
      <c r="G4039" s="5">
        <v>0</v>
      </c>
      <c r="H4039" s="6" t="s">
        <v>60</v>
      </c>
      <c r="I4039" s="3" t="s">
        <v>45</v>
      </c>
    </row>
    <row r="4040" spans="1:9" ht="48" customHeight="1">
      <c r="A4040" s="3" t="s">
        <v>40</v>
      </c>
      <c r="B4040" s="3" t="s">
        <v>39</v>
      </c>
      <c r="C4040" s="4">
        <v>46143</v>
      </c>
      <c r="D4040" s="4">
        <v>46173</v>
      </c>
      <c r="E4040" s="3" t="s">
        <v>244</v>
      </c>
      <c r="F4040" s="3" t="s">
        <v>255</v>
      </c>
      <c r="G4040" s="5">
        <v>0</v>
      </c>
      <c r="H4040" s="6" t="s">
        <v>60</v>
      </c>
      <c r="I4040" s="3" t="s">
        <v>45</v>
      </c>
    </row>
    <row r="4041" spans="1:9" ht="48" customHeight="1">
      <c r="A4041" s="3" t="s">
        <v>40</v>
      </c>
      <c r="B4041" s="3" t="s">
        <v>39</v>
      </c>
      <c r="C4041" s="4">
        <v>46143</v>
      </c>
      <c r="D4041" s="4">
        <v>46173</v>
      </c>
      <c r="E4041" s="3" t="s">
        <v>244</v>
      </c>
      <c r="F4041" s="3" t="s">
        <v>256</v>
      </c>
      <c r="G4041" s="5">
        <v>0</v>
      </c>
      <c r="H4041" s="6" t="s">
        <v>60</v>
      </c>
      <c r="I4041" s="3" t="s">
        <v>45</v>
      </c>
    </row>
    <row r="4042" spans="1:9" ht="48" customHeight="1">
      <c r="A4042" s="3" t="s">
        <v>40</v>
      </c>
      <c r="B4042" s="3" t="s">
        <v>39</v>
      </c>
      <c r="C4042" s="4">
        <v>46143</v>
      </c>
      <c r="D4042" s="4">
        <v>46173</v>
      </c>
      <c r="E4042" s="3" t="s">
        <v>244</v>
      </c>
      <c r="F4042" s="3" t="s">
        <v>257</v>
      </c>
      <c r="G4042" s="5">
        <v>0</v>
      </c>
      <c r="H4042" s="6" t="s">
        <v>60</v>
      </c>
      <c r="I4042" s="3" t="s">
        <v>45</v>
      </c>
    </row>
    <row r="4043" spans="1:9" ht="48" customHeight="1">
      <c r="A4043" s="3" t="s">
        <v>40</v>
      </c>
      <c r="B4043" s="3" t="s">
        <v>39</v>
      </c>
      <c r="C4043" s="4">
        <v>46143</v>
      </c>
      <c r="D4043" s="4">
        <v>46173</v>
      </c>
      <c r="E4043" s="3" t="s">
        <v>244</v>
      </c>
      <c r="F4043" s="3" t="s">
        <v>258</v>
      </c>
      <c r="G4043" s="5">
        <v>0</v>
      </c>
      <c r="H4043" s="6" t="s">
        <v>60</v>
      </c>
      <c r="I4043" s="3" t="s">
        <v>45</v>
      </c>
    </row>
    <row r="4044" spans="1:9" ht="48" customHeight="1">
      <c r="A4044" s="3" t="s">
        <v>40</v>
      </c>
      <c r="B4044" s="3" t="s">
        <v>39</v>
      </c>
      <c r="C4044" s="4">
        <v>46143</v>
      </c>
      <c r="D4044" s="4">
        <v>46173</v>
      </c>
      <c r="E4044" s="3" t="s">
        <v>244</v>
      </c>
      <c r="F4044" s="3" t="s">
        <v>259</v>
      </c>
      <c r="G4044" s="5">
        <v>0</v>
      </c>
      <c r="H4044" s="6" t="s">
        <v>60</v>
      </c>
      <c r="I4044" s="3" t="s">
        <v>45</v>
      </c>
    </row>
    <row r="4045" spans="1:9" ht="48" customHeight="1">
      <c r="A4045" s="3" t="s">
        <v>40</v>
      </c>
      <c r="B4045" s="3" t="s">
        <v>39</v>
      </c>
      <c r="C4045" s="4">
        <v>46143</v>
      </c>
      <c r="D4045" s="4">
        <v>46173</v>
      </c>
      <c r="E4045" s="3" t="s">
        <v>244</v>
      </c>
      <c r="F4045" s="3" t="s">
        <v>253</v>
      </c>
      <c r="G4045" s="5">
        <v>0</v>
      </c>
      <c r="H4045" s="6" t="s">
        <v>60</v>
      </c>
      <c r="I4045" s="3" t="s">
        <v>45</v>
      </c>
    </row>
    <row r="4046" spans="1:9" ht="48" customHeight="1">
      <c r="A4046" s="3" t="s">
        <v>40</v>
      </c>
      <c r="B4046" s="3" t="s">
        <v>39</v>
      </c>
      <c r="C4046" s="4">
        <v>46143</v>
      </c>
      <c r="D4046" s="4">
        <v>46173</v>
      </c>
      <c r="E4046" s="3" t="s">
        <v>244</v>
      </c>
      <c r="F4046" s="3" t="s">
        <v>254</v>
      </c>
      <c r="G4046" s="5">
        <v>0</v>
      </c>
      <c r="H4046" s="6" t="s">
        <v>60</v>
      </c>
      <c r="I4046" s="3" t="s">
        <v>45</v>
      </c>
    </row>
    <row r="4047" spans="1:9" ht="48" customHeight="1">
      <c r="A4047" s="3" t="s">
        <v>40</v>
      </c>
      <c r="B4047" s="3" t="s">
        <v>39</v>
      </c>
      <c r="C4047" s="4">
        <v>46143</v>
      </c>
      <c r="D4047" s="4">
        <v>46173</v>
      </c>
      <c r="E4047" s="3" t="s">
        <v>301</v>
      </c>
      <c r="F4047" s="3" t="s">
        <v>301</v>
      </c>
      <c r="G4047" s="5">
        <v>6.0000000000000001E-3</v>
      </c>
      <c r="H4047" s="6" t="s">
        <v>60</v>
      </c>
      <c r="I4047" s="3" t="s">
        <v>45</v>
      </c>
    </row>
    <row r="4048" spans="1:9" ht="48" customHeight="1">
      <c r="A4048" s="3" t="s">
        <v>40</v>
      </c>
      <c r="B4048" s="3" t="s">
        <v>39</v>
      </c>
      <c r="C4048" s="4">
        <v>46143</v>
      </c>
      <c r="D4048" s="4">
        <v>46173</v>
      </c>
      <c r="E4048" s="3" t="s">
        <v>381</v>
      </c>
      <c r="F4048" s="3" t="s">
        <v>382</v>
      </c>
      <c r="G4048" s="5">
        <v>3.0000000000000001E-3</v>
      </c>
      <c r="H4048" s="6" t="s">
        <v>60</v>
      </c>
      <c r="I4048" s="3" t="s">
        <v>45</v>
      </c>
    </row>
    <row r="4049" spans="1:9" ht="48" customHeight="1">
      <c r="A4049" s="3" t="s">
        <v>40</v>
      </c>
      <c r="B4049" s="3" t="s">
        <v>39</v>
      </c>
      <c r="C4049" s="4">
        <v>46143</v>
      </c>
      <c r="D4049" s="4">
        <v>46173</v>
      </c>
      <c r="E4049" s="3" t="s">
        <v>381</v>
      </c>
      <c r="F4049" s="3" t="s">
        <v>383</v>
      </c>
      <c r="G4049" s="5">
        <v>1E-3</v>
      </c>
      <c r="H4049" s="6" t="s">
        <v>60</v>
      </c>
      <c r="I4049" s="3" t="s">
        <v>45</v>
      </c>
    </row>
    <row r="4050" spans="1:9" ht="48" customHeight="1">
      <c r="A4050" s="3" t="s">
        <v>40</v>
      </c>
      <c r="B4050" s="3" t="s">
        <v>39</v>
      </c>
      <c r="C4050" s="4">
        <v>46174</v>
      </c>
      <c r="D4050" s="4">
        <v>46203</v>
      </c>
      <c r="E4050" s="3" t="s">
        <v>47</v>
      </c>
      <c r="F4050" s="3" t="s">
        <v>348</v>
      </c>
      <c r="G4050" s="5">
        <v>7.5999999999999998E-2</v>
      </c>
      <c r="H4050" s="6" t="s">
        <v>61</v>
      </c>
      <c r="I4050" s="3" t="s">
        <v>45</v>
      </c>
    </row>
    <row r="4051" spans="1:9" ht="48" customHeight="1">
      <c r="A4051" s="3" t="s">
        <v>40</v>
      </c>
      <c r="B4051" s="3" t="s">
        <v>39</v>
      </c>
      <c r="C4051" s="4">
        <v>46174</v>
      </c>
      <c r="D4051" s="4">
        <v>46203</v>
      </c>
      <c r="E4051" s="3" t="s">
        <v>47</v>
      </c>
      <c r="F4051" s="3" t="s">
        <v>358</v>
      </c>
      <c r="G4051" s="5">
        <v>5.4000000000000006E-2</v>
      </c>
      <c r="H4051" s="6" t="s">
        <v>61</v>
      </c>
      <c r="I4051" s="3" t="s">
        <v>45</v>
      </c>
    </row>
    <row r="4052" spans="1:9" ht="48" customHeight="1">
      <c r="A4052" s="3" t="s">
        <v>40</v>
      </c>
      <c r="B4052" s="3" t="s">
        <v>39</v>
      </c>
      <c r="C4052" s="4">
        <v>46174</v>
      </c>
      <c r="D4052" s="4">
        <v>46203</v>
      </c>
      <c r="E4052" s="3" t="s">
        <v>47</v>
      </c>
      <c r="F4052" s="3" t="s">
        <v>352</v>
      </c>
      <c r="G4052" s="5">
        <v>0.03</v>
      </c>
      <c r="H4052" s="6" t="s">
        <v>61</v>
      </c>
      <c r="I4052" s="3" t="s">
        <v>45</v>
      </c>
    </row>
    <row r="4053" spans="1:9" ht="48" customHeight="1">
      <c r="A4053" s="3" t="s">
        <v>40</v>
      </c>
      <c r="B4053" s="3" t="s">
        <v>39</v>
      </c>
      <c r="C4053" s="4">
        <v>46174</v>
      </c>
      <c r="D4053" s="4">
        <v>46203</v>
      </c>
      <c r="E4053" s="3" t="s">
        <v>47</v>
      </c>
      <c r="F4053" s="3" t="s">
        <v>357</v>
      </c>
      <c r="G4053" s="5">
        <v>0.03</v>
      </c>
      <c r="H4053" s="6" t="s">
        <v>61</v>
      </c>
      <c r="I4053" s="3" t="s">
        <v>45</v>
      </c>
    </row>
    <row r="4054" spans="1:9" ht="48" customHeight="1">
      <c r="A4054" s="3" t="s">
        <v>40</v>
      </c>
      <c r="B4054" s="3" t="s">
        <v>39</v>
      </c>
      <c r="C4054" s="4">
        <v>46174</v>
      </c>
      <c r="D4054" s="4">
        <v>46203</v>
      </c>
      <c r="E4054" s="3" t="s">
        <v>47</v>
      </c>
      <c r="F4054" s="3" t="s">
        <v>349</v>
      </c>
      <c r="G4054" s="5">
        <v>1.6E-2</v>
      </c>
      <c r="H4054" s="6" t="s">
        <v>61</v>
      </c>
      <c r="I4054" s="3" t="s">
        <v>45</v>
      </c>
    </row>
    <row r="4055" spans="1:9" ht="48" customHeight="1">
      <c r="A4055" s="3" t="s">
        <v>40</v>
      </c>
      <c r="B4055" s="3" t="s">
        <v>39</v>
      </c>
      <c r="C4055" s="4">
        <v>46174</v>
      </c>
      <c r="D4055" s="4">
        <v>46203</v>
      </c>
      <c r="E4055" s="3" t="s">
        <v>47</v>
      </c>
      <c r="F4055" s="3" t="s">
        <v>350</v>
      </c>
      <c r="G4055" s="5">
        <v>1.1000000000000001E-2</v>
      </c>
      <c r="H4055" s="6" t="s">
        <v>61</v>
      </c>
      <c r="I4055" s="3" t="s">
        <v>45</v>
      </c>
    </row>
    <row r="4056" spans="1:9" ht="48" customHeight="1">
      <c r="A4056" s="3" t="s">
        <v>40</v>
      </c>
      <c r="B4056" s="3" t="s">
        <v>39</v>
      </c>
      <c r="C4056" s="4">
        <v>46174</v>
      </c>
      <c r="D4056" s="4">
        <v>46203</v>
      </c>
      <c r="E4056" s="3" t="s">
        <v>47</v>
      </c>
      <c r="F4056" s="3" t="s">
        <v>351</v>
      </c>
      <c r="G4056" s="5">
        <v>8.0000000000000002E-3</v>
      </c>
      <c r="H4056" s="6" t="s">
        <v>61</v>
      </c>
      <c r="I4056" s="3" t="s">
        <v>45</v>
      </c>
    </row>
    <row r="4057" spans="1:9" ht="48" customHeight="1">
      <c r="A4057" s="3" t="s">
        <v>40</v>
      </c>
      <c r="B4057" s="3" t="s">
        <v>39</v>
      </c>
      <c r="C4057" s="4">
        <v>46174</v>
      </c>
      <c r="D4057" s="4">
        <v>46203</v>
      </c>
      <c r="E4057" s="3" t="s">
        <v>47</v>
      </c>
      <c r="F4057" s="3" t="s">
        <v>354</v>
      </c>
      <c r="G4057" s="5">
        <v>6.9999999999999993E-3</v>
      </c>
      <c r="H4057" s="6" t="s">
        <v>61</v>
      </c>
      <c r="I4057" s="3" t="s">
        <v>45</v>
      </c>
    </row>
    <row r="4058" spans="1:9" ht="48" customHeight="1">
      <c r="A4058" s="3" t="s">
        <v>40</v>
      </c>
      <c r="B4058" s="3" t="s">
        <v>39</v>
      </c>
      <c r="C4058" s="4">
        <v>46174</v>
      </c>
      <c r="D4058" s="4">
        <v>46203</v>
      </c>
      <c r="E4058" s="3" t="s">
        <v>47</v>
      </c>
      <c r="F4058" s="3" t="s">
        <v>356</v>
      </c>
      <c r="G4058" s="5">
        <v>6.0000000000000001E-3</v>
      </c>
      <c r="H4058" s="6" t="s">
        <v>61</v>
      </c>
      <c r="I4058" s="3" t="s">
        <v>45</v>
      </c>
    </row>
    <row r="4059" spans="1:9" ht="48" customHeight="1">
      <c r="A4059" s="3" t="s">
        <v>40</v>
      </c>
      <c r="B4059" s="3" t="s">
        <v>39</v>
      </c>
      <c r="C4059" s="4">
        <v>46174</v>
      </c>
      <c r="D4059" s="4">
        <v>46203</v>
      </c>
      <c r="E4059" s="3" t="s">
        <v>47</v>
      </c>
      <c r="F4059" s="3" t="s">
        <v>353</v>
      </c>
      <c r="G4059" s="5">
        <v>4.0000000000000001E-3</v>
      </c>
      <c r="H4059" s="6" t="s">
        <v>61</v>
      </c>
      <c r="I4059" s="3" t="s">
        <v>45</v>
      </c>
    </row>
    <row r="4060" spans="1:9" ht="48" customHeight="1">
      <c r="A4060" s="3" t="s">
        <v>40</v>
      </c>
      <c r="B4060" s="3" t="s">
        <v>39</v>
      </c>
      <c r="C4060" s="4">
        <v>46174</v>
      </c>
      <c r="D4060" s="4">
        <v>46203</v>
      </c>
      <c r="E4060" s="3" t="s">
        <v>47</v>
      </c>
      <c r="F4060" s="3" t="s">
        <v>355</v>
      </c>
      <c r="G4060" s="5">
        <v>3.0000000000000001E-3</v>
      </c>
      <c r="H4060" s="6" t="s">
        <v>61</v>
      </c>
      <c r="I4060" s="3" t="s">
        <v>45</v>
      </c>
    </row>
    <row r="4061" spans="1:9" ht="48" customHeight="1">
      <c r="A4061" s="3" t="s">
        <v>40</v>
      </c>
      <c r="B4061" s="3" t="s">
        <v>39</v>
      </c>
      <c r="C4061" s="4">
        <v>46174</v>
      </c>
      <c r="D4061" s="4">
        <v>46203</v>
      </c>
      <c r="E4061" s="3" t="s">
        <v>47</v>
      </c>
      <c r="F4061" s="3" t="s">
        <v>363</v>
      </c>
      <c r="G4061" s="5">
        <v>2E-3</v>
      </c>
      <c r="H4061" s="6" t="s">
        <v>61</v>
      </c>
      <c r="I4061" s="3" t="s">
        <v>45</v>
      </c>
    </row>
    <row r="4062" spans="1:9" ht="48" customHeight="1">
      <c r="A4062" s="3" t="s">
        <v>40</v>
      </c>
      <c r="B4062" s="3" t="s">
        <v>39</v>
      </c>
      <c r="C4062" s="4">
        <v>46174</v>
      </c>
      <c r="D4062" s="4">
        <v>46203</v>
      </c>
      <c r="E4062" s="3" t="s">
        <v>47</v>
      </c>
      <c r="F4062" s="3" t="s">
        <v>359</v>
      </c>
      <c r="G4062" s="5">
        <v>1E-3</v>
      </c>
      <c r="H4062" s="6" t="s">
        <v>61</v>
      </c>
      <c r="I4062" s="3" t="s">
        <v>45</v>
      </c>
    </row>
    <row r="4063" spans="1:9" ht="48" customHeight="1">
      <c r="A4063" s="3" t="s">
        <v>40</v>
      </c>
      <c r="B4063" s="3" t="s">
        <v>39</v>
      </c>
      <c r="C4063" s="4">
        <v>46174</v>
      </c>
      <c r="D4063" s="4">
        <v>46203</v>
      </c>
      <c r="E4063" s="3" t="s">
        <v>47</v>
      </c>
      <c r="F4063" s="3" t="s">
        <v>360</v>
      </c>
      <c r="G4063" s="5">
        <v>1E-3</v>
      </c>
      <c r="H4063" s="6" t="s">
        <v>61</v>
      </c>
      <c r="I4063" s="3" t="s">
        <v>45</v>
      </c>
    </row>
    <row r="4064" spans="1:9" ht="48" customHeight="1">
      <c r="A4064" s="3" t="s">
        <v>40</v>
      </c>
      <c r="B4064" s="3" t="s">
        <v>39</v>
      </c>
      <c r="C4064" s="4">
        <v>46174</v>
      </c>
      <c r="D4064" s="4">
        <v>46203</v>
      </c>
      <c r="E4064" s="3" t="s">
        <v>47</v>
      </c>
      <c r="F4064" s="3" t="s">
        <v>361</v>
      </c>
      <c r="G4064" s="5">
        <v>1E-3</v>
      </c>
      <c r="H4064" s="6" t="s">
        <v>61</v>
      </c>
      <c r="I4064" s="3" t="s">
        <v>45</v>
      </c>
    </row>
    <row r="4065" spans="1:9" ht="48" customHeight="1">
      <c r="A4065" s="3" t="s">
        <v>40</v>
      </c>
      <c r="B4065" s="3" t="s">
        <v>39</v>
      </c>
      <c r="C4065" s="4">
        <v>46174</v>
      </c>
      <c r="D4065" s="4">
        <v>46203</v>
      </c>
      <c r="E4065" s="3" t="s">
        <v>47</v>
      </c>
      <c r="F4065" s="3" t="s">
        <v>362</v>
      </c>
      <c r="G4065" s="5">
        <v>1E-3</v>
      </c>
      <c r="H4065" s="6" t="s">
        <v>61</v>
      </c>
      <c r="I4065" s="3" t="s">
        <v>45</v>
      </c>
    </row>
    <row r="4066" spans="1:9" ht="48" customHeight="1">
      <c r="A4066" s="3" t="s">
        <v>40</v>
      </c>
      <c r="B4066" s="3" t="s">
        <v>39</v>
      </c>
      <c r="C4066" s="4">
        <v>46174</v>
      </c>
      <c r="D4066" s="4">
        <v>46203</v>
      </c>
      <c r="E4066" s="3" t="s">
        <v>47</v>
      </c>
      <c r="F4066" s="3" t="s">
        <v>318</v>
      </c>
      <c r="G4066" s="5">
        <v>1E-3</v>
      </c>
      <c r="H4066" s="6" t="s">
        <v>61</v>
      </c>
      <c r="I4066" s="3" t="s">
        <v>45</v>
      </c>
    </row>
    <row r="4067" spans="1:9" ht="48" customHeight="1">
      <c r="A4067" s="3" t="s">
        <v>40</v>
      </c>
      <c r="B4067" s="3" t="s">
        <v>39</v>
      </c>
      <c r="C4067" s="4">
        <v>46174</v>
      </c>
      <c r="D4067" s="4">
        <v>46203</v>
      </c>
      <c r="E4067" s="3" t="s">
        <v>161</v>
      </c>
      <c r="F4067" s="3" t="s">
        <v>172</v>
      </c>
      <c r="G4067" s="5">
        <v>1.3000000000000001E-2</v>
      </c>
      <c r="H4067" s="6" t="s">
        <v>61</v>
      </c>
      <c r="I4067" s="3" t="s">
        <v>45</v>
      </c>
    </row>
    <row r="4068" spans="1:9" ht="48" customHeight="1">
      <c r="A4068" s="3" t="s">
        <v>40</v>
      </c>
      <c r="B4068" s="3" t="s">
        <v>39</v>
      </c>
      <c r="C4068" s="4">
        <v>46174</v>
      </c>
      <c r="D4068" s="4">
        <v>46203</v>
      </c>
      <c r="E4068" s="3" t="s">
        <v>161</v>
      </c>
      <c r="F4068" s="3" t="s">
        <v>162</v>
      </c>
      <c r="G4068" s="5">
        <v>1.1000000000000001E-2</v>
      </c>
      <c r="H4068" s="6" t="s">
        <v>61</v>
      </c>
      <c r="I4068" s="3" t="s">
        <v>45</v>
      </c>
    </row>
    <row r="4069" spans="1:9" ht="48" customHeight="1">
      <c r="A4069" s="3" t="s">
        <v>40</v>
      </c>
      <c r="B4069" s="3" t="s">
        <v>39</v>
      </c>
      <c r="C4069" s="4">
        <v>46174</v>
      </c>
      <c r="D4069" s="4">
        <v>46203</v>
      </c>
      <c r="E4069" s="3" t="s">
        <v>161</v>
      </c>
      <c r="F4069" s="3" t="s">
        <v>184</v>
      </c>
      <c r="G4069" s="5">
        <v>1.1000000000000001E-2</v>
      </c>
      <c r="H4069" s="6" t="s">
        <v>61</v>
      </c>
      <c r="I4069" s="3" t="s">
        <v>45</v>
      </c>
    </row>
    <row r="4070" spans="1:9" ht="48" customHeight="1">
      <c r="A4070" s="3" t="s">
        <v>40</v>
      </c>
      <c r="B4070" s="3" t="s">
        <v>39</v>
      </c>
      <c r="C4070" s="4">
        <v>46174</v>
      </c>
      <c r="D4070" s="4">
        <v>46203</v>
      </c>
      <c r="E4070" s="3" t="s">
        <v>161</v>
      </c>
      <c r="F4070" s="3" t="s">
        <v>180</v>
      </c>
      <c r="G4070" s="5">
        <v>0.01</v>
      </c>
      <c r="H4070" s="6" t="s">
        <v>61</v>
      </c>
      <c r="I4070" s="3" t="s">
        <v>45</v>
      </c>
    </row>
    <row r="4071" spans="1:9" ht="48" customHeight="1">
      <c r="A4071" s="3" t="s">
        <v>40</v>
      </c>
      <c r="B4071" s="3" t="s">
        <v>39</v>
      </c>
      <c r="C4071" s="4">
        <v>46174</v>
      </c>
      <c r="D4071" s="4">
        <v>46203</v>
      </c>
      <c r="E4071" s="3" t="s">
        <v>161</v>
      </c>
      <c r="F4071" s="3" t="s">
        <v>166</v>
      </c>
      <c r="G4071" s="5">
        <v>0.01</v>
      </c>
      <c r="H4071" s="6" t="s">
        <v>61</v>
      </c>
      <c r="I4071" s="3" t="s">
        <v>45</v>
      </c>
    </row>
    <row r="4072" spans="1:9" ht="48" customHeight="1">
      <c r="A4072" s="3" t="s">
        <v>40</v>
      </c>
      <c r="B4072" s="3" t="s">
        <v>39</v>
      </c>
      <c r="C4072" s="4">
        <v>46174</v>
      </c>
      <c r="D4072" s="4">
        <v>46203</v>
      </c>
      <c r="E4072" s="3" t="s">
        <v>161</v>
      </c>
      <c r="F4072" s="3" t="s">
        <v>168</v>
      </c>
      <c r="G4072" s="5">
        <v>9.0000000000000011E-3</v>
      </c>
      <c r="H4072" s="6" t="s">
        <v>61</v>
      </c>
      <c r="I4072" s="3" t="s">
        <v>45</v>
      </c>
    </row>
    <row r="4073" spans="1:9" ht="48" customHeight="1">
      <c r="A4073" s="3" t="s">
        <v>40</v>
      </c>
      <c r="B4073" s="3" t="s">
        <v>39</v>
      </c>
      <c r="C4073" s="4">
        <v>46174</v>
      </c>
      <c r="D4073" s="4">
        <v>46203</v>
      </c>
      <c r="E4073" s="3" t="s">
        <v>161</v>
      </c>
      <c r="F4073" s="3" t="s">
        <v>163</v>
      </c>
      <c r="G4073" s="5">
        <v>9.0000000000000011E-3</v>
      </c>
      <c r="H4073" s="6" t="s">
        <v>61</v>
      </c>
      <c r="I4073" s="3" t="s">
        <v>45</v>
      </c>
    </row>
    <row r="4074" spans="1:9" ht="48" customHeight="1">
      <c r="A4074" s="3" t="s">
        <v>40</v>
      </c>
      <c r="B4074" s="3" t="s">
        <v>39</v>
      </c>
      <c r="C4074" s="4">
        <v>46174</v>
      </c>
      <c r="D4074" s="4">
        <v>46203</v>
      </c>
      <c r="E4074" s="3" t="s">
        <v>161</v>
      </c>
      <c r="F4074" s="3" t="s">
        <v>385</v>
      </c>
      <c r="G4074" s="5">
        <v>9.0000000000000011E-3</v>
      </c>
      <c r="H4074" s="6" t="s">
        <v>61</v>
      </c>
      <c r="I4074" s="3" t="s">
        <v>45</v>
      </c>
    </row>
    <row r="4075" spans="1:9" ht="48" customHeight="1">
      <c r="A4075" s="3" t="s">
        <v>40</v>
      </c>
      <c r="B4075" s="3" t="s">
        <v>39</v>
      </c>
      <c r="C4075" s="4">
        <v>46174</v>
      </c>
      <c r="D4075" s="4">
        <v>46203</v>
      </c>
      <c r="E4075" s="3" t="s">
        <v>161</v>
      </c>
      <c r="F4075" s="3" t="s">
        <v>164</v>
      </c>
      <c r="G4075" s="5">
        <v>8.0000000000000002E-3</v>
      </c>
      <c r="H4075" s="6" t="s">
        <v>61</v>
      </c>
      <c r="I4075" s="3" t="s">
        <v>45</v>
      </c>
    </row>
    <row r="4076" spans="1:9" ht="48" customHeight="1">
      <c r="A4076" s="3" t="s">
        <v>40</v>
      </c>
      <c r="B4076" s="3" t="s">
        <v>39</v>
      </c>
      <c r="C4076" s="4">
        <v>46174</v>
      </c>
      <c r="D4076" s="4">
        <v>46203</v>
      </c>
      <c r="E4076" s="3" t="s">
        <v>161</v>
      </c>
      <c r="F4076" s="3" t="s">
        <v>195</v>
      </c>
      <c r="G4076" s="5">
        <v>8.0000000000000002E-3</v>
      </c>
      <c r="H4076" s="6" t="s">
        <v>61</v>
      </c>
      <c r="I4076" s="3" t="s">
        <v>45</v>
      </c>
    </row>
    <row r="4077" spans="1:9" ht="48" customHeight="1">
      <c r="A4077" s="3" t="s">
        <v>40</v>
      </c>
      <c r="B4077" s="3" t="s">
        <v>39</v>
      </c>
      <c r="C4077" s="4">
        <v>46174</v>
      </c>
      <c r="D4077" s="4">
        <v>46203</v>
      </c>
      <c r="E4077" s="3" t="s">
        <v>161</v>
      </c>
      <c r="F4077" s="3" t="s">
        <v>181</v>
      </c>
      <c r="G4077" s="5">
        <v>6.9999999999999993E-3</v>
      </c>
      <c r="H4077" s="6" t="s">
        <v>61</v>
      </c>
      <c r="I4077" s="3" t="s">
        <v>45</v>
      </c>
    </row>
    <row r="4078" spans="1:9" ht="48" customHeight="1">
      <c r="A4078" s="3" t="s">
        <v>40</v>
      </c>
      <c r="B4078" s="3" t="s">
        <v>39</v>
      </c>
      <c r="C4078" s="4">
        <v>46174</v>
      </c>
      <c r="D4078" s="4">
        <v>46203</v>
      </c>
      <c r="E4078" s="3" t="s">
        <v>161</v>
      </c>
      <c r="F4078" s="3" t="s">
        <v>174</v>
      </c>
      <c r="G4078" s="5">
        <v>6.0000000000000001E-3</v>
      </c>
      <c r="H4078" s="6" t="s">
        <v>61</v>
      </c>
      <c r="I4078" s="3" t="s">
        <v>45</v>
      </c>
    </row>
    <row r="4079" spans="1:9" ht="48" customHeight="1">
      <c r="A4079" s="3" t="s">
        <v>40</v>
      </c>
      <c r="B4079" s="3" t="s">
        <v>39</v>
      </c>
      <c r="C4079" s="4">
        <v>46174</v>
      </c>
      <c r="D4079" s="4">
        <v>46203</v>
      </c>
      <c r="E4079" s="3" t="s">
        <v>161</v>
      </c>
      <c r="F4079" s="3" t="s">
        <v>167</v>
      </c>
      <c r="G4079" s="5">
        <v>6.0000000000000001E-3</v>
      </c>
      <c r="H4079" s="6" t="s">
        <v>61</v>
      </c>
      <c r="I4079" s="3" t="s">
        <v>45</v>
      </c>
    </row>
    <row r="4080" spans="1:9" ht="48" customHeight="1">
      <c r="A4080" s="3" t="s">
        <v>40</v>
      </c>
      <c r="B4080" s="3" t="s">
        <v>39</v>
      </c>
      <c r="C4080" s="4">
        <v>46174</v>
      </c>
      <c r="D4080" s="4">
        <v>46203</v>
      </c>
      <c r="E4080" s="3" t="s">
        <v>161</v>
      </c>
      <c r="F4080" s="3" t="s">
        <v>191</v>
      </c>
      <c r="G4080" s="5">
        <v>6.0000000000000001E-3</v>
      </c>
      <c r="H4080" s="6" t="s">
        <v>61</v>
      </c>
      <c r="I4080" s="3" t="s">
        <v>45</v>
      </c>
    </row>
    <row r="4081" spans="1:9" ht="48" customHeight="1">
      <c r="A4081" s="3" t="s">
        <v>40</v>
      </c>
      <c r="B4081" s="3" t="s">
        <v>39</v>
      </c>
      <c r="C4081" s="4">
        <v>46174</v>
      </c>
      <c r="D4081" s="4">
        <v>46203</v>
      </c>
      <c r="E4081" s="3" t="s">
        <v>161</v>
      </c>
      <c r="F4081" s="3" t="s">
        <v>169</v>
      </c>
      <c r="G4081" s="5">
        <v>6.0000000000000001E-3</v>
      </c>
      <c r="H4081" s="6" t="s">
        <v>61</v>
      </c>
      <c r="I4081" s="3" t="s">
        <v>45</v>
      </c>
    </row>
    <row r="4082" spans="1:9" ht="48" customHeight="1">
      <c r="A4082" s="3" t="s">
        <v>40</v>
      </c>
      <c r="B4082" s="3" t="s">
        <v>39</v>
      </c>
      <c r="C4082" s="4">
        <v>46174</v>
      </c>
      <c r="D4082" s="4">
        <v>46203</v>
      </c>
      <c r="E4082" s="3" t="s">
        <v>161</v>
      </c>
      <c r="F4082" s="3" t="s">
        <v>171</v>
      </c>
      <c r="G4082" s="5">
        <v>6.0000000000000001E-3</v>
      </c>
      <c r="H4082" s="6" t="s">
        <v>61</v>
      </c>
      <c r="I4082" s="3" t="s">
        <v>45</v>
      </c>
    </row>
    <row r="4083" spans="1:9" ht="48" customHeight="1">
      <c r="A4083" s="3" t="s">
        <v>40</v>
      </c>
      <c r="B4083" s="3" t="s">
        <v>39</v>
      </c>
      <c r="C4083" s="4">
        <v>46174</v>
      </c>
      <c r="D4083" s="4">
        <v>46203</v>
      </c>
      <c r="E4083" s="3" t="s">
        <v>161</v>
      </c>
      <c r="F4083" s="3" t="s">
        <v>177</v>
      </c>
      <c r="G4083" s="5">
        <v>6.0000000000000001E-3</v>
      </c>
      <c r="H4083" s="6" t="s">
        <v>61</v>
      </c>
      <c r="I4083" s="3" t="s">
        <v>45</v>
      </c>
    </row>
    <row r="4084" spans="1:9" ht="48" customHeight="1">
      <c r="A4084" s="3" t="s">
        <v>40</v>
      </c>
      <c r="B4084" s="3" t="s">
        <v>39</v>
      </c>
      <c r="C4084" s="4">
        <v>46174</v>
      </c>
      <c r="D4084" s="4">
        <v>46203</v>
      </c>
      <c r="E4084" s="3" t="s">
        <v>161</v>
      </c>
      <c r="F4084" s="3" t="s">
        <v>188</v>
      </c>
      <c r="G4084" s="5">
        <v>6.0000000000000001E-3</v>
      </c>
      <c r="H4084" s="6" t="s">
        <v>61</v>
      </c>
      <c r="I4084" s="3" t="s">
        <v>45</v>
      </c>
    </row>
    <row r="4085" spans="1:9" ht="48" customHeight="1">
      <c r="A4085" s="3" t="s">
        <v>40</v>
      </c>
      <c r="B4085" s="3" t="s">
        <v>39</v>
      </c>
      <c r="C4085" s="4">
        <v>46174</v>
      </c>
      <c r="D4085" s="4">
        <v>46203</v>
      </c>
      <c r="E4085" s="3" t="s">
        <v>161</v>
      </c>
      <c r="F4085" s="3" t="s">
        <v>173</v>
      </c>
      <c r="G4085" s="5">
        <v>6.0000000000000001E-3</v>
      </c>
      <c r="H4085" s="6" t="s">
        <v>61</v>
      </c>
      <c r="I4085" s="3" t="s">
        <v>45</v>
      </c>
    </row>
    <row r="4086" spans="1:9" ht="48" customHeight="1">
      <c r="A4086" s="3" t="s">
        <v>40</v>
      </c>
      <c r="B4086" s="3" t="s">
        <v>39</v>
      </c>
      <c r="C4086" s="4">
        <v>46174</v>
      </c>
      <c r="D4086" s="4">
        <v>46203</v>
      </c>
      <c r="E4086" s="3" t="s">
        <v>161</v>
      </c>
      <c r="F4086" s="3" t="s">
        <v>384</v>
      </c>
      <c r="G4086" s="5">
        <v>6.0000000000000001E-3</v>
      </c>
      <c r="H4086" s="6" t="s">
        <v>61</v>
      </c>
      <c r="I4086" s="3" t="s">
        <v>45</v>
      </c>
    </row>
    <row r="4087" spans="1:9" ht="48" customHeight="1">
      <c r="A4087" s="3" t="s">
        <v>40</v>
      </c>
      <c r="B4087" s="3" t="s">
        <v>39</v>
      </c>
      <c r="C4087" s="4">
        <v>46174</v>
      </c>
      <c r="D4087" s="4">
        <v>46203</v>
      </c>
      <c r="E4087" s="3" t="s">
        <v>161</v>
      </c>
      <c r="F4087" s="3" t="s">
        <v>200</v>
      </c>
      <c r="G4087" s="5">
        <v>6.0000000000000001E-3</v>
      </c>
      <c r="H4087" s="6" t="s">
        <v>61</v>
      </c>
      <c r="I4087" s="3" t="s">
        <v>45</v>
      </c>
    </row>
    <row r="4088" spans="1:9" ht="48" customHeight="1">
      <c r="A4088" s="3" t="s">
        <v>40</v>
      </c>
      <c r="B4088" s="3" t="s">
        <v>39</v>
      </c>
      <c r="C4088" s="4">
        <v>46174</v>
      </c>
      <c r="D4088" s="4">
        <v>46203</v>
      </c>
      <c r="E4088" s="3" t="s">
        <v>161</v>
      </c>
      <c r="F4088" s="3" t="s">
        <v>165</v>
      </c>
      <c r="G4088" s="5">
        <v>5.0000000000000001E-3</v>
      </c>
      <c r="H4088" s="6" t="s">
        <v>61</v>
      </c>
      <c r="I4088" s="3" t="s">
        <v>45</v>
      </c>
    </row>
    <row r="4089" spans="1:9" ht="48" customHeight="1">
      <c r="A4089" s="3" t="s">
        <v>40</v>
      </c>
      <c r="B4089" s="3" t="s">
        <v>39</v>
      </c>
      <c r="C4089" s="4">
        <v>46174</v>
      </c>
      <c r="D4089" s="4">
        <v>46203</v>
      </c>
      <c r="E4089" s="3" t="s">
        <v>161</v>
      </c>
      <c r="F4089" s="3" t="s">
        <v>170</v>
      </c>
      <c r="G4089" s="5">
        <v>5.0000000000000001E-3</v>
      </c>
      <c r="H4089" s="6" t="s">
        <v>61</v>
      </c>
      <c r="I4089" s="3" t="s">
        <v>45</v>
      </c>
    </row>
    <row r="4090" spans="1:9" ht="48" customHeight="1">
      <c r="A4090" s="3" t="s">
        <v>40</v>
      </c>
      <c r="B4090" s="3" t="s">
        <v>39</v>
      </c>
      <c r="C4090" s="4">
        <v>46174</v>
      </c>
      <c r="D4090" s="4">
        <v>46203</v>
      </c>
      <c r="E4090" s="3" t="s">
        <v>161</v>
      </c>
      <c r="F4090" s="3" t="s">
        <v>178</v>
      </c>
      <c r="G4090" s="5">
        <v>5.0000000000000001E-3</v>
      </c>
      <c r="H4090" s="6" t="s">
        <v>61</v>
      </c>
      <c r="I4090" s="3" t="s">
        <v>45</v>
      </c>
    </row>
    <row r="4091" spans="1:9" ht="48" customHeight="1">
      <c r="A4091" s="3" t="s">
        <v>40</v>
      </c>
      <c r="B4091" s="3" t="s">
        <v>39</v>
      </c>
      <c r="C4091" s="4">
        <v>46174</v>
      </c>
      <c r="D4091" s="4">
        <v>46203</v>
      </c>
      <c r="E4091" s="3" t="s">
        <v>161</v>
      </c>
      <c r="F4091" s="3" t="s">
        <v>182</v>
      </c>
      <c r="G4091" s="5">
        <v>5.0000000000000001E-3</v>
      </c>
      <c r="H4091" s="6" t="s">
        <v>61</v>
      </c>
      <c r="I4091" s="3" t="s">
        <v>45</v>
      </c>
    </row>
    <row r="4092" spans="1:9" ht="48" customHeight="1">
      <c r="A4092" s="3" t="s">
        <v>40</v>
      </c>
      <c r="B4092" s="3" t="s">
        <v>39</v>
      </c>
      <c r="C4092" s="4">
        <v>46174</v>
      </c>
      <c r="D4092" s="4">
        <v>46203</v>
      </c>
      <c r="E4092" s="3" t="s">
        <v>161</v>
      </c>
      <c r="F4092" s="3" t="s">
        <v>183</v>
      </c>
      <c r="G4092" s="5">
        <v>5.0000000000000001E-3</v>
      </c>
      <c r="H4092" s="6" t="s">
        <v>61</v>
      </c>
      <c r="I4092" s="3" t="s">
        <v>45</v>
      </c>
    </row>
    <row r="4093" spans="1:9" ht="48" customHeight="1">
      <c r="A4093" s="3" t="s">
        <v>40</v>
      </c>
      <c r="B4093" s="3" t="s">
        <v>39</v>
      </c>
      <c r="C4093" s="4">
        <v>46174</v>
      </c>
      <c r="D4093" s="4">
        <v>46203</v>
      </c>
      <c r="E4093" s="3" t="s">
        <v>161</v>
      </c>
      <c r="F4093" s="3" t="s">
        <v>196</v>
      </c>
      <c r="G4093" s="5">
        <v>5.0000000000000001E-3</v>
      </c>
      <c r="H4093" s="6" t="s">
        <v>61</v>
      </c>
      <c r="I4093" s="3" t="s">
        <v>45</v>
      </c>
    </row>
    <row r="4094" spans="1:9" ht="48" customHeight="1">
      <c r="A4094" s="3" t="s">
        <v>40</v>
      </c>
      <c r="B4094" s="3" t="s">
        <v>39</v>
      </c>
      <c r="C4094" s="4">
        <v>46174</v>
      </c>
      <c r="D4094" s="4">
        <v>46203</v>
      </c>
      <c r="E4094" s="3" t="s">
        <v>161</v>
      </c>
      <c r="F4094" s="3" t="s">
        <v>175</v>
      </c>
      <c r="G4094" s="5">
        <v>4.0000000000000001E-3</v>
      </c>
      <c r="H4094" s="6" t="s">
        <v>61</v>
      </c>
      <c r="I4094" s="3" t="s">
        <v>45</v>
      </c>
    </row>
    <row r="4095" spans="1:9" ht="48" customHeight="1">
      <c r="A4095" s="3" t="s">
        <v>40</v>
      </c>
      <c r="B4095" s="3" t="s">
        <v>39</v>
      </c>
      <c r="C4095" s="4">
        <v>46174</v>
      </c>
      <c r="D4095" s="4">
        <v>46203</v>
      </c>
      <c r="E4095" s="3" t="s">
        <v>161</v>
      </c>
      <c r="F4095" s="3" t="s">
        <v>189</v>
      </c>
      <c r="G4095" s="5">
        <v>4.0000000000000001E-3</v>
      </c>
      <c r="H4095" s="6" t="s">
        <v>61</v>
      </c>
      <c r="I4095" s="3" t="s">
        <v>45</v>
      </c>
    </row>
    <row r="4096" spans="1:9" ht="48" customHeight="1">
      <c r="A4096" s="3" t="s">
        <v>40</v>
      </c>
      <c r="B4096" s="3" t="s">
        <v>39</v>
      </c>
      <c r="C4096" s="4">
        <v>46174</v>
      </c>
      <c r="D4096" s="4">
        <v>46203</v>
      </c>
      <c r="E4096" s="3" t="s">
        <v>161</v>
      </c>
      <c r="F4096" s="3" t="s">
        <v>176</v>
      </c>
      <c r="G4096" s="5">
        <v>4.0000000000000001E-3</v>
      </c>
      <c r="H4096" s="6" t="s">
        <v>61</v>
      </c>
      <c r="I4096" s="3" t="s">
        <v>45</v>
      </c>
    </row>
    <row r="4097" spans="1:9" ht="48" customHeight="1">
      <c r="A4097" s="3" t="s">
        <v>40</v>
      </c>
      <c r="B4097" s="3" t="s">
        <v>39</v>
      </c>
      <c r="C4097" s="4">
        <v>46174</v>
      </c>
      <c r="D4097" s="4">
        <v>46203</v>
      </c>
      <c r="E4097" s="3" t="s">
        <v>161</v>
      </c>
      <c r="F4097" s="3" t="s">
        <v>186</v>
      </c>
      <c r="G4097" s="5">
        <v>4.0000000000000001E-3</v>
      </c>
      <c r="H4097" s="6" t="s">
        <v>61</v>
      </c>
      <c r="I4097" s="3" t="s">
        <v>45</v>
      </c>
    </row>
    <row r="4098" spans="1:9" ht="48" customHeight="1">
      <c r="A4098" s="3" t="s">
        <v>40</v>
      </c>
      <c r="B4098" s="3" t="s">
        <v>39</v>
      </c>
      <c r="C4098" s="4">
        <v>46174</v>
      </c>
      <c r="D4098" s="4">
        <v>46203</v>
      </c>
      <c r="E4098" s="3" t="s">
        <v>161</v>
      </c>
      <c r="F4098" s="3" t="s">
        <v>187</v>
      </c>
      <c r="G4098" s="5">
        <v>4.0000000000000001E-3</v>
      </c>
      <c r="H4098" s="6" t="s">
        <v>61</v>
      </c>
      <c r="I4098" s="3" t="s">
        <v>45</v>
      </c>
    </row>
    <row r="4099" spans="1:9" ht="48" customHeight="1">
      <c r="A4099" s="3" t="s">
        <v>40</v>
      </c>
      <c r="B4099" s="3" t="s">
        <v>39</v>
      </c>
      <c r="C4099" s="4">
        <v>46174</v>
      </c>
      <c r="D4099" s="4">
        <v>46203</v>
      </c>
      <c r="E4099" s="3" t="s">
        <v>161</v>
      </c>
      <c r="F4099" s="3" t="s">
        <v>193</v>
      </c>
      <c r="G4099" s="5">
        <v>4.0000000000000001E-3</v>
      </c>
      <c r="H4099" s="6" t="s">
        <v>61</v>
      </c>
      <c r="I4099" s="3" t="s">
        <v>45</v>
      </c>
    </row>
    <row r="4100" spans="1:9" ht="48" customHeight="1">
      <c r="A4100" s="3" t="s">
        <v>40</v>
      </c>
      <c r="B4100" s="3" t="s">
        <v>39</v>
      </c>
      <c r="C4100" s="4">
        <v>46174</v>
      </c>
      <c r="D4100" s="4">
        <v>46203</v>
      </c>
      <c r="E4100" s="3" t="s">
        <v>161</v>
      </c>
      <c r="F4100" s="3" t="s">
        <v>179</v>
      </c>
      <c r="G4100" s="5">
        <v>4.0000000000000001E-3</v>
      </c>
      <c r="H4100" s="6" t="s">
        <v>61</v>
      </c>
      <c r="I4100" s="3" t="s">
        <v>45</v>
      </c>
    </row>
    <row r="4101" spans="1:9" ht="48" customHeight="1">
      <c r="A4101" s="3" t="s">
        <v>40</v>
      </c>
      <c r="B4101" s="3" t="s">
        <v>39</v>
      </c>
      <c r="C4101" s="4">
        <v>46174</v>
      </c>
      <c r="D4101" s="4">
        <v>46203</v>
      </c>
      <c r="E4101" s="3" t="s">
        <v>161</v>
      </c>
      <c r="F4101" s="3" t="s">
        <v>201</v>
      </c>
      <c r="G4101" s="5">
        <v>4.0000000000000001E-3</v>
      </c>
      <c r="H4101" s="6" t="s">
        <v>61</v>
      </c>
      <c r="I4101" s="3" t="s">
        <v>45</v>
      </c>
    </row>
    <row r="4102" spans="1:9" ht="48" customHeight="1">
      <c r="A4102" s="3" t="s">
        <v>40</v>
      </c>
      <c r="B4102" s="3" t="s">
        <v>39</v>
      </c>
      <c r="C4102" s="4">
        <v>46174</v>
      </c>
      <c r="D4102" s="4">
        <v>46203</v>
      </c>
      <c r="E4102" s="3" t="s">
        <v>161</v>
      </c>
      <c r="F4102" s="3" t="s">
        <v>190</v>
      </c>
      <c r="G4102" s="5">
        <v>3.0000000000000001E-3</v>
      </c>
      <c r="H4102" s="6" t="s">
        <v>61</v>
      </c>
      <c r="I4102" s="3" t="s">
        <v>45</v>
      </c>
    </row>
    <row r="4103" spans="1:9" ht="48" customHeight="1">
      <c r="A4103" s="3" t="s">
        <v>40</v>
      </c>
      <c r="B4103" s="3" t="s">
        <v>39</v>
      </c>
      <c r="C4103" s="4">
        <v>46174</v>
      </c>
      <c r="D4103" s="4">
        <v>46203</v>
      </c>
      <c r="E4103" s="3" t="s">
        <v>161</v>
      </c>
      <c r="F4103" s="3" t="s">
        <v>185</v>
      </c>
      <c r="G4103" s="5">
        <v>3.0000000000000001E-3</v>
      </c>
      <c r="H4103" s="6" t="s">
        <v>61</v>
      </c>
      <c r="I4103" s="3" t="s">
        <v>45</v>
      </c>
    </row>
    <row r="4104" spans="1:9" ht="48" customHeight="1">
      <c r="A4104" s="3" t="s">
        <v>40</v>
      </c>
      <c r="B4104" s="3" t="s">
        <v>39</v>
      </c>
      <c r="C4104" s="4">
        <v>46174</v>
      </c>
      <c r="D4104" s="4">
        <v>46203</v>
      </c>
      <c r="E4104" s="3" t="s">
        <v>161</v>
      </c>
      <c r="F4104" s="3" t="s">
        <v>192</v>
      </c>
      <c r="G4104" s="5">
        <v>3.0000000000000001E-3</v>
      </c>
      <c r="H4104" s="6" t="s">
        <v>61</v>
      </c>
      <c r="I4104" s="3" t="s">
        <v>45</v>
      </c>
    </row>
    <row r="4105" spans="1:9" ht="48" customHeight="1">
      <c r="A4105" s="3" t="s">
        <v>40</v>
      </c>
      <c r="B4105" s="3" t="s">
        <v>39</v>
      </c>
      <c r="C4105" s="4">
        <v>46174</v>
      </c>
      <c r="D4105" s="4">
        <v>46203</v>
      </c>
      <c r="E4105" s="3" t="s">
        <v>161</v>
      </c>
      <c r="F4105" s="3" t="s">
        <v>194</v>
      </c>
      <c r="G4105" s="5">
        <v>3.0000000000000001E-3</v>
      </c>
      <c r="H4105" s="6" t="s">
        <v>61</v>
      </c>
      <c r="I4105" s="3" t="s">
        <v>45</v>
      </c>
    </row>
    <row r="4106" spans="1:9" ht="48" customHeight="1">
      <c r="A4106" s="3" t="s">
        <v>40</v>
      </c>
      <c r="B4106" s="3" t="s">
        <v>39</v>
      </c>
      <c r="C4106" s="4">
        <v>46174</v>
      </c>
      <c r="D4106" s="4">
        <v>46203</v>
      </c>
      <c r="E4106" s="3" t="s">
        <v>161</v>
      </c>
      <c r="F4106" s="3" t="s">
        <v>386</v>
      </c>
      <c r="G4106" s="5">
        <v>3.0000000000000001E-3</v>
      </c>
      <c r="H4106" s="6" t="s">
        <v>61</v>
      </c>
      <c r="I4106" s="3" t="s">
        <v>45</v>
      </c>
    </row>
    <row r="4107" spans="1:9" ht="48" customHeight="1">
      <c r="A4107" s="3" t="s">
        <v>40</v>
      </c>
      <c r="B4107" s="3" t="s">
        <v>39</v>
      </c>
      <c r="C4107" s="4">
        <v>46174</v>
      </c>
      <c r="D4107" s="4">
        <v>46203</v>
      </c>
      <c r="E4107" s="3" t="s">
        <v>161</v>
      </c>
      <c r="F4107" s="3" t="s">
        <v>387</v>
      </c>
      <c r="G4107" s="5">
        <v>3.0000000000000001E-3</v>
      </c>
      <c r="H4107" s="6" t="s">
        <v>61</v>
      </c>
      <c r="I4107" s="3" t="s">
        <v>45</v>
      </c>
    </row>
    <row r="4108" spans="1:9" ht="48" customHeight="1">
      <c r="A4108" s="3" t="s">
        <v>40</v>
      </c>
      <c r="B4108" s="3" t="s">
        <v>39</v>
      </c>
      <c r="C4108" s="4">
        <v>46174</v>
      </c>
      <c r="D4108" s="4">
        <v>46203</v>
      </c>
      <c r="E4108" s="3" t="s">
        <v>161</v>
      </c>
      <c r="F4108" s="3" t="s">
        <v>197</v>
      </c>
      <c r="G4108" s="5">
        <v>2E-3</v>
      </c>
      <c r="H4108" s="6" t="s">
        <v>61</v>
      </c>
      <c r="I4108" s="3" t="s">
        <v>45</v>
      </c>
    </row>
    <row r="4109" spans="1:9" ht="48" customHeight="1">
      <c r="A4109" s="3" t="s">
        <v>40</v>
      </c>
      <c r="B4109" s="3" t="s">
        <v>39</v>
      </c>
      <c r="C4109" s="4">
        <v>46174</v>
      </c>
      <c r="D4109" s="4">
        <v>46203</v>
      </c>
      <c r="E4109" s="3" t="s">
        <v>161</v>
      </c>
      <c r="F4109" s="3" t="s">
        <v>199</v>
      </c>
      <c r="G4109" s="5">
        <v>2E-3</v>
      </c>
      <c r="H4109" s="6" t="s">
        <v>61</v>
      </c>
      <c r="I4109" s="3" t="s">
        <v>45</v>
      </c>
    </row>
    <row r="4110" spans="1:9" ht="48" customHeight="1">
      <c r="A4110" s="3" t="s">
        <v>40</v>
      </c>
      <c r="B4110" s="3" t="s">
        <v>39</v>
      </c>
      <c r="C4110" s="4">
        <v>46174</v>
      </c>
      <c r="D4110" s="4">
        <v>46203</v>
      </c>
      <c r="E4110" s="3" t="s">
        <v>161</v>
      </c>
      <c r="F4110" s="3" t="s">
        <v>202</v>
      </c>
      <c r="G4110" s="5">
        <v>1E-3</v>
      </c>
      <c r="H4110" s="6" t="s">
        <v>61</v>
      </c>
      <c r="I4110" s="3" t="s">
        <v>45</v>
      </c>
    </row>
    <row r="4111" spans="1:9" ht="48" customHeight="1">
      <c r="A4111" s="3" t="s">
        <v>40</v>
      </c>
      <c r="B4111" s="3" t="s">
        <v>39</v>
      </c>
      <c r="C4111" s="4">
        <v>46174</v>
      </c>
      <c r="D4111" s="4">
        <v>46203</v>
      </c>
      <c r="E4111" s="3" t="s">
        <v>161</v>
      </c>
      <c r="F4111" s="3" t="s">
        <v>198</v>
      </c>
      <c r="G4111" s="5">
        <v>1E-3</v>
      </c>
      <c r="H4111" s="6" t="s">
        <v>61</v>
      </c>
      <c r="I4111" s="3" t="s">
        <v>45</v>
      </c>
    </row>
    <row r="4112" spans="1:9" ht="48" customHeight="1">
      <c r="A4112" s="3" t="s">
        <v>40</v>
      </c>
      <c r="B4112" s="3" t="s">
        <v>39</v>
      </c>
      <c r="C4112" s="4">
        <v>46174</v>
      </c>
      <c r="D4112" s="4">
        <v>46203</v>
      </c>
      <c r="E4112" s="3" t="s">
        <v>161</v>
      </c>
      <c r="F4112" s="3" t="s">
        <v>203</v>
      </c>
      <c r="G4112" s="5">
        <v>1E-3</v>
      </c>
      <c r="H4112" s="6" t="s">
        <v>61</v>
      </c>
      <c r="I4112" s="3" t="s">
        <v>45</v>
      </c>
    </row>
    <row r="4113" spans="1:9" ht="48" customHeight="1">
      <c r="A4113" s="3" t="s">
        <v>40</v>
      </c>
      <c r="B4113" s="3" t="s">
        <v>39</v>
      </c>
      <c r="C4113" s="4">
        <v>46174</v>
      </c>
      <c r="D4113" s="4">
        <v>46203</v>
      </c>
      <c r="E4113" s="3" t="s">
        <v>161</v>
      </c>
      <c r="F4113" s="3" t="s">
        <v>204</v>
      </c>
      <c r="G4113" s="5">
        <v>1E-3</v>
      </c>
      <c r="H4113" s="6" t="s">
        <v>61</v>
      </c>
      <c r="I4113" s="3" t="s">
        <v>45</v>
      </c>
    </row>
    <row r="4114" spans="1:9" ht="48" customHeight="1">
      <c r="A4114" s="3" t="s">
        <v>40</v>
      </c>
      <c r="B4114" s="3" t="s">
        <v>39</v>
      </c>
      <c r="C4114" s="4">
        <v>46174</v>
      </c>
      <c r="D4114" s="4">
        <v>46203</v>
      </c>
      <c r="E4114" s="3" t="s">
        <v>286</v>
      </c>
      <c r="F4114" s="3" t="s">
        <v>293</v>
      </c>
      <c r="G4114" s="5">
        <v>9.6999999999999989E-2</v>
      </c>
      <c r="H4114" s="6" t="s">
        <v>61</v>
      </c>
      <c r="I4114" s="3" t="s">
        <v>45</v>
      </c>
    </row>
    <row r="4115" spans="1:9" ht="48" customHeight="1">
      <c r="A4115" s="3" t="s">
        <v>40</v>
      </c>
      <c r="B4115" s="3" t="s">
        <v>39</v>
      </c>
      <c r="C4115" s="4">
        <v>46174</v>
      </c>
      <c r="D4115" s="4">
        <v>46203</v>
      </c>
      <c r="E4115" s="3" t="s">
        <v>286</v>
      </c>
      <c r="F4115" s="3" t="s">
        <v>300</v>
      </c>
      <c r="G4115" s="5">
        <v>1.7000000000000001E-2</v>
      </c>
      <c r="H4115" s="6" t="s">
        <v>61</v>
      </c>
      <c r="I4115" s="3" t="s">
        <v>45</v>
      </c>
    </row>
    <row r="4116" spans="1:9" ht="48" customHeight="1">
      <c r="A4116" s="3" t="s">
        <v>40</v>
      </c>
      <c r="B4116" s="3" t="s">
        <v>39</v>
      </c>
      <c r="C4116" s="4">
        <v>46174</v>
      </c>
      <c r="D4116" s="4">
        <v>46203</v>
      </c>
      <c r="E4116" s="3" t="s">
        <v>286</v>
      </c>
      <c r="F4116" s="3" t="s">
        <v>291</v>
      </c>
      <c r="G4116" s="5">
        <v>1.6E-2</v>
      </c>
      <c r="H4116" s="6" t="s">
        <v>61</v>
      </c>
      <c r="I4116" s="3" t="s">
        <v>45</v>
      </c>
    </row>
    <row r="4117" spans="1:9" ht="48" customHeight="1">
      <c r="A4117" s="3" t="s">
        <v>40</v>
      </c>
      <c r="B4117" s="3" t="s">
        <v>39</v>
      </c>
      <c r="C4117" s="4">
        <v>46174</v>
      </c>
      <c r="D4117" s="4">
        <v>46203</v>
      </c>
      <c r="E4117" s="3" t="s">
        <v>286</v>
      </c>
      <c r="F4117" s="3" t="s">
        <v>287</v>
      </c>
      <c r="G4117" s="5">
        <v>5.0000000000000001E-3</v>
      </c>
      <c r="H4117" s="6" t="s">
        <v>61</v>
      </c>
      <c r="I4117" s="3" t="s">
        <v>45</v>
      </c>
    </row>
    <row r="4118" spans="1:9" ht="48" customHeight="1">
      <c r="A4118" s="3" t="s">
        <v>40</v>
      </c>
      <c r="B4118" s="3" t="s">
        <v>39</v>
      </c>
      <c r="C4118" s="4">
        <v>46174</v>
      </c>
      <c r="D4118" s="4">
        <v>46203</v>
      </c>
      <c r="E4118" s="3" t="s">
        <v>286</v>
      </c>
      <c r="F4118" s="3" t="s">
        <v>290</v>
      </c>
      <c r="G4118" s="5">
        <v>4.0000000000000001E-3</v>
      </c>
      <c r="H4118" s="6" t="s">
        <v>61</v>
      </c>
      <c r="I4118" s="3" t="s">
        <v>45</v>
      </c>
    </row>
    <row r="4119" spans="1:9" ht="48" customHeight="1">
      <c r="A4119" s="3" t="s">
        <v>40</v>
      </c>
      <c r="B4119" s="3" t="s">
        <v>39</v>
      </c>
      <c r="C4119" s="4">
        <v>46174</v>
      </c>
      <c r="D4119" s="4">
        <v>46203</v>
      </c>
      <c r="E4119" s="3" t="s">
        <v>286</v>
      </c>
      <c r="F4119" s="3" t="s">
        <v>288</v>
      </c>
      <c r="G4119" s="5">
        <v>4.0000000000000001E-3</v>
      </c>
      <c r="H4119" s="6" t="s">
        <v>61</v>
      </c>
      <c r="I4119" s="3" t="s">
        <v>45</v>
      </c>
    </row>
    <row r="4120" spans="1:9" ht="48" customHeight="1">
      <c r="A4120" s="3" t="s">
        <v>40</v>
      </c>
      <c r="B4120" s="3" t="s">
        <v>39</v>
      </c>
      <c r="C4120" s="4">
        <v>46174</v>
      </c>
      <c r="D4120" s="4">
        <v>46203</v>
      </c>
      <c r="E4120" s="3" t="s">
        <v>286</v>
      </c>
      <c r="F4120" s="3" t="s">
        <v>289</v>
      </c>
      <c r="G4120" s="5">
        <v>4.0000000000000001E-3</v>
      </c>
      <c r="H4120" s="6" t="s">
        <v>61</v>
      </c>
      <c r="I4120" s="3" t="s">
        <v>45</v>
      </c>
    </row>
    <row r="4121" spans="1:9" ht="48" customHeight="1">
      <c r="A4121" s="3" t="s">
        <v>40</v>
      </c>
      <c r="B4121" s="3" t="s">
        <v>39</v>
      </c>
      <c r="C4121" s="4">
        <v>46174</v>
      </c>
      <c r="D4121" s="4">
        <v>46203</v>
      </c>
      <c r="E4121" s="3" t="s">
        <v>286</v>
      </c>
      <c r="F4121" s="3" t="s">
        <v>292</v>
      </c>
      <c r="G4121" s="5">
        <v>4.0000000000000001E-3</v>
      </c>
      <c r="H4121" s="6" t="s">
        <v>61</v>
      </c>
      <c r="I4121" s="3" t="s">
        <v>45</v>
      </c>
    </row>
    <row r="4122" spans="1:9" ht="48" customHeight="1">
      <c r="A4122" s="3" t="s">
        <v>40</v>
      </c>
      <c r="B4122" s="3" t="s">
        <v>39</v>
      </c>
      <c r="C4122" s="4">
        <v>46174</v>
      </c>
      <c r="D4122" s="4">
        <v>46203</v>
      </c>
      <c r="E4122" s="3" t="s">
        <v>286</v>
      </c>
      <c r="F4122" s="3" t="s">
        <v>297</v>
      </c>
      <c r="G4122" s="5">
        <v>3.0000000000000001E-3</v>
      </c>
      <c r="H4122" s="6" t="s">
        <v>61</v>
      </c>
      <c r="I4122" s="3" t="s">
        <v>45</v>
      </c>
    </row>
    <row r="4123" spans="1:9" ht="48" customHeight="1">
      <c r="A4123" s="3" t="s">
        <v>40</v>
      </c>
      <c r="B4123" s="3" t="s">
        <v>39</v>
      </c>
      <c r="C4123" s="4">
        <v>46174</v>
      </c>
      <c r="D4123" s="4">
        <v>46203</v>
      </c>
      <c r="E4123" s="3" t="s">
        <v>286</v>
      </c>
      <c r="F4123" s="3" t="s">
        <v>298</v>
      </c>
      <c r="G4123" s="5">
        <v>1E-3</v>
      </c>
      <c r="H4123" s="6" t="s">
        <v>61</v>
      </c>
      <c r="I4123" s="3" t="s">
        <v>45</v>
      </c>
    </row>
    <row r="4124" spans="1:9" ht="48" customHeight="1">
      <c r="A4124" s="3" t="s">
        <v>40</v>
      </c>
      <c r="B4124" s="3" t="s">
        <v>39</v>
      </c>
      <c r="C4124" s="4">
        <v>46174</v>
      </c>
      <c r="D4124" s="4">
        <v>46203</v>
      </c>
      <c r="E4124" s="3" t="s">
        <v>286</v>
      </c>
      <c r="F4124" s="3" t="s">
        <v>299</v>
      </c>
      <c r="G4124" s="5">
        <v>1E-3</v>
      </c>
      <c r="H4124" s="6" t="s">
        <v>61</v>
      </c>
      <c r="I4124" s="3" t="s">
        <v>45</v>
      </c>
    </row>
    <row r="4125" spans="1:9" ht="48" customHeight="1">
      <c r="A4125" s="3" t="s">
        <v>40</v>
      </c>
      <c r="B4125" s="3" t="s">
        <v>39</v>
      </c>
      <c r="C4125" s="4">
        <v>46174</v>
      </c>
      <c r="D4125" s="4">
        <v>46203</v>
      </c>
      <c r="E4125" s="3" t="s">
        <v>286</v>
      </c>
      <c r="F4125" s="3" t="s">
        <v>294</v>
      </c>
      <c r="G4125" s="5">
        <v>0</v>
      </c>
      <c r="H4125" s="6" t="s">
        <v>61</v>
      </c>
      <c r="I4125" s="3" t="s">
        <v>45</v>
      </c>
    </row>
    <row r="4126" spans="1:9" ht="48" customHeight="1">
      <c r="A4126" s="3" t="s">
        <v>40</v>
      </c>
      <c r="B4126" s="3" t="s">
        <v>39</v>
      </c>
      <c r="C4126" s="4">
        <v>46174</v>
      </c>
      <c r="D4126" s="4">
        <v>46203</v>
      </c>
      <c r="E4126" s="3" t="s">
        <v>286</v>
      </c>
      <c r="F4126" s="3" t="s">
        <v>295</v>
      </c>
      <c r="G4126" s="5">
        <v>0</v>
      </c>
      <c r="H4126" s="6" t="s">
        <v>61</v>
      </c>
      <c r="I4126" s="3" t="s">
        <v>45</v>
      </c>
    </row>
    <row r="4127" spans="1:9" ht="48" customHeight="1">
      <c r="A4127" s="3" t="s">
        <v>40</v>
      </c>
      <c r="B4127" s="3" t="s">
        <v>39</v>
      </c>
      <c r="C4127" s="4">
        <v>46174</v>
      </c>
      <c r="D4127" s="4">
        <v>46203</v>
      </c>
      <c r="E4127" s="3" t="s">
        <v>286</v>
      </c>
      <c r="F4127" s="3" t="s">
        <v>296</v>
      </c>
      <c r="G4127" s="5">
        <v>0</v>
      </c>
      <c r="H4127" s="6" t="s">
        <v>61</v>
      </c>
      <c r="I4127" s="3" t="s">
        <v>45</v>
      </c>
    </row>
    <row r="4128" spans="1:9" ht="48" customHeight="1">
      <c r="A4128" s="3" t="s">
        <v>40</v>
      </c>
      <c r="B4128" s="3" t="s">
        <v>39</v>
      </c>
      <c r="C4128" s="4">
        <v>46174</v>
      </c>
      <c r="D4128" s="4">
        <v>46203</v>
      </c>
      <c r="E4128" s="3" t="s">
        <v>205</v>
      </c>
      <c r="F4128" s="3" t="s">
        <v>210</v>
      </c>
      <c r="G4128" s="5">
        <v>0.01</v>
      </c>
      <c r="H4128" s="6" t="s">
        <v>61</v>
      </c>
      <c r="I4128" s="3" t="s">
        <v>45</v>
      </c>
    </row>
    <row r="4129" spans="1:9" ht="48" customHeight="1">
      <c r="A4129" s="3" t="s">
        <v>40</v>
      </c>
      <c r="B4129" s="3" t="s">
        <v>39</v>
      </c>
      <c r="C4129" s="4">
        <v>46174</v>
      </c>
      <c r="D4129" s="4">
        <v>46203</v>
      </c>
      <c r="E4129" s="3" t="s">
        <v>205</v>
      </c>
      <c r="F4129" s="3" t="s">
        <v>209</v>
      </c>
      <c r="G4129" s="5">
        <v>8.0000000000000002E-3</v>
      </c>
      <c r="H4129" s="6" t="s">
        <v>61</v>
      </c>
      <c r="I4129" s="3" t="s">
        <v>45</v>
      </c>
    </row>
    <row r="4130" spans="1:9" ht="48" customHeight="1">
      <c r="A4130" s="3" t="s">
        <v>40</v>
      </c>
      <c r="B4130" s="3" t="s">
        <v>39</v>
      </c>
      <c r="C4130" s="4">
        <v>46174</v>
      </c>
      <c r="D4130" s="4">
        <v>46203</v>
      </c>
      <c r="E4130" s="3" t="s">
        <v>205</v>
      </c>
      <c r="F4130" s="3" t="s">
        <v>216</v>
      </c>
      <c r="G4130" s="5">
        <v>8.0000000000000002E-3</v>
      </c>
      <c r="H4130" s="6" t="s">
        <v>61</v>
      </c>
      <c r="I4130" s="3" t="s">
        <v>45</v>
      </c>
    </row>
    <row r="4131" spans="1:9" ht="48" customHeight="1">
      <c r="A4131" s="3" t="s">
        <v>40</v>
      </c>
      <c r="B4131" s="3" t="s">
        <v>39</v>
      </c>
      <c r="C4131" s="4">
        <v>46174</v>
      </c>
      <c r="D4131" s="4">
        <v>46203</v>
      </c>
      <c r="E4131" s="3" t="s">
        <v>205</v>
      </c>
      <c r="F4131" s="3" t="s">
        <v>220</v>
      </c>
      <c r="G4131" s="5">
        <v>6.9999999999999993E-3</v>
      </c>
      <c r="H4131" s="6" t="s">
        <v>61</v>
      </c>
      <c r="I4131" s="3" t="s">
        <v>45</v>
      </c>
    </row>
    <row r="4132" spans="1:9" ht="48" customHeight="1">
      <c r="A4132" s="3" t="s">
        <v>40</v>
      </c>
      <c r="B4132" s="3" t="s">
        <v>39</v>
      </c>
      <c r="C4132" s="4">
        <v>46174</v>
      </c>
      <c r="D4132" s="4">
        <v>46203</v>
      </c>
      <c r="E4132" s="3" t="s">
        <v>205</v>
      </c>
      <c r="F4132" s="3" t="s">
        <v>219</v>
      </c>
      <c r="G4132" s="5">
        <v>6.0000000000000001E-3</v>
      </c>
      <c r="H4132" s="6" t="s">
        <v>61</v>
      </c>
      <c r="I4132" s="3" t="s">
        <v>45</v>
      </c>
    </row>
    <row r="4133" spans="1:9" ht="48" customHeight="1">
      <c r="A4133" s="3" t="s">
        <v>40</v>
      </c>
      <c r="B4133" s="3" t="s">
        <v>39</v>
      </c>
      <c r="C4133" s="4">
        <v>46174</v>
      </c>
      <c r="D4133" s="4">
        <v>46203</v>
      </c>
      <c r="E4133" s="3" t="s">
        <v>205</v>
      </c>
      <c r="F4133" s="3" t="s">
        <v>211</v>
      </c>
      <c r="G4133" s="5">
        <v>6.0000000000000001E-3</v>
      </c>
      <c r="H4133" s="6" t="s">
        <v>61</v>
      </c>
      <c r="I4133" s="3" t="s">
        <v>45</v>
      </c>
    </row>
    <row r="4134" spans="1:9" ht="48" customHeight="1">
      <c r="A4134" s="3" t="s">
        <v>40</v>
      </c>
      <c r="B4134" s="3" t="s">
        <v>39</v>
      </c>
      <c r="C4134" s="4">
        <v>46174</v>
      </c>
      <c r="D4134" s="4">
        <v>46203</v>
      </c>
      <c r="E4134" s="3" t="s">
        <v>205</v>
      </c>
      <c r="F4134" s="3" t="s">
        <v>207</v>
      </c>
      <c r="G4134" s="5">
        <v>6.0000000000000001E-3</v>
      </c>
      <c r="H4134" s="6" t="s">
        <v>61</v>
      </c>
      <c r="I4134" s="3" t="s">
        <v>45</v>
      </c>
    </row>
    <row r="4135" spans="1:9" ht="48" customHeight="1">
      <c r="A4135" s="3" t="s">
        <v>40</v>
      </c>
      <c r="B4135" s="3" t="s">
        <v>39</v>
      </c>
      <c r="C4135" s="4">
        <v>46174</v>
      </c>
      <c r="D4135" s="4">
        <v>46203</v>
      </c>
      <c r="E4135" s="3" t="s">
        <v>205</v>
      </c>
      <c r="F4135" s="3" t="s">
        <v>206</v>
      </c>
      <c r="G4135" s="5">
        <v>6.0000000000000001E-3</v>
      </c>
      <c r="H4135" s="6" t="s">
        <v>61</v>
      </c>
      <c r="I4135" s="3" t="s">
        <v>45</v>
      </c>
    </row>
    <row r="4136" spans="1:9" ht="48" customHeight="1">
      <c r="A4136" s="3" t="s">
        <v>40</v>
      </c>
      <c r="B4136" s="3" t="s">
        <v>39</v>
      </c>
      <c r="C4136" s="4">
        <v>46174</v>
      </c>
      <c r="D4136" s="4">
        <v>46203</v>
      </c>
      <c r="E4136" s="3" t="s">
        <v>205</v>
      </c>
      <c r="F4136" s="3" t="s">
        <v>224</v>
      </c>
      <c r="G4136" s="5">
        <v>5.0000000000000001E-3</v>
      </c>
      <c r="H4136" s="6" t="s">
        <v>61</v>
      </c>
      <c r="I4136" s="3" t="s">
        <v>45</v>
      </c>
    </row>
    <row r="4137" spans="1:9" ht="48" customHeight="1">
      <c r="A4137" s="3" t="s">
        <v>40</v>
      </c>
      <c r="B4137" s="3" t="s">
        <v>39</v>
      </c>
      <c r="C4137" s="4">
        <v>46174</v>
      </c>
      <c r="D4137" s="4">
        <v>46203</v>
      </c>
      <c r="E4137" s="3" t="s">
        <v>205</v>
      </c>
      <c r="F4137" s="3" t="s">
        <v>225</v>
      </c>
      <c r="G4137" s="5">
        <v>5.0000000000000001E-3</v>
      </c>
      <c r="H4137" s="6" t="s">
        <v>61</v>
      </c>
      <c r="I4137" s="3" t="s">
        <v>45</v>
      </c>
    </row>
    <row r="4138" spans="1:9" ht="48" customHeight="1">
      <c r="A4138" s="3" t="s">
        <v>40</v>
      </c>
      <c r="B4138" s="3" t="s">
        <v>39</v>
      </c>
      <c r="C4138" s="4">
        <v>46174</v>
      </c>
      <c r="D4138" s="4">
        <v>46203</v>
      </c>
      <c r="E4138" s="3" t="s">
        <v>205</v>
      </c>
      <c r="F4138" s="3" t="s">
        <v>222</v>
      </c>
      <c r="G4138" s="5">
        <v>5.0000000000000001E-3</v>
      </c>
      <c r="H4138" s="6" t="s">
        <v>61</v>
      </c>
      <c r="I4138" s="3" t="s">
        <v>45</v>
      </c>
    </row>
    <row r="4139" spans="1:9" ht="48" customHeight="1">
      <c r="A4139" s="3" t="s">
        <v>40</v>
      </c>
      <c r="B4139" s="3" t="s">
        <v>39</v>
      </c>
      <c r="C4139" s="4">
        <v>46174</v>
      </c>
      <c r="D4139" s="4">
        <v>46203</v>
      </c>
      <c r="E4139" s="3" t="s">
        <v>205</v>
      </c>
      <c r="F4139" s="3" t="s">
        <v>208</v>
      </c>
      <c r="G4139" s="5">
        <v>5.0000000000000001E-3</v>
      </c>
      <c r="H4139" s="6" t="s">
        <v>61</v>
      </c>
      <c r="I4139" s="3" t="s">
        <v>45</v>
      </c>
    </row>
    <row r="4140" spans="1:9" ht="48" customHeight="1">
      <c r="A4140" s="3" t="s">
        <v>40</v>
      </c>
      <c r="B4140" s="3" t="s">
        <v>39</v>
      </c>
      <c r="C4140" s="4">
        <v>46174</v>
      </c>
      <c r="D4140" s="4">
        <v>46203</v>
      </c>
      <c r="E4140" s="3" t="s">
        <v>205</v>
      </c>
      <c r="F4140" s="3" t="s">
        <v>213</v>
      </c>
      <c r="G4140" s="5">
        <v>5.0000000000000001E-3</v>
      </c>
      <c r="H4140" s="6" t="s">
        <v>61</v>
      </c>
      <c r="I4140" s="3" t="s">
        <v>45</v>
      </c>
    </row>
    <row r="4141" spans="1:9" ht="48" customHeight="1">
      <c r="A4141" s="3" t="s">
        <v>40</v>
      </c>
      <c r="B4141" s="3" t="s">
        <v>39</v>
      </c>
      <c r="C4141" s="4">
        <v>46174</v>
      </c>
      <c r="D4141" s="4">
        <v>46203</v>
      </c>
      <c r="E4141" s="3" t="s">
        <v>205</v>
      </c>
      <c r="F4141" s="3" t="s">
        <v>214</v>
      </c>
      <c r="G4141" s="5">
        <v>5.0000000000000001E-3</v>
      </c>
      <c r="H4141" s="6" t="s">
        <v>61</v>
      </c>
      <c r="I4141" s="3" t="s">
        <v>45</v>
      </c>
    </row>
    <row r="4142" spans="1:9" ht="48" customHeight="1">
      <c r="A4142" s="3" t="s">
        <v>40</v>
      </c>
      <c r="B4142" s="3" t="s">
        <v>39</v>
      </c>
      <c r="C4142" s="4">
        <v>46174</v>
      </c>
      <c r="D4142" s="4">
        <v>46203</v>
      </c>
      <c r="E4142" s="3" t="s">
        <v>205</v>
      </c>
      <c r="F4142" s="3" t="s">
        <v>215</v>
      </c>
      <c r="G4142" s="5">
        <v>5.0000000000000001E-3</v>
      </c>
      <c r="H4142" s="6" t="s">
        <v>61</v>
      </c>
      <c r="I4142" s="3" t="s">
        <v>45</v>
      </c>
    </row>
    <row r="4143" spans="1:9" ht="48" customHeight="1">
      <c r="A4143" s="3" t="s">
        <v>40</v>
      </c>
      <c r="B4143" s="3" t="s">
        <v>39</v>
      </c>
      <c r="C4143" s="4">
        <v>46174</v>
      </c>
      <c r="D4143" s="4">
        <v>46203</v>
      </c>
      <c r="E4143" s="3" t="s">
        <v>205</v>
      </c>
      <c r="F4143" s="3" t="s">
        <v>217</v>
      </c>
      <c r="G4143" s="5">
        <v>4.0000000000000001E-3</v>
      </c>
      <c r="H4143" s="6" t="s">
        <v>61</v>
      </c>
      <c r="I4143" s="3" t="s">
        <v>45</v>
      </c>
    </row>
    <row r="4144" spans="1:9" ht="48" customHeight="1">
      <c r="A4144" s="3" t="s">
        <v>40</v>
      </c>
      <c r="B4144" s="3" t="s">
        <v>39</v>
      </c>
      <c r="C4144" s="4">
        <v>46174</v>
      </c>
      <c r="D4144" s="4">
        <v>46203</v>
      </c>
      <c r="E4144" s="3" t="s">
        <v>205</v>
      </c>
      <c r="F4144" s="3" t="s">
        <v>218</v>
      </c>
      <c r="G4144" s="5">
        <v>4.0000000000000001E-3</v>
      </c>
      <c r="H4144" s="6" t="s">
        <v>61</v>
      </c>
      <c r="I4144" s="3" t="s">
        <v>45</v>
      </c>
    </row>
    <row r="4145" spans="1:9" ht="48" customHeight="1">
      <c r="A4145" s="3" t="s">
        <v>40</v>
      </c>
      <c r="B4145" s="3" t="s">
        <v>39</v>
      </c>
      <c r="C4145" s="4">
        <v>46174</v>
      </c>
      <c r="D4145" s="4">
        <v>46203</v>
      </c>
      <c r="E4145" s="3" t="s">
        <v>205</v>
      </c>
      <c r="F4145" s="3" t="s">
        <v>227</v>
      </c>
      <c r="G4145" s="5">
        <v>4.0000000000000001E-3</v>
      </c>
      <c r="H4145" s="6" t="s">
        <v>61</v>
      </c>
      <c r="I4145" s="3" t="s">
        <v>45</v>
      </c>
    </row>
    <row r="4146" spans="1:9" ht="48" customHeight="1">
      <c r="A4146" s="3" t="s">
        <v>40</v>
      </c>
      <c r="B4146" s="3" t="s">
        <v>39</v>
      </c>
      <c r="C4146" s="4">
        <v>46174</v>
      </c>
      <c r="D4146" s="4">
        <v>46203</v>
      </c>
      <c r="E4146" s="3" t="s">
        <v>205</v>
      </c>
      <c r="F4146" s="3" t="s">
        <v>221</v>
      </c>
      <c r="G4146" s="5">
        <v>4.0000000000000001E-3</v>
      </c>
      <c r="H4146" s="6" t="s">
        <v>61</v>
      </c>
      <c r="I4146" s="3" t="s">
        <v>45</v>
      </c>
    </row>
    <row r="4147" spans="1:9" ht="48" customHeight="1">
      <c r="A4147" s="3" t="s">
        <v>40</v>
      </c>
      <c r="B4147" s="3" t="s">
        <v>39</v>
      </c>
      <c r="C4147" s="4">
        <v>46174</v>
      </c>
      <c r="D4147" s="4">
        <v>46203</v>
      </c>
      <c r="E4147" s="3" t="s">
        <v>205</v>
      </c>
      <c r="F4147" s="3" t="s">
        <v>212</v>
      </c>
      <c r="G4147" s="5">
        <v>4.0000000000000001E-3</v>
      </c>
      <c r="H4147" s="6" t="s">
        <v>61</v>
      </c>
      <c r="I4147" s="3" t="s">
        <v>45</v>
      </c>
    </row>
    <row r="4148" spans="1:9" ht="48" customHeight="1">
      <c r="A4148" s="3" t="s">
        <v>40</v>
      </c>
      <c r="B4148" s="3" t="s">
        <v>39</v>
      </c>
      <c r="C4148" s="4">
        <v>46174</v>
      </c>
      <c r="D4148" s="4">
        <v>46203</v>
      </c>
      <c r="E4148" s="3" t="s">
        <v>205</v>
      </c>
      <c r="F4148" s="3" t="s">
        <v>223</v>
      </c>
      <c r="G4148" s="5">
        <v>3.0000000000000001E-3</v>
      </c>
      <c r="H4148" s="6" t="s">
        <v>61</v>
      </c>
      <c r="I4148" s="3" t="s">
        <v>45</v>
      </c>
    </row>
    <row r="4149" spans="1:9" ht="48" customHeight="1">
      <c r="A4149" s="3" t="s">
        <v>40</v>
      </c>
      <c r="B4149" s="3" t="s">
        <v>39</v>
      </c>
      <c r="C4149" s="4">
        <v>46174</v>
      </c>
      <c r="D4149" s="4">
        <v>46203</v>
      </c>
      <c r="E4149" s="3" t="s">
        <v>205</v>
      </c>
      <c r="F4149" s="3" t="s">
        <v>226</v>
      </c>
      <c r="G4149" s="5">
        <v>3.0000000000000001E-3</v>
      </c>
      <c r="H4149" s="6" t="s">
        <v>61</v>
      </c>
      <c r="I4149" s="3" t="s">
        <v>45</v>
      </c>
    </row>
    <row r="4150" spans="1:9" ht="48" customHeight="1">
      <c r="A4150" s="3" t="s">
        <v>40</v>
      </c>
      <c r="B4150" s="3" t="s">
        <v>39</v>
      </c>
      <c r="C4150" s="4">
        <v>46174</v>
      </c>
      <c r="D4150" s="4">
        <v>46203</v>
      </c>
      <c r="E4150" s="3" t="s">
        <v>205</v>
      </c>
      <c r="F4150" s="3" t="s">
        <v>228</v>
      </c>
      <c r="G4150" s="5">
        <v>3.0000000000000001E-3</v>
      </c>
      <c r="H4150" s="6" t="s">
        <v>61</v>
      </c>
      <c r="I4150" s="3" t="s">
        <v>45</v>
      </c>
    </row>
    <row r="4151" spans="1:9" ht="48" customHeight="1">
      <c r="A4151" s="3" t="s">
        <v>40</v>
      </c>
      <c r="B4151" s="3" t="s">
        <v>39</v>
      </c>
      <c r="C4151" s="4">
        <v>46174</v>
      </c>
      <c r="D4151" s="4">
        <v>46203</v>
      </c>
      <c r="E4151" s="3" t="s">
        <v>205</v>
      </c>
      <c r="F4151" s="3" t="s">
        <v>229</v>
      </c>
      <c r="G4151" s="5">
        <v>2E-3</v>
      </c>
      <c r="H4151" s="6" t="s">
        <v>61</v>
      </c>
      <c r="I4151" s="3" t="s">
        <v>45</v>
      </c>
    </row>
    <row r="4152" spans="1:9" ht="48" customHeight="1">
      <c r="A4152" s="3" t="s">
        <v>40</v>
      </c>
      <c r="B4152" s="3" t="s">
        <v>39</v>
      </c>
      <c r="C4152" s="4">
        <v>46174</v>
      </c>
      <c r="D4152" s="4">
        <v>46203</v>
      </c>
      <c r="E4152" s="3" t="s">
        <v>205</v>
      </c>
      <c r="F4152" s="3" t="s">
        <v>230</v>
      </c>
      <c r="G4152" s="5">
        <v>1E-3</v>
      </c>
      <c r="H4152" s="6" t="s">
        <v>61</v>
      </c>
      <c r="I4152" s="3" t="s">
        <v>45</v>
      </c>
    </row>
    <row r="4153" spans="1:9" ht="48" customHeight="1">
      <c r="A4153" s="3" t="s">
        <v>40</v>
      </c>
      <c r="B4153" s="3" t="s">
        <v>39</v>
      </c>
      <c r="C4153" s="4">
        <v>46174</v>
      </c>
      <c r="D4153" s="4">
        <v>46203</v>
      </c>
      <c r="E4153" s="3" t="s">
        <v>81</v>
      </c>
      <c r="F4153" s="3" t="s">
        <v>333</v>
      </c>
      <c r="G4153" s="5">
        <v>1.1000000000000001E-2</v>
      </c>
      <c r="H4153" s="6" t="s">
        <v>61</v>
      </c>
      <c r="I4153" s="3" t="s">
        <v>45</v>
      </c>
    </row>
    <row r="4154" spans="1:9" ht="48" customHeight="1">
      <c r="A4154" s="3" t="s">
        <v>40</v>
      </c>
      <c r="B4154" s="3" t="s">
        <v>39</v>
      </c>
      <c r="C4154" s="4">
        <v>46174</v>
      </c>
      <c r="D4154" s="4">
        <v>46203</v>
      </c>
      <c r="E4154" s="3" t="s">
        <v>81</v>
      </c>
      <c r="F4154" s="3" t="s">
        <v>330</v>
      </c>
      <c r="G4154" s="5">
        <v>4.0000000000000001E-3</v>
      </c>
      <c r="H4154" s="6" t="s">
        <v>61</v>
      </c>
      <c r="I4154" s="3" t="s">
        <v>45</v>
      </c>
    </row>
    <row r="4155" spans="1:9" ht="48" customHeight="1">
      <c r="A4155" s="3" t="s">
        <v>40</v>
      </c>
      <c r="B4155" s="3" t="s">
        <v>39</v>
      </c>
      <c r="C4155" s="4">
        <v>46174</v>
      </c>
      <c r="D4155" s="4">
        <v>46203</v>
      </c>
      <c r="E4155" s="3" t="s">
        <v>81</v>
      </c>
      <c r="F4155" s="3" t="s">
        <v>345</v>
      </c>
      <c r="G4155" s="5">
        <v>4.0000000000000001E-3</v>
      </c>
      <c r="H4155" s="6" t="s">
        <v>61</v>
      </c>
      <c r="I4155" s="3" t="s">
        <v>45</v>
      </c>
    </row>
    <row r="4156" spans="1:9" ht="48" customHeight="1">
      <c r="A4156" s="3" t="s">
        <v>40</v>
      </c>
      <c r="B4156" s="3" t="s">
        <v>39</v>
      </c>
      <c r="C4156" s="4">
        <v>46174</v>
      </c>
      <c r="D4156" s="4">
        <v>46203</v>
      </c>
      <c r="E4156" s="3" t="s">
        <v>81</v>
      </c>
      <c r="F4156" s="3" t="s">
        <v>327</v>
      </c>
      <c r="G4156" s="5">
        <v>3.0000000000000001E-3</v>
      </c>
      <c r="H4156" s="6" t="s">
        <v>61</v>
      </c>
      <c r="I4156" s="3" t="s">
        <v>45</v>
      </c>
    </row>
    <row r="4157" spans="1:9" ht="48" customHeight="1">
      <c r="A4157" s="3" t="s">
        <v>40</v>
      </c>
      <c r="B4157" s="3" t="s">
        <v>39</v>
      </c>
      <c r="C4157" s="4">
        <v>46174</v>
      </c>
      <c r="D4157" s="4">
        <v>46203</v>
      </c>
      <c r="E4157" s="3" t="s">
        <v>81</v>
      </c>
      <c r="F4157" s="3" t="s">
        <v>325</v>
      </c>
      <c r="G4157" s="5">
        <v>3.0000000000000001E-3</v>
      </c>
      <c r="H4157" s="6" t="s">
        <v>61</v>
      </c>
      <c r="I4157" s="3" t="s">
        <v>45</v>
      </c>
    </row>
    <row r="4158" spans="1:9" ht="48" customHeight="1">
      <c r="A4158" s="3" t="s">
        <v>40</v>
      </c>
      <c r="B4158" s="3" t="s">
        <v>39</v>
      </c>
      <c r="C4158" s="4">
        <v>46174</v>
      </c>
      <c r="D4158" s="4">
        <v>46203</v>
      </c>
      <c r="E4158" s="3" t="s">
        <v>81</v>
      </c>
      <c r="F4158" s="3" t="s">
        <v>326</v>
      </c>
      <c r="G4158" s="5">
        <v>2E-3</v>
      </c>
      <c r="H4158" s="6" t="s">
        <v>61</v>
      </c>
      <c r="I4158" s="3" t="s">
        <v>45</v>
      </c>
    </row>
    <row r="4159" spans="1:9" ht="48" customHeight="1">
      <c r="A4159" s="3" t="s">
        <v>40</v>
      </c>
      <c r="B4159" s="3" t="s">
        <v>39</v>
      </c>
      <c r="C4159" s="4">
        <v>46174</v>
      </c>
      <c r="D4159" s="4">
        <v>46203</v>
      </c>
      <c r="E4159" s="3" t="s">
        <v>81</v>
      </c>
      <c r="F4159" s="3" t="s">
        <v>328</v>
      </c>
      <c r="G4159" s="5">
        <v>2E-3</v>
      </c>
      <c r="H4159" s="6" t="s">
        <v>61</v>
      </c>
      <c r="I4159" s="3" t="s">
        <v>45</v>
      </c>
    </row>
    <row r="4160" spans="1:9" ht="48" customHeight="1">
      <c r="A4160" s="3" t="s">
        <v>40</v>
      </c>
      <c r="B4160" s="3" t="s">
        <v>39</v>
      </c>
      <c r="C4160" s="4">
        <v>46174</v>
      </c>
      <c r="D4160" s="4">
        <v>46203</v>
      </c>
      <c r="E4160" s="3" t="s">
        <v>81</v>
      </c>
      <c r="F4160" s="3" t="s">
        <v>332</v>
      </c>
      <c r="G4160" s="5">
        <v>2E-3</v>
      </c>
      <c r="H4160" s="6" t="s">
        <v>61</v>
      </c>
      <c r="I4160" s="3" t="s">
        <v>45</v>
      </c>
    </row>
    <row r="4161" spans="1:9" ht="48" customHeight="1">
      <c r="A4161" s="3" t="s">
        <v>40</v>
      </c>
      <c r="B4161" s="3" t="s">
        <v>39</v>
      </c>
      <c r="C4161" s="4">
        <v>46174</v>
      </c>
      <c r="D4161" s="4">
        <v>46203</v>
      </c>
      <c r="E4161" s="3" t="s">
        <v>81</v>
      </c>
      <c r="F4161" s="3" t="s">
        <v>344</v>
      </c>
      <c r="G4161" s="5">
        <v>2E-3</v>
      </c>
      <c r="H4161" s="6" t="s">
        <v>61</v>
      </c>
      <c r="I4161" s="3" t="s">
        <v>45</v>
      </c>
    </row>
    <row r="4162" spans="1:9" ht="48" customHeight="1">
      <c r="A4162" s="3" t="s">
        <v>40</v>
      </c>
      <c r="B4162" s="3" t="s">
        <v>39</v>
      </c>
      <c r="C4162" s="4">
        <v>46174</v>
      </c>
      <c r="D4162" s="4">
        <v>46203</v>
      </c>
      <c r="E4162" s="3" t="s">
        <v>81</v>
      </c>
      <c r="F4162" s="3" t="s">
        <v>346</v>
      </c>
      <c r="G4162" s="5">
        <v>2E-3</v>
      </c>
      <c r="H4162" s="6" t="s">
        <v>61</v>
      </c>
      <c r="I4162" s="3" t="s">
        <v>45</v>
      </c>
    </row>
    <row r="4163" spans="1:9" ht="48" customHeight="1">
      <c r="A4163" s="3" t="s">
        <v>40</v>
      </c>
      <c r="B4163" s="3" t="s">
        <v>39</v>
      </c>
      <c r="C4163" s="4">
        <v>46174</v>
      </c>
      <c r="D4163" s="4">
        <v>46203</v>
      </c>
      <c r="E4163" s="3" t="s">
        <v>81</v>
      </c>
      <c r="F4163" s="3" t="s">
        <v>329</v>
      </c>
      <c r="G4163" s="5">
        <v>1E-3</v>
      </c>
      <c r="H4163" s="6" t="s">
        <v>61</v>
      </c>
      <c r="I4163" s="3" t="s">
        <v>45</v>
      </c>
    </row>
    <row r="4164" spans="1:9" ht="48" customHeight="1">
      <c r="A4164" s="3" t="s">
        <v>40</v>
      </c>
      <c r="B4164" s="3" t="s">
        <v>39</v>
      </c>
      <c r="C4164" s="4">
        <v>46174</v>
      </c>
      <c r="D4164" s="4">
        <v>46203</v>
      </c>
      <c r="E4164" s="3" t="s">
        <v>81</v>
      </c>
      <c r="F4164" s="3" t="s">
        <v>334</v>
      </c>
      <c r="G4164" s="5">
        <v>1E-3</v>
      </c>
      <c r="H4164" s="6" t="s">
        <v>61</v>
      </c>
      <c r="I4164" s="3" t="s">
        <v>45</v>
      </c>
    </row>
    <row r="4165" spans="1:9" ht="48" customHeight="1">
      <c r="A4165" s="3" t="s">
        <v>40</v>
      </c>
      <c r="B4165" s="3" t="s">
        <v>39</v>
      </c>
      <c r="C4165" s="4">
        <v>46174</v>
      </c>
      <c r="D4165" s="4">
        <v>46203</v>
      </c>
      <c r="E4165" s="3" t="s">
        <v>81</v>
      </c>
      <c r="F4165" s="3" t="s">
        <v>331</v>
      </c>
      <c r="G4165" s="5">
        <v>1E-3</v>
      </c>
      <c r="H4165" s="6" t="s">
        <v>61</v>
      </c>
      <c r="I4165" s="3" t="s">
        <v>45</v>
      </c>
    </row>
    <row r="4166" spans="1:9" ht="48" customHeight="1">
      <c r="A4166" s="3" t="s">
        <v>40</v>
      </c>
      <c r="B4166" s="3" t="s">
        <v>39</v>
      </c>
      <c r="C4166" s="4">
        <v>46174</v>
      </c>
      <c r="D4166" s="4">
        <v>46203</v>
      </c>
      <c r="E4166" s="3" t="s">
        <v>81</v>
      </c>
      <c r="F4166" s="3" t="s">
        <v>335</v>
      </c>
      <c r="G4166" s="5">
        <v>1E-3</v>
      </c>
      <c r="H4166" s="6" t="s">
        <v>61</v>
      </c>
      <c r="I4166" s="3" t="s">
        <v>45</v>
      </c>
    </row>
    <row r="4167" spans="1:9" ht="48" customHeight="1">
      <c r="A4167" s="3" t="s">
        <v>40</v>
      </c>
      <c r="B4167" s="3" t="s">
        <v>39</v>
      </c>
      <c r="C4167" s="4">
        <v>46174</v>
      </c>
      <c r="D4167" s="4">
        <v>46203</v>
      </c>
      <c r="E4167" s="3" t="s">
        <v>81</v>
      </c>
      <c r="F4167" s="3" t="s">
        <v>336</v>
      </c>
      <c r="G4167" s="5">
        <v>1E-3</v>
      </c>
      <c r="H4167" s="6" t="s">
        <v>61</v>
      </c>
      <c r="I4167" s="3" t="s">
        <v>45</v>
      </c>
    </row>
    <row r="4168" spans="1:9" ht="48" customHeight="1">
      <c r="A4168" s="3" t="s">
        <v>40</v>
      </c>
      <c r="B4168" s="3" t="s">
        <v>39</v>
      </c>
      <c r="C4168" s="4">
        <v>46174</v>
      </c>
      <c r="D4168" s="4">
        <v>46203</v>
      </c>
      <c r="E4168" s="3" t="s">
        <v>81</v>
      </c>
      <c r="F4168" s="3" t="s">
        <v>338</v>
      </c>
      <c r="G4168" s="5">
        <v>1E-3</v>
      </c>
      <c r="H4168" s="6" t="s">
        <v>61</v>
      </c>
      <c r="I4168" s="3" t="s">
        <v>45</v>
      </c>
    </row>
    <row r="4169" spans="1:9" ht="48" customHeight="1">
      <c r="A4169" s="3" t="s">
        <v>40</v>
      </c>
      <c r="B4169" s="3" t="s">
        <v>39</v>
      </c>
      <c r="C4169" s="4">
        <v>46174</v>
      </c>
      <c r="D4169" s="4">
        <v>46203</v>
      </c>
      <c r="E4169" s="3" t="s">
        <v>81</v>
      </c>
      <c r="F4169" s="3" t="s">
        <v>343</v>
      </c>
      <c r="G4169" s="5">
        <v>1E-3</v>
      </c>
      <c r="H4169" s="6" t="s">
        <v>61</v>
      </c>
      <c r="I4169" s="3" t="s">
        <v>45</v>
      </c>
    </row>
    <row r="4170" spans="1:9" ht="48" customHeight="1">
      <c r="A4170" s="3" t="s">
        <v>40</v>
      </c>
      <c r="B4170" s="3" t="s">
        <v>39</v>
      </c>
      <c r="C4170" s="4">
        <v>46174</v>
      </c>
      <c r="D4170" s="4">
        <v>46203</v>
      </c>
      <c r="E4170" s="3" t="s">
        <v>81</v>
      </c>
      <c r="F4170" s="3" t="s">
        <v>337</v>
      </c>
      <c r="G4170" s="5">
        <v>0</v>
      </c>
      <c r="H4170" s="6" t="s">
        <v>61</v>
      </c>
      <c r="I4170" s="3" t="s">
        <v>45</v>
      </c>
    </row>
    <row r="4171" spans="1:9" ht="48" customHeight="1">
      <c r="A4171" s="3" t="s">
        <v>40</v>
      </c>
      <c r="B4171" s="3" t="s">
        <v>39</v>
      </c>
      <c r="C4171" s="4">
        <v>46174</v>
      </c>
      <c r="D4171" s="4">
        <v>46203</v>
      </c>
      <c r="E4171" s="3" t="s">
        <v>81</v>
      </c>
      <c r="F4171" s="3" t="s">
        <v>339</v>
      </c>
      <c r="G4171" s="5">
        <v>0</v>
      </c>
      <c r="H4171" s="6" t="s">
        <v>61</v>
      </c>
      <c r="I4171" s="3" t="s">
        <v>45</v>
      </c>
    </row>
    <row r="4172" spans="1:9" ht="48" customHeight="1">
      <c r="A4172" s="3" t="s">
        <v>40</v>
      </c>
      <c r="B4172" s="3" t="s">
        <v>39</v>
      </c>
      <c r="C4172" s="4">
        <v>46174</v>
      </c>
      <c r="D4172" s="4">
        <v>46203</v>
      </c>
      <c r="E4172" s="3" t="s">
        <v>81</v>
      </c>
      <c r="F4172" s="3" t="s">
        <v>340</v>
      </c>
      <c r="G4172" s="5">
        <v>0</v>
      </c>
      <c r="H4172" s="6" t="s">
        <v>61</v>
      </c>
      <c r="I4172" s="3" t="s">
        <v>45</v>
      </c>
    </row>
    <row r="4173" spans="1:9" ht="48" customHeight="1">
      <c r="A4173" s="3" t="s">
        <v>40</v>
      </c>
      <c r="B4173" s="3" t="s">
        <v>39</v>
      </c>
      <c r="C4173" s="4">
        <v>46174</v>
      </c>
      <c r="D4173" s="4">
        <v>46203</v>
      </c>
      <c r="E4173" s="3" t="s">
        <v>81</v>
      </c>
      <c r="F4173" s="3" t="s">
        <v>341</v>
      </c>
      <c r="G4173" s="5">
        <v>0</v>
      </c>
      <c r="H4173" s="6" t="s">
        <v>61</v>
      </c>
      <c r="I4173" s="3" t="s">
        <v>45</v>
      </c>
    </row>
    <row r="4174" spans="1:9" ht="48" customHeight="1">
      <c r="A4174" s="3" t="s">
        <v>40</v>
      </c>
      <c r="B4174" s="3" t="s">
        <v>39</v>
      </c>
      <c r="C4174" s="4">
        <v>46174</v>
      </c>
      <c r="D4174" s="4">
        <v>46203</v>
      </c>
      <c r="E4174" s="3" t="s">
        <v>81</v>
      </c>
      <c r="F4174" s="3" t="s">
        <v>342</v>
      </c>
      <c r="G4174" s="5">
        <v>0</v>
      </c>
      <c r="H4174" s="6" t="s">
        <v>61</v>
      </c>
      <c r="I4174" s="3" t="s">
        <v>45</v>
      </c>
    </row>
    <row r="4175" spans="1:9" ht="48" customHeight="1">
      <c r="A4175" s="3" t="s">
        <v>40</v>
      </c>
      <c r="B4175" s="3" t="s">
        <v>39</v>
      </c>
      <c r="C4175" s="4">
        <v>46174</v>
      </c>
      <c r="D4175" s="4">
        <v>46203</v>
      </c>
      <c r="E4175" s="3" t="s">
        <v>81</v>
      </c>
      <c r="F4175" s="3" t="s">
        <v>347</v>
      </c>
      <c r="G4175" s="5">
        <v>0</v>
      </c>
      <c r="H4175" s="6" t="s">
        <v>61</v>
      </c>
      <c r="I4175" s="3" t="s">
        <v>45</v>
      </c>
    </row>
    <row r="4176" spans="1:9" ht="48" customHeight="1">
      <c r="A4176" s="3" t="s">
        <v>40</v>
      </c>
      <c r="B4176" s="3" t="s">
        <v>39</v>
      </c>
      <c r="C4176" s="4">
        <v>46174</v>
      </c>
      <c r="D4176" s="4">
        <v>46203</v>
      </c>
      <c r="E4176" s="3" t="s">
        <v>236</v>
      </c>
      <c r="F4176" s="3" t="s">
        <v>232</v>
      </c>
      <c r="G4176" s="5">
        <v>9.0000000000000011E-3</v>
      </c>
      <c r="H4176" s="6" t="s">
        <v>61</v>
      </c>
      <c r="I4176" s="3" t="s">
        <v>45</v>
      </c>
    </row>
    <row r="4177" spans="1:9" ht="48" customHeight="1">
      <c r="A4177" s="3" t="s">
        <v>40</v>
      </c>
      <c r="B4177" s="3" t="s">
        <v>39</v>
      </c>
      <c r="C4177" s="4">
        <v>46174</v>
      </c>
      <c r="D4177" s="4">
        <v>46203</v>
      </c>
      <c r="E4177" s="3" t="s">
        <v>236</v>
      </c>
      <c r="F4177" s="3" t="s">
        <v>237</v>
      </c>
      <c r="G4177" s="5">
        <v>6.0000000000000001E-3</v>
      </c>
      <c r="H4177" s="6" t="s">
        <v>61</v>
      </c>
      <c r="I4177" s="3" t="s">
        <v>45</v>
      </c>
    </row>
    <row r="4178" spans="1:9" ht="48" customHeight="1">
      <c r="A4178" s="3" t="s">
        <v>40</v>
      </c>
      <c r="B4178" s="3" t="s">
        <v>39</v>
      </c>
      <c r="C4178" s="4">
        <v>46174</v>
      </c>
      <c r="D4178" s="4">
        <v>46203</v>
      </c>
      <c r="E4178" s="3" t="s">
        <v>236</v>
      </c>
      <c r="F4178" s="3" t="s">
        <v>238</v>
      </c>
      <c r="G4178" s="5">
        <v>6.0000000000000001E-3</v>
      </c>
      <c r="H4178" s="6" t="s">
        <v>61</v>
      </c>
      <c r="I4178" s="3" t="s">
        <v>45</v>
      </c>
    </row>
    <row r="4179" spans="1:9" ht="48" customHeight="1">
      <c r="A4179" s="3" t="s">
        <v>40</v>
      </c>
      <c r="B4179" s="3" t="s">
        <v>39</v>
      </c>
      <c r="C4179" s="4">
        <v>46174</v>
      </c>
      <c r="D4179" s="4">
        <v>46203</v>
      </c>
      <c r="E4179" s="3" t="s">
        <v>236</v>
      </c>
      <c r="F4179" s="3" t="s">
        <v>239</v>
      </c>
      <c r="G4179" s="5">
        <v>6.0000000000000001E-3</v>
      </c>
      <c r="H4179" s="6" t="s">
        <v>61</v>
      </c>
      <c r="I4179" s="3" t="s">
        <v>45</v>
      </c>
    </row>
    <row r="4180" spans="1:9" ht="48" customHeight="1">
      <c r="A4180" s="3" t="s">
        <v>40</v>
      </c>
      <c r="B4180" s="3" t="s">
        <v>39</v>
      </c>
      <c r="C4180" s="4">
        <v>46174</v>
      </c>
      <c r="D4180" s="4">
        <v>46203</v>
      </c>
      <c r="E4180" s="3" t="s">
        <v>236</v>
      </c>
      <c r="F4180" s="3" t="s">
        <v>240</v>
      </c>
      <c r="G4180" s="5">
        <v>4.0000000000000001E-3</v>
      </c>
      <c r="H4180" s="6" t="s">
        <v>61</v>
      </c>
      <c r="I4180" s="3" t="s">
        <v>45</v>
      </c>
    </row>
    <row r="4181" spans="1:9" ht="48" customHeight="1">
      <c r="A4181" s="3" t="s">
        <v>40</v>
      </c>
      <c r="B4181" s="3" t="s">
        <v>39</v>
      </c>
      <c r="C4181" s="4">
        <v>46174</v>
      </c>
      <c r="D4181" s="4">
        <v>46203</v>
      </c>
      <c r="E4181" s="3" t="s">
        <v>236</v>
      </c>
      <c r="F4181" s="3" t="s">
        <v>241</v>
      </c>
      <c r="G4181" s="5">
        <v>4.0000000000000001E-3</v>
      </c>
      <c r="H4181" s="6" t="s">
        <v>61</v>
      </c>
      <c r="I4181" s="3" t="s">
        <v>45</v>
      </c>
    </row>
    <row r="4182" spans="1:9" ht="48" customHeight="1">
      <c r="A4182" s="3" t="s">
        <v>40</v>
      </c>
      <c r="B4182" s="3" t="s">
        <v>39</v>
      </c>
      <c r="C4182" s="4">
        <v>46174</v>
      </c>
      <c r="D4182" s="4">
        <v>46203</v>
      </c>
      <c r="E4182" s="3" t="s">
        <v>236</v>
      </c>
      <c r="F4182" s="3" t="s">
        <v>230</v>
      </c>
      <c r="G4182" s="5">
        <v>2E-3</v>
      </c>
      <c r="H4182" s="6" t="s">
        <v>61</v>
      </c>
      <c r="I4182" s="3" t="s">
        <v>45</v>
      </c>
    </row>
    <row r="4183" spans="1:9" ht="48" customHeight="1">
      <c r="A4183" s="3" t="s">
        <v>40</v>
      </c>
      <c r="B4183" s="3" t="s">
        <v>39</v>
      </c>
      <c r="C4183" s="4">
        <v>46174</v>
      </c>
      <c r="D4183" s="4">
        <v>46203</v>
      </c>
      <c r="E4183" s="3" t="s">
        <v>236</v>
      </c>
      <c r="F4183" s="3" t="s">
        <v>234</v>
      </c>
      <c r="G4183" s="5">
        <v>1E-3</v>
      </c>
      <c r="H4183" s="6" t="s">
        <v>61</v>
      </c>
      <c r="I4183" s="3" t="s">
        <v>45</v>
      </c>
    </row>
    <row r="4184" spans="1:9" ht="48" customHeight="1">
      <c r="A4184" s="3" t="s">
        <v>40</v>
      </c>
      <c r="B4184" s="3" t="s">
        <v>39</v>
      </c>
      <c r="C4184" s="4">
        <v>46174</v>
      </c>
      <c r="D4184" s="4">
        <v>46203</v>
      </c>
      <c r="E4184" s="3" t="s">
        <v>236</v>
      </c>
      <c r="F4184" s="3" t="s">
        <v>242</v>
      </c>
      <c r="G4184" s="5">
        <v>1E-3</v>
      </c>
      <c r="H4184" s="6" t="s">
        <v>61</v>
      </c>
      <c r="I4184" s="3" t="s">
        <v>45</v>
      </c>
    </row>
    <row r="4185" spans="1:9" ht="48" customHeight="1">
      <c r="A4185" s="3" t="s">
        <v>40</v>
      </c>
      <c r="B4185" s="3" t="s">
        <v>39</v>
      </c>
      <c r="C4185" s="4">
        <v>46174</v>
      </c>
      <c r="D4185" s="4">
        <v>46203</v>
      </c>
      <c r="E4185" s="3" t="s">
        <v>236</v>
      </c>
      <c r="F4185" s="3" t="s">
        <v>243</v>
      </c>
      <c r="G4185" s="5">
        <v>0</v>
      </c>
      <c r="H4185" s="6" t="s">
        <v>61</v>
      </c>
      <c r="I4185" s="3" t="s">
        <v>45</v>
      </c>
    </row>
    <row r="4186" spans="1:9" ht="48" customHeight="1">
      <c r="A4186" s="3" t="s">
        <v>40</v>
      </c>
      <c r="B4186" s="3" t="s">
        <v>39</v>
      </c>
      <c r="C4186" s="4">
        <v>46174</v>
      </c>
      <c r="D4186" s="4">
        <v>46203</v>
      </c>
      <c r="E4186" s="3" t="s">
        <v>68</v>
      </c>
      <c r="F4186" s="3" t="s">
        <v>151</v>
      </c>
      <c r="G4186" s="5">
        <v>5.0000000000000001E-3</v>
      </c>
      <c r="H4186" s="6" t="s">
        <v>61</v>
      </c>
      <c r="I4186" s="3" t="s">
        <v>45</v>
      </c>
    </row>
    <row r="4187" spans="1:9" ht="48" customHeight="1">
      <c r="A4187" s="3" t="s">
        <v>40</v>
      </c>
      <c r="B4187" s="3" t="s">
        <v>39</v>
      </c>
      <c r="C4187" s="4">
        <v>46174</v>
      </c>
      <c r="D4187" s="4">
        <v>46203</v>
      </c>
      <c r="E4187" s="3" t="s">
        <v>68</v>
      </c>
      <c r="F4187" s="3" t="s">
        <v>150</v>
      </c>
      <c r="G4187" s="5">
        <v>5.0000000000000001E-3</v>
      </c>
      <c r="H4187" s="6" t="s">
        <v>61</v>
      </c>
      <c r="I4187" s="3" t="s">
        <v>45</v>
      </c>
    </row>
    <row r="4188" spans="1:9" ht="48" customHeight="1">
      <c r="A4188" s="3" t="s">
        <v>40</v>
      </c>
      <c r="B4188" s="3" t="s">
        <v>39</v>
      </c>
      <c r="C4188" s="4">
        <v>46174</v>
      </c>
      <c r="D4188" s="4">
        <v>46203</v>
      </c>
      <c r="E4188" s="3" t="s">
        <v>68</v>
      </c>
      <c r="F4188" s="3" t="s">
        <v>147</v>
      </c>
      <c r="G4188" s="5">
        <v>5.0000000000000001E-3</v>
      </c>
      <c r="H4188" s="6" t="s">
        <v>61</v>
      </c>
      <c r="I4188" s="3" t="s">
        <v>45</v>
      </c>
    </row>
    <row r="4189" spans="1:9" ht="48" customHeight="1">
      <c r="A4189" s="3" t="s">
        <v>40</v>
      </c>
      <c r="B4189" s="3" t="s">
        <v>39</v>
      </c>
      <c r="C4189" s="4">
        <v>46174</v>
      </c>
      <c r="D4189" s="4">
        <v>46203</v>
      </c>
      <c r="E4189" s="3" t="s">
        <v>68</v>
      </c>
      <c r="F4189" s="3" t="s">
        <v>148</v>
      </c>
      <c r="G4189" s="5">
        <v>3.0000000000000001E-3</v>
      </c>
      <c r="H4189" s="6" t="s">
        <v>61</v>
      </c>
      <c r="I4189" s="3" t="s">
        <v>45</v>
      </c>
    </row>
    <row r="4190" spans="1:9" ht="48" customHeight="1">
      <c r="A4190" s="3" t="s">
        <v>40</v>
      </c>
      <c r="B4190" s="3" t="s">
        <v>39</v>
      </c>
      <c r="C4190" s="4">
        <v>46174</v>
      </c>
      <c r="D4190" s="4">
        <v>46203</v>
      </c>
      <c r="E4190" s="3" t="s">
        <v>68</v>
      </c>
      <c r="F4190" s="3" t="s">
        <v>149</v>
      </c>
      <c r="G4190" s="5">
        <v>2E-3</v>
      </c>
      <c r="H4190" s="6" t="s">
        <v>61</v>
      </c>
      <c r="I4190" s="3" t="s">
        <v>45</v>
      </c>
    </row>
    <row r="4191" spans="1:9" ht="48" customHeight="1">
      <c r="A4191" s="3" t="s">
        <v>40</v>
      </c>
      <c r="B4191" s="3" t="s">
        <v>39</v>
      </c>
      <c r="C4191" s="4">
        <v>46174</v>
      </c>
      <c r="D4191" s="4">
        <v>46203</v>
      </c>
      <c r="E4191" s="3" t="s">
        <v>68</v>
      </c>
      <c r="F4191" s="3" t="s">
        <v>155</v>
      </c>
      <c r="G4191" s="5">
        <v>1E-3</v>
      </c>
      <c r="H4191" s="6" t="s">
        <v>61</v>
      </c>
      <c r="I4191" s="3" t="s">
        <v>45</v>
      </c>
    </row>
    <row r="4192" spans="1:9" ht="48" customHeight="1">
      <c r="A4192" s="3" t="s">
        <v>40</v>
      </c>
      <c r="B4192" s="3" t="s">
        <v>39</v>
      </c>
      <c r="C4192" s="4">
        <v>46174</v>
      </c>
      <c r="D4192" s="4">
        <v>46203</v>
      </c>
      <c r="E4192" s="3" t="s">
        <v>68</v>
      </c>
      <c r="F4192" s="3" t="s">
        <v>152</v>
      </c>
      <c r="G4192" s="5">
        <v>1E-3</v>
      </c>
      <c r="H4192" s="6" t="s">
        <v>61</v>
      </c>
      <c r="I4192" s="3" t="s">
        <v>45</v>
      </c>
    </row>
    <row r="4193" spans="1:9" ht="48" customHeight="1">
      <c r="A4193" s="3" t="s">
        <v>40</v>
      </c>
      <c r="B4193" s="3" t="s">
        <v>39</v>
      </c>
      <c r="C4193" s="4">
        <v>46174</v>
      </c>
      <c r="D4193" s="4">
        <v>46203</v>
      </c>
      <c r="E4193" s="3" t="s">
        <v>68</v>
      </c>
      <c r="F4193" s="3" t="s">
        <v>157</v>
      </c>
      <c r="G4193" s="5">
        <v>1E-3</v>
      </c>
      <c r="H4193" s="6" t="s">
        <v>61</v>
      </c>
      <c r="I4193" s="3" t="s">
        <v>45</v>
      </c>
    </row>
    <row r="4194" spans="1:9" ht="48" customHeight="1">
      <c r="A4194" s="3" t="s">
        <v>40</v>
      </c>
      <c r="B4194" s="3" t="s">
        <v>39</v>
      </c>
      <c r="C4194" s="4">
        <v>46174</v>
      </c>
      <c r="D4194" s="4">
        <v>46203</v>
      </c>
      <c r="E4194" s="3" t="s">
        <v>68</v>
      </c>
      <c r="F4194" s="3" t="s">
        <v>159</v>
      </c>
      <c r="G4194" s="5">
        <v>1E-3</v>
      </c>
      <c r="H4194" s="6" t="s">
        <v>61</v>
      </c>
      <c r="I4194" s="3" t="s">
        <v>45</v>
      </c>
    </row>
    <row r="4195" spans="1:9" ht="48" customHeight="1">
      <c r="A4195" s="3" t="s">
        <v>40</v>
      </c>
      <c r="B4195" s="3" t="s">
        <v>39</v>
      </c>
      <c r="C4195" s="4">
        <v>46174</v>
      </c>
      <c r="D4195" s="4">
        <v>46203</v>
      </c>
      <c r="E4195" s="3" t="s">
        <v>68</v>
      </c>
      <c r="F4195" s="3" t="s">
        <v>160</v>
      </c>
      <c r="G4195" s="5">
        <v>1E-3</v>
      </c>
      <c r="H4195" s="6" t="s">
        <v>61</v>
      </c>
      <c r="I4195" s="3" t="s">
        <v>45</v>
      </c>
    </row>
    <row r="4196" spans="1:9" ht="48" customHeight="1">
      <c r="A4196" s="3" t="s">
        <v>40</v>
      </c>
      <c r="B4196" s="3" t="s">
        <v>39</v>
      </c>
      <c r="C4196" s="4">
        <v>46174</v>
      </c>
      <c r="D4196" s="4">
        <v>46203</v>
      </c>
      <c r="E4196" s="3" t="s">
        <v>68</v>
      </c>
      <c r="F4196" s="3" t="s">
        <v>146</v>
      </c>
      <c r="G4196" s="5">
        <v>1E-3</v>
      </c>
      <c r="H4196" s="6" t="s">
        <v>61</v>
      </c>
      <c r="I4196" s="3" t="s">
        <v>45</v>
      </c>
    </row>
    <row r="4197" spans="1:9" ht="48" customHeight="1">
      <c r="A4197" s="3" t="s">
        <v>40</v>
      </c>
      <c r="B4197" s="3" t="s">
        <v>39</v>
      </c>
      <c r="C4197" s="4">
        <v>46174</v>
      </c>
      <c r="D4197" s="4">
        <v>46203</v>
      </c>
      <c r="E4197" s="3" t="s">
        <v>68</v>
      </c>
      <c r="F4197" s="3" t="s">
        <v>66</v>
      </c>
      <c r="G4197" s="5">
        <v>1E-3</v>
      </c>
      <c r="H4197" s="6" t="s">
        <v>61</v>
      </c>
      <c r="I4197" s="3" t="s">
        <v>45</v>
      </c>
    </row>
    <row r="4198" spans="1:9" ht="48" customHeight="1">
      <c r="A4198" s="3" t="s">
        <v>40</v>
      </c>
      <c r="B4198" s="3" t="s">
        <v>39</v>
      </c>
      <c r="C4198" s="4">
        <v>46174</v>
      </c>
      <c r="D4198" s="4">
        <v>46203</v>
      </c>
      <c r="E4198" s="3" t="s">
        <v>68</v>
      </c>
      <c r="F4198" s="3" t="s">
        <v>154</v>
      </c>
      <c r="G4198" s="5">
        <v>1E-3</v>
      </c>
      <c r="H4198" s="6" t="s">
        <v>61</v>
      </c>
      <c r="I4198" s="3" t="s">
        <v>45</v>
      </c>
    </row>
    <row r="4199" spans="1:9" ht="48" customHeight="1">
      <c r="A4199" s="3" t="s">
        <v>40</v>
      </c>
      <c r="B4199" s="3" t="s">
        <v>39</v>
      </c>
      <c r="C4199" s="4">
        <v>46174</v>
      </c>
      <c r="D4199" s="4">
        <v>46203</v>
      </c>
      <c r="E4199" s="3" t="s">
        <v>68</v>
      </c>
      <c r="F4199" s="3" t="s">
        <v>156</v>
      </c>
      <c r="G4199" s="5">
        <v>0</v>
      </c>
      <c r="H4199" s="6" t="s">
        <v>61</v>
      </c>
      <c r="I4199" s="3" t="s">
        <v>45</v>
      </c>
    </row>
    <row r="4200" spans="1:9" ht="48" customHeight="1">
      <c r="A4200" s="3" t="s">
        <v>40</v>
      </c>
      <c r="B4200" s="3" t="s">
        <v>39</v>
      </c>
      <c r="C4200" s="4">
        <v>46174</v>
      </c>
      <c r="D4200" s="4">
        <v>46203</v>
      </c>
      <c r="E4200" s="3" t="s">
        <v>68</v>
      </c>
      <c r="F4200" s="3" t="s">
        <v>158</v>
      </c>
      <c r="G4200" s="5">
        <v>0</v>
      </c>
      <c r="H4200" s="6" t="s">
        <v>61</v>
      </c>
      <c r="I4200" s="3" t="s">
        <v>45</v>
      </c>
    </row>
    <row r="4201" spans="1:9" ht="48" customHeight="1">
      <c r="A4201" s="3" t="s">
        <v>40</v>
      </c>
      <c r="B4201" s="3" t="s">
        <v>39</v>
      </c>
      <c r="C4201" s="4">
        <v>46174</v>
      </c>
      <c r="D4201" s="4">
        <v>46203</v>
      </c>
      <c r="E4201" s="3" t="s">
        <v>68</v>
      </c>
      <c r="F4201" s="3" t="s">
        <v>153</v>
      </c>
      <c r="G4201" s="5">
        <v>0</v>
      </c>
      <c r="H4201" s="6" t="s">
        <v>61</v>
      </c>
      <c r="I4201" s="3" t="s">
        <v>45</v>
      </c>
    </row>
    <row r="4202" spans="1:9" ht="48" customHeight="1">
      <c r="A4202" s="3" t="s">
        <v>40</v>
      </c>
      <c r="B4202" s="3" t="s">
        <v>39</v>
      </c>
      <c r="C4202" s="4">
        <v>46174</v>
      </c>
      <c r="D4202" s="4">
        <v>46203</v>
      </c>
      <c r="E4202" s="3" t="s">
        <v>364</v>
      </c>
      <c r="F4202" s="3" t="s">
        <v>366</v>
      </c>
      <c r="G4202" s="5">
        <v>5.0000000000000001E-3</v>
      </c>
      <c r="H4202" s="6" t="s">
        <v>61</v>
      </c>
      <c r="I4202" s="3" t="s">
        <v>45</v>
      </c>
    </row>
    <row r="4203" spans="1:9" ht="48" customHeight="1">
      <c r="A4203" s="3" t="s">
        <v>40</v>
      </c>
      <c r="B4203" s="3" t="s">
        <v>39</v>
      </c>
      <c r="C4203" s="4">
        <v>46174</v>
      </c>
      <c r="D4203" s="4">
        <v>46203</v>
      </c>
      <c r="E4203" s="3" t="s">
        <v>364</v>
      </c>
      <c r="F4203" s="3" t="s">
        <v>262</v>
      </c>
      <c r="G4203" s="5">
        <v>4.0000000000000001E-3</v>
      </c>
      <c r="H4203" s="6" t="s">
        <v>61</v>
      </c>
      <c r="I4203" s="3" t="s">
        <v>45</v>
      </c>
    </row>
    <row r="4204" spans="1:9" ht="48" customHeight="1">
      <c r="A4204" s="3" t="s">
        <v>40</v>
      </c>
      <c r="B4204" s="3" t="s">
        <v>39</v>
      </c>
      <c r="C4204" s="4">
        <v>46174</v>
      </c>
      <c r="D4204" s="4">
        <v>46203</v>
      </c>
      <c r="E4204" s="3" t="s">
        <v>364</v>
      </c>
      <c r="F4204" s="3" t="s">
        <v>234</v>
      </c>
      <c r="G4204" s="5">
        <v>3.0000000000000001E-3</v>
      </c>
      <c r="H4204" s="6" t="s">
        <v>61</v>
      </c>
      <c r="I4204" s="3" t="s">
        <v>45</v>
      </c>
    </row>
    <row r="4205" spans="1:9" ht="48" customHeight="1">
      <c r="A4205" s="3" t="s">
        <v>40</v>
      </c>
      <c r="B4205" s="3" t="s">
        <v>39</v>
      </c>
      <c r="C4205" s="4">
        <v>46174</v>
      </c>
      <c r="D4205" s="4">
        <v>46203</v>
      </c>
      <c r="E4205" s="3" t="s">
        <v>364</v>
      </c>
      <c r="F4205" s="3" t="s">
        <v>365</v>
      </c>
      <c r="G4205" s="5">
        <v>3.0000000000000001E-3</v>
      </c>
      <c r="H4205" s="6" t="s">
        <v>61</v>
      </c>
      <c r="I4205" s="3" t="s">
        <v>45</v>
      </c>
    </row>
    <row r="4206" spans="1:9" ht="48" customHeight="1">
      <c r="A4206" s="3" t="s">
        <v>40</v>
      </c>
      <c r="B4206" s="3" t="s">
        <v>39</v>
      </c>
      <c r="C4206" s="4">
        <v>46174</v>
      </c>
      <c r="D4206" s="4">
        <v>46203</v>
      </c>
      <c r="E4206" s="3" t="s">
        <v>364</v>
      </c>
      <c r="F4206" s="3" t="s">
        <v>367</v>
      </c>
      <c r="G4206" s="5">
        <v>2E-3</v>
      </c>
      <c r="H4206" s="6" t="s">
        <v>61</v>
      </c>
      <c r="I4206" s="3" t="s">
        <v>45</v>
      </c>
    </row>
    <row r="4207" spans="1:9" ht="48" customHeight="1">
      <c r="A4207" s="3" t="s">
        <v>40</v>
      </c>
      <c r="B4207" s="3" t="s">
        <v>39</v>
      </c>
      <c r="C4207" s="4">
        <v>46174</v>
      </c>
      <c r="D4207" s="4">
        <v>46203</v>
      </c>
      <c r="E4207" s="3" t="s">
        <v>364</v>
      </c>
      <c r="F4207" s="3" t="s">
        <v>230</v>
      </c>
      <c r="G4207" s="5">
        <v>1E-3</v>
      </c>
      <c r="H4207" s="6" t="s">
        <v>61</v>
      </c>
      <c r="I4207" s="3" t="s">
        <v>45</v>
      </c>
    </row>
    <row r="4208" spans="1:9" ht="48" customHeight="1">
      <c r="A4208" s="3" t="s">
        <v>40</v>
      </c>
      <c r="B4208" s="3" t="s">
        <v>39</v>
      </c>
      <c r="C4208" s="4">
        <v>46174</v>
      </c>
      <c r="D4208" s="4">
        <v>46203</v>
      </c>
      <c r="E4208" s="3" t="s">
        <v>364</v>
      </c>
      <c r="F4208" s="3" t="s">
        <v>232</v>
      </c>
      <c r="G4208" s="5">
        <v>1E-3</v>
      </c>
      <c r="H4208" s="6" t="s">
        <v>61</v>
      </c>
      <c r="I4208" s="3" t="s">
        <v>45</v>
      </c>
    </row>
    <row r="4209" spans="1:9" ht="48" customHeight="1">
      <c r="A4209" s="3" t="s">
        <v>40</v>
      </c>
      <c r="B4209" s="3" t="s">
        <v>39</v>
      </c>
      <c r="C4209" s="4">
        <v>46174</v>
      </c>
      <c r="D4209" s="4">
        <v>46203</v>
      </c>
      <c r="E4209" s="3" t="s">
        <v>364</v>
      </c>
      <c r="F4209" s="3" t="s">
        <v>265</v>
      </c>
      <c r="G4209" s="5">
        <v>1E-3</v>
      </c>
      <c r="H4209" s="6" t="s">
        <v>61</v>
      </c>
      <c r="I4209" s="3" t="s">
        <v>45</v>
      </c>
    </row>
    <row r="4210" spans="1:9" ht="48" customHeight="1">
      <c r="A4210" s="3" t="s">
        <v>40</v>
      </c>
      <c r="B4210" s="3" t="s">
        <v>39</v>
      </c>
      <c r="C4210" s="4">
        <v>46174</v>
      </c>
      <c r="D4210" s="4">
        <v>46203</v>
      </c>
      <c r="E4210" s="3" t="s">
        <v>364</v>
      </c>
      <c r="F4210" s="3" t="s">
        <v>79</v>
      </c>
      <c r="G4210" s="5">
        <v>0</v>
      </c>
      <c r="H4210" s="6" t="s">
        <v>61</v>
      </c>
      <c r="I4210" s="3" t="s">
        <v>45</v>
      </c>
    </row>
    <row r="4211" spans="1:9" ht="48" customHeight="1">
      <c r="A4211" s="3" t="s">
        <v>40</v>
      </c>
      <c r="B4211" s="3" t="s">
        <v>39</v>
      </c>
      <c r="C4211" s="4">
        <v>46174</v>
      </c>
      <c r="D4211" s="4">
        <v>46203</v>
      </c>
      <c r="E4211" s="3" t="s">
        <v>231</v>
      </c>
      <c r="F4211" s="3" t="s">
        <v>232</v>
      </c>
      <c r="G4211" s="5">
        <v>5.0000000000000001E-3</v>
      </c>
      <c r="H4211" s="6" t="s">
        <v>61</v>
      </c>
      <c r="I4211" s="3" t="s">
        <v>45</v>
      </c>
    </row>
    <row r="4212" spans="1:9" ht="48" customHeight="1">
      <c r="A4212" s="3" t="s">
        <v>40</v>
      </c>
      <c r="B4212" s="3" t="s">
        <v>39</v>
      </c>
      <c r="C4212" s="4">
        <v>46174</v>
      </c>
      <c r="D4212" s="4">
        <v>46203</v>
      </c>
      <c r="E4212" s="3" t="s">
        <v>231</v>
      </c>
      <c r="F4212" s="3" t="s">
        <v>233</v>
      </c>
      <c r="G4212" s="5">
        <v>4.0000000000000001E-3</v>
      </c>
      <c r="H4212" s="6" t="s">
        <v>61</v>
      </c>
      <c r="I4212" s="3" t="s">
        <v>45</v>
      </c>
    </row>
    <row r="4213" spans="1:9" ht="48" customHeight="1">
      <c r="A4213" s="3" t="s">
        <v>40</v>
      </c>
      <c r="B4213" s="3" t="s">
        <v>39</v>
      </c>
      <c r="C4213" s="4">
        <v>46174</v>
      </c>
      <c r="D4213" s="4">
        <v>46203</v>
      </c>
      <c r="E4213" s="3" t="s">
        <v>231</v>
      </c>
      <c r="F4213" s="3" t="s">
        <v>234</v>
      </c>
      <c r="G4213" s="5">
        <v>2E-3</v>
      </c>
      <c r="H4213" s="6" t="s">
        <v>61</v>
      </c>
      <c r="I4213" s="3" t="s">
        <v>45</v>
      </c>
    </row>
    <row r="4214" spans="1:9" ht="48" customHeight="1">
      <c r="A4214" s="3" t="s">
        <v>40</v>
      </c>
      <c r="B4214" s="3" t="s">
        <v>39</v>
      </c>
      <c r="C4214" s="4">
        <v>46174</v>
      </c>
      <c r="D4214" s="4">
        <v>46203</v>
      </c>
      <c r="E4214" s="3" t="s">
        <v>231</v>
      </c>
      <c r="F4214" s="3" t="s">
        <v>230</v>
      </c>
      <c r="G4214" s="5">
        <v>2E-3</v>
      </c>
      <c r="H4214" s="6" t="s">
        <v>61</v>
      </c>
      <c r="I4214" s="3" t="s">
        <v>45</v>
      </c>
    </row>
    <row r="4215" spans="1:9" ht="48" customHeight="1">
      <c r="A4215" s="3" t="s">
        <v>40</v>
      </c>
      <c r="B4215" s="3" t="s">
        <v>39</v>
      </c>
      <c r="C4215" s="4">
        <v>46174</v>
      </c>
      <c r="D4215" s="4">
        <v>46203</v>
      </c>
      <c r="E4215" s="3" t="s">
        <v>231</v>
      </c>
      <c r="F4215" s="3" t="s">
        <v>235</v>
      </c>
      <c r="G4215" s="5">
        <v>2E-3</v>
      </c>
      <c r="H4215" s="6" t="s">
        <v>61</v>
      </c>
      <c r="I4215" s="3" t="s">
        <v>45</v>
      </c>
    </row>
    <row r="4216" spans="1:9" ht="48" customHeight="1">
      <c r="A4216" s="3" t="s">
        <v>40</v>
      </c>
      <c r="B4216" s="3" t="s">
        <v>39</v>
      </c>
      <c r="C4216" s="4">
        <v>46174</v>
      </c>
      <c r="D4216" s="4">
        <v>46203</v>
      </c>
      <c r="E4216" s="3" t="s">
        <v>302</v>
      </c>
      <c r="F4216" s="3" t="s">
        <v>307</v>
      </c>
      <c r="G4216" s="5">
        <v>2E-3</v>
      </c>
      <c r="H4216" s="6" t="s">
        <v>61</v>
      </c>
      <c r="I4216" s="3" t="s">
        <v>45</v>
      </c>
    </row>
    <row r="4217" spans="1:9" ht="48" customHeight="1">
      <c r="A4217" s="3" t="s">
        <v>40</v>
      </c>
      <c r="B4217" s="3" t="s">
        <v>39</v>
      </c>
      <c r="C4217" s="4">
        <v>46174</v>
      </c>
      <c r="D4217" s="4">
        <v>46203</v>
      </c>
      <c r="E4217" s="3" t="s">
        <v>302</v>
      </c>
      <c r="F4217" s="3" t="s">
        <v>309</v>
      </c>
      <c r="G4217" s="5">
        <v>2E-3</v>
      </c>
      <c r="H4217" s="6" t="s">
        <v>61</v>
      </c>
      <c r="I4217" s="3" t="s">
        <v>45</v>
      </c>
    </row>
    <row r="4218" spans="1:9" ht="48" customHeight="1">
      <c r="A4218" s="3" t="s">
        <v>40</v>
      </c>
      <c r="B4218" s="3" t="s">
        <v>39</v>
      </c>
      <c r="C4218" s="4">
        <v>46174</v>
      </c>
      <c r="D4218" s="4">
        <v>46203</v>
      </c>
      <c r="E4218" s="3" t="s">
        <v>302</v>
      </c>
      <c r="F4218" s="3" t="s">
        <v>303</v>
      </c>
      <c r="G4218" s="5">
        <v>1E-3</v>
      </c>
      <c r="H4218" s="6" t="s">
        <v>61</v>
      </c>
      <c r="I4218" s="3" t="s">
        <v>45</v>
      </c>
    </row>
    <row r="4219" spans="1:9" ht="48" customHeight="1">
      <c r="A4219" s="3" t="s">
        <v>40</v>
      </c>
      <c r="B4219" s="3" t="s">
        <v>39</v>
      </c>
      <c r="C4219" s="4">
        <v>46174</v>
      </c>
      <c r="D4219" s="4">
        <v>46203</v>
      </c>
      <c r="E4219" s="3" t="s">
        <v>302</v>
      </c>
      <c r="F4219" s="3" t="s">
        <v>304</v>
      </c>
      <c r="G4219" s="5">
        <v>1E-3</v>
      </c>
      <c r="H4219" s="6" t="s">
        <v>61</v>
      </c>
      <c r="I4219" s="3" t="s">
        <v>45</v>
      </c>
    </row>
    <row r="4220" spans="1:9" ht="48" customHeight="1">
      <c r="A4220" s="3" t="s">
        <v>40</v>
      </c>
      <c r="B4220" s="3" t="s">
        <v>39</v>
      </c>
      <c r="C4220" s="4">
        <v>46174</v>
      </c>
      <c r="D4220" s="4">
        <v>46203</v>
      </c>
      <c r="E4220" s="3" t="s">
        <v>302</v>
      </c>
      <c r="F4220" s="3" t="s">
        <v>310</v>
      </c>
      <c r="G4220" s="5">
        <v>1E-3</v>
      </c>
      <c r="H4220" s="6" t="s">
        <v>61</v>
      </c>
      <c r="I4220" s="3" t="s">
        <v>45</v>
      </c>
    </row>
    <row r="4221" spans="1:9" ht="48" customHeight="1">
      <c r="A4221" s="3" t="s">
        <v>40</v>
      </c>
      <c r="B4221" s="3" t="s">
        <v>39</v>
      </c>
      <c r="C4221" s="4">
        <v>46174</v>
      </c>
      <c r="D4221" s="4">
        <v>46203</v>
      </c>
      <c r="E4221" s="3" t="s">
        <v>302</v>
      </c>
      <c r="F4221" s="3" t="s">
        <v>311</v>
      </c>
      <c r="G4221" s="5">
        <v>1E-3</v>
      </c>
      <c r="H4221" s="6" t="s">
        <v>61</v>
      </c>
      <c r="I4221" s="3" t="s">
        <v>45</v>
      </c>
    </row>
    <row r="4222" spans="1:9" ht="48" customHeight="1">
      <c r="A4222" s="3" t="s">
        <v>40</v>
      </c>
      <c r="B4222" s="3" t="s">
        <v>39</v>
      </c>
      <c r="C4222" s="4">
        <v>46174</v>
      </c>
      <c r="D4222" s="4">
        <v>46203</v>
      </c>
      <c r="E4222" s="3" t="s">
        <v>302</v>
      </c>
      <c r="F4222" s="3" t="s">
        <v>305</v>
      </c>
      <c r="G4222" s="5">
        <v>1E-3</v>
      </c>
      <c r="H4222" s="6" t="s">
        <v>61</v>
      </c>
      <c r="I4222" s="3" t="s">
        <v>45</v>
      </c>
    </row>
    <row r="4223" spans="1:9" ht="48" customHeight="1">
      <c r="A4223" s="3" t="s">
        <v>40</v>
      </c>
      <c r="B4223" s="3" t="s">
        <v>39</v>
      </c>
      <c r="C4223" s="4">
        <v>46174</v>
      </c>
      <c r="D4223" s="4">
        <v>46203</v>
      </c>
      <c r="E4223" s="3" t="s">
        <v>302</v>
      </c>
      <c r="F4223" s="3" t="s">
        <v>306</v>
      </c>
      <c r="G4223" s="5">
        <v>1E-3</v>
      </c>
      <c r="H4223" s="6" t="s">
        <v>61</v>
      </c>
      <c r="I4223" s="3" t="s">
        <v>45</v>
      </c>
    </row>
    <row r="4224" spans="1:9" ht="48" customHeight="1">
      <c r="A4224" s="3" t="s">
        <v>40</v>
      </c>
      <c r="B4224" s="3" t="s">
        <v>39</v>
      </c>
      <c r="C4224" s="4">
        <v>46174</v>
      </c>
      <c r="D4224" s="4">
        <v>46203</v>
      </c>
      <c r="E4224" s="3" t="s">
        <v>302</v>
      </c>
      <c r="F4224" s="3" t="s">
        <v>314</v>
      </c>
      <c r="G4224" s="5">
        <v>1E-3</v>
      </c>
      <c r="H4224" s="6" t="s">
        <v>61</v>
      </c>
      <c r="I4224" s="3" t="s">
        <v>45</v>
      </c>
    </row>
    <row r="4225" spans="1:9" ht="48" customHeight="1">
      <c r="A4225" s="3" t="s">
        <v>40</v>
      </c>
      <c r="B4225" s="3" t="s">
        <v>39</v>
      </c>
      <c r="C4225" s="4">
        <v>46174</v>
      </c>
      <c r="D4225" s="4">
        <v>46203</v>
      </c>
      <c r="E4225" s="3" t="s">
        <v>302</v>
      </c>
      <c r="F4225" s="3" t="s">
        <v>308</v>
      </c>
      <c r="G4225" s="5">
        <v>1E-3</v>
      </c>
      <c r="H4225" s="6" t="s">
        <v>61</v>
      </c>
      <c r="I4225" s="3" t="s">
        <v>45</v>
      </c>
    </row>
    <row r="4226" spans="1:9" ht="48" customHeight="1">
      <c r="A4226" s="3" t="s">
        <v>40</v>
      </c>
      <c r="B4226" s="3" t="s">
        <v>39</v>
      </c>
      <c r="C4226" s="4">
        <v>46174</v>
      </c>
      <c r="D4226" s="4">
        <v>46203</v>
      </c>
      <c r="E4226" s="3" t="s">
        <v>302</v>
      </c>
      <c r="F4226" s="3" t="s">
        <v>312</v>
      </c>
      <c r="G4226" s="5">
        <v>0</v>
      </c>
      <c r="H4226" s="6" t="s">
        <v>61</v>
      </c>
      <c r="I4226" s="3" t="s">
        <v>45</v>
      </c>
    </row>
    <row r="4227" spans="1:9" ht="48" customHeight="1">
      <c r="A4227" s="3" t="s">
        <v>40</v>
      </c>
      <c r="B4227" s="3" t="s">
        <v>39</v>
      </c>
      <c r="C4227" s="4">
        <v>46174</v>
      </c>
      <c r="D4227" s="4">
        <v>46203</v>
      </c>
      <c r="E4227" s="3" t="s">
        <v>302</v>
      </c>
      <c r="F4227" s="3" t="s">
        <v>313</v>
      </c>
      <c r="G4227" s="5">
        <v>0</v>
      </c>
      <c r="H4227" s="6" t="s">
        <v>61</v>
      </c>
      <c r="I4227" s="3" t="s">
        <v>45</v>
      </c>
    </row>
    <row r="4228" spans="1:9" ht="48" customHeight="1">
      <c r="A4228" s="3" t="s">
        <v>40</v>
      </c>
      <c r="B4228" s="3" t="s">
        <v>39</v>
      </c>
      <c r="C4228" s="4">
        <v>46174</v>
      </c>
      <c r="D4228" s="4">
        <v>46203</v>
      </c>
      <c r="E4228" s="3" t="s">
        <v>302</v>
      </c>
      <c r="F4228" s="3" t="s">
        <v>315</v>
      </c>
      <c r="G4228" s="5">
        <v>0</v>
      </c>
      <c r="H4228" s="6" t="s">
        <v>61</v>
      </c>
      <c r="I4228" s="3" t="s">
        <v>45</v>
      </c>
    </row>
    <row r="4229" spans="1:9" ht="48" customHeight="1">
      <c r="A4229" s="3" t="s">
        <v>40</v>
      </c>
      <c r="B4229" s="3" t="s">
        <v>39</v>
      </c>
      <c r="C4229" s="4">
        <v>46174</v>
      </c>
      <c r="D4229" s="4">
        <v>46203</v>
      </c>
      <c r="E4229" s="3" t="s">
        <v>302</v>
      </c>
      <c r="F4229" s="3" t="s">
        <v>316</v>
      </c>
      <c r="G4229" s="5">
        <v>0</v>
      </c>
      <c r="H4229" s="6" t="s">
        <v>61</v>
      </c>
      <c r="I4229" s="3" t="s">
        <v>45</v>
      </c>
    </row>
    <row r="4230" spans="1:9" ht="48" customHeight="1">
      <c r="A4230" s="3" t="s">
        <v>40</v>
      </c>
      <c r="B4230" s="3" t="s">
        <v>39</v>
      </c>
      <c r="C4230" s="4">
        <v>46174</v>
      </c>
      <c r="D4230" s="4">
        <v>46203</v>
      </c>
      <c r="E4230" s="3" t="s">
        <v>302</v>
      </c>
      <c r="F4230" s="3" t="s">
        <v>317</v>
      </c>
      <c r="G4230" s="5">
        <v>0</v>
      </c>
      <c r="H4230" s="6" t="s">
        <v>61</v>
      </c>
      <c r="I4230" s="3" t="s">
        <v>45</v>
      </c>
    </row>
    <row r="4231" spans="1:9" ht="48" customHeight="1">
      <c r="A4231" s="3" t="s">
        <v>40</v>
      </c>
      <c r="B4231" s="3" t="s">
        <v>39</v>
      </c>
      <c r="C4231" s="4">
        <v>46174</v>
      </c>
      <c r="D4231" s="4">
        <v>46203</v>
      </c>
      <c r="E4231" s="3" t="s">
        <v>302</v>
      </c>
      <c r="F4231" s="3" t="s">
        <v>318</v>
      </c>
      <c r="G4231" s="5">
        <v>0</v>
      </c>
      <c r="H4231" s="6" t="s">
        <v>61</v>
      </c>
      <c r="I4231" s="3" t="s">
        <v>45</v>
      </c>
    </row>
    <row r="4232" spans="1:9" ht="48" customHeight="1">
      <c r="A4232" s="3" t="s">
        <v>40</v>
      </c>
      <c r="B4232" s="3" t="s">
        <v>39</v>
      </c>
      <c r="C4232" s="4">
        <v>46174</v>
      </c>
      <c r="D4232" s="4">
        <v>46203</v>
      </c>
      <c r="E4232" s="3" t="s">
        <v>302</v>
      </c>
      <c r="F4232" s="3" t="s">
        <v>319</v>
      </c>
      <c r="G4232" s="5">
        <v>0</v>
      </c>
      <c r="H4232" s="6" t="s">
        <v>61</v>
      </c>
      <c r="I4232" s="3" t="s">
        <v>45</v>
      </c>
    </row>
    <row r="4233" spans="1:9" ht="48" customHeight="1">
      <c r="A4233" s="3" t="s">
        <v>40</v>
      </c>
      <c r="B4233" s="3" t="s">
        <v>39</v>
      </c>
      <c r="C4233" s="4">
        <v>46174</v>
      </c>
      <c r="D4233" s="4">
        <v>46203</v>
      </c>
      <c r="E4233" s="3" t="s">
        <v>302</v>
      </c>
      <c r="F4233" s="3" t="s">
        <v>320</v>
      </c>
      <c r="G4233" s="5">
        <v>0</v>
      </c>
      <c r="H4233" s="6" t="s">
        <v>61</v>
      </c>
      <c r="I4233" s="3" t="s">
        <v>45</v>
      </c>
    </row>
    <row r="4234" spans="1:9" ht="48" customHeight="1">
      <c r="A4234" s="3" t="s">
        <v>40</v>
      </c>
      <c r="B4234" s="3" t="s">
        <v>39</v>
      </c>
      <c r="C4234" s="4">
        <v>46174</v>
      </c>
      <c r="D4234" s="4">
        <v>46203</v>
      </c>
      <c r="E4234" s="3" t="s">
        <v>302</v>
      </c>
      <c r="F4234" s="3" t="s">
        <v>321</v>
      </c>
      <c r="G4234" s="5">
        <v>0</v>
      </c>
      <c r="H4234" s="6" t="s">
        <v>61</v>
      </c>
      <c r="I4234" s="3" t="s">
        <v>45</v>
      </c>
    </row>
    <row r="4235" spans="1:9" ht="48" customHeight="1">
      <c r="A4235" s="3" t="s">
        <v>40</v>
      </c>
      <c r="B4235" s="3" t="s">
        <v>39</v>
      </c>
      <c r="C4235" s="4">
        <v>46174</v>
      </c>
      <c r="D4235" s="4">
        <v>46203</v>
      </c>
      <c r="E4235" s="3" t="s">
        <v>302</v>
      </c>
      <c r="F4235" s="3" t="s">
        <v>322</v>
      </c>
      <c r="G4235" s="5">
        <v>0</v>
      </c>
      <c r="H4235" s="6" t="s">
        <v>61</v>
      </c>
      <c r="I4235" s="3" t="s">
        <v>45</v>
      </c>
    </row>
    <row r="4236" spans="1:9" ht="48" customHeight="1">
      <c r="A4236" s="3" t="s">
        <v>40</v>
      </c>
      <c r="B4236" s="3" t="s">
        <v>39</v>
      </c>
      <c r="C4236" s="4">
        <v>46174</v>
      </c>
      <c r="D4236" s="4">
        <v>46203</v>
      </c>
      <c r="E4236" s="3" t="s">
        <v>302</v>
      </c>
      <c r="F4236" s="3" t="s">
        <v>323</v>
      </c>
      <c r="G4236" s="5">
        <v>0</v>
      </c>
      <c r="H4236" s="6" t="s">
        <v>61</v>
      </c>
      <c r="I4236" s="3" t="s">
        <v>45</v>
      </c>
    </row>
    <row r="4237" spans="1:9" ht="48" customHeight="1">
      <c r="A4237" s="3" t="s">
        <v>40</v>
      </c>
      <c r="B4237" s="3" t="s">
        <v>39</v>
      </c>
      <c r="C4237" s="4">
        <v>46174</v>
      </c>
      <c r="D4237" s="4">
        <v>46203</v>
      </c>
      <c r="E4237" s="3" t="s">
        <v>302</v>
      </c>
      <c r="F4237" s="3" t="s">
        <v>324</v>
      </c>
      <c r="G4237" s="5">
        <v>0</v>
      </c>
      <c r="H4237" s="6" t="s">
        <v>61</v>
      </c>
      <c r="I4237" s="3" t="s">
        <v>45</v>
      </c>
    </row>
    <row r="4238" spans="1:9" ht="48" customHeight="1">
      <c r="A4238" s="3" t="s">
        <v>40</v>
      </c>
      <c r="B4238" s="3" t="s">
        <v>39</v>
      </c>
      <c r="C4238" s="4">
        <v>46174</v>
      </c>
      <c r="D4238" s="4">
        <v>46203</v>
      </c>
      <c r="E4238" s="3" t="s">
        <v>368</v>
      </c>
      <c r="F4238" s="3" t="s">
        <v>370</v>
      </c>
      <c r="G4238" s="5">
        <v>2E-3</v>
      </c>
      <c r="H4238" s="6" t="s">
        <v>61</v>
      </c>
      <c r="I4238" s="3" t="s">
        <v>45</v>
      </c>
    </row>
    <row r="4239" spans="1:9" ht="48" customHeight="1">
      <c r="A4239" s="3" t="s">
        <v>40</v>
      </c>
      <c r="B4239" s="3" t="s">
        <v>39</v>
      </c>
      <c r="C4239" s="4">
        <v>46174</v>
      </c>
      <c r="D4239" s="4">
        <v>46203</v>
      </c>
      <c r="E4239" s="3" t="s">
        <v>368</v>
      </c>
      <c r="F4239" s="3" t="s">
        <v>369</v>
      </c>
      <c r="G4239" s="5">
        <v>1E-3</v>
      </c>
      <c r="H4239" s="6" t="s">
        <v>61</v>
      </c>
      <c r="I4239" s="3" t="s">
        <v>45</v>
      </c>
    </row>
    <row r="4240" spans="1:9" ht="48" customHeight="1">
      <c r="A4240" s="3" t="s">
        <v>40</v>
      </c>
      <c r="B4240" s="3" t="s">
        <v>39</v>
      </c>
      <c r="C4240" s="4">
        <v>46174</v>
      </c>
      <c r="D4240" s="4">
        <v>46203</v>
      </c>
      <c r="E4240" s="3" t="s">
        <v>368</v>
      </c>
      <c r="F4240" s="3" t="s">
        <v>373</v>
      </c>
      <c r="G4240" s="5">
        <v>1E-3</v>
      </c>
      <c r="H4240" s="6" t="s">
        <v>61</v>
      </c>
      <c r="I4240" s="3" t="s">
        <v>45</v>
      </c>
    </row>
    <row r="4241" spans="1:9" ht="48" customHeight="1">
      <c r="A4241" s="3" t="s">
        <v>40</v>
      </c>
      <c r="B4241" s="3" t="s">
        <v>39</v>
      </c>
      <c r="C4241" s="4">
        <v>46174</v>
      </c>
      <c r="D4241" s="4">
        <v>46203</v>
      </c>
      <c r="E4241" s="3" t="s">
        <v>368</v>
      </c>
      <c r="F4241" s="3" t="s">
        <v>265</v>
      </c>
      <c r="G4241" s="5">
        <v>1E-3</v>
      </c>
      <c r="H4241" s="6" t="s">
        <v>61</v>
      </c>
      <c r="I4241" s="3" t="s">
        <v>45</v>
      </c>
    </row>
    <row r="4242" spans="1:9" ht="48" customHeight="1">
      <c r="A4242" s="3" t="s">
        <v>40</v>
      </c>
      <c r="B4242" s="3" t="s">
        <v>39</v>
      </c>
      <c r="C4242" s="4">
        <v>46174</v>
      </c>
      <c r="D4242" s="4">
        <v>46203</v>
      </c>
      <c r="E4242" s="3" t="s">
        <v>368</v>
      </c>
      <c r="F4242" s="3" t="s">
        <v>262</v>
      </c>
      <c r="G4242" s="5">
        <v>1E-3</v>
      </c>
      <c r="H4242" s="6" t="s">
        <v>61</v>
      </c>
      <c r="I4242" s="3" t="s">
        <v>45</v>
      </c>
    </row>
    <row r="4243" spans="1:9" ht="48" customHeight="1">
      <c r="A4243" s="3" t="s">
        <v>40</v>
      </c>
      <c r="B4243" s="3" t="s">
        <v>39</v>
      </c>
      <c r="C4243" s="4">
        <v>46174</v>
      </c>
      <c r="D4243" s="4">
        <v>46203</v>
      </c>
      <c r="E4243" s="3" t="s">
        <v>368</v>
      </c>
      <c r="F4243" s="3" t="s">
        <v>371</v>
      </c>
      <c r="G4243" s="5">
        <v>1E-3</v>
      </c>
      <c r="H4243" s="6" t="s">
        <v>61</v>
      </c>
      <c r="I4243" s="3" t="s">
        <v>45</v>
      </c>
    </row>
    <row r="4244" spans="1:9" ht="48" customHeight="1">
      <c r="A4244" s="3" t="s">
        <v>40</v>
      </c>
      <c r="B4244" s="3" t="s">
        <v>39</v>
      </c>
      <c r="C4244" s="4">
        <v>46174</v>
      </c>
      <c r="D4244" s="4">
        <v>46203</v>
      </c>
      <c r="E4244" s="3" t="s">
        <v>368</v>
      </c>
      <c r="F4244" s="3" t="s">
        <v>374</v>
      </c>
      <c r="G4244" s="5">
        <v>1E-3</v>
      </c>
      <c r="H4244" s="6" t="s">
        <v>61</v>
      </c>
      <c r="I4244" s="3" t="s">
        <v>45</v>
      </c>
    </row>
    <row r="4245" spans="1:9" ht="48" customHeight="1">
      <c r="A4245" s="3" t="s">
        <v>40</v>
      </c>
      <c r="B4245" s="3" t="s">
        <v>39</v>
      </c>
      <c r="C4245" s="4">
        <v>46174</v>
      </c>
      <c r="D4245" s="4">
        <v>46203</v>
      </c>
      <c r="E4245" s="3" t="s">
        <v>368</v>
      </c>
      <c r="F4245" s="3" t="s">
        <v>207</v>
      </c>
      <c r="G4245" s="5">
        <v>1E-3</v>
      </c>
      <c r="H4245" s="6" t="s">
        <v>61</v>
      </c>
      <c r="I4245" s="3" t="s">
        <v>45</v>
      </c>
    </row>
    <row r="4246" spans="1:9" ht="48" customHeight="1">
      <c r="A4246" s="3" t="s">
        <v>40</v>
      </c>
      <c r="B4246" s="3" t="s">
        <v>39</v>
      </c>
      <c r="C4246" s="4">
        <v>46174</v>
      </c>
      <c r="D4246" s="4">
        <v>46203</v>
      </c>
      <c r="E4246" s="3" t="s">
        <v>368</v>
      </c>
      <c r="F4246" s="3" t="s">
        <v>375</v>
      </c>
      <c r="G4246" s="5">
        <v>1E-3</v>
      </c>
      <c r="H4246" s="6" t="s">
        <v>61</v>
      </c>
      <c r="I4246" s="3" t="s">
        <v>45</v>
      </c>
    </row>
    <row r="4247" spans="1:9" ht="48" customHeight="1">
      <c r="A4247" s="3" t="s">
        <v>40</v>
      </c>
      <c r="B4247" s="3" t="s">
        <v>39</v>
      </c>
      <c r="C4247" s="4">
        <v>46174</v>
      </c>
      <c r="D4247" s="4">
        <v>46203</v>
      </c>
      <c r="E4247" s="3" t="s">
        <v>368</v>
      </c>
      <c r="F4247" s="3" t="s">
        <v>376</v>
      </c>
      <c r="G4247" s="5">
        <v>1E-3</v>
      </c>
      <c r="H4247" s="6" t="s">
        <v>61</v>
      </c>
      <c r="I4247" s="3" t="s">
        <v>45</v>
      </c>
    </row>
    <row r="4248" spans="1:9" ht="48" customHeight="1">
      <c r="A4248" s="3" t="s">
        <v>40</v>
      </c>
      <c r="B4248" s="3" t="s">
        <v>39</v>
      </c>
      <c r="C4248" s="4">
        <v>46174</v>
      </c>
      <c r="D4248" s="4">
        <v>46203</v>
      </c>
      <c r="E4248" s="3" t="s">
        <v>368</v>
      </c>
      <c r="F4248" s="3" t="s">
        <v>377</v>
      </c>
      <c r="G4248" s="5">
        <v>1E-3</v>
      </c>
      <c r="H4248" s="6" t="s">
        <v>61</v>
      </c>
      <c r="I4248" s="3" t="s">
        <v>45</v>
      </c>
    </row>
    <row r="4249" spans="1:9" ht="48" customHeight="1">
      <c r="A4249" s="3" t="s">
        <v>40</v>
      </c>
      <c r="B4249" s="3" t="s">
        <v>39</v>
      </c>
      <c r="C4249" s="4">
        <v>46174</v>
      </c>
      <c r="D4249" s="4">
        <v>46203</v>
      </c>
      <c r="E4249" s="3" t="s">
        <v>368</v>
      </c>
      <c r="F4249" s="3" t="s">
        <v>378</v>
      </c>
      <c r="G4249" s="5">
        <v>1E-3</v>
      </c>
      <c r="H4249" s="6" t="s">
        <v>61</v>
      </c>
      <c r="I4249" s="3" t="s">
        <v>45</v>
      </c>
    </row>
    <row r="4250" spans="1:9" ht="48" customHeight="1">
      <c r="A4250" s="3" t="s">
        <v>40</v>
      </c>
      <c r="B4250" s="3" t="s">
        <v>39</v>
      </c>
      <c r="C4250" s="4">
        <v>46174</v>
      </c>
      <c r="D4250" s="4">
        <v>46203</v>
      </c>
      <c r="E4250" s="3" t="s">
        <v>368</v>
      </c>
      <c r="F4250" s="3" t="s">
        <v>230</v>
      </c>
      <c r="G4250" s="5">
        <v>0</v>
      </c>
      <c r="H4250" s="6" t="s">
        <v>61</v>
      </c>
      <c r="I4250" s="3" t="s">
        <v>45</v>
      </c>
    </row>
    <row r="4251" spans="1:9" ht="48" customHeight="1">
      <c r="A4251" s="3" t="s">
        <v>40</v>
      </c>
      <c r="B4251" s="3" t="s">
        <v>39</v>
      </c>
      <c r="C4251" s="4">
        <v>46174</v>
      </c>
      <c r="D4251" s="4">
        <v>46203</v>
      </c>
      <c r="E4251" s="3" t="s">
        <v>368</v>
      </c>
      <c r="F4251" s="3" t="s">
        <v>232</v>
      </c>
      <c r="G4251" s="5">
        <v>0</v>
      </c>
      <c r="H4251" s="6" t="s">
        <v>61</v>
      </c>
      <c r="I4251" s="3" t="s">
        <v>45</v>
      </c>
    </row>
    <row r="4252" spans="1:9" ht="48" customHeight="1">
      <c r="A4252" s="3" t="s">
        <v>40</v>
      </c>
      <c r="B4252" s="3" t="s">
        <v>39</v>
      </c>
      <c r="C4252" s="4">
        <v>46174</v>
      </c>
      <c r="D4252" s="4">
        <v>46203</v>
      </c>
      <c r="E4252" s="3" t="s">
        <v>368</v>
      </c>
      <c r="F4252" s="3" t="s">
        <v>234</v>
      </c>
      <c r="G4252" s="5">
        <v>0</v>
      </c>
      <c r="H4252" s="6" t="s">
        <v>61</v>
      </c>
      <c r="I4252" s="3" t="s">
        <v>45</v>
      </c>
    </row>
    <row r="4253" spans="1:9" ht="48" customHeight="1">
      <c r="A4253" s="3" t="s">
        <v>40</v>
      </c>
      <c r="B4253" s="3" t="s">
        <v>39</v>
      </c>
      <c r="C4253" s="4">
        <v>46174</v>
      </c>
      <c r="D4253" s="4">
        <v>46203</v>
      </c>
      <c r="E4253" s="3" t="s">
        <v>368</v>
      </c>
      <c r="F4253" s="3" t="s">
        <v>372</v>
      </c>
      <c r="G4253" s="5">
        <v>0</v>
      </c>
      <c r="H4253" s="6" t="s">
        <v>61</v>
      </c>
      <c r="I4253" s="3" t="s">
        <v>45</v>
      </c>
    </row>
    <row r="4254" spans="1:9" ht="48" customHeight="1">
      <c r="A4254" s="3" t="s">
        <v>40</v>
      </c>
      <c r="B4254" s="3" t="s">
        <v>39</v>
      </c>
      <c r="C4254" s="4">
        <v>46174</v>
      </c>
      <c r="D4254" s="4">
        <v>46203</v>
      </c>
      <c r="E4254" s="3" t="s">
        <v>260</v>
      </c>
      <c r="F4254" s="3" t="s">
        <v>262</v>
      </c>
      <c r="G4254" s="5">
        <v>2E-3</v>
      </c>
      <c r="H4254" s="6" t="s">
        <v>61</v>
      </c>
      <c r="I4254" s="3" t="s">
        <v>45</v>
      </c>
    </row>
    <row r="4255" spans="1:9" ht="48" customHeight="1">
      <c r="A4255" s="3" t="s">
        <v>40</v>
      </c>
      <c r="B4255" s="3" t="s">
        <v>39</v>
      </c>
      <c r="C4255" s="4">
        <v>46174</v>
      </c>
      <c r="D4255" s="4">
        <v>46203</v>
      </c>
      <c r="E4255" s="3" t="s">
        <v>260</v>
      </c>
      <c r="F4255" s="3" t="s">
        <v>232</v>
      </c>
      <c r="G4255" s="5">
        <v>1E-3</v>
      </c>
      <c r="H4255" s="6" t="s">
        <v>61</v>
      </c>
      <c r="I4255" s="3" t="s">
        <v>45</v>
      </c>
    </row>
    <row r="4256" spans="1:9" ht="48" customHeight="1">
      <c r="A4256" s="3" t="s">
        <v>40</v>
      </c>
      <c r="B4256" s="3" t="s">
        <v>39</v>
      </c>
      <c r="C4256" s="4">
        <v>46174</v>
      </c>
      <c r="D4256" s="4">
        <v>46203</v>
      </c>
      <c r="E4256" s="3" t="s">
        <v>260</v>
      </c>
      <c r="F4256" s="3" t="s">
        <v>265</v>
      </c>
      <c r="G4256" s="5">
        <v>1E-3</v>
      </c>
      <c r="H4256" s="6" t="s">
        <v>61</v>
      </c>
      <c r="I4256" s="3" t="s">
        <v>45</v>
      </c>
    </row>
    <row r="4257" spans="1:9" ht="48" customHeight="1">
      <c r="A4257" s="3" t="s">
        <v>40</v>
      </c>
      <c r="B4257" s="3" t="s">
        <v>39</v>
      </c>
      <c r="C4257" s="4">
        <v>46174</v>
      </c>
      <c r="D4257" s="4">
        <v>46203</v>
      </c>
      <c r="E4257" s="3" t="s">
        <v>260</v>
      </c>
      <c r="F4257" s="3" t="s">
        <v>261</v>
      </c>
      <c r="G4257" s="5">
        <v>1E-3</v>
      </c>
      <c r="H4257" s="6" t="s">
        <v>61</v>
      </c>
      <c r="I4257" s="3" t="s">
        <v>45</v>
      </c>
    </row>
    <row r="4258" spans="1:9" ht="48" customHeight="1">
      <c r="A4258" s="3" t="s">
        <v>40</v>
      </c>
      <c r="B4258" s="3" t="s">
        <v>39</v>
      </c>
      <c r="C4258" s="4">
        <v>46174</v>
      </c>
      <c r="D4258" s="4">
        <v>46203</v>
      </c>
      <c r="E4258" s="3" t="s">
        <v>260</v>
      </c>
      <c r="F4258" s="3" t="s">
        <v>263</v>
      </c>
      <c r="G4258" s="5">
        <v>1E-3</v>
      </c>
      <c r="H4258" s="6" t="s">
        <v>61</v>
      </c>
      <c r="I4258" s="3" t="s">
        <v>45</v>
      </c>
    </row>
    <row r="4259" spans="1:9" ht="48" customHeight="1">
      <c r="A4259" s="3" t="s">
        <v>40</v>
      </c>
      <c r="B4259" s="3" t="s">
        <v>39</v>
      </c>
      <c r="C4259" s="4">
        <v>46174</v>
      </c>
      <c r="D4259" s="4">
        <v>46203</v>
      </c>
      <c r="E4259" s="3" t="s">
        <v>260</v>
      </c>
      <c r="F4259" s="3" t="s">
        <v>266</v>
      </c>
      <c r="G4259" s="5">
        <v>1E-3</v>
      </c>
      <c r="H4259" s="6" t="s">
        <v>61</v>
      </c>
      <c r="I4259" s="3" t="s">
        <v>45</v>
      </c>
    </row>
    <row r="4260" spans="1:9" ht="48" customHeight="1">
      <c r="A4260" s="3" t="s">
        <v>40</v>
      </c>
      <c r="B4260" s="3" t="s">
        <v>39</v>
      </c>
      <c r="C4260" s="4">
        <v>46174</v>
      </c>
      <c r="D4260" s="4">
        <v>46203</v>
      </c>
      <c r="E4260" s="3" t="s">
        <v>260</v>
      </c>
      <c r="F4260" s="3" t="s">
        <v>264</v>
      </c>
      <c r="G4260" s="5">
        <v>1E-3</v>
      </c>
      <c r="H4260" s="6" t="s">
        <v>61</v>
      </c>
      <c r="I4260" s="3" t="s">
        <v>45</v>
      </c>
    </row>
    <row r="4261" spans="1:9" ht="48" customHeight="1">
      <c r="A4261" s="3" t="s">
        <v>40</v>
      </c>
      <c r="B4261" s="3" t="s">
        <v>39</v>
      </c>
      <c r="C4261" s="4">
        <v>46174</v>
      </c>
      <c r="D4261" s="4">
        <v>46203</v>
      </c>
      <c r="E4261" s="3" t="s">
        <v>260</v>
      </c>
      <c r="F4261" s="3" t="s">
        <v>267</v>
      </c>
      <c r="G4261" s="5">
        <v>1E-3</v>
      </c>
      <c r="H4261" s="6" t="s">
        <v>61</v>
      </c>
      <c r="I4261" s="3" t="s">
        <v>45</v>
      </c>
    </row>
    <row r="4262" spans="1:9" ht="48" customHeight="1">
      <c r="A4262" s="3" t="s">
        <v>40</v>
      </c>
      <c r="B4262" s="3" t="s">
        <v>39</v>
      </c>
      <c r="C4262" s="4">
        <v>46174</v>
      </c>
      <c r="D4262" s="4">
        <v>46203</v>
      </c>
      <c r="E4262" s="3" t="s">
        <v>260</v>
      </c>
      <c r="F4262" s="3" t="s">
        <v>268</v>
      </c>
      <c r="G4262" s="5">
        <v>1E-3</v>
      </c>
      <c r="H4262" s="6" t="s">
        <v>61</v>
      </c>
      <c r="I4262" s="3" t="s">
        <v>45</v>
      </c>
    </row>
    <row r="4263" spans="1:9" ht="48" customHeight="1">
      <c r="A4263" s="3" t="s">
        <v>40</v>
      </c>
      <c r="B4263" s="3" t="s">
        <v>39</v>
      </c>
      <c r="C4263" s="4">
        <v>46174</v>
      </c>
      <c r="D4263" s="4">
        <v>46203</v>
      </c>
      <c r="E4263" s="3" t="s">
        <v>260</v>
      </c>
      <c r="F4263" s="3" t="s">
        <v>270</v>
      </c>
      <c r="G4263" s="5">
        <v>1E-3</v>
      </c>
      <c r="H4263" s="6" t="s">
        <v>61</v>
      </c>
      <c r="I4263" s="3" t="s">
        <v>45</v>
      </c>
    </row>
    <row r="4264" spans="1:9" ht="48" customHeight="1">
      <c r="A4264" s="3" t="s">
        <v>40</v>
      </c>
      <c r="B4264" s="3" t="s">
        <v>39</v>
      </c>
      <c r="C4264" s="4">
        <v>46174</v>
      </c>
      <c r="D4264" s="4">
        <v>46203</v>
      </c>
      <c r="E4264" s="3" t="s">
        <v>260</v>
      </c>
      <c r="F4264" s="3" t="s">
        <v>280</v>
      </c>
      <c r="G4264" s="5">
        <v>1E-3</v>
      </c>
      <c r="H4264" s="6" t="s">
        <v>61</v>
      </c>
      <c r="I4264" s="3" t="s">
        <v>45</v>
      </c>
    </row>
    <row r="4265" spans="1:9" ht="48" customHeight="1">
      <c r="A4265" s="3" t="s">
        <v>40</v>
      </c>
      <c r="B4265" s="3" t="s">
        <v>39</v>
      </c>
      <c r="C4265" s="4">
        <v>46174</v>
      </c>
      <c r="D4265" s="4">
        <v>46203</v>
      </c>
      <c r="E4265" s="3" t="s">
        <v>260</v>
      </c>
      <c r="F4265" s="3" t="s">
        <v>271</v>
      </c>
      <c r="G4265" s="5">
        <v>1E-3</v>
      </c>
      <c r="H4265" s="6" t="s">
        <v>61</v>
      </c>
      <c r="I4265" s="3" t="s">
        <v>45</v>
      </c>
    </row>
    <row r="4266" spans="1:9" ht="48" customHeight="1">
      <c r="A4266" s="3" t="s">
        <v>40</v>
      </c>
      <c r="B4266" s="3" t="s">
        <v>39</v>
      </c>
      <c r="C4266" s="4">
        <v>46174</v>
      </c>
      <c r="D4266" s="4">
        <v>46203</v>
      </c>
      <c r="E4266" s="3" t="s">
        <v>260</v>
      </c>
      <c r="F4266" s="3" t="s">
        <v>234</v>
      </c>
      <c r="G4266" s="5">
        <v>0</v>
      </c>
      <c r="H4266" s="6" t="s">
        <v>61</v>
      </c>
      <c r="I4266" s="3" t="s">
        <v>45</v>
      </c>
    </row>
    <row r="4267" spans="1:9" ht="48" customHeight="1">
      <c r="A4267" s="3" t="s">
        <v>40</v>
      </c>
      <c r="B4267" s="3" t="s">
        <v>39</v>
      </c>
      <c r="C4267" s="4">
        <v>46174</v>
      </c>
      <c r="D4267" s="4">
        <v>46203</v>
      </c>
      <c r="E4267" s="3" t="s">
        <v>260</v>
      </c>
      <c r="F4267" s="3" t="s">
        <v>273</v>
      </c>
      <c r="G4267" s="5">
        <v>0</v>
      </c>
      <c r="H4267" s="6" t="s">
        <v>61</v>
      </c>
      <c r="I4267" s="3" t="s">
        <v>45</v>
      </c>
    </row>
    <row r="4268" spans="1:9" ht="48" customHeight="1">
      <c r="A4268" s="3" t="s">
        <v>40</v>
      </c>
      <c r="B4268" s="3" t="s">
        <v>39</v>
      </c>
      <c r="C4268" s="4">
        <v>46174</v>
      </c>
      <c r="D4268" s="4">
        <v>46203</v>
      </c>
      <c r="E4268" s="3" t="s">
        <v>260</v>
      </c>
      <c r="F4268" s="3" t="s">
        <v>274</v>
      </c>
      <c r="G4268" s="5">
        <v>0</v>
      </c>
      <c r="H4268" s="6" t="s">
        <v>61</v>
      </c>
      <c r="I4268" s="3" t="s">
        <v>45</v>
      </c>
    </row>
    <row r="4269" spans="1:9" ht="48" customHeight="1">
      <c r="A4269" s="3" t="s">
        <v>40</v>
      </c>
      <c r="B4269" s="3" t="s">
        <v>39</v>
      </c>
      <c r="C4269" s="4">
        <v>46174</v>
      </c>
      <c r="D4269" s="4">
        <v>46203</v>
      </c>
      <c r="E4269" s="3" t="s">
        <v>260</v>
      </c>
      <c r="F4269" s="3" t="s">
        <v>275</v>
      </c>
      <c r="G4269" s="5">
        <v>0</v>
      </c>
      <c r="H4269" s="6" t="s">
        <v>61</v>
      </c>
      <c r="I4269" s="3" t="s">
        <v>45</v>
      </c>
    </row>
    <row r="4270" spans="1:9" ht="48" customHeight="1">
      <c r="A4270" s="3" t="s">
        <v>40</v>
      </c>
      <c r="B4270" s="3" t="s">
        <v>39</v>
      </c>
      <c r="C4270" s="4">
        <v>46174</v>
      </c>
      <c r="D4270" s="4">
        <v>46203</v>
      </c>
      <c r="E4270" s="3" t="s">
        <v>260</v>
      </c>
      <c r="F4270" s="3" t="s">
        <v>276</v>
      </c>
      <c r="G4270" s="5">
        <v>0</v>
      </c>
      <c r="H4270" s="6" t="s">
        <v>61</v>
      </c>
      <c r="I4270" s="3" t="s">
        <v>45</v>
      </c>
    </row>
    <row r="4271" spans="1:9" ht="48" customHeight="1">
      <c r="A4271" s="3" t="s">
        <v>40</v>
      </c>
      <c r="B4271" s="3" t="s">
        <v>39</v>
      </c>
      <c r="C4271" s="4">
        <v>46174</v>
      </c>
      <c r="D4271" s="4">
        <v>46203</v>
      </c>
      <c r="E4271" s="3" t="s">
        <v>260</v>
      </c>
      <c r="F4271" s="3" t="s">
        <v>277</v>
      </c>
      <c r="G4271" s="5">
        <v>0</v>
      </c>
      <c r="H4271" s="6" t="s">
        <v>61</v>
      </c>
      <c r="I4271" s="3" t="s">
        <v>45</v>
      </c>
    </row>
    <row r="4272" spans="1:9" ht="48" customHeight="1">
      <c r="A4272" s="3" t="s">
        <v>40</v>
      </c>
      <c r="B4272" s="3" t="s">
        <v>39</v>
      </c>
      <c r="C4272" s="4">
        <v>46174</v>
      </c>
      <c r="D4272" s="4">
        <v>46203</v>
      </c>
      <c r="E4272" s="3" t="s">
        <v>260</v>
      </c>
      <c r="F4272" s="3" t="s">
        <v>278</v>
      </c>
      <c r="G4272" s="5">
        <v>0</v>
      </c>
      <c r="H4272" s="6" t="s">
        <v>61</v>
      </c>
      <c r="I4272" s="3" t="s">
        <v>45</v>
      </c>
    </row>
    <row r="4273" spans="1:9" ht="48" customHeight="1">
      <c r="A4273" s="3" t="s">
        <v>40</v>
      </c>
      <c r="B4273" s="3" t="s">
        <v>39</v>
      </c>
      <c r="C4273" s="4">
        <v>46174</v>
      </c>
      <c r="D4273" s="4">
        <v>46203</v>
      </c>
      <c r="E4273" s="3" t="s">
        <v>260</v>
      </c>
      <c r="F4273" s="3" t="s">
        <v>269</v>
      </c>
      <c r="G4273" s="5">
        <v>0</v>
      </c>
      <c r="H4273" s="6" t="s">
        <v>61</v>
      </c>
      <c r="I4273" s="3" t="s">
        <v>45</v>
      </c>
    </row>
    <row r="4274" spans="1:9" ht="48" customHeight="1">
      <c r="A4274" s="3" t="s">
        <v>40</v>
      </c>
      <c r="B4274" s="3" t="s">
        <v>39</v>
      </c>
      <c r="C4274" s="4">
        <v>46174</v>
      </c>
      <c r="D4274" s="4">
        <v>46203</v>
      </c>
      <c r="E4274" s="3" t="s">
        <v>260</v>
      </c>
      <c r="F4274" s="3" t="s">
        <v>279</v>
      </c>
      <c r="G4274" s="5">
        <v>0</v>
      </c>
      <c r="H4274" s="6" t="s">
        <v>61</v>
      </c>
      <c r="I4274" s="3" t="s">
        <v>45</v>
      </c>
    </row>
    <row r="4275" spans="1:9" ht="48" customHeight="1">
      <c r="A4275" s="3" t="s">
        <v>40</v>
      </c>
      <c r="B4275" s="3" t="s">
        <v>39</v>
      </c>
      <c r="C4275" s="4">
        <v>46174</v>
      </c>
      <c r="D4275" s="4">
        <v>46203</v>
      </c>
      <c r="E4275" s="3" t="s">
        <v>260</v>
      </c>
      <c r="F4275" s="3" t="s">
        <v>281</v>
      </c>
      <c r="G4275" s="5">
        <v>0</v>
      </c>
      <c r="H4275" s="6" t="s">
        <v>61</v>
      </c>
      <c r="I4275" s="3" t="s">
        <v>45</v>
      </c>
    </row>
    <row r="4276" spans="1:9" ht="48" customHeight="1">
      <c r="A4276" s="3" t="s">
        <v>40</v>
      </c>
      <c r="B4276" s="3" t="s">
        <v>39</v>
      </c>
      <c r="C4276" s="4">
        <v>46174</v>
      </c>
      <c r="D4276" s="4">
        <v>46203</v>
      </c>
      <c r="E4276" s="3" t="s">
        <v>260</v>
      </c>
      <c r="F4276" s="3" t="s">
        <v>272</v>
      </c>
      <c r="G4276" s="5">
        <v>0</v>
      </c>
      <c r="H4276" s="6" t="s">
        <v>61</v>
      </c>
      <c r="I4276" s="3" t="s">
        <v>45</v>
      </c>
    </row>
    <row r="4277" spans="1:9" ht="48" customHeight="1">
      <c r="A4277" s="3" t="s">
        <v>40</v>
      </c>
      <c r="B4277" s="3" t="s">
        <v>39</v>
      </c>
      <c r="C4277" s="4">
        <v>46174</v>
      </c>
      <c r="D4277" s="4">
        <v>46203</v>
      </c>
      <c r="E4277" s="3" t="s">
        <v>260</v>
      </c>
      <c r="F4277" s="3" t="s">
        <v>282</v>
      </c>
      <c r="G4277" s="5">
        <v>0</v>
      </c>
      <c r="H4277" s="6" t="s">
        <v>61</v>
      </c>
      <c r="I4277" s="3" t="s">
        <v>45</v>
      </c>
    </row>
    <row r="4278" spans="1:9" ht="48" customHeight="1">
      <c r="A4278" s="3" t="s">
        <v>40</v>
      </c>
      <c r="B4278" s="3" t="s">
        <v>39</v>
      </c>
      <c r="C4278" s="4">
        <v>46174</v>
      </c>
      <c r="D4278" s="4">
        <v>46203</v>
      </c>
      <c r="E4278" s="3" t="s">
        <v>260</v>
      </c>
      <c r="F4278" s="3" t="s">
        <v>283</v>
      </c>
      <c r="G4278" s="5">
        <v>0</v>
      </c>
      <c r="H4278" s="6" t="s">
        <v>61</v>
      </c>
      <c r="I4278" s="3" t="s">
        <v>45</v>
      </c>
    </row>
    <row r="4279" spans="1:9" ht="48" customHeight="1">
      <c r="A4279" s="3" t="s">
        <v>40</v>
      </c>
      <c r="B4279" s="3" t="s">
        <v>39</v>
      </c>
      <c r="C4279" s="4">
        <v>46174</v>
      </c>
      <c r="D4279" s="4">
        <v>46203</v>
      </c>
      <c r="E4279" s="3" t="s">
        <v>260</v>
      </c>
      <c r="F4279" s="3" t="s">
        <v>284</v>
      </c>
      <c r="G4279" s="5">
        <v>0</v>
      </c>
      <c r="H4279" s="6" t="s">
        <v>61</v>
      </c>
      <c r="I4279" s="3" t="s">
        <v>45</v>
      </c>
    </row>
    <row r="4280" spans="1:9" ht="48" customHeight="1">
      <c r="A4280" s="3" t="s">
        <v>40</v>
      </c>
      <c r="B4280" s="3" t="s">
        <v>39</v>
      </c>
      <c r="C4280" s="4">
        <v>46174</v>
      </c>
      <c r="D4280" s="4">
        <v>46203</v>
      </c>
      <c r="E4280" s="3" t="s">
        <v>260</v>
      </c>
      <c r="F4280" s="3" t="s">
        <v>285</v>
      </c>
      <c r="G4280" s="5">
        <v>0</v>
      </c>
      <c r="H4280" s="6" t="s">
        <v>61</v>
      </c>
      <c r="I4280" s="3" t="s">
        <v>45</v>
      </c>
    </row>
    <row r="4281" spans="1:9" ht="48" customHeight="1">
      <c r="A4281" s="3" t="s">
        <v>40</v>
      </c>
      <c r="B4281" s="3" t="s">
        <v>39</v>
      </c>
      <c r="C4281" s="4">
        <v>46174</v>
      </c>
      <c r="D4281" s="4">
        <v>46203</v>
      </c>
      <c r="E4281" s="3" t="s">
        <v>244</v>
      </c>
      <c r="F4281" s="3" t="s">
        <v>248</v>
      </c>
      <c r="G4281" s="5">
        <v>2E-3</v>
      </c>
      <c r="H4281" s="6" t="s">
        <v>61</v>
      </c>
      <c r="I4281" s="3" t="s">
        <v>45</v>
      </c>
    </row>
    <row r="4282" spans="1:9" ht="48" customHeight="1">
      <c r="A4282" s="3" t="s">
        <v>40</v>
      </c>
      <c r="B4282" s="3" t="s">
        <v>39</v>
      </c>
      <c r="C4282" s="4">
        <v>46174</v>
      </c>
      <c r="D4282" s="4">
        <v>46203</v>
      </c>
      <c r="E4282" s="3" t="s">
        <v>244</v>
      </c>
      <c r="F4282" s="3" t="s">
        <v>247</v>
      </c>
      <c r="G4282" s="5">
        <v>2E-3</v>
      </c>
      <c r="H4282" s="6" t="s">
        <v>61</v>
      </c>
      <c r="I4282" s="3" t="s">
        <v>45</v>
      </c>
    </row>
    <row r="4283" spans="1:9" ht="48" customHeight="1">
      <c r="A4283" s="3" t="s">
        <v>40</v>
      </c>
      <c r="B4283" s="3" t="s">
        <v>39</v>
      </c>
      <c r="C4283" s="4">
        <v>46174</v>
      </c>
      <c r="D4283" s="4">
        <v>46203</v>
      </c>
      <c r="E4283" s="3" t="s">
        <v>244</v>
      </c>
      <c r="F4283" s="3" t="s">
        <v>245</v>
      </c>
      <c r="G4283" s="5">
        <v>2E-3</v>
      </c>
      <c r="H4283" s="6" t="s">
        <v>61</v>
      </c>
      <c r="I4283" s="3" t="s">
        <v>45</v>
      </c>
    </row>
    <row r="4284" spans="1:9" ht="48" customHeight="1">
      <c r="A4284" s="3" t="s">
        <v>40</v>
      </c>
      <c r="B4284" s="3" t="s">
        <v>39</v>
      </c>
      <c r="C4284" s="4">
        <v>46174</v>
      </c>
      <c r="D4284" s="4">
        <v>46203</v>
      </c>
      <c r="E4284" s="3" t="s">
        <v>244</v>
      </c>
      <c r="F4284" s="3" t="s">
        <v>246</v>
      </c>
      <c r="G4284" s="5">
        <v>2E-3</v>
      </c>
      <c r="H4284" s="6" t="s">
        <v>61</v>
      </c>
      <c r="I4284" s="3" t="s">
        <v>45</v>
      </c>
    </row>
    <row r="4285" spans="1:9" ht="48" customHeight="1">
      <c r="A4285" s="3" t="s">
        <v>40</v>
      </c>
      <c r="B4285" s="3" t="s">
        <v>39</v>
      </c>
      <c r="C4285" s="4">
        <v>46174</v>
      </c>
      <c r="D4285" s="4">
        <v>46203</v>
      </c>
      <c r="E4285" s="3" t="s">
        <v>244</v>
      </c>
      <c r="F4285" s="3" t="s">
        <v>249</v>
      </c>
      <c r="G4285" s="5">
        <v>1E-3</v>
      </c>
      <c r="H4285" s="6" t="s">
        <v>61</v>
      </c>
      <c r="I4285" s="3" t="s">
        <v>45</v>
      </c>
    </row>
    <row r="4286" spans="1:9" ht="48" customHeight="1">
      <c r="A4286" s="3" t="s">
        <v>40</v>
      </c>
      <c r="B4286" s="3" t="s">
        <v>39</v>
      </c>
      <c r="C4286" s="4">
        <v>46174</v>
      </c>
      <c r="D4286" s="4">
        <v>46203</v>
      </c>
      <c r="E4286" s="3" t="s">
        <v>244</v>
      </c>
      <c r="F4286" s="3" t="s">
        <v>250</v>
      </c>
      <c r="G4286" s="5">
        <v>0</v>
      </c>
      <c r="H4286" s="6" t="s">
        <v>61</v>
      </c>
      <c r="I4286" s="3" t="s">
        <v>45</v>
      </c>
    </row>
    <row r="4287" spans="1:9" ht="48" customHeight="1">
      <c r="A4287" s="3" t="s">
        <v>40</v>
      </c>
      <c r="B4287" s="3" t="s">
        <v>39</v>
      </c>
      <c r="C4287" s="4">
        <v>46174</v>
      </c>
      <c r="D4287" s="4">
        <v>46203</v>
      </c>
      <c r="E4287" s="3" t="s">
        <v>244</v>
      </c>
      <c r="F4287" s="3" t="s">
        <v>251</v>
      </c>
      <c r="G4287" s="5">
        <v>0</v>
      </c>
      <c r="H4287" s="6" t="s">
        <v>61</v>
      </c>
      <c r="I4287" s="3" t="s">
        <v>45</v>
      </c>
    </row>
    <row r="4288" spans="1:9" ht="48" customHeight="1">
      <c r="A4288" s="3" t="s">
        <v>40</v>
      </c>
      <c r="B4288" s="3" t="s">
        <v>39</v>
      </c>
      <c r="C4288" s="4">
        <v>46174</v>
      </c>
      <c r="D4288" s="4">
        <v>46203</v>
      </c>
      <c r="E4288" s="3" t="s">
        <v>244</v>
      </c>
      <c r="F4288" s="3" t="s">
        <v>252</v>
      </c>
      <c r="G4288" s="5">
        <v>0</v>
      </c>
      <c r="H4288" s="6" t="s">
        <v>61</v>
      </c>
      <c r="I4288" s="3" t="s">
        <v>45</v>
      </c>
    </row>
    <row r="4289" spans="1:9" ht="48" customHeight="1">
      <c r="A4289" s="3" t="s">
        <v>40</v>
      </c>
      <c r="B4289" s="3" t="s">
        <v>39</v>
      </c>
      <c r="C4289" s="4">
        <v>46174</v>
      </c>
      <c r="D4289" s="4">
        <v>46203</v>
      </c>
      <c r="E4289" s="3" t="s">
        <v>244</v>
      </c>
      <c r="F4289" s="3" t="s">
        <v>255</v>
      </c>
      <c r="G4289" s="5">
        <v>0</v>
      </c>
      <c r="H4289" s="6" t="s">
        <v>61</v>
      </c>
      <c r="I4289" s="3" t="s">
        <v>45</v>
      </c>
    </row>
    <row r="4290" spans="1:9" ht="48" customHeight="1">
      <c r="A4290" s="3" t="s">
        <v>40</v>
      </c>
      <c r="B4290" s="3" t="s">
        <v>39</v>
      </c>
      <c r="C4290" s="4">
        <v>46174</v>
      </c>
      <c r="D4290" s="4">
        <v>46203</v>
      </c>
      <c r="E4290" s="3" t="s">
        <v>244</v>
      </c>
      <c r="F4290" s="3" t="s">
        <v>256</v>
      </c>
      <c r="G4290" s="5">
        <v>0</v>
      </c>
      <c r="H4290" s="6" t="s">
        <v>61</v>
      </c>
      <c r="I4290" s="3" t="s">
        <v>45</v>
      </c>
    </row>
    <row r="4291" spans="1:9" ht="48" customHeight="1">
      <c r="A4291" s="3" t="s">
        <v>40</v>
      </c>
      <c r="B4291" s="3" t="s">
        <v>39</v>
      </c>
      <c r="C4291" s="4">
        <v>46174</v>
      </c>
      <c r="D4291" s="4">
        <v>46203</v>
      </c>
      <c r="E4291" s="3" t="s">
        <v>244</v>
      </c>
      <c r="F4291" s="3" t="s">
        <v>257</v>
      </c>
      <c r="G4291" s="5">
        <v>0</v>
      </c>
      <c r="H4291" s="6" t="s">
        <v>61</v>
      </c>
      <c r="I4291" s="3" t="s">
        <v>45</v>
      </c>
    </row>
    <row r="4292" spans="1:9" ht="48" customHeight="1">
      <c r="A4292" s="3" t="s">
        <v>40</v>
      </c>
      <c r="B4292" s="3" t="s">
        <v>39</v>
      </c>
      <c r="C4292" s="4">
        <v>46174</v>
      </c>
      <c r="D4292" s="4">
        <v>46203</v>
      </c>
      <c r="E4292" s="3" t="s">
        <v>244</v>
      </c>
      <c r="F4292" s="3" t="s">
        <v>258</v>
      </c>
      <c r="G4292" s="5">
        <v>0</v>
      </c>
      <c r="H4292" s="6" t="s">
        <v>61</v>
      </c>
      <c r="I4292" s="3" t="s">
        <v>45</v>
      </c>
    </row>
    <row r="4293" spans="1:9" ht="48" customHeight="1">
      <c r="A4293" s="3" t="s">
        <v>40</v>
      </c>
      <c r="B4293" s="3" t="s">
        <v>39</v>
      </c>
      <c r="C4293" s="4">
        <v>46174</v>
      </c>
      <c r="D4293" s="4">
        <v>46203</v>
      </c>
      <c r="E4293" s="3" t="s">
        <v>244</v>
      </c>
      <c r="F4293" s="3" t="s">
        <v>259</v>
      </c>
      <c r="G4293" s="5">
        <v>0</v>
      </c>
      <c r="H4293" s="6" t="s">
        <v>61</v>
      </c>
      <c r="I4293" s="3" t="s">
        <v>45</v>
      </c>
    </row>
    <row r="4294" spans="1:9" ht="48" customHeight="1">
      <c r="A4294" s="3" t="s">
        <v>40</v>
      </c>
      <c r="B4294" s="3" t="s">
        <v>39</v>
      </c>
      <c r="C4294" s="4">
        <v>46174</v>
      </c>
      <c r="D4294" s="4">
        <v>46203</v>
      </c>
      <c r="E4294" s="3" t="s">
        <v>244</v>
      </c>
      <c r="F4294" s="3" t="s">
        <v>253</v>
      </c>
      <c r="G4294" s="5">
        <v>0</v>
      </c>
      <c r="H4294" s="6" t="s">
        <v>61</v>
      </c>
      <c r="I4294" s="3" t="s">
        <v>45</v>
      </c>
    </row>
    <row r="4295" spans="1:9" ht="48" customHeight="1">
      <c r="A4295" s="3" t="s">
        <v>40</v>
      </c>
      <c r="B4295" s="3" t="s">
        <v>39</v>
      </c>
      <c r="C4295" s="4">
        <v>46174</v>
      </c>
      <c r="D4295" s="4">
        <v>46203</v>
      </c>
      <c r="E4295" s="3" t="s">
        <v>244</v>
      </c>
      <c r="F4295" s="3" t="s">
        <v>254</v>
      </c>
      <c r="G4295" s="5">
        <v>0</v>
      </c>
      <c r="H4295" s="6" t="s">
        <v>61</v>
      </c>
      <c r="I4295" s="3" t="s">
        <v>45</v>
      </c>
    </row>
    <row r="4296" spans="1:9" ht="48" customHeight="1">
      <c r="A4296" s="3" t="s">
        <v>40</v>
      </c>
      <c r="B4296" s="3" t="s">
        <v>39</v>
      </c>
      <c r="C4296" s="4">
        <v>46174</v>
      </c>
      <c r="D4296" s="4">
        <v>46203</v>
      </c>
      <c r="E4296" s="3" t="s">
        <v>379</v>
      </c>
      <c r="F4296" s="3" t="s">
        <v>265</v>
      </c>
      <c r="G4296" s="5">
        <v>2E-3</v>
      </c>
      <c r="H4296" s="6" t="s">
        <v>61</v>
      </c>
      <c r="I4296" s="3" t="s">
        <v>45</v>
      </c>
    </row>
    <row r="4297" spans="1:9" ht="48" customHeight="1">
      <c r="A4297" s="3" t="s">
        <v>40</v>
      </c>
      <c r="B4297" s="3" t="s">
        <v>39</v>
      </c>
      <c r="C4297" s="4">
        <v>46174</v>
      </c>
      <c r="D4297" s="4">
        <v>46203</v>
      </c>
      <c r="E4297" s="3" t="s">
        <v>379</v>
      </c>
      <c r="F4297" s="3" t="s">
        <v>262</v>
      </c>
      <c r="G4297" s="5">
        <v>2E-3</v>
      </c>
      <c r="H4297" s="6" t="s">
        <v>61</v>
      </c>
      <c r="I4297" s="3" t="s">
        <v>45</v>
      </c>
    </row>
    <row r="4298" spans="1:9" ht="48" customHeight="1">
      <c r="A4298" s="3" t="s">
        <v>40</v>
      </c>
      <c r="B4298" s="3" t="s">
        <v>39</v>
      </c>
      <c r="C4298" s="4">
        <v>46174</v>
      </c>
      <c r="D4298" s="4">
        <v>46203</v>
      </c>
      <c r="E4298" s="3" t="s">
        <v>379</v>
      </c>
      <c r="F4298" s="3" t="s">
        <v>380</v>
      </c>
      <c r="G4298" s="5">
        <v>2E-3</v>
      </c>
      <c r="H4298" s="6" t="s">
        <v>61</v>
      </c>
      <c r="I4298" s="3" t="s">
        <v>45</v>
      </c>
    </row>
    <row r="4299" spans="1:9" ht="48" customHeight="1">
      <c r="A4299" s="3" t="s">
        <v>40</v>
      </c>
      <c r="B4299" s="3" t="s">
        <v>39</v>
      </c>
      <c r="C4299" s="4">
        <v>46174</v>
      </c>
      <c r="D4299" s="4">
        <v>46203</v>
      </c>
      <c r="E4299" s="3" t="s">
        <v>379</v>
      </c>
      <c r="F4299" s="3" t="s">
        <v>230</v>
      </c>
      <c r="G4299" s="5">
        <v>1E-3</v>
      </c>
      <c r="H4299" s="6" t="s">
        <v>61</v>
      </c>
      <c r="I4299" s="3" t="s">
        <v>45</v>
      </c>
    </row>
    <row r="4300" spans="1:9" ht="48" customHeight="1">
      <c r="A4300" s="3" t="s">
        <v>40</v>
      </c>
      <c r="B4300" s="3" t="s">
        <v>39</v>
      </c>
      <c r="C4300" s="4">
        <v>46174</v>
      </c>
      <c r="D4300" s="4">
        <v>46203</v>
      </c>
      <c r="E4300" s="3" t="s">
        <v>379</v>
      </c>
      <c r="F4300" s="3" t="s">
        <v>234</v>
      </c>
      <c r="G4300" s="5">
        <v>1E-3</v>
      </c>
      <c r="H4300" s="6" t="s">
        <v>61</v>
      </c>
      <c r="I4300" s="3" t="s">
        <v>45</v>
      </c>
    </row>
    <row r="4301" spans="1:9" ht="48" customHeight="1">
      <c r="A4301" s="3" t="s">
        <v>40</v>
      </c>
      <c r="B4301" s="3" t="s">
        <v>39</v>
      </c>
      <c r="C4301" s="4">
        <v>46174</v>
      </c>
      <c r="D4301" s="4">
        <v>46203</v>
      </c>
      <c r="E4301" s="3" t="s">
        <v>301</v>
      </c>
      <c r="F4301" s="3" t="s">
        <v>301</v>
      </c>
      <c r="G4301" s="5">
        <v>5.0000000000000001E-3</v>
      </c>
      <c r="H4301" s="6" t="s">
        <v>61</v>
      </c>
      <c r="I4301" s="3" t="s">
        <v>45</v>
      </c>
    </row>
    <row r="4302" spans="1:9" ht="48" customHeight="1">
      <c r="A4302" s="3" t="s">
        <v>40</v>
      </c>
      <c r="B4302" s="3" t="s">
        <v>39</v>
      </c>
      <c r="C4302" s="4">
        <v>46174</v>
      </c>
      <c r="D4302" s="4">
        <v>46203</v>
      </c>
      <c r="E4302" s="3" t="s">
        <v>381</v>
      </c>
      <c r="F4302" s="3" t="s">
        <v>382</v>
      </c>
      <c r="G4302" s="5">
        <v>3.0000000000000001E-3</v>
      </c>
      <c r="H4302" s="6" t="s">
        <v>61</v>
      </c>
      <c r="I4302" s="3" t="s">
        <v>45</v>
      </c>
    </row>
    <row r="4303" spans="1:9" ht="48" customHeight="1">
      <c r="A4303" s="3" t="s">
        <v>40</v>
      </c>
      <c r="B4303" s="3" t="s">
        <v>39</v>
      </c>
      <c r="C4303" s="4">
        <v>46174</v>
      </c>
      <c r="D4303" s="4">
        <v>46203</v>
      </c>
      <c r="E4303" s="3" t="s">
        <v>381</v>
      </c>
      <c r="F4303" s="3" t="s">
        <v>383</v>
      </c>
      <c r="G4303" s="5">
        <v>1E-3</v>
      </c>
      <c r="H4303" s="6" t="s">
        <v>61</v>
      </c>
      <c r="I4303" s="3" t="s">
        <v>45</v>
      </c>
    </row>
    <row r="4304" spans="1:9" ht="48" customHeight="1">
      <c r="A4304" s="3" t="s">
        <v>40</v>
      </c>
      <c r="B4304" s="3" t="s">
        <v>39</v>
      </c>
      <c r="C4304" s="4">
        <v>46204</v>
      </c>
      <c r="D4304" s="4">
        <v>46234</v>
      </c>
      <c r="E4304" s="3" t="s">
        <v>161</v>
      </c>
      <c r="F4304" s="3" t="s">
        <v>162</v>
      </c>
      <c r="G4304" s="5">
        <v>1.3999999999999999E-2</v>
      </c>
      <c r="H4304" s="6" t="s">
        <v>62</v>
      </c>
      <c r="I4304" s="3" t="s">
        <v>45</v>
      </c>
    </row>
    <row r="4305" spans="1:9" ht="48" customHeight="1">
      <c r="A4305" s="3" t="s">
        <v>40</v>
      </c>
      <c r="B4305" s="3" t="s">
        <v>39</v>
      </c>
      <c r="C4305" s="4">
        <v>46204</v>
      </c>
      <c r="D4305" s="4">
        <v>46234</v>
      </c>
      <c r="E4305" s="3" t="s">
        <v>161</v>
      </c>
      <c r="F4305" s="3" t="s">
        <v>172</v>
      </c>
      <c r="G4305" s="5">
        <v>1.3000000000000001E-2</v>
      </c>
      <c r="H4305" s="6" t="s">
        <v>62</v>
      </c>
      <c r="I4305" s="3" t="s">
        <v>45</v>
      </c>
    </row>
    <row r="4306" spans="1:9" ht="48" customHeight="1">
      <c r="A4306" s="3" t="s">
        <v>40</v>
      </c>
      <c r="B4306" s="3" t="s">
        <v>39</v>
      </c>
      <c r="C4306" s="4">
        <v>46204</v>
      </c>
      <c r="D4306" s="4">
        <v>46234</v>
      </c>
      <c r="E4306" s="3" t="s">
        <v>161</v>
      </c>
      <c r="F4306" s="3" t="s">
        <v>166</v>
      </c>
      <c r="G4306" s="5">
        <v>1.2E-2</v>
      </c>
      <c r="H4306" s="6" t="s">
        <v>62</v>
      </c>
      <c r="I4306" s="3" t="s">
        <v>45</v>
      </c>
    </row>
    <row r="4307" spans="1:9" ht="48" customHeight="1">
      <c r="A4307" s="3" t="s">
        <v>40</v>
      </c>
      <c r="B4307" s="3" t="s">
        <v>39</v>
      </c>
      <c r="C4307" s="4">
        <v>46204</v>
      </c>
      <c r="D4307" s="4">
        <v>46234</v>
      </c>
      <c r="E4307" s="3" t="s">
        <v>161</v>
      </c>
      <c r="F4307" s="3" t="s">
        <v>164</v>
      </c>
      <c r="G4307" s="5">
        <v>0.01</v>
      </c>
      <c r="H4307" s="6" t="s">
        <v>62</v>
      </c>
      <c r="I4307" s="3" t="s">
        <v>45</v>
      </c>
    </row>
    <row r="4308" spans="1:9" ht="48" customHeight="1">
      <c r="A4308" s="3" t="s">
        <v>40</v>
      </c>
      <c r="B4308" s="3" t="s">
        <v>39</v>
      </c>
      <c r="C4308" s="4">
        <v>46204</v>
      </c>
      <c r="D4308" s="4">
        <v>46234</v>
      </c>
      <c r="E4308" s="3" t="s">
        <v>161</v>
      </c>
      <c r="F4308" s="3" t="s">
        <v>168</v>
      </c>
      <c r="G4308" s="5">
        <v>0.01</v>
      </c>
      <c r="H4308" s="6" t="s">
        <v>62</v>
      </c>
      <c r="I4308" s="3" t="s">
        <v>45</v>
      </c>
    </row>
    <row r="4309" spans="1:9" ht="48" customHeight="1">
      <c r="A4309" s="3" t="s">
        <v>40</v>
      </c>
      <c r="B4309" s="3" t="s">
        <v>39</v>
      </c>
      <c r="C4309" s="4">
        <v>46204</v>
      </c>
      <c r="D4309" s="4">
        <v>46234</v>
      </c>
      <c r="E4309" s="3" t="s">
        <v>161</v>
      </c>
      <c r="F4309" s="3" t="s">
        <v>163</v>
      </c>
      <c r="G4309" s="5">
        <v>0.01</v>
      </c>
      <c r="H4309" s="6" t="s">
        <v>62</v>
      </c>
      <c r="I4309" s="3" t="s">
        <v>45</v>
      </c>
    </row>
    <row r="4310" spans="1:9" ht="48" customHeight="1">
      <c r="A4310" s="3" t="s">
        <v>40</v>
      </c>
      <c r="B4310" s="3" t="s">
        <v>39</v>
      </c>
      <c r="C4310" s="4">
        <v>46204</v>
      </c>
      <c r="D4310" s="4">
        <v>46234</v>
      </c>
      <c r="E4310" s="3" t="s">
        <v>161</v>
      </c>
      <c r="F4310" s="3" t="s">
        <v>180</v>
      </c>
      <c r="G4310" s="5">
        <v>0.01</v>
      </c>
      <c r="H4310" s="6" t="s">
        <v>62</v>
      </c>
      <c r="I4310" s="3" t="s">
        <v>45</v>
      </c>
    </row>
    <row r="4311" spans="1:9" ht="48" customHeight="1">
      <c r="A4311" s="3" t="s">
        <v>40</v>
      </c>
      <c r="B4311" s="3" t="s">
        <v>39</v>
      </c>
      <c r="C4311" s="4">
        <v>46204</v>
      </c>
      <c r="D4311" s="4">
        <v>46234</v>
      </c>
      <c r="E4311" s="3" t="s">
        <v>161</v>
      </c>
      <c r="F4311" s="3" t="s">
        <v>385</v>
      </c>
      <c r="G4311" s="5">
        <v>0.01</v>
      </c>
      <c r="H4311" s="6" t="s">
        <v>62</v>
      </c>
      <c r="I4311" s="3" t="s">
        <v>45</v>
      </c>
    </row>
    <row r="4312" spans="1:9" ht="48" customHeight="1">
      <c r="A4312" s="3" t="s">
        <v>40</v>
      </c>
      <c r="B4312" s="3" t="s">
        <v>39</v>
      </c>
      <c r="C4312" s="4">
        <v>46204</v>
      </c>
      <c r="D4312" s="4">
        <v>46234</v>
      </c>
      <c r="E4312" s="3" t="s">
        <v>161</v>
      </c>
      <c r="F4312" s="3" t="s">
        <v>184</v>
      </c>
      <c r="G4312" s="5">
        <v>0.01</v>
      </c>
      <c r="H4312" s="6" t="s">
        <v>62</v>
      </c>
      <c r="I4312" s="3" t="s">
        <v>45</v>
      </c>
    </row>
    <row r="4313" spans="1:9" ht="48" customHeight="1">
      <c r="A4313" s="3" t="s">
        <v>40</v>
      </c>
      <c r="B4313" s="3" t="s">
        <v>39</v>
      </c>
      <c r="C4313" s="4">
        <v>46204</v>
      </c>
      <c r="D4313" s="4">
        <v>46234</v>
      </c>
      <c r="E4313" s="3" t="s">
        <v>161</v>
      </c>
      <c r="F4313" s="3" t="s">
        <v>167</v>
      </c>
      <c r="G4313" s="5">
        <v>8.0000000000000002E-3</v>
      </c>
      <c r="H4313" s="6" t="s">
        <v>62</v>
      </c>
      <c r="I4313" s="3" t="s">
        <v>45</v>
      </c>
    </row>
    <row r="4314" spans="1:9" ht="48" customHeight="1">
      <c r="A4314" s="3" t="s">
        <v>40</v>
      </c>
      <c r="B4314" s="3" t="s">
        <v>39</v>
      </c>
      <c r="C4314" s="4">
        <v>46204</v>
      </c>
      <c r="D4314" s="4">
        <v>46234</v>
      </c>
      <c r="E4314" s="3" t="s">
        <v>161</v>
      </c>
      <c r="F4314" s="3" t="s">
        <v>177</v>
      </c>
      <c r="G4314" s="5">
        <v>8.0000000000000002E-3</v>
      </c>
      <c r="H4314" s="6" t="s">
        <v>62</v>
      </c>
      <c r="I4314" s="3" t="s">
        <v>45</v>
      </c>
    </row>
    <row r="4315" spans="1:9" ht="48" customHeight="1">
      <c r="A4315" s="3" t="s">
        <v>40</v>
      </c>
      <c r="B4315" s="3" t="s">
        <v>39</v>
      </c>
      <c r="C4315" s="4">
        <v>46204</v>
      </c>
      <c r="D4315" s="4">
        <v>46234</v>
      </c>
      <c r="E4315" s="3" t="s">
        <v>161</v>
      </c>
      <c r="F4315" s="3" t="s">
        <v>181</v>
      </c>
      <c r="G4315" s="5">
        <v>8.0000000000000002E-3</v>
      </c>
      <c r="H4315" s="6" t="s">
        <v>62</v>
      </c>
      <c r="I4315" s="3" t="s">
        <v>45</v>
      </c>
    </row>
    <row r="4316" spans="1:9" ht="48" customHeight="1">
      <c r="A4316" s="3" t="s">
        <v>40</v>
      </c>
      <c r="B4316" s="3" t="s">
        <v>39</v>
      </c>
      <c r="C4316" s="4">
        <v>46204</v>
      </c>
      <c r="D4316" s="4">
        <v>46234</v>
      </c>
      <c r="E4316" s="3" t="s">
        <v>161</v>
      </c>
      <c r="F4316" s="3" t="s">
        <v>195</v>
      </c>
      <c r="G4316" s="5">
        <v>8.0000000000000002E-3</v>
      </c>
      <c r="H4316" s="6" t="s">
        <v>62</v>
      </c>
      <c r="I4316" s="3" t="s">
        <v>45</v>
      </c>
    </row>
    <row r="4317" spans="1:9" ht="48" customHeight="1">
      <c r="A4317" s="3" t="s">
        <v>40</v>
      </c>
      <c r="B4317" s="3" t="s">
        <v>39</v>
      </c>
      <c r="C4317" s="4">
        <v>46204</v>
      </c>
      <c r="D4317" s="4">
        <v>46234</v>
      </c>
      <c r="E4317" s="3" t="s">
        <v>161</v>
      </c>
      <c r="F4317" s="3" t="s">
        <v>174</v>
      </c>
      <c r="G4317" s="5">
        <v>6.9999999999999993E-3</v>
      </c>
      <c r="H4317" s="6" t="s">
        <v>62</v>
      </c>
      <c r="I4317" s="3" t="s">
        <v>45</v>
      </c>
    </row>
    <row r="4318" spans="1:9" ht="48" customHeight="1">
      <c r="A4318" s="3" t="s">
        <v>40</v>
      </c>
      <c r="B4318" s="3" t="s">
        <v>39</v>
      </c>
      <c r="C4318" s="4">
        <v>46204</v>
      </c>
      <c r="D4318" s="4">
        <v>46234</v>
      </c>
      <c r="E4318" s="3" t="s">
        <v>161</v>
      </c>
      <c r="F4318" s="3" t="s">
        <v>171</v>
      </c>
      <c r="G4318" s="5">
        <v>6.9999999999999993E-3</v>
      </c>
      <c r="H4318" s="6" t="s">
        <v>62</v>
      </c>
      <c r="I4318" s="3" t="s">
        <v>45</v>
      </c>
    </row>
    <row r="4319" spans="1:9" ht="48" customHeight="1">
      <c r="A4319" s="3" t="s">
        <v>40</v>
      </c>
      <c r="B4319" s="3" t="s">
        <v>39</v>
      </c>
      <c r="C4319" s="4">
        <v>46204</v>
      </c>
      <c r="D4319" s="4">
        <v>46234</v>
      </c>
      <c r="E4319" s="3" t="s">
        <v>161</v>
      </c>
      <c r="F4319" s="3" t="s">
        <v>178</v>
      </c>
      <c r="G4319" s="5">
        <v>6.9999999999999993E-3</v>
      </c>
      <c r="H4319" s="6" t="s">
        <v>62</v>
      </c>
      <c r="I4319" s="3" t="s">
        <v>45</v>
      </c>
    </row>
    <row r="4320" spans="1:9" ht="48" customHeight="1">
      <c r="A4320" s="3" t="s">
        <v>40</v>
      </c>
      <c r="B4320" s="3" t="s">
        <v>39</v>
      </c>
      <c r="C4320" s="4">
        <v>46204</v>
      </c>
      <c r="D4320" s="4">
        <v>46234</v>
      </c>
      <c r="E4320" s="3" t="s">
        <v>161</v>
      </c>
      <c r="F4320" s="3" t="s">
        <v>188</v>
      </c>
      <c r="G4320" s="5">
        <v>6.9999999999999993E-3</v>
      </c>
      <c r="H4320" s="6" t="s">
        <v>62</v>
      </c>
      <c r="I4320" s="3" t="s">
        <v>45</v>
      </c>
    </row>
    <row r="4321" spans="1:9" ht="48" customHeight="1">
      <c r="A4321" s="3" t="s">
        <v>40</v>
      </c>
      <c r="B4321" s="3" t="s">
        <v>39</v>
      </c>
      <c r="C4321" s="4">
        <v>46204</v>
      </c>
      <c r="D4321" s="4">
        <v>46234</v>
      </c>
      <c r="E4321" s="3" t="s">
        <v>161</v>
      </c>
      <c r="F4321" s="3" t="s">
        <v>173</v>
      </c>
      <c r="G4321" s="5">
        <v>6.9999999999999993E-3</v>
      </c>
      <c r="H4321" s="6" t="s">
        <v>62</v>
      </c>
      <c r="I4321" s="3" t="s">
        <v>45</v>
      </c>
    </row>
    <row r="4322" spans="1:9" ht="48" customHeight="1">
      <c r="A4322" s="3" t="s">
        <v>40</v>
      </c>
      <c r="B4322" s="3" t="s">
        <v>39</v>
      </c>
      <c r="C4322" s="4">
        <v>46204</v>
      </c>
      <c r="D4322" s="4">
        <v>46234</v>
      </c>
      <c r="E4322" s="3" t="s">
        <v>161</v>
      </c>
      <c r="F4322" s="3" t="s">
        <v>384</v>
      </c>
      <c r="G4322" s="5">
        <v>6.9999999999999993E-3</v>
      </c>
      <c r="H4322" s="6" t="s">
        <v>62</v>
      </c>
      <c r="I4322" s="3" t="s">
        <v>45</v>
      </c>
    </row>
    <row r="4323" spans="1:9" ht="48" customHeight="1">
      <c r="A4323" s="3" t="s">
        <v>40</v>
      </c>
      <c r="B4323" s="3" t="s">
        <v>39</v>
      </c>
      <c r="C4323" s="4">
        <v>46204</v>
      </c>
      <c r="D4323" s="4">
        <v>46234</v>
      </c>
      <c r="E4323" s="3" t="s">
        <v>161</v>
      </c>
      <c r="F4323" s="3" t="s">
        <v>191</v>
      </c>
      <c r="G4323" s="5">
        <v>6.0000000000000001E-3</v>
      </c>
      <c r="H4323" s="6" t="s">
        <v>62</v>
      </c>
      <c r="I4323" s="3" t="s">
        <v>45</v>
      </c>
    </row>
    <row r="4324" spans="1:9" ht="48" customHeight="1">
      <c r="A4324" s="3" t="s">
        <v>40</v>
      </c>
      <c r="B4324" s="3" t="s">
        <v>39</v>
      </c>
      <c r="C4324" s="4">
        <v>46204</v>
      </c>
      <c r="D4324" s="4">
        <v>46234</v>
      </c>
      <c r="E4324" s="3" t="s">
        <v>161</v>
      </c>
      <c r="F4324" s="3" t="s">
        <v>169</v>
      </c>
      <c r="G4324" s="5">
        <v>6.0000000000000001E-3</v>
      </c>
      <c r="H4324" s="6" t="s">
        <v>62</v>
      </c>
      <c r="I4324" s="3" t="s">
        <v>45</v>
      </c>
    </row>
    <row r="4325" spans="1:9" ht="48" customHeight="1">
      <c r="A4325" s="3" t="s">
        <v>40</v>
      </c>
      <c r="B4325" s="3" t="s">
        <v>39</v>
      </c>
      <c r="C4325" s="4">
        <v>46204</v>
      </c>
      <c r="D4325" s="4">
        <v>46234</v>
      </c>
      <c r="E4325" s="3" t="s">
        <v>161</v>
      </c>
      <c r="F4325" s="3" t="s">
        <v>165</v>
      </c>
      <c r="G4325" s="5">
        <v>6.0000000000000001E-3</v>
      </c>
      <c r="H4325" s="6" t="s">
        <v>62</v>
      </c>
      <c r="I4325" s="3" t="s">
        <v>45</v>
      </c>
    </row>
    <row r="4326" spans="1:9" ht="48" customHeight="1">
      <c r="A4326" s="3" t="s">
        <v>40</v>
      </c>
      <c r="B4326" s="3" t="s">
        <v>39</v>
      </c>
      <c r="C4326" s="4">
        <v>46204</v>
      </c>
      <c r="D4326" s="4">
        <v>46234</v>
      </c>
      <c r="E4326" s="3" t="s">
        <v>161</v>
      </c>
      <c r="F4326" s="3" t="s">
        <v>170</v>
      </c>
      <c r="G4326" s="5">
        <v>6.0000000000000001E-3</v>
      </c>
      <c r="H4326" s="6" t="s">
        <v>62</v>
      </c>
      <c r="I4326" s="3" t="s">
        <v>45</v>
      </c>
    </row>
    <row r="4327" spans="1:9" ht="48" customHeight="1">
      <c r="A4327" s="3" t="s">
        <v>40</v>
      </c>
      <c r="B4327" s="3" t="s">
        <v>39</v>
      </c>
      <c r="C4327" s="4">
        <v>46204</v>
      </c>
      <c r="D4327" s="4">
        <v>46234</v>
      </c>
      <c r="E4327" s="3" t="s">
        <v>161</v>
      </c>
      <c r="F4327" s="3" t="s">
        <v>183</v>
      </c>
      <c r="G4327" s="5">
        <v>6.0000000000000001E-3</v>
      </c>
      <c r="H4327" s="6" t="s">
        <v>62</v>
      </c>
      <c r="I4327" s="3" t="s">
        <v>45</v>
      </c>
    </row>
    <row r="4328" spans="1:9" ht="48" customHeight="1">
      <c r="A4328" s="3" t="s">
        <v>40</v>
      </c>
      <c r="B4328" s="3" t="s">
        <v>39</v>
      </c>
      <c r="C4328" s="4">
        <v>46204</v>
      </c>
      <c r="D4328" s="4">
        <v>46234</v>
      </c>
      <c r="E4328" s="3" t="s">
        <v>161</v>
      </c>
      <c r="F4328" s="3" t="s">
        <v>200</v>
      </c>
      <c r="G4328" s="5">
        <v>6.0000000000000001E-3</v>
      </c>
      <c r="H4328" s="6" t="s">
        <v>62</v>
      </c>
      <c r="I4328" s="3" t="s">
        <v>45</v>
      </c>
    </row>
    <row r="4329" spans="1:9" ht="48" customHeight="1">
      <c r="A4329" s="3" t="s">
        <v>40</v>
      </c>
      <c r="B4329" s="3" t="s">
        <v>39</v>
      </c>
      <c r="C4329" s="4">
        <v>46204</v>
      </c>
      <c r="D4329" s="4">
        <v>46234</v>
      </c>
      <c r="E4329" s="3" t="s">
        <v>161</v>
      </c>
      <c r="F4329" s="3" t="s">
        <v>175</v>
      </c>
      <c r="G4329" s="5">
        <v>5.0000000000000001E-3</v>
      </c>
      <c r="H4329" s="6" t="s">
        <v>62</v>
      </c>
      <c r="I4329" s="3" t="s">
        <v>45</v>
      </c>
    </row>
    <row r="4330" spans="1:9" ht="48" customHeight="1">
      <c r="A4330" s="3" t="s">
        <v>40</v>
      </c>
      <c r="B4330" s="3" t="s">
        <v>39</v>
      </c>
      <c r="C4330" s="4">
        <v>46204</v>
      </c>
      <c r="D4330" s="4">
        <v>46234</v>
      </c>
      <c r="E4330" s="3" t="s">
        <v>161</v>
      </c>
      <c r="F4330" s="3" t="s">
        <v>189</v>
      </c>
      <c r="G4330" s="5">
        <v>5.0000000000000001E-3</v>
      </c>
      <c r="H4330" s="6" t="s">
        <v>62</v>
      </c>
      <c r="I4330" s="3" t="s">
        <v>45</v>
      </c>
    </row>
    <row r="4331" spans="1:9" ht="48" customHeight="1">
      <c r="A4331" s="3" t="s">
        <v>40</v>
      </c>
      <c r="B4331" s="3" t="s">
        <v>39</v>
      </c>
      <c r="C4331" s="4">
        <v>46204</v>
      </c>
      <c r="D4331" s="4">
        <v>46234</v>
      </c>
      <c r="E4331" s="3" t="s">
        <v>161</v>
      </c>
      <c r="F4331" s="3" t="s">
        <v>182</v>
      </c>
      <c r="G4331" s="5">
        <v>5.0000000000000001E-3</v>
      </c>
      <c r="H4331" s="6" t="s">
        <v>62</v>
      </c>
      <c r="I4331" s="3" t="s">
        <v>45</v>
      </c>
    </row>
    <row r="4332" spans="1:9" ht="48" customHeight="1">
      <c r="A4332" s="3" t="s">
        <v>40</v>
      </c>
      <c r="B4332" s="3" t="s">
        <v>39</v>
      </c>
      <c r="C4332" s="4">
        <v>46204</v>
      </c>
      <c r="D4332" s="4">
        <v>46234</v>
      </c>
      <c r="E4332" s="3" t="s">
        <v>161</v>
      </c>
      <c r="F4332" s="3" t="s">
        <v>386</v>
      </c>
      <c r="G4332" s="5">
        <v>5.0000000000000001E-3</v>
      </c>
      <c r="H4332" s="6" t="s">
        <v>62</v>
      </c>
      <c r="I4332" s="3" t="s">
        <v>45</v>
      </c>
    </row>
    <row r="4333" spans="1:9" ht="48" customHeight="1">
      <c r="A4333" s="3" t="s">
        <v>40</v>
      </c>
      <c r="B4333" s="3" t="s">
        <v>39</v>
      </c>
      <c r="C4333" s="4">
        <v>46204</v>
      </c>
      <c r="D4333" s="4">
        <v>46234</v>
      </c>
      <c r="E4333" s="3" t="s">
        <v>161</v>
      </c>
      <c r="F4333" s="3" t="s">
        <v>190</v>
      </c>
      <c r="G4333" s="5">
        <v>4.0000000000000001E-3</v>
      </c>
      <c r="H4333" s="6" t="s">
        <v>62</v>
      </c>
      <c r="I4333" s="3" t="s">
        <v>45</v>
      </c>
    </row>
    <row r="4334" spans="1:9" ht="48" customHeight="1">
      <c r="A4334" s="3" t="s">
        <v>40</v>
      </c>
      <c r="B4334" s="3" t="s">
        <v>39</v>
      </c>
      <c r="C4334" s="4">
        <v>46204</v>
      </c>
      <c r="D4334" s="4">
        <v>46234</v>
      </c>
      <c r="E4334" s="3" t="s">
        <v>161</v>
      </c>
      <c r="F4334" s="3" t="s">
        <v>176</v>
      </c>
      <c r="G4334" s="5">
        <v>4.0000000000000001E-3</v>
      </c>
      <c r="H4334" s="6" t="s">
        <v>62</v>
      </c>
      <c r="I4334" s="3" t="s">
        <v>45</v>
      </c>
    </row>
    <row r="4335" spans="1:9" ht="48" customHeight="1">
      <c r="A4335" s="3" t="s">
        <v>40</v>
      </c>
      <c r="B4335" s="3" t="s">
        <v>39</v>
      </c>
      <c r="C4335" s="4">
        <v>46204</v>
      </c>
      <c r="D4335" s="4">
        <v>46234</v>
      </c>
      <c r="E4335" s="3" t="s">
        <v>161</v>
      </c>
      <c r="F4335" s="3" t="s">
        <v>186</v>
      </c>
      <c r="G4335" s="5">
        <v>4.0000000000000001E-3</v>
      </c>
      <c r="H4335" s="6" t="s">
        <v>62</v>
      </c>
      <c r="I4335" s="3" t="s">
        <v>45</v>
      </c>
    </row>
    <row r="4336" spans="1:9" ht="48" customHeight="1">
      <c r="A4336" s="3" t="s">
        <v>40</v>
      </c>
      <c r="B4336" s="3" t="s">
        <v>39</v>
      </c>
      <c r="C4336" s="4">
        <v>46204</v>
      </c>
      <c r="D4336" s="4">
        <v>46234</v>
      </c>
      <c r="E4336" s="3" t="s">
        <v>161</v>
      </c>
      <c r="F4336" s="3" t="s">
        <v>187</v>
      </c>
      <c r="G4336" s="5">
        <v>4.0000000000000001E-3</v>
      </c>
      <c r="H4336" s="6" t="s">
        <v>62</v>
      </c>
      <c r="I4336" s="3" t="s">
        <v>45</v>
      </c>
    </row>
    <row r="4337" spans="1:9" ht="48" customHeight="1">
      <c r="A4337" s="3" t="s">
        <v>40</v>
      </c>
      <c r="B4337" s="3" t="s">
        <v>39</v>
      </c>
      <c r="C4337" s="4">
        <v>46204</v>
      </c>
      <c r="D4337" s="4">
        <v>46234</v>
      </c>
      <c r="E4337" s="3" t="s">
        <v>161</v>
      </c>
      <c r="F4337" s="3" t="s">
        <v>192</v>
      </c>
      <c r="G4337" s="5">
        <v>4.0000000000000001E-3</v>
      </c>
      <c r="H4337" s="6" t="s">
        <v>62</v>
      </c>
      <c r="I4337" s="3" t="s">
        <v>45</v>
      </c>
    </row>
    <row r="4338" spans="1:9" ht="48" customHeight="1">
      <c r="A4338" s="3" t="s">
        <v>40</v>
      </c>
      <c r="B4338" s="3" t="s">
        <v>39</v>
      </c>
      <c r="C4338" s="4">
        <v>46204</v>
      </c>
      <c r="D4338" s="4">
        <v>46234</v>
      </c>
      <c r="E4338" s="3" t="s">
        <v>161</v>
      </c>
      <c r="F4338" s="3" t="s">
        <v>193</v>
      </c>
      <c r="G4338" s="5">
        <v>4.0000000000000001E-3</v>
      </c>
      <c r="H4338" s="6" t="s">
        <v>62</v>
      </c>
      <c r="I4338" s="3" t="s">
        <v>45</v>
      </c>
    </row>
    <row r="4339" spans="1:9" ht="48" customHeight="1">
      <c r="A4339" s="3" t="s">
        <v>40</v>
      </c>
      <c r="B4339" s="3" t="s">
        <v>39</v>
      </c>
      <c r="C4339" s="4">
        <v>46204</v>
      </c>
      <c r="D4339" s="4">
        <v>46234</v>
      </c>
      <c r="E4339" s="3" t="s">
        <v>161</v>
      </c>
      <c r="F4339" s="3" t="s">
        <v>179</v>
      </c>
      <c r="G4339" s="5">
        <v>4.0000000000000001E-3</v>
      </c>
      <c r="H4339" s="6" t="s">
        <v>62</v>
      </c>
      <c r="I4339" s="3" t="s">
        <v>45</v>
      </c>
    </row>
    <row r="4340" spans="1:9" ht="48" customHeight="1">
      <c r="A4340" s="3" t="s">
        <v>40</v>
      </c>
      <c r="B4340" s="3" t="s">
        <v>39</v>
      </c>
      <c r="C4340" s="4">
        <v>46204</v>
      </c>
      <c r="D4340" s="4">
        <v>46234</v>
      </c>
      <c r="E4340" s="3" t="s">
        <v>161</v>
      </c>
      <c r="F4340" s="3" t="s">
        <v>387</v>
      </c>
      <c r="G4340" s="5">
        <v>4.0000000000000001E-3</v>
      </c>
      <c r="H4340" s="6" t="s">
        <v>62</v>
      </c>
      <c r="I4340" s="3" t="s">
        <v>45</v>
      </c>
    </row>
    <row r="4341" spans="1:9" ht="48" customHeight="1">
      <c r="A4341" s="3" t="s">
        <v>40</v>
      </c>
      <c r="B4341" s="3" t="s">
        <v>39</v>
      </c>
      <c r="C4341" s="4">
        <v>46204</v>
      </c>
      <c r="D4341" s="4">
        <v>46234</v>
      </c>
      <c r="E4341" s="3" t="s">
        <v>161</v>
      </c>
      <c r="F4341" s="3" t="s">
        <v>196</v>
      </c>
      <c r="G4341" s="5">
        <v>4.0000000000000001E-3</v>
      </c>
      <c r="H4341" s="6" t="s">
        <v>62</v>
      </c>
      <c r="I4341" s="3" t="s">
        <v>45</v>
      </c>
    </row>
    <row r="4342" spans="1:9" ht="48" customHeight="1">
      <c r="A4342" s="3" t="s">
        <v>40</v>
      </c>
      <c r="B4342" s="3" t="s">
        <v>39</v>
      </c>
      <c r="C4342" s="4">
        <v>46204</v>
      </c>
      <c r="D4342" s="4">
        <v>46234</v>
      </c>
      <c r="E4342" s="3" t="s">
        <v>161</v>
      </c>
      <c r="F4342" s="3" t="s">
        <v>201</v>
      </c>
      <c r="G4342" s="5">
        <v>4.0000000000000001E-3</v>
      </c>
      <c r="H4342" s="6" t="s">
        <v>62</v>
      </c>
      <c r="I4342" s="3" t="s">
        <v>45</v>
      </c>
    </row>
    <row r="4343" spans="1:9" ht="48" customHeight="1">
      <c r="A4343" s="3" t="s">
        <v>40</v>
      </c>
      <c r="B4343" s="3" t="s">
        <v>39</v>
      </c>
      <c r="C4343" s="4">
        <v>46204</v>
      </c>
      <c r="D4343" s="4">
        <v>46234</v>
      </c>
      <c r="E4343" s="3" t="s">
        <v>161</v>
      </c>
      <c r="F4343" s="3" t="s">
        <v>185</v>
      </c>
      <c r="G4343" s="5">
        <v>3.0000000000000001E-3</v>
      </c>
      <c r="H4343" s="6" t="s">
        <v>62</v>
      </c>
      <c r="I4343" s="3" t="s">
        <v>45</v>
      </c>
    </row>
    <row r="4344" spans="1:9" ht="48" customHeight="1">
      <c r="A4344" s="3" t="s">
        <v>40</v>
      </c>
      <c r="B4344" s="3" t="s">
        <v>39</v>
      </c>
      <c r="C4344" s="4">
        <v>46204</v>
      </c>
      <c r="D4344" s="4">
        <v>46234</v>
      </c>
      <c r="E4344" s="3" t="s">
        <v>161</v>
      </c>
      <c r="F4344" s="3" t="s">
        <v>194</v>
      </c>
      <c r="G4344" s="5">
        <v>3.0000000000000001E-3</v>
      </c>
      <c r="H4344" s="6" t="s">
        <v>62</v>
      </c>
      <c r="I4344" s="3" t="s">
        <v>45</v>
      </c>
    </row>
    <row r="4345" spans="1:9" ht="48" customHeight="1">
      <c r="A4345" s="3" t="s">
        <v>40</v>
      </c>
      <c r="B4345" s="3" t="s">
        <v>39</v>
      </c>
      <c r="C4345" s="4">
        <v>46204</v>
      </c>
      <c r="D4345" s="4">
        <v>46234</v>
      </c>
      <c r="E4345" s="3" t="s">
        <v>161</v>
      </c>
      <c r="F4345" s="3" t="s">
        <v>197</v>
      </c>
      <c r="G4345" s="5">
        <v>2E-3</v>
      </c>
      <c r="H4345" s="6" t="s">
        <v>62</v>
      </c>
      <c r="I4345" s="3" t="s">
        <v>45</v>
      </c>
    </row>
    <row r="4346" spans="1:9" ht="48" customHeight="1">
      <c r="A4346" s="3" t="s">
        <v>40</v>
      </c>
      <c r="B4346" s="3" t="s">
        <v>39</v>
      </c>
      <c r="C4346" s="4">
        <v>46204</v>
      </c>
      <c r="D4346" s="4">
        <v>46234</v>
      </c>
      <c r="E4346" s="3" t="s">
        <v>161</v>
      </c>
      <c r="F4346" s="3" t="s">
        <v>198</v>
      </c>
      <c r="G4346" s="5">
        <v>2E-3</v>
      </c>
      <c r="H4346" s="6" t="s">
        <v>62</v>
      </c>
      <c r="I4346" s="3" t="s">
        <v>45</v>
      </c>
    </row>
    <row r="4347" spans="1:9" ht="48" customHeight="1">
      <c r="A4347" s="3" t="s">
        <v>40</v>
      </c>
      <c r="B4347" s="3" t="s">
        <v>39</v>
      </c>
      <c r="C4347" s="4">
        <v>46204</v>
      </c>
      <c r="D4347" s="4">
        <v>46234</v>
      </c>
      <c r="E4347" s="3" t="s">
        <v>161</v>
      </c>
      <c r="F4347" s="3" t="s">
        <v>199</v>
      </c>
      <c r="G4347" s="5">
        <v>2E-3</v>
      </c>
      <c r="H4347" s="6" t="s">
        <v>62</v>
      </c>
      <c r="I4347" s="3" t="s">
        <v>45</v>
      </c>
    </row>
    <row r="4348" spans="1:9" ht="48" customHeight="1">
      <c r="A4348" s="3" t="s">
        <v>40</v>
      </c>
      <c r="B4348" s="3" t="s">
        <v>39</v>
      </c>
      <c r="C4348" s="4">
        <v>46204</v>
      </c>
      <c r="D4348" s="4">
        <v>46234</v>
      </c>
      <c r="E4348" s="3" t="s">
        <v>161</v>
      </c>
      <c r="F4348" s="3" t="s">
        <v>202</v>
      </c>
      <c r="G4348" s="5">
        <v>1E-3</v>
      </c>
      <c r="H4348" s="6" t="s">
        <v>62</v>
      </c>
      <c r="I4348" s="3" t="s">
        <v>45</v>
      </c>
    </row>
    <row r="4349" spans="1:9" ht="48" customHeight="1">
      <c r="A4349" s="3" t="s">
        <v>40</v>
      </c>
      <c r="B4349" s="3" t="s">
        <v>39</v>
      </c>
      <c r="C4349" s="4">
        <v>46204</v>
      </c>
      <c r="D4349" s="4">
        <v>46234</v>
      </c>
      <c r="E4349" s="3" t="s">
        <v>161</v>
      </c>
      <c r="F4349" s="3" t="s">
        <v>204</v>
      </c>
      <c r="G4349" s="5">
        <v>1E-3</v>
      </c>
      <c r="H4349" s="6" t="s">
        <v>62</v>
      </c>
      <c r="I4349" s="3" t="s">
        <v>45</v>
      </c>
    </row>
    <row r="4350" spans="1:9" ht="48" customHeight="1">
      <c r="A4350" s="3" t="s">
        <v>40</v>
      </c>
      <c r="B4350" s="3" t="s">
        <v>39</v>
      </c>
      <c r="C4350" s="4">
        <v>46204</v>
      </c>
      <c r="D4350" s="4">
        <v>46234</v>
      </c>
      <c r="E4350" s="3" t="s">
        <v>161</v>
      </c>
      <c r="F4350" s="3" t="s">
        <v>203</v>
      </c>
      <c r="G4350" s="5">
        <v>0</v>
      </c>
      <c r="H4350" s="6" t="s">
        <v>62</v>
      </c>
      <c r="I4350" s="3" t="s">
        <v>45</v>
      </c>
    </row>
    <row r="4351" spans="1:9" ht="48" customHeight="1">
      <c r="A4351" s="3" t="s">
        <v>40</v>
      </c>
      <c r="B4351" s="3" t="s">
        <v>39</v>
      </c>
      <c r="C4351" s="4">
        <v>46204</v>
      </c>
      <c r="D4351" s="4">
        <v>46234</v>
      </c>
      <c r="E4351" s="3" t="s">
        <v>47</v>
      </c>
      <c r="F4351" s="3" t="s">
        <v>348</v>
      </c>
      <c r="G4351" s="5">
        <v>6.8000000000000005E-2</v>
      </c>
      <c r="H4351" s="6" t="s">
        <v>62</v>
      </c>
      <c r="I4351" s="3" t="s">
        <v>45</v>
      </c>
    </row>
    <row r="4352" spans="1:9" ht="48" customHeight="1">
      <c r="A4352" s="3" t="s">
        <v>40</v>
      </c>
      <c r="B4352" s="3" t="s">
        <v>39</v>
      </c>
      <c r="C4352" s="4">
        <v>46204</v>
      </c>
      <c r="D4352" s="4">
        <v>46234</v>
      </c>
      <c r="E4352" s="3" t="s">
        <v>47</v>
      </c>
      <c r="F4352" s="3" t="s">
        <v>358</v>
      </c>
      <c r="G4352" s="5">
        <v>4.8000000000000001E-2</v>
      </c>
      <c r="H4352" s="6" t="s">
        <v>62</v>
      </c>
      <c r="I4352" s="3" t="s">
        <v>45</v>
      </c>
    </row>
    <row r="4353" spans="1:9" ht="48" customHeight="1">
      <c r="A4353" s="3" t="s">
        <v>40</v>
      </c>
      <c r="B4353" s="3" t="s">
        <v>39</v>
      </c>
      <c r="C4353" s="4">
        <v>46204</v>
      </c>
      <c r="D4353" s="4">
        <v>46234</v>
      </c>
      <c r="E4353" s="3" t="s">
        <v>47</v>
      </c>
      <c r="F4353" s="3" t="s">
        <v>357</v>
      </c>
      <c r="G4353" s="5">
        <v>2.5000000000000001E-2</v>
      </c>
      <c r="H4353" s="6" t="s">
        <v>62</v>
      </c>
      <c r="I4353" s="3" t="s">
        <v>45</v>
      </c>
    </row>
    <row r="4354" spans="1:9" ht="48" customHeight="1">
      <c r="A4354" s="3" t="s">
        <v>40</v>
      </c>
      <c r="B4354" s="3" t="s">
        <v>39</v>
      </c>
      <c r="C4354" s="4">
        <v>46204</v>
      </c>
      <c r="D4354" s="4">
        <v>46234</v>
      </c>
      <c r="E4354" s="3" t="s">
        <v>47</v>
      </c>
      <c r="F4354" s="3" t="s">
        <v>352</v>
      </c>
      <c r="G4354" s="5">
        <v>2.4E-2</v>
      </c>
      <c r="H4354" s="6" t="s">
        <v>62</v>
      </c>
      <c r="I4354" s="3" t="s">
        <v>45</v>
      </c>
    </row>
    <row r="4355" spans="1:9" ht="48" customHeight="1">
      <c r="A4355" s="3" t="s">
        <v>40</v>
      </c>
      <c r="B4355" s="3" t="s">
        <v>39</v>
      </c>
      <c r="C4355" s="4">
        <v>46204</v>
      </c>
      <c r="D4355" s="4">
        <v>46234</v>
      </c>
      <c r="E4355" s="3" t="s">
        <v>47</v>
      </c>
      <c r="F4355" s="3" t="s">
        <v>349</v>
      </c>
      <c r="G4355" s="5">
        <v>1.3999999999999999E-2</v>
      </c>
      <c r="H4355" s="6" t="s">
        <v>62</v>
      </c>
      <c r="I4355" s="3" t="s">
        <v>45</v>
      </c>
    </row>
    <row r="4356" spans="1:9" ht="48" customHeight="1">
      <c r="A4356" s="3" t="s">
        <v>40</v>
      </c>
      <c r="B4356" s="3" t="s">
        <v>39</v>
      </c>
      <c r="C4356" s="4">
        <v>46204</v>
      </c>
      <c r="D4356" s="4">
        <v>46234</v>
      </c>
      <c r="E4356" s="3" t="s">
        <v>47</v>
      </c>
      <c r="F4356" s="3" t="s">
        <v>350</v>
      </c>
      <c r="G4356" s="5">
        <v>0.01</v>
      </c>
      <c r="H4356" s="6" t="s">
        <v>62</v>
      </c>
      <c r="I4356" s="3" t="s">
        <v>45</v>
      </c>
    </row>
    <row r="4357" spans="1:9" ht="48" customHeight="1">
      <c r="A4357" s="3" t="s">
        <v>40</v>
      </c>
      <c r="B4357" s="3" t="s">
        <v>39</v>
      </c>
      <c r="C4357" s="4">
        <v>46204</v>
      </c>
      <c r="D4357" s="4">
        <v>46234</v>
      </c>
      <c r="E4357" s="3" t="s">
        <v>47</v>
      </c>
      <c r="F4357" s="3" t="s">
        <v>351</v>
      </c>
      <c r="G4357" s="5">
        <v>6.0000000000000001E-3</v>
      </c>
      <c r="H4357" s="6" t="s">
        <v>62</v>
      </c>
      <c r="I4357" s="3" t="s">
        <v>45</v>
      </c>
    </row>
    <row r="4358" spans="1:9" ht="48" customHeight="1">
      <c r="A4358" s="3" t="s">
        <v>40</v>
      </c>
      <c r="B4358" s="3" t="s">
        <v>39</v>
      </c>
      <c r="C4358" s="4">
        <v>46204</v>
      </c>
      <c r="D4358" s="4">
        <v>46234</v>
      </c>
      <c r="E4358" s="3" t="s">
        <v>47</v>
      </c>
      <c r="F4358" s="3" t="s">
        <v>354</v>
      </c>
      <c r="G4358" s="5">
        <v>6.0000000000000001E-3</v>
      </c>
      <c r="H4358" s="6" t="s">
        <v>62</v>
      </c>
      <c r="I4358" s="3" t="s">
        <v>45</v>
      </c>
    </row>
    <row r="4359" spans="1:9" ht="48" customHeight="1">
      <c r="A4359" s="3" t="s">
        <v>40</v>
      </c>
      <c r="B4359" s="3" t="s">
        <v>39</v>
      </c>
      <c r="C4359" s="4">
        <v>46204</v>
      </c>
      <c r="D4359" s="4">
        <v>46234</v>
      </c>
      <c r="E4359" s="3" t="s">
        <v>47</v>
      </c>
      <c r="F4359" s="3" t="s">
        <v>356</v>
      </c>
      <c r="G4359" s="5">
        <v>5.0000000000000001E-3</v>
      </c>
      <c r="H4359" s="6" t="s">
        <v>62</v>
      </c>
      <c r="I4359" s="3" t="s">
        <v>45</v>
      </c>
    </row>
    <row r="4360" spans="1:9" ht="48" customHeight="1">
      <c r="A4360" s="3" t="s">
        <v>40</v>
      </c>
      <c r="B4360" s="3" t="s">
        <v>39</v>
      </c>
      <c r="C4360" s="4">
        <v>46204</v>
      </c>
      <c r="D4360" s="4">
        <v>46234</v>
      </c>
      <c r="E4360" s="3" t="s">
        <v>47</v>
      </c>
      <c r="F4360" s="3" t="s">
        <v>353</v>
      </c>
      <c r="G4360" s="5">
        <v>2E-3</v>
      </c>
      <c r="H4360" s="6" t="s">
        <v>62</v>
      </c>
      <c r="I4360" s="3" t="s">
        <v>45</v>
      </c>
    </row>
    <row r="4361" spans="1:9" ht="48" customHeight="1">
      <c r="A4361" s="3" t="s">
        <v>40</v>
      </c>
      <c r="B4361" s="3" t="s">
        <v>39</v>
      </c>
      <c r="C4361" s="4">
        <v>46204</v>
      </c>
      <c r="D4361" s="4">
        <v>46234</v>
      </c>
      <c r="E4361" s="3" t="s">
        <v>47</v>
      </c>
      <c r="F4361" s="3" t="s">
        <v>355</v>
      </c>
      <c r="G4361" s="5">
        <v>2E-3</v>
      </c>
      <c r="H4361" s="6" t="s">
        <v>62</v>
      </c>
      <c r="I4361" s="3" t="s">
        <v>45</v>
      </c>
    </row>
    <row r="4362" spans="1:9" ht="48" customHeight="1">
      <c r="A4362" s="3" t="s">
        <v>40</v>
      </c>
      <c r="B4362" s="3" t="s">
        <v>39</v>
      </c>
      <c r="C4362" s="4">
        <v>46204</v>
      </c>
      <c r="D4362" s="4">
        <v>46234</v>
      </c>
      <c r="E4362" s="3" t="s">
        <v>47</v>
      </c>
      <c r="F4362" s="3" t="s">
        <v>359</v>
      </c>
      <c r="G4362" s="5">
        <v>1E-3</v>
      </c>
      <c r="H4362" s="6" t="s">
        <v>62</v>
      </c>
      <c r="I4362" s="3" t="s">
        <v>45</v>
      </c>
    </row>
    <row r="4363" spans="1:9" ht="48" customHeight="1">
      <c r="A4363" s="3" t="s">
        <v>40</v>
      </c>
      <c r="B4363" s="3" t="s">
        <v>39</v>
      </c>
      <c r="C4363" s="4">
        <v>46204</v>
      </c>
      <c r="D4363" s="4">
        <v>46234</v>
      </c>
      <c r="E4363" s="3" t="s">
        <v>47</v>
      </c>
      <c r="F4363" s="3" t="s">
        <v>361</v>
      </c>
      <c r="G4363" s="5">
        <v>1E-3</v>
      </c>
      <c r="H4363" s="6" t="s">
        <v>62</v>
      </c>
      <c r="I4363" s="3" t="s">
        <v>45</v>
      </c>
    </row>
    <row r="4364" spans="1:9" ht="48" customHeight="1">
      <c r="A4364" s="3" t="s">
        <v>40</v>
      </c>
      <c r="B4364" s="3" t="s">
        <v>39</v>
      </c>
      <c r="C4364" s="4">
        <v>46204</v>
      </c>
      <c r="D4364" s="4">
        <v>46234</v>
      </c>
      <c r="E4364" s="3" t="s">
        <v>47</v>
      </c>
      <c r="F4364" s="3" t="s">
        <v>362</v>
      </c>
      <c r="G4364" s="5">
        <v>1E-3</v>
      </c>
      <c r="H4364" s="6" t="s">
        <v>62</v>
      </c>
      <c r="I4364" s="3" t="s">
        <v>45</v>
      </c>
    </row>
    <row r="4365" spans="1:9" ht="48" customHeight="1">
      <c r="A4365" s="3" t="s">
        <v>40</v>
      </c>
      <c r="B4365" s="3" t="s">
        <v>39</v>
      </c>
      <c r="C4365" s="4">
        <v>46204</v>
      </c>
      <c r="D4365" s="4">
        <v>46234</v>
      </c>
      <c r="E4365" s="3" t="s">
        <v>47</v>
      </c>
      <c r="F4365" s="3" t="s">
        <v>363</v>
      </c>
      <c r="G4365" s="5">
        <v>1E-3</v>
      </c>
      <c r="H4365" s="6" t="s">
        <v>62</v>
      </c>
      <c r="I4365" s="3" t="s">
        <v>45</v>
      </c>
    </row>
    <row r="4366" spans="1:9" ht="48" customHeight="1">
      <c r="A4366" s="3" t="s">
        <v>40</v>
      </c>
      <c r="B4366" s="3" t="s">
        <v>39</v>
      </c>
      <c r="C4366" s="4">
        <v>46204</v>
      </c>
      <c r="D4366" s="4">
        <v>46234</v>
      </c>
      <c r="E4366" s="3" t="s">
        <v>47</v>
      </c>
      <c r="F4366" s="3" t="s">
        <v>360</v>
      </c>
      <c r="G4366" s="5">
        <v>0</v>
      </c>
      <c r="H4366" s="6" t="s">
        <v>62</v>
      </c>
      <c r="I4366" s="3" t="s">
        <v>45</v>
      </c>
    </row>
    <row r="4367" spans="1:9" ht="48" customHeight="1">
      <c r="A4367" s="3" t="s">
        <v>40</v>
      </c>
      <c r="B4367" s="3" t="s">
        <v>39</v>
      </c>
      <c r="C4367" s="4">
        <v>46204</v>
      </c>
      <c r="D4367" s="4">
        <v>46234</v>
      </c>
      <c r="E4367" s="3" t="s">
        <v>47</v>
      </c>
      <c r="F4367" s="3" t="s">
        <v>318</v>
      </c>
      <c r="G4367" s="5">
        <v>0</v>
      </c>
      <c r="H4367" s="6" t="s">
        <v>62</v>
      </c>
      <c r="I4367" s="3" t="s">
        <v>45</v>
      </c>
    </row>
    <row r="4368" spans="1:9" ht="48" customHeight="1">
      <c r="A4368" s="3" t="s">
        <v>40</v>
      </c>
      <c r="B4368" s="3" t="s">
        <v>39</v>
      </c>
      <c r="C4368" s="4">
        <v>46204</v>
      </c>
      <c r="D4368" s="4">
        <v>46234</v>
      </c>
      <c r="E4368" s="3" t="s">
        <v>286</v>
      </c>
      <c r="F4368" s="3" t="s">
        <v>293</v>
      </c>
      <c r="G4368" s="5">
        <v>7.9000000000000001E-2</v>
      </c>
      <c r="H4368" s="6" t="s">
        <v>62</v>
      </c>
      <c r="I4368" s="3" t="s">
        <v>45</v>
      </c>
    </row>
    <row r="4369" spans="1:9" ht="48" customHeight="1">
      <c r="A4369" s="3" t="s">
        <v>40</v>
      </c>
      <c r="B4369" s="3" t="s">
        <v>39</v>
      </c>
      <c r="C4369" s="4">
        <v>46204</v>
      </c>
      <c r="D4369" s="4">
        <v>46234</v>
      </c>
      <c r="E4369" s="3" t="s">
        <v>286</v>
      </c>
      <c r="F4369" s="3" t="s">
        <v>300</v>
      </c>
      <c r="G4369" s="5">
        <v>1.6E-2</v>
      </c>
      <c r="H4369" s="6" t="s">
        <v>62</v>
      </c>
      <c r="I4369" s="3" t="s">
        <v>45</v>
      </c>
    </row>
    <row r="4370" spans="1:9" ht="48" customHeight="1">
      <c r="A4370" s="3" t="s">
        <v>40</v>
      </c>
      <c r="B4370" s="3" t="s">
        <v>39</v>
      </c>
      <c r="C4370" s="4">
        <v>46204</v>
      </c>
      <c r="D4370" s="4">
        <v>46234</v>
      </c>
      <c r="E4370" s="3" t="s">
        <v>286</v>
      </c>
      <c r="F4370" s="3" t="s">
        <v>291</v>
      </c>
      <c r="G4370" s="5">
        <v>1.3000000000000001E-2</v>
      </c>
      <c r="H4370" s="6" t="s">
        <v>62</v>
      </c>
      <c r="I4370" s="3" t="s">
        <v>45</v>
      </c>
    </row>
    <row r="4371" spans="1:9" ht="48" customHeight="1">
      <c r="A4371" s="3" t="s">
        <v>40</v>
      </c>
      <c r="B4371" s="3" t="s">
        <v>39</v>
      </c>
      <c r="C4371" s="4">
        <v>46204</v>
      </c>
      <c r="D4371" s="4">
        <v>46234</v>
      </c>
      <c r="E4371" s="3" t="s">
        <v>286</v>
      </c>
      <c r="F4371" s="3" t="s">
        <v>288</v>
      </c>
      <c r="G4371" s="5">
        <v>5.0000000000000001E-3</v>
      </c>
      <c r="H4371" s="6" t="s">
        <v>62</v>
      </c>
      <c r="I4371" s="3" t="s">
        <v>45</v>
      </c>
    </row>
    <row r="4372" spans="1:9" ht="48" customHeight="1">
      <c r="A4372" s="3" t="s">
        <v>40</v>
      </c>
      <c r="B4372" s="3" t="s">
        <v>39</v>
      </c>
      <c r="C4372" s="4">
        <v>46204</v>
      </c>
      <c r="D4372" s="4">
        <v>46234</v>
      </c>
      <c r="E4372" s="3" t="s">
        <v>286</v>
      </c>
      <c r="F4372" s="3" t="s">
        <v>287</v>
      </c>
      <c r="G4372" s="5">
        <v>5.0000000000000001E-3</v>
      </c>
      <c r="H4372" s="6" t="s">
        <v>62</v>
      </c>
      <c r="I4372" s="3" t="s">
        <v>45</v>
      </c>
    </row>
    <row r="4373" spans="1:9" ht="48" customHeight="1">
      <c r="A4373" s="3" t="s">
        <v>40</v>
      </c>
      <c r="B4373" s="3" t="s">
        <v>39</v>
      </c>
      <c r="C4373" s="4">
        <v>46204</v>
      </c>
      <c r="D4373" s="4">
        <v>46234</v>
      </c>
      <c r="E4373" s="3" t="s">
        <v>286</v>
      </c>
      <c r="F4373" s="3" t="s">
        <v>289</v>
      </c>
      <c r="G4373" s="5">
        <v>5.0000000000000001E-3</v>
      </c>
      <c r="H4373" s="6" t="s">
        <v>62</v>
      </c>
      <c r="I4373" s="3" t="s">
        <v>45</v>
      </c>
    </row>
    <row r="4374" spans="1:9" ht="48" customHeight="1">
      <c r="A4374" s="3" t="s">
        <v>40</v>
      </c>
      <c r="B4374" s="3" t="s">
        <v>39</v>
      </c>
      <c r="C4374" s="4">
        <v>46204</v>
      </c>
      <c r="D4374" s="4">
        <v>46234</v>
      </c>
      <c r="E4374" s="3" t="s">
        <v>286</v>
      </c>
      <c r="F4374" s="3" t="s">
        <v>292</v>
      </c>
      <c r="G4374" s="5">
        <v>5.0000000000000001E-3</v>
      </c>
      <c r="H4374" s="6" t="s">
        <v>62</v>
      </c>
      <c r="I4374" s="3" t="s">
        <v>45</v>
      </c>
    </row>
    <row r="4375" spans="1:9" ht="48" customHeight="1">
      <c r="A4375" s="3" t="s">
        <v>40</v>
      </c>
      <c r="B4375" s="3" t="s">
        <v>39</v>
      </c>
      <c r="C4375" s="4">
        <v>46204</v>
      </c>
      <c r="D4375" s="4">
        <v>46234</v>
      </c>
      <c r="E4375" s="3" t="s">
        <v>286</v>
      </c>
      <c r="F4375" s="3" t="s">
        <v>290</v>
      </c>
      <c r="G4375" s="5">
        <v>3.0000000000000001E-3</v>
      </c>
      <c r="H4375" s="6" t="s">
        <v>62</v>
      </c>
      <c r="I4375" s="3" t="s">
        <v>45</v>
      </c>
    </row>
    <row r="4376" spans="1:9" ht="48" customHeight="1">
      <c r="A4376" s="3" t="s">
        <v>40</v>
      </c>
      <c r="B4376" s="3" t="s">
        <v>39</v>
      </c>
      <c r="C4376" s="4">
        <v>46204</v>
      </c>
      <c r="D4376" s="4">
        <v>46234</v>
      </c>
      <c r="E4376" s="3" t="s">
        <v>286</v>
      </c>
      <c r="F4376" s="3" t="s">
        <v>297</v>
      </c>
      <c r="G4376" s="5">
        <v>3.0000000000000001E-3</v>
      </c>
      <c r="H4376" s="6" t="s">
        <v>62</v>
      </c>
      <c r="I4376" s="3" t="s">
        <v>45</v>
      </c>
    </row>
    <row r="4377" spans="1:9" ht="48" customHeight="1">
      <c r="A4377" s="3" t="s">
        <v>40</v>
      </c>
      <c r="B4377" s="3" t="s">
        <v>39</v>
      </c>
      <c r="C4377" s="4">
        <v>46204</v>
      </c>
      <c r="D4377" s="4">
        <v>46234</v>
      </c>
      <c r="E4377" s="3" t="s">
        <v>286</v>
      </c>
      <c r="F4377" s="3" t="s">
        <v>295</v>
      </c>
      <c r="G4377" s="5">
        <v>1E-3</v>
      </c>
      <c r="H4377" s="6" t="s">
        <v>62</v>
      </c>
      <c r="I4377" s="3" t="s">
        <v>45</v>
      </c>
    </row>
    <row r="4378" spans="1:9" ht="48" customHeight="1">
      <c r="A4378" s="3" t="s">
        <v>40</v>
      </c>
      <c r="B4378" s="3" t="s">
        <v>39</v>
      </c>
      <c r="C4378" s="4">
        <v>46204</v>
      </c>
      <c r="D4378" s="4">
        <v>46234</v>
      </c>
      <c r="E4378" s="3" t="s">
        <v>286</v>
      </c>
      <c r="F4378" s="3" t="s">
        <v>298</v>
      </c>
      <c r="G4378" s="5">
        <v>1E-3</v>
      </c>
      <c r="H4378" s="6" t="s">
        <v>62</v>
      </c>
      <c r="I4378" s="3" t="s">
        <v>45</v>
      </c>
    </row>
    <row r="4379" spans="1:9" ht="48" customHeight="1">
      <c r="A4379" s="3" t="s">
        <v>40</v>
      </c>
      <c r="B4379" s="3" t="s">
        <v>39</v>
      </c>
      <c r="C4379" s="4">
        <v>46204</v>
      </c>
      <c r="D4379" s="4">
        <v>46234</v>
      </c>
      <c r="E4379" s="3" t="s">
        <v>286</v>
      </c>
      <c r="F4379" s="3" t="s">
        <v>299</v>
      </c>
      <c r="G4379" s="5">
        <v>1E-3</v>
      </c>
      <c r="H4379" s="6" t="s">
        <v>62</v>
      </c>
      <c r="I4379" s="3" t="s">
        <v>45</v>
      </c>
    </row>
    <row r="4380" spans="1:9" ht="48" customHeight="1">
      <c r="A4380" s="3" t="s">
        <v>40</v>
      </c>
      <c r="B4380" s="3" t="s">
        <v>39</v>
      </c>
      <c r="C4380" s="4">
        <v>46204</v>
      </c>
      <c r="D4380" s="4">
        <v>46234</v>
      </c>
      <c r="E4380" s="3" t="s">
        <v>286</v>
      </c>
      <c r="F4380" s="3" t="s">
        <v>294</v>
      </c>
      <c r="G4380" s="5">
        <v>0</v>
      </c>
      <c r="H4380" s="6" t="s">
        <v>62</v>
      </c>
      <c r="I4380" s="3" t="s">
        <v>45</v>
      </c>
    </row>
    <row r="4381" spans="1:9" ht="48" customHeight="1">
      <c r="A4381" s="3" t="s">
        <v>40</v>
      </c>
      <c r="B4381" s="3" t="s">
        <v>39</v>
      </c>
      <c r="C4381" s="4">
        <v>46204</v>
      </c>
      <c r="D4381" s="4">
        <v>46234</v>
      </c>
      <c r="E4381" s="3" t="s">
        <v>286</v>
      </c>
      <c r="F4381" s="3" t="s">
        <v>296</v>
      </c>
      <c r="G4381" s="5">
        <v>0</v>
      </c>
      <c r="H4381" s="6" t="s">
        <v>62</v>
      </c>
      <c r="I4381" s="3" t="s">
        <v>45</v>
      </c>
    </row>
    <row r="4382" spans="1:9" ht="48" customHeight="1">
      <c r="A4382" s="3" t="s">
        <v>40</v>
      </c>
      <c r="B4382" s="3" t="s">
        <v>39</v>
      </c>
      <c r="C4382" s="4">
        <v>46204</v>
      </c>
      <c r="D4382" s="4">
        <v>46234</v>
      </c>
      <c r="E4382" s="3" t="s">
        <v>205</v>
      </c>
      <c r="F4382" s="3" t="s">
        <v>210</v>
      </c>
      <c r="G4382" s="5">
        <v>1.1000000000000001E-2</v>
      </c>
      <c r="H4382" s="6" t="s">
        <v>62</v>
      </c>
      <c r="I4382" s="3" t="s">
        <v>45</v>
      </c>
    </row>
    <row r="4383" spans="1:9" ht="48" customHeight="1">
      <c r="A4383" s="3" t="s">
        <v>40</v>
      </c>
      <c r="B4383" s="3" t="s">
        <v>39</v>
      </c>
      <c r="C4383" s="4">
        <v>46204</v>
      </c>
      <c r="D4383" s="4">
        <v>46234</v>
      </c>
      <c r="E4383" s="3" t="s">
        <v>205</v>
      </c>
      <c r="F4383" s="3" t="s">
        <v>216</v>
      </c>
      <c r="G4383" s="5">
        <v>0.01</v>
      </c>
      <c r="H4383" s="6" t="s">
        <v>62</v>
      </c>
      <c r="I4383" s="3" t="s">
        <v>45</v>
      </c>
    </row>
    <row r="4384" spans="1:9" ht="48" customHeight="1">
      <c r="A4384" s="3" t="s">
        <v>40</v>
      </c>
      <c r="B4384" s="3" t="s">
        <v>39</v>
      </c>
      <c r="C4384" s="4">
        <v>46204</v>
      </c>
      <c r="D4384" s="4">
        <v>46234</v>
      </c>
      <c r="E4384" s="3" t="s">
        <v>205</v>
      </c>
      <c r="F4384" s="3" t="s">
        <v>209</v>
      </c>
      <c r="G4384" s="5">
        <v>8.0000000000000002E-3</v>
      </c>
      <c r="H4384" s="6" t="s">
        <v>62</v>
      </c>
      <c r="I4384" s="3" t="s">
        <v>45</v>
      </c>
    </row>
    <row r="4385" spans="1:9" ht="48" customHeight="1">
      <c r="A4385" s="3" t="s">
        <v>40</v>
      </c>
      <c r="B4385" s="3" t="s">
        <v>39</v>
      </c>
      <c r="C4385" s="4">
        <v>46204</v>
      </c>
      <c r="D4385" s="4">
        <v>46234</v>
      </c>
      <c r="E4385" s="3" t="s">
        <v>205</v>
      </c>
      <c r="F4385" s="3" t="s">
        <v>220</v>
      </c>
      <c r="G4385" s="5">
        <v>6.9999999999999993E-3</v>
      </c>
      <c r="H4385" s="6" t="s">
        <v>62</v>
      </c>
      <c r="I4385" s="3" t="s">
        <v>45</v>
      </c>
    </row>
    <row r="4386" spans="1:9" ht="48" customHeight="1">
      <c r="A4386" s="3" t="s">
        <v>40</v>
      </c>
      <c r="B4386" s="3" t="s">
        <v>39</v>
      </c>
      <c r="C4386" s="4">
        <v>46204</v>
      </c>
      <c r="D4386" s="4">
        <v>46234</v>
      </c>
      <c r="E4386" s="3" t="s">
        <v>205</v>
      </c>
      <c r="F4386" s="3" t="s">
        <v>207</v>
      </c>
      <c r="G4386" s="5">
        <v>6.9999999999999993E-3</v>
      </c>
      <c r="H4386" s="6" t="s">
        <v>62</v>
      </c>
      <c r="I4386" s="3" t="s">
        <v>45</v>
      </c>
    </row>
    <row r="4387" spans="1:9" ht="48" customHeight="1">
      <c r="A4387" s="3" t="s">
        <v>40</v>
      </c>
      <c r="B4387" s="3" t="s">
        <v>39</v>
      </c>
      <c r="C4387" s="4">
        <v>46204</v>
      </c>
      <c r="D4387" s="4">
        <v>46234</v>
      </c>
      <c r="E4387" s="3" t="s">
        <v>205</v>
      </c>
      <c r="F4387" s="3" t="s">
        <v>206</v>
      </c>
      <c r="G4387" s="5">
        <v>6.9999999999999993E-3</v>
      </c>
      <c r="H4387" s="6" t="s">
        <v>62</v>
      </c>
      <c r="I4387" s="3" t="s">
        <v>45</v>
      </c>
    </row>
    <row r="4388" spans="1:9" ht="48" customHeight="1">
      <c r="A4388" s="3" t="s">
        <v>40</v>
      </c>
      <c r="B4388" s="3" t="s">
        <v>39</v>
      </c>
      <c r="C4388" s="4">
        <v>46204</v>
      </c>
      <c r="D4388" s="4">
        <v>46234</v>
      </c>
      <c r="E4388" s="3" t="s">
        <v>205</v>
      </c>
      <c r="F4388" s="3" t="s">
        <v>219</v>
      </c>
      <c r="G4388" s="5">
        <v>6.0000000000000001E-3</v>
      </c>
      <c r="H4388" s="6" t="s">
        <v>62</v>
      </c>
      <c r="I4388" s="3" t="s">
        <v>45</v>
      </c>
    </row>
    <row r="4389" spans="1:9" ht="48" customHeight="1">
      <c r="A4389" s="3" t="s">
        <v>40</v>
      </c>
      <c r="B4389" s="3" t="s">
        <v>39</v>
      </c>
      <c r="C4389" s="4">
        <v>46204</v>
      </c>
      <c r="D4389" s="4">
        <v>46234</v>
      </c>
      <c r="E4389" s="3" t="s">
        <v>205</v>
      </c>
      <c r="F4389" s="3" t="s">
        <v>215</v>
      </c>
      <c r="G4389" s="5">
        <v>6.0000000000000001E-3</v>
      </c>
      <c r="H4389" s="6" t="s">
        <v>62</v>
      </c>
      <c r="I4389" s="3" t="s">
        <v>45</v>
      </c>
    </row>
    <row r="4390" spans="1:9" ht="48" customHeight="1">
      <c r="A4390" s="3" t="s">
        <v>40</v>
      </c>
      <c r="B4390" s="3" t="s">
        <v>39</v>
      </c>
      <c r="C4390" s="4">
        <v>46204</v>
      </c>
      <c r="D4390" s="4">
        <v>46234</v>
      </c>
      <c r="E4390" s="3" t="s">
        <v>205</v>
      </c>
      <c r="F4390" s="3" t="s">
        <v>224</v>
      </c>
      <c r="G4390" s="5">
        <v>5.0000000000000001E-3</v>
      </c>
      <c r="H4390" s="6" t="s">
        <v>62</v>
      </c>
      <c r="I4390" s="3" t="s">
        <v>45</v>
      </c>
    </row>
    <row r="4391" spans="1:9" ht="48" customHeight="1">
      <c r="A4391" s="3" t="s">
        <v>40</v>
      </c>
      <c r="B4391" s="3" t="s">
        <v>39</v>
      </c>
      <c r="C4391" s="4">
        <v>46204</v>
      </c>
      <c r="D4391" s="4">
        <v>46234</v>
      </c>
      <c r="E4391" s="3" t="s">
        <v>205</v>
      </c>
      <c r="F4391" s="3" t="s">
        <v>217</v>
      </c>
      <c r="G4391" s="5">
        <v>5.0000000000000001E-3</v>
      </c>
      <c r="H4391" s="6" t="s">
        <v>62</v>
      </c>
      <c r="I4391" s="3" t="s">
        <v>45</v>
      </c>
    </row>
    <row r="4392" spans="1:9" ht="48" customHeight="1">
      <c r="A4392" s="3" t="s">
        <v>40</v>
      </c>
      <c r="B4392" s="3" t="s">
        <v>39</v>
      </c>
      <c r="C4392" s="4">
        <v>46204</v>
      </c>
      <c r="D4392" s="4">
        <v>46234</v>
      </c>
      <c r="E4392" s="3" t="s">
        <v>205</v>
      </c>
      <c r="F4392" s="3" t="s">
        <v>218</v>
      </c>
      <c r="G4392" s="5">
        <v>5.0000000000000001E-3</v>
      </c>
      <c r="H4392" s="6" t="s">
        <v>62</v>
      </c>
      <c r="I4392" s="3" t="s">
        <v>45</v>
      </c>
    </row>
    <row r="4393" spans="1:9" ht="48" customHeight="1">
      <c r="A4393" s="3" t="s">
        <v>40</v>
      </c>
      <c r="B4393" s="3" t="s">
        <v>39</v>
      </c>
      <c r="C4393" s="4">
        <v>46204</v>
      </c>
      <c r="D4393" s="4">
        <v>46234</v>
      </c>
      <c r="E4393" s="3" t="s">
        <v>205</v>
      </c>
      <c r="F4393" s="3" t="s">
        <v>225</v>
      </c>
      <c r="G4393" s="5">
        <v>5.0000000000000001E-3</v>
      </c>
      <c r="H4393" s="6" t="s">
        <v>62</v>
      </c>
      <c r="I4393" s="3" t="s">
        <v>45</v>
      </c>
    </row>
    <row r="4394" spans="1:9" ht="48" customHeight="1">
      <c r="A4394" s="3" t="s">
        <v>40</v>
      </c>
      <c r="B4394" s="3" t="s">
        <v>39</v>
      </c>
      <c r="C4394" s="4">
        <v>46204</v>
      </c>
      <c r="D4394" s="4">
        <v>46234</v>
      </c>
      <c r="E4394" s="3" t="s">
        <v>205</v>
      </c>
      <c r="F4394" s="3" t="s">
        <v>211</v>
      </c>
      <c r="G4394" s="5">
        <v>5.0000000000000001E-3</v>
      </c>
      <c r="H4394" s="6" t="s">
        <v>62</v>
      </c>
      <c r="I4394" s="3" t="s">
        <v>45</v>
      </c>
    </row>
    <row r="4395" spans="1:9" ht="48" customHeight="1">
      <c r="A4395" s="3" t="s">
        <v>40</v>
      </c>
      <c r="B4395" s="3" t="s">
        <v>39</v>
      </c>
      <c r="C4395" s="4">
        <v>46204</v>
      </c>
      <c r="D4395" s="4">
        <v>46234</v>
      </c>
      <c r="E4395" s="3" t="s">
        <v>205</v>
      </c>
      <c r="F4395" s="3" t="s">
        <v>212</v>
      </c>
      <c r="G4395" s="5">
        <v>5.0000000000000001E-3</v>
      </c>
      <c r="H4395" s="6" t="s">
        <v>62</v>
      </c>
      <c r="I4395" s="3" t="s">
        <v>45</v>
      </c>
    </row>
    <row r="4396" spans="1:9" ht="48" customHeight="1">
      <c r="A4396" s="3" t="s">
        <v>40</v>
      </c>
      <c r="B4396" s="3" t="s">
        <v>39</v>
      </c>
      <c r="C4396" s="4">
        <v>46204</v>
      </c>
      <c r="D4396" s="4">
        <v>46234</v>
      </c>
      <c r="E4396" s="3" t="s">
        <v>205</v>
      </c>
      <c r="F4396" s="3" t="s">
        <v>208</v>
      </c>
      <c r="G4396" s="5">
        <v>5.0000000000000001E-3</v>
      </c>
      <c r="H4396" s="6" t="s">
        <v>62</v>
      </c>
      <c r="I4396" s="3" t="s">
        <v>45</v>
      </c>
    </row>
    <row r="4397" spans="1:9" ht="48" customHeight="1">
      <c r="A4397" s="3" t="s">
        <v>40</v>
      </c>
      <c r="B4397" s="3" t="s">
        <v>39</v>
      </c>
      <c r="C4397" s="4">
        <v>46204</v>
      </c>
      <c r="D4397" s="4">
        <v>46234</v>
      </c>
      <c r="E4397" s="3" t="s">
        <v>205</v>
      </c>
      <c r="F4397" s="3" t="s">
        <v>213</v>
      </c>
      <c r="G4397" s="5">
        <v>5.0000000000000001E-3</v>
      </c>
      <c r="H4397" s="6" t="s">
        <v>62</v>
      </c>
      <c r="I4397" s="3" t="s">
        <v>45</v>
      </c>
    </row>
    <row r="4398" spans="1:9" ht="48" customHeight="1">
      <c r="A4398" s="3" t="s">
        <v>40</v>
      </c>
      <c r="B4398" s="3" t="s">
        <v>39</v>
      </c>
      <c r="C4398" s="4">
        <v>46204</v>
      </c>
      <c r="D4398" s="4">
        <v>46234</v>
      </c>
      <c r="E4398" s="3" t="s">
        <v>205</v>
      </c>
      <c r="F4398" s="3" t="s">
        <v>214</v>
      </c>
      <c r="G4398" s="5">
        <v>5.0000000000000001E-3</v>
      </c>
      <c r="H4398" s="6" t="s">
        <v>62</v>
      </c>
      <c r="I4398" s="3" t="s">
        <v>45</v>
      </c>
    </row>
    <row r="4399" spans="1:9" ht="48" customHeight="1">
      <c r="A4399" s="3" t="s">
        <v>40</v>
      </c>
      <c r="B4399" s="3" t="s">
        <v>39</v>
      </c>
      <c r="C4399" s="4">
        <v>46204</v>
      </c>
      <c r="D4399" s="4">
        <v>46234</v>
      </c>
      <c r="E4399" s="3" t="s">
        <v>205</v>
      </c>
      <c r="F4399" s="3" t="s">
        <v>227</v>
      </c>
      <c r="G4399" s="5">
        <v>4.0000000000000001E-3</v>
      </c>
      <c r="H4399" s="6" t="s">
        <v>62</v>
      </c>
      <c r="I4399" s="3" t="s">
        <v>45</v>
      </c>
    </row>
    <row r="4400" spans="1:9" ht="48" customHeight="1">
      <c r="A4400" s="3" t="s">
        <v>40</v>
      </c>
      <c r="B4400" s="3" t="s">
        <v>39</v>
      </c>
      <c r="C4400" s="4">
        <v>46204</v>
      </c>
      <c r="D4400" s="4">
        <v>46234</v>
      </c>
      <c r="E4400" s="3" t="s">
        <v>205</v>
      </c>
      <c r="F4400" s="3" t="s">
        <v>221</v>
      </c>
      <c r="G4400" s="5">
        <v>4.0000000000000001E-3</v>
      </c>
      <c r="H4400" s="6" t="s">
        <v>62</v>
      </c>
      <c r="I4400" s="3" t="s">
        <v>45</v>
      </c>
    </row>
    <row r="4401" spans="1:9" ht="48" customHeight="1">
      <c r="A4401" s="3" t="s">
        <v>40</v>
      </c>
      <c r="B4401" s="3" t="s">
        <v>39</v>
      </c>
      <c r="C4401" s="4">
        <v>46204</v>
      </c>
      <c r="D4401" s="4">
        <v>46234</v>
      </c>
      <c r="E4401" s="3" t="s">
        <v>205</v>
      </c>
      <c r="F4401" s="3" t="s">
        <v>222</v>
      </c>
      <c r="G4401" s="5">
        <v>4.0000000000000001E-3</v>
      </c>
      <c r="H4401" s="6" t="s">
        <v>62</v>
      </c>
      <c r="I4401" s="3" t="s">
        <v>45</v>
      </c>
    </row>
    <row r="4402" spans="1:9" ht="48" customHeight="1">
      <c r="A4402" s="3" t="s">
        <v>40</v>
      </c>
      <c r="B4402" s="3" t="s">
        <v>39</v>
      </c>
      <c r="C4402" s="4">
        <v>46204</v>
      </c>
      <c r="D4402" s="4">
        <v>46234</v>
      </c>
      <c r="E4402" s="3" t="s">
        <v>205</v>
      </c>
      <c r="F4402" s="3" t="s">
        <v>223</v>
      </c>
      <c r="G4402" s="5">
        <v>3.0000000000000001E-3</v>
      </c>
      <c r="H4402" s="6" t="s">
        <v>62</v>
      </c>
      <c r="I4402" s="3" t="s">
        <v>45</v>
      </c>
    </row>
    <row r="4403" spans="1:9" ht="48" customHeight="1">
      <c r="A4403" s="3" t="s">
        <v>40</v>
      </c>
      <c r="B4403" s="3" t="s">
        <v>39</v>
      </c>
      <c r="C4403" s="4">
        <v>46204</v>
      </c>
      <c r="D4403" s="4">
        <v>46234</v>
      </c>
      <c r="E4403" s="3" t="s">
        <v>205</v>
      </c>
      <c r="F4403" s="3" t="s">
        <v>226</v>
      </c>
      <c r="G4403" s="5">
        <v>3.0000000000000001E-3</v>
      </c>
      <c r="H4403" s="6" t="s">
        <v>62</v>
      </c>
      <c r="I4403" s="3" t="s">
        <v>45</v>
      </c>
    </row>
    <row r="4404" spans="1:9" ht="48" customHeight="1">
      <c r="A4404" s="3" t="s">
        <v>40</v>
      </c>
      <c r="B4404" s="3" t="s">
        <v>39</v>
      </c>
      <c r="C4404" s="4">
        <v>46204</v>
      </c>
      <c r="D4404" s="4">
        <v>46234</v>
      </c>
      <c r="E4404" s="3" t="s">
        <v>205</v>
      </c>
      <c r="F4404" s="3" t="s">
        <v>228</v>
      </c>
      <c r="G4404" s="5">
        <v>3.0000000000000001E-3</v>
      </c>
      <c r="H4404" s="6" t="s">
        <v>62</v>
      </c>
      <c r="I4404" s="3" t="s">
        <v>45</v>
      </c>
    </row>
    <row r="4405" spans="1:9" ht="48" customHeight="1">
      <c r="A4405" s="3" t="s">
        <v>40</v>
      </c>
      <c r="B4405" s="3" t="s">
        <v>39</v>
      </c>
      <c r="C4405" s="4">
        <v>46204</v>
      </c>
      <c r="D4405" s="4">
        <v>46234</v>
      </c>
      <c r="E4405" s="3" t="s">
        <v>205</v>
      </c>
      <c r="F4405" s="3" t="s">
        <v>229</v>
      </c>
      <c r="G4405" s="5">
        <v>2E-3</v>
      </c>
      <c r="H4405" s="6" t="s">
        <v>62</v>
      </c>
      <c r="I4405" s="3" t="s">
        <v>45</v>
      </c>
    </row>
    <row r="4406" spans="1:9" ht="48" customHeight="1">
      <c r="A4406" s="3" t="s">
        <v>40</v>
      </c>
      <c r="B4406" s="3" t="s">
        <v>39</v>
      </c>
      <c r="C4406" s="4">
        <v>46204</v>
      </c>
      <c r="D4406" s="4">
        <v>46234</v>
      </c>
      <c r="E4406" s="3" t="s">
        <v>205</v>
      </c>
      <c r="F4406" s="3" t="s">
        <v>230</v>
      </c>
      <c r="G4406" s="5">
        <v>1E-3</v>
      </c>
      <c r="H4406" s="6" t="s">
        <v>62</v>
      </c>
      <c r="I4406" s="3" t="s">
        <v>45</v>
      </c>
    </row>
    <row r="4407" spans="1:9" ht="48" customHeight="1">
      <c r="A4407" s="3" t="s">
        <v>40</v>
      </c>
      <c r="B4407" s="3" t="s">
        <v>39</v>
      </c>
      <c r="C4407" s="4">
        <v>46204</v>
      </c>
      <c r="D4407" s="4">
        <v>46234</v>
      </c>
      <c r="E4407" s="3" t="s">
        <v>236</v>
      </c>
      <c r="F4407" s="3" t="s">
        <v>237</v>
      </c>
      <c r="G4407" s="5">
        <v>6.9999999999999993E-3</v>
      </c>
      <c r="H4407" s="6" t="s">
        <v>62</v>
      </c>
      <c r="I4407" s="3" t="s">
        <v>45</v>
      </c>
    </row>
    <row r="4408" spans="1:9" ht="48" customHeight="1">
      <c r="A4408" s="3" t="s">
        <v>40</v>
      </c>
      <c r="B4408" s="3" t="s">
        <v>39</v>
      </c>
      <c r="C4408" s="4">
        <v>46204</v>
      </c>
      <c r="D4408" s="4">
        <v>46234</v>
      </c>
      <c r="E4408" s="3" t="s">
        <v>236</v>
      </c>
      <c r="F4408" s="3" t="s">
        <v>238</v>
      </c>
      <c r="G4408" s="5">
        <v>6.9999999999999993E-3</v>
      </c>
      <c r="H4408" s="6" t="s">
        <v>62</v>
      </c>
      <c r="I4408" s="3" t="s">
        <v>45</v>
      </c>
    </row>
    <row r="4409" spans="1:9" ht="48" customHeight="1">
      <c r="A4409" s="3" t="s">
        <v>40</v>
      </c>
      <c r="B4409" s="3" t="s">
        <v>39</v>
      </c>
      <c r="C4409" s="4">
        <v>46204</v>
      </c>
      <c r="D4409" s="4">
        <v>46234</v>
      </c>
      <c r="E4409" s="3" t="s">
        <v>236</v>
      </c>
      <c r="F4409" s="3" t="s">
        <v>388</v>
      </c>
      <c r="G4409" s="5">
        <v>6.9999999999999993E-3</v>
      </c>
      <c r="H4409" s="6" t="s">
        <v>62</v>
      </c>
      <c r="I4409" s="3" t="s">
        <v>45</v>
      </c>
    </row>
    <row r="4410" spans="1:9" ht="48" customHeight="1">
      <c r="A4410" s="3" t="s">
        <v>40</v>
      </c>
      <c r="B4410" s="3" t="s">
        <v>39</v>
      </c>
      <c r="C4410" s="4">
        <v>46204</v>
      </c>
      <c r="D4410" s="4">
        <v>46234</v>
      </c>
      <c r="E4410" s="3" t="s">
        <v>236</v>
      </c>
      <c r="F4410" s="3" t="s">
        <v>240</v>
      </c>
      <c r="G4410" s="5">
        <v>6.0000000000000001E-3</v>
      </c>
      <c r="H4410" s="6" t="s">
        <v>62</v>
      </c>
      <c r="I4410" s="3" t="s">
        <v>45</v>
      </c>
    </row>
    <row r="4411" spans="1:9" ht="48" customHeight="1">
      <c r="A4411" s="3" t="s">
        <v>40</v>
      </c>
      <c r="B4411" s="3" t="s">
        <v>39</v>
      </c>
      <c r="C4411" s="4">
        <v>46204</v>
      </c>
      <c r="D4411" s="4">
        <v>46234</v>
      </c>
      <c r="E4411" s="3" t="s">
        <v>236</v>
      </c>
      <c r="F4411" s="3" t="s">
        <v>239</v>
      </c>
      <c r="G4411" s="5">
        <v>6.0000000000000001E-3</v>
      </c>
      <c r="H4411" s="6" t="s">
        <v>62</v>
      </c>
      <c r="I4411" s="3" t="s">
        <v>45</v>
      </c>
    </row>
    <row r="4412" spans="1:9" ht="48" customHeight="1">
      <c r="A4412" s="3" t="s">
        <v>40</v>
      </c>
      <c r="B4412" s="3" t="s">
        <v>39</v>
      </c>
      <c r="C4412" s="4">
        <v>46204</v>
      </c>
      <c r="D4412" s="4">
        <v>46234</v>
      </c>
      <c r="E4412" s="3" t="s">
        <v>236</v>
      </c>
      <c r="F4412" s="3" t="s">
        <v>389</v>
      </c>
      <c r="G4412" s="5">
        <v>5.0000000000000001E-3</v>
      </c>
      <c r="H4412" s="6" t="s">
        <v>62</v>
      </c>
      <c r="I4412" s="3" t="s">
        <v>45</v>
      </c>
    </row>
    <row r="4413" spans="1:9" ht="48" customHeight="1">
      <c r="A4413" s="3" t="s">
        <v>40</v>
      </c>
      <c r="B4413" s="3" t="s">
        <v>39</v>
      </c>
      <c r="C4413" s="4">
        <v>46204</v>
      </c>
      <c r="D4413" s="4">
        <v>46234</v>
      </c>
      <c r="E4413" s="3" t="s">
        <v>236</v>
      </c>
      <c r="F4413" s="3" t="s">
        <v>241</v>
      </c>
      <c r="G4413" s="5">
        <v>4.0000000000000001E-3</v>
      </c>
      <c r="H4413" s="6" t="s">
        <v>62</v>
      </c>
      <c r="I4413" s="3" t="s">
        <v>45</v>
      </c>
    </row>
    <row r="4414" spans="1:9" ht="48" customHeight="1">
      <c r="A4414" s="3" t="s">
        <v>40</v>
      </c>
      <c r="B4414" s="3" t="s">
        <v>39</v>
      </c>
      <c r="C4414" s="4">
        <v>46204</v>
      </c>
      <c r="D4414" s="4">
        <v>46234</v>
      </c>
      <c r="E4414" s="3" t="s">
        <v>236</v>
      </c>
      <c r="F4414" s="3" t="s">
        <v>390</v>
      </c>
      <c r="G4414" s="5">
        <v>3.0000000000000001E-3</v>
      </c>
      <c r="H4414" s="6" t="s">
        <v>62</v>
      </c>
      <c r="I4414" s="3" t="s">
        <v>45</v>
      </c>
    </row>
    <row r="4415" spans="1:9" ht="48" customHeight="1">
      <c r="A4415" s="3" t="s">
        <v>40</v>
      </c>
      <c r="B4415" s="3" t="s">
        <v>39</v>
      </c>
      <c r="C4415" s="4">
        <v>46204</v>
      </c>
      <c r="D4415" s="4">
        <v>46234</v>
      </c>
      <c r="E4415" s="3" t="s">
        <v>236</v>
      </c>
      <c r="F4415" s="3" t="s">
        <v>391</v>
      </c>
      <c r="G4415" s="5">
        <v>1E-3</v>
      </c>
      <c r="H4415" s="6" t="s">
        <v>62</v>
      </c>
      <c r="I4415" s="3" t="s">
        <v>45</v>
      </c>
    </row>
    <row r="4416" spans="1:9" ht="48" customHeight="1">
      <c r="A4416" s="3" t="s">
        <v>40</v>
      </c>
      <c r="B4416" s="3" t="s">
        <v>39</v>
      </c>
      <c r="C4416" s="4">
        <v>46204</v>
      </c>
      <c r="D4416" s="4">
        <v>46234</v>
      </c>
      <c r="E4416" s="3" t="s">
        <v>236</v>
      </c>
      <c r="F4416" s="3" t="s">
        <v>242</v>
      </c>
      <c r="G4416" s="5">
        <v>1E-3</v>
      </c>
      <c r="H4416" s="6" t="s">
        <v>62</v>
      </c>
      <c r="I4416" s="3" t="s">
        <v>45</v>
      </c>
    </row>
    <row r="4417" spans="1:9" ht="48" customHeight="1">
      <c r="A4417" s="3" t="s">
        <v>40</v>
      </c>
      <c r="B4417" s="3" t="s">
        <v>39</v>
      </c>
      <c r="C4417" s="4">
        <v>46204</v>
      </c>
      <c r="D4417" s="4">
        <v>46234</v>
      </c>
      <c r="E4417" s="3" t="s">
        <v>236</v>
      </c>
      <c r="F4417" s="3" t="s">
        <v>243</v>
      </c>
      <c r="G4417" s="5">
        <v>0</v>
      </c>
      <c r="H4417" s="6" t="s">
        <v>62</v>
      </c>
      <c r="I4417" s="3" t="s">
        <v>45</v>
      </c>
    </row>
    <row r="4418" spans="1:9" ht="48" customHeight="1">
      <c r="A4418" s="3" t="s">
        <v>40</v>
      </c>
      <c r="B4418" s="3" t="s">
        <v>39</v>
      </c>
      <c r="C4418" s="4">
        <v>46204</v>
      </c>
      <c r="D4418" s="4">
        <v>46234</v>
      </c>
      <c r="E4418" s="3" t="s">
        <v>81</v>
      </c>
      <c r="F4418" s="3" t="s">
        <v>333</v>
      </c>
      <c r="G4418" s="5">
        <v>0.01</v>
      </c>
      <c r="H4418" s="6" t="s">
        <v>62</v>
      </c>
      <c r="I4418" s="3" t="s">
        <v>45</v>
      </c>
    </row>
    <row r="4419" spans="1:9" ht="48" customHeight="1">
      <c r="A4419" s="3" t="s">
        <v>40</v>
      </c>
      <c r="B4419" s="3" t="s">
        <v>39</v>
      </c>
      <c r="C4419" s="4">
        <v>46204</v>
      </c>
      <c r="D4419" s="4">
        <v>46234</v>
      </c>
      <c r="E4419" s="3" t="s">
        <v>81</v>
      </c>
      <c r="F4419" s="3" t="s">
        <v>330</v>
      </c>
      <c r="G4419" s="5">
        <v>5.0000000000000001E-3</v>
      </c>
      <c r="H4419" s="6" t="s">
        <v>62</v>
      </c>
      <c r="I4419" s="3" t="s">
        <v>45</v>
      </c>
    </row>
    <row r="4420" spans="1:9" ht="48" customHeight="1">
      <c r="A4420" s="3" t="s">
        <v>40</v>
      </c>
      <c r="B4420" s="3" t="s">
        <v>39</v>
      </c>
      <c r="C4420" s="4">
        <v>46204</v>
      </c>
      <c r="D4420" s="4">
        <v>46234</v>
      </c>
      <c r="E4420" s="3" t="s">
        <v>81</v>
      </c>
      <c r="F4420" s="3" t="s">
        <v>326</v>
      </c>
      <c r="G4420" s="5">
        <v>3.0000000000000001E-3</v>
      </c>
      <c r="H4420" s="6" t="s">
        <v>62</v>
      </c>
      <c r="I4420" s="3" t="s">
        <v>45</v>
      </c>
    </row>
    <row r="4421" spans="1:9" ht="48" customHeight="1">
      <c r="A4421" s="3" t="s">
        <v>40</v>
      </c>
      <c r="B4421" s="3" t="s">
        <v>39</v>
      </c>
      <c r="C4421" s="4">
        <v>46204</v>
      </c>
      <c r="D4421" s="4">
        <v>46234</v>
      </c>
      <c r="E4421" s="3" t="s">
        <v>81</v>
      </c>
      <c r="F4421" s="3" t="s">
        <v>327</v>
      </c>
      <c r="G4421" s="5">
        <v>3.0000000000000001E-3</v>
      </c>
      <c r="H4421" s="6" t="s">
        <v>62</v>
      </c>
      <c r="I4421" s="3" t="s">
        <v>45</v>
      </c>
    </row>
    <row r="4422" spans="1:9" ht="48" customHeight="1">
      <c r="A4422" s="3" t="s">
        <v>40</v>
      </c>
      <c r="B4422" s="3" t="s">
        <v>39</v>
      </c>
      <c r="C4422" s="4">
        <v>46204</v>
      </c>
      <c r="D4422" s="4">
        <v>46234</v>
      </c>
      <c r="E4422" s="3" t="s">
        <v>81</v>
      </c>
      <c r="F4422" s="3" t="s">
        <v>328</v>
      </c>
      <c r="G4422" s="5">
        <v>3.0000000000000001E-3</v>
      </c>
      <c r="H4422" s="6" t="s">
        <v>62</v>
      </c>
      <c r="I4422" s="3" t="s">
        <v>45</v>
      </c>
    </row>
    <row r="4423" spans="1:9" ht="48" customHeight="1">
      <c r="A4423" s="3" t="s">
        <v>40</v>
      </c>
      <c r="B4423" s="3" t="s">
        <v>39</v>
      </c>
      <c r="C4423" s="4">
        <v>46204</v>
      </c>
      <c r="D4423" s="4">
        <v>46234</v>
      </c>
      <c r="E4423" s="3" t="s">
        <v>81</v>
      </c>
      <c r="F4423" s="3" t="s">
        <v>325</v>
      </c>
      <c r="G4423" s="5">
        <v>3.0000000000000001E-3</v>
      </c>
      <c r="H4423" s="6" t="s">
        <v>62</v>
      </c>
      <c r="I4423" s="3" t="s">
        <v>45</v>
      </c>
    </row>
    <row r="4424" spans="1:9" ht="48" customHeight="1">
      <c r="A4424" s="3" t="s">
        <v>40</v>
      </c>
      <c r="B4424" s="3" t="s">
        <v>39</v>
      </c>
      <c r="C4424" s="4">
        <v>46204</v>
      </c>
      <c r="D4424" s="4">
        <v>46234</v>
      </c>
      <c r="E4424" s="3" t="s">
        <v>81</v>
      </c>
      <c r="F4424" s="3" t="s">
        <v>345</v>
      </c>
      <c r="G4424" s="5">
        <v>3.0000000000000001E-3</v>
      </c>
      <c r="H4424" s="6" t="s">
        <v>62</v>
      </c>
      <c r="I4424" s="3" t="s">
        <v>45</v>
      </c>
    </row>
    <row r="4425" spans="1:9" ht="48" customHeight="1">
      <c r="A4425" s="3" t="s">
        <v>40</v>
      </c>
      <c r="B4425" s="3" t="s">
        <v>39</v>
      </c>
      <c r="C4425" s="4">
        <v>46204</v>
      </c>
      <c r="D4425" s="4">
        <v>46234</v>
      </c>
      <c r="E4425" s="3" t="s">
        <v>81</v>
      </c>
      <c r="F4425" s="3" t="s">
        <v>329</v>
      </c>
      <c r="G4425" s="5">
        <v>2E-3</v>
      </c>
      <c r="H4425" s="6" t="s">
        <v>62</v>
      </c>
      <c r="I4425" s="3" t="s">
        <v>45</v>
      </c>
    </row>
    <row r="4426" spans="1:9" ht="48" customHeight="1">
      <c r="A4426" s="3" t="s">
        <v>40</v>
      </c>
      <c r="B4426" s="3" t="s">
        <v>39</v>
      </c>
      <c r="C4426" s="4">
        <v>46204</v>
      </c>
      <c r="D4426" s="4">
        <v>46234</v>
      </c>
      <c r="E4426" s="3" t="s">
        <v>81</v>
      </c>
      <c r="F4426" s="3" t="s">
        <v>332</v>
      </c>
      <c r="G4426" s="5">
        <v>2E-3</v>
      </c>
      <c r="H4426" s="6" t="s">
        <v>62</v>
      </c>
      <c r="I4426" s="3" t="s">
        <v>45</v>
      </c>
    </row>
    <row r="4427" spans="1:9" ht="48" customHeight="1">
      <c r="A4427" s="3" t="s">
        <v>40</v>
      </c>
      <c r="B4427" s="3" t="s">
        <v>39</v>
      </c>
      <c r="C4427" s="4">
        <v>46204</v>
      </c>
      <c r="D4427" s="4">
        <v>46234</v>
      </c>
      <c r="E4427" s="3" t="s">
        <v>81</v>
      </c>
      <c r="F4427" s="3" t="s">
        <v>334</v>
      </c>
      <c r="G4427" s="5">
        <v>1E-3</v>
      </c>
      <c r="H4427" s="6" t="s">
        <v>62</v>
      </c>
      <c r="I4427" s="3" t="s">
        <v>45</v>
      </c>
    </row>
    <row r="4428" spans="1:9" ht="48" customHeight="1">
      <c r="A4428" s="3" t="s">
        <v>40</v>
      </c>
      <c r="B4428" s="3" t="s">
        <v>39</v>
      </c>
      <c r="C4428" s="4">
        <v>46204</v>
      </c>
      <c r="D4428" s="4">
        <v>46234</v>
      </c>
      <c r="E4428" s="3" t="s">
        <v>81</v>
      </c>
      <c r="F4428" s="3" t="s">
        <v>331</v>
      </c>
      <c r="G4428" s="5">
        <v>1E-3</v>
      </c>
      <c r="H4428" s="6" t="s">
        <v>62</v>
      </c>
      <c r="I4428" s="3" t="s">
        <v>45</v>
      </c>
    </row>
    <row r="4429" spans="1:9" ht="48" customHeight="1">
      <c r="A4429" s="3" t="s">
        <v>40</v>
      </c>
      <c r="B4429" s="3" t="s">
        <v>39</v>
      </c>
      <c r="C4429" s="4">
        <v>46204</v>
      </c>
      <c r="D4429" s="4">
        <v>46234</v>
      </c>
      <c r="E4429" s="3" t="s">
        <v>81</v>
      </c>
      <c r="F4429" s="3" t="s">
        <v>335</v>
      </c>
      <c r="G4429" s="5">
        <v>1E-3</v>
      </c>
      <c r="H4429" s="6" t="s">
        <v>62</v>
      </c>
      <c r="I4429" s="3" t="s">
        <v>45</v>
      </c>
    </row>
    <row r="4430" spans="1:9" ht="48" customHeight="1">
      <c r="A4430" s="3" t="s">
        <v>40</v>
      </c>
      <c r="B4430" s="3" t="s">
        <v>39</v>
      </c>
      <c r="C4430" s="4">
        <v>46204</v>
      </c>
      <c r="D4430" s="4">
        <v>46234</v>
      </c>
      <c r="E4430" s="3" t="s">
        <v>81</v>
      </c>
      <c r="F4430" s="3" t="s">
        <v>336</v>
      </c>
      <c r="G4430" s="5">
        <v>1E-3</v>
      </c>
      <c r="H4430" s="6" t="s">
        <v>62</v>
      </c>
      <c r="I4430" s="3" t="s">
        <v>45</v>
      </c>
    </row>
    <row r="4431" spans="1:9" ht="48" customHeight="1">
      <c r="A4431" s="3" t="s">
        <v>40</v>
      </c>
      <c r="B4431" s="3" t="s">
        <v>39</v>
      </c>
      <c r="C4431" s="4">
        <v>46204</v>
      </c>
      <c r="D4431" s="4">
        <v>46234</v>
      </c>
      <c r="E4431" s="3" t="s">
        <v>81</v>
      </c>
      <c r="F4431" s="3" t="s">
        <v>338</v>
      </c>
      <c r="G4431" s="5">
        <v>1E-3</v>
      </c>
      <c r="H4431" s="6" t="s">
        <v>62</v>
      </c>
      <c r="I4431" s="3" t="s">
        <v>45</v>
      </c>
    </row>
    <row r="4432" spans="1:9" ht="48" customHeight="1">
      <c r="A4432" s="3" t="s">
        <v>40</v>
      </c>
      <c r="B4432" s="3" t="s">
        <v>39</v>
      </c>
      <c r="C4432" s="4">
        <v>46204</v>
      </c>
      <c r="D4432" s="4">
        <v>46234</v>
      </c>
      <c r="E4432" s="3" t="s">
        <v>81</v>
      </c>
      <c r="F4432" s="3" t="s">
        <v>343</v>
      </c>
      <c r="G4432" s="5">
        <v>1E-3</v>
      </c>
      <c r="H4432" s="6" t="s">
        <v>62</v>
      </c>
      <c r="I4432" s="3" t="s">
        <v>45</v>
      </c>
    </row>
    <row r="4433" spans="1:9" ht="48" customHeight="1">
      <c r="A4433" s="3" t="s">
        <v>40</v>
      </c>
      <c r="B4433" s="3" t="s">
        <v>39</v>
      </c>
      <c r="C4433" s="4">
        <v>46204</v>
      </c>
      <c r="D4433" s="4">
        <v>46234</v>
      </c>
      <c r="E4433" s="3" t="s">
        <v>81</v>
      </c>
      <c r="F4433" s="3" t="s">
        <v>344</v>
      </c>
      <c r="G4433" s="5">
        <v>1E-3</v>
      </c>
      <c r="H4433" s="6" t="s">
        <v>62</v>
      </c>
      <c r="I4433" s="3" t="s">
        <v>45</v>
      </c>
    </row>
    <row r="4434" spans="1:9" ht="48" customHeight="1">
      <c r="A4434" s="3" t="s">
        <v>40</v>
      </c>
      <c r="B4434" s="3" t="s">
        <v>39</v>
      </c>
      <c r="C4434" s="4">
        <v>46204</v>
      </c>
      <c r="D4434" s="4">
        <v>46234</v>
      </c>
      <c r="E4434" s="3" t="s">
        <v>81</v>
      </c>
      <c r="F4434" s="3" t="s">
        <v>346</v>
      </c>
      <c r="G4434" s="5">
        <v>1E-3</v>
      </c>
      <c r="H4434" s="6" t="s">
        <v>62</v>
      </c>
      <c r="I4434" s="3" t="s">
        <v>45</v>
      </c>
    </row>
    <row r="4435" spans="1:9" ht="48" customHeight="1">
      <c r="A4435" s="3" t="s">
        <v>40</v>
      </c>
      <c r="B4435" s="3" t="s">
        <v>39</v>
      </c>
      <c r="C4435" s="4">
        <v>46204</v>
      </c>
      <c r="D4435" s="4">
        <v>46234</v>
      </c>
      <c r="E4435" s="3" t="s">
        <v>81</v>
      </c>
      <c r="F4435" s="3" t="s">
        <v>337</v>
      </c>
      <c r="G4435" s="5">
        <v>0</v>
      </c>
      <c r="H4435" s="6" t="s">
        <v>62</v>
      </c>
      <c r="I4435" s="3" t="s">
        <v>45</v>
      </c>
    </row>
    <row r="4436" spans="1:9" ht="48" customHeight="1">
      <c r="A4436" s="3" t="s">
        <v>40</v>
      </c>
      <c r="B4436" s="3" t="s">
        <v>39</v>
      </c>
      <c r="C4436" s="4">
        <v>46204</v>
      </c>
      <c r="D4436" s="4">
        <v>46234</v>
      </c>
      <c r="E4436" s="3" t="s">
        <v>81</v>
      </c>
      <c r="F4436" s="3" t="s">
        <v>339</v>
      </c>
      <c r="G4436" s="5">
        <v>0</v>
      </c>
      <c r="H4436" s="6" t="s">
        <v>62</v>
      </c>
      <c r="I4436" s="3" t="s">
        <v>45</v>
      </c>
    </row>
    <row r="4437" spans="1:9" ht="48" customHeight="1">
      <c r="A4437" s="3" t="s">
        <v>40</v>
      </c>
      <c r="B4437" s="3" t="s">
        <v>39</v>
      </c>
      <c r="C4437" s="4">
        <v>46204</v>
      </c>
      <c r="D4437" s="4">
        <v>46234</v>
      </c>
      <c r="E4437" s="3" t="s">
        <v>81</v>
      </c>
      <c r="F4437" s="3" t="s">
        <v>340</v>
      </c>
      <c r="G4437" s="5">
        <v>0</v>
      </c>
      <c r="H4437" s="6" t="s">
        <v>62</v>
      </c>
      <c r="I4437" s="3" t="s">
        <v>45</v>
      </c>
    </row>
    <row r="4438" spans="1:9" ht="48" customHeight="1">
      <c r="A4438" s="3" t="s">
        <v>40</v>
      </c>
      <c r="B4438" s="3" t="s">
        <v>39</v>
      </c>
      <c r="C4438" s="4">
        <v>46204</v>
      </c>
      <c r="D4438" s="4">
        <v>46234</v>
      </c>
      <c r="E4438" s="3" t="s">
        <v>81</v>
      </c>
      <c r="F4438" s="3" t="s">
        <v>341</v>
      </c>
      <c r="G4438" s="5">
        <v>0</v>
      </c>
      <c r="H4438" s="6" t="s">
        <v>62</v>
      </c>
      <c r="I4438" s="3" t="s">
        <v>45</v>
      </c>
    </row>
    <row r="4439" spans="1:9" ht="48" customHeight="1">
      <c r="A4439" s="3" t="s">
        <v>40</v>
      </c>
      <c r="B4439" s="3" t="s">
        <v>39</v>
      </c>
      <c r="C4439" s="4">
        <v>46204</v>
      </c>
      <c r="D4439" s="4">
        <v>46234</v>
      </c>
      <c r="E4439" s="3" t="s">
        <v>81</v>
      </c>
      <c r="F4439" s="3" t="s">
        <v>342</v>
      </c>
      <c r="G4439" s="5">
        <v>0</v>
      </c>
      <c r="H4439" s="6" t="s">
        <v>62</v>
      </c>
      <c r="I4439" s="3" t="s">
        <v>45</v>
      </c>
    </row>
    <row r="4440" spans="1:9" ht="48" customHeight="1">
      <c r="A4440" s="3" t="s">
        <v>40</v>
      </c>
      <c r="B4440" s="3" t="s">
        <v>39</v>
      </c>
      <c r="C4440" s="4">
        <v>46204</v>
      </c>
      <c r="D4440" s="4">
        <v>46234</v>
      </c>
      <c r="E4440" s="3" t="s">
        <v>81</v>
      </c>
      <c r="F4440" s="3" t="s">
        <v>347</v>
      </c>
      <c r="G4440" s="5">
        <v>0</v>
      </c>
      <c r="H4440" s="6" t="s">
        <v>62</v>
      </c>
      <c r="I4440" s="3" t="s">
        <v>45</v>
      </c>
    </row>
    <row r="4441" spans="1:9" ht="48" customHeight="1">
      <c r="A4441" s="3" t="s">
        <v>40</v>
      </c>
      <c r="B4441" s="3" t="s">
        <v>39</v>
      </c>
      <c r="C4441" s="4">
        <v>46204</v>
      </c>
      <c r="D4441" s="4">
        <v>46234</v>
      </c>
      <c r="E4441" s="3" t="s">
        <v>68</v>
      </c>
      <c r="F4441" s="3" t="s">
        <v>150</v>
      </c>
      <c r="G4441" s="5">
        <v>6.0000000000000001E-3</v>
      </c>
      <c r="H4441" s="6" t="s">
        <v>62</v>
      </c>
      <c r="I4441" s="3" t="s">
        <v>45</v>
      </c>
    </row>
    <row r="4442" spans="1:9" ht="48" customHeight="1">
      <c r="A4442" s="3" t="s">
        <v>40</v>
      </c>
      <c r="B4442" s="3" t="s">
        <v>39</v>
      </c>
      <c r="C4442" s="4">
        <v>46204</v>
      </c>
      <c r="D4442" s="4">
        <v>46234</v>
      </c>
      <c r="E4442" s="3" t="s">
        <v>68</v>
      </c>
      <c r="F4442" s="3" t="s">
        <v>147</v>
      </c>
      <c r="G4442" s="5">
        <v>6.0000000000000001E-3</v>
      </c>
      <c r="H4442" s="6" t="s">
        <v>62</v>
      </c>
      <c r="I4442" s="3" t="s">
        <v>45</v>
      </c>
    </row>
    <row r="4443" spans="1:9" ht="48" customHeight="1">
      <c r="A4443" s="3" t="s">
        <v>40</v>
      </c>
      <c r="B4443" s="3" t="s">
        <v>39</v>
      </c>
      <c r="C4443" s="4">
        <v>46204</v>
      </c>
      <c r="D4443" s="4">
        <v>46234</v>
      </c>
      <c r="E4443" s="3" t="s">
        <v>68</v>
      </c>
      <c r="F4443" s="3" t="s">
        <v>151</v>
      </c>
      <c r="G4443" s="5">
        <v>5.0000000000000001E-3</v>
      </c>
      <c r="H4443" s="6" t="s">
        <v>62</v>
      </c>
      <c r="I4443" s="3" t="s">
        <v>45</v>
      </c>
    </row>
    <row r="4444" spans="1:9" ht="48" customHeight="1">
      <c r="A4444" s="3" t="s">
        <v>40</v>
      </c>
      <c r="B4444" s="3" t="s">
        <v>39</v>
      </c>
      <c r="C4444" s="4">
        <v>46204</v>
      </c>
      <c r="D4444" s="4">
        <v>46234</v>
      </c>
      <c r="E4444" s="3" t="s">
        <v>68</v>
      </c>
      <c r="F4444" s="3" t="s">
        <v>148</v>
      </c>
      <c r="G4444" s="5">
        <v>3.0000000000000001E-3</v>
      </c>
      <c r="H4444" s="6" t="s">
        <v>62</v>
      </c>
      <c r="I4444" s="3" t="s">
        <v>45</v>
      </c>
    </row>
    <row r="4445" spans="1:9" ht="48" customHeight="1">
      <c r="A4445" s="3" t="s">
        <v>40</v>
      </c>
      <c r="B4445" s="3" t="s">
        <v>39</v>
      </c>
      <c r="C4445" s="4">
        <v>46204</v>
      </c>
      <c r="D4445" s="4">
        <v>46234</v>
      </c>
      <c r="E4445" s="3" t="s">
        <v>68</v>
      </c>
      <c r="F4445" s="3" t="s">
        <v>149</v>
      </c>
      <c r="G4445" s="5">
        <v>2E-3</v>
      </c>
      <c r="H4445" s="6" t="s">
        <v>62</v>
      </c>
      <c r="I4445" s="3" t="s">
        <v>45</v>
      </c>
    </row>
    <row r="4446" spans="1:9" ht="48" customHeight="1">
      <c r="A4446" s="3" t="s">
        <v>40</v>
      </c>
      <c r="B4446" s="3" t="s">
        <v>39</v>
      </c>
      <c r="C4446" s="4">
        <v>46204</v>
      </c>
      <c r="D4446" s="4">
        <v>46234</v>
      </c>
      <c r="E4446" s="3" t="s">
        <v>68</v>
      </c>
      <c r="F4446" s="3" t="s">
        <v>155</v>
      </c>
      <c r="G4446" s="5">
        <v>1E-3</v>
      </c>
      <c r="H4446" s="6" t="s">
        <v>62</v>
      </c>
      <c r="I4446" s="3" t="s">
        <v>45</v>
      </c>
    </row>
    <row r="4447" spans="1:9" ht="48" customHeight="1">
      <c r="A4447" s="3" t="s">
        <v>40</v>
      </c>
      <c r="B4447" s="3" t="s">
        <v>39</v>
      </c>
      <c r="C4447" s="4">
        <v>46204</v>
      </c>
      <c r="D4447" s="4">
        <v>46234</v>
      </c>
      <c r="E4447" s="3" t="s">
        <v>68</v>
      </c>
      <c r="F4447" s="3" t="s">
        <v>152</v>
      </c>
      <c r="G4447" s="5">
        <v>1E-3</v>
      </c>
      <c r="H4447" s="6" t="s">
        <v>62</v>
      </c>
      <c r="I4447" s="3" t="s">
        <v>45</v>
      </c>
    </row>
    <row r="4448" spans="1:9" ht="48" customHeight="1">
      <c r="A4448" s="3" t="s">
        <v>40</v>
      </c>
      <c r="B4448" s="3" t="s">
        <v>39</v>
      </c>
      <c r="C4448" s="4">
        <v>46204</v>
      </c>
      <c r="D4448" s="4">
        <v>46234</v>
      </c>
      <c r="E4448" s="3" t="s">
        <v>68</v>
      </c>
      <c r="F4448" s="3" t="s">
        <v>157</v>
      </c>
      <c r="G4448" s="5">
        <v>1E-3</v>
      </c>
      <c r="H4448" s="6" t="s">
        <v>62</v>
      </c>
      <c r="I4448" s="3" t="s">
        <v>45</v>
      </c>
    </row>
    <row r="4449" spans="1:9" ht="48" customHeight="1">
      <c r="A4449" s="3" t="s">
        <v>40</v>
      </c>
      <c r="B4449" s="3" t="s">
        <v>39</v>
      </c>
      <c r="C4449" s="4">
        <v>46204</v>
      </c>
      <c r="D4449" s="4">
        <v>46234</v>
      </c>
      <c r="E4449" s="3" t="s">
        <v>68</v>
      </c>
      <c r="F4449" s="3" t="s">
        <v>159</v>
      </c>
      <c r="G4449" s="5">
        <v>1E-3</v>
      </c>
      <c r="H4449" s="6" t="s">
        <v>62</v>
      </c>
      <c r="I4449" s="3" t="s">
        <v>45</v>
      </c>
    </row>
    <row r="4450" spans="1:9" ht="48" customHeight="1">
      <c r="A4450" s="3" t="s">
        <v>40</v>
      </c>
      <c r="B4450" s="3" t="s">
        <v>39</v>
      </c>
      <c r="C4450" s="4">
        <v>46204</v>
      </c>
      <c r="D4450" s="4">
        <v>46234</v>
      </c>
      <c r="E4450" s="3" t="s">
        <v>68</v>
      </c>
      <c r="F4450" s="3" t="s">
        <v>156</v>
      </c>
      <c r="G4450" s="5">
        <v>1E-3</v>
      </c>
      <c r="H4450" s="6" t="s">
        <v>62</v>
      </c>
      <c r="I4450" s="3" t="s">
        <v>45</v>
      </c>
    </row>
    <row r="4451" spans="1:9" ht="48" customHeight="1">
      <c r="A4451" s="3" t="s">
        <v>40</v>
      </c>
      <c r="B4451" s="3" t="s">
        <v>39</v>
      </c>
      <c r="C4451" s="4">
        <v>46204</v>
      </c>
      <c r="D4451" s="4">
        <v>46234</v>
      </c>
      <c r="E4451" s="3" t="s">
        <v>68</v>
      </c>
      <c r="F4451" s="3" t="s">
        <v>146</v>
      </c>
      <c r="G4451" s="5">
        <v>1E-3</v>
      </c>
      <c r="H4451" s="6" t="s">
        <v>62</v>
      </c>
      <c r="I4451" s="3" t="s">
        <v>45</v>
      </c>
    </row>
    <row r="4452" spans="1:9" ht="48" customHeight="1">
      <c r="A4452" s="3" t="s">
        <v>40</v>
      </c>
      <c r="B4452" s="3" t="s">
        <v>39</v>
      </c>
      <c r="C4452" s="4">
        <v>46204</v>
      </c>
      <c r="D4452" s="4">
        <v>46234</v>
      </c>
      <c r="E4452" s="3" t="s">
        <v>68</v>
      </c>
      <c r="F4452" s="3" t="s">
        <v>66</v>
      </c>
      <c r="G4452" s="5">
        <v>1E-3</v>
      </c>
      <c r="H4452" s="6" t="s">
        <v>62</v>
      </c>
      <c r="I4452" s="3" t="s">
        <v>45</v>
      </c>
    </row>
    <row r="4453" spans="1:9" ht="48" customHeight="1">
      <c r="A4453" s="3" t="s">
        <v>40</v>
      </c>
      <c r="B4453" s="3" t="s">
        <v>39</v>
      </c>
      <c r="C4453" s="4">
        <v>46204</v>
      </c>
      <c r="D4453" s="4">
        <v>46234</v>
      </c>
      <c r="E4453" s="3" t="s">
        <v>68</v>
      </c>
      <c r="F4453" s="3" t="s">
        <v>154</v>
      </c>
      <c r="G4453" s="5">
        <v>1E-3</v>
      </c>
      <c r="H4453" s="6" t="s">
        <v>62</v>
      </c>
      <c r="I4453" s="3" t="s">
        <v>45</v>
      </c>
    </row>
    <row r="4454" spans="1:9" ht="48" customHeight="1">
      <c r="A4454" s="3" t="s">
        <v>40</v>
      </c>
      <c r="B4454" s="3" t="s">
        <v>39</v>
      </c>
      <c r="C4454" s="4">
        <v>46204</v>
      </c>
      <c r="D4454" s="4">
        <v>46234</v>
      </c>
      <c r="E4454" s="3" t="s">
        <v>68</v>
      </c>
      <c r="F4454" s="3" t="s">
        <v>160</v>
      </c>
      <c r="G4454" s="5">
        <v>0</v>
      </c>
      <c r="H4454" s="6" t="s">
        <v>62</v>
      </c>
      <c r="I4454" s="3" t="s">
        <v>45</v>
      </c>
    </row>
    <row r="4455" spans="1:9" ht="48" customHeight="1">
      <c r="A4455" s="3" t="s">
        <v>40</v>
      </c>
      <c r="B4455" s="3" t="s">
        <v>39</v>
      </c>
      <c r="C4455" s="4">
        <v>46204</v>
      </c>
      <c r="D4455" s="4">
        <v>46234</v>
      </c>
      <c r="E4455" s="3" t="s">
        <v>68</v>
      </c>
      <c r="F4455" s="3" t="s">
        <v>158</v>
      </c>
      <c r="G4455" s="5">
        <v>0</v>
      </c>
      <c r="H4455" s="6" t="s">
        <v>62</v>
      </c>
      <c r="I4455" s="3" t="s">
        <v>45</v>
      </c>
    </row>
    <row r="4456" spans="1:9" ht="48" customHeight="1">
      <c r="A4456" s="3" t="s">
        <v>40</v>
      </c>
      <c r="B4456" s="3" t="s">
        <v>39</v>
      </c>
      <c r="C4456" s="4">
        <v>46204</v>
      </c>
      <c r="D4456" s="4">
        <v>46234</v>
      </c>
      <c r="E4456" s="3" t="s">
        <v>68</v>
      </c>
      <c r="F4456" s="3" t="s">
        <v>153</v>
      </c>
      <c r="G4456" s="5">
        <v>0</v>
      </c>
      <c r="H4456" s="6" t="s">
        <v>62</v>
      </c>
      <c r="I4456" s="3" t="s">
        <v>45</v>
      </c>
    </row>
    <row r="4457" spans="1:9" ht="48" customHeight="1">
      <c r="A4457" s="3" t="s">
        <v>40</v>
      </c>
      <c r="B4457" s="3" t="s">
        <v>39</v>
      </c>
      <c r="C4457" s="4">
        <v>46204</v>
      </c>
      <c r="D4457" s="4">
        <v>46234</v>
      </c>
      <c r="E4457" s="3" t="s">
        <v>364</v>
      </c>
      <c r="F4457" s="3" t="s">
        <v>234</v>
      </c>
      <c r="G4457" s="5">
        <v>4.0000000000000001E-3</v>
      </c>
      <c r="H4457" s="6" t="s">
        <v>62</v>
      </c>
      <c r="I4457" s="3" t="s">
        <v>45</v>
      </c>
    </row>
    <row r="4458" spans="1:9" ht="48" customHeight="1">
      <c r="A4458" s="3" t="s">
        <v>40</v>
      </c>
      <c r="B4458" s="3" t="s">
        <v>39</v>
      </c>
      <c r="C4458" s="4">
        <v>46204</v>
      </c>
      <c r="D4458" s="4">
        <v>46234</v>
      </c>
      <c r="E4458" s="3" t="s">
        <v>364</v>
      </c>
      <c r="F4458" s="3" t="s">
        <v>262</v>
      </c>
      <c r="G4458" s="5">
        <v>4.0000000000000001E-3</v>
      </c>
      <c r="H4458" s="6" t="s">
        <v>62</v>
      </c>
      <c r="I4458" s="3" t="s">
        <v>45</v>
      </c>
    </row>
    <row r="4459" spans="1:9" ht="48" customHeight="1">
      <c r="A4459" s="3" t="s">
        <v>40</v>
      </c>
      <c r="B4459" s="3" t="s">
        <v>39</v>
      </c>
      <c r="C4459" s="4">
        <v>46204</v>
      </c>
      <c r="D4459" s="4">
        <v>46234</v>
      </c>
      <c r="E4459" s="3" t="s">
        <v>364</v>
      </c>
      <c r="F4459" s="3" t="s">
        <v>365</v>
      </c>
      <c r="G4459" s="5">
        <v>4.0000000000000001E-3</v>
      </c>
      <c r="H4459" s="6" t="s">
        <v>62</v>
      </c>
      <c r="I4459" s="3" t="s">
        <v>45</v>
      </c>
    </row>
    <row r="4460" spans="1:9" ht="48" customHeight="1">
      <c r="A4460" s="3" t="s">
        <v>40</v>
      </c>
      <c r="B4460" s="3" t="s">
        <v>39</v>
      </c>
      <c r="C4460" s="4">
        <v>46204</v>
      </c>
      <c r="D4460" s="4">
        <v>46234</v>
      </c>
      <c r="E4460" s="3" t="s">
        <v>364</v>
      </c>
      <c r="F4460" s="3" t="s">
        <v>366</v>
      </c>
      <c r="G4460" s="5">
        <v>4.0000000000000001E-3</v>
      </c>
      <c r="H4460" s="6" t="s">
        <v>62</v>
      </c>
      <c r="I4460" s="3" t="s">
        <v>45</v>
      </c>
    </row>
    <row r="4461" spans="1:9" ht="48" customHeight="1">
      <c r="A4461" s="3" t="s">
        <v>40</v>
      </c>
      <c r="B4461" s="3" t="s">
        <v>39</v>
      </c>
      <c r="C4461" s="4">
        <v>46204</v>
      </c>
      <c r="D4461" s="4">
        <v>46234</v>
      </c>
      <c r="E4461" s="3" t="s">
        <v>364</v>
      </c>
      <c r="F4461" s="3" t="s">
        <v>367</v>
      </c>
      <c r="G4461" s="5">
        <v>3.0000000000000001E-3</v>
      </c>
      <c r="H4461" s="6" t="s">
        <v>62</v>
      </c>
      <c r="I4461" s="3" t="s">
        <v>45</v>
      </c>
    </row>
    <row r="4462" spans="1:9" ht="48" customHeight="1">
      <c r="A4462" s="3" t="s">
        <v>40</v>
      </c>
      <c r="B4462" s="3" t="s">
        <v>39</v>
      </c>
      <c r="C4462" s="4">
        <v>46204</v>
      </c>
      <c r="D4462" s="4">
        <v>46234</v>
      </c>
      <c r="E4462" s="3" t="s">
        <v>364</v>
      </c>
      <c r="F4462" s="3" t="s">
        <v>230</v>
      </c>
      <c r="G4462" s="5">
        <v>1E-3</v>
      </c>
      <c r="H4462" s="6" t="s">
        <v>62</v>
      </c>
      <c r="I4462" s="3" t="s">
        <v>45</v>
      </c>
    </row>
    <row r="4463" spans="1:9" ht="48" customHeight="1">
      <c r="A4463" s="3" t="s">
        <v>40</v>
      </c>
      <c r="B4463" s="3" t="s">
        <v>39</v>
      </c>
      <c r="C4463" s="4">
        <v>46204</v>
      </c>
      <c r="D4463" s="4">
        <v>46234</v>
      </c>
      <c r="E4463" s="3" t="s">
        <v>364</v>
      </c>
      <c r="F4463" s="3" t="s">
        <v>232</v>
      </c>
      <c r="G4463" s="5">
        <v>1E-3</v>
      </c>
      <c r="H4463" s="6" t="s">
        <v>62</v>
      </c>
      <c r="I4463" s="3" t="s">
        <v>45</v>
      </c>
    </row>
    <row r="4464" spans="1:9" ht="48" customHeight="1">
      <c r="A4464" s="3" t="s">
        <v>40</v>
      </c>
      <c r="B4464" s="3" t="s">
        <v>39</v>
      </c>
      <c r="C4464" s="4">
        <v>46204</v>
      </c>
      <c r="D4464" s="4">
        <v>46234</v>
      </c>
      <c r="E4464" s="3" t="s">
        <v>364</v>
      </c>
      <c r="F4464" s="3" t="s">
        <v>265</v>
      </c>
      <c r="G4464" s="5">
        <v>1E-3</v>
      </c>
      <c r="H4464" s="6" t="s">
        <v>62</v>
      </c>
      <c r="I4464" s="3" t="s">
        <v>45</v>
      </c>
    </row>
    <row r="4465" spans="1:9" ht="48" customHeight="1">
      <c r="A4465" s="3" t="s">
        <v>40</v>
      </c>
      <c r="B4465" s="3" t="s">
        <v>39</v>
      </c>
      <c r="C4465" s="4">
        <v>46204</v>
      </c>
      <c r="D4465" s="4">
        <v>46234</v>
      </c>
      <c r="E4465" s="3" t="s">
        <v>364</v>
      </c>
      <c r="F4465" s="3" t="s">
        <v>79</v>
      </c>
      <c r="G4465" s="5">
        <v>0</v>
      </c>
      <c r="H4465" s="6" t="s">
        <v>62</v>
      </c>
      <c r="I4465" s="3" t="s">
        <v>45</v>
      </c>
    </row>
    <row r="4466" spans="1:9" ht="48" customHeight="1">
      <c r="A4466" s="3" t="s">
        <v>40</v>
      </c>
      <c r="B4466" s="3" t="s">
        <v>39</v>
      </c>
      <c r="C4466" s="4">
        <v>46204</v>
      </c>
      <c r="D4466" s="4">
        <v>46234</v>
      </c>
      <c r="E4466" s="3" t="s">
        <v>231</v>
      </c>
      <c r="F4466" s="3" t="s">
        <v>233</v>
      </c>
      <c r="G4466" s="5">
        <v>6.0000000000000001E-3</v>
      </c>
      <c r="H4466" s="6" t="s">
        <v>62</v>
      </c>
      <c r="I4466" s="3" t="s">
        <v>45</v>
      </c>
    </row>
    <row r="4467" spans="1:9" ht="48" customHeight="1">
      <c r="A4467" s="3" t="s">
        <v>40</v>
      </c>
      <c r="B4467" s="3" t="s">
        <v>39</v>
      </c>
      <c r="C4467" s="4">
        <v>46204</v>
      </c>
      <c r="D4467" s="4">
        <v>46234</v>
      </c>
      <c r="E4467" s="3" t="s">
        <v>231</v>
      </c>
      <c r="F4467" s="3" t="s">
        <v>232</v>
      </c>
      <c r="G4467" s="5">
        <v>5.0000000000000001E-3</v>
      </c>
      <c r="H4467" s="6" t="s">
        <v>62</v>
      </c>
      <c r="I4467" s="3" t="s">
        <v>45</v>
      </c>
    </row>
    <row r="4468" spans="1:9" ht="48" customHeight="1">
      <c r="A4468" s="3" t="s">
        <v>40</v>
      </c>
      <c r="B4468" s="3" t="s">
        <v>39</v>
      </c>
      <c r="C4468" s="4">
        <v>46204</v>
      </c>
      <c r="D4468" s="4">
        <v>46234</v>
      </c>
      <c r="E4468" s="3" t="s">
        <v>231</v>
      </c>
      <c r="F4468" s="3" t="s">
        <v>234</v>
      </c>
      <c r="G4468" s="5">
        <v>2E-3</v>
      </c>
      <c r="H4468" s="6" t="s">
        <v>62</v>
      </c>
      <c r="I4468" s="3" t="s">
        <v>45</v>
      </c>
    </row>
    <row r="4469" spans="1:9" ht="48" customHeight="1">
      <c r="A4469" s="3" t="s">
        <v>40</v>
      </c>
      <c r="B4469" s="3" t="s">
        <v>39</v>
      </c>
      <c r="C4469" s="4">
        <v>46204</v>
      </c>
      <c r="D4469" s="4">
        <v>46234</v>
      </c>
      <c r="E4469" s="3" t="s">
        <v>231</v>
      </c>
      <c r="F4469" s="3" t="s">
        <v>230</v>
      </c>
      <c r="G4469" s="5">
        <v>2E-3</v>
      </c>
      <c r="H4469" s="6" t="s">
        <v>62</v>
      </c>
      <c r="I4469" s="3" t="s">
        <v>45</v>
      </c>
    </row>
    <row r="4470" spans="1:9" ht="48" customHeight="1">
      <c r="A4470" s="3" t="s">
        <v>40</v>
      </c>
      <c r="B4470" s="3" t="s">
        <v>39</v>
      </c>
      <c r="C4470" s="4">
        <v>46204</v>
      </c>
      <c r="D4470" s="4">
        <v>46234</v>
      </c>
      <c r="E4470" s="3" t="s">
        <v>231</v>
      </c>
      <c r="F4470" s="3" t="s">
        <v>235</v>
      </c>
      <c r="G4470" s="5">
        <v>2E-3</v>
      </c>
      <c r="H4470" s="6" t="s">
        <v>62</v>
      </c>
      <c r="I4470" s="3" t="s">
        <v>45</v>
      </c>
    </row>
    <row r="4471" spans="1:9" ht="48" customHeight="1">
      <c r="A4471" s="3" t="s">
        <v>40</v>
      </c>
      <c r="B4471" s="3" t="s">
        <v>39</v>
      </c>
      <c r="C4471" s="4">
        <v>46204</v>
      </c>
      <c r="D4471" s="4">
        <v>46234</v>
      </c>
      <c r="E4471" s="3" t="s">
        <v>302</v>
      </c>
      <c r="F4471" s="3" t="s">
        <v>307</v>
      </c>
      <c r="G4471" s="5">
        <v>3.0000000000000001E-3</v>
      </c>
      <c r="H4471" s="6" t="s">
        <v>62</v>
      </c>
      <c r="I4471" s="3" t="s">
        <v>45</v>
      </c>
    </row>
    <row r="4472" spans="1:9" ht="48" customHeight="1">
      <c r="A4472" s="3" t="s">
        <v>40</v>
      </c>
      <c r="B4472" s="3" t="s">
        <v>39</v>
      </c>
      <c r="C4472" s="4">
        <v>46204</v>
      </c>
      <c r="D4472" s="4">
        <v>46234</v>
      </c>
      <c r="E4472" s="3" t="s">
        <v>302</v>
      </c>
      <c r="F4472" s="3" t="s">
        <v>309</v>
      </c>
      <c r="G4472" s="5">
        <v>2E-3</v>
      </c>
      <c r="H4472" s="6" t="s">
        <v>62</v>
      </c>
      <c r="I4472" s="3" t="s">
        <v>45</v>
      </c>
    </row>
    <row r="4473" spans="1:9" ht="48" customHeight="1">
      <c r="A4473" s="3" t="s">
        <v>40</v>
      </c>
      <c r="B4473" s="3" t="s">
        <v>39</v>
      </c>
      <c r="C4473" s="4">
        <v>46204</v>
      </c>
      <c r="D4473" s="4">
        <v>46234</v>
      </c>
      <c r="E4473" s="3" t="s">
        <v>302</v>
      </c>
      <c r="F4473" s="3" t="s">
        <v>303</v>
      </c>
      <c r="G4473" s="5">
        <v>1E-3</v>
      </c>
      <c r="H4473" s="6" t="s">
        <v>62</v>
      </c>
      <c r="I4473" s="3" t="s">
        <v>45</v>
      </c>
    </row>
    <row r="4474" spans="1:9" ht="48" customHeight="1">
      <c r="A4474" s="3" t="s">
        <v>40</v>
      </c>
      <c r="B4474" s="3" t="s">
        <v>39</v>
      </c>
      <c r="C4474" s="4">
        <v>46204</v>
      </c>
      <c r="D4474" s="4">
        <v>46234</v>
      </c>
      <c r="E4474" s="3" t="s">
        <v>302</v>
      </c>
      <c r="F4474" s="3" t="s">
        <v>304</v>
      </c>
      <c r="G4474" s="5">
        <v>1E-3</v>
      </c>
      <c r="H4474" s="6" t="s">
        <v>62</v>
      </c>
      <c r="I4474" s="3" t="s">
        <v>45</v>
      </c>
    </row>
    <row r="4475" spans="1:9" ht="48" customHeight="1">
      <c r="A4475" s="3" t="s">
        <v>40</v>
      </c>
      <c r="B4475" s="3" t="s">
        <v>39</v>
      </c>
      <c r="C4475" s="4">
        <v>46204</v>
      </c>
      <c r="D4475" s="4">
        <v>46234</v>
      </c>
      <c r="E4475" s="3" t="s">
        <v>302</v>
      </c>
      <c r="F4475" s="3" t="s">
        <v>310</v>
      </c>
      <c r="G4475" s="5">
        <v>1E-3</v>
      </c>
      <c r="H4475" s="6" t="s">
        <v>62</v>
      </c>
      <c r="I4475" s="3" t="s">
        <v>45</v>
      </c>
    </row>
    <row r="4476" spans="1:9" ht="48" customHeight="1">
      <c r="A4476" s="3" t="s">
        <v>40</v>
      </c>
      <c r="B4476" s="3" t="s">
        <v>39</v>
      </c>
      <c r="C4476" s="4">
        <v>46204</v>
      </c>
      <c r="D4476" s="4">
        <v>46234</v>
      </c>
      <c r="E4476" s="3" t="s">
        <v>302</v>
      </c>
      <c r="F4476" s="3" t="s">
        <v>311</v>
      </c>
      <c r="G4476" s="5">
        <v>1E-3</v>
      </c>
      <c r="H4476" s="6" t="s">
        <v>62</v>
      </c>
      <c r="I4476" s="3" t="s">
        <v>45</v>
      </c>
    </row>
    <row r="4477" spans="1:9" ht="48" customHeight="1">
      <c r="A4477" s="3" t="s">
        <v>40</v>
      </c>
      <c r="B4477" s="3" t="s">
        <v>39</v>
      </c>
      <c r="C4477" s="4">
        <v>46204</v>
      </c>
      <c r="D4477" s="4">
        <v>46234</v>
      </c>
      <c r="E4477" s="3" t="s">
        <v>302</v>
      </c>
      <c r="F4477" s="3" t="s">
        <v>305</v>
      </c>
      <c r="G4477" s="5">
        <v>1E-3</v>
      </c>
      <c r="H4477" s="6" t="s">
        <v>62</v>
      </c>
      <c r="I4477" s="3" t="s">
        <v>45</v>
      </c>
    </row>
    <row r="4478" spans="1:9" ht="48" customHeight="1">
      <c r="A4478" s="3" t="s">
        <v>40</v>
      </c>
      <c r="B4478" s="3" t="s">
        <v>39</v>
      </c>
      <c r="C4478" s="4">
        <v>46204</v>
      </c>
      <c r="D4478" s="4">
        <v>46234</v>
      </c>
      <c r="E4478" s="3" t="s">
        <v>302</v>
      </c>
      <c r="F4478" s="3" t="s">
        <v>306</v>
      </c>
      <c r="G4478" s="5">
        <v>1E-3</v>
      </c>
      <c r="H4478" s="6" t="s">
        <v>62</v>
      </c>
      <c r="I4478" s="3" t="s">
        <v>45</v>
      </c>
    </row>
    <row r="4479" spans="1:9" ht="48" customHeight="1">
      <c r="A4479" s="3" t="s">
        <v>40</v>
      </c>
      <c r="B4479" s="3" t="s">
        <v>39</v>
      </c>
      <c r="C4479" s="4">
        <v>46204</v>
      </c>
      <c r="D4479" s="4">
        <v>46234</v>
      </c>
      <c r="E4479" s="3" t="s">
        <v>302</v>
      </c>
      <c r="F4479" s="3" t="s">
        <v>314</v>
      </c>
      <c r="G4479" s="5">
        <v>1E-3</v>
      </c>
      <c r="H4479" s="6" t="s">
        <v>62</v>
      </c>
      <c r="I4479" s="3" t="s">
        <v>45</v>
      </c>
    </row>
    <row r="4480" spans="1:9" ht="48" customHeight="1">
      <c r="A4480" s="3" t="s">
        <v>40</v>
      </c>
      <c r="B4480" s="3" t="s">
        <v>39</v>
      </c>
      <c r="C4480" s="4">
        <v>46204</v>
      </c>
      <c r="D4480" s="4">
        <v>46234</v>
      </c>
      <c r="E4480" s="3" t="s">
        <v>302</v>
      </c>
      <c r="F4480" s="3" t="s">
        <v>308</v>
      </c>
      <c r="G4480" s="5">
        <v>1E-3</v>
      </c>
      <c r="H4480" s="6" t="s">
        <v>62</v>
      </c>
      <c r="I4480" s="3" t="s">
        <v>45</v>
      </c>
    </row>
    <row r="4481" spans="1:9" ht="48" customHeight="1">
      <c r="A4481" s="3" t="s">
        <v>40</v>
      </c>
      <c r="B4481" s="3" t="s">
        <v>39</v>
      </c>
      <c r="C4481" s="4">
        <v>46204</v>
      </c>
      <c r="D4481" s="4">
        <v>46234</v>
      </c>
      <c r="E4481" s="3" t="s">
        <v>302</v>
      </c>
      <c r="F4481" s="3" t="s">
        <v>312</v>
      </c>
      <c r="G4481" s="5">
        <v>0</v>
      </c>
      <c r="H4481" s="6" t="s">
        <v>62</v>
      </c>
      <c r="I4481" s="3" t="s">
        <v>45</v>
      </c>
    </row>
    <row r="4482" spans="1:9" ht="48" customHeight="1">
      <c r="A4482" s="3" t="s">
        <v>40</v>
      </c>
      <c r="B4482" s="3" t="s">
        <v>39</v>
      </c>
      <c r="C4482" s="4">
        <v>46204</v>
      </c>
      <c r="D4482" s="4">
        <v>46234</v>
      </c>
      <c r="E4482" s="3" t="s">
        <v>302</v>
      </c>
      <c r="F4482" s="3" t="s">
        <v>313</v>
      </c>
      <c r="G4482" s="5">
        <v>0</v>
      </c>
      <c r="H4482" s="6" t="s">
        <v>62</v>
      </c>
      <c r="I4482" s="3" t="s">
        <v>45</v>
      </c>
    </row>
    <row r="4483" spans="1:9" ht="48" customHeight="1">
      <c r="A4483" s="3" t="s">
        <v>40</v>
      </c>
      <c r="B4483" s="3" t="s">
        <v>39</v>
      </c>
      <c r="C4483" s="4">
        <v>46204</v>
      </c>
      <c r="D4483" s="4">
        <v>46234</v>
      </c>
      <c r="E4483" s="3" t="s">
        <v>302</v>
      </c>
      <c r="F4483" s="3" t="s">
        <v>315</v>
      </c>
      <c r="G4483" s="5">
        <v>0</v>
      </c>
      <c r="H4483" s="6" t="s">
        <v>62</v>
      </c>
      <c r="I4483" s="3" t="s">
        <v>45</v>
      </c>
    </row>
    <row r="4484" spans="1:9" ht="48" customHeight="1">
      <c r="A4484" s="3" t="s">
        <v>40</v>
      </c>
      <c r="B4484" s="3" t="s">
        <v>39</v>
      </c>
      <c r="C4484" s="4">
        <v>46204</v>
      </c>
      <c r="D4484" s="4">
        <v>46234</v>
      </c>
      <c r="E4484" s="3" t="s">
        <v>302</v>
      </c>
      <c r="F4484" s="3" t="s">
        <v>316</v>
      </c>
      <c r="G4484" s="5">
        <v>0</v>
      </c>
      <c r="H4484" s="6" t="s">
        <v>62</v>
      </c>
      <c r="I4484" s="3" t="s">
        <v>45</v>
      </c>
    </row>
    <row r="4485" spans="1:9" ht="48" customHeight="1">
      <c r="A4485" s="3" t="s">
        <v>40</v>
      </c>
      <c r="B4485" s="3" t="s">
        <v>39</v>
      </c>
      <c r="C4485" s="4">
        <v>46204</v>
      </c>
      <c r="D4485" s="4">
        <v>46234</v>
      </c>
      <c r="E4485" s="3" t="s">
        <v>302</v>
      </c>
      <c r="F4485" s="3" t="s">
        <v>317</v>
      </c>
      <c r="G4485" s="5">
        <v>0</v>
      </c>
      <c r="H4485" s="6" t="s">
        <v>62</v>
      </c>
      <c r="I4485" s="3" t="s">
        <v>45</v>
      </c>
    </row>
    <row r="4486" spans="1:9" ht="48" customHeight="1">
      <c r="A4486" s="3" t="s">
        <v>40</v>
      </c>
      <c r="B4486" s="3" t="s">
        <v>39</v>
      </c>
      <c r="C4486" s="4">
        <v>46204</v>
      </c>
      <c r="D4486" s="4">
        <v>46234</v>
      </c>
      <c r="E4486" s="3" t="s">
        <v>302</v>
      </c>
      <c r="F4486" s="3" t="s">
        <v>318</v>
      </c>
      <c r="G4486" s="5">
        <v>0</v>
      </c>
      <c r="H4486" s="6" t="s">
        <v>62</v>
      </c>
      <c r="I4486" s="3" t="s">
        <v>45</v>
      </c>
    </row>
    <row r="4487" spans="1:9" ht="48" customHeight="1">
      <c r="A4487" s="3" t="s">
        <v>40</v>
      </c>
      <c r="B4487" s="3" t="s">
        <v>39</v>
      </c>
      <c r="C4487" s="4">
        <v>46204</v>
      </c>
      <c r="D4487" s="4">
        <v>46234</v>
      </c>
      <c r="E4487" s="3" t="s">
        <v>302</v>
      </c>
      <c r="F4487" s="3" t="s">
        <v>319</v>
      </c>
      <c r="G4487" s="5">
        <v>0</v>
      </c>
      <c r="H4487" s="6" t="s">
        <v>62</v>
      </c>
      <c r="I4487" s="3" t="s">
        <v>45</v>
      </c>
    </row>
    <row r="4488" spans="1:9" ht="48" customHeight="1">
      <c r="A4488" s="3" t="s">
        <v>40</v>
      </c>
      <c r="B4488" s="3" t="s">
        <v>39</v>
      </c>
      <c r="C4488" s="4">
        <v>46204</v>
      </c>
      <c r="D4488" s="4">
        <v>46234</v>
      </c>
      <c r="E4488" s="3" t="s">
        <v>302</v>
      </c>
      <c r="F4488" s="3" t="s">
        <v>320</v>
      </c>
      <c r="G4488" s="5">
        <v>0</v>
      </c>
      <c r="H4488" s="6" t="s">
        <v>62</v>
      </c>
      <c r="I4488" s="3" t="s">
        <v>45</v>
      </c>
    </row>
    <row r="4489" spans="1:9" ht="48" customHeight="1">
      <c r="A4489" s="3" t="s">
        <v>40</v>
      </c>
      <c r="B4489" s="3" t="s">
        <v>39</v>
      </c>
      <c r="C4489" s="4">
        <v>46204</v>
      </c>
      <c r="D4489" s="4">
        <v>46234</v>
      </c>
      <c r="E4489" s="3" t="s">
        <v>302</v>
      </c>
      <c r="F4489" s="3" t="s">
        <v>321</v>
      </c>
      <c r="G4489" s="5">
        <v>0</v>
      </c>
      <c r="H4489" s="6" t="s">
        <v>62</v>
      </c>
      <c r="I4489" s="3" t="s">
        <v>45</v>
      </c>
    </row>
    <row r="4490" spans="1:9" ht="48" customHeight="1">
      <c r="A4490" s="3" t="s">
        <v>40</v>
      </c>
      <c r="B4490" s="3" t="s">
        <v>39</v>
      </c>
      <c r="C4490" s="4">
        <v>46204</v>
      </c>
      <c r="D4490" s="4">
        <v>46234</v>
      </c>
      <c r="E4490" s="3" t="s">
        <v>302</v>
      </c>
      <c r="F4490" s="3" t="s">
        <v>322</v>
      </c>
      <c r="G4490" s="5">
        <v>0</v>
      </c>
      <c r="H4490" s="6" t="s">
        <v>62</v>
      </c>
      <c r="I4490" s="3" t="s">
        <v>45</v>
      </c>
    </row>
    <row r="4491" spans="1:9" ht="48" customHeight="1">
      <c r="A4491" s="3" t="s">
        <v>40</v>
      </c>
      <c r="B4491" s="3" t="s">
        <v>39</v>
      </c>
      <c r="C4491" s="4">
        <v>46204</v>
      </c>
      <c r="D4491" s="4">
        <v>46234</v>
      </c>
      <c r="E4491" s="3" t="s">
        <v>302</v>
      </c>
      <c r="F4491" s="3" t="s">
        <v>323</v>
      </c>
      <c r="G4491" s="5">
        <v>0</v>
      </c>
      <c r="H4491" s="6" t="s">
        <v>62</v>
      </c>
      <c r="I4491" s="3" t="s">
        <v>45</v>
      </c>
    </row>
    <row r="4492" spans="1:9" ht="48" customHeight="1">
      <c r="A4492" s="3" t="s">
        <v>40</v>
      </c>
      <c r="B4492" s="3" t="s">
        <v>39</v>
      </c>
      <c r="C4492" s="4">
        <v>46204</v>
      </c>
      <c r="D4492" s="4">
        <v>46234</v>
      </c>
      <c r="E4492" s="3" t="s">
        <v>302</v>
      </c>
      <c r="F4492" s="3" t="s">
        <v>324</v>
      </c>
      <c r="G4492" s="5">
        <v>0</v>
      </c>
      <c r="H4492" s="6" t="s">
        <v>62</v>
      </c>
      <c r="I4492" s="3" t="s">
        <v>45</v>
      </c>
    </row>
    <row r="4493" spans="1:9" ht="48" customHeight="1">
      <c r="A4493" s="3" t="s">
        <v>40</v>
      </c>
      <c r="B4493" s="3" t="s">
        <v>39</v>
      </c>
      <c r="C4493" s="4">
        <v>46204</v>
      </c>
      <c r="D4493" s="4">
        <v>46234</v>
      </c>
      <c r="E4493" s="3" t="s">
        <v>368</v>
      </c>
      <c r="F4493" s="3" t="s">
        <v>370</v>
      </c>
      <c r="G4493" s="5">
        <v>2E-3</v>
      </c>
      <c r="H4493" s="6" t="s">
        <v>62</v>
      </c>
      <c r="I4493" s="3" t="s">
        <v>45</v>
      </c>
    </row>
    <row r="4494" spans="1:9" ht="48" customHeight="1">
      <c r="A4494" s="3" t="s">
        <v>40</v>
      </c>
      <c r="B4494" s="3" t="s">
        <v>39</v>
      </c>
      <c r="C4494" s="4">
        <v>46204</v>
      </c>
      <c r="D4494" s="4">
        <v>46234</v>
      </c>
      <c r="E4494" s="3" t="s">
        <v>368</v>
      </c>
      <c r="F4494" s="3" t="s">
        <v>369</v>
      </c>
      <c r="G4494" s="5">
        <v>1E-3</v>
      </c>
      <c r="H4494" s="6" t="s">
        <v>62</v>
      </c>
      <c r="I4494" s="3" t="s">
        <v>45</v>
      </c>
    </row>
    <row r="4495" spans="1:9" ht="48" customHeight="1">
      <c r="A4495" s="3" t="s">
        <v>40</v>
      </c>
      <c r="B4495" s="3" t="s">
        <v>39</v>
      </c>
      <c r="C4495" s="4">
        <v>46204</v>
      </c>
      <c r="D4495" s="4">
        <v>46234</v>
      </c>
      <c r="E4495" s="3" t="s">
        <v>368</v>
      </c>
      <c r="F4495" s="3" t="s">
        <v>373</v>
      </c>
      <c r="G4495" s="5">
        <v>1E-3</v>
      </c>
      <c r="H4495" s="6" t="s">
        <v>62</v>
      </c>
      <c r="I4495" s="3" t="s">
        <v>45</v>
      </c>
    </row>
    <row r="4496" spans="1:9" ht="48" customHeight="1">
      <c r="A4496" s="3" t="s">
        <v>40</v>
      </c>
      <c r="B4496" s="3" t="s">
        <v>39</v>
      </c>
      <c r="C4496" s="4">
        <v>46204</v>
      </c>
      <c r="D4496" s="4">
        <v>46234</v>
      </c>
      <c r="E4496" s="3" t="s">
        <v>368</v>
      </c>
      <c r="F4496" s="3" t="s">
        <v>265</v>
      </c>
      <c r="G4496" s="5">
        <v>1E-3</v>
      </c>
      <c r="H4496" s="6" t="s">
        <v>62</v>
      </c>
      <c r="I4496" s="3" t="s">
        <v>45</v>
      </c>
    </row>
    <row r="4497" spans="1:9" ht="48" customHeight="1">
      <c r="A4497" s="3" t="s">
        <v>40</v>
      </c>
      <c r="B4497" s="3" t="s">
        <v>39</v>
      </c>
      <c r="C4497" s="4">
        <v>46204</v>
      </c>
      <c r="D4497" s="4">
        <v>46234</v>
      </c>
      <c r="E4497" s="3" t="s">
        <v>368</v>
      </c>
      <c r="F4497" s="3" t="s">
        <v>262</v>
      </c>
      <c r="G4497" s="5">
        <v>1E-3</v>
      </c>
      <c r="H4497" s="6" t="s">
        <v>62</v>
      </c>
      <c r="I4497" s="3" t="s">
        <v>45</v>
      </c>
    </row>
    <row r="4498" spans="1:9" ht="48" customHeight="1">
      <c r="A4498" s="3" t="s">
        <v>40</v>
      </c>
      <c r="B4498" s="3" t="s">
        <v>39</v>
      </c>
      <c r="C4498" s="4">
        <v>46204</v>
      </c>
      <c r="D4498" s="4">
        <v>46234</v>
      </c>
      <c r="E4498" s="3" t="s">
        <v>368</v>
      </c>
      <c r="F4498" s="3" t="s">
        <v>371</v>
      </c>
      <c r="G4498" s="5">
        <v>1E-3</v>
      </c>
      <c r="H4498" s="6" t="s">
        <v>62</v>
      </c>
      <c r="I4498" s="3" t="s">
        <v>45</v>
      </c>
    </row>
    <row r="4499" spans="1:9" ht="48" customHeight="1">
      <c r="A4499" s="3" t="s">
        <v>40</v>
      </c>
      <c r="B4499" s="3" t="s">
        <v>39</v>
      </c>
      <c r="C4499" s="4">
        <v>46204</v>
      </c>
      <c r="D4499" s="4">
        <v>46234</v>
      </c>
      <c r="E4499" s="3" t="s">
        <v>368</v>
      </c>
      <c r="F4499" s="3" t="s">
        <v>374</v>
      </c>
      <c r="G4499" s="5">
        <v>1E-3</v>
      </c>
      <c r="H4499" s="6" t="s">
        <v>62</v>
      </c>
      <c r="I4499" s="3" t="s">
        <v>45</v>
      </c>
    </row>
    <row r="4500" spans="1:9" ht="48" customHeight="1">
      <c r="A4500" s="3" t="s">
        <v>40</v>
      </c>
      <c r="B4500" s="3" t="s">
        <v>39</v>
      </c>
      <c r="C4500" s="4">
        <v>46204</v>
      </c>
      <c r="D4500" s="4">
        <v>46234</v>
      </c>
      <c r="E4500" s="3" t="s">
        <v>368</v>
      </c>
      <c r="F4500" s="3" t="s">
        <v>207</v>
      </c>
      <c r="G4500" s="5">
        <v>1E-3</v>
      </c>
      <c r="H4500" s="6" t="s">
        <v>62</v>
      </c>
      <c r="I4500" s="3" t="s">
        <v>45</v>
      </c>
    </row>
    <row r="4501" spans="1:9" ht="48" customHeight="1">
      <c r="A4501" s="3" t="s">
        <v>40</v>
      </c>
      <c r="B4501" s="3" t="s">
        <v>39</v>
      </c>
      <c r="C4501" s="4">
        <v>46204</v>
      </c>
      <c r="D4501" s="4">
        <v>46234</v>
      </c>
      <c r="E4501" s="3" t="s">
        <v>368</v>
      </c>
      <c r="F4501" s="3" t="s">
        <v>375</v>
      </c>
      <c r="G4501" s="5">
        <v>1E-3</v>
      </c>
      <c r="H4501" s="6" t="s">
        <v>62</v>
      </c>
      <c r="I4501" s="3" t="s">
        <v>45</v>
      </c>
    </row>
    <row r="4502" spans="1:9" ht="48" customHeight="1">
      <c r="A4502" s="3" t="s">
        <v>40</v>
      </c>
      <c r="B4502" s="3" t="s">
        <v>39</v>
      </c>
      <c r="C4502" s="4">
        <v>46204</v>
      </c>
      <c r="D4502" s="4">
        <v>46234</v>
      </c>
      <c r="E4502" s="3" t="s">
        <v>368</v>
      </c>
      <c r="F4502" s="3" t="s">
        <v>376</v>
      </c>
      <c r="G4502" s="5">
        <v>1E-3</v>
      </c>
      <c r="H4502" s="6" t="s">
        <v>62</v>
      </c>
      <c r="I4502" s="3" t="s">
        <v>45</v>
      </c>
    </row>
    <row r="4503" spans="1:9" ht="48" customHeight="1">
      <c r="A4503" s="3" t="s">
        <v>40</v>
      </c>
      <c r="B4503" s="3" t="s">
        <v>39</v>
      </c>
      <c r="C4503" s="4">
        <v>46204</v>
      </c>
      <c r="D4503" s="4">
        <v>46234</v>
      </c>
      <c r="E4503" s="3" t="s">
        <v>368</v>
      </c>
      <c r="F4503" s="3" t="s">
        <v>377</v>
      </c>
      <c r="G4503" s="5">
        <v>1E-3</v>
      </c>
      <c r="H4503" s="6" t="s">
        <v>62</v>
      </c>
      <c r="I4503" s="3" t="s">
        <v>45</v>
      </c>
    </row>
    <row r="4504" spans="1:9" ht="48" customHeight="1">
      <c r="A4504" s="3" t="s">
        <v>40</v>
      </c>
      <c r="B4504" s="3" t="s">
        <v>39</v>
      </c>
      <c r="C4504" s="4">
        <v>46204</v>
      </c>
      <c r="D4504" s="4">
        <v>46234</v>
      </c>
      <c r="E4504" s="3" t="s">
        <v>368</v>
      </c>
      <c r="F4504" s="3" t="s">
        <v>378</v>
      </c>
      <c r="G4504" s="5">
        <v>1E-3</v>
      </c>
      <c r="H4504" s="6" t="s">
        <v>62</v>
      </c>
      <c r="I4504" s="3" t="s">
        <v>45</v>
      </c>
    </row>
    <row r="4505" spans="1:9" ht="48" customHeight="1">
      <c r="A4505" s="3" t="s">
        <v>40</v>
      </c>
      <c r="B4505" s="3" t="s">
        <v>39</v>
      </c>
      <c r="C4505" s="4">
        <v>46204</v>
      </c>
      <c r="D4505" s="4">
        <v>46234</v>
      </c>
      <c r="E4505" s="3" t="s">
        <v>368</v>
      </c>
      <c r="F4505" s="3" t="s">
        <v>230</v>
      </c>
      <c r="G4505" s="5">
        <v>0</v>
      </c>
      <c r="H4505" s="6" t="s">
        <v>62</v>
      </c>
      <c r="I4505" s="3" t="s">
        <v>45</v>
      </c>
    </row>
    <row r="4506" spans="1:9" ht="48" customHeight="1">
      <c r="A4506" s="3" t="s">
        <v>40</v>
      </c>
      <c r="B4506" s="3" t="s">
        <v>39</v>
      </c>
      <c r="C4506" s="4">
        <v>46204</v>
      </c>
      <c r="D4506" s="4">
        <v>46234</v>
      </c>
      <c r="E4506" s="3" t="s">
        <v>368</v>
      </c>
      <c r="F4506" s="3" t="s">
        <v>232</v>
      </c>
      <c r="G4506" s="5">
        <v>0</v>
      </c>
      <c r="H4506" s="6" t="s">
        <v>62</v>
      </c>
      <c r="I4506" s="3" t="s">
        <v>45</v>
      </c>
    </row>
    <row r="4507" spans="1:9" ht="48" customHeight="1">
      <c r="A4507" s="3" t="s">
        <v>40</v>
      </c>
      <c r="B4507" s="3" t="s">
        <v>39</v>
      </c>
      <c r="C4507" s="4">
        <v>46204</v>
      </c>
      <c r="D4507" s="4">
        <v>46234</v>
      </c>
      <c r="E4507" s="3" t="s">
        <v>368</v>
      </c>
      <c r="F4507" s="3" t="s">
        <v>234</v>
      </c>
      <c r="G4507" s="5">
        <v>0</v>
      </c>
      <c r="H4507" s="6" t="s">
        <v>62</v>
      </c>
      <c r="I4507" s="3" t="s">
        <v>45</v>
      </c>
    </row>
    <row r="4508" spans="1:9" ht="48" customHeight="1">
      <c r="A4508" s="3" t="s">
        <v>40</v>
      </c>
      <c r="B4508" s="3" t="s">
        <v>39</v>
      </c>
      <c r="C4508" s="4">
        <v>46204</v>
      </c>
      <c r="D4508" s="4">
        <v>46234</v>
      </c>
      <c r="E4508" s="3" t="s">
        <v>368</v>
      </c>
      <c r="F4508" s="3" t="s">
        <v>372</v>
      </c>
      <c r="G4508" s="5">
        <v>0</v>
      </c>
      <c r="H4508" s="6" t="s">
        <v>62</v>
      </c>
      <c r="I4508" s="3" t="s">
        <v>45</v>
      </c>
    </row>
    <row r="4509" spans="1:9" ht="48" customHeight="1">
      <c r="A4509" s="3" t="s">
        <v>40</v>
      </c>
      <c r="B4509" s="3" t="s">
        <v>39</v>
      </c>
      <c r="C4509" s="4">
        <v>46204</v>
      </c>
      <c r="D4509" s="4">
        <v>46234</v>
      </c>
      <c r="E4509" s="3" t="s">
        <v>260</v>
      </c>
      <c r="F4509" s="3" t="s">
        <v>262</v>
      </c>
      <c r="G4509" s="5">
        <v>2E-3</v>
      </c>
      <c r="H4509" s="6" t="s">
        <v>62</v>
      </c>
      <c r="I4509" s="3" t="s">
        <v>45</v>
      </c>
    </row>
    <row r="4510" spans="1:9" ht="48" customHeight="1">
      <c r="A4510" s="3" t="s">
        <v>40</v>
      </c>
      <c r="B4510" s="3" t="s">
        <v>39</v>
      </c>
      <c r="C4510" s="4">
        <v>46204</v>
      </c>
      <c r="D4510" s="4">
        <v>46234</v>
      </c>
      <c r="E4510" s="3" t="s">
        <v>260</v>
      </c>
      <c r="F4510" s="3" t="s">
        <v>261</v>
      </c>
      <c r="G4510" s="5">
        <v>2E-3</v>
      </c>
      <c r="H4510" s="6" t="s">
        <v>62</v>
      </c>
      <c r="I4510" s="3" t="s">
        <v>45</v>
      </c>
    </row>
    <row r="4511" spans="1:9" ht="48" customHeight="1">
      <c r="A4511" s="3" t="s">
        <v>40</v>
      </c>
      <c r="B4511" s="3" t="s">
        <v>39</v>
      </c>
      <c r="C4511" s="4">
        <v>46204</v>
      </c>
      <c r="D4511" s="4">
        <v>46234</v>
      </c>
      <c r="E4511" s="3" t="s">
        <v>260</v>
      </c>
      <c r="F4511" s="3" t="s">
        <v>263</v>
      </c>
      <c r="G4511" s="5">
        <v>1E-3</v>
      </c>
      <c r="H4511" s="6" t="s">
        <v>62</v>
      </c>
      <c r="I4511" s="3" t="s">
        <v>45</v>
      </c>
    </row>
    <row r="4512" spans="1:9" ht="48" customHeight="1">
      <c r="A4512" s="3" t="s">
        <v>40</v>
      </c>
      <c r="B4512" s="3" t="s">
        <v>39</v>
      </c>
      <c r="C4512" s="4">
        <v>46204</v>
      </c>
      <c r="D4512" s="4">
        <v>46234</v>
      </c>
      <c r="E4512" s="3" t="s">
        <v>260</v>
      </c>
      <c r="F4512" s="3" t="s">
        <v>266</v>
      </c>
      <c r="G4512" s="5">
        <v>1E-3</v>
      </c>
      <c r="H4512" s="6" t="s">
        <v>62</v>
      </c>
      <c r="I4512" s="3" t="s">
        <v>45</v>
      </c>
    </row>
    <row r="4513" spans="1:9" ht="48" customHeight="1">
      <c r="A4513" s="3" t="s">
        <v>40</v>
      </c>
      <c r="B4513" s="3" t="s">
        <v>39</v>
      </c>
      <c r="C4513" s="4">
        <v>46204</v>
      </c>
      <c r="D4513" s="4">
        <v>46234</v>
      </c>
      <c r="E4513" s="3" t="s">
        <v>260</v>
      </c>
      <c r="F4513" s="3" t="s">
        <v>264</v>
      </c>
      <c r="G4513" s="5">
        <v>1E-3</v>
      </c>
      <c r="H4513" s="6" t="s">
        <v>62</v>
      </c>
      <c r="I4513" s="3" t="s">
        <v>45</v>
      </c>
    </row>
    <row r="4514" spans="1:9" ht="48" customHeight="1">
      <c r="A4514" s="3" t="s">
        <v>40</v>
      </c>
      <c r="B4514" s="3" t="s">
        <v>39</v>
      </c>
      <c r="C4514" s="4">
        <v>46204</v>
      </c>
      <c r="D4514" s="4">
        <v>46234</v>
      </c>
      <c r="E4514" s="3" t="s">
        <v>260</v>
      </c>
      <c r="F4514" s="3" t="s">
        <v>267</v>
      </c>
      <c r="G4514" s="5">
        <v>1E-3</v>
      </c>
      <c r="H4514" s="6" t="s">
        <v>62</v>
      </c>
      <c r="I4514" s="3" t="s">
        <v>45</v>
      </c>
    </row>
    <row r="4515" spans="1:9" ht="48" customHeight="1">
      <c r="A4515" s="3" t="s">
        <v>40</v>
      </c>
      <c r="B4515" s="3" t="s">
        <v>39</v>
      </c>
      <c r="C4515" s="4">
        <v>46204</v>
      </c>
      <c r="D4515" s="4">
        <v>46234</v>
      </c>
      <c r="E4515" s="3" t="s">
        <v>260</v>
      </c>
      <c r="F4515" s="3" t="s">
        <v>268</v>
      </c>
      <c r="G4515" s="5">
        <v>1E-3</v>
      </c>
      <c r="H4515" s="6" t="s">
        <v>62</v>
      </c>
      <c r="I4515" s="3" t="s">
        <v>45</v>
      </c>
    </row>
    <row r="4516" spans="1:9" ht="48" customHeight="1">
      <c r="A4516" s="3" t="s">
        <v>40</v>
      </c>
      <c r="B4516" s="3" t="s">
        <v>39</v>
      </c>
      <c r="C4516" s="4">
        <v>46204</v>
      </c>
      <c r="D4516" s="4">
        <v>46234</v>
      </c>
      <c r="E4516" s="3" t="s">
        <v>260</v>
      </c>
      <c r="F4516" s="3" t="s">
        <v>232</v>
      </c>
      <c r="G4516" s="5">
        <v>1E-3</v>
      </c>
      <c r="H4516" s="6" t="s">
        <v>62</v>
      </c>
      <c r="I4516" s="3" t="s">
        <v>45</v>
      </c>
    </row>
    <row r="4517" spans="1:9" ht="48" customHeight="1">
      <c r="A4517" s="3" t="s">
        <v>40</v>
      </c>
      <c r="B4517" s="3" t="s">
        <v>39</v>
      </c>
      <c r="C4517" s="4">
        <v>46204</v>
      </c>
      <c r="D4517" s="4">
        <v>46234</v>
      </c>
      <c r="E4517" s="3" t="s">
        <v>260</v>
      </c>
      <c r="F4517" s="3" t="s">
        <v>265</v>
      </c>
      <c r="G4517" s="5">
        <v>1E-3</v>
      </c>
      <c r="H4517" s="6" t="s">
        <v>62</v>
      </c>
      <c r="I4517" s="3" t="s">
        <v>45</v>
      </c>
    </row>
    <row r="4518" spans="1:9" ht="48" customHeight="1">
      <c r="A4518" s="3" t="s">
        <v>40</v>
      </c>
      <c r="B4518" s="3" t="s">
        <v>39</v>
      </c>
      <c r="C4518" s="4">
        <v>46204</v>
      </c>
      <c r="D4518" s="4">
        <v>46234</v>
      </c>
      <c r="E4518" s="3" t="s">
        <v>260</v>
      </c>
      <c r="F4518" s="3" t="s">
        <v>270</v>
      </c>
      <c r="G4518" s="5">
        <v>1E-3</v>
      </c>
      <c r="H4518" s="6" t="s">
        <v>62</v>
      </c>
      <c r="I4518" s="3" t="s">
        <v>45</v>
      </c>
    </row>
    <row r="4519" spans="1:9" ht="48" customHeight="1">
      <c r="A4519" s="3" t="s">
        <v>40</v>
      </c>
      <c r="B4519" s="3" t="s">
        <v>39</v>
      </c>
      <c r="C4519" s="4">
        <v>46204</v>
      </c>
      <c r="D4519" s="4">
        <v>46234</v>
      </c>
      <c r="E4519" s="3" t="s">
        <v>260</v>
      </c>
      <c r="F4519" s="3" t="s">
        <v>271</v>
      </c>
      <c r="G4519" s="5">
        <v>1E-3</v>
      </c>
      <c r="H4519" s="6" t="s">
        <v>62</v>
      </c>
      <c r="I4519" s="3" t="s">
        <v>45</v>
      </c>
    </row>
    <row r="4520" spans="1:9" ht="48" customHeight="1">
      <c r="A4520" s="3" t="s">
        <v>40</v>
      </c>
      <c r="B4520" s="3" t="s">
        <v>39</v>
      </c>
      <c r="C4520" s="4">
        <v>46204</v>
      </c>
      <c r="D4520" s="4">
        <v>46234</v>
      </c>
      <c r="E4520" s="3" t="s">
        <v>260</v>
      </c>
      <c r="F4520" s="3" t="s">
        <v>234</v>
      </c>
      <c r="G4520" s="5">
        <v>0</v>
      </c>
      <c r="H4520" s="6" t="s">
        <v>62</v>
      </c>
      <c r="I4520" s="3" t="s">
        <v>45</v>
      </c>
    </row>
    <row r="4521" spans="1:9" ht="48" customHeight="1">
      <c r="A4521" s="3" t="s">
        <v>40</v>
      </c>
      <c r="B4521" s="3" t="s">
        <v>39</v>
      </c>
      <c r="C4521" s="4">
        <v>46204</v>
      </c>
      <c r="D4521" s="4">
        <v>46234</v>
      </c>
      <c r="E4521" s="3" t="s">
        <v>260</v>
      </c>
      <c r="F4521" s="3" t="s">
        <v>273</v>
      </c>
      <c r="G4521" s="5">
        <v>0</v>
      </c>
      <c r="H4521" s="6" t="s">
        <v>62</v>
      </c>
      <c r="I4521" s="3" t="s">
        <v>45</v>
      </c>
    </row>
    <row r="4522" spans="1:9" ht="48" customHeight="1">
      <c r="A4522" s="3" t="s">
        <v>40</v>
      </c>
      <c r="B4522" s="3" t="s">
        <v>39</v>
      </c>
      <c r="C4522" s="4">
        <v>46204</v>
      </c>
      <c r="D4522" s="4">
        <v>46234</v>
      </c>
      <c r="E4522" s="3" t="s">
        <v>260</v>
      </c>
      <c r="F4522" s="3" t="s">
        <v>274</v>
      </c>
      <c r="G4522" s="5">
        <v>0</v>
      </c>
      <c r="H4522" s="6" t="s">
        <v>62</v>
      </c>
      <c r="I4522" s="3" t="s">
        <v>45</v>
      </c>
    </row>
    <row r="4523" spans="1:9" ht="48" customHeight="1">
      <c r="A4523" s="3" t="s">
        <v>40</v>
      </c>
      <c r="B4523" s="3" t="s">
        <v>39</v>
      </c>
      <c r="C4523" s="4">
        <v>46204</v>
      </c>
      <c r="D4523" s="4">
        <v>46234</v>
      </c>
      <c r="E4523" s="3" t="s">
        <v>260</v>
      </c>
      <c r="F4523" s="3" t="s">
        <v>275</v>
      </c>
      <c r="G4523" s="5">
        <v>0</v>
      </c>
      <c r="H4523" s="6" t="s">
        <v>62</v>
      </c>
      <c r="I4523" s="3" t="s">
        <v>45</v>
      </c>
    </row>
    <row r="4524" spans="1:9" ht="48" customHeight="1">
      <c r="A4524" s="3" t="s">
        <v>40</v>
      </c>
      <c r="B4524" s="3" t="s">
        <v>39</v>
      </c>
      <c r="C4524" s="4">
        <v>46204</v>
      </c>
      <c r="D4524" s="4">
        <v>46234</v>
      </c>
      <c r="E4524" s="3" t="s">
        <v>260</v>
      </c>
      <c r="F4524" s="3" t="s">
        <v>276</v>
      </c>
      <c r="G4524" s="5">
        <v>0</v>
      </c>
      <c r="H4524" s="6" t="s">
        <v>62</v>
      </c>
      <c r="I4524" s="3" t="s">
        <v>45</v>
      </c>
    </row>
    <row r="4525" spans="1:9" ht="48" customHeight="1">
      <c r="A4525" s="3" t="s">
        <v>40</v>
      </c>
      <c r="B4525" s="3" t="s">
        <v>39</v>
      </c>
      <c r="C4525" s="4">
        <v>46204</v>
      </c>
      <c r="D4525" s="4">
        <v>46234</v>
      </c>
      <c r="E4525" s="3" t="s">
        <v>260</v>
      </c>
      <c r="F4525" s="3" t="s">
        <v>277</v>
      </c>
      <c r="G4525" s="5">
        <v>0</v>
      </c>
      <c r="H4525" s="6" t="s">
        <v>62</v>
      </c>
      <c r="I4525" s="3" t="s">
        <v>45</v>
      </c>
    </row>
    <row r="4526" spans="1:9" ht="48" customHeight="1">
      <c r="A4526" s="3" t="s">
        <v>40</v>
      </c>
      <c r="B4526" s="3" t="s">
        <v>39</v>
      </c>
      <c r="C4526" s="4">
        <v>46204</v>
      </c>
      <c r="D4526" s="4">
        <v>46234</v>
      </c>
      <c r="E4526" s="3" t="s">
        <v>260</v>
      </c>
      <c r="F4526" s="3" t="s">
        <v>278</v>
      </c>
      <c r="G4526" s="5">
        <v>0</v>
      </c>
      <c r="H4526" s="6" t="s">
        <v>62</v>
      </c>
      <c r="I4526" s="3" t="s">
        <v>45</v>
      </c>
    </row>
    <row r="4527" spans="1:9" ht="48" customHeight="1">
      <c r="A4527" s="3" t="s">
        <v>40</v>
      </c>
      <c r="B4527" s="3" t="s">
        <v>39</v>
      </c>
      <c r="C4527" s="4">
        <v>46204</v>
      </c>
      <c r="D4527" s="4">
        <v>46234</v>
      </c>
      <c r="E4527" s="3" t="s">
        <v>260</v>
      </c>
      <c r="F4527" s="3" t="s">
        <v>269</v>
      </c>
      <c r="G4527" s="5">
        <v>0</v>
      </c>
      <c r="H4527" s="6" t="s">
        <v>62</v>
      </c>
      <c r="I4527" s="3" t="s">
        <v>45</v>
      </c>
    </row>
    <row r="4528" spans="1:9" ht="48" customHeight="1">
      <c r="A4528" s="3" t="s">
        <v>40</v>
      </c>
      <c r="B4528" s="3" t="s">
        <v>39</v>
      </c>
      <c r="C4528" s="4">
        <v>46204</v>
      </c>
      <c r="D4528" s="4">
        <v>46234</v>
      </c>
      <c r="E4528" s="3" t="s">
        <v>260</v>
      </c>
      <c r="F4528" s="3" t="s">
        <v>279</v>
      </c>
      <c r="G4528" s="5">
        <v>0</v>
      </c>
      <c r="H4528" s="6" t="s">
        <v>62</v>
      </c>
      <c r="I4528" s="3" t="s">
        <v>45</v>
      </c>
    </row>
    <row r="4529" spans="1:9" ht="48" customHeight="1">
      <c r="A4529" s="3" t="s">
        <v>40</v>
      </c>
      <c r="B4529" s="3" t="s">
        <v>39</v>
      </c>
      <c r="C4529" s="4">
        <v>46204</v>
      </c>
      <c r="D4529" s="4">
        <v>46234</v>
      </c>
      <c r="E4529" s="3" t="s">
        <v>260</v>
      </c>
      <c r="F4529" s="3" t="s">
        <v>280</v>
      </c>
      <c r="G4529" s="5">
        <v>0</v>
      </c>
      <c r="H4529" s="6" t="s">
        <v>62</v>
      </c>
      <c r="I4529" s="3" t="s">
        <v>45</v>
      </c>
    </row>
    <row r="4530" spans="1:9" ht="48" customHeight="1">
      <c r="A4530" s="3" t="s">
        <v>40</v>
      </c>
      <c r="B4530" s="3" t="s">
        <v>39</v>
      </c>
      <c r="C4530" s="4">
        <v>46204</v>
      </c>
      <c r="D4530" s="4">
        <v>46234</v>
      </c>
      <c r="E4530" s="3" t="s">
        <v>260</v>
      </c>
      <c r="F4530" s="3" t="s">
        <v>281</v>
      </c>
      <c r="G4530" s="5">
        <v>0</v>
      </c>
      <c r="H4530" s="6" t="s">
        <v>62</v>
      </c>
      <c r="I4530" s="3" t="s">
        <v>45</v>
      </c>
    </row>
    <row r="4531" spans="1:9" ht="48" customHeight="1">
      <c r="A4531" s="3" t="s">
        <v>40</v>
      </c>
      <c r="B4531" s="3" t="s">
        <v>39</v>
      </c>
      <c r="C4531" s="4">
        <v>46204</v>
      </c>
      <c r="D4531" s="4">
        <v>46234</v>
      </c>
      <c r="E4531" s="3" t="s">
        <v>260</v>
      </c>
      <c r="F4531" s="3" t="s">
        <v>272</v>
      </c>
      <c r="G4531" s="5">
        <v>0</v>
      </c>
      <c r="H4531" s="6" t="s">
        <v>62</v>
      </c>
      <c r="I4531" s="3" t="s">
        <v>45</v>
      </c>
    </row>
    <row r="4532" spans="1:9" ht="48" customHeight="1">
      <c r="A4532" s="3" t="s">
        <v>40</v>
      </c>
      <c r="B4532" s="3" t="s">
        <v>39</v>
      </c>
      <c r="C4532" s="4">
        <v>46204</v>
      </c>
      <c r="D4532" s="4">
        <v>46234</v>
      </c>
      <c r="E4532" s="3" t="s">
        <v>260</v>
      </c>
      <c r="F4532" s="3" t="s">
        <v>282</v>
      </c>
      <c r="G4532" s="5">
        <v>0</v>
      </c>
      <c r="H4532" s="6" t="s">
        <v>62</v>
      </c>
      <c r="I4532" s="3" t="s">
        <v>45</v>
      </c>
    </row>
    <row r="4533" spans="1:9" ht="48" customHeight="1">
      <c r="A4533" s="3" t="s">
        <v>40</v>
      </c>
      <c r="B4533" s="3" t="s">
        <v>39</v>
      </c>
      <c r="C4533" s="4">
        <v>46204</v>
      </c>
      <c r="D4533" s="4">
        <v>46234</v>
      </c>
      <c r="E4533" s="3" t="s">
        <v>260</v>
      </c>
      <c r="F4533" s="3" t="s">
        <v>283</v>
      </c>
      <c r="G4533" s="5">
        <v>0</v>
      </c>
      <c r="H4533" s="6" t="s">
        <v>62</v>
      </c>
      <c r="I4533" s="3" t="s">
        <v>45</v>
      </c>
    </row>
    <row r="4534" spans="1:9" ht="48" customHeight="1">
      <c r="A4534" s="3" t="s">
        <v>40</v>
      </c>
      <c r="B4534" s="3" t="s">
        <v>39</v>
      </c>
      <c r="C4534" s="4">
        <v>46204</v>
      </c>
      <c r="D4534" s="4">
        <v>46234</v>
      </c>
      <c r="E4534" s="3" t="s">
        <v>260</v>
      </c>
      <c r="F4534" s="3" t="s">
        <v>284</v>
      </c>
      <c r="G4534" s="5">
        <v>0</v>
      </c>
      <c r="H4534" s="6" t="s">
        <v>62</v>
      </c>
      <c r="I4534" s="3" t="s">
        <v>45</v>
      </c>
    </row>
    <row r="4535" spans="1:9" ht="48" customHeight="1">
      <c r="A4535" s="3" t="s">
        <v>40</v>
      </c>
      <c r="B4535" s="3" t="s">
        <v>39</v>
      </c>
      <c r="C4535" s="4">
        <v>46204</v>
      </c>
      <c r="D4535" s="4">
        <v>46234</v>
      </c>
      <c r="E4535" s="3" t="s">
        <v>260</v>
      </c>
      <c r="F4535" s="3" t="s">
        <v>285</v>
      </c>
      <c r="G4535" s="5">
        <v>0</v>
      </c>
      <c r="H4535" s="6" t="s">
        <v>62</v>
      </c>
      <c r="I4535" s="3" t="s">
        <v>45</v>
      </c>
    </row>
    <row r="4536" spans="1:9" ht="48" customHeight="1">
      <c r="A4536" s="3" t="s">
        <v>40</v>
      </c>
      <c r="B4536" s="3" t="s">
        <v>39</v>
      </c>
      <c r="C4536" s="4">
        <v>46204</v>
      </c>
      <c r="D4536" s="4">
        <v>46234</v>
      </c>
      <c r="E4536" s="3" t="s">
        <v>244</v>
      </c>
      <c r="F4536" s="3" t="s">
        <v>248</v>
      </c>
      <c r="G4536" s="5">
        <v>2E-3</v>
      </c>
      <c r="H4536" s="6" t="s">
        <v>62</v>
      </c>
      <c r="I4536" s="3" t="s">
        <v>45</v>
      </c>
    </row>
    <row r="4537" spans="1:9" ht="48" customHeight="1">
      <c r="A4537" s="3" t="s">
        <v>40</v>
      </c>
      <c r="B4537" s="3" t="s">
        <v>39</v>
      </c>
      <c r="C4537" s="4">
        <v>46204</v>
      </c>
      <c r="D4537" s="4">
        <v>46234</v>
      </c>
      <c r="E4537" s="3" t="s">
        <v>244</v>
      </c>
      <c r="F4537" s="3" t="s">
        <v>247</v>
      </c>
      <c r="G4537" s="5">
        <v>2E-3</v>
      </c>
      <c r="H4537" s="6" t="s">
        <v>62</v>
      </c>
      <c r="I4537" s="3" t="s">
        <v>45</v>
      </c>
    </row>
    <row r="4538" spans="1:9" ht="48" customHeight="1">
      <c r="A4538" s="3" t="s">
        <v>40</v>
      </c>
      <c r="B4538" s="3" t="s">
        <v>39</v>
      </c>
      <c r="C4538" s="4">
        <v>46204</v>
      </c>
      <c r="D4538" s="4">
        <v>46234</v>
      </c>
      <c r="E4538" s="3" t="s">
        <v>244</v>
      </c>
      <c r="F4538" s="3" t="s">
        <v>245</v>
      </c>
      <c r="G4538" s="5">
        <v>2E-3</v>
      </c>
      <c r="H4538" s="6" t="s">
        <v>62</v>
      </c>
      <c r="I4538" s="3" t="s">
        <v>45</v>
      </c>
    </row>
    <row r="4539" spans="1:9" ht="48" customHeight="1">
      <c r="A4539" s="3" t="s">
        <v>40</v>
      </c>
      <c r="B4539" s="3" t="s">
        <v>39</v>
      </c>
      <c r="C4539" s="4">
        <v>46204</v>
      </c>
      <c r="D4539" s="4">
        <v>46234</v>
      </c>
      <c r="E4539" s="3" t="s">
        <v>244</v>
      </c>
      <c r="F4539" s="3" t="s">
        <v>246</v>
      </c>
      <c r="G4539" s="5">
        <v>2E-3</v>
      </c>
      <c r="H4539" s="6" t="s">
        <v>62</v>
      </c>
      <c r="I4539" s="3" t="s">
        <v>45</v>
      </c>
    </row>
    <row r="4540" spans="1:9" ht="48" customHeight="1">
      <c r="A4540" s="3" t="s">
        <v>40</v>
      </c>
      <c r="B4540" s="3" t="s">
        <v>39</v>
      </c>
      <c r="C4540" s="4">
        <v>46204</v>
      </c>
      <c r="D4540" s="4">
        <v>46234</v>
      </c>
      <c r="E4540" s="3" t="s">
        <v>244</v>
      </c>
      <c r="F4540" s="3" t="s">
        <v>252</v>
      </c>
      <c r="G4540" s="5">
        <v>1E-3</v>
      </c>
      <c r="H4540" s="6" t="s">
        <v>62</v>
      </c>
      <c r="I4540" s="3" t="s">
        <v>45</v>
      </c>
    </row>
    <row r="4541" spans="1:9" ht="48" customHeight="1">
      <c r="A4541" s="3" t="s">
        <v>40</v>
      </c>
      <c r="B4541" s="3" t="s">
        <v>39</v>
      </c>
      <c r="C4541" s="4">
        <v>46204</v>
      </c>
      <c r="D4541" s="4">
        <v>46234</v>
      </c>
      <c r="E4541" s="3" t="s">
        <v>244</v>
      </c>
      <c r="F4541" s="3" t="s">
        <v>249</v>
      </c>
      <c r="G4541" s="5">
        <v>1E-3</v>
      </c>
      <c r="H4541" s="6" t="s">
        <v>62</v>
      </c>
      <c r="I4541" s="3" t="s">
        <v>45</v>
      </c>
    </row>
    <row r="4542" spans="1:9" ht="48" customHeight="1">
      <c r="A4542" s="3" t="s">
        <v>40</v>
      </c>
      <c r="B4542" s="3" t="s">
        <v>39</v>
      </c>
      <c r="C4542" s="4">
        <v>46204</v>
      </c>
      <c r="D4542" s="4">
        <v>46234</v>
      </c>
      <c r="E4542" s="3" t="s">
        <v>244</v>
      </c>
      <c r="F4542" s="3" t="s">
        <v>259</v>
      </c>
      <c r="G4542" s="5">
        <v>1E-3</v>
      </c>
      <c r="H4542" s="6" t="s">
        <v>62</v>
      </c>
      <c r="I4542" s="3" t="s">
        <v>45</v>
      </c>
    </row>
    <row r="4543" spans="1:9" ht="48" customHeight="1">
      <c r="A4543" s="3" t="s">
        <v>40</v>
      </c>
      <c r="B4543" s="3" t="s">
        <v>39</v>
      </c>
      <c r="C4543" s="4">
        <v>46204</v>
      </c>
      <c r="D4543" s="4">
        <v>46234</v>
      </c>
      <c r="E4543" s="3" t="s">
        <v>244</v>
      </c>
      <c r="F4543" s="3" t="s">
        <v>250</v>
      </c>
      <c r="G4543" s="5">
        <v>0</v>
      </c>
      <c r="H4543" s="6" t="s">
        <v>62</v>
      </c>
      <c r="I4543" s="3" t="s">
        <v>45</v>
      </c>
    </row>
    <row r="4544" spans="1:9" ht="48" customHeight="1">
      <c r="A4544" s="3" t="s">
        <v>40</v>
      </c>
      <c r="B4544" s="3" t="s">
        <v>39</v>
      </c>
      <c r="C4544" s="4">
        <v>46204</v>
      </c>
      <c r="D4544" s="4">
        <v>46234</v>
      </c>
      <c r="E4544" s="3" t="s">
        <v>244</v>
      </c>
      <c r="F4544" s="3" t="s">
        <v>251</v>
      </c>
      <c r="G4544" s="5">
        <v>0</v>
      </c>
      <c r="H4544" s="6" t="s">
        <v>62</v>
      </c>
      <c r="I4544" s="3" t="s">
        <v>45</v>
      </c>
    </row>
    <row r="4545" spans="1:9" ht="48" customHeight="1">
      <c r="A4545" s="3" t="s">
        <v>40</v>
      </c>
      <c r="B4545" s="3" t="s">
        <v>39</v>
      </c>
      <c r="C4545" s="4">
        <v>46204</v>
      </c>
      <c r="D4545" s="4">
        <v>46234</v>
      </c>
      <c r="E4545" s="3" t="s">
        <v>244</v>
      </c>
      <c r="F4545" s="3" t="s">
        <v>255</v>
      </c>
      <c r="G4545" s="5">
        <v>0</v>
      </c>
      <c r="H4545" s="6" t="s">
        <v>62</v>
      </c>
      <c r="I4545" s="3" t="s">
        <v>45</v>
      </c>
    </row>
    <row r="4546" spans="1:9" ht="48" customHeight="1">
      <c r="A4546" s="3" t="s">
        <v>40</v>
      </c>
      <c r="B4546" s="3" t="s">
        <v>39</v>
      </c>
      <c r="C4546" s="4">
        <v>46204</v>
      </c>
      <c r="D4546" s="4">
        <v>46234</v>
      </c>
      <c r="E4546" s="3" t="s">
        <v>244</v>
      </c>
      <c r="F4546" s="3" t="s">
        <v>256</v>
      </c>
      <c r="G4546" s="5">
        <v>0</v>
      </c>
      <c r="H4546" s="6" t="s">
        <v>62</v>
      </c>
      <c r="I4546" s="3" t="s">
        <v>45</v>
      </c>
    </row>
    <row r="4547" spans="1:9" ht="48" customHeight="1">
      <c r="A4547" s="3" t="s">
        <v>40</v>
      </c>
      <c r="B4547" s="3" t="s">
        <v>39</v>
      </c>
      <c r="C4547" s="4">
        <v>46204</v>
      </c>
      <c r="D4547" s="4">
        <v>46234</v>
      </c>
      <c r="E4547" s="3" t="s">
        <v>244</v>
      </c>
      <c r="F4547" s="3" t="s">
        <v>257</v>
      </c>
      <c r="G4547" s="5">
        <v>0</v>
      </c>
      <c r="H4547" s="6" t="s">
        <v>62</v>
      </c>
      <c r="I4547" s="3" t="s">
        <v>45</v>
      </c>
    </row>
    <row r="4548" spans="1:9" ht="48" customHeight="1">
      <c r="A4548" s="3" t="s">
        <v>40</v>
      </c>
      <c r="B4548" s="3" t="s">
        <v>39</v>
      </c>
      <c r="C4548" s="4">
        <v>46204</v>
      </c>
      <c r="D4548" s="4">
        <v>46234</v>
      </c>
      <c r="E4548" s="3" t="s">
        <v>244</v>
      </c>
      <c r="F4548" s="3" t="s">
        <v>258</v>
      </c>
      <c r="G4548" s="5">
        <v>0</v>
      </c>
      <c r="H4548" s="6" t="s">
        <v>62</v>
      </c>
      <c r="I4548" s="3" t="s">
        <v>45</v>
      </c>
    </row>
    <row r="4549" spans="1:9" ht="48" customHeight="1">
      <c r="A4549" s="3" t="s">
        <v>40</v>
      </c>
      <c r="B4549" s="3" t="s">
        <v>39</v>
      </c>
      <c r="C4549" s="4">
        <v>46204</v>
      </c>
      <c r="D4549" s="4">
        <v>46234</v>
      </c>
      <c r="E4549" s="3" t="s">
        <v>244</v>
      </c>
      <c r="F4549" s="3" t="s">
        <v>253</v>
      </c>
      <c r="G4549" s="5">
        <v>0</v>
      </c>
      <c r="H4549" s="6" t="s">
        <v>62</v>
      </c>
      <c r="I4549" s="3" t="s">
        <v>45</v>
      </c>
    </row>
    <row r="4550" spans="1:9" ht="48" customHeight="1">
      <c r="A4550" s="3" t="s">
        <v>40</v>
      </c>
      <c r="B4550" s="3" t="s">
        <v>39</v>
      </c>
      <c r="C4550" s="4">
        <v>46204</v>
      </c>
      <c r="D4550" s="4">
        <v>46234</v>
      </c>
      <c r="E4550" s="3" t="s">
        <v>244</v>
      </c>
      <c r="F4550" s="3" t="s">
        <v>254</v>
      </c>
      <c r="G4550" s="5">
        <v>0</v>
      </c>
      <c r="H4550" s="6" t="s">
        <v>62</v>
      </c>
      <c r="I4550" s="3" t="s">
        <v>45</v>
      </c>
    </row>
    <row r="4551" spans="1:9" ht="48" customHeight="1">
      <c r="A4551" s="3" t="s">
        <v>40</v>
      </c>
      <c r="B4551" s="3" t="s">
        <v>39</v>
      </c>
      <c r="C4551" s="4">
        <v>46204</v>
      </c>
      <c r="D4551" s="4">
        <v>46234</v>
      </c>
      <c r="E4551" s="3" t="s">
        <v>379</v>
      </c>
      <c r="F4551" s="3" t="s">
        <v>265</v>
      </c>
      <c r="G4551" s="5">
        <v>2E-3</v>
      </c>
      <c r="H4551" s="6" t="s">
        <v>62</v>
      </c>
      <c r="I4551" s="3" t="s">
        <v>45</v>
      </c>
    </row>
    <row r="4552" spans="1:9" ht="48" customHeight="1">
      <c r="A4552" s="3" t="s">
        <v>40</v>
      </c>
      <c r="B4552" s="3" t="s">
        <v>39</v>
      </c>
      <c r="C4552" s="4">
        <v>46204</v>
      </c>
      <c r="D4552" s="4">
        <v>46234</v>
      </c>
      <c r="E4552" s="3" t="s">
        <v>379</v>
      </c>
      <c r="F4552" s="3" t="s">
        <v>380</v>
      </c>
      <c r="G4552" s="5">
        <v>2E-3</v>
      </c>
      <c r="H4552" s="6" t="s">
        <v>62</v>
      </c>
      <c r="I4552" s="3" t="s">
        <v>45</v>
      </c>
    </row>
    <row r="4553" spans="1:9" ht="48" customHeight="1">
      <c r="A4553" s="3" t="s">
        <v>40</v>
      </c>
      <c r="B4553" s="3" t="s">
        <v>39</v>
      </c>
      <c r="C4553" s="4">
        <v>46204</v>
      </c>
      <c r="D4553" s="4">
        <v>46234</v>
      </c>
      <c r="E4553" s="3" t="s">
        <v>379</v>
      </c>
      <c r="F4553" s="3" t="s">
        <v>230</v>
      </c>
      <c r="G4553" s="5">
        <v>1E-3</v>
      </c>
      <c r="H4553" s="6" t="s">
        <v>62</v>
      </c>
      <c r="I4553" s="3" t="s">
        <v>45</v>
      </c>
    </row>
    <row r="4554" spans="1:9" ht="48" customHeight="1">
      <c r="A4554" s="3" t="s">
        <v>40</v>
      </c>
      <c r="B4554" s="3" t="s">
        <v>39</v>
      </c>
      <c r="C4554" s="4">
        <v>46204</v>
      </c>
      <c r="D4554" s="4">
        <v>46234</v>
      </c>
      <c r="E4554" s="3" t="s">
        <v>379</v>
      </c>
      <c r="F4554" s="3" t="s">
        <v>234</v>
      </c>
      <c r="G4554" s="5">
        <v>1E-3</v>
      </c>
      <c r="H4554" s="6" t="s">
        <v>62</v>
      </c>
      <c r="I4554" s="3" t="s">
        <v>45</v>
      </c>
    </row>
    <row r="4555" spans="1:9" ht="48" customHeight="1">
      <c r="A4555" s="3" t="s">
        <v>40</v>
      </c>
      <c r="B4555" s="3" t="s">
        <v>39</v>
      </c>
      <c r="C4555" s="4">
        <v>46204</v>
      </c>
      <c r="D4555" s="4">
        <v>46234</v>
      </c>
      <c r="E4555" s="3" t="s">
        <v>379</v>
      </c>
      <c r="F4555" s="3" t="s">
        <v>262</v>
      </c>
      <c r="G4555" s="5">
        <v>1E-3</v>
      </c>
      <c r="H4555" s="6" t="s">
        <v>62</v>
      </c>
      <c r="I4555" s="3" t="s">
        <v>45</v>
      </c>
    </row>
    <row r="4556" spans="1:9" ht="48" customHeight="1">
      <c r="A4556" s="3" t="s">
        <v>40</v>
      </c>
      <c r="B4556" s="3" t="s">
        <v>39</v>
      </c>
      <c r="C4556" s="4">
        <v>46204</v>
      </c>
      <c r="D4556" s="4">
        <v>46234</v>
      </c>
      <c r="E4556" s="3" t="s">
        <v>301</v>
      </c>
      <c r="F4556" s="3" t="s">
        <v>301</v>
      </c>
      <c r="G4556" s="5">
        <v>6.0000000000000001E-3</v>
      </c>
      <c r="H4556" s="6" t="s">
        <v>62</v>
      </c>
      <c r="I4556" s="3" t="s">
        <v>45</v>
      </c>
    </row>
    <row r="4557" spans="1:9" ht="48" customHeight="1">
      <c r="A4557" s="3" t="s">
        <v>40</v>
      </c>
      <c r="B4557" s="3" t="s">
        <v>39</v>
      </c>
      <c r="C4557" s="4">
        <v>46204</v>
      </c>
      <c r="D4557" s="4">
        <v>46234</v>
      </c>
      <c r="E4557" s="3" t="s">
        <v>381</v>
      </c>
      <c r="F4557" s="3" t="s">
        <v>382</v>
      </c>
      <c r="G4557" s="5">
        <v>3.0000000000000001E-3</v>
      </c>
      <c r="H4557" s="6" t="s">
        <v>62</v>
      </c>
      <c r="I4557" s="3" t="s">
        <v>45</v>
      </c>
    </row>
    <row r="4558" spans="1:9" ht="48" customHeight="1">
      <c r="A4558" s="3" t="s">
        <v>40</v>
      </c>
      <c r="B4558" s="3" t="s">
        <v>39</v>
      </c>
      <c r="C4558" s="4">
        <v>46204</v>
      </c>
      <c r="D4558" s="4">
        <v>46234</v>
      </c>
      <c r="E4558" s="3" t="s">
        <v>381</v>
      </c>
      <c r="F4558" s="3" t="s">
        <v>383</v>
      </c>
      <c r="G4558" s="5">
        <v>2E-3</v>
      </c>
      <c r="H4558" s="6" t="s">
        <v>62</v>
      </c>
      <c r="I4558" s="3" t="s">
        <v>45</v>
      </c>
    </row>
    <row r="4559" spans="1:9" ht="48" customHeight="1">
      <c r="A4559" s="3" t="s">
        <v>40</v>
      </c>
      <c r="B4559" s="3" t="s">
        <v>39</v>
      </c>
      <c r="C4559" s="4">
        <v>46235</v>
      </c>
      <c r="D4559" s="4">
        <v>46265</v>
      </c>
      <c r="E4559" s="3" t="s">
        <v>161</v>
      </c>
      <c r="F4559" s="3" t="s">
        <v>162</v>
      </c>
      <c r="G4559" s="5">
        <v>1.6E-2</v>
      </c>
      <c r="H4559" s="6" t="s">
        <v>63</v>
      </c>
      <c r="I4559" s="3" t="s">
        <v>45</v>
      </c>
    </row>
    <row r="4560" spans="1:9" ht="48" customHeight="1">
      <c r="A4560" s="3" t="s">
        <v>40</v>
      </c>
      <c r="B4560" s="3" t="s">
        <v>39</v>
      </c>
      <c r="C4560" s="4">
        <v>46235</v>
      </c>
      <c r="D4560" s="4">
        <v>46265</v>
      </c>
      <c r="E4560" s="3" t="s">
        <v>161</v>
      </c>
      <c r="F4560" s="3" t="s">
        <v>172</v>
      </c>
      <c r="G4560" s="5">
        <v>1.3999999999999999E-2</v>
      </c>
      <c r="H4560" s="6" t="s">
        <v>63</v>
      </c>
      <c r="I4560" s="3" t="s">
        <v>45</v>
      </c>
    </row>
    <row r="4561" spans="1:9" ht="48" customHeight="1">
      <c r="A4561" s="3" t="s">
        <v>40</v>
      </c>
      <c r="B4561" s="3" t="s">
        <v>39</v>
      </c>
      <c r="C4561" s="4">
        <v>46235</v>
      </c>
      <c r="D4561" s="4">
        <v>46265</v>
      </c>
      <c r="E4561" s="3" t="s">
        <v>161</v>
      </c>
      <c r="F4561" s="3" t="s">
        <v>163</v>
      </c>
      <c r="G4561" s="5">
        <v>1.2E-2</v>
      </c>
      <c r="H4561" s="6" t="s">
        <v>63</v>
      </c>
      <c r="I4561" s="3" t="s">
        <v>45</v>
      </c>
    </row>
    <row r="4562" spans="1:9" ht="48" customHeight="1">
      <c r="A4562" s="3" t="s">
        <v>40</v>
      </c>
      <c r="B4562" s="3" t="s">
        <v>39</v>
      </c>
      <c r="C4562" s="4">
        <v>46235</v>
      </c>
      <c r="D4562" s="4">
        <v>46265</v>
      </c>
      <c r="E4562" s="3" t="s">
        <v>161</v>
      </c>
      <c r="F4562" s="3" t="s">
        <v>166</v>
      </c>
      <c r="G4562" s="5">
        <v>1.2E-2</v>
      </c>
      <c r="H4562" s="6" t="s">
        <v>63</v>
      </c>
      <c r="I4562" s="3" t="s">
        <v>45</v>
      </c>
    </row>
    <row r="4563" spans="1:9" ht="48" customHeight="1">
      <c r="A4563" s="3" t="s">
        <v>40</v>
      </c>
      <c r="B4563" s="3" t="s">
        <v>39</v>
      </c>
      <c r="C4563" s="4">
        <v>46235</v>
      </c>
      <c r="D4563" s="4">
        <v>46265</v>
      </c>
      <c r="E4563" s="3" t="s">
        <v>161</v>
      </c>
      <c r="F4563" s="3" t="s">
        <v>184</v>
      </c>
      <c r="G4563" s="5">
        <v>1.2E-2</v>
      </c>
      <c r="H4563" s="6" t="s">
        <v>63</v>
      </c>
      <c r="I4563" s="3" t="s">
        <v>45</v>
      </c>
    </row>
    <row r="4564" spans="1:9" ht="48" customHeight="1">
      <c r="A4564" s="3" t="s">
        <v>40</v>
      </c>
      <c r="B4564" s="3" t="s">
        <v>39</v>
      </c>
      <c r="C4564" s="4">
        <v>46235</v>
      </c>
      <c r="D4564" s="4">
        <v>46265</v>
      </c>
      <c r="E4564" s="3" t="s">
        <v>161</v>
      </c>
      <c r="F4564" s="3" t="s">
        <v>164</v>
      </c>
      <c r="G4564" s="5">
        <v>1.1000000000000001E-2</v>
      </c>
      <c r="H4564" s="6" t="s">
        <v>63</v>
      </c>
      <c r="I4564" s="3" t="s">
        <v>45</v>
      </c>
    </row>
    <row r="4565" spans="1:9" ht="48" customHeight="1">
      <c r="A4565" s="3" t="s">
        <v>40</v>
      </c>
      <c r="B4565" s="3" t="s">
        <v>39</v>
      </c>
      <c r="C4565" s="4">
        <v>46235</v>
      </c>
      <c r="D4565" s="4">
        <v>46265</v>
      </c>
      <c r="E4565" s="3" t="s">
        <v>161</v>
      </c>
      <c r="F4565" s="3" t="s">
        <v>385</v>
      </c>
      <c r="G4565" s="5">
        <v>1.1000000000000001E-2</v>
      </c>
      <c r="H4565" s="6" t="s">
        <v>63</v>
      </c>
      <c r="I4565" s="3" t="s">
        <v>45</v>
      </c>
    </row>
    <row r="4566" spans="1:9" ht="48" customHeight="1">
      <c r="A4566" s="3" t="s">
        <v>40</v>
      </c>
      <c r="B4566" s="3" t="s">
        <v>39</v>
      </c>
      <c r="C4566" s="4">
        <v>46235</v>
      </c>
      <c r="D4566" s="4">
        <v>46265</v>
      </c>
      <c r="E4566" s="3" t="s">
        <v>161</v>
      </c>
      <c r="F4566" s="3" t="s">
        <v>180</v>
      </c>
      <c r="G4566" s="5">
        <v>0.01</v>
      </c>
      <c r="H4566" s="6" t="s">
        <v>63</v>
      </c>
      <c r="I4566" s="3" t="s">
        <v>45</v>
      </c>
    </row>
    <row r="4567" spans="1:9" ht="48" customHeight="1">
      <c r="A4567" s="3" t="s">
        <v>40</v>
      </c>
      <c r="B4567" s="3" t="s">
        <v>39</v>
      </c>
      <c r="C4567" s="4">
        <v>46235</v>
      </c>
      <c r="D4567" s="4">
        <v>46265</v>
      </c>
      <c r="E4567" s="3" t="s">
        <v>161</v>
      </c>
      <c r="F4567" s="3" t="s">
        <v>168</v>
      </c>
      <c r="G4567" s="5">
        <v>9.0000000000000011E-3</v>
      </c>
      <c r="H4567" s="6" t="s">
        <v>63</v>
      </c>
      <c r="I4567" s="3" t="s">
        <v>45</v>
      </c>
    </row>
    <row r="4568" spans="1:9" ht="48" customHeight="1">
      <c r="A4568" s="3" t="s">
        <v>40</v>
      </c>
      <c r="B4568" s="3" t="s">
        <v>39</v>
      </c>
      <c r="C4568" s="4">
        <v>46235</v>
      </c>
      <c r="D4568" s="4">
        <v>46265</v>
      </c>
      <c r="E4568" s="3" t="s">
        <v>161</v>
      </c>
      <c r="F4568" s="3" t="s">
        <v>171</v>
      </c>
      <c r="G4568" s="5">
        <v>9.0000000000000011E-3</v>
      </c>
      <c r="H4568" s="6" t="s">
        <v>63</v>
      </c>
      <c r="I4568" s="3" t="s">
        <v>45</v>
      </c>
    </row>
    <row r="4569" spans="1:9" ht="48" customHeight="1">
      <c r="A4569" s="3" t="s">
        <v>40</v>
      </c>
      <c r="B4569" s="3" t="s">
        <v>39</v>
      </c>
      <c r="C4569" s="4">
        <v>46235</v>
      </c>
      <c r="D4569" s="4">
        <v>46265</v>
      </c>
      <c r="E4569" s="3" t="s">
        <v>161</v>
      </c>
      <c r="F4569" s="3" t="s">
        <v>384</v>
      </c>
      <c r="G4569" s="5">
        <v>9.0000000000000011E-3</v>
      </c>
      <c r="H4569" s="6" t="s">
        <v>63</v>
      </c>
      <c r="I4569" s="3" t="s">
        <v>45</v>
      </c>
    </row>
    <row r="4570" spans="1:9" ht="48" customHeight="1">
      <c r="A4570" s="3" t="s">
        <v>40</v>
      </c>
      <c r="B4570" s="3" t="s">
        <v>39</v>
      </c>
      <c r="C4570" s="4">
        <v>46235</v>
      </c>
      <c r="D4570" s="4">
        <v>46265</v>
      </c>
      <c r="E4570" s="3" t="s">
        <v>161</v>
      </c>
      <c r="F4570" s="3" t="s">
        <v>169</v>
      </c>
      <c r="G4570" s="5">
        <v>8.0000000000000002E-3</v>
      </c>
      <c r="H4570" s="6" t="s">
        <v>63</v>
      </c>
      <c r="I4570" s="3" t="s">
        <v>45</v>
      </c>
    </row>
    <row r="4571" spans="1:9" ht="48" customHeight="1">
      <c r="A4571" s="3" t="s">
        <v>40</v>
      </c>
      <c r="B4571" s="3" t="s">
        <v>39</v>
      </c>
      <c r="C4571" s="4">
        <v>46235</v>
      </c>
      <c r="D4571" s="4">
        <v>46265</v>
      </c>
      <c r="E4571" s="3" t="s">
        <v>161</v>
      </c>
      <c r="F4571" s="3" t="s">
        <v>170</v>
      </c>
      <c r="G4571" s="5">
        <v>8.0000000000000002E-3</v>
      </c>
      <c r="H4571" s="6" t="s">
        <v>63</v>
      </c>
      <c r="I4571" s="3" t="s">
        <v>45</v>
      </c>
    </row>
    <row r="4572" spans="1:9" ht="48" customHeight="1">
      <c r="A4572" s="3" t="s">
        <v>40</v>
      </c>
      <c r="B4572" s="3" t="s">
        <v>39</v>
      </c>
      <c r="C4572" s="4">
        <v>46235</v>
      </c>
      <c r="D4572" s="4">
        <v>46265</v>
      </c>
      <c r="E4572" s="3" t="s">
        <v>161</v>
      </c>
      <c r="F4572" s="3" t="s">
        <v>178</v>
      </c>
      <c r="G4572" s="5">
        <v>8.0000000000000002E-3</v>
      </c>
      <c r="H4572" s="6" t="s">
        <v>63</v>
      </c>
      <c r="I4572" s="3" t="s">
        <v>45</v>
      </c>
    </row>
    <row r="4573" spans="1:9" ht="48" customHeight="1">
      <c r="A4573" s="3" t="s">
        <v>40</v>
      </c>
      <c r="B4573" s="3" t="s">
        <v>39</v>
      </c>
      <c r="C4573" s="4">
        <v>46235</v>
      </c>
      <c r="D4573" s="4">
        <v>46265</v>
      </c>
      <c r="E4573" s="3" t="s">
        <v>161</v>
      </c>
      <c r="F4573" s="3" t="s">
        <v>181</v>
      </c>
      <c r="G4573" s="5">
        <v>8.0000000000000002E-3</v>
      </c>
      <c r="H4573" s="6" t="s">
        <v>63</v>
      </c>
      <c r="I4573" s="3" t="s">
        <v>45</v>
      </c>
    </row>
    <row r="4574" spans="1:9" ht="48" customHeight="1">
      <c r="A4574" s="3" t="s">
        <v>40</v>
      </c>
      <c r="B4574" s="3" t="s">
        <v>39</v>
      </c>
      <c r="C4574" s="4">
        <v>46235</v>
      </c>
      <c r="D4574" s="4">
        <v>46265</v>
      </c>
      <c r="E4574" s="3" t="s">
        <v>161</v>
      </c>
      <c r="F4574" s="3" t="s">
        <v>195</v>
      </c>
      <c r="G4574" s="5">
        <v>8.0000000000000002E-3</v>
      </c>
      <c r="H4574" s="6" t="s">
        <v>63</v>
      </c>
      <c r="I4574" s="3" t="s">
        <v>45</v>
      </c>
    </row>
    <row r="4575" spans="1:9" ht="48" customHeight="1">
      <c r="A4575" s="3" t="s">
        <v>40</v>
      </c>
      <c r="B4575" s="3" t="s">
        <v>39</v>
      </c>
      <c r="C4575" s="4">
        <v>46235</v>
      </c>
      <c r="D4575" s="4">
        <v>46265</v>
      </c>
      <c r="E4575" s="3" t="s">
        <v>161</v>
      </c>
      <c r="F4575" s="3" t="s">
        <v>173</v>
      </c>
      <c r="G4575" s="5">
        <v>8.0000000000000002E-3</v>
      </c>
      <c r="H4575" s="6" t="s">
        <v>63</v>
      </c>
      <c r="I4575" s="3" t="s">
        <v>45</v>
      </c>
    </row>
    <row r="4576" spans="1:9" ht="48" customHeight="1">
      <c r="A4576" s="3" t="s">
        <v>40</v>
      </c>
      <c r="B4576" s="3" t="s">
        <v>39</v>
      </c>
      <c r="C4576" s="4">
        <v>46235</v>
      </c>
      <c r="D4576" s="4">
        <v>46265</v>
      </c>
      <c r="E4576" s="3" t="s">
        <v>161</v>
      </c>
      <c r="F4576" s="3" t="s">
        <v>174</v>
      </c>
      <c r="G4576" s="5">
        <v>6.9999999999999993E-3</v>
      </c>
      <c r="H4576" s="6" t="s">
        <v>63</v>
      </c>
      <c r="I4576" s="3" t="s">
        <v>45</v>
      </c>
    </row>
    <row r="4577" spans="1:9" ht="48" customHeight="1">
      <c r="A4577" s="3" t="s">
        <v>40</v>
      </c>
      <c r="B4577" s="3" t="s">
        <v>39</v>
      </c>
      <c r="C4577" s="4">
        <v>46235</v>
      </c>
      <c r="D4577" s="4">
        <v>46265</v>
      </c>
      <c r="E4577" s="3" t="s">
        <v>161</v>
      </c>
      <c r="F4577" s="3" t="s">
        <v>167</v>
      </c>
      <c r="G4577" s="5">
        <v>6.9999999999999993E-3</v>
      </c>
      <c r="H4577" s="6" t="s">
        <v>63</v>
      </c>
      <c r="I4577" s="3" t="s">
        <v>45</v>
      </c>
    </row>
    <row r="4578" spans="1:9" ht="48" customHeight="1">
      <c r="A4578" s="3" t="s">
        <v>40</v>
      </c>
      <c r="B4578" s="3" t="s">
        <v>39</v>
      </c>
      <c r="C4578" s="4">
        <v>46235</v>
      </c>
      <c r="D4578" s="4">
        <v>46265</v>
      </c>
      <c r="E4578" s="3" t="s">
        <v>161</v>
      </c>
      <c r="F4578" s="3" t="s">
        <v>191</v>
      </c>
      <c r="G4578" s="5">
        <v>6.9999999999999993E-3</v>
      </c>
      <c r="H4578" s="6" t="s">
        <v>63</v>
      </c>
      <c r="I4578" s="3" t="s">
        <v>45</v>
      </c>
    </row>
    <row r="4579" spans="1:9" ht="48" customHeight="1">
      <c r="A4579" s="3" t="s">
        <v>40</v>
      </c>
      <c r="B4579" s="3" t="s">
        <v>39</v>
      </c>
      <c r="C4579" s="4">
        <v>46235</v>
      </c>
      <c r="D4579" s="4">
        <v>46265</v>
      </c>
      <c r="E4579" s="3" t="s">
        <v>161</v>
      </c>
      <c r="F4579" s="3" t="s">
        <v>165</v>
      </c>
      <c r="G4579" s="5">
        <v>6.9999999999999993E-3</v>
      </c>
      <c r="H4579" s="6" t="s">
        <v>63</v>
      </c>
      <c r="I4579" s="3" t="s">
        <v>45</v>
      </c>
    </row>
    <row r="4580" spans="1:9" ht="48" customHeight="1">
      <c r="A4580" s="3" t="s">
        <v>40</v>
      </c>
      <c r="B4580" s="3" t="s">
        <v>39</v>
      </c>
      <c r="C4580" s="4">
        <v>46235</v>
      </c>
      <c r="D4580" s="4">
        <v>46265</v>
      </c>
      <c r="E4580" s="3" t="s">
        <v>161</v>
      </c>
      <c r="F4580" s="3" t="s">
        <v>177</v>
      </c>
      <c r="G4580" s="5">
        <v>6.9999999999999993E-3</v>
      </c>
      <c r="H4580" s="6" t="s">
        <v>63</v>
      </c>
      <c r="I4580" s="3" t="s">
        <v>45</v>
      </c>
    </row>
    <row r="4581" spans="1:9" ht="48" customHeight="1">
      <c r="A4581" s="3" t="s">
        <v>40</v>
      </c>
      <c r="B4581" s="3" t="s">
        <v>39</v>
      </c>
      <c r="C4581" s="4">
        <v>46235</v>
      </c>
      <c r="D4581" s="4">
        <v>46265</v>
      </c>
      <c r="E4581" s="3" t="s">
        <v>161</v>
      </c>
      <c r="F4581" s="3" t="s">
        <v>188</v>
      </c>
      <c r="G4581" s="5">
        <v>6.9999999999999993E-3</v>
      </c>
      <c r="H4581" s="6" t="s">
        <v>63</v>
      </c>
      <c r="I4581" s="3" t="s">
        <v>45</v>
      </c>
    </row>
    <row r="4582" spans="1:9" ht="48" customHeight="1">
      <c r="A4582" s="3" t="s">
        <v>40</v>
      </c>
      <c r="B4582" s="3" t="s">
        <v>39</v>
      </c>
      <c r="C4582" s="4">
        <v>46235</v>
      </c>
      <c r="D4582" s="4">
        <v>46265</v>
      </c>
      <c r="E4582" s="3" t="s">
        <v>161</v>
      </c>
      <c r="F4582" s="3" t="s">
        <v>183</v>
      </c>
      <c r="G4582" s="5">
        <v>6.9999999999999993E-3</v>
      </c>
      <c r="H4582" s="6" t="s">
        <v>63</v>
      </c>
      <c r="I4582" s="3" t="s">
        <v>45</v>
      </c>
    </row>
    <row r="4583" spans="1:9" ht="48" customHeight="1">
      <c r="A4583" s="3" t="s">
        <v>40</v>
      </c>
      <c r="B4583" s="3" t="s">
        <v>39</v>
      </c>
      <c r="C4583" s="4">
        <v>46235</v>
      </c>
      <c r="D4583" s="4">
        <v>46265</v>
      </c>
      <c r="E4583" s="3" t="s">
        <v>161</v>
      </c>
      <c r="F4583" s="3" t="s">
        <v>182</v>
      </c>
      <c r="G4583" s="5">
        <v>6.0000000000000001E-3</v>
      </c>
      <c r="H4583" s="6" t="s">
        <v>63</v>
      </c>
      <c r="I4583" s="3" t="s">
        <v>45</v>
      </c>
    </row>
    <row r="4584" spans="1:9" ht="48" customHeight="1">
      <c r="A4584" s="3" t="s">
        <v>40</v>
      </c>
      <c r="B4584" s="3" t="s">
        <v>39</v>
      </c>
      <c r="C4584" s="4">
        <v>46235</v>
      </c>
      <c r="D4584" s="4">
        <v>46265</v>
      </c>
      <c r="E4584" s="3" t="s">
        <v>161</v>
      </c>
      <c r="F4584" s="3" t="s">
        <v>200</v>
      </c>
      <c r="G4584" s="5">
        <v>6.0000000000000001E-3</v>
      </c>
      <c r="H4584" s="6" t="s">
        <v>63</v>
      </c>
      <c r="I4584" s="3" t="s">
        <v>45</v>
      </c>
    </row>
    <row r="4585" spans="1:9" ht="48" customHeight="1">
      <c r="A4585" s="3" t="s">
        <v>40</v>
      </c>
      <c r="B4585" s="3" t="s">
        <v>39</v>
      </c>
      <c r="C4585" s="4">
        <v>46235</v>
      </c>
      <c r="D4585" s="4">
        <v>46265</v>
      </c>
      <c r="E4585" s="3" t="s">
        <v>161</v>
      </c>
      <c r="F4585" s="3" t="s">
        <v>175</v>
      </c>
      <c r="G4585" s="5">
        <v>5.0000000000000001E-3</v>
      </c>
      <c r="H4585" s="6" t="s">
        <v>63</v>
      </c>
      <c r="I4585" s="3" t="s">
        <v>45</v>
      </c>
    </row>
    <row r="4586" spans="1:9" ht="48" customHeight="1">
      <c r="A4586" s="3" t="s">
        <v>40</v>
      </c>
      <c r="B4586" s="3" t="s">
        <v>39</v>
      </c>
      <c r="C4586" s="4">
        <v>46235</v>
      </c>
      <c r="D4586" s="4">
        <v>46265</v>
      </c>
      <c r="E4586" s="3" t="s">
        <v>161</v>
      </c>
      <c r="F4586" s="3" t="s">
        <v>176</v>
      </c>
      <c r="G4586" s="5">
        <v>5.0000000000000001E-3</v>
      </c>
      <c r="H4586" s="6" t="s">
        <v>63</v>
      </c>
      <c r="I4586" s="3" t="s">
        <v>45</v>
      </c>
    </row>
    <row r="4587" spans="1:9" ht="48" customHeight="1">
      <c r="A4587" s="3" t="s">
        <v>40</v>
      </c>
      <c r="B4587" s="3" t="s">
        <v>39</v>
      </c>
      <c r="C4587" s="4">
        <v>46235</v>
      </c>
      <c r="D4587" s="4">
        <v>46265</v>
      </c>
      <c r="E4587" s="3" t="s">
        <v>161</v>
      </c>
      <c r="F4587" s="3" t="s">
        <v>186</v>
      </c>
      <c r="G4587" s="5">
        <v>5.0000000000000001E-3</v>
      </c>
      <c r="H4587" s="6" t="s">
        <v>63</v>
      </c>
      <c r="I4587" s="3" t="s">
        <v>45</v>
      </c>
    </row>
    <row r="4588" spans="1:9" ht="48" customHeight="1">
      <c r="A4588" s="3" t="s">
        <v>40</v>
      </c>
      <c r="B4588" s="3" t="s">
        <v>39</v>
      </c>
      <c r="C4588" s="4">
        <v>46235</v>
      </c>
      <c r="D4588" s="4">
        <v>46265</v>
      </c>
      <c r="E4588" s="3" t="s">
        <v>161</v>
      </c>
      <c r="F4588" s="3" t="s">
        <v>179</v>
      </c>
      <c r="G4588" s="5">
        <v>5.0000000000000001E-3</v>
      </c>
      <c r="H4588" s="6" t="s">
        <v>63</v>
      </c>
      <c r="I4588" s="3" t="s">
        <v>45</v>
      </c>
    </row>
    <row r="4589" spans="1:9" ht="48" customHeight="1">
      <c r="A4589" s="3" t="s">
        <v>40</v>
      </c>
      <c r="B4589" s="3" t="s">
        <v>39</v>
      </c>
      <c r="C4589" s="4">
        <v>46235</v>
      </c>
      <c r="D4589" s="4">
        <v>46265</v>
      </c>
      <c r="E4589" s="3" t="s">
        <v>161</v>
      </c>
      <c r="F4589" s="3" t="s">
        <v>386</v>
      </c>
      <c r="G4589" s="5">
        <v>5.0000000000000001E-3</v>
      </c>
      <c r="H4589" s="6" t="s">
        <v>63</v>
      </c>
      <c r="I4589" s="3" t="s">
        <v>45</v>
      </c>
    </row>
    <row r="4590" spans="1:9" ht="48" customHeight="1">
      <c r="A4590" s="3" t="s">
        <v>40</v>
      </c>
      <c r="B4590" s="3" t="s">
        <v>39</v>
      </c>
      <c r="C4590" s="4">
        <v>46235</v>
      </c>
      <c r="D4590" s="4">
        <v>46265</v>
      </c>
      <c r="E4590" s="3" t="s">
        <v>161</v>
      </c>
      <c r="F4590" s="3" t="s">
        <v>196</v>
      </c>
      <c r="G4590" s="5">
        <v>5.0000000000000001E-3</v>
      </c>
      <c r="H4590" s="6" t="s">
        <v>63</v>
      </c>
      <c r="I4590" s="3" t="s">
        <v>45</v>
      </c>
    </row>
    <row r="4591" spans="1:9" ht="48" customHeight="1">
      <c r="A4591" s="3" t="s">
        <v>40</v>
      </c>
      <c r="B4591" s="3" t="s">
        <v>39</v>
      </c>
      <c r="C4591" s="4">
        <v>46235</v>
      </c>
      <c r="D4591" s="4">
        <v>46265</v>
      </c>
      <c r="E4591" s="3" t="s">
        <v>161</v>
      </c>
      <c r="F4591" s="3" t="s">
        <v>189</v>
      </c>
      <c r="G4591" s="5">
        <v>4.0000000000000001E-3</v>
      </c>
      <c r="H4591" s="6" t="s">
        <v>63</v>
      </c>
      <c r="I4591" s="3" t="s">
        <v>45</v>
      </c>
    </row>
    <row r="4592" spans="1:9" ht="48" customHeight="1">
      <c r="A4592" s="3" t="s">
        <v>40</v>
      </c>
      <c r="B4592" s="3" t="s">
        <v>39</v>
      </c>
      <c r="C4592" s="4">
        <v>46235</v>
      </c>
      <c r="D4592" s="4">
        <v>46265</v>
      </c>
      <c r="E4592" s="3" t="s">
        <v>161</v>
      </c>
      <c r="F4592" s="3" t="s">
        <v>190</v>
      </c>
      <c r="G4592" s="5">
        <v>4.0000000000000001E-3</v>
      </c>
      <c r="H4592" s="6" t="s">
        <v>63</v>
      </c>
      <c r="I4592" s="3" t="s">
        <v>45</v>
      </c>
    </row>
    <row r="4593" spans="1:9" ht="48" customHeight="1">
      <c r="A4593" s="3" t="s">
        <v>40</v>
      </c>
      <c r="B4593" s="3" t="s">
        <v>39</v>
      </c>
      <c r="C4593" s="4">
        <v>46235</v>
      </c>
      <c r="D4593" s="4">
        <v>46265</v>
      </c>
      <c r="E4593" s="3" t="s">
        <v>161</v>
      </c>
      <c r="F4593" s="3" t="s">
        <v>185</v>
      </c>
      <c r="G4593" s="5">
        <v>4.0000000000000001E-3</v>
      </c>
      <c r="H4593" s="6" t="s">
        <v>63</v>
      </c>
      <c r="I4593" s="3" t="s">
        <v>45</v>
      </c>
    </row>
    <row r="4594" spans="1:9" ht="48" customHeight="1">
      <c r="A4594" s="3" t="s">
        <v>40</v>
      </c>
      <c r="B4594" s="3" t="s">
        <v>39</v>
      </c>
      <c r="C4594" s="4">
        <v>46235</v>
      </c>
      <c r="D4594" s="4">
        <v>46265</v>
      </c>
      <c r="E4594" s="3" t="s">
        <v>161</v>
      </c>
      <c r="F4594" s="3" t="s">
        <v>187</v>
      </c>
      <c r="G4594" s="5">
        <v>4.0000000000000001E-3</v>
      </c>
      <c r="H4594" s="6" t="s">
        <v>63</v>
      </c>
      <c r="I4594" s="3" t="s">
        <v>45</v>
      </c>
    </row>
    <row r="4595" spans="1:9" ht="48" customHeight="1">
      <c r="A4595" s="3" t="s">
        <v>40</v>
      </c>
      <c r="B4595" s="3" t="s">
        <v>39</v>
      </c>
      <c r="C4595" s="4">
        <v>46235</v>
      </c>
      <c r="D4595" s="4">
        <v>46265</v>
      </c>
      <c r="E4595" s="3" t="s">
        <v>161</v>
      </c>
      <c r="F4595" s="3" t="s">
        <v>193</v>
      </c>
      <c r="G4595" s="5">
        <v>4.0000000000000001E-3</v>
      </c>
      <c r="H4595" s="6" t="s">
        <v>63</v>
      </c>
      <c r="I4595" s="3" t="s">
        <v>45</v>
      </c>
    </row>
    <row r="4596" spans="1:9" ht="48" customHeight="1">
      <c r="A4596" s="3" t="s">
        <v>40</v>
      </c>
      <c r="B4596" s="3" t="s">
        <v>39</v>
      </c>
      <c r="C4596" s="4">
        <v>46235</v>
      </c>
      <c r="D4596" s="4">
        <v>46265</v>
      </c>
      <c r="E4596" s="3" t="s">
        <v>161</v>
      </c>
      <c r="F4596" s="3" t="s">
        <v>194</v>
      </c>
      <c r="G4596" s="5">
        <v>4.0000000000000001E-3</v>
      </c>
      <c r="H4596" s="6" t="s">
        <v>63</v>
      </c>
      <c r="I4596" s="3" t="s">
        <v>45</v>
      </c>
    </row>
    <row r="4597" spans="1:9" ht="48" customHeight="1">
      <c r="A4597" s="3" t="s">
        <v>40</v>
      </c>
      <c r="B4597" s="3" t="s">
        <v>39</v>
      </c>
      <c r="C4597" s="4">
        <v>46235</v>
      </c>
      <c r="D4597" s="4">
        <v>46265</v>
      </c>
      <c r="E4597" s="3" t="s">
        <v>161</v>
      </c>
      <c r="F4597" s="3" t="s">
        <v>387</v>
      </c>
      <c r="G4597" s="5">
        <v>4.0000000000000001E-3</v>
      </c>
      <c r="H4597" s="6" t="s">
        <v>63</v>
      </c>
      <c r="I4597" s="3" t="s">
        <v>45</v>
      </c>
    </row>
    <row r="4598" spans="1:9" ht="48" customHeight="1">
      <c r="A4598" s="3" t="s">
        <v>40</v>
      </c>
      <c r="B4598" s="3" t="s">
        <v>39</v>
      </c>
      <c r="C4598" s="4">
        <v>46235</v>
      </c>
      <c r="D4598" s="4">
        <v>46265</v>
      </c>
      <c r="E4598" s="3" t="s">
        <v>161</v>
      </c>
      <c r="F4598" s="3" t="s">
        <v>197</v>
      </c>
      <c r="G4598" s="5">
        <v>3.0000000000000001E-3</v>
      </c>
      <c r="H4598" s="6" t="s">
        <v>63</v>
      </c>
      <c r="I4598" s="3" t="s">
        <v>45</v>
      </c>
    </row>
    <row r="4599" spans="1:9" ht="48" customHeight="1">
      <c r="A4599" s="3" t="s">
        <v>40</v>
      </c>
      <c r="B4599" s="3" t="s">
        <v>39</v>
      </c>
      <c r="C4599" s="4">
        <v>46235</v>
      </c>
      <c r="D4599" s="4">
        <v>46265</v>
      </c>
      <c r="E4599" s="3" t="s">
        <v>161</v>
      </c>
      <c r="F4599" s="3" t="s">
        <v>192</v>
      </c>
      <c r="G4599" s="5">
        <v>3.0000000000000001E-3</v>
      </c>
      <c r="H4599" s="6" t="s">
        <v>63</v>
      </c>
      <c r="I4599" s="3" t="s">
        <v>45</v>
      </c>
    </row>
    <row r="4600" spans="1:9" ht="48" customHeight="1">
      <c r="A4600" s="3" t="s">
        <v>40</v>
      </c>
      <c r="B4600" s="3" t="s">
        <v>39</v>
      </c>
      <c r="C4600" s="4">
        <v>46235</v>
      </c>
      <c r="D4600" s="4">
        <v>46265</v>
      </c>
      <c r="E4600" s="3" t="s">
        <v>161</v>
      </c>
      <c r="F4600" s="3" t="s">
        <v>201</v>
      </c>
      <c r="G4600" s="5">
        <v>3.0000000000000001E-3</v>
      </c>
      <c r="H4600" s="6" t="s">
        <v>63</v>
      </c>
      <c r="I4600" s="3" t="s">
        <v>45</v>
      </c>
    </row>
    <row r="4601" spans="1:9" ht="48" customHeight="1">
      <c r="A4601" s="3" t="s">
        <v>40</v>
      </c>
      <c r="B4601" s="3" t="s">
        <v>39</v>
      </c>
      <c r="C4601" s="4">
        <v>46235</v>
      </c>
      <c r="D4601" s="4">
        <v>46265</v>
      </c>
      <c r="E4601" s="3" t="s">
        <v>161</v>
      </c>
      <c r="F4601" s="3" t="s">
        <v>198</v>
      </c>
      <c r="G4601" s="5">
        <v>2E-3</v>
      </c>
      <c r="H4601" s="6" t="s">
        <v>63</v>
      </c>
      <c r="I4601" s="3" t="s">
        <v>45</v>
      </c>
    </row>
    <row r="4602" spans="1:9" ht="48" customHeight="1">
      <c r="A4602" s="3" t="s">
        <v>40</v>
      </c>
      <c r="B4602" s="3" t="s">
        <v>39</v>
      </c>
      <c r="C4602" s="4">
        <v>46235</v>
      </c>
      <c r="D4602" s="4">
        <v>46265</v>
      </c>
      <c r="E4602" s="3" t="s">
        <v>161</v>
      </c>
      <c r="F4602" s="3" t="s">
        <v>199</v>
      </c>
      <c r="G4602" s="5">
        <v>2E-3</v>
      </c>
      <c r="H4602" s="6" t="s">
        <v>63</v>
      </c>
      <c r="I4602" s="3" t="s">
        <v>45</v>
      </c>
    </row>
    <row r="4603" spans="1:9" ht="48" customHeight="1">
      <c r="A4603" s="3" t="s">
        <v>40</v>
      </c>
      <c r="B4603" s="3" t="s">
        <v>39</v>
      </c>
      <c r="C4603" s="4">
        <v>46235</v>
      </c>
      <c r="D4603" s="4">
        <v>46265</v>
      </c>
      <c r="E4603" s="3" t="s">
        <v>161</v>
      </c>
      <c r="F4603" s="3" t="s">
        <v>202</v>
      </c>
      <c r="G4603" s="5">
        <v>1E-3</v>
      </c>
      <c r="H4603" s="6" t="s">
        <v>63</v>
      </c>
      <c r="I4603" s="3" t="s">
        <v>45</v>
      </c>
    </row>
    <row r="4604" spans="1:9" ht="48" customHeight="1">
      <c r="A4604" s="3" t="s">
        <v>40</v>
      </c>
      <c r="B4604" s="3" t="s">
        <v>39</v>
      </c>
      <c r="C4604" s="4">
        <v>46235</v>
      </c>
      <c r="D4604" s="4">
        <v>46265</v>
      </c>
      <c r="E4604" s="3" t="s">
        <v>161</v>
      </c>
      <c r="F4604" s="3" t="s">
        <v>204</v>
      </c>
      <c r="G4604" s="5">
        <v>1E-3</v>
      </c>
      <c r="H4604" s="6" t="s">
        <v>63</v>
      </c>
      <c r="I4604" s="3" t="s">
        <v>45</v>
      </c>
    </row>
    <row r="4605" spans="1:9" ht="48" customHeight="1">
      <c r="A4605" s="3" t="s">
        <v>40</v>
      </c>
      <c r="B4605" s="3" t="s">
        <v>39</v>
      </c>
      <c r="C4605" s="4">
        <v>46235</v>
      </c>
      <c r="D4605" s="4">
        <v>46265</v>
      </c>
      <c r="E4605" s="3" t="s">
        <v>161</v>
      </c>
      <c r="F4605" s="3" t="s">
        <v>203</v>
      </c>
      <c r="G4605" s="5">
        <v>0</v>
      </c>
      <c r="H4605" s="6" t="s">
        <v>63</v>
      </c>
      <c r="I4605" s="3" t="s">
        <v>45</v>
      </c>
    </row>
    <row r="4606" spans="1:9" ht="48" customHeight="1">
      <c r="A4606" s="3" t="s">
        <v>40</v>
      </c>
      <c r="B4606" s="3" t="s">
        <v>39</v>
      </c>
      <c r="C4606" s="4">
        <v>46235</v>
      </c>
      <c r="D4606" s="4">
        <v>46265</v>
      </c>
      <c r="E4606" s="3" t="s">
        <v>47</v>
      </c>
      <c r="F4606" s="3" t="s">
        <v>348</v>
      </c>
      <c r="G4606" s="5">
        <v>5.7999999999999996E-2</v>
      </c>
      <c r="H4606" s="6" t="s">
        <v>63</v>
      </c>
      <c r="I4606" s="3" t="s">
        <v>45</v>
      </c>
    </row>
    <row r="4607" spans="1:9" ht="48" customHeight="1">
      <c r="A4607" s="3" t="s">
        <v>40</v>
      </c>
      <c r="B4607" s="3" t="s">
        <v>39</v>
      </c>
      <c r="C4607" s="4">
        <v>46235</v>
      </c>
      <c r="D4607" s="4">
        <v>46265</v>
      </c>
      <c r="E4607" s="3" t="s">
        <v>47</v>
      </c>
      <c r="F4607" s="3" t="s">
        <v>358</v>
      </c>
      <c r="G4607" s="5">
        <v>3.7000000000000005E-2</v>
      </c>
      <c r="H4607" s="6" t="s">
        <v>63</v>
      </c>
      <c r="I4607" s="3" t="s">
        <v>45</v>
      </c>
    </row>
    <row r="4608" spans="1:9" ht="48" customHeight="1">
      <c r="A4608" s="3" t="s">
        <v>40</v>
      </c>
      <c r="B4608" s="3" t="s">
        <v>39</v>
      </c>
      <c r="C4608" s="4">
        <v>46235</v>
      </c>
      <c r="D4608" s="4">
        <v>46265</v>
      </c>
      <c r="E4608" s="3" t="s">
        <v>47</v>
      </c>
      <c r="F4608" s="3" t="s">
        <v>357</v>
      </c>
      <c r="G4608" s="5">
        <v>2.1000000000000001E-2</v>
      </c>
      <c r="H4608" s="6" t="s">
        <v>63</v>
      </c>
      <c r="I4608" s="3" t="s">
        <v>45</v>
      </c>
    </row>
    <row r="4609" spans="1:9" ht="48" customHeight="1">
      <c r="A4609" s="3" t="s">
        <v>40</v>
      </c>
      <c r="B4609" s="3" t="s">
        <v>39</v>
      </c>
      <c r="C4609" s="4">
        <v>46235</v>
      </c>
      <c r="D4609" s="4">
        <v>46265</v>
      </c>
      <c r="E4609" s="3" t="s">
        <v>47</v>
      </c>
      <c r="F4609" s="3" t="s">
        <v>352</v>
      </c>
      <c r="G4609" s="5">
        <v>1.9E-2</v>
      </c>
      <c r="H4609" s="6" t="s">
        <v>63</v>
      </c>
      <c r="I4609" s="3" t="s">
        <v>45</v>
      </c>
    </row>
    <row r="4610" spans="1:9" ht="48" customHeight="1">
      <c r="A4610" s="3" t="s">
        <v>40</v>
      </c>
      <c r="B4610" s="3" t="s">
        <v>39</v>
      </c>
      <c r="C4610" s="4">
        <v>46235</v>
      </c>
      <c r="D4610" s="4">
        <v>46265</v>
      </c>
      <c r="E4610" s="3" t="s">
        <v>47</v>
      </c>
      <c r="F4610" s="3" t="s">
        <v>349</v>
      </c>
      <c r="G4610" s="5">
        <v>1.1000000000000001E-2</v>
      </c>
      <c r="H4610" s="6" t="s">
        <v>63</v>
      </c>
      <c r="I4610" s="3" t="s">
        <v>45</v>
      </c>
    </row>
    <row r="4611" spans="1:9" ht="48" customHeight="1">
      <c r="A4611" s="3" t="s">
        <v>40</v>
      </c>
      <c r="B4611" s="3" t="s">
        <v>39</v>
      </c>
      <c r="C4611" s="4">
        <v>46235</v>
      </c>
      <c r="D4611" s="4">
        <v>46265</v>
      </c>
      <c r="E4611" s="3" t="s">
        <v>47</v>
      </c>
      <c r="F4611" s="3" t="s">
        <v>350</v>
      </c>
      <c r="G4611" s="5">
        <v>8.0000000000000002E-3</v>
      </c>
      <c r="H4611" s="6" t="s">
        <v>63</v>
      </c>
      <c r="I4611" s="3" t="s">
        <v>45</v>
      </c>
    </row>
    <row r="4612" spans="1:9" ht="48" customHeight="1">
      <c r="A4612" s="3" t="s">
        <v>40</v>
      </c>
      <c r="B4612" s="3" t="s">
        <v>39</v>
      </c>
      <c r="C4612" s="4">
        <v>46235</v>
      </c>
      <c r="D4612" s="4">
        <v>46265</v>
      </c>
      <c r="E4612" s="3" t="s">
        <v>47</v>
      </c>
      <c r="F4612" s="3" t="s">
        <v>351</v>
      </c>
      <c r="G4612" s="5">
        <v>5.0000000000000001E-3</v>
      </c>
      <c r="H4612" s="6" t="s">
        <v>63</v>
      </c>
      <c r="I4612" s="3" t="s">
        <v>45</v>
      </c>
    </row>
    <row r="4613" spans="1:9" ht="48" customHeight="1">
      <c r="A4613" s="3" t="s">
        <v>40</v>
      </c>
      <c r="B4613" s="3" t="s">
        <v>39</v>
      </c>
      <c r="C4613" s="4">
        <v>46235</v>
      </c>
      <c r="D4613" s="4">
        <v>46265</v>
      </c>
      <c r="E4613" s="3" t="s">
        <v>47</v>
      </c>
      <c r="F4613" s="3" t="s">
        <v>354</v>
      </c>
      <c r="G4613" s="5">
        <v>4.0000000000000001E-3</v>
      </c>
      <c r="H4613" s="6" t="s">
        <v>63</v>
      </c>
      <c r="I4613" s="3" t="s">
        <v>45</v>
      </c>
    </row>
    <row r="4614" spans="1:9" ht="48" customHeight="1">
      <c r="A4614" s="3" t="s">
        <v>40</v>
      </c>
      <c r="B4614" s="3" t="s">
        <v>39</v>
      </c>
      <c r="C4614" s="4">
        <v>46235</v>
      </c>
      <c r="D4614" s="4">
        <v>46265</v>
      </c>
      <c r="E4614" s="3" t="s">
        <v>47</v>
      </c>
      <c r="F4614" s="3" t="s">
        <v>356</v>
      </c>
      <c r="G4614" s="5">
        <v>4.0000000000000001E-3</v>
      </c>
      <c r="H4614" s="6" t="s">
        <v>63</v>
      </c>
      <c r="I4614" s="3" t="s">
        <v>45</v>
      </c>
    </row>
    <row r="4615" spans="1:9" ht="48" customHeight="1">
      <c r="A4615" s="3" t="s">
        <v>40</v>
      </c>
      <c r="B4615" s="3" t="s">
        <v>39</v>
      </c>
      <c r="C4615" s="4">
        <v>46235</v>
      </c>
      <c r="D4615" s="4">
        <v>46265</v>
      </c>
      <c r="E4615" s="3" t="s">
        <v>47</v>
      </c>
      <c r="F4615" s="3" t="s">
        <v>353</v>
      </c>
      <c r="G4615" s="5">
        <v>2E-3</v>
      </c>
      <c r="H4615" s="6" t="s">
        <v>63</v>
      </c>
      <c r="I4615" s="3" t="s">
        <v>45</v>
      </c>
    </row>
    <row r="4616" spans="1:9" ht="48" customHeight="1">
      <c r="A4616" s="3" t="s">
        <v>40</v>
      </c>
      <c r="B4616" s="3" t="s">
        <v>39</v>
      </c>
      <c r="C4616" s="4">
        <v>46235</v>
      </c>
      <c r="D4616" s="4">
        <v>46265</v>
      </c>
      <c r="E4616" s="3" t="s">
        <v>47</v>
      </c>
      <c r="F4616" s="3" t="s">
        <v>355</v>
      </c>
      <c r="G4616" s="5">
        <v>2E-3</v>
      </c>
      <c r="H4616" s="6" t="s">
        <v>63</v>
      </c>
      <c r="I4616" s="3" t="s">
        <v>45</v>
      </c>
    </row>
    <row r="4617" spans="1:9" ht="48" customHeight="1">
      <c r="A4617" s="3" t="s">
        <v>40</v>
      </c>
      <c r="B4617" s="3" t="s">
        <v>39</v>
      </c>
      <c r="C4617" s="4">
        <v>46235</v>
      </c>
      <c r="D4617" s="4">
        <v>46265</v>
      </c>
      <c r="E4617" s="3" t="s">
        <v>47</v>
      </c>
      <c r="F4617" s="3" t="s">
        <v>359</v>
      </c>
      <c r="G4617" s="5">
        <v>1E-3</v>
      </c>
      <c r="H4617" s="6" t="s">
        <v>63</v>
      </c>
      <c r="I4617" s="3" t="s">
        <v>45</v>
      </c>
    </row>
    <row r="4618" spans="1:9" ht="48" customHeight="1">
      <c r="A4618" s="3" t="s">
        <v>40</v>
      </c>
      <c r="B4618" s="3" t="s">
        <v>39</v>
      </c>
      <c r="C4618" s="4">
        <v>46235</v>
      </c>
      <c r="D4618" s="4">
        <v>46265</v>
      </c>
      <c r="E4618" s="3" t="s">
        <v>47</v>
      </c>
      <c r="F4618" s="3" t="s">
        <v>360</v>
      </c>
      <c r="G4618" s="5">
        <v>1E-3</v>
      </c>
      <c r="H4618" s="6" t="s">
        <v>63</v>
      </c>
      <c r="I4618" s="3" t="s">
        <v>45</v>
      </c>
    </row>
    <row r="4619" spans="1:9" ht="48" customHeight="1">
      <c r="A4619" s="3" t="s">
        <v>40</v>
      </c>
      <c r="B4619" s="3" t="s">
        <v>39</v>
      </c>
      <c r="C4619" s="4">
        <v>46235</v>
      </c>
      <c r="D4619" s="4">
        <v>46265</v>
      </c>
      <c r="E4619" s="3" t="s">
        <v>47</v>
      </c>
      <c r="F4619" s="3" t="s">
        <v>361</v>
      </c>
      <c r="G4619" s="5">
        <v>1E-3</v>
      </c>
      <c r="H4619" s="6" t="s">
        <v>63</v>
      </c>
      <c r="I4619" s="3" t="s">
        <v>45</v>
      </c>
    </row>
    <row r="4620" spans="1:9" ht="48" customHeight="1">
      <c r="A4620" s="3" t="s">
        <v>40</v>
      </c>
      <c r="B4620" s="3" t="s">
        <v>39</v>
      </c>
      <c r="C4620" s="4">
        <v>46235</v>
      </c>
      <c r="D4620" s="4">
        <v>46265</v>
      </c>
      <c r="E4620" s="3" t="s">
        <v>47</v>
      </c>
      <c r="F4620" s="3" t="s">
        <v>362</v>
      </c>
      <c r="G4620" s="5">
        <v>1E-3</v>
      </c>
      <c r="H4620" s="6" t="s">
        <v>63</v>
      </c>
      <c r="I4620" s="3" t="s">
        <v>45</v>
      </c>
    </row>
    <row r="4621" spans="1:9" ht="48" customHeight="1">
      <c r="A4621" s="3" t="s">
        <v>40</v>
      </c>
      <c r="B4621" s="3" t="s">
        <v>39</v>
      </c>
      <c r="C4621" s="4">
        <v>46235</v>
      </c>
      <c r="D4621" s="4">
        <v>46265</v>
      </c>
      <c r="E4621" s="3" t="s">
        <v>47</v>
      </c>
      <c r="F4621" s="3" t="s">
        <v>318</v>
      </c>
      <c r="G4621" s="5">
        <v>1E-3</v>
      </c>
      <c r="H4621" s="6" t="s">
        <v>63</v>
      </c>
      <c r="I4621" s="3" t="s">
        <v>45</v>
      </c>
    </row>
    <row r="4622" spans="1:9" ht="48" customHeight="1">
      <c r="A4622" s="3" t="s">
        <v>40</v>
      </c>
      <c r="B4622" s="3" t="s">
        <v>39</v>
      </c>
      <c r="C4622" s="4">
        <v>46235</v>
      </c>
      <c r="D4622" s="4">
        <v>46265</v>
      </c>
      <c r="E4622" s="3" t="s">
        <v>47</v>
      </c>
      <c r="F4622" s="3" t="s">
        <v>363</v>
      </c>
      <c r="G4622" s="5">
        <v>1E-3</v>
      </c>
      <c r="H4622" s="6" t="s">
        <v>63</v>
      </c>
      <c r="I4622" s="3" t="s">
        <v>45</v>
      </c>
    </row>
    <row r="4623" spans="1:9" ht="48" customHeight="1">
      <c r="A4623" s="3" t="s">
        <v>40</v>
      </c>
      <c r="B4623" s="3" t="s">
        <v>39</v>
      </c>
      <c r="C4623" s="4">
        <v>46235</v>
      </c>
      <c r="D4623" s="4">
        <v>46265</v>
      </c>
      <c r="E4623" s="3" t="s">
        <v>205</v>
      </c>
      <c r="F4623" s="3" t="s">
        <v>210</v>
      </c>
      <c r="G4623" s="5">
        <v>0.01</v>
      </c>
      <c r="H4623" s="6" t="s">
        <v>63</v>
      </c>
      <c r="I4623" s="3" t="s">
        <v>45</v>
      </c>
    </row>
    <row r="4624" spans="1:9" ht="48" customHeight="1">
      <c r="A4624" s="3" t="s">
        <v>40</v>
      </c>
      <c r="B4624" s="3" t="s">
        <v>39</v>
      </c>
      <c r="C4624" s="4">
        <v>46235</v>
      </c>
      <c r="D4624" s="4">
        <v>46265</v>
      </c>
      <c r="E4624" s="3" t="s">
        <v>205</v>
      </c>
      <c r="F4624" s="3" t="s">
        <v>220</v>
      </c>
      <c r="G4624" s="5">
        <v>8.0000000000000002E-3</v>
      </c>
      <c r="H4624" s="6" t="s">
        <v>63</v>
      </c>
      <c r="I4624" s="3" t="s">
        <v>45</v>
      </c>
    </row>
    <row r="4625" spans="1:9" ht="48" customHeight="1">
      <c r="A4625" s="3" t="s">
        <v>40</v>
      </c>
      <c r="B4625" s="3" t="s">
        <v>39</v>
      </c>
      <c r="C4625" s="4">
        <v>46235</v>
      </c>
      <c r="D4625" s="4">
        <v>46265</v>
      </c>
      <c r="E4625" s="3" t="s">
        <v>205</v>
      </c>
      <c r="F4625" s="3" t="s">
        <v>209</v>
      </c>
      <c r="G4625" s="5">
        <v>8.0000000000000002E-3</v>
      </c>
      <c r="H4625" s="6" t="s">
        <v>63</v>
      </c>
      <c r="I4625" s="3" t="s">
        <v>45</v>
      </c>
    </row>
    <row r="4626" spans="1:9" ht="48" customHeight="1">
      <c r="A4626" s="3" t="s">
        <v>40</v>
      </c>
      <c r="B4626" s="3" t="s">
        <v>39</v>
      </c>
      <c r="C4626" s="4">
        <v>46235</v>
      </c>
      <c r="D4626" s="4">
        <v>46265</v>
      </c>
      <c r="E4626" s="3" t="s">
        <v>205</v>
      </c>
      <c r="F4626" s="3" t="s">
        <v>216</v>
      </c>
      <c r="G4626" s="5">
        <v>8.0000000000000002E-3</v>
      </c>
      <c r="H4626" s="6" t="s">
        <v>63</v>
      </c>
      <c r="I4626" s="3" t="s">
        <v>45</v>
      </c>
    </row>
    <row r="4627" spans="1:9" ht="48" customHeight="1">
      <c r="A4627" s="3" t="s">
        <v>40</v>
      </c>
      <c r="B4627" s="3" t="s">
        <v>39</v>
      </c>
      <c r="C4627" s="4">
        <v>46235</v>
      </c>
      <c r="D4627" s="4">
        <v>46265</v>
      </c>
      <c r="E4627" s="3" t="s">
        <v>205</v>
      </c>
      <c r="F4627" s="3" t="s">
        <v>207</v>
      </c>
      <c r="G4627" s="5">
        <v>6.9999999999999993E-3</v>
      </c>
      <c r="H4627" s="6" t="s">
        <v>63</v>
      </c>
      <c r="I4627" s="3" t="s">
        <v>45</v>
      </c>
    </row>
    <row r="4628" spans="1:9" ht="48" customHeight="1">
      <c r="A4628" s="3" t="s">
        <v>40</v>
      </c>
      <c r="B4628" s="3" t="s">
        <v>39</v>
      </c>
      <c r="C4628" s="4">
        <v>46235</v>
      </c>
      <c r="D4628" s="4">
        <v>46265</v>
      </c>
      <c r="E4628" s="3" t="s">
        <v>205</v>
      </c>
      <c r="F4628" s="3" t="s">
        <v>206</v>
      </c>
      <c r="G4628" s="5">
        <v>6.9999999999999993E-3</v>
      </c>
      <c r="H4628" s="6" t="s">
        <v>63</v>
      </c>
      <c r="I4628" s="3" t="s">
        <v>45</v>
      </c>
    </row>
    <row r="4629" spans="1:9" ht="48" customHeight="1">
      <c r="A4629" s="3" t="s">
        <v>40</v>
      </c>
      <c r="B4629" s="3" t="s">
        <v>39</v>
      </c>
      <c r="C4629" s="4">
        <v>46235</v>
      </c>
      <c r="D4629" s="4">
        <v>46265</v>
      </c>
      <c r="E4629" s="3" t="s">
        <v>205</v>
      </c>
      <c r="F4629" s="3" t="s">
        <v>217</v>
      </c>
      <c r="G4629" s="5">
        <v>6.0000000000000001E-3</v>
      </c>
      <c r="H4629" s="6" t="s">
        <v>63</v>
      </c>
      <c r="I4629" s="3" t="s">
        <v>45</v>
      </c>
    </row>
    <row r="4630" spans="1:9" ht="48" customHeight="1">
      <c r="A4630" s="3" t="s">
        <v>40</v>
      </c>
      <c r="B4630" s="3" t="s">
        <v>39</v>
      </c>
      <c r="C4630" s="4">
        <v>46235</v>
      </c>
      <c r="D4630" s="4">
        <v>46265</v>
      </c>
      <c r="E4630" s="3" t="s">
        <v>205</v>
      </c>
      <c r="F4630" s="3" t="s">
        <v>219</v>
      </c>
      <c r="G4630" s="5">
        <v>6.0000000000000001E-3</v>
      </c>
      <c r="H4630" s="6" t="s">
        <v>63</v>
      </c>
      <c r="I4630" s="3" t="s">
        <v>45</v>
      </c>
    </row>
    <row r="4631" spans="1:9" ht="48" customHeight="1">
      <c r="A4631" s="3" t="s">
        <v>40</v>
      </c>
      <c r="B4631" s="3" t="s">
        <v>39</v>
      </c>
      <c r="C4631" s="4">
        <v>46235</v>
      </c>
      <c r="D4631" s="4">
        <v>46265</v>
      </c>
      <c r="E4631" s="3" t="s">
        <v>205</v>
      </c>
      <c r="F4631" s="3" t="s">
        <v>211</v>
      </c>
      <c r="G4631" s="5">
        <v>6.0000000000000001E-3</v>
      </c>
      <c r="H4631" s="6" t="s">
        <v>63</v>
      </c>
      <c r="I4631" s="3" t="s">
        <v>45</v>
      </c>
    </row>
    <row r="4632" spans="1:9" ht="48" customHeight="1">
      <c r="A4632" s="3" t="s">
        <v>40</v>
      </c>
      <c r="B4632" s="3" t="s">
        <v>39</v>
      </c>
      <c r="C4632" s="4">
        <v>46235</v>
      </c>
      <c r="D4632" s="4">
        <v>46265</v>
      </c>
      <c r="E4632" s="3" t="s">
        <v>205</v>
      </c>
      <c r="F4632" s="3" t="s">
        <v>208</v>
      </c>
      <c r="G4632" s="5">
        <v>6.0000000000000001E-3</v>
      </c>
      <c r="H4632" s="6" t="s">
        <v>63</v>
      </c>
      <c r="I4632" s="3" t="s">
        <v>45</v>
      </c>
    </row>
    <row r="4633" spans="1:9" ht="48" customHeight="1">
      <c r="A4633" s="3" t="s">
        <v>40</v>
      </c>
      <c r="B4633" s="3" t="s">
        <v>39</v>
      </c>
      <c r="C4633" s="4">
        <v>46235</v>
      </c>
      <c r="D4633" s="4">
        <v>46265</v>
      </c>
      <c r="E4633" s="3" t="s">
        <v>205</v>
      </c>
      <c r="F4633" s="3" t="s">
        <v>215</v>
      </c>
      <c r="G4633" s="5">
        <v>6.0000000000000001E-3</v>
      </c>
      <c r="H4633" s="6" t="s">
        <v>63</v>
      </c>
      <c r="I4633" s="3" t="s">
        <v>45</v>
      </c>
    </row>
    <row r="4634" spans="1:9" ht="48" customHeight="1">
      <c r="A4634" s="3" t="s">
        <v>40</v>
      </c>
      <c r="B4634" s="3" t="s">
        <v>39</v>
      </c>
      <c r="C4634" s="4">
        <v>46235</v>
      </c>
      <c r="D4634" s="4">
        <v>46265</v>
      </c>
      <c r="E4634" s="3" t="s">
        <v>205</v>
      </c>
      <c r="F4634" s="3" t="s">
        <v>224</v>
      </c>
      <c r="G4634" s="5">
        <v>5.0000000000000001E-3</v>
      </c>
      <c r="H4634" s="6" t="s">
        <v>63</v>
      </c>
      <c r="I4634" s="3" t="s">
        <v>45</v>
      </c>
    </row>
    <row r="4635" spans="1:9" ht="48" customHeight="1">
      <c r="A4635" s="3" t="s">
        <v>40</v>
      </c>
      <c r="B4635" s="3" t="s">
        <v>39</v>
      </c>
      <c r="C4635" s="4">
        <v>46235</v>
      </c>
      <c r="D4635" s="4">
        <v>46265</v>
      </c>
      <c r="E4635" s="3" t="s">
        <v>205</v>
      </c>
      <c r="F4635" s="3" t="s">
        <v>218</v>
      </c>
      <c r="G4635" s="5">
        <v>5.0000000000000001E-3</v>
      </c>
      <c r="H4635" s="6" t="s">
        <v>63</v>
      </c>
      <c r="I4635" s="3" t="s">
        <v>45</v>
      </c>
    </row>
    <row r="4636" spans="1:9" ht="48" customHeight="1">
      <c r="A4636" s="3" t="s">
        <v>40</v>
      </c>
      <c r="B4636" s="3" t="s">
        <v>39</v>
      </c>
      <c r="C4636" s="4">
        <v>46235</v>
      </c>
      <c r="D4636" s="4">
        <v>46265</v>
      </c>
      <c r="E4636" s="3" t="s">
        <v>205</v>
      </c>
      <c r="F4636" s="3" t="s">
        <v>225</v>
      </c>
      <c r="G4636" s="5">
        <v>5.0000000000000001E-3</v>
      </c>
      <c r="H4636" s="6" t="s">
        <v>63</v>
      </c>
      <c r="I4636" s="3" t="s">
        <v>45</v>
      </c>
    </row>
    <row r="4637" spans="1:9" ht="48" customHeight="1">
      <c r="A4637" s="3" t="s">
        <v>40</v>
      </c>
      <c r="B4637" s="3" t="s">
        <v>39</v>
      </c>
      <c r="C4637" s="4">
        <v>46235</v>
      </c>
      <c r="D4637" s="4">
        <v>46265</v>
      </c>
      <c r="E4637" s="3" t="s">
        <v>205</v>
      </c>
      <c r="F4637" s="3" t="s">
        <v>222</v>
      </c>
      <c r="G4637" s="5">
        <v>5.0000000000000001E-3</v>
      </c>
      <c r="H4637" s="6" t="s">
        <v>63</v>
      </c>
      <c r="I4637" s="3" t="s">
        <v>45</v>
      </c>
    </row>
    <row r="4638" spans="1:9" ht="48" customHeight="1">
      <c r="A4638" s="3" t="s">
        <v>40</v>
      </c>
      <c r="B4638" s="3" t="s">
        <v>39</v>
      </c>
      <c r="C4638" s="4">
        <v>46235</v>
      </c>
      <c r="D4638" s="4">
        <v>46265</v>
      </c>
      <c r="E4638" s="3" t="s">
        <v>205</v>
      </c>
      <c r="F4638" s="3" t="s">
        <v>212</v>
      </c>
      <c r="G4638" s="5">
        <v>5.0000000000000001E-3</v>
      </c>
      <c r="H4638" s="6" t="s">
        <v>63</v>
      </c>
      <c r="I4638" s="3" t="s">
        <v>45</v>
      </c>
    </row>
    <row r="4639" spans="1:9" ht="48" customHeight="1">
      <c r="A4639" s="3" t="s">
        <v>40</v>
      </c>
      <c r="B4639" s="3" t="s">
        <v>39</v>
      </c>
      <c r="C4639" s="4">
        <v>46235</v>
      </c>
      <c r="D4639" s="4">
        <v>46265</v>
      </c>
      <c r="E4639" s="3" t="s">
        <v>205</v>
      </c>
      <c r="F4639" s="3" t="s">
        <v>213</v>
      </c>
      <c r="G4639" s="5">
        <v>5.0000000000000001E-3</v>
      </c>
      <c r="H4639" s="6" t="s">
        <v>63</v>
      </c>
      <c r="I4639" s="3" t="s">
        <v>45</v>
      </c>
    </row>
    <row r="4640" spans="1:9" ht="48" customHeight="1">
      <c r="A4640" s="3" t="s">
        <v>40</v>
      </c>
      <c r="B4640" s="3" t="s">
        <v>39</v>
      </c>
      <c r="C4640" s="4">
        <v>46235</v>
      </c>
      <c r="D4640" s="4">
        <v>46265</v>
      </c>
      <c r="E4640" s="3" t="s">
        <v>205</v>
      </c>
      <c r="F4640" s="3" t="s">
        <v>214</v>
      </c>
      <c r="G4640" s="5">
        <v>5.0000000000000001E-3</v>
      </c>
      <c r="H4640" s="6" t="s">
        <v>63</v>
      </c>
      <c r="I4640" s="3" t="s">
        <v>45</v>
      </c>
    </row>
    <row r="4641" spans="1:9" ht="48" customHeight="1">
      <c r="A4641" s="3" t="s">
        <v>40</v>
      </c>
      <c r="B4641" s="3" t="s">
        <v>39</v>
      </c>
      <c r="C4641" s="4">
        <v>46235</v>
      </c>
      <c r="D4641" s="4">
        <v>46265</v>
      </c>
      <c r="E4641" s="3" t="s">
        <v>205</v>
      </c>
      <c r="F4641" s="3" t="s">
        <v>226</v>
      </c>
      <c r="G4641" s="5">
        <v>4.0000000000000001E-3</v>
      </c>
      <c r="H4641" s="6" t="s">
        <v>63</v>
      </c>
      <c r="I4641" s="3" t="s">
        <v>45</v>
      </c>
    </row>
    <row r="4642" spans="1:9" ht="48" customHeight="1">
      <c r="A4642" s="3" t="s">
        <v>40</v>
      </c>
      <c r="B4642" s="3" t="s">
        <v>39</v>
      </c>
      <c r="C4642" s="4">
        <v>46235</v>
      </c>
      <c r="D4642" s="4">
        <v>46265</v>
      </c>
      <c r="E4642" s="3" t="s">
        <v>205</v>
      </c>
      <c r="F4642" s="3" t="s">
        <v>227</v>
      </c>
      <c r="G4642" s="5">
        <v>4.0000000000000001E-3</v>
      </c>
      <c r="H4642" s="6" t="s">
        <v>63</v>
      </c>
      <c r="I4642" s="3" t="s">
        <v>45</v>
      </c>
    </row>
    <row r="4643" spans="1:9" ht="48" customHeight="1">
      <c r="A4643" s="3" t="s">
        <v>40</v>
      </c>
      <c r="B4643" s="3" t="s">
        <v>39</v>
      </c>
      <c r="C4643" s="4">
        <v>46235</v>
      </c>
      <c r="D4643" s="4">
        <v>46265</v>
      </c>
      <c r="E4643" s="3" t="s">
        <v>205</v>
      </c>
      <c r="F4643" s="3" t="s">
        <v>221</v>
      </c>
      <c r="G4643" s="5">
        <v>4.0000000000000001E-3</v>
      </c>
      <c r="H4643" s="6" t="s">
        <v>63</v>
      </c>
      <c r="I4643" s="3" t="s">
        <v>45</v>
      </c>
    </row>
    <row r="4644" spans="1:9" ht="48" customHeight="1">
      <c r="A4644" s="3" t="s">
        <v>40</v>
      </c>
      <c r="B4644" s="3" t="s">
        <v>39</v>
      </c>
      <c r="C4644" s="4">
        <v>46235</v>
      </c>
      <c r="D4644" s="4">
        <v>46265</v>
      </c>
      <c r="E4644" s="3" t="s">
        <v>205</v>
      </c>
      <c r="F4644" s="3" t="s">
        <v>223</v>
      </c>
      <c r="G4644" s="5">
        <v>3.0000000000000001E-3</v>
      </c>
      <c r="H4644" s="6" t="s">
        <v>63</v>
      </c>
      <c r="I4644" s="3" t="s">
        <v>45</v>
      </c>
    </row>
    <row r="4645" spans="1:9" ht="48" customHeight="1">
      <c r="A4645" s="3" t="s">
        <v>40</v>
      </c>
      <c r="B4645" s="3" t="s">
        <v>39</v>
      </c>
      <c r="C4645" s="4">
        <v>46235</v>
      </c>
      <c r="D4645" s="4">
        <v>46265</v>
      </c>
      <c r="E4645" s="3" t="s">
        <v>205</v>
      </c>
      <c r="F4645" s="3" t="s">
        <v>228</v>
      </c>
      <c r="G4645" s="5">
        <v>3.0000000000000001E-3</v>
      </c>
      <c r="H4645" s="6" t="s">
        <v>63</v>
      </c>
      <c r="I4645" s="3" t="s">
        <v>45</v>
      </c>
    </row>
    <row r="4646" spans="1:9" ht="48" customHeight="1">
      <c r="A4646" s="3" t="s">
        <v>40</v>
      </c>
      <c r="B4646" s="3" t="s">
        <v>39</v>
      </c>
      <c r="C4646" s="4">
        <v>46235</v>
      </c>
      <c r="D4646" s="4">
        <v>46265</v>
      </c>
      <c r="E4646" s="3" t="s">
        <v>205</v>
      </c>
      <c r="F4646" s="3" t="s">
        <v>229</v>
      </c>
      <c r="G4646" s="5">
        <v>2E-3</v>
      </c>
      <c r="H4646" s="6" t="s">
        <v>63</v>
      </c>
      <c r="I4646" s="3" t="s">
        <v>45</v>
      </c>
    </row>
    <row r="4647" spans="1:9" ht="48" customHeight="1">
      <c r="A4647" s="3" t="s">
        <v>40</v>
      </c>
      <c r="B4647" s="3" t="s">
        <v>39</v>
      </c>
      <c r="C4647" s="4">
        <v>46235</v>
      </c>
      <c r="D4647" s="4">
        <v>46265</v>
      </c>
      <c r="E4647" s="3" t="s">
        <v>205</v>
      </c>
      <c r="F4647" s="3" t="s">
        <v>230</v>
      </c>
      <c r="G4647" s="5">
        <v>2E-3</v>
      </c>
      <c r="H4647" s="6" t="s">
        <v>63</v>
      </c>
      <c r="I4647" s="3" t="s">
        <v>45</v>
      </c>
    </row>
    <row r="4648" spans="1:9" ht="48" customHeight="1">
      <c r="A4648" s="3" t="s">
        <v>40</v>
      </c>
      <c r="B4648" s="3" t="s">
        <v>39</v>
      </c>
      <c r="C4648" s="4">
        <v>46235</v>
      </c>
      <c r="D4648" s="4">
        <v>46265</v>
      </c>
      <c r="E4648" s="3" t="s">
        <v>286</v>
      </c>
      <c r="F4648" s="3" t="s">
        <v>293</v>
      </c>
      <c r="G4648" s="5">
        <v>7.0000000000000007E-2</v>
      </c>
      <c r="H4648" s="6" t="s">
        <v>63</v>
      </c>
      <c r="I4648" s="3" t="s">
        <v>45</v>
      </c>
    </row>
    <row r="4649" spans="1:9" ht="48" customHeight="1">
      <c r="A4649" s="3" t="s">
        <v>40</v>
      </c>
      <c r="B4649" s="3" t="s">
        <v>39</v>
      </c>
      <c r="C4649" s="4">
        <v>46235</v>
      </c>
      <c r="D4649" s="4">
        <v>46265</v>
      </c>
      <c r="E4649" s="3" t="s">
        <v>286</v>
      </c>
      <c r="F4649" s="3" t="s">
        <v>291</v>
      </c>
      <c r="G4649" s="5">
        <v>1.3000000000000001E-2</v>
      </c>
      <c r="H4649" s="6" t="s">
        <v>63</v>
      </c>
      <c r="I4649" s="3" t="s">
        <v>45</v>
      </c>
    </row>
    <row r="4650" spans="1:9" ht="48" customHeight="1">
      <c r="A4650" s="3" t="s">
        <v>40</v>
      </c>
      <c r="B4650" s="3" t="s">
        <v>39</v>
      </c>
      <c r="C4650" s="4">
        <v>46235</v>
      </c>
      <c r="D4650" s="4">
        <v>46265</v>
      </c>
      <c r="E4650" s="3" t="s">
        <v>286</v>
      </c>
      <c r="F4650" s="3" t="s">
        <v>300</v>
      </c>
      <c r="G4650" s="5">
        <v>1.3000000000000001E-2</v>
      </c>
      <c r="H4650" s="6" t="s">
        <v>63</v>
      </c>
      <c r="I4650" s="3" t="s">
        <v>45</v>
      </c>
    </row>
    <row r="4651" spans="1:9" ht="48" customHeight="1">
      <c r="A4651" s="3" t="s">
        <v>40</v>
      </c>
      <c r="B4651" s="3" t="s">
        <v>39</v>
      </c>
      <c r="C4651" s="4">
        <v>46235</v>
      </c>
      <c r="D4651" s="4">
        <v>46265</v>
      </c>
      <c r="E4651" s="3" t="s">
        <v>286</v>
      </c>
      <c r="F4651" s="3" t="s">
        <v>287</v>
      </c>
      <c r="G4651" s="5">
        <v>6.0000000000000001E-3</v>
      </c>
      <c r="H4651" s="6" t="s">
        <v>63</v>
      </c>
      <c r="I4651" s="3" t="s">
        <v>45</v>
      </c>
    </row>
    <row r="4652" spans="1:9" ht="48" customHeight="1">
      <c r="A4652" s="3" t="s">
        <v>40</v>
      </c>
      <c r="B4652" s="3" t="s">
        <v>39</v>
      </c>
      <c r="C4652" s="4">
        <v>46235</v>
      </c>
      <c r="D4652" s="4">
        <v>46265</v>
      </c>
      <c r="E4652" s="3" t="s">
        <v>286</v>
      </c>
      <c r="F4652" s="3" t="s">
        <v>292</v>
      </c>
      <c r="G4652" s="5">
        <v>6.0000000000000001E-3</v>
      </c>
      <c r="H4652" s="6" t="s">
        <v>63</v>
      </c>
      <c r="I4652" s="3" t="s">
        <v>45</v>
      </c>
    </row>
    <row r="4653" spans="1:9" ht="48" customHeight="1">
      <c r="A4653" s="3" t="s">
        <v>40</v>
      </c>
      <c r="B4653" s="3" t="s">
        <v>39</v>
      </c>
      <c r="C4653" s="4">
        <v>46235</v>
      </c>
      <c r="D4653" s="4">
        <v>46265</v>
      </c>
      <c r="E4653" s="3" t="s">
        <v>286</v>
      </c>
      <c r="F4653" s="3" t="s">
        <v>288</v>
      </c>
      <c r="G4653" s="5">
        <v>5.0000000000000001E-3</v>
      </c>
      <c r="H4653" s="6" t="s">
        <v>63</v>
      </c>
      <c r="I4653" s="3" t="s">
        <v>45</v>
      </c>
    </row>
    <row r="4654" spans="1:9" ht="48" customHeight="1">
      <c r="A4654" s="3" t="s">
        <v>40</v>
      </c>
      <c r="B4654" s="3" t="s">
        <v>39</v>
      </c>
      <c r="C4654" s="4">
        <v>46235</v>
      </c>
      <c r="D4654" s="4">
        <v>46265</v>
      </c>
      <c r="E4654" s="3" t="s">
        <v>286</v>
      </c>
      <c r="F4654" s="3" t="s">
        <v>289</v>
      </c>
      <c r="G4654" s="5">
        <v>5.0000000000000001E-3</v>
      </c>
      <c r="H4654" s="6" t="s">
        <v>63</v>
      </c>
      <c r="I4654" s="3" t="s">
        <v>45</v>
      </c>
    </row>
    <row r="4655" spans="1:9" ht="48" customHeight="1">
      <c r="A4655" s="3" t="s">
        <v>40</v>
      </c>
      <c r="B4655" s="3" t="s">
        <v>39</v>
      </c>
      <c r="C4655" s="4">
        <v>46235</v>
      </c>
      <c r="D4655" s="4">
        <v>46265</v>
      </c>
      <c r="E4655" s="3" t="s">
        <v>286</v>
      </c>
      <c r="F4655" s="3" t="s">
        <v>290</v>
      </c>
      <c r="G4655" s="5">
        <v>4.0000000000000001E-3</v>
      </c>
      <c r="H4655" s="6" t="s">
        <v>63</v>
      </c>
      <c r="I4655" s="3" t="s">
        <v>45</v>
      </c>
    </row>
    <row r="4656" spans="1:9" ht="48" customHeight="1">
      <c r="A4656" s="3" t="s">
        <v>40</v>
      </c>
      <c r="B4656" s="3" t="s">
        <v>39</v>
      </c>
      <c r="C4656" s="4">
        <v>46235</v>
      </c>
      <c r="D4656" s="4">
        <v>46265</v>
      </c>
      <c r="E4656" s="3" t="s">
        <v>286</v>
      </c>
      <c r="F4656" s="3" t="s">
        <v>297</v>
      </c>
      <c r="G4656" s="5">
        <v>3.0000000000000001E-3</v>
      </c>
      <c r="H4656" s="6" t="s">
        <v>63</v>
      </c>
      <c r="I4656" s="3" t="s">
        <v>45</v>
      </c>
    </row>
    <row r="4657" spans="1:9" ht="48" customHeight="1">
      <c r="A4657" s="3" t="s">
        <v>40</v>
      </c>
      <c r="B4657" s="3" t="s">
        <v>39</v>
      </c>
      <c r="C4657" s="4">
        <v>46235</v>
      </c>
      <c r="D4657" s="4">
        <v>46265</v>
      </c>
      <c r="E4657" s="3" t="s">
        <v>286</v>
      </c>
      <c r="F4657" s="3" t="s">
        <v>294</v>
      </c>
      <c r="G4657" s="5">
        <v>1E-3</v>
      </c>
      <c r="H4657" s="6" t="s">
        <v>63</v>
      </c>
      <c r="I4657" s="3" t="s">
        <v>45</v>
      </c>
    </row>
    <row r="4658" spans="1:9" ht="48" customHeight="1">
      <c r="A4658" s="3" t="s">
        <v>40</v>
      </c>
      <c r="B4658" s="3" t="s">
        <v>39</v>
      </c>
      <c r="C4658" s="4">
        <v>46235</v>
      </c>
      <c r="D4658" s="4">
        <v>46265</v>
      </c>
      <c r="E4658" s="3" t="s">
        <v>286</v>
      </c>
      <c r="F4658" s="3" t="s">
        <v>295</v>
      </c>
      <c r="G4658" s="5">
        <v>1E-3</v>
      </c>
      <c r="H4658" s="6" t="s">
        <v>63</v>
      </c>
      <c r="I4658" s="3" t="s">
        <v>45</v>
      </c>
    </row>
    <row r="4659" spans="1:9" ht="48" customHeight="1">
      <c r="A4659" s="3" t="s">
        <v>40</v>
      </c>
      <c r="B4659" s="3" t="s">
        <v>39</v>
      </c>
      <c r="C4659" s="4">
        <v>46235</v>
      </c>
      <c r="D4659" s="4">
        <v>46265</v>
      </c>
      <c r="E4659" s="3" t="s">
        <v>286</v>
      </c>
      <c r="F4659" s="3" t="s">
        <v>298</v>
      </c>
      <c r="G4659" s="5">
        <v>1E-3</v>
      </c>
      <c r="H4659" s="6" t="s">
        <v>63</v>
      </c>
      <c r="I4659" s="3" t="s">
        <v>45</v>
      </c>
    </row>
    <row r="4660" spans="1:9" ht="48" customHeight="1">
      <c r="A4660" s="3" t="s">
        <v>40</v>
      </c>
      <c r="B4660" s="3" t="s">
        <v>39</v>
      </c>
      <c r="C4660" s="4">
        <v>46235</v>
      </c>
      <c r="D4660" s="4">
        <v>46265</v>
      </c>
      <c r="E4660" s="3" t="s">
        <v>286</v>
      </c>
      <c r="F4660" s="3" t="s">
        <v>299</v>
      </c>
      <c r="G4660" s="5">
        <v>1E-3</v>
      </c>
      <c r="H4660" s="6" t="s">
        <v>63</v>
      </c>
      <c r="I4660" s="3" t="s">
        <v>45</v>
      </c>
    </row>
    <row r="4661" spans="1:9" ht="48" customHeight="1">
      <c r="A4661" s="3" t="s">
        <v>40</v>
      </c>
      <c r="B4661" s="3" t="s">
        <v>39</v>
      </c>
      <c r="C4661" s="4">
        <v>46235</v>
      </c>
      <c r="D4661" s="4">
        <v>46265</v>
      </c>
      <c r="E4661" s="3" t="s">
        <v>286</v>
      </c>
      <c r="F4661" s="3" t="s">
        <v>296</v>
      </c>
      <c r="G4661" s="5">
        <v>0</v>
      </c>
      <c r="H4661" s="6" t="s">
        <v>63</v>
      </c>
      <c r="I4661" s="3" t="s">
        <v>45</v>
      </c>
    </row>
    <row r="4662" spans="1:9" ht="48" customHeight="1">
      <c r="A4662" s="3" t="s">
        <v>40</v>
      </c>
      <c r="B4662" s="3" t="s">
        <v>39</v>
      </c>
      <c r="C4662" s="4">
        <v>46235</v>
      </c>
      <c r="D4662" s="4">
        <v>46265</v>
      </c>
      <c r="E4662" s="3" t="s">
        <v>236</v>
      </c>
      <c r="F4662" s="3" t="s">
        <v>238</v>
      </c>
      <c r="G4662" s="5">
        <v>9.0000000000000011E-3</v>
      </c>
      <c r="H4662" s="6" t="s">
        <v>63</v>
      </c>
      <c r="I4662" s="3" t="s">
        <v>45</v>
      </c>
    </row>
    <row r="4663" spans="1:9" ht="48" customHeight="1">
      <c r="A4663" s="3" t="s">
        <v>40</v>
      </c>
      <c r="B4663" s="3" t="s">
        <v>39</v>
      </c>
      <c r="C4663" s="4">
        <v>46235</v>
      </c>
      <c r="D4663" s="4">
        <v>46265</v>
      </c>
      <c r="E4663" s="3" t="s">
        <v>236</v>
      </c>
      <c r="F4663" s="3" t="s">
        <v>237</v>
      </c>
      <c r="G4663" s="5">
        <v>8.0000000000000002E-3</v>
      </c>
      <c r="H4663" s="6" t="s">
        <v>63</v>
      </c>
      <c r="I4663" s="3" t="s">
        <v>45</v>
      </c>
    </row>
    <row r="4664" spans="1:9" ht="48" customHeight="1">
      <c r="A4664" s="3" t="s">
        <v>40</v>
      </c>
      <c r="B4664" s="3" t="s">
        <v>39</v>
      </c>
      <c r="C4664" s="4">
        <v>46235</v>
      </c>
      <c r="D4664" s="4">
        <v>46265</v>
      </c>
      <c r="E4664" s="3" t="s">
        <v>236</v>
      </c>
      <c r="F4664" s="3" t="s">
        <v>239</v>
      </c>
      <c r="G4664" s="5">
        <v>8.0000000000000002E-3</v>
      </c>
      <c r="H4664" s="6" t="s">
        <v>63</v>
      </c>
      <c r="I4664" s="3" t="s">
        <v>45</v>
      </c>
    </row>
    <row r="4665" spans="1:9" ht="48" customHeight="1">
      <c r="A4665" s="3" t="s">
        <v>40</v>
      </c>
      <c r="B4665" s="3" t="s">
        <v>39</v>
      </c>
      <c r="C4665" s="4">
        <v>46235</v>
      </c>
      <c r="D4665" s="4">
        <v>46265</v>
      </c>
      <c r="E4665" s="3" t="s">
        <v>236</v>
      </c>
      <c r="F4665" s="3" t="s">
        <v>240</v>
      </c>
      <c r="G4665" s="5">
        <v>6.9999999999999993E-3</v>
      </c>
      <c r="H4665" s="6" t="s">
        <v>63</v>
      </c>
      <c r="I4665" s="3" t="s">
        <v>45</v>
      </c>
    </row>
    <row r="4666" spans="1:9" ht="48" customHeight="1">
      <c r="A4666" s="3" t="s">
        <v>40</v>
      </c>
      <c r="B4666" s="3" t="s">
        <v>39</v>
      </c>
      <c r="C4666" s="4">
        <v>46235</v>
      </c>
      <c r="D4666" s="4">
        <v>46265</v>
      </c>
      <c r="E4666" s="3" t="s">
        <v>236</v>
      </c>
      <c r="F4666" s="3" t="s">
        <v>388</v>
      </c>
      <c r="G4666" s="5">
        <v>6.9999999999999993E-3</v>
      </c>
      <c r="H4666" s="6" t="s">
        <v>63</v>
      </c>
      <c r="I4666" s="3" t="s">
        <v>45</v>
      </c>
    </row>
    <row r="4667" spans="1:9" ht="48" customHeight="1">
      <c r="A4667" s="3" t="s">
        <v>40</v>
      </c>
      <c r="B4667" s="3" t="s">
        <v>39</v>
      </c>
      <c r="C4667" s="4">
        <v>46235</v>
      </c>
      <c r="D4667" s="4">
        <v>46265</v>
      </c>
      <c r="E4667" s="3" t="s">
        <v>236</v>
      </c>
      <c r="F4667" s="3" t="s">
        <v>389</v>
      </c>
      <c r="G4667" s="5">
        <v>5.0000000000000001E-3</v>
      </c>
      <c r="H4667" s="6" t="s">
        <v>63</v>
      </c>
      <c r="I4667" s="3" t="s">
        <v>45</v>
      </c>
    </row>
    <row r="4668" spans="1:9" ht="48" customHeight="1">
      <c r="A4668" s="3" t="s">
        <v>40</v>
      </c>
      <c r="B4668" s="3" t="s">
        <v>39</v>
      </c>
      <c r="C4668" s="4">
        <v>46235</v>
      </c>
      <c r="D4668" s="4">
        <v>46265</v>
      </c>
      <c r="E4668" s="3" t="s">
        <v>236</v>
      </c>
      <c r="F4668" s="3" t="s">
        <v>241</v>
      </c>
      <c r="G4668" s="5">
        <v>4.0000000000000001E-3</v>
      </c>
      <c r="H4668" s="6" t="s">
        <v>63</v>
      </c>
      <c r="I4668" s="3" t="s">
        <v>45</v>
      </c>
    </row>
    <row r="4669" spans="1:9" ht="48" customHeight="1">
      <c r="A4669" s="3" t="s">
        <v>40</v>
      </c>
      <c r="B4669" s="3" t="s">
        <v>39</v>
      </c>
      <c r="C4669" s="4">
        <v>46235</v>
      </c>
      <c r="D4669" s="4">
        <v>46265</v>
      </c>
      <c r="E4669" s="3" t="s">
        <v>236</v>
      </c>
      <c r="F4669" s="3" t="s">
        <v>390</v>
      </c>
      <c r="G4669" s="5">
        <v>2E-3</v>
      </c>
      <c r="H4669" s="6" t="s">
        <v>63</v>
      </c>
      <c r="I4669" s="3" t="s">
        <v>45</v>
      </c>
    </row>
    <row r="4670" spans="1:9" ht="48" customHeight="1">
      <c r="A4670" s="3" t="s">
        <v>40</v>
      </c>
      <c r="B4670" s="3" t="s">
        <v>39</v>
      </c>
      <c r="C4670" s="4">
        <v>46235</v>
      </c>
      <c r="D4670" s="4">
        <v>46265</v>
      </c>
      <c r="E4670" s="3" t="s">
        <v>236</v>
      </c>
      <c r="F4670" s="3" t="s">
        <v>391</v>
      </c>
      <c r="G4670" s="5">
        <v>1E-3</v>
      </c>
      <c r="H4670" s="6" t="s">
        <v>63</v>
      </c>
      <c r="I4670" s="3" t="s">
        <v>45</v>
      </c>
    </row>
    <row r="4671" spans="1:9" ht="48" customHeight="1">
      <c r="A4671" s="3" t="s">
        <v>40</v>
      </c>
      <c r="B4671" s="3" t="s">
        <v>39</v>
      </c>
      <c r="C4671" s="4">
        <v>46235</v>
      </c>
      <c r="D4671" s="4">
        <v>46265</v>
      </c>
      <c r="E4671" s="3" t="s">
        <v>236</v>
      </c>
      <c r="F4671" s="3" t="s">
        <v>242</v>
      </c>
      <c r="G4671" s="5">
        <v>1E-3</v>
      </c>
      <c r="H4671" s="6" t="s">
        <v>63</v>
      </c>
      <c r="I4671" s="3" t="s">
        <v>45</v>
      </c>
    </row>
    <row r="4672" spans="1:9" ht="48" customHeight="1">
      <c r="A4672" s="3" t="s">
        <v>40</v>
      </c>
      <c r="B4672" s="3" t="s">
        <v>39</v>
      </c>
      <c r="C4672" s="4">
        <v>46235</v>
      </c>
      <c r="D4672" s="4">
        <v>46265</v>
      </c>
      <c r="E4672" s="3" t="s">
        <v>236</v>
      </c>
      <c r="F4672" s="3" t="s">
        <v>243</v>
      </c>
      <c r="G4672" s="5">
        <v>0</v>
      </c>
      <c r="H4672" s="6" t="s">
        <v>63</v>
      </c>
      <c r="I4672" s="3" t="s">
        <v>45</v>
      </c>
    </row>
    <row r="4673" spans="1:9" ht="48" customHeight="1">
      <c r="A4673" s="3" t="s">
        <v>40</v>
      </c>
      <c r="B4673" s="3" t="s">
        <v>39</v>
      </c>
      <c r="C4673" s="4">
        <v>46235</v>
      </c>
      <c r="D4673" s="4">
        <v>46265</v>
      </c>
      <c r="E4673" s="3" t="s">
        <v>81</v>
      </c>
      <c r="F4673" s="3" t="s">
        <v>333</v>
      </c>
      <c r="G4673" s="5">
        <v>8.0000000000000002E-3</v>
      </c>
      <c r="H4673" s="6" t="s">
        <v>63</v>
      </c>
      <c r="I4673" s="3" t="s">
        <v>45</v>
      </c>
    </row>
    <row r="4674" spans="1:9" ht="48" customHeight="1">
      <c r="A4674" s="3" t="s">
        <v>40</v>
      </c>
      <c r="B4674" s="3" t="s">
        <v>39</v>
      </c>
      <c r="C4674" s="4">
        <v>46235</v>
      </c>
      <c r="D4674" s="4">
        <v>46265</v>
      </c>
      <c r="E4674" s="3" t="s">
        <v>81</v>
      </c>
      <c r="F4674" s="3" t="s">
        <v>330</v>
      </c>
      <c r="G4674" s="5">
        <v>4.0000000000000001E-3</v>
      </c>
      <c r="H4674" s="6" t="s">
        <v>63</v>
      </c>
      <c r="I4674" s="3" t="s">
        <v>45</v>
      </c>
    </row>
    <row r="4675" spans="1:9" ht="48" customHeight="1">
      <c r="A4675" s="3" t="s">
        <v>40</v>
      </c>
      <c r="B4675" s="3" t="s">
        <v>39</v>
      </c>
      <c r="C4675" s="4">
        <v>46235</v>
      </c>
      <c r="D4675" s="4">
        <v>46265</v>
      </c>
      <c r="E4675" s="3" t="s">
        <v>81</v>
      </c>
      <c r="F4675" s="3" t="s">
        <v>325</v>
      </c>
      <c r="G4675" s="5">
        <v>4.0000000000000001E-3</v>
      </c>
      <c r="H4675" s="6" t="s">
        <v>63</v>
      </c>
      <c r="I4675" s="3" t="s">
        <v>45</v>
      </c>
    </row>
    <row r="4676" spans="1:9" ht="48" customHeight="1">
      <c r="A4676" s="3" t="s">
        <v>40</v>
      </c>
      <c r="B4676" s="3" t="s">
        <v>39</v>
      </c>
      <c r="C4676" s="4">
        <v>46235</v>
      </c>
      <c r="D4676" s="4">
        <v>46265</v>
      </c>
      <c r="E4676" s="3" t="s">
        <v>81</v>
      </c>
      <c r="F4676" s="3" t="s">
        <v>326</v>
      </c>
      <c r="G4676" s="5">
        <v>3.0000000000000001E-3</v>
      </c>
      <c r="H4676" s="6" t="s">
        <v>63</v>
      </c>
      <c r="I4676" s="3" t="s">
        <v>45</v>
      </c>
    </row>
    <row r="4677" spans="1:9" ht="48" customHeight="1">
      <c r="A4677" s="3" t="s">
        <v>40</v>
      </c>
      <c r="B4677" s="3" t="s">
        <v>39</v>
      </c>
      <c r="C4677" s="4">
        <v>46235</v>
      </c>
      <c r="D4677" s="4">
        <v>46265</v>
      </c>
      <c r="E4677" s="3" t="s">
        <v>81</v>
      </c>
      <c r="F4677" s="3" t="s">
        <v>327</v>
      </c>
      <c r="G4677" s="5">
        <v>3.0000000000000001E-3</v>
      </c>
      <c r="H4677" s="6" t="s">
        <v>63</v>
      </c>
      <c r="I4677" s="3" t="s">
        <v>45</v>
      </c>
    </row>
    <row r="4678" spans="1:9" ht="48" customHeight="1">
      <c r="A4678" s="3" t="s">
        <v>40</v>
      </c>
      <c r="B4678" s="3" t="s">
        <v>39</v>
      </c>
      <c r="C4678" s="4">
        <v>46235</v>
      </c>
      <c r="D4678" s="4">
        <v>46265</v>
      </c>
      <c r="E4678" s="3" t="s">
        <v>81</v>
      </c>
      <c r="F4678" s="3" t="s">
        <v>328</v>
      </c>
      <c r="G4678" s="5">
        <v>3.0000000000000001E-3</v>
      </c>
      <c r="H4678" s="6" t="s">
        <v>63</v>
      </c>
      <c r="I4678" s="3" t="s">
        <v>45</v>
      </c>
    </row>
    <row r="4679" spans="1:9" ht="48" customHeight="1">
      <c r="A4679" s="3" t="s">
        <v>40</v>
      </c>
      <c r="B4679" s="3" t="s">
        <v>39</v>
      </c>
      <c r="C4679" s="4">
        <v>46235</v>
      </c>
      <c r="D4679" s="4">
        <v>46265</v>
      </c>
      <c r="E4679" s="3" t="s">
        <v>81</v>
      </c>
      <c r="F4679" s="3" t="s">
        <v>332</v>
      </c>
      <c r="G4679" s="5">
        <v>3.0000000000000001E-3</v>
      </c>
      <c r="H4679" s="6" t="s">
        <v>63</v>
      </c>
      <c r="I4679" s="3" t="s">
        <v>45</v>
      </c>
    </row>
    <row r="4680" spans="1:9" ht="48" customHeight="1">
      <c r="A4680" s="3" t="s">
        <v>40</v>
      </c>
      <c r="B4680" s="3" t="s">
        <v>39</v>
      </c>
      <c r="C4680" s="4">
        <v>46235</v>
      </c>
      <c r="D4680" s="4">
        <v>46265</v>
      </c>
      <c r="E4680" s="3" t="s">
        <v>81</v>
      </c>
      <c r="F4680" s="3" t="s">
        <v>344</v>
      </c>
      <c r="G4680" s="5">
        <v>2E-3</v>
      </c>
      <c r="H4680" s="6" t="s">
        <v>63</v>
      </c>
      <c r="I4680" s="3" t="s">
        <v>45</v>
      </c>
    </row>
    <row r="4681" spans="1:9" ht="48" customHeight="1">
      <c r="A4681" s="3" t="s">
        <v>40</v>
      </c>
      <c r="B4681" s="3" t="s">
        <v>39</v>
      </c>
      <c r="C4681" s="4">
        <v>46235</v>
      </c>
      <c r="D4681" s="4">
        <v>46265</v>
      </c>
      <c r="E4681" s="3" t="s">
        <v>81</v>
      </c>
      <c r="F4681" s="3" t="s">
        <v>345</v>
      </c>
      <c r="G4681" s="5">
        <v>2E-3</v>
      </c>
      <c r="H4681" s="6" t="s">
        <v>63</v>
      </c>
      <c r="I4681" s="3" t="s">
        <v>45</v>
      </c>
    </row>
    <row r="4682" spans="1:9" ht="48" customHeight="1">
      <c r="A4682" s="3" t="s">
        <v>40</v>
      </c>
      <c r="B4682" s="3" t="s">
        <v>39</v>
      </c>
      <c r="C4682" s="4">
        <v>46235</v>
      </c>
      <c r="D4682" s="4">
        <v>46265</v>
      </c>
      <c r="E4682" s="3" t="s">
        <v>81</v>
      </c>
      <c r="F4682" s="3" t="s">
        <v>329</v>
      </c>
      <c r="G4682" s="5">
        <v>1E-3</v>
      </c>
      <c r="H4682" s="6" t="s">
        <v>63</v>
      </c>
      <c r="I4682" s="3" t="s">
        <v>45</v>
      </c>
    </row>
    <row r="4683" spans="1:9" ht="48" customHeight="1">
      <c r="A4683" s="3" t="s">
        <v>40</v>
      </c>
      <c r="B4683" s="3" t="s">
        <v>39</v>
      </c>
      <c r="C4683" s="4">
        <v>46235</v>
      </c>
      <c r="D4683" s="4">
        <v>46265</v>
      </c>
      <c r="E4683" s="3" t="s">
        <v>81</v>
      </c>
      <c r="F4683" s="3" t="s">
        <v>334</v>
      </c>
      <c r="G4683" s="5">
        <v>1E-3</v>
      </c>
      <c r="H4683" s="6" t="s">
        <v>63</v>
      </c>
      <c r="I4683" s="3" t="s">
        <v>45</v>
      </c>
    </row>
    <row r="4684" spans="1:9" ht="48" customHeight="1">
      <c r="A4684" s="3" t="s">
        <v>40</v>
      </c>
      <c r="B4684" s="3" t="s">
        <v>39</v>
      </c>
      <c r="C4684" s="4">
        <v>46235</v>
      </c>
      <c r="D4684" s="4">
        <v>46265</v>
      </c>
      <c r="E4684" s="3" t="s">
        <v>81</v>
      </c>
      <c r="F4684" s="3" t="s">
        <v>331</v>
      </c>
      <c r="G4684" s="5">
        <v>1E-3</v>
      </c>
      <c r="H4684" s="6" t="s">
        <v>63</v>
      </c>
      <c r="I4684" s="3" t="s">
        <v>45</v>
      </c>
    </row>
    <row r="4685" spans="1:9" ht="48" customHeight="1">
      <c r="A4685" s="3" t="s">
        <v>40</v>
      </c>
      <c r="B4685" s="3" t="s">
        <v>39</v>
      </c>
      <c r="C4685" s="4">
        <v>46235</v>
      </c>
      <c r="D4685" s="4">
        <v>46265</v>
      </c>
      <c r="E4685" s="3" t="s">
        <v>81</v>
      </c>
      <c r="F4685" s="3" t="s">
        <v>335</v>
      </c>
      <c r="G4685" s="5">
        <v>1E-3</v>
      </c>
      <c r="H4685" s="6" t="s">
        <v>63</v>
      </c>
      <c r="I4685" s="3" t="s">
        <v>45</v>
      </c>
    </row>
    <row r="4686" spans="1:9" ht="48" customHeight="1">
      <c r="A4686" s="3" t="s">
        <v>40</v>
      </c>
      <c r="B4686" s="3" t="s">
        <v>39</v>
      </c>
      <c r="C4686" s="4">
        <v>46235</v>
      </c>
      <c r="D4686" s="4">
        <v>46265</v>
      </c>
      <c r="E4686" s="3" t="s">
        <v>81</v>
      </c>
      <c r="F4686" s="3" t="s">
        <v>336</v>
      </c>
      <c r="G4686" s="5">
        <v>1E-3</v>
      </c>
      <c r="H4686" s="6" t="s">
        <v>63</v>
      </c>
      <c r="I4686" s="3" t="s">
        <v>45</v>
      </c>
    </row>
    <row r="4687" spans="1:9" ht="48" customHeight="1">
      <c r="A4687" s="3" t="s">
        <v>40</v>
      </c>
      <c r="B4687" s="3" t="s">
        <v>39</v>
      </c>
      <c r="C4687" s="4">
        <v>46235</v>
      </c>
      <c r="D4687" s="4">
        <v>46265</v>
      </c>
      <c r="E4687" s="3" t="s">
        <v>81</v>
      </c>
      <c r="F4687" s="3" t="s">
        <v>343</v>
      </c>
      <c r="G4687" s="5">
        <v>1E-3</v>
      </c>
      <c r="H4687" s="6" t="s">
        <v>63</v>
      </c>
      <c r="I4687" s="3" t="s">
        <v>45</v>
      </c>
    </row>
    <row r="4688" spans="1:9" ht="48" customHeight="1">
      <c r="A4688" s="3" t="s">
        <v>40</v>
      </c>
      <c r="B4688" s="3" t="s">
        <v>39</v>
      </c>
      <c r="C4688" s="4">
        <v>46235</v>
      </c>
      <c r="D4688" s="4">
        <v>46265</v>
      </c>
      <c r="E4688" s="3" t="s">
        <v>81</v>
      </c>
      <c r="F4688" s="3" t="s">
        <v>346</v>
      </c>
      <c r="G4688" s="5">
        <v>1E-3</v>
      </c>
      <c r="H4688" s="6" t="s">
        <v>63</v>
      </c>
      <c r="I4688" s="3" t="s">
        <v>45</v>
      </c>
    </row>
    <row r="4689" spans="1:9" ht="48" customHeight="1">
      <c r="A4689" s="3" t="s">
        <v>40</v>
      </c>
      <c r="B4689" s="3" t="s">
        <v>39</v>
      </c>
      <c r="C4689" s="4">
        <v>46235</v>
      </c>
      <c r="D4689" s="4">
        <v>46265</v>
      </c>
      <c r="E4689" s="3" t="s">
        <v>81</v>
      </c>
      <c r="F4689" s="3" t="s">
        <v>337</v>
      </c>
      <c r="G4689" s="5">
        <v>0</v>
      </c>
      <c r="H4689" s="6" t="s">
        <v>63</v>
      </c>
      <c r="I4689" s="3" t="s">
        <v>45</v>
      </c>
    </row>
    <row r="4690" spans="1:9" ht="48" customHeight="1">
      <c r="A4690" s="3" t="s">
        <v>40</v>
      </c>
      <c r="B4690" s="3" t="s">
        <v>39</v>
      </c>
      <c r="C4690" s="4">
        <v>46235</v>
      </c>
      <c r="D4690" s="4">
        <v>46265</v>
      </c>
      <c r="E4690" s="3" t="s">
        <v>81</v>
      </c>
      <c r="F4690" s="3" t="s">
        <v>338</v>
      </c>
      <c r="G4690" s="5">
        <v>0</v>
      </c>
      <c r="H4690" s="6" t="s">
        <v>63</v>
      </c>
      <c r="I4690" s="3" t="s">
        <v>45</v>
      </c>
    </row>
    <row r="4691" spans="1:9" ht="48" customHeight="1">
      <c r="A4691" s="3" t="s">
        <v>40</v>
      </c>
      <c r="B4691" s="3" t="s">
        <v>39</v>
      </c>
      <c r="C4691" s="4">
        <v>46235</v>
      </c>
      <c r="D4691" s="4">
        <v>46265</v>
      </c>
      <c r="E4691" s="3" t="s">
        <v>81</v>
      </c>
      <c r="F4691" s="3" t="s">
        <v>339</v>
      </c>
      <c r="G4691" s="5">
        <v>0</v>
      </c>
      <c r="H4691" s="6" t="s">
        <v>63</v>
      </c>
      <c r="I4691" s="3" t="s">
        <v>45</v>
      </c>
    </row>
    <row r="4692" spans="1:9" ht="48" customHeight="1">
      <c r="A4692" s="3" t="s">
        <v>40</v>
      </c>
      <c r="B4692" s="3" t="s">
        <v>39</v>
      </c>
      <c r="C4692" s="4">
        <v>46235</v>
      </c>
      <c r="D4692" s="4">
        <v>46265</v>
      </c>
      <c r="E4692" s="3" t="s">
        <v>81</v>
      </c>
      <c r="F4692" s="3" t="s">
        <v>340</v>
      </c>
      <c r="G4692" s="5">
        <v>0</v>
      </c>
      <c r="H4692" s="6" t="s">
        <v>63</v>
      </c>
      <c r="I4692" s="3" t="s">
        <v>45</v>
      </c>
    </row>
    <row r="4693" spans="1:9" ht="48" customHeight="1">
      <c r="A4693" s="3" t="s">
        <v>40</v>
      </c>
      <c r="B4693" s="3" t="s">
        <v>39</v>
      </c>
      <c r="C4693" s="4">
        <v>46235</v>
      </c>
      <c r="D4693" s="4">
        <v>46265</v>
      </c>
      <c r="E4693" s="3" t="s">
        <v>81</v>
      </c>
      <c r="F4693" s="3" t="s">
        <v>341</v>
      </c>
      <c r="G4693" s="5">
        <v>0</v>
      </c>
      <c r="H4693" s="6" t="s">
        <v>63</v>
      </c>
      <c r="I4693" s="3" t="s">
        <v>45</v>
      </c>
    </row>
    <row r="4694" spans="1:9" ht="48" customHeight="1">
      <c r="A4694" s="3" t="s">
        <v>40</v>
      </c>
      <c r="B4694" s="3" t="s">
        <v>39</v>
      </c>
      <c r="C4694" s="4">
        <v>46235</v>
      </c>
      <c r="D4694" s="4">
        <v>46265</v>
      </c>
      <c r="E4694" s="3" t="s">
        <v>81</v>
      </c>
      <c r="F4694" s="3" t="s">
        <v>342</v>
      </c>
      <c r="G4694" s="5">
        <v>0</v>
      </c>
      <c r="H4694" s="6" t="s">
        <v>63</v>
      </c>
      <c r="I4694" s="3" t="s">
        <v>45</v>
      </c>
    </row>
    <row r="4695" spans="1:9" ht="48" customHeight="1">
      <c r="A4695" s="3" t="s">
        <v>40</v>
      </c>
      <c r="B4695" s="3" t="s">
        <v>39</v>
      </c>
      <c r="C4695" s="4">
        <v>46235</v>
      </c>
      <c r="D4695" s="4">
        <v>46265</v>
      </c>
      <c r="E4695" s="3" t="s">
        <v>81</v>
      </c>
      <c r="F4695" s="3" t="s">
        <v>347</v>
      </c>
      <c r="G4695" s="5">
        <v>0</v>
      </c>
      <c r="H4695" s="6" t="s">
        <v>63</v>
      </c>
      <c r="I4695" s="3" t="s">
        <v>45</v>
      </c>
    </row>
    <row r="4696" spans="1:9" ht="48" customHeight="1">
      <c r="A4696" s="3" t="s">
        <v>40</v>
      </c>
      <c r="B4696" s="3" t="s">
        <v>39</v>
      </c>
      <c r="C4696" s="4">
        <v>46235</v>
      </c>
      <c r="D4696" s="4">
        <v>46265</v>
      </c>
      <c r="E4696" s="3" t="s">
        <v>68</v>
      </c>
      <c r="F4696" s="3" t="s">
        <v>150</v>
      </c>
      <c r="G4696" s="5">
        <v>8.0000000000000002E-3</v>
      </c>
      <c r="H4696" s="6" t="s">
        <v>63</v>
      </c>
      <c r="I4696" s="3" t="s">
        <v>45</v>
      </c>
    </row>
    <row r="4697" spans="1:9" ht="48" customHeight="1">
      <c r="A4697" s="3" t="s">
        <v>40</v>
      </c>
      <c r="B4697" s="3" t="s">
        <v>39</v>
      </c>
      <c r="C4697" s="4">
        <v>46235</v>
      </c>
      <c r="D4697" s="4">
        <v>46265</v>
      </c>
      <c r="E4697" s="3" t="s">
        <v>68</v>
      </c>
      <c r="F4697" s="3" t="s">
        <v>147</v>
      </c>
      <c r="G4697" s="5">
        <v>6.9999999999999993E-3</v>
      </c>
      <c r="H4697" s="6" t="s">
        <v>63</v>
      </c>
      <c r="I4697" s="3" t="s">
        <v>45</v>
      </c>
    </row>
    <row r="4698" spans="1:9" ht="48" customHeight="1">
      <c r="A4698" s="3" t="s">
        <v>40</v>
      </c>
      <c r="B4698" s="3" t="s">
        <v>39</v>
      </c>
      <c r="C4698" s="4">
        <v>46235</v>
      </c>
      <c r="D4698" s="4">
        <v>46265</v>
      </c>
      <c r="E4698" s="3" t="s">
        <v>68</v>
      </c>
      <c r="F4698" s="3" t="s">
        <v>151</v>
      </c>
      <c r="G4698" s="5">
        <v>5.0000000000000001E-3</v>
      </c>
      <c r="H4698" s="6" t="s">
        <v>63</v>
      </c>
      <c r="I4698" s="3" t="s">
        <v>45</v>
      </c>
    </row>
    <row r="4699" spans="1:9" ht="48" customHeight="1">
      <c r="A4699" s="3" t="s">
        <v>40</v>
      </c>
      <c r="B4699" s="3" t="s">
        <v>39</v>
      </c>
      <c r="C4699" s="4">
        <v>46235</v>
      </c>
      <c r="D4699" s="4">
        <v>46265</v>
      </c>
      <c r="E4699" s="3" t="s">
        <v>68</v>
      </c>
      <c r="F4699" s="3" t="s">
        <v>148</v>
      </c>
      <c r="G4699" s="5">
        <v>4.0000000000000001E-3</v>
      </c>
      <c r="H4699" s="6" t="s">
        <v>63</v>
      </c>
      <c r="I4699" s="3" t="s">
        <v>45</v>
      </c>
    </row>
    <row r="4700" spans="1:9" ht="48" customHeight="1">
      <c r="A4700" s="3" t="s">
        <v>40</v>
      </c>
      <c r="B4700" s="3" t="s">
        <v>39</v>
      </c>
      <c r="C4700" s="4">
        <v>46235</v>
      </c>
      <c r="D4700" s="4">
        <v>46265</v>
      </c>
      <c r="E4700" s="3" t="s">
        <v>68</v>
      </c>
      <c r="F4700" s="3" t="s">
        <v>149</v>
      </c>
      <c r="G4700" s="5">
        <v>3.0000000000000001E-3</v>
      </c>
      <c r="H4700" s="6" t="s">
        <v>63</v>
      </c>
      <c r="I4700" s="3" t="s">
        <v>45</v>
      </c>
    </row>
    <row r="4701" spans="1:9" ht="48" customHeight="1">
      <c r="A4701" s="3" t="s">
        <v>40</v>
      </c>
      <c r="B4701" s="3" t="s">
        <v>39</v>
      </c>
      <c r="C4701" s="4">
        <v>46235</v>
      </c>
      <c r="D4701" s="4">
        <v>46265</v>
      </c>
      <c r="E4701" s="3" t="s">
        <v>68</v>
      </c>
      <c r="F4701" s="3" t="s">
        <v>155</v>
      </c>
      <c r="G4701" s="5">
        <v>1E-3</v>
      </c>
      <c r="H4701" s="6" t="s">
        <v>63</v>
      </c>
      <c r="I4701" s="3" t="s">
        <v>45</v>
      </c>
    </row>
    <row r="4702" spans="1:9" ht="48" customHeight="1">
      <c r="A4702" s="3" t="s">
        <v>40</v>
      </c>
      <c r="B4702" s="3" t="s">
        <v>39</v>
      </c>
      <c r="C4702" s="4">
        <v>46235</v>
      </c>
      <c r="D4702" s="4">
        <v>46265</v>
      </c>
      <c r="E4702" s="3" t="s">
        <v>68</v>
      </c>
      <c r="F4702" s="3" t="s">
        <v>152</v>
      </c>
      <c r="G4702" s="5">
        <v>1E-3</v>
      </c>
      <c r="H4702" s="6" t="s">
        <v>63</v>
      </c>
      <c r="I4702" s="3" t="s">
        <v>45</v>
      </c>
    </row>
    <row r="4703" spans="1:9" ht="48" customHeight="1">
      <c r="A4703" s="3" t="s">
        <v>40</v>
      </c>
      <c r="B4703" s="3" t="s">
        <v>39</v>
      </c>
      <c r="C4703" s="4">
        <v>46235</v>
      </c>
      <c r="D4703" s="4">
        <v>46265</v>
      </c>
      <c r="E4703" s="3" t="s">
        <v>68</v>
      </c>
      <c r="F4703" s="3" t="s">
        <v>157</v>
      </c>
      <c r="G4703" s="5">
        <v>1E-3</v>
      </c>
      <c r="H4703" s="6" t="s">
        <v>63</v>
      </c>
      <c r="I4703" s="3" t="s">
        <v>45</v>
      </c>
    </row>
    <row r="4704" spans="1:9" ht="48" customHeight="1">
      <c r="A4704" s="3" t="s">
        <v>40</v>
      </c>
      <c r="B4704" s="3" t="s">
        <v>39</v>
      </c>
      <c r="C4704" s="4">
        <v>46235</v>
      </c>
      <c r="D4704" s="4">
        <v>46265</v>
      </c>
      <c r="E4704" s="3" t="s">
        <v>68</v>
      </c>
      <c r="F4704" s="3" t="s">
        <v>159</v>
      </c>
      <c r="G4704" s="5">
        <v>1E-3</v>
      </c>
      <c r="H4704" s="6" t="s">
        <v>63</v>
      </c>
      <c r="I4704" s="3" t="s">
        <v>45</v>
      </c>
    </row>
    <row r="4705" spans="1:9" ht="48" customHeight="1">
      <c r="A4705" s="3" t="s">
        <v>40</v>
      </c>
      <c r="B4705" s="3" t="s">
        <v>39</v>
      </c>
      <c r="C4705" s="4">
        <v>46235</v>
      </c>
      <c r="D4705" s="4">
        <v>46265</v>
      </c>
      <c r="E4705" s="3" t="s">
        <v>68</v>
      </c>
      <c r="F4705" s="3" t="s">
        <v>160</v>
      </c>
      <c r="G4705" s="5">
        <v>1E-3</v>
      </c>
      <c r="H4705" s="6" t="s">
        <v>63</v>
      </c>
      <c r="I4705" s="3" t="s">
        <v>45</v>
      </c>
    </row>
    <row r="4706" spans="1:9" ht="48" customHeight="1">
      <c r="A4706" s="3" t="s">
        <v>40</v>
      </c>
      <c r="B4706" s="3" t="s">
        <v>39</v>
      </c>
      <c r="C4706" s="4">
        <v>46235</v>
      </c>
      <c r="D4706" s="4">
        <v>46265</v>
      </c>
      <c r="E4706" s="3" t="s">
        <v>68</v>
      </c>
      <c r="F4706" s="3" t="s">
        <v>156</v>
      </c>
      <c r="G4706" s="5">
        <v>1E-3</v>
      </c>
      <c r="H4706" s="6" t="s">
        <v>63</v>
      </c>
      <c r="I4706" s="3" t="s">
        <v>45</v>
      </c>
    </row>
    <row r="4707" spans="1:9" ht="48" customHeight="1">
      <c r="A4707" s="3" t="s">
        <v>40</v>
      </c>
      <c r="B4707" s="3" t="s">
        <v>39</v>
      </c>
      <c r="C4707" s="4">
        <v>46235</v>
      </c>
      <c r="D4707" s="4">
        <v>46265</v>
      </c>
      <c r="E4707" s="3" t="s">
        <v>68</v>
      </c>
      <c r="F4707" s="3" t="s">
        <v>146</v>
      </c>
      <c r="G4707" s="5">
        <v>1E-3</v>
      </c>
      <c r="H4707" s="6" t="s">
        <v>63</v>
      </c>
      <c r="I4707" s="3" t="s">
        <v>45</v>
      </c>
    </row>
    <row r="4708" spans="1:9" ht="48" customHeight="1">
      <c r="A4708" s="3" t="s">
        <v>40</v>
      </c>
      <c r="B4708" s="3" t="s">
        <v>39</v>
      </c>
      <c r="C4708" s="4">
        <v>46235</v>
      </c>
      <c r="D4708" s="4">
        <v>46265</v>
      </c>
      <c r="E4708" s="3" t="s">
        <v>68</v>
      </c>
      <c r="F4708" s="3" t="s">
        <v>66</v>
      </c>
      <c r="G4708" s="5">
        <v>1E-3</v>
      </c>
      <c r="H4708" s="6" t="s">
        <v>63</v>
      </c>
      <c r="I4708" s="3" t="s">
        <v>45</v>
      </c>
    </row>
    <row r="4709" spans="1:9" ht="48" customHeight="1">
      <c r="A4709" s="3" t="s">
        <v>40</v>
      </c>
      <c r="B4709" s="3" t="s">
        <v>39</v>
      </c>
      <c r="C4709" s="4">
        <v>46235</v>
      </c>
      <c r="D4709" s="4">
        <v>46265</v>
      </c>
      <c r="E4709" s="3" t="s">
        <v>68</v>
      </c>
      <c r="F4709" s="3" t="s">
        <v>154</v>
      </c>
      <c r="G4709" s="5">
        <v>1E-3</v>
      </c>
      <c r="H4709" s="6" t="s">
        <v>63</v>
      </c>
      <c r="I4709" s="3" t="s">
        <v>45</v>
      </c>
    </row>
    <row r="4710" spans="1:9" ht="48" customHeight="1">
      <c r="A4710" s="3" t="s">
        <v>40</v>
      </c>
      <c r="B4710" s="3" t="s">
        <v>39</v>
      </c>
      <c r="C4710" s="4">
        <v>46235</v>
      </c>
      <c r="D4710" s="4">
        <v>46265</v>
      </c>
      <c r="E4710" s="3" t="s">
        <v>68</v>
      </c>
      <c r="F4710" s="3" t="s">
        <v>158</v>
      </c>
      <c r="G4710" s="5">
        <v>0</v>
      </c>
      <c r="H4710" s="6" t="s">
        <v>63</v>
      </c>
      <c r="I4710" s="3" t="s">
        <v>45</v>
      </c>
    </row>
    <row r="4711" spans="1:9" ht="48" customHeight="1">
      <c r="A4711" s="3" t="s">
        <v>40</v>
      </c>
      <c r="B4711" s="3" t="s">
        <v>39</v>
      </c>
      <c r="C4711" s="4">
        <v>46235</v>
      </c>
      <c r="D4711" s="4">
        <v>46265</v>
      </c>
      <c r="E4711" s="3" t="s">
        <v>68</v>
      </c>
      <c r="F4711" s="3" t="s">
        <v>153</v>
      </c>
      <c r="G4711" s="5">
        <v>0</v>
      </c>
      <c r="H4711" s="6" t="s">
        <v>63</v>
      </c>
      <c r="I4711" s="3" t="s">
        <v>45</v>
      </c>
    </row>
    <row r="4712" spans="1:9" ht="48" customHeight="1">
      <c r="A4712" s="3" t="s">
        <v>40</v>
      </c>
      <c r="B4712" s="3" t="s">
        <v>39</v>
      </c>
      <c r="C4712" s="4">
        <v>46235</v>
      </c>
      <c r="D4712" s="4">
        <v>46265</v>
      </c>
      <c r="E4712" s="3" t="s">
        <v>364</v>
      </c>
      <c r="F4712" s="3" t="s">
        <v>366</v>
      </c>
      <c r="G4712" s="5">
        <v>5.0000000000000001E-3</v>
      </c>
      <c r="H4712" s="6" t="s">
        <v>63</v>
      </c>
      <c r="I4712" s="3" t="s">
        <v>45</v>
      </c>
    </row>
    <row r="4713" spans="1:9" ht="48" customHeight="1">
      <c r="A4713" s="3" t="s">
        <v>40</v>
      </c>
      <c r="B4713" s="3" t="s">
        <v>39</v>
      </c>
      <c r="C4713" s="4">
        <v>46235</v>
      </c>
      <c r="D4713" s="4">
        <v>46265</v>
      </c>
      <c r="E4713" s="3" t="s">
        <v>364</v>
      </c>
      <c r="F4713" s="3" t="s">
        <v>234</v>
      </c>
      <c r="G4713" s="5">
        <v>4.0000000000000001E-3</v>
      </c>
      <c r="H4713" s="6" t="s">
        <v>63</v>
      </c>
      <c r="I4713" s="3" t="s">
        <v>45</v>
      </c>
    </row>
    <row r="4714" spans="1:9" ht="48" customHeight="1">
      <c r="A4714" s="3" t="s">
        <v>40</v>
      </c>
      <c r="B4714" s="3" t="s">
        <v>39</v>
      </c>
      <c r="C4714" s="4">
        <v>46235</v>
      </c>
      <c r="D4714" s="4">
        <v>46265</v>
      </c>
      <c r="E4714" s="3" t="s">
        <v>364</v>
      </c>
      <c r="F4714" s="3" t="s">
        <v>262</v>
      </c>
      <c r="G4714" s="5">
        <v>4.0000000000000001E-3</v>
      </c>
      <c r="H4714" s="6" t="s">
        <v>63</v>
      </c>
      <c r="I4714" s="3" t="s">
        <v>45</v>
      </c>
    </row>
    <row r="4715" spans="1:9" ht="48" customHeight="1">
      <c r="A4715" s="3" t="s">
        <v>40</v>
      </c>
      <c r="B4715" s="3" t="s">
        <v>39</v>
      </c>
      <c r="C4715" s="4">
        <v>46235</v>
      </c>
      <c r="D4715" s="4">
        <v>46265</v>
      </c>
      <c r="E4715" s="3" t="s">
        <v>364</v>
      </c>
      <c r="F4715" s="3" t="s">
        <v>365</v>
      </c>
      <c r="G4715" s="5">
        <v>4.0000000000000001E-3</v>
      </c>
      <c r="H4715" s="6" t="s">
        <v>63</v>
      </c>
      <c r="I4715" s="3" t="s">
        <v>45</v>
      </c>
    </row>
    <row r="4716" spans="1:9" ht="48" customHeight="1">
      <c r="A4716" s="3" t="s">
        <v>40</v>
      </c>
      <c r="B4716" s="3" t="s">
        <v>39</v>
      </c>
      <c r="C4716" s="4">
        <v>46235</v>
      </c>
      <c r="D4716" s="4">
        <v>46265</v>
      </c>
      <c r="E4716" s="3" t="s">
        <v>364</v>
      </c>
      <c r="F4716" s="3" t="s">
        <v>367</v>
      </c>
      <c r="G4716" s="5">
        <v>3.0000000000000001E-3</v>
      </c>
      <c r="H4716" s="6" t="s">
        <v>63</v>
      </c>
      <c r="I4716" s="3" t="s">
        <v>45</v>
      </c>
    </row>
    <row r="4717" spans="1:9" ht="48" customHeight="1">
      <c r="A4717" s="3" t="s">
        <v>40</v>
      </c>
      <c r="B4717" s="3" t="s">
        <v>39</v>
      </c>
      <c r="C4717" s="4">
        <v>46235</v>
      </c>
      <c r="D4717" s="4">
        <v>46265</v>
      </c>
      <c r="E4717" s="3" t="s">
        <v>364</v>
      </c>
      <c r="F4717" s="3" t="s">
        <v>230</v>
      </c>
      <c r="G4717" s="5">
        <v>1E-3</v>
      </c>
      <c r="H4717" s="6" t="s">
        <v>63</v>
      </c>
      <c r="I4717" s="3" t="s">
        <v>45</v>
      </c>
    </row>
    <row r="4718" spans="1:9" ht="48" customHeight="1">
      <c r="A4718" s="3" t="s">
        <v>40</v>
      </c>
      <c r="B4718" s="3" t="s">
        <v>39</v>
      </c>
      <c r="C4718" s="4">
        <v>46235</v>
      </c>
      <c r="D4718" s="4">
        <v>46265</v>
      </c>
      <c r="E4718" s="3" t="s">
        <v>364</v>
      </c>
      <c r="F4718" s="3" t="s">
        <v>232</v>
      </c>
      <c r="G4718" s="5">
        <v>1E-3</v>
      </c>
      <c r="H4718" s="6" t="s">
        <v>63</v>
      </c>
      <c r="I4718" s="3" t="s">
        <v>45</v>
      </c>
    </row>
    <row r="4719" spans="1:9" ht="48" customHeight="1">
      <c r="A4719" s="3" t="s">
        <v>40</v>
      </c>
      <c r="B4719" s="3" t="s">
        <v>39</v>
      </c>
      <c r="C4719" s="4">
        <v>46235</v>
      </c>
      <c r="D4719" s="4">
        <v>46265</v>
      </c>
      <c r="E4719" s="3" t="s">
        <v>364</v>
      </c>
      <c r="F4719" s="3" t="s">
        <v>265</v>
      </c>
      <c r="G4719" s="5">
        <v>1E-3</v>
      </c>
      <c r="H4719" s="6" t="s">
        <v>63</v>
      </c>
      <c r="I4719" s="3" t="s">
        <v>45</v>
      </c>
    </row>
    <row r="4720" spans="1:9" ht="48" customHeight="1">
      <c r="A4720" s="3" t="s">
        <v>40</v>
      </c>
      <c r="B4720" s="3" t="s">
        <v>39</v>
      </c>
      <c r="C4720" s="4">
        <v>46235</v>
      </c>
      <c r="D4720" s="4">
        <v>46265</v>
      </c>
      <c r="E4720" s="3" t="s">
        <v>364</v>
      </c>
      <c r="F4720" s="3" t="s">
        <v>79</v>
      </c>
      <c r="G4720" s="5">
        <v>0</v>
      </c>
      <c r="H4720" s="6" t="s">
        <v>63</v>
      </c>
      <c r="I4720" s="3" t="s">
        <v>45</v>
      </c>
    </row>
    <row r="4721" spans="1:9" ht="48" customHeight="1">
      <c r="A4721" s="3" t="s">
        <v>40</v>
      </c>
      <c r="B4721" s="3" t="s">
        <v>39</v>
      </c>
      <c r="C4721" s="4">
        <v>46235</v>
      </c>
      <c r="D4721" s="4">
        <v>46265</v>
      </c>
      <c r="E4721" s="3" t="s">
        <v>302</v>
      </c>
      <c r="F4721" s="3" t="s">
        <v>307</v>
      </c>
      <c r="G4721" s="5">
        <v>4.0000000000000001E-3</v>
      </c>
      <c r="H4721" s="6" t="s">
        <v>63</v>
      </c>
      <c r="I4721" s="3" t="s">
        <v>45</v>
      </c>
    </row>
    <row r="4722" spans="1:9" ht="48" customHeight="1">
      <c r="A4722" s="3" t="s">
        <v>40</v>
      </c>
      <c r="B4722" s="3" t="s">
        <v>39</v>
      </c>
      <c r="C4722" s="4">
        <v>46235</v>
      </c>
      <c r="D4722" s="4">
        <v>46265</v>
      </c>
      <c r="E4722" s="3" t="s">
        <v>302</v>
      </c>
      <c r="F4722" s="3" t="s">
        <v>303</v>
      </c>
      <c r="G4722" s="5">
        <v>2E-3</v>
      </c>
      <c r="H4722" s="6" t="s">
        <v>63</v>
      </c>
      <c r="I4722" s="3" t="s">
        <v>45</v>
      </c>
    </row>
    <row r="4723" spans="1:9" ht="48" customHeight="1">
      <c r="A4723" s="3" t="s">
        <v>40</v>
      </c>
      <c r="B4723" s="3" t="s">
        <v>39</v>
      </c>
      <c r="C4723" s="4">
        <v>46235</v>
      </c>
      <c r="D4723" s="4">
        <v>46265</v>
      </c>
      <c r="E4723" s="3" t="s">
        <v>302</v>
      </c>
      <c r="F4723" s="3" t="s">
        <v>304</v>
      </c>
      <c r="G4723" s="5">
        <v>2E-3</v>
      </c>
      <c r="H4723" s="6" t="s">
        <v>63</v>
      </c>
      <c r="I4723" s="3" t="s">
        <v>45</v>
      </c>
    </row>
    <row r="4724" spans="1:9" ht="48" customHeight="1">
      <c r="A4724" s="3" t="s">
        <v>40</v>
      </c>
      <c r="B4724" s="3" t="s">
        <v>39</v>
      </c>
      <c r="C4724" s="4">
        <v>46235</v>
      </c>
      <c r="D4724" s="4">
        <v>46265</v>
      </c>
      <c r="E4724" s="3" t="s">
        <v>302</v>
      </c>
      <c r="F4724" s="3" t="s">
        <v>308</v>
      </c>
      <c r="G4724" s="5">
        <v>2E-3</v>
      </c>
      <c r="H4724" s="6" t="s">
        <v>63</v>
      </c>
      <c r="I4724" s="3" t="s">
        <v>45</v>
      </c>
    </row>
    <row r="4725" spans="1:9" ht="48" customHeight="1">
      <c r="A4725" s="3" t="s">
        <v>40</v>
      </c>
      <c r="B4725" s="3" t="s">
        <v>39</v>
      </c>
      <c r="C4725" s="4">
        <v>46235</v>
      </c>
      <c r="D4725" s="4">
        <v>46265</v>
      </c>
      <c r="E4725" s="3" t="s">
        <v>302</v>
      </c>
      <c r="F4725" s="3" t="s">
        <v>309</v>
      </c>
      <c r="G4725" s="5">
        <v>2E-3</v>
      </c>
      <c r="H4725" s="6" t="s">
        <v>63</v>
      </c>
      <c r="I4725" s="3" t="s">
        <v>45</v>
      </c>
    </row>
    <row r="4726" spans="1:9" ht="48" customHeight="1">
      <c r="A4726" s="3" t="s">
        <v>40</v>
      </c>
      <c r="B4726" s="3" t="s">
        <v>39</v>
      </c>
      <c r="C4726" s="4">
        <v>46235</v>
      </c>
      <c r="D4726" s="4">
        <v>46265</v>
      </c>
      <c r="E4726" s="3" t="s">
        <v>302</v>
      </c>
      <c r="F4726" s="3" t="s">
        <v>310</v>
      </c>
      <c r="G4726" s="5">
        <v>1E-3</v>
      </c>
      <c r="H4726" s="6" t="s">
        <v>63</v>
      </c>
      <c r="I4726" s="3" t="s">
        <v>45</v>
      </c>
    </row>
    <row r="4727" spans="1:9" ht="48" customHeight="1">
      <c r="A4727" s="3" t="s">
        <v>40</v>
      </c>
      <c r="B4727" s="3" t="s">
        <v>39</v>
      </c>
      <c r="C4727" s="4">
        <v>46235</v>
      </c>
      <c r="D4727" s="4">
        <v>46265</v>
      </c>
      <c r="E4727" s="3" t="s">
        <v>302</v>
      </c>
      <c r="F4727" s="3" t="s">
        <v>311</v>
      </c>
      <c r="G4727" s="5">
        <v>1E-3</v>
      </c>
      <c r="H4727" s="6" t="s">
        <v>63</v>
      </c>
      <c r="I4727" s="3" t="s">
        <v>45</v>
      </c>
    </row>
    <row r="4728" spans="1:9" ht="48" customHeight="1">
      <c r="A4728" s="3" t="s">
        <v>40</v>
      </c>
      <c r="B4728" s="3" t="s">
        <v>39</v>
      </c>
      <c r="C4728" s="4">
        <v>46235</v>
      </c>
      <c r="D4728" s="4">
        <v>46265</v>
      </c>
      <c r="E4728" s="3" t="s">
        <v>302</v>
      </c>
      <c r="F4728" s="3" t="s">
        <v>305</v>
      </c>
      <c r="G4728" s="5">
        <v>1E-3</v>
      </c>
      <c r="H4728" s="6" t="s">
        <v>63</v>
      </c>
      <c r="I4728" s="3" t="s">
        <v>45</v>
      </c>
    </row>
    <row r="4729" spans="1:9" ht="48" customHeight="1">
      <c r="A4729" s="3" t="s">
        <v>40</v>
      </c>
      <c r="B4729" s="3" t="s">
        <v>39</v>
      </c>
      <c r="C4729" s="4">
        <v>46235</v>
      </c>
      <c r="D4729" s="4">
        <v>46265</v>
      </c>
      <c r="E4729" s="3" t="s">
        <v>302</v>
      </c>
      <c r="F4729" s="3" t="s">
        <v>306</v>
      </c>
      <c r="G4729" s="5">
        <v>1E-3</v>
      </c>
      <c r="H4729" s="6" t="s">
        <v>63</v>
      </c>
      <c r="I4729" s="3" t="s">
        <v>45</v>
      </c>
    </row>
    <row r="4730" spans="1:9" ht="48" customHeight="1">
      <c r="A4730" s="3" t="s">
        <v>40</v>
      </c>
      <c r="B4730" s="3" t="s">
        <v>39</v>
      </c>
      <c r="C4730" s="4">
        <v>46235</v>
      </c>
      <c r="D4730" s="4">
        <v>46265</v>
      </c>
      <c r="E4730" s="3" t="s">
        <v>302</v>
      </c>
      <c r="F4730" s="3" t="s">
        <v>313</v>
      </c>
      <c r="G4730" s="5">
        <v>1E-3</v>
      </c>
      <c r="H4730" s="6" t="s">
        <v>63</v>
      </c>
      <c r="I4730" s="3" t="s">
        <v>45</v>
      </c>
    </row>
    <row r="4731" spans="1:9" ht="48" customHeight="1">
      <c r="A4731" s="3" t="s">
        <v>40</v>
      </c>
      <c r="B4731" s="3" t="s">
        <v>39</v>
      </c>
      <c r="C4731" s="4">
        <v>46235</v>
      </c>
      <c r="D4731" s="4">
        <v>46265</v>
      </c>
      <c r="E4731" s="3" t="s">
        <v>302</v>
      </c>
      <c r="F4731" s="3" t="s">
        <v>314</v>
      </c>
      <c r="G4731" s="5">
        <v>1E-3</v>
      </c>
      <c r="H4731" s="6" t="s">
        <v>63</v>
      </c>
      <c r="I4731" s="3" t="s">
        <v>45</v>
      </c>
    </row>
    <row r="4732" spans="1:9" ht="48" customHeight="1">
      <c r="A4732" s="3" t="s">
        <v>40</v>
      </c>
      <c r="B4732" s="3" t="s">
        <v>39</v>
      </c>
      <c r="C4732" s="4">
        <v>46235</v>
      </c>
      <c r="D4732" s="4">
        <v>46265</v>
      </c>
      <c r="E4732" s="3" t="s">
        <v>302</v>
      </c>
      <c r="F4732" s="3" t="s">
        <v>312</v>
      </c>
      <c r="G4732" s="5">
        <v>0</v>
      </c>
      <c r="H4732" s="6" t="s">
        <v>63</v>
      </c>
      <c r="I4732" s="3" t="s">
        <v>45</v>
      </c>
    </row>
    <row r="4733" spans="1:9" ht="48" customHeight="1">
      <c r="A4733" s="3" t="s">
        <v>40</v>
      </c>
      <c r="B4733" s="3" t="s">
        <v>39</v>
      </c>
      <c r="C4733" s="4">
        <v>46235</v>
      </c>
      <c r="D4733" s="4">
        <v>46265</v>
      </c>
      <c r="E4733" s="3" t="s">
        <v>302</v>
      </c>
      <c r="F4733" s="3" t="s">
        <v>315</v>
      </c>
      <c r="G4733" s="5">
        <v>0</v>
      </c>
      <c r="H4733" s="6" t="s">
        <v>63</v>
      </c>
      <c r="I4733" s="3" t="s">
        <v>45</v>
      </c>
    </row>
    <row r="4734" spans="1:9" ht="48" customHeight="1">
      <c r="A4734" s="3" t="s">
        <v>40</v>
      </c>
      <c r="B4734" s="3" t="s">
        <v>39</v>
      </c>
      <c r="C4734" s="4">
        <v>46235</v>
      </c>
      <c r="D4734" s="4">
        <v>46265</v>
      </c>
      <c r="E4734" s="3" t="s">
        <v>302</v>
      </c>
      <c r="F4734" s="3" t="s">
        <v>316</v>
      </c>
      <c r="G4734" s="5">
        <v>0</v>
      </c>
      <c r="H4734" s="6" t="s">
        <v>63</v>
      </c>
      <c r="I4734" s="3" t="s">
        <v>45</v>
      </c>
    </row>
    <row r="4735" spans="1:9" ht="48" customHeight="1">
      <c r="A4735" s="3" t="s">
        <v>40</v>
      </c>
      <c r="B4735" s="3" t="s">
        <v>39</v>
      </c>
      <c r="C4735" s="4">
        <v>46235</v>
      </c>
      <c r="D4735" s="4">
        <v>46265</v>
      </c>
      <c r="E4735" s="3" t="s">
        <v>302</v>
      </c>
      <c r="F4735" s="3" t="s">
        <v>317</v>
      </c>
      <c r="G4735" s="5">
        <v>0</v>
      </c>
      <c r="H4735" s="6" t="s">
        <v>63</v>
      </c>
      <c r="I4735" s="3" t="s">
        <v>45</v>
      </c>
    </row>
    <row r="4736" spans="1:9" ht="48" customHeight="1">
      <c r="A4736" s="3" t="s">
        <v>40</v>
      </c>
      <c r="B4736" s="3" t="s">
        <v>39</v>
      </c>
      <c r="C4736" s="4">
        <v>46235</v>
      </c>
      <c r="D4736" s="4">
        <v>46265</v>
      </c>
      <c r="E4736" s="3" t="s">
        <v>302</v>
      </c>
      <c r="F4736" s="3" t="s">
        <v>318</v>
      </c>
      <c r="G4736" s="5">
        <v>0</v>
      </c>
      <c r="H4736" s="6" t="s">
        <v>63</v>
      </c>
      <c r="I4736" s="3" t="s">
        <v>45</v>
      </c>
    </row>
    <row r="4737" spans="1:9" ht="48" customHeight="1">
      <c r="A4737" s="3" t="s">
        <v>40</v>
      </c>
      <c r="B4737" s="3" t="s">
        <v>39</v>
      </c>
      <c r="C4737" s="4">
        <v>46235</v>
      </c>
      <c r="D4737" s="4">
        <v>46265</v>
      </c>
      <c r="E4737" s="3" t="s">
        <v>302</v>
      </c>
      <c r="F4737" s="3" t="s">
        <v>319</v>
      </c>
      <c r="G4737" s="5">
        <v>0</v>
      </c>
      <c r="H4737" s="6" t="s">
        <v>63</v>
      </c>
      <c r="I4737" s="3" t="s">
        <v>45</v>
      </c>
    </row>
    <row r="4738" spans="1:9" ht="48" customHeight="1">
      <c r="A4738" s="3" t="s">
        <v>40</v>
      </c>
      <c r="B4738" s="3" t="s">
        <v>39</v>
      </c>
      <c r="C4738" s="4">
        <v>46235</v>
      </c>
      <c r="D4738" s="4">
        <v>46265</v>
      </c>
      <c r="E4738" s="3" t="s">
        <v>302</v>
      </c>
      <c r="F4738" s="3" t="s">
        <v>320</v>
      </c>
      <c r="G4738" s="5">
        <v>0</v>
      </c>
      <c r="H4738" s="6" t="s">
        <v>63</v>
      </c>
      <c r="I4738" s="3" t="s">
        <v>45</v>
      </c>
    </row>
    <row r="4739" spans="1:9" ht="48" customHeight="1">
      <c r="A4739" s="3" t="s">
        <v>40</v>
      </c>
      <c r="B4739" s="3" t="s">
        <v>39</v>
      </c>
      <c r="C4739" s="4">
        <v>46235</v>
      </c>
      <c r="D4739" s="4">
        <v>46265</v>
      </c>
      <c r="E4739" s="3" t="s">
        <v>302</v>
      </c>
      <c r="F4739" s="3" t="s">
        <v>321</v>
      </c>
      <c r="G4739" s="5">
        <v>0</v>
      </c>
      <c r="H4739" s="6" t="s">
        <v>63</v>
      </c>
      <c r="I4739" s="3" t="s">
        <v>45</v>
      </c>
    </row>
    <row r="4740" spans="1:9" ht="48" customHeight="1">
      <c r="A4740" s="3" t="s">
        <v>40</v>
      </c>
      <c r="B4740" s="3" t="s">
        <v>39</v>
      </c>
      <c r="C4740" s="4">
        <v>46235</v>
      </c>
      <c r="D4740" s="4">
        <v>46265</v>
      </c>
      <c r="E4740" s="3" t="s">
        <v>302</v>
      </c>
      <c r="F4740" s="3" t="s">
        <v>322</v>
      </c>
      <c r="G4740" s="5">
        <v>0</v>
      </c>
      <c r="H4740" s="6" t="s">
        <v>63</v>
      </c>
      <c r="I4740" s="3" t="s">
        <v>45</v>
      </c>
    </row>
    <row r="4741" spans="1:9" ht="48" customHeight="1">
      <c r="A4741" s="3" t="s">
        <v>40</v>
      </c>
      <c r="B4741" s="3" t="s">
        <v>39</v>
      </c>
      <c r="C4741" s="4">
        <v>46235</v>
      </c>
      <c r="D4741" s="4">
        <v>46265</v>
      </c>
      <c r="E4741" s="3" t="s">
        <v>302</v>
      </c>
      <c r="F4741" s="3" t="s">
        <v>323</v>
      </c>
      <c r="G4741" s="5">
        <v>0</v>
      </c>
      <c r="H4741" s="6" t="s">
        <v>63</v>
      </c>
      <c r="I4741" s="3" t="s">
        <v>45</v>
      </c>
    </row>
    <row r="4742" spans="1:9" ht="48" customHeight="1">
      <c r="A4742" s="3" t="s">
        <v>40</v>
      </c>
      <c r="B4742" s="3" t="s">
        <v>39</v>
      </c>
      <c r="C4742" s="4">
        <v>46235</v>
      </c>
      <c r="D4742" s="4">
        <v>46265</v>
      </c>
      <c r="E4742" s="3" t="s">
        <v>302</v>
      </c>
      <c r="F4742" s="3" t="s">
        <v>324</v>
      </c>
      <c r="G4742" s="5">
        <v>0</v>
      </c>
      <c r="H4742" s="6" t="s">
        <v>63</v>
      </c>
      <c r="I4742" s="3" t="s">
        <v>45</v>
      </c>
    </row>
    <row r="4743" spans="1:9" ht="48" customHeight="1">
      <c r="A4743" s="3" t="s">
        <v>40</v>
      </c>
      <c r="B4743" s="3" t="s">
        <v>39</v>
      </c>
      <c r="C4743" s="4">
        <v>46235</v>
      </c>
      <c r="D4743" s="4">
        <v>46265</v>
      </c>
      <c r="E4743" s="3" t="s">
        <v>231</v>
      </c>
      <c r="F4743" s="3" t="s">
        <v>232</v>
      </c>
      <c r="G4743" s="5">
        <v>6.0000000000000001E-3</v>
      </c>
      <c r="H4743" s="6" t="s">
        <v>63</v>
      </c>
      <c r="I4743" s="3" t="s">
        <v>45</v>
      </c>
    </row>
    <row r="4744" spans="1:9" ht="48" customHeight="1">
      <c r="A4744" s="3" t="s">
        <v>40</v>
      </c>
      <c r="B4744" s="3" t="s">
        <v>39</v>
      </c>
      <c r="C4744" s="4">
        <v>46235</v>
      </c>
      <c r="D4744" s="4">
        <v>46265</v>
      </c>
      <c r="E4744" s="3" t="s">
        <v>231</v>
      </c>
      <c r="F4744" s="3" t="s">
        <v>233</v>
      </c>
      <c r="G4744" s="5">
        <v>5.0000000000000001E-3</v>
      </c>
      <c r="H4744" s="6" t="s">
        <v>63</v>
      </c>
      <c r="I4744" s="3" t="s">
        <v>45</v>
      </c>
    </row>
    <row r="4745" spans="1:9" ht="48" customHeight="1">
      <c r="A4745" s="3" t="s">
        <v>40</v>
      </c>
      <c r="B4745" s="3" t="s">
        <v>39</v>
      </c>
      <c r="C4745" s="4">
        <v>46235</v>
      </c>
      <c r="D4745" s="4">
        <v>46265</v>
      </c>
      <c r="E4745" s="3" t="s">
        <v>231</v>
      </c>
      <c r="F4745" s="3" t="s">
        <v>230</v>
      </c>
      <c r="G4745" s="5">
        <v>3.0000000000000001E-3</v>
      </c>
      <c r="H4745" s="6" t="s">
        <v>63</v>
      </c>
      <c r="I4745" s="3" t="s">
        <v>45</v>
      </c>
    </row>
    <row r="4746" spans="1:9" ht="48" customHeight="1">
      <c r="A4746" s="3" t="s">
        <v>40</v>
      </c>
      <c r="B4746" s="3" t="s">
        <v>39</v>
      </c>
      <c r="C4746" s="4">
        <v>46235</v>
      </c>
      <c r="D4746" s="4">
        <v>46265</v>
      </c>
      <c r="E4746" s="3" t="s">
        <v>231</v>
      </c>
      <c r="F4746" s="3" t="s">
        <v>234</v>
      </c>
      <c r="G4746" s="5">
        <v>2E-3</v>
      </c>
      <c r="H4746" s="6" t="s">
        <v>63</v>
      </c>
      <c r="I4746" s="3" t="s">
        <v>45</v>
      </c>
    </row>
    <row r="4747" spans="1:9" ht="48" customHeight="1">
      <c r="A4747" s="3" t="s">
        <v>40</v>
      </c>
      <c r="B4747" s="3" t="s">
        <v>39</v>
      </c>
      <c r="C4747" s="4">
        <v>46235</v>
      </c>
      <c r="D4747" s="4">
        <v>46265</v>
      </c>
      <c r="E4747" s="3" t="s">
        <v>231</v>
      </c>
      <c r="F4747" s="3" t="s">
        <v>235</v>
      </c>
      <c r="G4747" s="5">
        <v>2E-3</v>
      </c>
      <c r="H4747" s="6" t="s">
        <v>63</v>
      </c>
      <c r="I4747" s="3" t="s">
        <v>45</v>
      </c>
    </row>
    <row r="4748" spans="1:9" ht="48" customHeight="1">
      <c r="A4748" s="3" t="s">
        <v>40</v>
      </c>
      <c r="B4748" s="3" t="s">
        <v>39</v>
      </c>
      <c r="C4748" s="4">
        <v>46235</v>
      </c>
      <c r="D4748" s="4">
        <v>46265</v>
      </c>
      <c r="E4748" s="3" t="s">
        <v>368</v>
      </c>
      <c r="F4748" s="3" t="s">
        <v>369</v>
      </c>
      <c r="G4748" s="5">
        <v>2E-3</v>
      </c>
      <c r="H4748" s="6" t="s">
        <v>63</v>
      </c>
      <c r="I4748" s="3" t="s">
        <v>45</v>
      </c>
    </row>
    <row r="4749" spans="1:9" ht="48" customHeight="1">
      <c r="A4749" s="3" t="s">
        <v>40</v>
      </c>
      <c r="B4749" s="3" t="s">
        <v>39</v>
      </c>
      <c r="C4749" s="4">
        <v>46235</v>
      </c>
      <c r="D4749" s="4">
        <v>46265</v>
      </c>
      <c r="E4749" s="3" t="s">
        <v>368</v>
      </c>
      <c r="F4749" s="3" t="s">
        <v>370</v>
      </c>
      <c r="G4749" s="5">
        <v>2E-3</v>
      </c>
      <c r="H4749" s="6" t="s">
        <v>63</v>
      </c>
      <c r="I4749" s="3" t="s">
        <v>45</v>
      </c>
    </row>
    <row r="4750" spans="1:9" ht="48" customHeight="1">
      <c r="A4750" s="3" t="s">
        <v>40</v>
      </c>
      <c r="B4750" s="3" t="s">
        <v>39</v>
      </c>
      <c r="C4750" s="4">
        <v>46235</v>
      </c>
      <c r="D4750" s="4">
        <v>46265</v>
      </c>
      <c r="E4750" s="3" t="s">
        <v>368</v>
      </c>
      <c r="F4750" s="3" t="s">
        <v>372</v>
      </c>
      <c r="G4750" s="5">
        <v>1E-3</v>
      </c>
      <c r="H4750" s="6" t="s">
        <v>63</v>
      </c>
      <c r="I4750" s="3" t="s">
        <v>45</v>
      </c>
    </row>
    <row r="4751" spans="1:9" ht="48" customHeight="1">
      <c r="A4751" s="3" t="s">
        <v>40</v>
      </c>
      <c r="B4751" s="3" t="s">
        <v>39</v>
      </c>
      <c r="C4751" s="4">
        <v>46235</v>
      </c>
      <c r="D4751" s="4">
        <v>46265</v>
      </c>
      <c r="E4751" s="3" t="s">
        <v>368</v>
      </c>
      <c r="F4751" s="3" t="s">
        <v>373</v>
      </c>
      <c r="G4751" s="5">
        <v>1E-3</v>
      </c>
      <c r="H4751" s="6" t="s">
        <v>63</v>
      </c>
      <c r="I4751" s="3" t="s">
        <v>45</v>
      </c>
    </row>
    <row r="4752" spans="1:9" ht="48" customHeight="1">
      <c r="A4752" s="3" t="s">
        <v>40</v>
      </c>
      <c r="B4752" s="3" t="s">
        <v>39</v>
      </c>
      <c r="C4752" s="4">
        <v>46235</v>
      </c>
      <c r="D4752" s="4">
        <v>46265</v>
      </c>
      <c r="E4752" s="3" t="s">
        <v>368</v>
      </c>
      <c r="F4752" s="3" t="s">
        <v>265</v>
      </c>
      <c r="G4752" s="5">
        <v>1E-3</v>
      </c>
      <c r="H4752" s="6" t="s">
        <v>63</v>
      </c>
      <c r="I4752" s="3" t="s">
        <v>45</v>
      </c>
    </row>
    <row r="4753" spans="1:9" ht="48" customHeight="1">
      <c r="A4753" s="3" t="s">
        <v>40</v>
      </c>
      <c r="B4753" s="3" t="s">
        <v>39</v>
      </c>
      <c r="C4753" s="4">
        <v>46235</v>
      </c>
      <c r="D4753" s="4">
        <v>46265</v>
      </c>
      <c r="E4753" s="3" t="s">
        <v>368</v>
      </c>
      <c r="F4753" s="3" t="s">
        <v>262</v>
      </c>
      <c r="G4753" s="5">
        <v>1E-3</v>
      </c>
      <c r="H4753" s="6" t="s">
        <v>63</v>
      </c>
      <c r="I4753" s="3" t="s">
        <v>45</v>
      </c>
    </row>
    <row r="4754" spans="1:9" ht="48" customHeight="1">
      <c r="A4754" s="3" t="s">
        <v>40</v>
      </c>
      <c r="B4754" s="3" t="s">
        <v>39</v>
      </c>
      <c r="C4754" s="4">
        <v>46235</v>
      </c>
      <c r="D4754" s="4">
        <v>46265</v>
      </c>
      <c r="E4754" s="3" t="s">
        <v>368</v>
      </c>
      <c r="F4754" s="3" t="s">
        <v>371</v>
      </c>
      <c r="G4754" s="5">
        <v>1E-3</v>
      </c>
      <c r="H4754" s="6" t="s">
        <v>63</v>
      </c>
      <c r="I4754" s="3" t="s">
        <v>45</v>
      </c>
    </row>
    <row r="4755" spans="1:9" ht="48" customHeight="1">
      <c r="A4755" s="3" t="s">
        <v>40</v>
      </c>
      <c r="B4755" s="3" t="s">
        <v>39</v>
      </c>
      <c r="C4755" s="4">
        <v>46235</v>
      </c>
      <c r="D4755" s="4">
        <v>46265</v>
      </c>
      <c r="E4755" s="3" t="s">
        <v>368</v>
      </c>
      <c r="F4755" s="3" t="s">
        <v>374</v>
      </c>
      <c r="G4755" s="5">
        <v>1E-3</v>
      </c>
      <c r="H4755" s="6" t="s">
        <v>63</v>
      </c>
      <c r="I4755" s="3" t="s">
        <v>45</v>
      </c>
    </row>
    <row r="4756" spans="1:9" ht="48" customHeight="1">
      <c r="A4756" s="3" t="s">
        <v>40</v>
      </c>
      <c r="B4756" s="3" t="s">
        <v>39</v>
      </c>
      <c r="C4756" s="4">
        <v>46235</v>
      </c>
      <c r="D4756" s="4">
        <v>46265</v>
      </c>
      <c r="E4756" s="3" t="s">
        <v>368</v>
      </c>
      <c r="F4756" s="3" t="s">
        <v>207</v>
      </c>
      <c r="G4756" s="5">
        <v>1E-3</v>
      </c>
      <c r="H4756" s="6" t="s">
        <v>63</v>
      </c>
      <c r="I4756" s="3" t="s">
        <v>45</v>
      </c>
    </row>
    <row r="4757" spans="1:9" ht="48" customHeight="1">
      <c r="A4757" s="3" t="s">
        <v>40</v>
      </c>
      <c r="B4757" s="3" t="s">
        <v>39</v>
      </c>
      <c r="C4757" s="4">
        <v>46235</v>
      </c>
      <c r="D4757" s="4">
        <v>46265</v>
      </c>
      <c r="E4757" s="3" t="s">
        <v>368</v>
      </c>
      <c r="F4757" s="3" t="s">
        <v>375</v>
      </c>
      <c r="G4757" s="5">
        <v>1E-3</v>
      </c>
      <c r="H4757" s="6" t="s">
        <v>63</v>
      </c>
      <c r="I4757" s="3" t="s">
        <v>45</v>
      </c>
    </row>
    <row r="4758" spans="1:9" ht="48" customHeight="1">
      <c r="A4758" s="3" t="s">
        <v>40</v>
      </c>
      <c r="B4758" s="3" t="s">
        <v>39</v>
      </c>
      <c r="C4758" s="4">
        <v>46235</v>
      </c>
      <c r="D4758" s="4">
        <v>46265</v>
      </c>
      <c r="E4758" s="3" t="s">
        <v>368</v>
      </c>
      <c r="F4758" s="3" t="s">
        <v>376</v>
      </c>
      <c r="G4758" s="5">
        <v>1E-3</v>
      </c>
      <c r="H4758" s="6" t="s">
        <v>63</v>
      </c>
      <c r="I4758" s="3" t="s">
        <v>45</v>
      </c>
    </row>
    <row r="4759" spans="1:9" ht="48" customHeight="1">
      <c r="A4759" s="3" t="s">
        <v>40</v>
      </c>
      <c r="B4759" s="3" t="s">
        <v>39</v>
      </c>
      <c r="C4759" s="4">
        <v>46235</v>
      </c>
      <c r="D4759" s="4">
        <v>46265</v>
      </c>
      <c r="E4759" s="3" t="s">
        <v>368</v>
      </c>
      <c r="F4759" s="3" t="s">
        <v>377</v>
      </c>
      <c r="G4759" s="5">
        <v>1E-3</v>
      </c>
      <c r="H4759" s="6" t="s">
        <v>63</v>
      </c>
      <c r="I4759" s="3" t="s">
        <v>45</v>
      </c>
    </row>
    <row r="4760" spans="1:9" ht="48" customHeight="1">
      <c r="A4760" s="3" t="s">
        <v>40</v>
      </c>
      <c r="B4760" s="3" t="s">
        <v>39</v>
      </c>
      <c r="C4760" s="4">
        <v>46235</v>
      </c>
      <c r="D4760" s="4">
        <v>46265</v>
      </c>
      <c r="E4760" s="3" t="s">
        <v>368</v>
      </c>
      <c r="F4760" s="3" t="s">
        <v>378</v>
      </c>
      <c r="G4760" s="5">
        <v>1E-3</v>
      </c>
      <c r="H4760" s="6" t="s">
        <v>63</v>
      </c>
      <c r="I4760" s="3" t="s">
        <v>45</v>
      </c>
    </row>
    <row r="4761" spans="1:9" ht="48" customHeight="1">
      <c r="A4761" s="3" t="s">
        <v>40</v>
      </c>
      <c r="B4761" s="3" t="s">
        <v>39</v>
      </c>
      <c r="C4761" s="4">
        <v>46235</v>
      </c>
      <c r="D4761" s="4">
        <v>46265</v>
      </c>
      <c r="E4761" s="3" t="s">
        <v>368</v>
      </c>
      <c r="F4761" s="3" t="s">
        <v>230</v>
      </c>
      <c r="G4761" s="5">
        <v>0</v>
      </c>
      <c r="H4761" s="6" t="s">
        <v>63</v>
      </c>
      <c r="I4761" s="3" t="s">
        <v>45</v>
      </c>
    </row>
    <row r="4762" spans="1:9" ht="48" customHeight="1">
      <c r="A4762" s="3" t="s">
        <v>40</v>
      </c>
      <c r="B4762" s="3" t="s">
        <v>39</v>
      </c>
      <c r="C4762" s="4">
        <v>46235</v>
      </c>
      <c r="D4762" s="4">
        <v>46265</v>
      </c>
      <c r="E4762" s="3" t="s">
        <v>368</v>
      </c>
      <c r="F4762" s="3" t="s">
        <v>232</v>
      </c>
      <c r="G4762" s="5">
        <v>0</v>
      </c>
      <c r="H4762" s="6" t="s">
        <v>63</v>
      </c>
      <c r="I4762" s="3" t="s">
        <v>45</v>
      </c>
    </row>
    <row r="4763" spans="1:9" ht="48" customHeight="1">
      <c r="A4763" s="3" t="s">
        <v>40</v>
      </c>
      <c r="B4763" s="3" t="s">
        <v>39</v>
      </c>
      <c r="C4763" s="4">
        <v>46235</v>
      </c>
      <c r="D4763" s="4">
        <v>46265</v>
      </c>
      <c r="E4763" s="3" t="s">
        <v>368</v>
      </c>
      <c r="F4763" s="3" t="s">
        <v>234</v>
      </c>
      <c r="G4763" s="5">
        <v>0</v>
      </c>
      <c r="H4763" s="6" t="s">
        <v>63</v>
      </c>
      <c r="I4763" s="3" t="s">
        <v>45</v>
      </c>
    </row>
    <row r="4764" spans="1:9" ht="48" customHeight="1">
      <c r="A4764" s="3" t="s">
        <v>40</v>
      </c>
      <c r="B4764" s="3" t="s">
        <v>39</v>
      </c>
      <c r="C4764" s="4">
        <v>46235</v>
      </c>
      <c r="D4764" s="4">
        <v>46265</v>
      </c>
      <c r="E4764" s="3" t="s">
        <v>260</v>
      </c>
      <c r="F4764" s="3" t="s">
        <v>262</v>
      </c>
      <c r="G4764" s="5">
        <v>2E-3</v>
      </c>
      <c r="H4764" s="6" t="s">
        <v>63</v>
      </c>
      <c r="I4764" s="3" t="s">
        <v>45</v>
      </c>
    </row>
    <row r="4765" spans="1:9" ht="48" customHeight="1">
      <c r="A4765" s="3" t="s">
        <v>40</v>
      </c>
      <c r="B4765" s="3" t="s">
        <v>39</v>
      </c>
      <c r="C4765" s="4">
        <v>46235</v>
      </c>
      <c r="D4765" s="4">
        <v>46265</v>
      </c>
      <c r="E4765" s="3" t="s">
        <v>260</v>
      </c>
      <c r="F4765" s="3" t="s">
        <v>261</v>
      </c>
      <c r="G4765" s="5">
        <v>2E-3</v>
      </c>
      <c r="H4765" s="6" t="s">
        <v>63</v>
      </c>
      <c r="I4765" s="3" t="s">
        <v>45</v>
      </c>
    </row>
    <row r="4766" spans="1:9" ht="48" customHeight="1">
      <c r="A4766" s="3" t="s">
        <v>40</v>
      </c>
      <c r="B4766" s="3" t="s">
        <v>39</v>
      </c>
      <c r="C4766" s="4">
        <v>46235</v>
      </c>
      <c r="D4766" s="4">
        <v>46265</v>
      </c>
      <c r="E4766" s="3" t="s">
        <v>260</v>
      </c>
      <c r="F4766" s="3" t="s">
        <v>263</v>
      </c>
      <c r="G4766" s="5">
        <v>1E-3</v>
      </c>
      <c r="H4766" s="6" t="s">
        <v>63</v>
      </c>
      <c r="I4766" s="3" t="s">
        <v>45</v>
      </c>
    </row>
    <row r="4767" spans="1:9" ht="48" customHeight="1">
      <c r="A4767" s="3" t="s">
        <v>40</v>
      </c>
      <c r="B4767" s="3" t="s">
        <v>39</v>
      </c>
      <c r="C4767" s="4">
        <v>46235</v>
      </c>
      <c r="D4767" s="4">
        <v>46265</v>
      </c>
      <c r="E4767" s="3" t="s">
        <v>260</v>
      </c>
      <c r="F4767" s="3" t="s">
        <v>266</v>
      </c>
      <c r="G4767" s="5">
        <v>1E-3</v>
      </c>
      <c r="H4767" s="6" t="s">
        <v>63</v>
      </c>
      <c r="I4767" s="3" t="s">
        <v>45</v>
      </c>
    </row>
    <row r="4768" spans="1:9" ht="48" customHeight="1">
      <c r="A4768" s="3" t="s">
        <v>40</v>
      </c>
      <c r="B4768" s="3" t="s">
        <v>39</v>
      </c>
      <c r="C4768" s="4">
        <v>46235</v>
      </c>
      <c r="D4768" s="4">
        <v>46265</v>
      </c>
      <c r="E4768" s="3" t="s">
        <v>260</v>
      </c>
      <c r="F4768" s="3" t="s">
        <v>264</v>
      </c>
      <c r="G4768" s="5">
        <v>1E-3</v>
      </c>
      <c r="H4768" s="6" t="s">
        <v>63</v>
      </c>
      <c r="I4768" s="3" t="s">
        <v>45</v>
      </c>
    </row>
    <row r="4769" spans="1:9" ht="48" customHeight="1">
      <c r="A4769" s="3" t="s">
        <v>40</v>
      </c>
      <c r="B4769" s="3" t="s">
        <v>39</v>
      </c>
      <c r="C4769" s="4">
        <v>46235</v>
      </c>
      <c r="D4769" s="4">
        <v>46265</v>
      </c>
      <c r="E4769" s="3" t="s">
        <v>260</v>
      </c>
      <c r="F4769" s="3" t="s">
        <v>267</v>
      </c>
      <c r="G4769" s="5">
        <v>1E-3</v>
      </c>
      <c r="H4769" s="6" t="s">
        <v>63</v>
      </c>
      <c r="I4769" s="3" t="s">
        <v>45</v>
      </c>
    </row>
    <row r="4770" spans="1:9" ht="48" customHeight="1">
      <c r="A4770" s="3" t="s">
        <v>40</v>
      </c>
      <c r="B4770" s="3" t="s">
        <v>39</v>
      </c>
      <c r="C4770" s="4">
        <v>46235</v>
      </c>
      <c r="D4770" s="4">
        <v>46265</v>
      </c>
      <c r="E4770" s="3" t="s">
        <v>260</v>
      </c>
      <c r="F4770" s="3" t="s">
        <v>268</v>
      </c>
      <c r="G4770" s="5">
        <v>1E-3</v>
      </c>
      <c r="H4770" s="6" t="s">
        <v>63</v>
      </c>
      <c r="I4770" s="3" t="s">
        <v>45</v>
      </c>
    </row>
    <row r="4771" spans="1:9" ht="48" customHeight="1">
      <c r="A4771" s="3" t="s">
        <v>40</v>
      </c>
      <c r="B4771" s="3" t="s">
        <v>39</v>
      </c>
      <c r="C4771" s="4">
        <v>46235</v>
      </c>
      <c r="D4771" s="4">
        <v>46265</v>
      </c>
      <c r="E4771" s="3" t="s">
        <v>260</v>
      </c>
      <c r="F4771" s="3" t="s">
        <v>234</v>
      </c>
      <c r="G4771" s="5">
        <v>1E-3</v>
      </c>
      <c r="H4771" s="6" t="s">
        <v>63</v>
      </c>
      <c r="I4771" s="3" t="s">
        <v>45</v>
      </c>
    </row>
    <row r="4772" spans="1:9" ht="48" customHeight="1">
      <c r="A4772" s="3" t="s">
        <v>40</v>
      </c>
      <c r="B4772" s="3" t="s">
        <v>39</v>
      </c>
      <c r="C4772" s="4">
        <v>46235</v>
      </c>
      <c r="D4772" s="4">
        <v>46265</v>
      </c>
      <c r="E4772" s="3" t="s">
        <v>260</v>
      </c>
      <c r="F4772" s="3" t="s">
        <v>232</v>
      </c>
      <c r="G4772" s="5">
        <v>1E-3</v>
      </c>
      <c r="H4772" s="6" t="s">
        <v>63</v>
      </c>
      <c r="I4772" s="3" t="s">
        <v>45</v>
      </c>
    </row>
    <row r="4773" spans="1:9" ht="48" customHeight="1">
      <c r="A4773" s="3" t="s">
        <v>40</v>
      </c>
      <c r="B4773" s="3" t="s">
        <v>39</v>
      </c>
      <c r="C4773" s="4">
        <v>46235</v>
      </c>
      <c r="D4773" s="4">
        <v>46265</v>
      </c>
      <c r="E4773" s="3" t="s">
        <v>260</v>
      </c>
      <c r="F4773" s="3" t="s">
        <v>265</v>
      </c>
      <c r="G4773" s="5">
        <v>1E-3</v>
      </c>
      <c r="H4773" s="6" t="s">
        <v>63</v>
      </c>
      <c r="I4773" s="3" t="s">
        <v>45</v>
      </c>
    </row>
    <row r="4774" spans="1:9" ht="48" customHeight="1">
      <c r="A4774" s="3" t="s">
        <v>40</v>
      </c>
      <c r="B4774" s="3" t="s">
        <v>39</v>
      </c>
      <c r="C4774" s="4">
        <v>46235</v>
      </c>
      <c r="D4774" s="4">
        <v>46265</v>
      </c>
      <c r="E4774" s="3" t="s">
        <v>260</v>
      </c>
      <c r="F4774" s="3" t="s">
        <v>273</v>
      </c>
      <c r="G4774" s="5">
        <v>0</v>
      </c>
      <c r="H4774" s="6" t="s">
        <v>63</v>
      </c>
      <c r="I4774" s="3" t="s">
        <v>45</v>
      </c>
    </row>
    <row r="4775" spans="1:9" ht="48" customHeight="1">
      <c r="A4775" s="3" t="s">
        <v>40</v>
      </c>
      <c r="B4775" s="3" t="s">
        <v>39</v>
      </c>
      <c r="C4775" s="4">
        <v>46235</v>
      </c>
      <c r="D4775" s="4">
        <v>46265</v>
      </c>
      <c r="E4775" s="3" t="s">
        <v>260</v>
      </c>
      <c r="F4775" s="3" t="s">
        <v>274</v>
      </c>
      <c r="G4775" s="5">
        <v>0</v>
      </c>
      <c r="H4775" s="6" t="s">
        <v>63</v>
      </c>
      <c r="I4775" s="3" t="s">
        <v>45</v>
      </c>
    </row>
    <row r="4776" spans="1:9" ht="48" customHeight="1">
      <c r="A4776" s="3" t="s">
        <v>40</v>
      </c>
      <c r="B4776" s="3" t="s">
        <v>39</v>
      </c>
      <c r="C4776" s="4">
        <v>46235</v>
      </c>
      <c r="D4776" s="4">
        <v>46265</v>
      </c>
      <c r="E4776" s="3" t="s">
        <v>260</v>
      </c>
      <c r="F4776" s="3" t="s">
        <v>275</v>
      </c>
      <c r="G4776" s="5">
        <v>0</v>
      </c>
      <c r="H4776" s="6" t="s">
        <v>63</v>
      </c>
      <c r="I4776" s="3" t="s">
        <v>45</v>
      </c>
    </row>
    <row r="4777" spans="1:9" ht="48" customHeight="1">
      <c r="A4777" s="3" t="s">
        <v>40</v>
      </c>
      <c r="B4777" s="3" t="s">
        <v>39</v>
      </c>
      <c r="C4777" s="4">
        <v>46235</v>
      </c>
      <c r="D4777" s="4">
        <v>46265</v>
      </c>
      <c r="E4777" s="3" t="s">
        <v>260</v>
      </c>
      <c r="F4777" s="3" t="s">
        <v>276</v>
      </c>
      <c r="G4777" s="5">
        <v>0</v>
      </c>
      <c r="H4777" s="6" t="s">
        <v>63</v>
      </c>
      <c r="I4777" s="3" t="s">
        <v>45</v>
      </c>
    </row>
    <row r="4778" spans="1:9" ht="48" customHeight="1">
      <c r="A4778" s="3" t="s">
        <v>40</v>
      </c>
      <c r="B4778" s="3" t="s">
        <v>39</v>
      </c>
      <c r="C4778" s="4">
        <v>46235</v>
      </c>
      <c r="D4778" s="4">
        <v>46265</v>
      </c>
      <c r="E4778" s="3" t="s">
        <v>260</v>
      </c>
      <c r="F4778" s="3" t="s">
        <v>277</v>
      </c>
      <c r="G4778" s="5">
        <v>0</v>
      </c>
      <c r="H4778" s="6" t="s">
        <v>63</v>
      </c>
      <c r="I4778" s="3" t="s">
        <v>45</v>
      </c>
    </row>
    <row r="4779" spans="1:9" ht="48" customHeight="1">
      <c r="A4779" s="3" t="s">
        <v>40</v>
      </c>
      <c r="B4779" s="3" t="s">
        <v>39</v>
      </c>
      <c r="C4779" s="4">
        <v>46235</v>
      </c>
      <c r="D4779" s="4">
        <v>46265</v>
      </c>
      <c r="E4779" s="3" t="s">
        <v>260</v>
      </c>
      <c r="F4779" s="3" t="s">
        <v>278</v>
      </c>
      <c r="G4779" s="5">
        <v>0</v>
      </c>
      <c r="H4779" s="6" t="s">
        <v>63</v>
      </c>
      <c r="I4779" s="3" t="s">
        <v>45</v>
      </c>
    </row>
    <row r="4780" spans="1:9" ht="48" customHeight="1">
      <c r="A4780" s="3" t="s">
        <v>40</v>
      </c>
      <c r="B4780" s="3" t="s">
        <v>39</v>
      </c>
      <c r="C4780" s="4">
        <v>46235</v>
      </c>
      <c r="D4780" s="4">
        <v>46265</v>
      </c>
      <c r="E4780" s="3" t="s">
        <v>260</v>
      </c>
      <c r="F4780" s="3" t="s">
        <v>269</v>
      </c>
      <c r="G4780" s="5">
        <v>0</v>
      </c>
      <c r="H4780" s="6" t="s">
        <v>63</v>
      </c>
      <c r="I4780" s="3" t="s">
        <v>45</v>
      </c>
    </row>
    <row r="4781" spans="1:9" ht="48" customHeight="1">
      <c r="A4781" s="3" t="s">
        <v>40</v>
      </c>
      <c r="B4781" s="3" t="s">
        <v>39</v>
      </c>
      <c r="C4781" s="4">
        <v>46235</v>
      </c>
      <c r="D4781" s="4">
        <v>46265</v>
      </c>
      <c r="E4781" s="3" t="s">
        <v>260</v>
      </c>
      <c r="F4781" s="3" t="s">
        <v>279</v>
      </c>
      <c r="G4781" s="5">
        <v>0</v>
      </c>
      <c r="H4781" s="6" t="s">
        <v>63</v>
      </c>
      <c r="I4781" s="3" t="s">
        <v>45</v>
      </c>
    </row>
    <row r="4782" spans="1:9" ht="48" customHeight="1">
      <c r="A4782" s="3" t="s">
        <v>40</v>
      </c>
      <c r="B4782" s="3" t="s">
        <v>39</v>
      </c>
      <c r="C4782" s="4">
        <v>46235</v>
      </c>
      <c r="D4782" s="4">
        <v>46265</v>
      </c>
      <c r="E4782" s="3" t="s">
        <v>260</v>
      </c>
      <c r="F4782" s="3" t="s">
        <v>270</v>
      </c>
      <c r="G4782" s="5">
        <v>0</v>
      </c>
      <c r="H4782" s="6" t="s">
        <v>63</v>
      </c>
      <c r="I4782" s="3" t="s">
        <v>45</v>
      </c>
    </row>
    <row r="4783" spans="1:9" ht="48" customHeight="1">
      <c r="A4783" s="3" t="s">
        <v>40</v>
      </c>
      <c r="B4783" s="3" t="s">
        <v>39</v>
      </c>
      <c r="C4783" s="4">
        <v>46235</v>
      </c>
      <c r="D4783" s="4">
        <v>46265</v>
      </c>
      <c r="E4783" s="3" t="s">
        <v>260</v>
      </c>
      <c r="F4783" s="3" t="s">
        <v>280</v>
      </c>
      <c r="G4783" s="5">
        <v>0</v>
      </c>
      <c r="H4783" s="6" t="s">
        <v>63</v>
      </c>
      <c r="I4783" s="3" t="s">
        <v>45</v>
      </c>
    </row>
    <row r="4784" spans="1:9" ht="48" customHeight="1">
      <c r="A4784" s="3" t="s">
        <v>40</v>
      </c>
      <c r="B4784" s="3" t="s">
        <v>39</v>
      </c>
      <c r="C4784" s="4">
        <v>46235</v>
      </c>
      <c r="D4784" s="4">
        <v>46265</v>
      </c>
      <c r="E4784" s="3" t="s">
        <v>260</v>
      </c>
      <c r="F4784" s="3" t="s">
        <v>271</v>
      </c>
      <c r="G4784" s="5">
        <v>0</v>
      </c>
      <c r="H4784" s="6" t="s">
        <v>63</v>
      </c>
      <c r="I4784" s="3" t="s">
        <v>45</v>
      </c>
    </row>
    <row r="4785" spans="1:9" ht="48" customHeight="1">
      <c r="A4785" s="3" t="s">
        <v>40</v>
      </c>
      <c r="B4785" s="3" t="s">
        <v>39</v>
      </c>
      <c r="C4785" s="4">
        <v>46235</v>
      </c>
      <c r="D4785" s="4">
        <v>46265</v>
      </c>
      <c r="E4785" s="3" t="s">
        <v>260</v>
      </c>
      <c r="F4785" s="3" t="s">
        <v>281</v>
      </c>
      <c r="G4785" s="5">
        <v>0</v>
      </c>
      <c r="H4785" s="6" t="s">
        <v>63</v>
      </c>
      <c r="I4785" s="3" t="s">
        <v>45</v>
      </c>
    </row>
    <row r="4786" spans="1:9" ht="48" customHeight="1">
      <c r="A4786" s="3" t="s">
        <v>40</v>
      </c>
      <c r="B4786" s="3" t="s">
        <v>39</v>
      </c>
      <c r="C4786" s="4">
        <v>46235</v>
      </c>
      <c r="D4786" s="4">
        <v>46265</v>
      </c>
      <c r="E4786" s="3" t="s">
        <v>260</v>
      </c>
      <c r="F4786" s="3" t="s">
        <v>272</v>
      </c>
      <c r="G4786" s="5">
        <v>0</v>
      </c>
      <c r="H4786" s="6" t="s">
        <v>63</v>
      </c>
      <c r="I4786" s="3" t="s">
        <v>45</v>
      </c>
    </row>
    <row r="4787" spans="1:9" ht="48" customHeight="1">
      <c r="A4787" s="3" t="s">
        <v>40</v>
      </c>
      <c r="B4787" s="3" t="s">
        <v>39</v>
      </c>
      <c r="C4787" s="4">
        <v>46235</v>
      </c>
      <c r="D4787" s="4">
        <v>46265</v>
      </c>
      <c r="E4787" s="3" t="s">
        <v>260</v>
      </c>
      <c r="F4787" s="3" t="s">
        <v>282</v>
      </c>
      <c r="G4787" s="5">
        <v>0</v>
      </c>
      <c r="H4787" s="6" t="s">
        <v>63</v>
      </c>
      <c r="I4787" s="3" t="s">
        <v>45</v>
      </c>
    </row>
    <row r="4788" spans="1:9" ht="48" customHeight="1">
      <c r="A4788" s="3" t="s">
        <v>40</v>
      </c>
      <c r="B4788" s="3" t="s">
        <v>39</v>
      </c>
      <c r="C4788" s="4">
        <v>46235</v>
      </c>
      <c r="D4788" s="4">
        <v>46265</v>
      </c>
      <c r="E4788" s="3" t="s">
        <v>260</v>
      </c>
      <c r="F4788" s="3" t="s">
        <v>283</v>
      </c>
      <c r="G4788" s="5">
        <v>0</v>
      </c>
      <c r="H4788" s="6" t="s">
        <v>63</v>
      </c>
      <c r="I4788" s="3" t="s">
        <v>45</v>
      </c>
    </row>
    <row r="4789" spans="1:9" ht="48" customHeight="1">
      <c r="A4789" s="3" t="s">
        <v>40</v>
      </c>
      <c r="B4789" s="3" t="s">
        <v>39</v>
      </c>
      <c r="C4789" s="4">
        <v>46235</v>
      </c>
      <c r="D4789" s="4">
        <v>46265</v>
      </c>
      <c r="E4789" s="3" t="s">
        <v>260</v>
      </c>
      <c r="F4789" s="3" t="s">
        <v>284</v>
      </c>
      <c r="G4789" s="5">
        <v>0</v>
      </c>
      <c r="H4789" s="6" t="s">
        <v>63</v>
      </c>
      <c r="I4789" s="3" t="s">
        <v>45</v>
      </c>
    </row>
    <row r="4790" spans="1:9" ht="48" customHeight="1">
      <c r="A4790" s="3" t="s">
        <v>40</v>
      </c>
      <c r="B4790" s="3" t="s">
        <v>39</v>
      </c>
      <c r="C4790" s="4">
        <v>46235</v>
      </c>
      <c r="D4790" s="4">
        <v>46265</v>
      </c>
      <c r="E4790" s="3" t="s">
        <v>260</v>
      </c>
      <c r="F4790" s="3" t="s">
        <v>285</v>
      </c>
      <c r="G4790" s="5">
        <v>0</v>
      </c>
      <c r="H4790" s="6" t="s">
        <v>63</v>
      </c>
      <c r="I4790" s="3" t="s">
        <v>45</v>
      </c>
    </row>
    <row r="4791" spans="1:9" ht="48" customHeight="1">
      <c r="A4791" s="3" t="s">
        <v>40</v>
      </c>
      <c r="B4791" s="3" t="s">
        <v>39</v>
      </c>
      <c r="C4791" s="4">
        <v>46235</v>
      </c>
      <c r="D4791" s="4">
        <v>46265</v>
      </c>
      <c r="E4791" s="3" t="s">
        <v>379</v>
      </c>
      <c r="F4791" s="3" t="s">
        <v>265</v>
      </c>
      <c r="G4791" s="5">
        <v>3.0000000000000001E-3</v>
      </c>
      <c r="H4791" s="6" t="s">
        <v>63</v>
      </c>
      <c r="I4791" s="3" t="s">
        <v>45</v>
      </c>
    </row>
    <row r="4792" spans="1:9" ht="48" customHeight="1">
      <c r="A4792" s="3" t="s">
        <v>40</v>
      </c>
      <c r="B4792" s="3" t="s">
        <v>39</v>
      </c>
      <c r="C4792" s="4">
        <v>46235</v>
      </c>
      <c r="D4792" s="4">
        <v>46265</v>
      </c>
      <c r="E4792" s="3" t="s">
        <v>379</v>
      </c>
      <c r="F4792" s="3" t="s">
        <v>262</v>
      </c>
      <c r="G4792" s="5">
        <v>3.0000000000000001E-3</v>
      </c>
      <c r="H4792" s="6" t="s">
        <v>63</v>
      </c>
      <c r="I4792" s="3" t="s">
        <v>45</v>
      </c>
    </row>
    <row r="4793" spans="1:9" ht="48" customHeight="1">
      <c r="A4793" s="3" t="s">
        <v>40</v>
      </c>
      <c r="B4793" s="3" t="s">
        <v>39</v>
      </c>
      <c r="C4793" s="4">
        <v>46235</v>
      </c>
      <c r="D4793" s="4">
        <v>46265</v>
      </c>
      <c r="E4793" s="3" t="s">
        <v>379</v>
      </c>
      <c r="F4793" s="3" t="s">
        <v>230</v>
      </c>
      <c r="G4793" s="5">
        <v>2E-3</v>
      </c>
      <c r="H4793" s="6" t="s">
        <v>63</v>
      </c>
      <c r="I4793" s="3" t="s">
        <v>45</v>
      </c>
    </row>
    <row r="4794" spans="1:9" ht="48" customHeight="1">
      <c r="A4794" s="3" t="s">
        <v>40</v>
      </c>
      <c r="B4794" s="3" t="s">
        <v>39</v>
      </c>
      <c r="C4794" s="4">
        <v>46235</v>
      </c>
      <c r="D4794" s="4">
        <v>46265</v>
      </c>
      <c r="E4794" s="3" t="s">
        <v>379</v>
      </c>
      <c r="F4794" s="3" t="s">
        <v>234</v>
      </c>
      <c r="G4794" s="5">
        <v>2E-3</v>
      </c>
      <c r="H4794" s="6" t="s">
        <v>63</v>
      </c>
      <c r="I4794" s="3" t="s">
        <v>45</v>
      </c>
    </row>
    <row r="4795" spans="1:9" ht="48" customHeight="1">
      <c r="A4795" s="3" t="s">
        <v>40</v>
      </c>
      <c r="B4795" s="3" t="s">
        <v>39</v>
      </c>
      <c r="C4795" s="4">
        <v>46235</v>
      </c>
      <c r="D4795" s="4">
        <v>46265</v>
      </c>
      <c r="E4795" s="3" t="s">
        <v>379</v>
      </c>
      <c r="F4795" s="3" t="s">
        <v>380</v>
      </c>
      <c r="G4795" s="5">
        <v>2E-3</v>
      </c>
      <c r="H4795" s="6" t="s">
        <v>63</v>
      </c>
      <c r="I4795" s="3" t="s">
        <v>45</v>
      </c>
    </row>
    <row r="4796" spans="1:9" ht="48" customHeight="1">
      <c r="A4796" s="3" t="s">
        <v>40</v>
      </c>
      <c r="B4796" s="3" t="s">
        <v>39</v>
      </c>
      <c r="C4796" s="4">
        <v>46235</v>
      </c>
      <c r="D4796" s="4">
        <v>46265</v>
      </c>
      <c r="E4796" s="3" t="s">
        <v>244</v>
      </c>
      <c r="F4796" s="3" t="s">
        <v>248</v>
      </c>
      <c r="G4796" s="5">
        <v>2E-3</v>
      </c>
      <c r="H4796" s="6" t="s">
        <v>63</v>
      </c>
      <c r="I4796" s="3" t="s">
        <v>45</v>
      </c>
    </row>
    <row r="4797" spans="1:9" ht="48" customHeight="1">
      <c r="A4797" s="3" t="s">
        <v>40</v>
      </c>
      <c r="B4797" s="3" t="s">
        <v>39</v>
      </c>
      <c r="C4797" s="4">
        <v>46235</v>
      </c>
      <c r="D4797" s="4">
        <v>46265</v>
      </c>
      <c r="E4797" s="3" t="s">
        <v>244</v>
      </c>
      <c r="F4797" s="3" t="s">
        <v>247</v>
      </c>
      <c r="G4797" s="5">
        <v>2E-3</v>
      </c>
      <c r="H4797" s="6" t="s">
        <v>63</v>
      </c>
      <c r="I4797" s="3" t="s">
        <v>45</v>
      </c>
    </row>
    <row r="4798" spans="1:9" ht="48" customHeight="1">
      <c r="A4798" s="3" t="s">
        <v>40</v>
      </c>
      <c r="B4798" s="3" t="s">
        <v>39</v>
      </c>
      <c r="C4798" s="4">
        <v>46235</v>
      </c>
      <c r="D4798" s="4">
        <v>46265</v>
      </c>
      <c r="E4798" s="3" t="s">
        <v>244</v>
      </c>
      <c r="F4798" s="3" t="s">
        <v>245</v>
      </c>
      <c r="G4798" s="5">
        <v>2E-3</v>
      </c>
      <c r="H4798" s="6" t="s">
        <v>63</v>
      </c>
      <c r="I4798" s="3" t="s">
        <v>45</v>
      </c>
    </row>
    <row r="4799" spans="1:9" ht="48" customHeight="1">
      <c r="A4799" s="3" t="s">
        <v>40</v>
      </c>
      <c r="B4799" s="3" t="s">
        <v>39</v>
      </c>
      <c r="C4799" s="4">
        <v>46235</v>
      </c>
      <c r="D4799" s="4">
        <v>46265</v>
      </c>
      <c r="E4799" s="3" t="s">
        <v>244</v>
      </c>
      <c r="F4799" s="3" t="s">
        <v>246</v>
      </c>
      <c r="G4799" s="5">
        <v>2E-3</v>
      </c>
      <c r="H4799" s="6" t="s">
        <v>63</v>
      </c>
      <c r="I4799" s="3" t="s">
        <v>45</v>
      </c>
    </row>
    <row r="4800" spans="1:9" ht="48" customHeight="1">
      <c r="A4800" s="3" t="s">
        <v>40</v>
      </c>
      <c r="B4800" s="3" t="s">
        <v>39</v>
      </c>
      <c r="C4800" s="4">
        <v>46235</v>
      </c>
      <c r="D4800" s="4">
        <v>46265</v>
      </c>
      <c r="E4800" s="3" t="s">
        <v>244</v>
      </c>
      <c r="F4800" s="3" t="s">
        <v>249</v>
      </c>
      <c r="G4800" s="5">
        <v>1E-3</v>
      </c>
      <c r="H4800" s="6" t="s">
        <v>63</v>
      </c>
      <c r="I4800" s="3" t="s">
        <v>45</v>
      </c>
    </row>
    <row r="4801" spans="1:9" ht="48" customHeight="1">
      <c r="A4801" s="3" t="s">
        <v>40</v>
      </c>
      <c r="B4801" s="3" t="s">
        <v>39</v>
      </c>
      <c r="C4801" s="4">
        <v>46235</v>
      </c>
      <c r="D4801" s="4">
        <v>46265</v>
      </c>
      <c r="E4801" s="3" t="s">
        <v>244</v>
      </c>
      <c r="F4801" s="3" t="s">
        <v>250</v>
      </c>
      <c r="G4801" s="5">
        <v>0</v>
      </c>
      <c r="H4801" s="6" t="s">
        <v>63</v>
      </c>
      <c r="I4801" s="3" t="s">
        <v>45</v>
      </c>
    </row>
    <row r="4802" spans="1:9" ht="48" customHeight="1">
      <c r="A4802" s="3" t="s">
        <v>40</v>
      </c>
      <c r="B4802" s="3" t="s">
        <v>39</v>
      </c>
      <c r="C4802" s="4">
        <v>46235</v>
      </c>
      <c r="D4802" s="4">
        <v>46265</v>
      </c>
      <c r="E4802" s="3" t="s">
        <v>244</v>
      </c>
      <c r="F4802" s="3" t="s">
        <v>251</v>
      </c>
      <c r="G4802" s="5">
        <v>0</v>
      </c>
      <c r="H4802" s="6" t="s">
        <v>63</v>
      </c>
      <c r="I4802" s="3" t="s">
        <v>45</v>
      </c>
    </row>
    <row r="4803" spans="1:9" ht="48" customHeight="1">
      <c r="A4803" s="3" t="s">
        <v>40</v>
      </c>
      <c r="B4803" s="3" t="s">
        <v>39</v>
      </c>
      <c r="C4803" s="4">
        <v>46235</v>
      </c>
      <c r="D4803" s="4">
        <v>46265</v>
      </c>
      <c r="E4803" s="3" t="s">
        <v>244</v>
      </c>
      <c r="F4803" s="3" t="s">
        <v>252</v>
      </c>
      <c r="G4803" s="5">
        <v>0</v>
      </c>
      <c r="H4803" s="6" t="s">
        <v>63</v>
      </c>
      <c r="I4803" s="3" t="s">
        <v>45</v>
      </c>
    </row>
    <row r="4804" spans="1:9" ht="48" customHeight="1">
      <c r="A4804" s="3" t="s">
        <v>40</v>
      </c>
      <c r="B4804" s="3" t="s">
        <v>39</v>
      </c>
      <c r="C4804" s="4">
        <v>46235</v>
      </c>
      <c r="D4804" s="4">
        <v>46265</v>
      </c>
      <c r="E4804" s="3" t="s">
        <v>244</v>
      </c>
      <c r="F4804" s="3" t="s">
        <v>255</v>
      </c>
      <c r="G4804" s="5">
        <v>0</v>
      </c>
      <c r="H4804" s="6" t="s">
        <v>63</v>
      </c>
      <c r="I4804" s="3" t="s">
        <v>45</v>
      </c>
    </row>
    <row r="4805" spans="1:9" ht="48" customHeight="1">
      <c r="A4805" s="3" t="s">
        <v>40</v>
      </c>
      <c r="B4805" s="3" t="s">
        <v>39</v>
      </c>
      <c r="C4805" s="4">
        <v>46235</v>
      </c>
      <c r="D4805" s="4">
        <v>46265</v>
      </c>
      <c r="E4805" s="3" t="s">
        <v>244</v>
      </c>
      <c r="F4805" s="3" t="s">
        <v>256</v>
      </c>
      <c r="G4805" s="5">
        <v>0</v>
      </c>
      <c r="H4805" s="6" t="s">
        <v>63</v>
      </c>
      <c r="I4805" s="3" t="s">
        <v>45</v>
      </c>
    </row>
    <row r="4806" spans="1:9" ht="48" customHeight="1">
      <c r="A4806" s="3" t="s">
        <v>40</v>
      </c>
      <c r="B4806" s="3" t="s">
        <v>39</v>
      </c>
      <c r="C4806" s="4">
        <v>46235</v>
      </c>
      <c r="D4806" s="4">
        <v>46265</v>
      </c>
      <c r="E4806" s="3" t="s">
        <v>244</v>
      </c>
      <c r="F4806" s="3" t="s">
        <v>257</v>
      </c>
      <c r="G4806" s="5">
        <v>0</v>
      </c>
      <c r="H4806" s="6" t="s">
        <v>63</v>
      </c>
      <c r="I4806" s="3" t="s">
        <v>45</v>
      </c>
    </row>
    <row r="4807" spans="1:9" ht="48" customHeight="1">
      <c r="A4807" s="3" t="s">
        <v>40</v>
      </c>
      <c r="B4807" s="3" t="s">
        <v>39</v>
      </c>
      <c r="C4807" s="4">
        <v>46235</v>
      </c>
      <c r="D4807" s="4">
        <v>46265</v>
      </c>
      <c r="E4807" s="3" t="s">
        <v>244</v>
      </c>
      <c r="F4807" s="3" t="s">
        <v>258</v>
      </c>
      <c r="G4807" s="5">
        <v>0</v>
      </c>
      <c r="H4807" s="6" t="s">
        <v>63</v>
      </c>
      <c r="I4807" s="3" t="s">
        <v>45</v>
      </c>
    </row>
    <row r="4808" spans="1:9" ht="48" customHeight="1">
      <c r="A4808" s="3" t="s">
        <v>40</v>
      </c>
      <c r="B4808" s="3" t="s">
        <v>39</v>
      </c>
      <c r="C4808" s="4">
        <v>46235</v>
      </c>
      <c r="D4808" s="4">
        <v>46265</v>
      </c>
      <c r="E4808" s="3" t="s">
        <v>244</v>
      </c>
      <c r="F4808" s="3" t="s">
        <v>259</v>
      </c>
      <c r="G4808" s="5">
        <v>0</v>
      </c>
      <c r="H4808" s="6" t="s">
        <v>63</v>
      </c>
      <c r="I4808" s="3" t="s">
        <v>45</v>
      </c>
    </row>
    <row r="4809" spans="1:9" ht="48" customHeight="1">
      <c r="A4809" s="3" t="s">
        <v>40</v>
      </c>
      <c r="B4809" s="3" t="s">
        <v>39</v>
      </c>
      <c r="C4809" s="4">
        <v>46235</v>
      </c>
      <c r="D4809" s="4">
        <v>46265</v>
      </c>
      <c r="E4809" s="3" t="s">
        <v>244</v>
      </c>
      <c r="F4809" s="3" t="s">
        <v>253</v>
      </c>
      <c r="G4809" s="5">
        <v>0</v>
      </c>
      <c r="H4809" s="6" t="s">
        <v>63</v>
      </c>
      <c r="I4809" s="3" t="s">
        <v>45</v>
      </c>
    </row>
    <row r="4810" spans="1:9" ht="48" customHeight="1">
      <c r="A4810" s="3" t="s">
        <v>40</v>
      </c>
      <c r="B4810" s="3" t="s">
        <v>39</v>
      </c>
      <c r="C4810" s="4">
        <v>46235</v>
      </c>
      <c r="D4810" s="4">
        <v>46265</v>
      </c>
      <c r="E4810" s="3" t="s">
        <v>244</v>
      </c>
      <c r="F4810" s="3" t="s">
        <v>254</v>
      </c>
      <c r="G4810" s="5">
        <v>0</v>
      </c>
      <c r="H4810" s="6" t="s">
        <v>63</v>
      </c>
      <c r="I4810" s="3" t="s">
        <v>45</v>
      </c>
    </row>
    <row r="4811" spans="1:9" ht="48" customHeight="1">
      <c r="A4811" s="3" t="s">
        <v>40</v>
      </c>
      <c r="B4811" s="3" t="s">
        <v>39</v>
      </c>
      <c r="C4811" s="4">
        <v>46235</v>
      </c>
      <c r="D4811" s="4">
        <v>46265</v>
      </c>
      <c r="E4811" s="3" t="s">
        <v>301</v>
      </c>
      <c r="F4811" s="3" t="s">
        <v>301</v>
      </c>
      <c r="G4811" s="5">
        <v>6.0000000000000001E-3</v>
      </c>
      <c r="H4811" s="6" t="s">
        <v>63</v>
      </c>
      <c r="I4811" s="3" t="s">
        <v>45</v>
      </c>
    </row>
    <row r="4812" spans="1:9" ht="48" customHeight="1">
      <c r="A4812" s="3" t="s">
        <v>40</v>
      </c>
      <c r="B4812" s="3" t="s">
        <v>39</v>
      </c>
      <c r="C4812" s="4">
        <v>46235</v>
      </c>
      <c r="D4812" s="4">
        <v>46265</v>
      </c>
      <c r="E4812" s="3" t="s">
        <v>381</v>
      </c>
      <c r="F4812" s="3" t="s">
        <v>382</v>
      </c>
      <c r="G4812" s="5">
        <v>2E-3</v>
      </c>
      <c r="H4812" s="6" t="s">
        <v>63</v>
      </c>
      <c r="I4812" s="3" t="s">
        <v>45</v>
      </c>
    </row>
    <row r="4813" spans="1:9" ht="48" customHeight="1">
      <c r="A4813" s="3" t="s">
        <v>40</v>
      </c>
      <c r="B4813" s="3" t="s">
        <v>39</v>
      </c>
      <c r="C4813" s="4">
        <v>46235</v>
      </c>
      <c r="D4813" s="4">
        <v>46265</v>
      </c>
      <c r="E4813" s="3" t="s">
        <v>381</v>
      </c>
      <c r="F4813" s="3" t="s">
        <v>383</v>
      </c>
      <c r="G4813" s="5">
        <v>1E-3</v>
      </c>
      <c r="H4813" s="6" t="s">
        <v>63</v>
      </c>
      <c r="I4813" s="3" t="s">
        <v>45</v>
      </c>
    </row>
    <row r="4814" spans="1:9" ht="48" customHeight="1">
      <c r="A4814" s="3" t="s">
        <v>40</v>
      </c>
      <c r="B4814" s="3" t="s">
        <v>39</v>
      </c>
      <c r="C4814" s="4">
        <v>46266</v>
      </c>
      <c r="D4814" s="4">
        <v>46276</v>
      </c>
      <c r="E4814" s="3" t="s">
        <v>47</v>
      </c>
      <c r="F4814" s="3" t="s">
        <v>348</v>
      </c>
      <c r="G4814" s="5">
        <v>8.8000000000000009E-2</v>
      </c>
      <c r="H4814" s="6" t="s">
        <v>64</v>
      </c>
      <c r="I4814" s="3" t="s">
        <v>45</v>
      </c>
    </row>
    <row r="4815" spans="1:9" ht="48" customHeight="1">
      <c r="A4815" s="3" t="s">
        <v>40</v>
      </c>
      <c r="B4815" s="3" t="s">
        <v>39</v>
      </c>
      <c r="C4815" s="4">
        <v>46266</v>
      </c>
      <c r="D4815" s="4">
        <v>46276</v>
      </c>
      <c r="E4815" s="3" t="s">
        <v>47</v>
      </c>
      <c r="F4815" s="3" t="s">
        <v>358</v>
      </c>
      <c r="G4815" s="5">
        <v>6.5000000000000002E-2</v>
      </c>
      <c r="H4815" s="6" t="s">
        <v>64</v>
      </c>
      <c r="I4815" s="3" t="s">
        <v>45</v>
      </c>
    </row>
    <row r="4816" spans="1:9" ht="48" customHeight="1">
      <c r="A4816" s="3" t="s">
        <v>40</v>
      </c>
      <c r="B4816" s="3" t="s">
        <v>39</v>
      </c>
      <c r="C4816" s="4">
        <v>46266</v>
      </c>
      <c r="D4816" s="4">
        <v>46276</v>
      </c>
      <c r="E4816" s="3" t="s">
        <v>47</v>
      </c>
      <c r="F4816" s="3" t="s">
        <v>357</v>
      </c>
      <c r="G4816" s="5">
        <v>3.4000000000000002E-2</v>
      </c>
      <c r="H4816" s="6" t="s">
        <v>64</v>
      </c>
      <c r="I4816" s="3" t="s">
        <v>45</v>
      </c>
    </row>
    <row r="4817" spans="1:9" ht="48" customHeight="1">
      <c r="A4817" s="3" t="s">
        <v>40</v>
      </c>
      <c r="B4817" s="3" t="s">
        <v>39</v>
      </c>
      <c r="C4817" s="4">
        <v>46266</v>
      </c>
      <c r="D4817" s="4">
        <v>46276</v>
      </c>
      <c r="E4817" s="3" t="s">
        <v>47</v>
      </c>
      <c r="F4817" s="3" t="s">
        <v>352</v>
      </c>
      <c r="G4817" s="5">
        <v>3.2000000000000001E-2</v>
      </c>
      <c r="H4817" s="6" t="s">
        <v>64</v>
      </c>
      <c r="I4817" s="3" t="s">
        <v>45</v>
      </c>
    </row>
    <row r="4818" spans="1:9" ht="48" customHeight="1">
      <c r="A4818" s="3" t="s">
        <v>40</v>
      </c>
      <c r="B4818" s="3" t="s">
        <v>39</v>
      </c>
      <c r="C4818" s="4">
        <v>46266</v>
      </c>
      <c r="D4818" s="4">
        <v>46276</v>
      </c>
      <c r="E4818" s="3" t="s">
        <v>47</v>
      </c>
      <c r="F4818" s="3" t="s">
        <v>349</v>
      </c>
      <c r="G4818" s="5">
        <v>1.9E-2</v>
      </c>
      <c r="H4818" s="6" t="s">
        <v>64</v>
      </c>
      <c r="I4818" s="3" t="s">
        <v>45</v>
      </c>
    </row>
    <row r="4819" spans="1:9" ht="48" customHeight="1">
      <c r="A4819" s="3" t="s">
        <v>40</v>
      </c>
      <c r="B4819" s="3" t="s">
        <v>39</v>
      </c>
      <c r="C4819" s="4">
        <v>46266</v>
      </c>
      <c r="D4819" s="4">
        <v>46276</v>
      </c>
      <c r="E4819" s="3" t="s">
        <v>47</v>
      </c>
      <c r="F4819" s="3" t="s">
        <v>350</v>
      </c>
      <c r="G4819" s="5">
        <v>1.3000000000000001E-2</v>
      </c>
      <c r="H4819" s="6" t="s">
        <v>64</v>
      </c>
      <c r="I4819" s="3" t="s">
        <v>45</v>
      </c>
    </row>
    <row r="4820" spans="1:9" ht="48" customHeight="1">
      <c r="A4820" s="3" t="s">
        <v>40</v>
      </c>
      <c r="B4820" s="3" t="s">
        <v>39</v>
      </c>
      <c r="C4820" s="4">
        <v>46266</v>
      </c>
      <c r="D4820" s="4">
        <v>46276</v>
      </c>
      <c r="E4820" s="3" t="s">
        <v>47</v>
      </c>
      <c r="F4820" s="3" t="s">
        <v>351</v>
      </c>
      <c r="G4820" s="5">
        <v>9.0000000000000011E-3</v>
      </c>
      <c r="H4820" s="6" t="s">
        <v>64</v>
      </c>
      <c r="I4820" s="3" t="s">
        <v>45</v>
      </c>
    </row>
    <row r="4821" spans="1:9" ht="48" customHeight="1">
      <c r="A4821" s="3" t="s">
        <v>40</v>
      </c>
      <c r="B4821" s="3" t="s">
        <v>39</v>
      </c>
      <c r="C4821" s="4">
        <v>46266</v>
      </c>
      <c r="D4821" s="4">
        <v>46276</v>
      </c>
      <c r="E4821" s="3" t="s">
        <v>47</v>
      </c>
      <c r="F4821" s="3" t="s">
        <v>354</v>
      </c>
      <c r="G4821" s="5">
        <v>6.9999999999999993E-3</v>
      </c>
      <c r="H4821" s="6" t="s">
        <v>64</v>
      </c>
      <c r="I4821" s="3" t="s">
        <v>45</v>
      </c>
    </row>
    <row r="4822" spans="1:9" ht="48" customHeight="1">
      <c r="A4822" s="3" t="s">
        <v>40</v>
      </c>
      <c r="B4822" s="3" t="s">
        <v>39</v>
      </c>
      <c r="C4822" s="4">
        <v>46266</v>
      </c>
      <c r="D4822" s="4">
        <v>46276</v>
      </c>
      <c r="E4822" s="3" t="s">
        <v>47</v>
      </c>
      <c r="F4822" s="3" t="s">
        <v>356</v>
      </c>
      <c r="G4822" s="5">
        <v>6.9999999999999993E-3</v>
      </c>
      <c r="H4822" s="6" t="s">
        <v>64</v>
      </c>
      <c r="I4822" s="3" t="s">
        <v>45</v>
      </c>
    </row>
    <row r="4823" spans="1:9" ht="48" customHeight="1">
      <c r="A4823" s="3" t="s">
        <v>40</v>
      </c>
      <c r="B4823" s="3" t="s">
        <v>39</v>
      </c>
      <c r="C4823" s="4">
        <v>46266</v>
      </c>
      <c r="D4823" s="4">
        <v>46276</v>
      </c>
      <c r="E4823" s="3" t="s">
        <v>47</v>
      </c>
      <c r="F4823" s="3" t="s">
        <v>353</v>
      </c>
      <c r="G4823" s="5">
        <v>3.0000000000000001E-3</v>
      </c>
      <c r="H4823" s="6" t="s">
        <v>64</v>
      </c>
      <c r="I4823" s="3" t="s">
        <v>45</v>
      </c>
    </row>
    <row r="4824" spans="1:9" ht="48" customHeight="1">
      <c r="A4824" s="3" t="s">
        <v>40</v>
      </c>
      <c r="B4824" s="3" t="s">
        <v>39</v>
      </c>
      <c r="C4824" s="4">
        <v>46266</v>
      </c>
      <c r="D4824" s="4">
        <v>46276</v>
      </c>
      <c r="E4824" s="3" t="s">
        <v>47</v>
      </c>
      <c r="F4824" s="3" t="s">
        <v>355</v>
      </c>
      <c r="G4824" s="5">
        <v>3.0000000000000001E-3</v>
      </c>
      <c r="H4824" s="6" t="s">
        <v>64</v>
      </c>
      <c r="I4824" s="3" t="s">
        <v>45</v>
      </c>
    </row>
    <row r="4825" spans="1:9" ht="48" customHeight="1">
      <c r="A4825" s="3" t="s">
        <v>40</v>
      </c>
      <c r="B4825" s="3" t="s">
        <v>39</v>
      </c>
      <c r="C4825" s="4">
        <v>46266</v>
      </c>
      <c r="D4825" s="4">
        <v>46276</v>
      </c>
      <c r="E4825" s="3" t="s">
        <v>47</v>
      </c>
      <c r="F4825" s="3" t="s">
        <v>362</v>
      </c>
      <c r="G4825" s="5">
        <v>2E-3</v>
      </c>
      <c r="H4825" s="6" t="s">
        <v>64</v>
      </c>
      <c r="I4825" s="3" t="s">
        <v>45</v>
      </c>
    </row>
    <row r="4826" spans="1:9" ht="48" customHeight="1">
      <c r="A4826" s="3" t="s">
        <v>40</v>
      </c>
      <c r="B4826" s="3" t="s">
        <v>39</v>
      </c>
      <c r="C4826" s="4">
        <v>46266</v>
      </c>
      <c r="D4826" s="4">
        <v>46276</v>
      </c>
      <c r="E4826" s="3" t="s">
        <v>47</v>
      </c>
      <c r="F4826" s="3" t="s">
        <v>363</v>
      </c>
      <c r="G4826" s="5">
        <v>2E-3</v>
      </c>
      <c r="H4826" s="6" t="s">
        <v>64</v>
      </c>
      <c r="I4826" s="3" t="s">
        <v>45</v>
      </c>
    </row>
    <row r="4827" spans="1:9" ht="48" customHeight="1">
      <c r="A4827" s="3" t="s">
        <v>40</v>
      </c>
      <c r="B4827" s="3" t="s">
        <v>39</v>
      </c>
      <c r="C4827" s="4">
        <v>46266</v>
      </c>
      <c r="D4827" s="4">
        <v>46276</v>
      </c>
      <c r="E4827" s="3" t="s">
        <v>47</v>
      </c>
      <c r="F4827" s="3" t="s">
        <v>359</v>
      </c>
      <c r="G4827" s="5">
        <v>1E-3</v>
      </c>
      <c r="H4827" s="6" t="s">
        <v>64</v>
      </c>
      <c r="I4827" s="3" t="s">
        <v>45</v>
      </c>
    </row>
    <row r="4828" spans="1:9" ht="48" customHeight="1">
      <c r="A4828" s="3" t="s">
        <v>40</v>
      </c>
      <c r="B4828" s="3" t="s">
        <v>39</v>
      </c>
      <c r="C4828" s="4">
        <v>46266</v>
      </c>
      <c r="D4828" s="4">
        <v>46276</v>
      </c>
      <c r="E4828" s="3" t="s">
        <v>47</v>
      </c>
      <c r="F4828" s="3" t="s">
        <v>360</v>
      </c>
      <c r="G4828" s="5">
        <v>1E-3</v>
      </c>
      <c r="H4828" s="6" t="s">
        <v>64</v>
      </c>
      <c r="I4828" s="3" t="s">
        <v>45</v>
      </c>
    </row>
    <row r="4829" spans="1:9" ht="48" customHeight="1">
      <c r="A4829" s="3" t="s">
        <v>40</v>
      </c>
      <c r="B4829" s="3" t="s">
        <v>39</v>
      </c>
      <c r="C4829" s="4">
        <v>46266</v>
      </c>
      <c r="D4829" s="4">
        <v>46276</v>
      </c>
      <c r="E4829" s="3" t="s">
        <v>47</v>
      </c>
      <c r="F4829" s="3" t="s">
        <v>361</v>
      </c>
      <c r="G4829" s="5">
        <v>1E-3</v>
      </c>
      <c r="H4829" s="6" t="s">
        <v>64</v>
      </c>
      <c r="I4829" s="3" t="s">
        <v>45</v>
      </c>
    </row>
    <row r="4830" spans="1:9" ht="48" customHeight="1">
      <c r="A4830" s="3" t="s">
        <v>40</v>
      </c>
      <c r="B4830" s="3" t="s">
        <v>39</v>
      </c>
      <c r="C4830" s="4">
        <v>46266</v>
      </c>
      <c r="D4830" s="4">
        <v>46276</v>
      </c>
      <c r="E4830" s="3" t="s">
        <v>47</v>
      </c>
      <c r="F4830" s="3" t="s">
        <v>318</v>
      </c>
      <c r="G4830" s="5">
        <v>1E-3</v>
      </c>
      <c r="H4830" s="6" t="s">
        <v>64</v>
      </c>
      <c r="I4830" s="3" t="s">
        <v>45</v>
      </c>
    </row>
    <row r="4831" spans="1:9" ht="48" customHeight="1">
      <c r="A4831" s="3" t="s">
        <v>40</v>
      </c>
      <c r="B4831" s="3" t="s">
        <v>39</v>
      </c>
      <c r="C4831" s="4">
        <v>46266</v>
      </c>
      <c r="D4831" s="4">
        <v>46276</v>
      </c>
      <c r="E4831" s="3" t="s">
        <v>161</v>
      </c>
      <c r="F4831" s="3" t="s">
        <v>172</v>
      </c>
      <c r="G4831" s="5">
        <v>1.2E-2</v>
      </c>
      <c r="H4831" s="6" t="s">
        <v>64</v>
      </c>
      <c r="I4831" s="3" t="s">
        <v>45</v>
      </c>
    </row>
    <row r="4832" spans="1:9" ht="48" customHeight="1">
      <c r="A4832" s="3" t="s">
        <v>40</v>
      </c>
      <c r="B4832" s="3" t="s">
        <v>39</v>
      </c>
      <c r="C4832" s="4">
        <v>46266</v>
      </c>
      <c r="D4832" s="4">
        <v>46276</v>
      </c>
      <c r="E4832" s="3" t="s">
        <v>161</v>
      </c>
      <c r="F4832" s="3" t="s">
        <v>162</v>
      </c>
      <c r="G4832" s="5">
        <v>1.1000000000000001E-2</v>
      </c>
      <c r="H4832" s="6" t="s">
        <v>64</v>
      </c>
      <c r="I4832" s="3" t="s">
        <v>45</v>
      </c>
    </row>
    <row r="4833" spans="1:9" ht="48" customHeight="1">
      <c r="A4833" s="3" t="s">
        <v>40</v>
      </c>
      <c r="B4833" s="3" t="s">
        <v>39</v>
      </c>
      <c r="C4833" s="4">
        <v>46266</v>
      </c>
      <c r="D4833" s="4">
        <v>46276</v>
      </c>
      <c r="E4833" s="3" t="s">
        <v>161</v>
      </c>
      <c r="F4833" s="3" t="s">
        <v>166</v>
      </c>
      <c r="G4833" s="5">
        <v>0.01</v>
      </c>
      <c r="H4833" s="6" t="s">
        <v>64</v>
      </c>
      <c r="I4833" s="3" t="s">
        <v>45</v>
      </c>
    </row>
    <row r="4834" spans="1:9" ht="48" customHeight="1">
      <c r="A4834" s="3" t="s">
        <v>40</v>
      </c>
      <c r="B4834" s="3" t="s">
        <v>39</v>
      </c>
      <c r="C4834" s="4">
        <v>46266</v>
      </c>
      <c r="D4834" s="4">
        <v>46276</v>
      </c>
      <c r="E4834" s="3" t="s">
        <v>161</v>
      </c>
      <c r="F4834" s="3" t="s">
        <v>184</v>
      </c>
      <c r="G4834" s="5">
        <v>0.01</v>
      </c>
      <c r="H4834" s="6" t="s">
        <v>64</v>
      </c>
      <c r="I4834" s="3" t="s">
        <v>45</v>
      </c>
    </row>
    <row r="4835" spans="1:9" ht="48" customHeight="1">
      <c r="A4835" s="3" t="s">
        <v>40</v>
      </c>
      <c r="B4835" s="3" t="s">
        <v>39</v>
      </c>
      <c r="C4835" s="4">
        <v>46266</v>
      </c>
      <c r="D4835" s="4">
        <v>46276</v>
      </c>
      <c r="E4835" s="3" t="s">
        <v>161</v>
      </c>
      <c r="F4835" s="3" t="s">
        <v>163</v>
      </c>
      <c r="G4835" s="5">
        <v>8.0000000000000002E-3</v>
      </c>
      <c r="H4835" s="6" t="s">
        <v>64</v>
      </c>
      <c r="I4835" s="3" t="s">
        <v>45</v>
      </c>
    </row>
    <row r="4836" spans="1:9" ht="48" customHeight="1">
      <c r="A4836" s="3" t="s">
        <v>40</v>
      </c>
      <c r="B4836" s="3" t="s">
        <v>39</v>
      </c>
      <c r="C4836" s="4">
        <v>46266</v>
      </c>
      <c r="D4836" s="4">
        <v>46276</v>
      </c>
      <c r="E4836" s="3" t="s">
        <v>161</v>
      </c>
      <c r="F4836" s="3" t="s">
        <v>195</v>
      </c>
      <c r="G4836" s="5">
        <v>8.0000000000000002E-3</v>
      </c>
      <c r="H4836" s="6" t="s">
        <v>64</v>
      </c>
      <c r="I4836" s="3" t="s">
        <v>45</v>
      </c>
    </row>
    <row r="4837" spans="1:9" ht="48" customHeight="1">
      <c r="A4837" s="3" t="s">
        <v>40</v>
      </c>
      <c r="B4837" s="3" t="s">
        <v>39</v>
      </c>
      <c r="C4837" s="4">
        <v>46266</v>
      </c>
      <c r="D4837" s="4">
        <v>46276</v>
      </c>
      <c r="E4837" s="3" t="s">
        <v>161</v>
      </c>
      <c r="F4837" s="3" t="s">
        <v>385</v>
      </c>
      <c r="G4837" s="5">
        <v>8.0000000000000002E-3</v>
      </c>
      <c r="H4837" s="6" t="s">
        <v>64</v>
      </c>
      <c r="I4837" s="3" t="s">
        <v>45</v>
      </c>
    </row>
    <row r="4838" spans="1:9" ht="48" customHeight="1">
      <c r="A4838" s="3" t="s">
        <v>40</v>
      </c>
      <c r="B4838" s="3" t="s">
        <v>39</v>
      </c>
      <c r="C4838" s="4">
        <v>46266</v>
      </c>
      <c r="D4838" s="4">
        <v>46276</v>
      </c>
      <c r="E4838" s="3" t="s">
        <v>161</v>
      </c>
      <c r="F4838" s="3" t="s">
        <v>164</v>
      </c>
      <c r="G4838" s="5">
        <v>6.9999999999999993E-3</v>
      </c>
      <c r="H4838" s="6" t="s">
        <v>64</v>
      </c>
      <c r="I4838" s="3" t="s">
        <v>45</v>
      </c>
    </row>
    <row r="4839" spans="1:9" ht="48" customHeight="1">
      <c r="A4839" s="3" t="s">
        <v>40</v>
      </c>
      <c r="B4839" s="3" t="s">
        <v>39</v>
      </c>
      <c r="C4839" s="4">
        <v>46266</v>
      </c>
      <c r="D4839" s="4">
        <v>46276</v>
      </c>
      <c r="E4839" s="3" t="s">
        <v>161</v>
      </c>
      <c r="F4839" s="3" t="s">
        <v>168</v>
      </c>
      <c r="G4839" s="5">
        <v>6.9999999999999993E-3</v>
      </c>
      <c r="H4839" s="6" t="s">
        <v>64</v>
      </c>
      <c r="I4839" s="3" t="s">
        <v>45</v>
      </c>
    </row>
    <row r="4840" spans="1:9" ht="48" customHeight="1">
      <c r="A4840" s="3" t="s">
        <v>40</v>
      </c>
      <c r="B4840" s="3" t="s">
        <v>39</v>
      </c>
      <c r="C4840" s="4">
        <v>46266</v>
      </c>
      <c r="D4840" s="4">
        <v>46276</v>
      </c>
      <c r="E4840" s="3" t="s">
        <v>161</v>
      </c>
      <c r="F4840" s="3" t="s">
        <v>188</v>
      </c>
      <c r="G4840" s="5">
        <v>6.9999999999999993E-3</v>
      </c>
      <c r="H4840" s="6" t="s">
        <v>64</v>
      </c>
      <c r="I4840" s="3" t="s">
        <v>45</v>
      </c>
    </row>
    <row r="4841" spans="1:9" ht="48" customHeight="1">
      <c r="A4841" s="3" t="s">
        <v>40</v>
      </c>
      <c r="B4841" s="3" t="s">
        <v>39</v>
      </c>
      <c r="C4841" s="4">
        <v>46266</v>
      </c>
      <c r="D4841" s="4">
        <v>46276</v>
      </c>
      <c r="E4841" s="3" t="s">
        <v>161</v>
      </c>
      <c r="F4841" s="3" t="s">
        <v>180</v>
      </c>
      <c r="G4841" s="5">
        <v>6.9999999999999993E-3</v>
      </c>
      <c r="H4841" s="6" t="s">
        <v>64</v>
      </c>
      <c r="I4841" s="3" t="s">
        <v>45</v>
      </c>
    </row>
    <row r="4842" spans="1:9" ht="48" customHeight="1">
      <c r="A4842" s="3" t="s">
        <v>40</v>
      </c>
      <c r="B4842" s="3" t="s">
        <v>39</v>
      </c>
      <c r="C4842" s="4">
        <v>46266</v>
      </c>
      <c r="D4842" s="4">
        <v>46276</v>
      </c>
      <c r="E4842" s="3" t="s">
        <v>161</v>
      </c>
      <c r="F4842" s="3" t="s">
        <v>181</v>
      </c>
      <c r="G4842" s="5">
        <v>6.9999999999999993E-3</v>
      </c>
      <c r="H4842" s="6" t="s">
        <v>64</v>
      </c>
      <c r="I4842" s="3" t="s">
        <v>45</v>
      </c>
    </row>
    <row r="4843" spans="1:9" ht="48" customHeight="1">
      <c r="A4843" s="3" t="s">
        <v>40</v>
      </c>
      <c r="B4843" s="3" t="s">
        <v>39</v>
      </c>
      <c r="C4843" s="4">
        <v>46266</v>
      </c>
      <c r="D4843" s="4">
        <v>46276</v>
      </c>
      <c r="E4843" s="3" t="s">
        <v>161</v>
      </c>
      <c r="F4843" s="3" t="s">
        <v>173</v>
      </c>
      <c r="G4843" s="5">
        <v>6.9999999999999993E-3</v>
      </c>
      <c r="H4843" s="6" t="s">
        <v>64</v>
      </c>
      <c r="I4843" s="3" t="s">
        <v>45</v>
      </c>
    </row>
    <row r="4844" spans="1:9" ht="48" customHeight="1">
      <c r="A4844" s="3" t="s">
        <v>40</v>
      </c>
      <c r="B4844" s="3" t="s">
        <v>39</v>
      </c>
      <c r="C4844" s="4">
        <v>46266</v>
      </c>
      <c r="D4844" s="4">
        <v>46276</v>
      </c>
      <c r="E4844" s="3" t="s">
        <v>161</v>
      </c>
      <c r="F4844" s="3" t="s">
        <v>167</v>
      </c>
      <c r="G4844" s="5">
        <v>6.0000000000000001E-3</v>
      </c>
      <c r="H4844" s="6" t="s">
        <v>64</v>
      </c>
      <c r="I4844" s="3" t="s">
        <v>45</v>
      </c>
    </row>
    <row r="4845" spans="1:9" ht="48" customHeight="1">
      <c r="A4845" s="3" t="s">
        <v>40</v>
      </c>
      <c r="B4845" s="3" t="s">
        <v>39</v>
      </c>
      <c r="C4845" s="4">
        <v>46266</v>
      </c>
      <c r="D4845" s="4">
        <v>46276</v>
      </c>
      <c r="E4845" s="3" t="s">
        <v>161</v>
      </c>
      <c r="F4845" s="3" t="s">
        <v>191</v>
      </c>
      <c r="G4845" s="5">
        <v>6.0000000000000001E-3</v>
      </c>
      <c r="H4845" s="6" t="s">
        <v>64</v>
      </c>
      <c r="I4845" s="3" t="s">
        <v>45</v>
      </c>
    </row>
    <row r="4846" spans="1:9" ht="48" customHeight="1">
      <c r="A4846" s="3" t="s">
        <v>40</v>
      </c>
      <c r="B4846" s="3" t="s">
        <v>39</v>
      </c>
      <c r="C4846" s="4">
        <v>46266</v>
      </c>
      <c r="D4846" s="4">
        <v>46276</v>
      </c>
      <c r="E4846" s="3" t="s">
        <v>161</v>
      </c>
      <c r="F4846" s="3" t="s">
        <v>165</v>
      </c>
      <c r="G4846" s="5">
        <v>6.0000000000000001E-3</v>
      </c>
      <c r="H4846" s="6" t="s">
        <v>64</v>
      </c>
      <c r="I4846" s="3" t="s">
        <v>45</v>
      </c>
    </row>
    <row r="4847" spans="1:9" ht="48" customHeight="1">
      <c r="A4847" s="3" t="s">
        <v>40</v>
      </c>
      <c r="B4847" s="3" t="s">
        <v>39</v>
      </c>
      <c r="C4847" s="4">
        <v>46266</v>
      </c>
      <c r="D4847" s="4">
        <v>46276</v>
      </c>
      <c r="E4847" s="3" t="s">
        <v>161</v>
      </c>
      <c r="F4847" s="3" t="s">
        <v>171</v>
      </c>
      <c r="G4847" s="5">
        <v>6.0000000000000001E-3</v>
      </c>
      <c r="H4847" s="6" t="s">
        <v>64</v>
      </c>
      <c r="I4847" s="3" t="s">
        <v>45</v>
      </c>
    </row>
    <row r="4848" spans="1:9" ht="48" customHeight="1">
      <c r="A4848" s="3" t="s">
        <v>40</v>
      </c>
      <c r="B4848" s="3" t="s">
        <v>39</v>
      </c>
      <c r="C4848" s="4">
        <v>46266</v>
      </c>
      <c r="D4848" s="4">
        <v>46276</v>
      </c>
      <c r="E4848" s="3" t="s">
        <v>161</v>
      </c>
      <c r="F4848" s="3" t="s">
        <v>177</v>
      </c>
      <c r="G4848" s="5">
        <v>6.0000000000000001E-3</v>
      </c>
      <c r="H4848" s="6" t="s">
        <v>64</v>
      </c>
      <c r="I4848" s="3" t="s">
        <v>45</v>
      </c>
    </row>
    <row r="4849" spans="1:9" ht="48" customHeight="1">
      <c r="A4849" s="3" t="s">
        <v>40</v>
      </c>
      <c r="B4849" s="3" t="s">
        <v>39</v>
      </c>
      <c r="C4849" s="4">
        <v>46266</v>
      </c>
      <c r="D4849" s="4">
        <v>46276</v>
      </c>
      <c r="E4849" s="3" t="s">
        <v>161</v>
      </c>
      <c r="F4849" s="3" t="s">
        <v>178</v>
      </c>
      <c r="G4849" s="5">
        <v>6.0000000000000001E-3</v>
      </c>
      <c r="H4849" s="6" t="s">
        <v>64</v>
      </c>
      <c r="I4849" s="3" t="s">
        <v>45</v>
      </c>
    </row>
    <row r="4850" spans="1:9" ht="48" customHeight="1">
      <c r="A4850" s="3" t="s">
        <v>40</v>
      </c>
      <c r="B4850" s="3" t="s">
        <v>39</v>
      </c>
      <c r="C4850" s="4">
        <v>46266</v>
      </c>
      <c r="D4850" s="4">
        <v>46276</v>
      </c>
      <c r="E4850" s="3" t="s">
        <v>161</v>
      </c>
      <c r="F4850" s="3" t="s">
        <v>174</v>
      </c>
      <c r="G4850" s="5">
        <v>5.0000000000000001E-3</v>
      </c>
      <c r="H4850" s="6" t="s">
        <v>64</v>
      </c>
      <c r="I4850" s="3" t="s">
        <v>45</v>
      </c>
    </row>
    <row r="4851" spans="1:9" ht="48" customHeight="1">
      <c r="A4851" s="3" t="s">
        <v>40</v>
      </c>
      <c r="B4851" s="3" t="s">
        <v>39</v>
      </c>
      <c r="C4851" s="4">
        <v>46266</v>
      </c>
      <c r="D4851" s="4">
        <v>46276</v>
      </c>
      <c r="E4851" s="3" t="s">
        <v>161</v>
      </c>
      <c r="F4851" s="3" t="s">
        <v>169</v>
      </c>
      <c r="G4851" s="5">
        <v>5.0000000000000001E-3</v>
      </c>
      <c r="H4851" s="6" t="s">
        <v>64</v>
      </c>
      <c r="I4851" s="3" t="s">
        <v>45</v>
      </c>
    </row>
    <row r="4852" spans="1:9" ht="48" customHeight="1">
      <c r="A4852" s="3" t="s">
        <v>40</v>
      </c>
      <c r="B4852" s="3" t="s">
        <v>39</v>
      </c>
      <c r="C4852" s="4">
        <v>46266</v>
      </c>
      <c r="D4852" s="4">
        <v>46276</v>
      </c>
      <c r="E4852" s="3" t="s">
        <v>161</v>
      </c>
      <c r="F4852" s="3" t="s">
        <v>170</v>
      </c>
      <c r="G4852" s="5">
        <v>5.0000000000000001E-3</v>
      </c>
      <c r="H4852" s="6" t="s">
        <v>64</v>
      </c>
      <c r="I4852" s="3" t="s">
        <v>45</v>
      </c>
    </row>
    <row r="4853" spans="1:9" ht="48" customHeight="1">
      <c r="A4853" s="3" t="s">
        <v>40</v>
      </c>
      <c r="B4853" s="3" t="s">
        <v>39</v>
      </c>
      <c r="C4853" s="4">
        <v>46266</v>
      </c>
      <c r="D4853" s="4">
        <v>46276</v>
      </c>
      <c r="E4853" s="3" t="s">
        <v>161</v>
      </c>
      <c r="F4853" s="3" t="s">
        <v>182</v>
      </c>
      <c r="G4853" s="5">
        <v>5.0000000000000001E-3</v>
      </c>
      <c r="H4853" s="6" t="s">
        <v>64</v>
      </c>
      <c r="I4853" s="3" t="s">
        <v>45</v>
      </c>
    </row>
    <row r="4854" spans="1:9" ht="48" customHeight="1">
      <c r="A4854" s="3" t="s">
        <v>40</v>
      </c>
      <c r="B4854" s="3" t="s">
        <v>39</v>
      </c>
      <c r="C4854" s="4">
        <v>46266</v>
      </c>
      <c r="D4854" s="4">
        <v>46276</v>
      </c>
      <c r="E4854" s="3" t="s">
        <v>161</v>
      </c>
      <c r="F4854" s="3" t="s">
        <v>183</v>
      </c>
      <c r="G4854" s="5">
        <v>5.0000000000000001E-3</v>
      </c>
      <c r="H4854" s="6" t="s">
        <v>64</v>
      </c>
      <c r="I4854" s="3" t="s">
        <v>45</v>
      </c>
    </row>
    <row r="4855" spans="1:9" ht="48" customHeight="1">
      <c r="A4855" s="3" t="s">
        <v>40</v>
      </c>
      <c r="B4855" s="3" t="s">
        <v>39</v>
      </c>
      <c r="C4855" s="4">
        <v>46266</v>
      </c>
      <c r="D4855" s="4">
        <v>46276</v>
      </c>
      <c r="E4855" s="3" t="s">
        <v>161</v>
      </c>
      <c r="F4855" s="3" t="s">
        <v>200</v>
      </c>
      <c r="G4855" s="5">
        <v>5.0000000000000001E-3</v>
      </c>
      <c r="H4855" s="6" t="s">
        <v>64</v>
      </c>
      <c r="I4855" s="3" t="s">
        <v>45</v>
      </c>
    </row>
    <row r="4856" spans="1:9" ht="48" customHeight="1">
      <c r="A4856" s="3" t="s">
        <v>40</v>
      </c>
      <c r="B4856" s="3" t="s">
        <v>39</v>
      </c>
      <c r="C4856" s="4">
        <v>46266</v>
      </c>
      <c r="D4856" s="4">
        <v>46276</v>
      </c>
      <c r="E4856" s="3" t="s">
        <v>161</v>
      </c>
      <c r="F4856" s="3" t="s">
        <v>175</v>
      </c>
      <c r="G4856" s="5">
        <v>4.0000000000000001E-3</v>
      </c>
      <c r="H4856" s="6" t="s">
        <v>64</v>
      </c>
      <c r="I4856" s="3" t="s">
        <v>45</v>
      </c>
    </row>
    <row r="4857" spans="1:9" ht="48" customHeight="1">
      <c r="A4857" s="3" t="s">
        <v>40</v>
      </c>
      <c r="B4857" s="3" t="s">
        <v>39</v>
      </c>
      <c r="C4857" s="4">
        <v>46266</v>
      </c>
      <c r="D4857" s="4">
        <v>46276</v>
      </c>
      <c r="E4857" s="3" t="s">
        <v>161</v>
      </c>
      <c r="F4857" s="3" t="s">
        <v>189</v>
      </c>
      <c r="G4857" s="5">
        <v>4.0000000000000001E-3</v>
      </c>
      <c r="H4857" s="6" t="s">
        <v>64</v>
      </c>
      <c r="I4857" s="3" t="s">
        <v>45</v>
      </c>
    </row>
    <row r="4858" spans="1:9" ht="48" customHeight="1">
      <c r="A4858" s="3" t="s">
        <v>40</v>
      </c>
      <c r="B4858" s="3" t="s">
        <v>39</v>
      </c>
      <c r="C4858" s="4">
        <v>46266</v>
      </c>
      <c r="D4858" s="4">
        <v>46276</v>
      </c>
      <c r="E4858" s="3" t="s">
        <v>161</v>
      </c>
      <c r="F4858" s="3" t="s">
        <v>186</v>
      </c>
      <c r="G4858" s="5">
        <v>4.0000000000000001E-3</v>
      </c>
      <c r="H4858" s="6" t="s">
        <v>64</v>
      </c>
      <c r="I4858" s="3" t="s">
        <v>45</v>
      </c>
    </row>
    <row r="4859" spans="1:9" ht="48" customHeight="1">
      <c r="A4859" s="3" t="s">
        <v>40</v>
      </c>
      <c r="B4859" s="3" t="s">
        <v>39</v>
      </c>
      <c r="C4859" s="4">
        <v>46266</v>
      </c>
      <c r="D4859" s="4">
        <v>46276</v>
      </c>
      <c r="E4859" s="3" t="s">
        <v>161</v>
      </c>
      <c r="F4859" s="3" t="s">
        <v>187</v>
      </c>
      <c r="G4859" s="5">
        <v>4.0000000000000001E-3</v>
      </c>
      <c r="H4859" s="6" t="s">
        <v>64</v>
      </c>
      <c r="I4859" s="3" t="s">
        <v>45</v>
      </c>
    </row>
    <row r="4860" spans="1:9" ht="48" customHeight="1">
      <c r="A4860" s="3" t="s">
        <v>40</v>
      </c>
      <c r="B4860" s="3" t="s">
        <v>39</v>
      </c>
      <c r="C4860" s="4">
        <v>46266</v>
      </c>
      <c r="D4860" s="4">
        <v>46276</v>
      </c>
      <c r="E4860" s="3" t="s">
        <v>161</v>
      </c>
      <c r="F4860" s="3" t="s">
        <v>192</v>
      </c>
      <c r="G4860" s="5">
        <v>4.0000000000000001E-3</v>
      </c>
      <c r="H4860" s="6" t="s">
        <v>64</v>
      </c>
      <c r="I4860" s="3" t="s">
        <v>45</v>
      </c>
    </row>
    <row r="4861" spans="1:9" ht="48" customHeight="1">
      <c r="A4861" s="3" t="s">
        <v>40</v>
      </c>
      <c r="B4861" s="3" t="s">
        <v>39</v>
      </c>
      <c r="C4861" s="4">
        <v>46266</v>
      </c>
      <c r="D4861" s="4">
        <v>46276</v>
      </c>
      <c r="E4861" s="3" t="s">
        <v>161</v>
      </c>
      <c r="F4861" s="3" t="s">
        <v>179</v>
      </c>
      <c r="G4861" s="5">
        <v>4.0000000000000001E-3</v>
      </c>
      <c r="H4861" s="6" t="s">
        <v>64</v>
      </c>
      <c r="I4861" s="3" t="s">
        <v>45</v>
      </c>
    </row>
    <row r="4862" spans="1:9" ht="48" customHeight="1">
      <c r="A4862" s="3" t="s">
        <v>40</v>
      </c>
      <c r="B4862" s="3" t="s">
        <v>39</v>
      </c>
      <c r="C4862" s="4">
        <v>46266</v>
      </c>
      <c r="D4862" s="4">
        <v>46276</v>
      </c>
      <c r="E4862" s="3" t="s">
        <v>161</v>
      </c>
      <c r="F4862" s="3" t="s">
        <v>384</v>
      </c>
      <c r="G4862" s="5">
        <v>4.0000000000000001E-3</v>
      </c>
      <c r="H4862" s="6" t="s">
        <v>64</v>
      </c>
      <c r="I4862" s="3" t="s">
        <v>45</v>
      </c>
    </row>
    <row r="4863" spans="1:9" ht="48" customHeight="1">
      <c r="A4863" s="3" t="s">
        <v>40</v>
      </c>
      <c r="B4863" s="3" t="s">
        <v>39</v>
      </c>
      <c r="C4863" s="4">
        <v>46266</v>
      </c>
      <c r="D4863" s="4">
        <v>46276</v>
      </c>
      <c r="E4863" s="3" t="s">
        <v>161</v>
      </c>
      <c r="F4863" s="3" t="s">
        <v>196</v>
      </c>
      <c r="G4863" s="5">
        <v>4.0000000000000001E-3</v>
      </c>
      <c r="H4863" s="6" t="s">
        <v>64</v>
      </c>
      <c r="I4863" s="3" t="s">
        <v>45</v>
      </c>
    </row>
    <row r="4864" spans="1:9" ht="48" customHeight="1">
      <c r="A4864" s="3" t="s">
        <v>40</v>
      </c>
      <c r="B4864" s="3" t="s">
        <v>39</v>
      </c>
      <c r="C4864" s="4">
        <v>46266</v>
      </c>
      <c r="D4864" s="4">
        <v>46276</v>
      </c>
      <c r="E4864" s="3" t="s">
        <v>161</v>
      </c>
      <c r="F4864" s="3" t="s">
        <v>201</v>
      </c>
      <c r="G4864" s="5">
        <v>4.0000000000000001E-3</v>
      </c>
      <c r="H4864" s="6" t="s">
        <v>64</v>
      </c>
      <c r="I4864" s="3" t="s">
        <v>45</v>
      </c>
    </row>
    <row r="4865" spans="1:9" ht="48" customHeight="1">
      <c r="A4865" s="3" t="s">
        <v>40</v>
      </c>
      <c r="B4865" s="3" t="s">
        <v>39</v>
      </c>
      <c r="C4865" s="4">
        <v>46266</v>
      </c>
      <c r="D4865" s="4">
        <v>46276</v>
      </c>
      <c r="E4865" s="3" t="s">
        <v>161</v>
      </c>
      <c r="F4865" s="3" t="s">
        <v>190</v>
      </c>
      <c r="G4865" s="5">
        <v>3.0000000000000001E-3</v>
      </c>
      <c r="H4865" s="6" t="s">
        <v>64</v>
      </c>
      <c r="I4865" s="3" t="s">
        <v>45</v>
      </c>
    </row>
    <row r="4866" spans="1:9" ht="48" customHeight="1">
      <c r="A4866" s="3" t="s">
        <v>40</v>
      </c>
      <c r="B4866" s="3" t="s">
        <v>39</v>
      </c>
      <c r="C4866" s="4">
        <v>46266</v>
      </c>
      <c r="D4866" s="4">
        <v>46276</v>
      </c>
      <c r="E4866" s="3" t="s">
        <v>161</v>
      </c>
      <c r="F4866" s="3" t="s">
        <v>176</v>
      </c>
      <c r="G4866" s="5">
        <v>3.0000000000000001E-3</v>
      </c>
      <c r="H4866" s="6" t="s">
        <v>64</v>
      </c>
      <c r="I4866" s="3" t="s">
        <v>45</v>
      </c>
    </row>
    <row r="4867" spans="1:9" ht="48" customHeight="1">
      <c r="A4867" s="3" t="s">
        <v>40</v>
      </c>
      <c r="B4867" s="3" t="s">
        <v>39</v>
      </c>
      <c r="C4867" s="4">
        <v>46266</v>
      </c>
      <c r="D4867" s="4">
        <v>46276</v>
      </c>
      <c r="E4867" s="3" t="s">
        <v>161</v>
      </c>
      <c r="F4867" s="3" t="s">
        <v>193</v>
      </c>
      <c r="G4867" s="5">
        <v>3.0000000000000001E-3</v>
      </c>
      <c r="H4867" s="6" t="s">
        <v>64</v>
      </c>
      <c r="I4867" s="3" t="s">
        <v>45</v>
      </c>
    </row>
    <row r="4868" spans="1:9" ht="48" customHeight="1">
      <c r="A4868" s="3" t="s">
        <v>40</v>
      </c>
      <c r="B4868" s="3" t="s">
        <v>39</v>
      </c>
      <c r="C4868" s="4">
        <v>46266</v>
      </c>
      <c r="D4868" s="4">
        <v>46276</v>
      </c>
      <c r="E4868" s="3" t="s">
        <v>161</v>
      </c>
      <c r="F4868" s="3" t="s">
        <v>194</v>
      </c>
      <c r="G4868" s="5">
        <v>3.0000000000000001E-3</v>
      </c>
      <c r="H4868" s="6" t="s">
        <v>64</v>
      </c>
      <c r="I4868" s="3" t="s">
        <v>45</v>
      </c>
    </row>
    <row r="4869" spans="1:9" ht="48" customHeight="1">
      <c r="A4869" s="3" t="s">
        <v>40</v>
      </c>
      <c r="B4869" s="3" t="s">
        <v>39</v>
      </c>
      <c r="C4869" s="4">
        <v>46266</v>
      </c>
      <c r="D4869" s="4">
        <v>46276</v>
      </c>
      <c r="E4869" s="3" t="s">
        <v>161</v>
      </c>
      <c r="F4869" s="3" t="s">
        <v>386</v>
      </c>
      <c r="G4869" s="5">
        <v>3.0000000000000001E-3</v>
      </c>
      <c r="H4869" s="6" t="s">
        <v>64</v>
      </c>
      <c r="I4869" s="3" t="s">
        <v>45</v>
      </c>
    </row>
    <row r="4870" spans="1:9" ht="48" customHeight="1">
      <c r="A4870" s="3" t="s">
        <v>40</v>
      </c>
      <c r="B4870" s="3" t="s">
        <v>39</v>
      </c>
      <c r="C4870" s="4">
        <v>46266</v>
      </c>
      <c r="D4870" s="4">
        <v>46276</v>
      </c>
      <c r="E4870" s="3" t="s">
        <v>161</v>
      </c>
      <c r="F4870" s="3" t="s">
        <v>387</v>
      </c>
      <c r="G4870" s="5">
        <v>3.0000000000000001E-3</v>
      </c>
      <c r="H4870" s="6" t="s">
        <v>64</v>
      </c>
      <c r="I4870" s="3" t="s">
        <v>45</v>
      </c>
    </row>
    <row r="4871" spans="1:9" ht="48" customHeight="1">
      <c r="A4871" s="3" t="s">
        <v>40</v>
      </c>
      <c r="B4871" s="3" t="s">
        <v>39</v>
      </c>
      <c r="C4871" s="4">
        <v>46266</v>
      </c>
      <c r="D4871" s="4">
        <v>46276</v>
      </c>
      <c r="E4871" s="3" t="s">
        <v>161</v>
      </c>
      <c r="F4871" s="3" t="s">
        <v>185</v>
      </c>
      <c r="G4871" s="5">
        <v>2E-3</v>
      </c>
      <c r="H4871" s="6" t="s">
        <v>64</v>
      </c>
      <c r="I4871" s="3" t="s">
        <v>45</v>
      </c>
    </row>
    <row r="4872" spans="1:9" ht="48" customHeight="1">
      <c r="A4872" s="3" t="s">
        <v>40</v>
      </c>
      <c r="B4872" s="3" t="s">
        <v>39</v>
      </c>
      <c r="C4872" s="4">
        <v>46266</v>
      </c>
      <c r="D4872" s="4">
        <v>46276</v>
      </c>
      <c r="E4872" s="3" t="s">
        <v>161</v>
      </c>
      <c r="F4872" s="3" t="s">
        <v>197</v>
      </c>
      <c r="G4872" s="5">
        <v>2E-3</v>
      </c>
      <c r="H4872" s="6" t="s">
        <v>64</v>
      </c>
      <c r="I4872" s="3" t="s">
        <v>45</v>
      </c>
    </row>
    <row r="4873" spans="1:9" ht="48" customHeight="1">
      <c r="A4873" s="3" t="s">
        <v>40</v>
      </c>
      <c r="B4873" s="3" t="s">
        <v>39</v>
      </c>
      <c r="C4873" s="4">
        <v>46266</v>
      </c>
      <c r="D4873" s="4">
        <v>46276</v>
      </c>
      <c r="E4873" s="3" t="s">
        <v>161</v>
      </c>
      <c r="F4873" s="3" t="s">
        <v>199</v>
      </c>
      <c r="G4873" s="5">
        <v>2E-3</v>
      </c>
      <c r="H4873" s="6" t="s">
        <v>64</v>
      </c>
      <c r="I4873" s="3" t="s">
        <v>45</v>
      </c>
    </row>
    <row r="4874" spans="1:9" ht="48" customHeight="1">
      <c r="A4874" s="3" t="s">
        <v>40</v>
      </c>
      <c r="B4874" s="3" t="s">
        <v>39</v>
      </c>
      <c r="C4874" s="4">
        <v>46266</v>
      </c>
      <c r="D4874" s="4">
        <v>46276</v>
      </c>
      <c r="E4874" s="3" t="s">
        <v>161</v>
      </c>
      <c r="F4874" s="3" t="s">
        <v>204</v>
      </c>
      <c r="G4874" s="5">
        <v>2E-3</v>
      </c>
      <c r="H4874" s="6" t="s">
        <v>64</v>
      </c>
      <c r="I4874" s="3" t="s">
        <v>45</v>
      </c>
    </row>
    <row r="4875" spans="1:9" ht="48" customHeight="1">
      <c r="A4875" s="3" t="s">
        <v>40</v>
      </c>
      <c r="B4875" s="3" t="s">
        <v>39</v>
      </c>
      <c r="C4875" s="4">
        <v>46266</v>
      </c>
      <c r="D4875" s="4">
        <v>46276</v>
      </c>
      <c r="E4875" s="3" t="s">
        <v>161</v>
      </c>
      <c r="F4875" s="3" t="s">
        <v>202</v>
      </c>
      <c r="G4875" s="5">
        <v>1E-3</v>
      </c>
      <c r="H4875" s="6" t="s">
        <v>64</v>
      </c>
      <c r="I4875" s="3" t="s">
        <v>45</v>
      </c>
    </row>
    <row r="4876" spans="1:9" ht="48" customHeight="1">
      <c r="A4876" s="3" t="s">
        <v>40</v>
      </c>
      <c r="B4876" s="3" t="s">
        <v>39</v>
      </c>
      <c r="C4876" s="4">
        <v>46266</v>
      </c>
      <c r="D4876" s="4">
        <v>46276</v>
      </c>
      <c r="E4876" s="3" t="s">
        <v>161</v>
      </c>
      <c r="F4876" s="3" t="s">
        <v>198</v>
      </c>
      <c r="G4876" s="5">
        <v>1E-3</v>
      </c>
      <c r="H4876" s="6" t="s">
        <v>64</v>
      </c>
      <c r="I4876" s="3" t="s">
        <v>45</v>
      </c>
    </row>
    <row r="4877" spans="1:9" ht="48" customHeight="1">
      <c r="A4877" s="3" t="s">
        <v>40</v>
      </c>
      <c r="B4877" s="3" t="s">
        <v>39</v>
      </c>
      <c r="C4877" s="4">
        <v>46266</v>
      </c>
      <c r="D4877" s="4">
        <v>46276</v>
      </c>
      <c r="E4877" s="3" t="s">
        <v>161</v>
      </c>
      <c r="F4877" s="3" t="s">
        <v>203</v>
      </c>
      <c r="G4877" s="5">
        <v>0</v>
      </c>
      <c r="H4877" s="6" t="s">
        <v>64</v>
      </c>
      <c r="I4877" s="3" t="s">
        <v>45</v>
      </c>
    </row>
    <row r="4878" spans="1:9" ht="48" customHeight="1">
      <c r="A4878" s="3" t="s">
        <v>40</v>
      </c>
      <c r="B4878" s="3" t="s">
        <v>39</v>
      </c>
      <c r="C4878" s="4">
        <v>46266</v>
      </c>
      <c r="D4878" s="4">
        <v>46276</v>
      </c>
      <c r="E4878" s="3" t="s">
        <v>286</v>
      </c>
      <c r="F4878" s="3" t="s">
        <v>293</v>
      </c>
      <c r="G4878" s="5">
        <v>0.10300000000000001</v>
      </c>
      <c r="H4878" s="6" t="s">
        <v>64</v>
      </c>
      <c r="I4878" s="3" t="s">
        <v>45</v>
      </c>
    </row>
    <row r="4879" spans="1:9" ht="48" customHeight="1">
      <c r="A4879" s="3" t="s">
        <v>40</v>
      </c>
      <c r="B4879" s="3" t="s">
        <v>39</v>
      </c>
      <c r="C4879" s="4">
        <v>46266</v>
      </c>
      <c r="D4879" s="4">
        <v>46276</v>
      </c>
      <c r="E4879" s="3" t="s">
        <v>286</v>
      </c>
      <c r="F4879" s="3" t="s">
        <v>300</v>
      </c>
      <c r="G4879" s="5">
        <v>2.3E-2</v>
      </c>
      <c r="H4879" s="6" t="s">
        <v>64</v>
      </c>
      <c r="I4879" s="3" t="s">
        <v>45</v>
      </c>
    </row>
    <row r="4880" spans="1:9" ht="48" customHeight="1">
      <c r="A4880" s="3" t="s">
        <v>40</v>
      </c>
      <c r="B4880" s="3" t="s">
        <v>39</v>
      </c>
      <c r="C4880" s="4">
        <v>46266</v>
      </c>
      <c r="D4880" s="4">
        <v>46276</v>
      </c>
      <c r="E4880" s="3" t="s">
        <v>286</v>
      </c>
      <c r="F4880" s="3" t="s">
        <v>291</v>
      </c>
      <c r="G4880" s="5">
        <v>1.6E-2</v>
      </c>
      <c r="H4880" s="6" t="s">
        <v>64</v>
      </c>
      <c r="I4880" s="3" t="s">
        <v>45</v>
      </c>
    </row>
    <row r="4881" spans="1:9" ht="48" customHeight="1">
      <c r="A4881" s="3" t="s">
        <v>40</v>
      </c>
      <c r="B4881" s="3" t="s">
        <v>39</v>
      </c>
      <c r="C4881" s="4">
        <v>46266</v>
      </c>
      <c r="D4881" s="4">
        <v>46276</v>
      </c>
      <c r="E4881" s="3" t="s">
        <v>286</v>
      </c>
      <c r="F4881" s="3" t="s">
        <v>287</v>
      </c>
      <c r="G4881" s="5">
        <v>6.0000000000000001E-3</v>
      </c>
      <c r="H4881" s="6" t="s">
        <v>64</v>
      </c>
      <c r="I4881" s="3" t="s">
        <v>45</v>
      </c>
    </row>
    <row r="4882" spans="1:9" ht="48" customHeight="1">
      <c r="A4882" s="3" t="s">
        <v>40</v>
      </c>
      <c r="B4882" s="3" t="s">
        <v>39</v>
      </c>
      <c r="C4882" s="4">
        <v>46266</v>
      </c>
      <c r="D4882" s="4">
        <v>46276</v>
      </c>
      <c r="E4882" s="3" t="s">
        <v>286</v>
      </c>
      <c r="F4882" s="3" t="s">
        <v>288</v>
      </c>
      <c r="G4882" s="5">
        <v>5.0000000000000001E-3</v>
      </c>
      <c r="H4882" s="6" t="s">
        <v>64</v>
      </c>
      <c r="I4882" s="3" t="s">
        <v>45</v>
      </c>
    </row>
    <row r="4883" spans="1:9" ht="48" customHeight="1">
      <c r="A4883" s="3" t="s">
        <v>40</v>
      </c>
      <c r="B4883" s="3" t="s">
        <v>39</v>
      </c>
      <c r="C4883" s="4">
        <v>46266</v>
      </c>
      <c r="D4883" s="4">
        <v>46276</v>
      </c>
      <c r="E4883" s="3" t="s">
        <v>286</v>
      </c>
      <c r="F4883" s="3" t="s">
        <v>289</v>
      </c>
      <c r="G4883" s="5">
        <v>4.0000000000000001E-3</v>
      </c>
      <c r="H4883" s="6" t="s">
        <v>64</v>
      </c>
      <c r="I4883" s="3" t="s">
        <v>45</v>
      </c>
    </row>
    <row r="4884" spans="1:9" ht="48" customHeight="1">
      <c r="A4884" s="3" t="s">
        <v>40</v>
      </c>
      <c r="B4884" s="3" t="s">
        <v>39</v>
      </c>
      <c r="C4884" s="4">
        <v>46266</v>
      </c>
      <c r="D4884" s="4">
        <v>46276</v>
      </c>
      <c r="E4884" s="3" t="s">
        <v>286</v>
      </c>
      <c r="F4884" s="3" t="s">
        <v>292</v>
      </c>
      <c r="G4884" s="5">
        <v>4.0000000000000001E-3</v>
      </c>
      <c r="H4884" s="6" t="s">
        <v>64</v>
      </c>
      <c r="I4884" s="3" t="s">
        <v>45</v>
      </c>
    </row>
    <row r="4885" spans="1:9" ht="48" customHeight="1">
      <c r="A4885" s="3" t="s">
        <v>40</v>
      </c>
      <c r="B4885" s="3" t="s">
        <v>39</v>
      </c>
      <c r="C4885" s="4">
        <v>46266</v>
      </c>
      <c r="D4885" s="4">
        <v>46276</v>
      </c>
      <c r="E4885" s="3" t="s">
        <v>286</v>
      </c>
      <c r="F4885" s="3" t="s">
        <v>290</v>
      </c>
      <c r="G4885" s="5">
        <v>3.0000000000000001E-3</v>
      </c>
      <c r="H4885" s="6" t="s">
        <v>64</v>
      </c>
      <c r="I4885" s="3" t="s">
        <v>45</v>
      </c>
    </row>
    <row r="4886" spans="1:9" ht="48" customHeight="1">
      <c r="A4886" s="3" t="s">
        <v>40</v>
      </c>
      <c r="B4886" s="3" t="s">
        <v>39</v>
      </c>
      <c r="C4886" s="4">
        <v>46266</v>
      </c>
      <c r="D4886" s="4">
        <v>46276</v>
      </c>
      <c r="E4886" s="3" t="s">
        <v>286</v>
      </c>
      <c r="F4886" s="3" t="s">
        <v>297</v>
      </c>
      <c r="G4886" s="5">
        <v>3.0000000000000001E-3</v>
      </c>
      <c r="H4886" s="6" t="s">
        <v>64</v>
      </c>
      <c r="I4886" s="3" t="s">
        <v>45</v>
      </c>
    </row>
    <row r="4887" spans="1:9" ht="48" customHeight="1">
      <c r="A4887" s="3" t="s">
        <v>40</v>
      </c>
      <c r="B4887" s="3" t="s">
        <v>39</v>
      </c>
      <c r="C4887" s="4">
        <v>46266</v>
      </c>
      <c r="D4887" s="4">
        <v>46276</v>
      </c>
      <c r="E4887" s="3" t="s">
        <v>286</v>
      </c>
      <c r="F4887" s="3" t="s">
        <v>295</v>
      </c>
      <c r="G4887" s="5">
        <v>1E-3</v>
      </c>
      <c r="H4887" s="6" t="s">
        <v>64</v>
      </c>
      <c r="I4887" s="3" t="s">
        <v>45</v>
      </c>
    </row>
    <row r="4888" spans="1:9" ht="48" customHeight="1">
      <c r="A4888" s="3" t="s">
        <v>40</v>
      </c>
      <c r="B4888" s="3" t="s">
        <v>39</v>
      </c>
      <c r="C4888" s="4">
        <v>46266</v>
      </c>
      <c r="D4888" s="4">
        <v>46276</v>
      </c>
      <c r="E4888" s="3" t="s">
        <v>286</v>
      </c>
      <c r="F4888" s="3" t="s">
        <v>298</v>
      </c>
      <c r="G4888" s="5">
        <v>1E-3</v>
      </c>
      <c r="H4888" s="6" t="s">
        <v>64</v>
      </c>
      <c r="I4888" s="3" t="s">
        <v>45</v>
      </c>
    </row>
    <row r="4889" spans="1:9" ht="48" customHeight="1">
      <c r="A4889" s="3" t="s">
        <v>40</v>
      </c>
      <c r="B4889" s="3" t="s">
        <v>39</v>
      </c>
      <c r="C4889" s="4">
        <v>46266</v>
      </c>
      <c r="D4889" s="4">
        <v>46276</v>
      </c>
      <c r="E4889" s="3" t="s">
        <v>286</v>
      </c>
      <c r="F4889" s="3" t="s">
        <v>299</v>
      </c>
      <c r="G4889" s="5">
        <v>1E-3</v>
      </c>
      <c r="H4889" s="6" t="s">
        <v>64</v>
      </c>
      <c r="I4889" s="3" t="s">
        <v>45</v>
      </c>
    </row>
    <row r="4890" spans="1:9" ht="48" customHeight="1">
      <c r="A4890" s="3" t="s">
        <v>40</v>
      </c>
      <c r="B4890" s="3" t="s">
        <v>39</v>
      </c>
      <c r="C4890" s="4">
        <v>46266</v>
      </c>
      <c r="D4890" s="4">
        <v>46276</v>
      </c>
      <c r="E4890" s="3" t="s">
        <v>286</v>
      </c>
      <c r="F4890" s="3" t="s">
        <v>294</v>
      </c>
      <c r="G4890" s="5">
        <v>0</v>
      </c>
      <c r="H4890" s="6" t="s">
        <v>64</v>
      </c>
      <c r="I4890" s="3" t="s">
        <v>45</v>
      </c>
    </row>
    <row r="4891" spans="1:9" ht="48" customHeight="1">
      <c r="A4891" s="3" t="s">
        <v>40</v>
      </c>
      <c r="B4891" s="3" t="s">
        <v>39</v>
      </c>
      <c r="C4891" s="4">
        <v>46266</v>
      </c>
      <c r="D4891" s="4">
        <v>46276</v>
      </c>
      <c r="E4891" s="3" t="s">
        <v>286</v>
      </c>
      <c r="F4891" s="3" t="s">
        <v>296</v>
      </c>
      <c r="G4891" s="5">
        <v>0</v>
      </c>
      <c r="H4891" s="6" t="s">
        <v>64</v>
      </c>
      <c r="I4891" s="3" t="s">
        <v>45</v>
      </c>
    </row>
    <row r="4892" spans="1:9" ht="48" customHeight="1">
      <c r="A4892" s="3" t="s">
        <v>40</v>
      </c>
      <c r="B4892" s="3" t="s">
        <v>39</v>
      </c>
      <c r="C4892" s="4">
        <v>46266</v>
      </c>
      <c r="D4892" s="4">
        <v>46276</v>
      </c>
      <c r="E4892" s="3" t="s">
        <v>205</v>
      </c>
      <c r="F4892" s="3" t="s">
        <v>210</v>
      </c>
      <c r="G4892" s="5">
        <v>9.0000000000000011E-3</v>
      </c>
      <c r="H4892" s="6" t="s">
        <v>64</v>
      </c>
      <c r="I4892" s="3" t="s">
        <v>45</v>
      </c>
    </row>
    <row r="4893" spans="1:9" ht="48" customHeight="1">
      <c r="A4893" s="3" t="s">
        <v>40</v>
      </c>
      <c r="B4893" s="3" t="s">
        <v>39</v>
      </c>
      <c r="C4893" s="4">
        <v>46266</v>
      </c>
      <c r="D4893" s="4">
        <v>46276</v>
      </c>
      <c r="E4893" s="3" t="s">
        <v>205</v>
      </c>
      <c r="F4893" s="3" t="s">
        <v>216</v>
      </c>
      <c r="G4893" s="5">
        <v>8.0000000000000002E-3</v>
      </c>
      <c r="H4893" s="6" t="s">
        <v>64</v>
      </c>
      <c r="I4893" s="3" t="s">
        <v>45</v>
      </c>
    </row>
    <row r="4894" spans="1:9" ht="48" customHeight="1">
      <c r="A4894" s="3" t="s">
        <v>40</v>
      </c>
      <c r="B4894" s="3" t="s">
        <v>39</v>
      </c>
      <c r="C4894" s="4">
        <v>46266</v>
      </c>
      <c r="D4894" s="4">
        <v>46276</v>
      </c>
      <c r="E4894" s="3" t="s">
        <v>205</v>
      </c>
      <c r="F4894" s="3" t="s">
        <v>209</v>
      </c>
      <c r="G4894" s="5">
        <v>6.9999999999999993E-3</v>
      </c>
      <c r="H4894" s="6" t="s">
        <v>64</v>
      </c>
      <c r="I4894" s="3" t="s">
        <v>45</v>
      </c>
    </row>
    <row r="4895" spans="1:9" ht="48" customHeight="1">
      <c r="A4895" s="3" t="s">
        <v>40</v>
      </c>
      <c r="B4895" s="3" t="s">
        <v>39</v>
      </c>
      <c r="C4895" s="4">
        <v>46266</v>
      </c>
      <c r="D4895" s="4">
        <v>46276</v>
      </c>
      <c r="E4895" s="3" t="s">
        <v>205</v>
      </c>
      <c r="F4895" s="3" t="s">
        <v>206</v>
      </c>
      <c r="G4895" s="5">
        <v>6.0000000000000001E-3</v>
      </c>
      <c r="H4895" s="6" t="s">
        <v>64</v>
      </c>
      <c r="I4895" s="3" t="s">
        <v>45</v>
      </c>
    </row>
    <row r="4896" spans="1:9" ht="48" customHeight="1">
      <c r="A4896" s="3" t="s">
        <v>40</v>
      </c>
      <c r="B4896" s="3" t="s">
        <v>39</v>
      </c>
      <c r="C4896" s="4">
        <v>46266</v>
      </c>
      <c r="D4896" s="4">
        <v>46276</v>
      </c>
      <c r="E4896" s="3" t="s">
        <v>205</v>
      </c>
      <c r="F4896" s="3" t="s">
        <v>225</v>
      </c>
      <c r="G4896" s="5">
        <v>5.0000000000000001E-3</v>
      </c>
      <c r="H4896" s="6" t="s">
        <v>64</v>
      </c>
      <c r="I4896" s="3" t="s">
        <v>45</v>
      </c>
    </row>
    <row r="4897" spans="1:9" ht="48" customHeight="1">
      <c r="A4897" s="3" t="s">
        <v>40</v>
      </c>
      <c r="B4897" s="3" t="s">
        <v>39</v>
      </c>
      <c r="C4897" s="4">
        <v>46266</v>
      </c>
      <c r="D4897" s="4">
        <v>46276</v>
      </c>
      <c r="E4897" s="3" t="s">
        <v>205</v>
      </c>
      <c r="F4897" s="3" t="s">
        <v>219</v>
      </c>
      <c r="G4897" s="5">
        <v>5.0000000000000001E-3</v>
      </c>
      <c r="H4897" s="6" t="s">
        <v>64</v>
      </c>
      <c r="I4897" s="3" t="s">
        <v>45</v>
      </c>
    </row>
    <row r="4898" spans="1:9" ht="48" customHeight="1">
      <c r="A4898" s="3" t="s">
        <v>40</v>
      </c>
      <c r="B4898" s="3" t="s">
        <v>39</v>
      </c>
      <c r="C4898" s="4">
        <v>46266</v>
      </c>
      <c r="D4898" s="4">
        <v>46276</v>
      </c>
      <c r="E4898" s="3" t="s">
        <v>205</v>
      </c>
      <c r="F4898" s="3" t="s">
        <v>220</v>
      </c>
      <c r="G4898" s="5">
        <v>5.0000000000000001E-3</v>
      </c>
      <c r="H4898" s="6" t="s">
        <v>64</v>
      </c>
      <c r="I4898" s="3" t="s">
        <v>45</v>
      </c>
    </row>
    <row r="4899" spans="1:9" ht="48" customHeight="1">
      <c r="A4899" s="3" t="s">
        <v>40</v>
      </c>
      <c r="B4899" s="3" t="s">
        <v>39</v>
      </c>
      <c r="C4899" s="4">
        <v>46266</v>
      </c>
      <c r="D4899" s="4">
        <v>46276</v>
      </c>
      <c r="E4899" s="3" t="s">
        <v>205</v>
      </c>
      <c r="F4899" s="3" t="s">
        <v>211</v>
      </c>
      <c r="G4899" s="5">
        <v>5.0000000000000001E-3</v>
      </c>
      <c r="H4899" s="6" t="s">
        <v>64</v>
      </c>
      <c r="I4899" s="3" t="s">
        <v>45</v>
      </c>
    </row>
    <row r="4900" spans="1:9" ht="48" customHeight="1">
      <c r="A4900" s="3" t="s">
        <v>40</v>
      </c>
      <c r="B4900" s="3" t="s">
        <v>39</v>
      </c>
      <c r="C4900" s="4">
        <v>46266</v>
      </c>
      <c r="D4900" s="4">
        <v>46276</v>
      </c>
      <c r="E4900" s="3" t="s">
        <v>205</v>
      </c>
      <c r="F4900" s="3" t="s">
        <v>207</v>
      </c>
      <c r="G4900" s="5">
        <v>5.0000000000000001E-3</v>
      </c>
      <c r="H4900" s="6" t="s">
        <v>64</v>
      </c>
      <c r="I4900" s="3" t="s">
        <v>45</v>
      </c>
    </row>
    <row r="4901" spans="1:9" ht="48" customHeight="1">
      <c r="A4901" s="3" t="s">
        <v>40</v>
      </c>
      <c r="B4901" s="3" t="s">
        <v>39</v>
      </c>
      <c r="C4901" s="4">
        <v>46266</v>
      </c>
      <c r="D4901" s="4">
        <v>46276</v>
      </c>
      <c r="E4901" s="3" t="s">
        <v>205</v>
      </c>
      <c r="F4901" s="3" t="s">
        <v>208</v>
      </c>
      <c r="G4901" s="5">
        <v>5.0000000000000001E-3</v>
      </c>
      <c r="H4901" s="6" t="s">
        <v>64</v>
      </c>
      <c r="I4901" s="3" t="s">
        <v>45</v>
      </c>
    </row>
    <row r="4902" spans="1:9" ht="48" customHeight="1">
      <c r="A4902" s="3" t="s">
        <v>40</v>
      </c>
      <c r="B4902" s="3" t="s">
        <v>39</v>
      </c>
      <c r="C4902" s="4">
        <v>46266</v>
      </c>
      <c r="D4902" s="4">
        <v>46276</v>
      </c>
      <c r="E4902" s="3" t="s">
        <v>205</v>
      </c>
      <c r="F4902" s="3" t="s">
        <v>224</v>
      </c>
      <c r="G4902" s="5">
        <v>4.0000000000000001E-3</v>
      </c>
      <c r="H4902" s="6" t="s">
        <v>64</v>
      </c>
      <c r="I4902" s="3" t="s">
        <v>45</v>
      </c>
    </row>
    <row r="4903" spans="1:9" ht="48" customHeight="1">
      <c r="A4903" s="3" t="s">
        <v>40</v>
      </c>
      <c r="B4903" s="3" t="s">
        <v>39</v>
      </c>
      <c r="C4903" s="4">
        <v>46266</v>
      </c>
      <c r="D4903" s="4">
        <v>46276</v>
      </c>
      <c r="E4903" s="3" t="s">
        <v>205</v>
      </c>
      <c r="F4903" s="3" t="s">
        <v>217</v>
      </c>
      <c r="G4903" s="5">
        <v>4.0000000000000001E-3</v>
      </c>
      <c r="H4903" s="6" t="s">
        <v>64</v>
      </c>
      <c r="I4903" s="3" t="s">
        <v>45</v>
      </c>
    </row>
    <row r="4904" spans="1:9" ht="48" customHeight="1">
      <c r="A4904" s="3" t="s">
        <v>40</v>
      </c>
      <c r="B4904" s="3" t="s">
        <v>39</v>
      </c>
      <c r="C4904" s="4">
        <v>46266</v>
      </c>
      <c r="D4904" s="4">
        <v>46276</v>
      </c>
      <c r="E4904" s="3" t="s">
        <v>205</v>
      </c>
      <c r="F4904" s="3" t="s">
        <v>218</v>
      </c>
      <c r="G4904" s="5">
        <v>4.0000000000000001E-3</v>
      </c>
      <c r="H4904" s="6" t="s">
        <v>64</v>
      </c>
      <c r="I4904" s="3" t="s">
        <v>45</v>
      </c>
    </row>
    <row r="4905" spans="1:9" ht="48" customHeight="1">
      <c r="A4905" s="3" t="s">
        <v>40</v>
      </c>
      <c r="B4905" s="3" t="s">
        <v>39</v>
      </c>
      <c r="C4905" s="4">
        <v>46266</v>
      </c>
      <c r="D4905" s="4">
        <v>46276</v>
      </c>
      <c r="E4905" s="3" t="s">
        <v>205</v>
      </c>
      <c r="F4905" s="3" t="s">
        <v>227</v>
      </c>
      <c r="G4905" s="5">
        <v>4.0000000000000001E-3</v>
      </c>
      <c r="H4905" s="6" t="s">
        <v>64</v>
      </c>
      <c r="I4905" s="3" t="s">
        <v>45</v>
      </c>
    </row>
    <row r="4906" spans="1:9" ht="48" customHeight="1">
      <c r="A4906" s="3" t="s">
        <v>40</v>
      </c>
      <c r="B4906" s="3" t="s">
        <v>39</v>
      </c>
      <c r="C4906" s="4">
        <v>46266</v>
      </c>
      <c r="D4906" s="4">
        <v>46276</v>
      </c>
      <c r="E4906" s="3" t="s">
        <v>205</v>
      </c>
      <c r="F4906" s="3" t="s">
        <v>213</v>
      </c>
      <c r="G4906" s="5">
        <v>4.0000000000000001E-3</v>
      </c>
      <c r="H4906" s="6" t="s">
        <v>64</v>
      </c>
      <c r="I4906" s="3" t="s">
        <v>45</v>
      </c>
    </row>
    <row r="4907" spans="1:9" ht="48" customHeight="1">
      <c r="A4907" s="3" t="s">
        <v>40</v>
      </c>
      <c r="B4907" s="3" t="s">
        <v>39</v>
      </c>
      <c r="C4907" s="4">
        <v>46266</v>
      </c>
      <c r="D4907" s="4">
        <v>46276</v>
      </c>
      <c r="E4907" s="3" t="s">
        <v>205</v>
      </c>
      <c r="F4907" s="3" t="s">
        <v>214</v>
      </c>
      <c r="G4907" s="5">
        <v>4.0000000000000001E-3</v>
      </c>
      <c r="H4907" s="6" t="s">
        <v>64</v>
      </c>
      <c r="I4907" s="3" t="s">
        <v>45</v>
      </c>
    </row>
    <row r="4908" spans="1:9" ht="48" customHeight="1">
      <c r="A4908" s="3" t="s">
        <v>40</v>
      </c>
      <c r="B4908" s="3" t="s">
        <v>39</v>
      </c>
      <c r="C4908" s="4">
        <v>46266</v>
      </c>
      <c r="D4908" s="4">
        <v>46276</v>
      </c>
      <c r="E4908" s="3" t="s">
        <v>205</v>
      </c>
      <c r="F4908" s="3" t="s">
        <v>215</v>
      </c>
      <c r="G4908" s="5">
        <v>4.0000000000000001E-3</v>
      </c>
      <c r="H4908" s="6" t="s">
        <v>64</v>
      </c>
      <c r="I4908" s="3" t="s">
        <v>45</v>
      </c>
    </row>
    <row r="4909" spans="1:9" ht="48" customHeight="1">
      <c r="A4909" s="3" t="s">
        <v>40</v>
      </c>
      <c r="B4909" s="3" t="s">
        <v>39</v>
      </c>
      <c r="C4909" s="4">
        <v>46266</v>
      </c>
      <c r="D4909" s="4">
        <v>46276</v>
      </c>
      <c r="E4909" s="3" t="s">
        <v>205</v>
      </c>
      <c r="F4909" s="3" t="s">
        <v>229</v>
      </c>
      <c r="G4909" s="5">
        <v>3.0000000000000001E-3</v>
      </c>
      <c r="H4909" s="6" t="s">
        <v>64</v>
      </c>
      <c r="I4909" s="3" t="s">
        <v>45</v>
      </c>
    </row>
    <row r="4910" spans="1:9" ht="48" customHeight="1">
      <c r="A4910" s="3" t="s">
        <v>40</v>
      </c>
      <c r="B4910" s="3" t="s">
        <v>39</v>
      </c>
      <c r="C4910" s="4">
        <v>46266</v>
      </c>
      <c r="D4910" s="4">
        <v>46276</v>
      </c>
      <c r="E4910" s="3" t="s">
        <v>205</v>
      </c>
      <c r="F4910" s="3" t="s">
        <v>223</v>
      </c>
      <c r="G4910" s="5">
        <v>3.0000000000000001E-3</v>
      </c>
      <c r="H4910" s="6" t="s">
        <v>64</v>
      </c>
      <c r="I4910" s="3" t="s">
        <v>45</v>
      </c>
    </row>
    <row r="4911" spans="1:9" ht="48" customHeight="1">
      <c r="A4911" s="3" t="s">
        <v>40</v>
      </c>
      <c r="B4911" s="3" t="s">
        <v>39</v>
      </c>
      <c r="C4911" s="4">
        <v>46266</v>
      </c>
      <c r="D4911" s="4">
        <v>46276</v>
      </c>
      <c r="E4911" s="3" t="s">
        <v>205</v>
      </c>
      <c r="F4911" s="3" t="s">
        <v>226</v>
      </c>
      <c r="G4911" s="5">
        <v>3.0000000000000001E-3</v>
      </c>
      <c r="H4911" s="6" t="s">
        <v>64</v>
      </c>
      <c r="I4911" s="3" t="s">
        <v>45</v>
      </c>
    </row>
    <row r="4912" spans="1:9" ht="48" customHeight="1">
      <c r="A4912" s="3" t="s">
        <v>40</v>
      </c>
      <c r="B4912" s="3" t="s">
        <v>39</v>
      </c>
      <c r="C4912" s="4">
        <v>46266</v>
      </c>
      <c r="D4912" s="4">
        <v>46276</v>
      </c>
      <c r="E4912" s="3" t="s">
        <v>205</v>
      </c>
      <c r="F4912" s="3" t="s">
        <v>221</v>
      </c>
      <c r="G4912" s="5">
        <v>3.0000000000000001E-3</v>
      </c>
      <c r="H4912" s="6" t="s">
        <v>64</v>
      </c>
      <c r="I4912" s="3" t="s">
        <v>45</v>
      </c>
    </row>
    <row r="4913" spans="1:9" ht="48" customHeight="1">
      <c r="A4913" s="3" t="s">
        <v>40</v>
      </c>
      <c r="B4913" s="3" t="s">
        <v>39</v>
      </c>
      <c r="C4913" s="4">
        <v>46266</v>
      </c>
      <c r="D4913" s="4">
        <v>46276</v>
      </c>
      <c r="E4913" s="3" t="s">
        <v>205</v>
      </c>
      <c r="F4913" s="3" t="s">
        <v>222</v>
      </c>
      <c r="G4913" s="5">
        <v>3.0000000000000001E-3</v>
      </c>
      <c r="H4913" s="6" t="s">
        <v>64</v>
      </c>
      <c r="I4913" s="3" t="s">
        <v>45</v>
      </c>
    </row>
    <row r="4914" spans="1:9" ht="48" customHeight="1">
      <c r="A4914" s="3" t="s">
        <v>40</v>
      </c>
      <c r="B4914" s="3" t="s">
        <v>39</v>
      </c>
      <c r="C4914" s="4">
        <v>46266</v>
      </c>
      <c r="D4914" s="4">
        <v>46276</v>
      </c>
      <c r="E4914" s="3" t="s">
        <v>205</v>
      </c>
      <c r="F4914" s="3" t="s">
        <v>212</v>
      </c>
      <c r="G4914" s="5">
        <v>3.0000000000000001E-3</v>
      </c>
      <c r="H4914" s="6" t="s">
        <v>64</v>
      </c>
      <c r="I4914" s="3" t="s">
        <v>45</v>
      </c>
    </row>
    <row r="4915" spans="1:9" ht="48" customHeight="1">
      <c r="A4915" s="3" t="s">
        <v>40</v>
      </c>
      <c r="B4915" s="3" t="s">
        <v>39</v>
      </c>
      <c r="C4915" s="4">
        <v>46266</v>
      </c>
      <c r="D4915" s="4">
        <v>46276</v>
      </c>
      <c r="E4915" s="3" t="s">
        <v>205</v>
      </c>
      <c r="F4915" s="3" t="s">
        <v>228</v>
      </c>
      <c r="G4915" s="5">
        <v>2E-3</v>
      </c>
      <c r="H4915" s="6" t="s">
        <v>64</v>
      </c>
      <c r="I4915" s="3" t="s">
        <v>45</v>
      </c>
    </row>
    <row r="4916" spans="1:9" ht="48" customHeight="1">
      <c r="A4916" s="3" t="s">
        <v>40</v>
      </c>
      <c r="B4916" s="3" t="s">
        <v>39</v>
      </c>
      <c r="C4916" s="4">
        <v>46266</v>
      </c>
      <c r="D4916" s="4">
        <v>46276</v>
      </c>
      <c r="E4916" s="3" t="s">
        <v>205</v>
      </c>
      <c r="F4916" s="3" t="s">
        <v>230</v>
      </c>
      <c r="G4916" s="5">
        <v>1E-3</v>
      </c>
      <c r="H4916" s="6" t="s">
        <v>64</v>
      </c>
      <c r="I4916" s="3" t="s">
        <v>45</v>
      </c>
    </row>
    <row r="4917" spans="1:9" ht="48" customHeight="1">
      <c r="A4917" s="3" t="s">
        <v>40</v>
      </c>
      <c r="B4917" s="3" t="s">
        <v>39</v>
      </c>
      <c r="C4917" s="4">
        <v>46266</v>
      </c>
      <c r="D4917" s="4">
        <v>46276</v>
      </c>
      <c r="E4917" s="3" t="s">
        <v>81</v>
      </c>
      <c r="F4917" s="3" t="s">
        <v>333</v>
      </c>
      <c r="G4917" s="5">
        <v>9.0000000000000011E-3</v>
      </c>
      <c r="H4917" s="6" t="s">
        <v>64</v>
      </c>
      <c r="I4917" s="3" t="s">
        <v>45</v>
      </c>
    </row>
    <row r="4918" spans="1:9" ht="48" customHeight="1">
      <c r="A4918" s="3" t="s">
        <v>40</v>
      </c>
      <c r="B4918" s="3" t="s">
        <v>39</v>
      </c>
      <c r="C4918" s="4">
        <v>46266</v>
      </c>
      <c r="D4918" s="4">
        <v>46276</v>
      </c>
      <c r="E4918" s="3" t="s">
        <v>81</v>
      </c>
      <c r="F4918" s="3" t="s">
        <v>330</v>
      </c>
      <c r="G4918" s="5">
        <v>5.0000000000000001E-3</v>
      </c>
      <c r="H4918" s="6" t="s">
        <v>64</v>
      </c>
      <c r="I4918" s="3" t="s">
        <v>45</v>
      </c>
    </row>
    <row r="4919" spans="1:9" ht="48" customHeight="1">
      <c r="A4919" s="3" t="s">
        <v>40</v>
      </c>
      <c r="B4919" s="3" t="s">
        <v>39</v>
      </c>
      <c r="C4919" s="4">
        <v>46266</v>
      </c>
      <c r="D4919" s="4">
        <v>46276</v>
      </c>
      <c r="E4919" s="3" t="s">
        <v>81</v>
      </c>
      <c r="F4919" s="3" t="s">
        <v>326</v>
      </c>
      <c r="G4919" s="5">
        <v>3.0000000000000001E-3</v>
      </c>
      <c r="H4919" s="6" t="s">
        <v>64</v>
      </c>
      <c r="I4919" s="3" t="s">
        <v>45</v>
      </c>
    </row>
    <row r="4920" spans="1:9" ht="48" customHeight="1">
      <c r="A4920" s="3" t="s">
        <v>40</v>
      </c>
      <c r="B4920" s="3" t="s">
        <v>39</v>
      </c>
      <c r="C4920" s="4">
        <v>46266</v>
      </c>
      <c r="D4920" s="4">
        <v>46276</v>
      </c>
      <c r="E4920" s="3" t="s">
        <v>81</v>
      </c>
      <c r="F4920" s="3" t="s">
        <v>327</v>
      </c>
      <c r="G4920" s="5">
        <v>3.0000000000000001E-3</v>
      </c>
      <c r="H4920" s="6" t="s">
        <v>64</v>
      </c>
      <c r="I4920" s="3" t="s">
        <v>45</v>
      </c>
    </row>
    <row r="4921" spans="1:9" ht="48" customHeight="1">
      <c r="A4921" s="3" t="s">
        <v>40</v>
      </c>
      <c r="B4921" s="3" t="s">
        <v>39</v>
      </c>
      <c r="C4921" s="4">
        <v>46266</v>
      </c>
      <c r="D4921" s="4">
        <v>46276</v>
      </c>
      <c r="E4921" s="3" t="s">
        <v>81</v>
      </c>
      <c r="F4921" s="3" t="s">
        <v>328</v>
      </c>
      <c r="G4921" s="5">
        <v>2E-3</v>
      </c>
      <c r="H4921" s="6" t="s">
        <v>64</v>
      </c>
      <c r="I4921" s="3" t="s">
        <v>45</v>
      </c>
    </row>
    <row r="4922" spans="1:9" ht="48" customHeight="1">
      <c r="A4922" s="3" t="s">
        <v>40</v>
      </c>
      <c r="B4922" s="3" t="s">
        <v>39</v>
      </c>
      <c r="C4922" s="4">
        <v>46266</v>
      </c>
      <c r="D4922" s="4">
        <v>46276</v>
      </c>
      <c r="E4922" s="3" t="s">
        <v>81</v>
      </c>
      <c r="F4922" s="3" t="s">
        <v>325</v>
      </c>
      <c r="G4922" s="5">
        <v>2E-3</v>
      </c>
      <c r="H4922" s="6" t="s">
        <v>64</v>
      </c>
      <c r="I4922" s="3" t="s">
        <v>45</v>
      </c>
    </row>
    <row r="4923" spans="1:9" ht="48" customHeight="1">
      <c r="A4923" s="3" t="s">
        <v>40</v>
      </c>
      <c r="B4923" s="3" t="s">
        <v>39</v>
      </c>
      <c r="C4923" s="4">
        <v>46266</v>
      </c>
      <c r="D4923" s="4">
        <v>46276</v>
      </c>
      <c r="E4923" s="3" t="s">
        <v>81</v>
      </c>
      <c r="F4923" s="3" t="s">
        <v>332</v>
      </c>
      <c r="G4923" s="5">
        <v>2E-3</v>
      </c>
      <c r="H4923" s="6" t="s">
        <v>64</v>
      </c>
      <c r="I4923" s="3" t="s">
        <v>45</v>
      </c>
    </row>
    <row r="4924" spans="1:9" ht="48" customHeight="1">
      <c r="A4924" s="3" t="s">
        <v>40</v>
      </c>
      <c r="B4924" s="3" t="s">
        <v>39</v>
      </c>
      <c r="C4924" s="4">
        <v>46266</v>
      </c>
      <c r="D4924" s="4">
        <v>46276</v>
      </c>
      <c r="E4924" s="3" t="s">
        <v>81</v>
      </c>
      <c r="F4924" s="3" t="s">
        <v>345</v>
      </c>
      <c r="G4924" s="5">
        <v>2E-3</v>
      </c>
      <c r="H4924" s="6" t="s">
        <v>64</v>
      </c>
      <c r="I4924" s="3" t="s">
        <v>45</v>
      </c>
    </row>
    <row r="4925" spans="1:9" ht="48" customHeight="1">
      <c r="A4925" s="3" t="s">
        <v>40</v>
      </c>
      <c r="B4925" s="3" t="s">
        <v>39</v>
      </c>
      <c r="C4925" s="4">
        <v>46266</v>
      </c>
      <c r="D4925" s="4">
        <v>46276</v>
      </c>
      <c r="E4925" s="3" t="s">
        <v>81</v>
      </c>
      <c r="F4925" s="3" t="s">
        <v>346</v>
      </c>
      <c r="G4925" s="5">
        <v>2E-3</v>
      </c>
      <c r="H4925" s="6" t="s">
        <v>64</v>
      </c>
      <c r="I4925" s="3" t="s">
        <v>45</v>
      </c>
    </row>
    <row r="4926" spans="1:9" ht="48" customHeight="1">
      <c r="A4926" s="3" t="s">
        <v>40</v>
      </c>
      <c r="B4926" s="3" t="s">
        <v>39</v>
      </c>
      <c r="C4926" s="4">
        <v>46266</v>
      </c>
      <c r="D4926" s="4">
        <v>46276</v>
      </c>
      <c r="E4926" s="3" t="s">
        <v>81</v>
      </c>
      <c r="F4926" s="3" t="s">
        <v>334</v>
      </c>
      <c r="G4926" s="5">
        <v>1E-3</v>
      </c>
      <c r="H4926" s="6" t="s">
        <v>64</v>
      </c>
      <c r="I4926" s="3" t="s">
        <v>45</v>
      </c>
    </row>
    <row r="4927" spans="1:9" ht="48" customHeight="1">
      <c r="A4927" s="3" t="s">
        <v>40</v>
      </c>
      <c r="B4927" s="3" t="s">
        <v>39</v>
      </c>
      <c r="C4927" s="4">
        <v>46266</v>
      </c>
      <c r="D4927" s="4">
        <v>46276</v>
      </c>
      <c r="E4927" s="3" t="s">
        <v>81</v>
      </c>
      <c r="F4927" s="3" t="s">
        <v>331</v>
      </c>
      <c r="G4927" s="5">
        <v>1E-3</v>
      </c>
      <c r="H4927" s="6" t="s">
        <v>64</v>
      </c>
      <c r="I4927" s="3" t="s">
        <v>45</v>
      </c>
    </row>
    <row r="4928" spans="1:9" ht="48" customHeight="1">
      <c r="A4928" s="3" t="s">
        <v>40</v>
      </c>
      <c r="B4928" s="3" t="s">
        <v>39</v>
      </c>
      <c r="C4928" s="4">
        <v>46266</v>
      </c>
      <c r="D4928" s="4">
        <v>46276</v>
      </c>
      <c r="E4928" s="3" t="s">
        <v>81</v>
      </c>
      <c r="F4928" s="3" t="s">
        <v>335</v>
      </c>
      <c r="G4928" s="5">
        <v>1E-3</v>
      </c>
      <c r="H4928" s="6" t="s">
        <v>64</v>
      </c>
      <c r="I4928" s="3" t="s">
        <v>45</v>
      </c>
    </row>
    <row r="4929" spans="1:9" ht="48" customHeight="1">
      <c r="A4929" s="3" t="s">
        <v>40</v>
      </c>
      <c r="B4929" s="3" t="s">
        <v>39</v>
      </c>
      <c r="C4929" s="4">
        <v>46266</v>
      </c>
      <c r="D4929" s="4">
        <v>46276</v>
      </c>
      <c r="E4929" s="3" t="s">
        <v>81</v>
      </c>
      <c r="F4929" s="3" t="s">
        <v>336</v>
      </c>
      <c r="G4929" s="5">
        <v>1E-3</v>
      </c>
      <c r="H4929" s="6" t="s">
        <v>64</v>
      </c>
      <c r="I4929" s="3" t="s">
        <v>45</v>
      </c>
    </row>
    <row r="4930" spans="1:9" ht="48" customHeight="1">
      <c r="A4930" s="3" t="s">
        <v>40</v>
      </c>
      <c r="B4930" s="3" t="s">
        <v>39</v>
      </c>
      <c r="C4930" s="4">
        <v>46266</v>
      </c>
      <c r="D4930" s="4">
        <v>46276</v>
      </c>
      <c r="E4930" s="3" t="s">
        <v>81</v>
      </c>
      <c r="F4930" s="3" t="s">
        <v>337</v>
      </c>
      <c r="G4930" s="5">
        <v>1E-3</v>
      </c>
      <c r="H4930" s="6" t="s">
        <v>64</v>
      </c>
      <c r="I4930" s="3" t="s">
        <v>45</v>
      </c>
    </row>
    <row r="4931" spans="1:9" ht="48" customHeight="1">
      <c r="A4931" s="3" t="s">
        <v>40</v>
      </c>
      <c r="B4931" s="3" t="s">
        <v>39</v>
      </c>
      <c r="C4931" s="4">
        <v>46266</v>
      </c>
      <c r="D4931" s="4">
        <v>46276</v>
      </c>
      <c r="E4931" s="3" t="s">
        <v>81</v>
      </c>
      <c r="F4931" s="3" t="s">
        <v>343</v>
      </c>
      <c r="G4931" s="5">
        <v>1E-3</v>
      </c>
      <c r="H4931" s="6" t="s">
        <v>64</v>
      </c>
      <c r="I4931" s="3" t="s">
        <v>45</v>
      </c>
    </row>
    <row r="4932" spans="1:9" ht="48" customHeight="1">
      <c r="A4932" s="3" t="s">
        <v>40</v>
      </c>
      <c r="B4932" s="3" t="s">
        <v>39</v>
      </c>
      <c r="C4932" s="4">
        <v>46266</v>
      </c>
      <c r="D4932" s="4">
        <v>46276</v>
      </c>
      <c r="E4932" s="3" t="s">
        <v>81</v>
      </c>
      <c r="F4932" s="3" t="s">
        <v>344</v>
      </c>
      <c r="G4932" s="5">
        <v>1E-3</v>
      </c>
      <c r="H4932" s="6" t="s">
        <v>64</v>
      </c>
      <c r="I4932" s="3" t="s">
        <v>45</v>
      </c>
    </row>
    <row r="4933" spans="1:9" ht="48" customHeight="1">
      <c r="A4933" s="3" t="s">
        <v>40</v>
      </c>
      <c r="B4933" s="3" t="s">
        <v>39</v>
      </c>
      <c r="C4933" s="4">
        <v>46266</v>
      </c>
      <c r="D4933" s="4">
        <v>46276</v>
      </c>
      <c r="E4933" s="3" t="s">
        <v>81</v>
      </c>
      <c r="F4933" s="3" t="s">
        <v>329</v>
      </c>
      <c r="G4933" s="5">
        <v>0</v>
      </c>
      <c r="H4933" s="6" t="s">
        <v>64</v>
      </c>
      <c r="I4933" s="3" t="s">
        <v>45</v>
      </c>
    </row>
    <row r="4934" spans="1:9" ht="48" customHeight="1">
      <c r="A4934" s="3" t="s">
        <v>40</v>
      </c>
      <c r="B4934" s="3" t="s">
        <v>39</v>
      </c>
      <c r="C4934" s="4">
        <v>46266</v>
      </c>
      <c r="D4934" s="4">
        <v>46276</v>
      </c>
      <c r="E4934" s="3" t="s">
        <v>81</v>
      </c>
      <c r="F4934" s="3" t="s">
        <v>338</v>
      </c>
      <c r="G4934" s="5">
        <v>0</v>
      </c>
      <c r="H4934" s="6" t="s">
        <v>64</v>
      </c>
      <c r="I4934" s="3" t="s">
        <v>45</v>
      </c>
    </row>
    <row r="4935" spans="1:9" ht="48" customHeight="1">
      <c r="A4935" s="3" t="s">
        <v>40</v>
      </c>
      <c r="B4935" s="3" t="s">
        <v>39</v>
      </c>
      <c r="C4935" s="4">
        <v>46266</v>
      </c>
      <c r="D4935" s="4">
        <v>46276</v>
      </c>
      <c r="E4935" s="3" t="s">
        <v>81</v>
      </c>
      <c r="F4935" s="3" t="s">
        <v>339</v>
      </c>
      <c r="G4935" s="5">
        <v>0</v>
      </c>
      <c r="H4935" s="6" t="s">
        <v>64</v>
      </c>
      <c r="I4935" s="3" t="s">
        <v>45</v>
      </c>
    </row>
    <row r="4936" spans="1:9" ht="48" customHeight="1">
      <c r="A4936" s="3" t="s">
        <v>40</v>
      </c>
      <c r="B4936" s="3" t="s">
        <v>39</v>
      </c>
      <c r="C4936" s="4">
        <v>46266</v>
      </c>
      <c r="D4936" s="4">
        <v>46276</v>
      </c>
      <c r="E4936" s="3" t="s">
        <v>81</v>
      </c>
      <c r="F4936" s="3" t="s">
        <v>340</v>
      </c>
      <c r="G4936" s="5">
        <v>0</v>
      </c>
      <c r="H4936" s="6" t="s">
        <v>64</v>
      </c>
      <c r="I4936" s="3" t="s">
        <v>45</v>
      </c>
    </row>
    <row r="4937" spans="1:9" ht="48" customHeight="1">
      <c r="A4937" s="3" t="s">
        <v>40</v>
      </c>
      <c r="B4937" s="3" t="s">
        <v>39</v>
      </c>
      <c r="C4937" s="4">
        <v>46266</v>
      </c>
      <c r="D4937" s="4">
        <v>46276</v>
      </c>
      <c r="E4937" s="3" t="s">
        <v>81</v>
      </c>
      <c r="F4937" s="3" t="s">
        <v>341</v>
      </c>
      <c r="G4937" s="5">
        <v>0</v>
      </c>
      <c r="H4937" s="6" t="s">
        <v>64</v>
      </c>
      <c r="I4937" s="3" t="s">
        <v>45</v>
      </c>
    </row>
    <row r="4938" spans="1:9" ht="48" customHeight="1">
      <c r="A4938" s="3" t="s">
        <v>40</v>
      </c>
      <c r="B4938" s="3" t="s">
        <v>39</v>
      </c>
      <c r="C4938" s="4">
        <v>46266</v>
      </c>
      <c r="D4938" s="4">
        <v>46276</v>
      </c>
      <c r="E4938" s="3" t="s">
        <v>81</v>
      </c>
      <c r="F4938" s="3" t="s">
        <v>342</v>
      </c>
      <c r="G4938" s="5">
        <v>0</v>
      </c>
      <c r="H4938" s="6" t="s">
        <v>64</v>
      </c>
      <c r="I4938" s="3" t="s">
        <v>45</v>
      </c>
    </row>
    <row r="4939" spans="1:9" ht="48" customHeight="1">
      <c r="A4939" s="3" t="s">
        <v>40</v>
      </c>
      <c r="B4939" s="3" t="s">
        <v>39</v>
      </c>
      <c r="C4939" s="4">
        <v>46266</v>
      </c>
      <c r="D4939" s="4">
        <v>46276</v>
      </c>
      <c r="E4939" s="3" t="s">
        <v>81</v>
      </c>
      <c r="F4939" s="3" t="s">
        <v>347</v>
      </c>
      <c r="G4939" s="5">
        <v>0</v>
      </c>
      <c r="H4939" s="6" t="s">
        <v>64</v>
      </c>
      <c r="I4939" s="3" t="s">
        <v>45</v>
      </c>
    </row>
    <row r="4940" spans="1:9" ht="48" customHeight="1">
      <c r="A4940" s="3" t="s">
        <v>40</v>
      </c>
      <c r="B4940" s="3" t="s">
        <v>39</v>
      </c>
      <c r="C4940" s="4">
        <v>46266</v>
      </c>
      <c r="D4940" s="4">
        <v>46276</v>
      </c>
      <c r="E4940" s="3" t="s">
        <v>236</v>
      </c>
      <c r="F4940" s="3" t="s">
        <v>237</v>
      </c>
      <c r="G4940" s="5">
        <v>6.0000000000000001E-3</v>
      </c>
      <c r="H4940" s="6" t="s">
        <v>64</v>
      </c>
      <c r="I4940" s="3" t="s">
        <v>45</v>
      </c>
    </row>
    <row r="4941" spans="1:9" ht="48" customHeight="1">
      <c r="A4941" s="3" t="s">
        <v>40</v>
      </c>
      <c r="B4941" s="3" t="s">
        <v>39</v>
      </c>
      <c r="C4941" s="4">
        <v>46266</v>
      </c>
      <c r="D4941" s="4">
        <v>46276</v>
      </c>
      <c r="E4941" s="3" t="s">
        <v>236</v>
      </c>
      <c r="F4941" s="3" t="s">
        <v>238</v>
      </c>
      <c r="G4941" s="5">
        <v>5.0000000000000001E-3</v>
      </c>
      <c r="H4941" s="6" t="s">
        <v>64</v>
      </c>
      <c r="I4941" s="3" t="s">
        <v>45</v>
      </c>
    </row>
    <row r="4942" spans="1:9" ht="48" customHeight="1">
      <c r="A4942" s="3" t="s">
        <v>40</v>
      </c>
      <c r="B4942" s="3" t="s">
        <v>39</v>
      </c>
      <c r="C4942" s="4">
        <v>46266</v>
      </c>
      <c r="D4942" s="4">
        <v>46276</v>
      </c>
      <c r="E4942" s="3" t="s">
        <v>236</v>
      </c>
      <c r="F4942" s="3" t="s">
        <v>239</v>
      </c>
      <c r="G4942" s="5">
        <v>5.0000000000000001E-3</v>
      </c>
      <c r="H4942" s="6" t="s">
        <v>64</v>
      </c>
      <c r="I4942" s="3" t="s">
        <v>45</v>
      </c>
    </row>
    <row r="4943" spans="1:9" ht="48" customHeight="1">
      <c r="A4943" s="3" t="s">
        <v>40</v>
      </c>
      <c r="B4943" s="3" t="s">
        <v>39</v>
      </c>
      <c r="C4943" s="4">
        <v>46266</v>
      </c>
      <c r="D4943" s="4">
        <v>46276</v>
      </c>
      <c r="E4943" s="3" t="s">
        <v>236</v>
      </c>
      <c r="F4943" s="3" t="s">
        <v>388</v>
      </c>
      <c r="G4943" s="5">
        <v>5.0000000000000001E-3</v>
      </c>
      <c r="H4943" s="6" t="s">
        <v>64</v>
      </c>
      <c r="I4943" s="3" t="s">
        <v>45</v>
      </c>
    </row>
    <row r="4944" spans="1:9" ht="48" customHeight="1">
      <c r="A4944" s="3" t="s">
        <v>40</v>
      </c>
      <c r="B4944" s="3" t="s">
        <v>39</v>
      </c>
      <c r="C4944" s="4">
        <v>46266</v>
      </c>
      <c r="D4944" s="4">
        <v>46276</v>
      </c>
      <c r="E4944" s="3" t="s">
        <v>236</v>
      </c>
      <c r="F4944" s="3" t="s">
        <v>240</v>
      </c>
      <c r="G4944" s="5">
        <v>4.0000000000000001E-3</v>
      </c>
      <c r="H4944" s="6" t="s">
        <v>64</v>
      </c>
      <c r="I4944" s="3" t="s">
        <v>45</v>
      </c>
    </row>
    <row r="4945" spans="1:9" ht="48" customHeight="1">
      <c r="A4945" s="3" t="s">
        <v>40</v>
      </c>
      <c r="B4945" s="3" t="s">
        <v>39</v>
      </c>
      <c r="C4945" s="4">
        <v>46266</v>
      </c>
      <c r="D4945" s="4">
        <v>46276</v>
      </c>
      <c r="E4945" s="3" t="s">
        <v>236</v>
      </c>
      <c r="F4945" s="3" t="s">
        <v>241</v>
      </c>
      <c r="G4945" s="5">
        <v>4.0000000000000001E-3</v>
      </c>
      <c r="H4945" s="6" t="s">
        <v>64</v>
      </c>
      <c r="I4945" s="3" t="s">
        <v>45</v>
      </c>
    </row>
    <row r="4946" spans="1:9" ht="48" customHeight="1">
      <c r="A4946" s="3" t="s">
        <v>40</v>
      </c>
      <c r="B4946" s="3" t="s">
        <v>39</v>
      </c>
      <c r="C4946" s="4">
        <v>46266</v>
      </c>
      <c r="D4946" s="4">
        <v>46276</v>
      </c>
      <c r="E4946" s="3" t="s">
        <v>236</v>
      </c>
      <c r="F4946" s="3" t="s">
        <v>389</v>
      </c>
      <c r="G4946" s="5">
        <v>4.0000000000000001E-3</v>
      </c>
      <c r="H4946" s="6" t="s">
        <v>64</v>
      </c>
      <c r="I4946" s="3" t="s">
        <v>45</v>
      </c>
    </row>
    <row r="4947" spans="1:9" ht="48" customHeight="1">
      <c r="A4947" s="3" t="s">
        <v>40</v>
      </c>
      <c r="B4947" s="3" t="s">
        <v>39</v>
      </c>
      <c r="C4947" s="4">
        <v>46266</v>
      </c>
      <c r="D4947" s="4">
        <v>46276</v>
      </c>
      <c r="E4947" s="3" t="s">
        <v>236</v>
      </c>
      <c r="F4947" s="3" t="s">
        <v>390</v>
      </c>
      <c r="G4947" s="5">
        <v>2E-3</v>
      </c>
      <c r="H4947" s="6" t="s">
        <v>64</v>
      </c>
      <c r="I4947" s="3" t="s">
        <v>45</v>
      </c>
    </row>
    <row r="4948" spans="1:9" ht="48" customHeight="1">
      <c r="A4948" s="3" t="s">
        <v>40</v>
      </c>
      <c r="B4948" s="3" t="s">
        <v>39</v>
      </c>
      <c r="C4948" s="4">
        <v>46266</v>
      </c>
      <c r="D4948" s="4">
        <v>46276</v>
      </c>
      <c r="E4948" s="3" t="s">
        <v>236</v>
      </c>
      <c r="F4948" s="3" t="s">
        <v>391</v>
      </c>
      <c r="G4948" s="5">
        <v>1E-3</v>
      </c>
      <c r="H4948" s="6" t="s">
        <v>64</v>
      </c>
      <c r="I4948" s="3" t="s">
        <v>45</v>
      </c>
    </row>
    <row r="4949" spans="1:9" ht="48" customHeight="1">
      <c r="A4949" s="3" t="s">
        <v>40</v>
      </c>
      <c r="B4949" s="3" t="s">
        <v>39</v>
      </c>
      <c r="C4949" s="4">
        <v>46266</v>
      </c>
      <c r="D4949" s="4">
        <v>46276</v>
      </c>
      <c r="E4949" s="3" t="s">
        <v>236</v>
      </c>
      <c r="F4949" s="3" t="s">
        <v>242</v>
      </c>
      <c r="G4949" s="5">
        <v>1E-3</v>
      </c>
      <c r="H4949" s="6" t="s">
        <v>64</v>
      </c>
      <c r="I4949" s="3" t="s">
        <v>45</v>
      </c>
    </row>
    <row r="4950" spans="1:9" ht="48" customHeight="1">
      <c r="A4950" s="3" t="s">
        <v>40</v>
      </c>
      <c r="B4950" s="3" t="s">
        <v>39</v>
      </c>
      <c r="C4950" s="4">
        <v>46266</v>
      </c>
      <c r="D4950" s="4">
        <v>46276</v>
      </c>
      <c r="E4950" s="3" t="s">
        <v>236</v>
      </c>
      <c r="F4950" s="3" t="s">
        <v>243</v>
      </c>
      <c r="G4950" s="5">
        <v>0</v>
      </c>
      <c r="H4950" s="6" t="s">
        <v>64</v>
      </c>
      <c r="I4950" s="3" t="s">
        <v>45</v>
      </c>
    </row>
    <row r="4951" spans="1:9" ht="48" customHeight="1">
      <c r="A4951" s="3" t="s">
        <v>40</v>
      </c>
      <c r="B4951" s="3" t="s">
        <v>39</v>
      </c>
      <c r="C4951" s="4">
        <v>46266</v>
      </c>
      <c r="D4951" s="4">
        <v>46276</v>
      </c>
      <c r="E4951" s="3" t="s">
        <v>68</v>
      </c>
      <c r="F4951" s="3" t="s">
        <v>151</v>
      </c>
      <c r="G4951" s="5">
        <v>5.0000000000000001E-3</v>
      </c>
      <c r="H4951" s="6" t="s">
        <v>64</v>
      </c>
      <c r="I4951" s="3" t="s">
        <v>45</v>
      </c>
    </row>
    <row r="4952" spans="1:9" ht="48" customHeight="1">
      <c r="A4952" s="3" t="s">
        <v>40</v>
      </c>
      <c r="B4952" s="3" t="s">
        <v>39</v>
      </c>
      <c r="C4952" s="4">
        <v>46266</v>
      </c>
      <c r="D4952" s="4">
        <v>46276</v>
      </c>
      <c r="E4952" s="3" t="s">
        <v>68</v>
      </c>
      <c r="F4952" s="3" t="s">
        <v>150</v>
      </c>
      <c r="G4952" s="5">
        <v>4.0000000000000001E-3</v>
      </c>
      <c r="H4952" s="6" t="s">
        <v>64</v>
      </c>
      <c r="I4952" s="3" t="s">
        <v>45</v>
      </c>
    </row>
    <row r="4953" spans="1:9" ht="48" customHeight="1">
      <c r="A4953" s="3" t="s">
        <v>40</v>
      </c>
      <c r="B4953" s="3" t="s">
        <v>39</v>
      </c>
      <c r="C4953" s="4">
        <v>46266</v>
      </c>
      <c r="D4953" s="4">
        <v>46276</v>
      </c>
      <c r="E4953" s="3" t="s">
        <v>68</v>
      </c>
      <c r="F4953" s="3" t="s">
        <v>147</v>
      </c>
      <c r="G4953" s="5">
        <v>4.0000000000000001E-3</v>
      </c>
      <c r="H4953" s="6" t="s">
        <v>64</v>
      </c>
      <c r="I4953" s="3" t="s">
        <v>45</v>
      </c>
    </row>
    <row r="4954" spans="1:9" ht="48" customHeight="1">
      <c r="A4954" s="3" t="s">
        <v>40</v>
      </c>
      <c r="B4954" s="3" t="s">
        <v>39</v>
      </c>
      <c r="C4954" s="4">
        <v>46266</v>
      </c>
      <c r="D4954" s="4">
        <v>46276</v>
      </c>
      <c r="E4954" s="3" t="s">
        <v>68</v>
      </c>
      <c r="F4954" s="3" t="s">
        <v>149</v>
      </c>
      <c r="G4954" s="5">
        <v>2E-3</v>
      </c>
      <c r="H4954" s="6" t="s">
        <v>64</v>
      </c>
      <c r="I4954" s="3" t="s">
        <v>45</v>
      </c>
    </row>
    <row r="4955" spans="1:9" ht="48" customHeight="1">
      <c r="A4955" s="3" t="s">
        <v>40</v>
      </c>
      <c r="B4955" s="3" t="s">
        <v>39</v>
      </c>
      <c r="C4955" s="4">
        <v>46266</v>
      </c>
      <c r="D4955" s="4">
        <v>46276</v>
      </c>
      <c r="E4955" s="3" t="s">
        <v>68</v>
      </c>
      <c r="F4955" s="3" t="s">
        <v>148</v>
      </c>
      <c r="G4955" s="5">
        <v>2E-3</v>
      </c>
      <c r="H4955" s="6" t="s">
        <v>64</v>
      </c>
      <c r="I4955" s="3" t="s">
        <v>45</v>
      </c>
    </row>
    <row r="4956" spans="1:9" ht="48" customHeight="1">
      <c r="A4956" s="3" t="s">
        <v>40</v>
      </c>
      <c r="B4956" s="3" t="s">
        <v>39</v>
      </c>
      <c r="C4956" s="4">
        <v>46266</v>
      </c>
      <c r="D4956" s="4">
        <v>46276</v>
      </c>
      <c r="E4956" s="3" t="s">
        <v>68</v>
      </c>
      <c r="F4956" s="3" t="s">
        <v>155</v>
      </c>
      <c r="G4956" s="5">
        <v>1E-3</v>
      </c>
      <c r="H4956" s="6" t="s">
        <v>64</v>
      </c>
      <c r="I4956" s="3" t="s">
        <v>45</v>
      </c>
    </row>
    <row r="4957" spans="1:9" ht="48" customHeight="1">
      <c r="A4957" s="3" t="s">
        <v>40</v>
      </c>
      <c r="B4957" s="3" t="s">
        <v>39</v>
      </c>
      <c r="C4957" s="4">
        <v>46266</v>
      </c>
      <c r="D4957" s="4">
        <v>46276</v>
      </c>
      <c r="E4957" s="3" t="s">
        <v>68</v>
      </c>
      <c r="F4957" s="3" t="s">
        <v>152</v>
      </c>
      <c r="G4957" s="5">
        <v>1E-3</v>
      </c>
      <c r="H4957" s="6" t="s">
        <v>64</v>
      </c>
      <c r="I4957" s="3" t="s">
        <v>45</v>
      </c>
    </row>
    <row r="4958" spans="1:9" ht="48" customHeight="1">
      <c r="A4958" s="3" t="s">
        <v>40</v>
      </c>
      <c r="B4958" s="3" t="s">
        <v>39</v>
      </c>
      <c r="C4958" s="4">
        <v>46266</v>
      </c>
      <c r="D4958" s="4">
        <v>46276</v>
      </c>
      <c r="E4958" s="3" t="s">
        <v>68</v>
      </c>
      <c r="F4958" s="3" t="s">
        <v>157</v>
      </c>
      <c r="G4958" s="5">
        <v>1E-3</v>
      </c>
      <c r="H4958" s="6" t="s">
        <v>64</v>
      </c>
      <c r="I4958" s="3" t="s">
        <v>45</v>
      </c>
    </row>
    <row r="4959" spans="1:9" ht="48" customHeight="1">
      <c r="A4959" s="3" t="s">
        <v>40</v>
      </c>
      <c r="B4959" s="3" t="s">
        <v>39</v>
      </c>
      <c r="C4959" s="4">
        <v>46266</v>
      </c>
      <c r="D4959" s="4">
        <v>46276</v>
      </c>
      <c r="E4959" s="3" t="s">
        <v>68</v>
      </c>
      <c r="F4959" s="3" t="s">
        <v>159</v>
      </c>
      <c r="G4959" s="5">
        <v>1E-3</v>
      </c>
      <c r="H4959" s="6" t="s">
        <v>64</v>
      </c>
      <c r="I4959" s="3" t="s">
        <v>45</v>
      </c>
    </row>
    <row r="4960" spans="1:9" ht="48" customHeight="1">
      <c r="A4960" s="3" t="s">
        <v>40</v>
      </c>
      <c r="B4960" s="3" t="s">
        <v>39</v>
      </c>
      <c r="C4960" s="4">
        <v>46266</v>
      </c>
      <c r="D4960" s="4">
        <v>46276</v>
      </c>
      <c r="E4960" s="3" t="s">
        <v>68</v>
      </c>
      <c r="F4960" s="3" t="s">
        <v>160</v>
      </c>
      <c r="G4960" s="5">
        <v>1E-3</v>
      </c>
      <c r="H4960" s="6" t="s">
        <v>64</v>
      </c>
      <c r="I4960" s="3" t="s">
        <v>45</v>
      </c>
    </row>
    <row r="4961" spans="1:9" ht="48" customHeight="1">
      <c r="A4961" s="3" t="s">
        <v>40</v>
      </c>
      <c r="B4961" s="3" t="s">
        <v>39</v>
      </c>
      <c r="C4961" s="4">
        <v>46266</v>
      </c>
      <c r="D4961" s="4">
        <v>46276</v>
      </c>
      <c r="E4961" s="3" t="s">
        <v>68</v>
      </c>
      <c r="F4961" s="3" t="s">
        <v>146</v>
      </c>
      <c r="G4961" s="5">
        <v>1E-3</v>
      </c>
      <c r="H4961" s="6" t="s">
        <v>64</v>
      </c>
      <c r="I4961" s="3" t="s">
        <v>45</v>
      </c>
    </row>
    <row r="4962" spans="1:9" ht="48" customHeight="1">
      <c r="A4962" s="3" t="s">
        <v>40</v>
      </c>
      <c r="B4962" s="3" t="s">
        <v>39</v>
      </c>
      <c r="C4962" s="4">
        <v>46266</v>
      </c>
      <c r="D4962" s="4">
        <v>46276</v>
      </c>
      <c r="E4962" s="3" t="s">
        <v>68</v>
      </c>
      <c r="F4962" s="3" t="s">
        <v>66</v>
      </c>
      <c r="G4962" s="5">
        <v>1E-3</v>
      </c>
      <c r="H4962" s="6" t="s">
        <v>64</v>
      </c>
      <c r="I4962" s="3" t="s">
        <v>45</v>
      </c>
    </row>
    <row r="4963" spans="1:9" ht="48" customHeight="1">
      <c r="A4963" s="3" t="s">
        <v>40</v>
      </c>
      <c r="B4963" s="3" t="s">
        <v>39</v>
      </c>
      <c r="C4963" s="4">
        <v>46266</v>
      </c>
      <c r="D4963" s="4">
        <v>46276</v>
      </c>
      <c r="E4963" s="3" t="s">
        <v>68</v>
      </c>
      <c r="F4963" s="3" t="s">
        <v>154</v>
      </c>
      <c r="G4963" s="5">
        <v>1E-3</v>
      </c>
      <c r="H4963" s="6" t="s">
        <v>64</v>
      </c>
      <c r="I4963" s="3" t="s">
        <v>45</v>
      </c>
    </row>
    <row r="4964" spans="1:9" ht="48" customHeight="1">
      <c r="A4964" s="3" t="s">
        <v>40</v>
      </c>
      <c r="B4964" s="3" t="s">
        <v>39</v>
      </c>
      <c r="C4964" s="4">
        <v>46266</v>
      </c>
      <c r="D4964" s="4">
        <v>46276</v>
      </c>
      <c r="E4964" s="3" t="s">
        <v>68</v>
      </c>
      <c r="F4964" s="3" t="s">
        <v>156</v>
      </c>
      <c r="G4964" s="5">
        <v>0</v>
      </c>
      <c r="H4964" s="6" t="s">
        <v>64</v>
      </c>
      <c r="I4964" s="3" t="s">
        <v>45</v>
      </c>
    </row>
    <row r="4965" spans="1:9" ht="48" customHeight="1">
      <c r="A4965" s="3" t="s">
        <v>40</v>
      </c>
      <c r="B4965" s="3" t="s">
        <v>39</v>
      </c>
      <c r="C4965" s="4">
        <v>46266</v>
      </c>
      <c r="D4965" s="4">
        <v>46276</v>
      </c>
      <c r="E4965" s="3" t="s">
        <v>68</v>
      </c>
      <c r="F4965" s="3" t="s">
        <v>158</v>
      </c>
      <c r="G4965" s="5">
        <v>0</v>
      </c>
      <c r="H4965" s="6" t="s">
        <v>64</v>
      </c>
      <c r="I4965" s="3" t="s">
        <v>45</v>
      </c>
    </row>
    <row r="4966" spans="1:9" ht="48" customHeight="1">
      <c r="A4966" s="3" t="s">
        <v>40</v>
      </c>
      <c r="B4966" s="3" t="s">
        <v>39</v>
      </c>
      <c r="C4966" s="4">
        <v>46266</v>
      </c>
      <c r="D4966" s="4">
        <v>46276</v>
      </c>
      <c r="E4966" s="3" t="s">
        <v>68</v>
      </c>
      <c r="F4966" s="3" t="s">
        <v>153</v>
      </c>
      <c r="G4966" s="5">
        <v>0</v>
      </c>
      <c r="H4966" s="6" t="s">
        <v>64</v>
      </c>
      <c r="I4966" s="3" t="s">
        <v>45</v>
      </c>
    </row>
    <row r="4967" spans="1:9" ht="48" customHeight="1">
      <c r="A4967" s="3" t="s">
        <v>40</v>
      </c>
      <c r="B4967" s="3" t="s">
        <v>39</v>
      </c>
      <c r="C4967" s="4">
        <v>46266</v>
      </c>
      <c r="D4967" s="4">
        <v>46276</v>
      </c>
      <c r="E4967" s="3" t="s">
        <v>364</v>
      </c>
      <c r="F4967" s="3" t="s">
        <v>366</v>
      </c>
      <c r="G4967" s="5">
        <v>4.0000000000000001E-3</v>
      </c>
      <c r="H4967" s="6" t="s">
        <v>64</v>
      </c>
      <c r="I4967" s="3" t="s">
        <v>45</v>
      </c>
    </row>
    <row r="4968" spans="1:9" ht="48" customHeight="1">
      <c r="A4968" s="3" t="s">
        <v>40</v>
      </c>
      <c r="B4968" s="3" t="s">
        <v>39</v>
      </c>
      <c r="C4968" s="4">
        <v>46266</v>
      </c>
      <c r="D4968" s="4">
        <v>46276</v>
      </c>
      <c r="E4968" s="3" t="s">
        <v>364</v>
      </c>
      <c r="F4968" s="3" t="s">
        <v>234</v>
      </c>
      <c r="G4968" s="5">
        <v>3.0000000000000001E-3</v>
      </c>
      <c r="H4968" s="6" t="s">
        <v>64</v>
      </c>
      <c r="I4968" s="3" t="s">
        <v>45</v>
      </c>
    </row>
    <row r="4969" spans="1:9" ht="48" customHeight="1">
      <c r="A4969" s="3" t="s">
        <v>40</v>
      </c>
      <c r="B4969" s="3" t="s">
        <v>39</v>
      </c>
      <c r="C4969" s="4">
        <v>46266</v>
      </c>
      <c r="D4969" s="4">
        <v>46276</v>
      </c>
      <c r="E4969" s="3" t="s">
        <v>364</v>
      </c>
      <c r="F4969" s="3" t="s">
        <v>262</v>
      </c>
      <c r="G4969" s="5">
        <v>3.0000000000000001E-3</v>
      </c>
      <c r="H4969" s="6" t="s">
        <v>64</v>
      </c>
      <c r="I4969" s="3" t="s">
        <v>45</v>
      </c>
    </row>
    <row r="4970" spans="1:9" ht="48" customHeight="1">
      <c r="A4970" s="3" t="s">
        <v>40</v>
      </c>
      <c r="B4970" s="3" t="s">
        <v>39</v>
      </c>
      <c r="C4970" s="4">
        <v>46266</v>
      </c>
      <c r="D4970" s="4">
        <v>46276</v>
      </c>
      <c r="E4970" s="3" t="s">
        <v>364</v>
      </c>
      <c r="F4970" s="3" t="s">
        <v>365</v>
      </c>
      <c r="G4970" s="5">
        <v>3.0000000000000001E-3</v>
      </c>
      <c r="H4970" s="6" t="s">
        <v>64</v>
      </c>
      <c r="I4970" s="3" t="s">
        <v>45</v>
      </c>
    </row>
    <row r="4971" spans="1:9" ht="48" customHeight="1">
      <c r="A4971" s="3" t="s">
        <v>40</v>
      </c>
      <c r="B4971" s="3" t="s">
        <v>39</v>
      </c>
      <c r="C4971" s="4">
        <v>46266</v>
      </c>
      <c r="D4971" s="4">
        <v>46276</v>
      </c>
      <c r="E4971" s="3" t="s">
        <v>364</v>
      </c>
      <c r="F4971" s="3" t="s">
        <v>367</v>
      </c>
      <c r="G4971" s="5">
        <v>2E-3</v>
      </c>
      <c r="H4971" s="6" t="s">
        <v>64</v>
      </c>
      <c r="I4971" s="3" t="s">
        <v>45</v>
      </c>
    </row>
    <row r="4972" spans="1:9" ht="48" customHeight="1">
      <c r="A4972" s="3" t="s">
        <v>40</v>
      </c>
      <c r="B4972" s="3" t="s">
        <v>39</v>
      </c>
      <c r="C4972" s="4">
        <v>46266</v>
      </c>
      <c r="D4972" s="4">
        <v>46276</v>
      </c>
      <c r="E4972" s="3" t="s">
        <v>364</v>
      </c>
      <c r="F4972" s="3" t="s">
        <v>230</v>
      </c>
      <c r="G4972" s="5">
        <v>1E-3</v>
      </c>
      <c r="H4972" s="6" t="s">
        <v>64</v>
      </c>
      <c r="I4972" s="3" t="s">
        <v>45</v>
      </c>
    </row>
    <row r="4973" spans="1:9" ht="48" customHeight="1">
      <c r="A4973" s="3" t="s">
        <v>40</v>
      </c>
      <c r="B4973" s="3" t="s">
        <v>39</v>
      </c>
      <c r="C4973" s="4">
        <v>46266</v>
      </c>
      <c r="D4973" s="4">
        <v>46276</v>
      </c>
      <c r="E4973" s="3" t="s">
        <v>364</v>
      </c>
      <c r="F4973" s="3" t="s">
        <v>232</v>
      </c>
      <c r="G4973" s="5">
        <v>1E-3</v>
      </c>
      <c r="H4973" s="6" t="s">
        <v>64</v>
      </c>
      <c r="I4973" s="3" t="s">
        <v>45</v>
      </c>
    </row>
    <row r="4974" spans="1:9" ht="48" customHeight="1">
      <c r="A4974" s="3" t="s">
        <v>40</v>
      </c>
      <c r="B4974" s="3" t="s">
        <v>39</v>
      </c>
      <c r="C4974" s="4">
        <v>46266</v>
      </c>
      <c r="D4974" s="4">
        <v>46276</v>
      </c>
      <c r="E4974" s="3" t="s">
        <v>364</v>
      </c>
      <c r="F4974" s="3" t="s">
        <v>265</v>
      </c>
      <c r="G4974" s="5">
        <v>1E-3</v>
      </c>
      <c r="H4974" s="6" t="s">
        <v>64</v>
      </c>
      <c r="I4974" s="3" t="s">
        <v>45</v>
      </c>
    </row>
    <row r="4975" spans="1:9" ht="48" customHeight="1">
      <c r="A4975" s="3" t="s">
        <v>40</v>
      </c>
      <c r="B4975" s="3" t="s">
        <v>39</v>
      </c>
      <c r="C4975" s="4">
        <v>46266</v>
      </c>
      <c r="D4975" s="4">
        <v>46276</v>
      </c>
      <c r="E4975" s="3" t="s">
        <v>364</v>
      </c>
      <c r="F4975" s="3" t="s">
        <v>79</v>
      </c>
      <c r="G4975" s="5">
        <v>1E-3</v>
      </c>
      <c r="H4975" s="6" t="s">
        <v>64</v>
      </c>
      <c r="I4975" s="3" t="s">
        <v>45</v>
      </c>
    </row>
    <row r="4976" spans="1:9" ht="48" customHeight="1">
      <c r="A4976" s="3" t="s">
        <v>40</v>
      </c>
      <c r="B4976" s="3" t="s">
        <v>39</v>
      </c>
      <c r="C4976" s="4">
        <v>46266</v>
      </c>
      <c r="D4976" s="4">
        <v>46276</v>
      </c>
      <c r="E4976" s="3" t="s">
        <v>231</v>
      </c>
      <c r="F4976" s="3" t="s">
        <v>232</v>
      </c>
      <c r="G4976" s="5">
        <v>5.0000000000000001E-3</v>
      </c>
      <c r="H4976" s="6" t="s">
        <v>64</v>
      </c>
      <c r="I4976" s="3" t="s">
        <v>45</v>
      </c>
    </row>
    <row r="4977" spans="1:9" ht="48" customHeight="1">
      <c r="A4977" s="3" t="s">
        <v>40</v>
      </c>
      <c r="B4977" s="3" t="s">
        <v>39</v>
      </c>
      <c r="C4977" s="4">
        <v>46266</v>
      </c>
      <c r="D4977" s="4">
        <v>46276</v>
      </c>
      <c r="E4977" s="3" t="s">
        <v>231</v>
      </c>
      <c r="F4977" s="3" t="s">
        <v>233</v>
      </c>
      <c r="G4977" s="5">
        <v>4.0000000000000001E-3</v>
      </c>
      <c r="H4977" s="6" t="s">
        <v>64</v>
      </c>
      <c r="I4977" s="3" t="s">
        <v>45</v>
      </c>
    </row>
    <row r="4978" spans="1:9" ht="48" customHeight="1">
      <c r="A4978" s="3" t="s">
        <v>40</v>
      </c>
      <c r="B4978" s="3" t="s">
        <v>39</v>
      </c>
      <c r="C4978" s="4">
        <v>46266</v>
      </c>
      <c r="D4978" s="4">
        <v>46276</v>
      </c>
      <c r="E4978" s="3" t="s">
        <v>231</v>
      </c>
      <c r="F4978" s="3" t="s">
        <v>230</v>
      </c>
      <c r="G4978" s="5">
        <v>3.0000000000000001E-3</v>
      </c>
      <c r="H4978" s="6" t="s">
        <v>64</v>
      </c>
      <c r="I4978" s="3" t="s">
        <v>45</v>
      </c>
    </row>
    <row r="4979" spans="1:9" ht="48" customHeight="1">
      <c r="A4979" s="3" t="s">
        <v>40</v>
      </c>
      <c r="B4979" s="3" t="s">
        <v>39</v>
      </c>
      <c r="C4979" s="4">
        <v>46266</v>
      </c>
      <c r="D4979" s="4">
        <v>46276</v>
      </c>
      <c r="E4979" s="3" t="s">
        <v>231</v>
      </c>
      <c r="F4979" s="3" t="s">
        <v>234</v>
      </c>
      <c r="G4979" s="5">
        <v>2E-3</v>
      </c>
      <c r="H4979" s="6" t="s">
        <v>64</v>
      </c>
      <c r="I4979" s="3" t="s">
        <v>45</v>
      </c>
    </row>
    <row r="4980" spans="1:9" ht="48" customHeight="1">
      <c r="A4980" s="3" t="s">
        <v>40</v>
      </c>
      <c r="B4980" s="3" t="s">
        <v>39</v>
      </c>
      <c r="C4980" s="4">
        <v>46266</v>
      </c>
      <c r="D4980" s="4">
        <v>46276</v>
      </c>
      <c r="E4980" s="3" t="s">
        <v>231</v>
      </c>
      <c r="F4980" s="3" t="s">
        <v>235</v>
      </c>
      <c r="G4980" s="5">
        <v>2E-3</v>
      </c>
      <c r="H4980" s="6" t="s">
        <v>64</v>
      </c>
      <c r="I4980" s="3" t="s">
        <v>45</v>
      </c>
    </row>
    <row r="4981" spans="1:9" ht="48" customHeight="1">
      <c r="A4981" s="3" t="s">
        <v>40</v>
      </c>
      <c r="B4981" s="3" t="s">
        <v>39</v>
      </c>
      <c r="C4981" s="4">
        <v>46266</v>
      </c>
      <c r="D4981" s="4">
        <v>46276</v>
      </c>
      <c r="E4981" s="3" t="s">
        <v>368</v>
      </c>
      <c r="F4981" s="3" t="s">
        <v>369</v>
      </c>
      <c r="G4981" s="5">
        <v>2E-3</v>
      </c>
      <c r="H4981" s="6" t="s">
        <v>64</v>
      </c>
      <c r="I4981" s="3" t="s">
        <v>45</v>
      </c>
    </row>
    <row r="4982" spans="1:9" ht="48" customHeight="1">
      <c r="A4982" s="3" t="s">
        <v>40</v>
      </c>
      <c r="B4982" s="3" t="s">
        <v>39</v>
      </c>
      <c r="C4982" s="4">
        <v>46266</v>
      </c>
      <c r="D4982" s="4">
        <v>46276</v>
      </c>
      <c r="E4982" s="3" t="s">
        <v>368</v>
      </c>
      <c r="F4982" s="3" t="s">
        <v>370</v>
      </c>
      <c r="G4982" s="5">
        <v>2E-3</v>
      </c>
      <c r="H4982" s="6" t="s">
        <v>64</v>
      </c>
      <c r="I4982" s="3" t="s">
        <v>45</v>
      </c>
    </row>
    <row r="4983" spans="1:9" ht="48" customHeight="1">
      <c r="A4983" s="3" t="s">
        <v>40</v>
      </c>
      <c r="B4983" s="3" t="s">
        <v>39</v>
      </c>
      <c r="C4983" s="4">
        <v>46266</v>
      </c>
      <c r="D4983" s="4">
        <v>46276</v>
      </c>
      <c r="E4983" s="3" t="s">
        <v>368</v>
      </c>
      <c r="F4983" s="3" t="s">
        <v>372</v>
      </c>
      <c r="G4983" s="5">
        <v>1E-3</v>
      </c>
      <c r="H4983" s="6" t="s">
        <v>64</v>
      </c>
      <c r="I4983" s="3" t="s">
        <v>45</v>
      </c>
    </row>
    <row r="4984" spans="1:9" ht="48" customHeight="1">
      <c r="A4984" s="3" t="s">
        <v>40</v>
      </c>
      <c r="B4984" s="3" t="s">
        <v>39</v>
      </c>
      <c r="C4984" s="4">
        <v>46266</v>
      </c>
      <c r="D4984" s="4">
        <v>46276</v>
      </c>
      <c r="E4984" s="3" t="s">
        <v>368</v>
      </c>
      <c r="F4984" s="3" t="s">
        <v>373</v>
      </c>
      <c r="G4984" s="5">
        <v>1E-3</v>
      </c>
      <c r="H4984" s="6" t="s">
        <v>64</v>
      </c>
      <c r="I4984" s="3" t="s">
        <v>45</v>
      </c>
    </row>
    <row r="4985" spans="1:9" ht="48" customHeight="1">
      <c r="A4985" s="3" t="s">
        <v>40</v>
      </c>
      <c r="B4985" s="3" t="s">
        <v>39</v>
      </c>
      <c r="C4985" s="4">
        <v>46266</v>
      </c>
      <c r="D4985" s="4">
        <v>46276</v>
      </c>
      <c r="E4985" s="3" t="s">
        <v>368</v>
      </c>
      <c r="F4985" s="3" t="s">
        <v>265</v>
      </c>
      <c r="G4985" s="5">
        <v>1E-3</v>
      </c>
      <c r="H4985" s="6" t="s">
        <v>64</v>
      </c>
      <c r="I4985" s="3" t="s">
        <v>45</v>
      </c>
    </row>
    <row r="4986" spans="1:9" ht="48" customHeight="1">
      <c r="A4986" s="3" t="s">
        <v>40</v>
      </c>
      <c r="B4986" s="3" t="s">
        <v>39</v>
      </c>
      <c r="C4986" s="4">
        <v>46266</v>
      </c>
      <c r="D4986" s="4">
        <v>46276</v>
      </c>
      <c r="E4986" s="3" t="s">
        <v>368</v>
      </c>
      <c r="F4986" s="3" t="s">
        <v>262</v>
      </c>
      <c r="G4986" s="5">
        <v>1E-3</v>
      </c>
      <c r="H4986" s="6" t="s">
        <v>64</v>
      </c>
      <c r="I4986" s="3" t="s">
        <v>45</v>
      </c>
    </row>
    <row r="4987" spans="1:9" ht="48" customHeight="1">
      <c r="A4987" s="3" t="s">
        <v>40</v>
      </c>
      <c r="B4987" s="3" t="s">
        <v>39</v>
      </c>
      <c r="C4987" s="4">
        <v>46266</v>
      </c>
      <c r="D4987" s="4">
        <v>46276</v>
      </c>
      <c r="E4987" s="3" t="s">
        <v>368</v>
      </c>
      <c r="F4987" s="3" t="s">
        <v>371</v>
      </c>
      <c r="G4987" s="5">
        <v>1E-3</v>
      </c>
      <c r="H4987" s="6" t="s">
        <v>64</v>
      </c>
      <c r="I4987" s="3" t="s">
        <v>45</v>
      </c>
    </row>
    <row r="4988" spans="1:9" ht="48" customHeight="1">
      <c r="A4988" s="3" t="s">
        <v>40</v>
      </c>
      <c r="B4988" s="3" t="s">
        <v>39</v>
      </c>
      <c r="C4988" s="4">
        <v>46266</v>
      </c>
      <c r="D4988" s="4">
        <v>46276</v>
      </c>
      <c r="E4988" s="3" t="s">
        <v>368</v>
      </c>
      <c r="F4988" s="3" t="s">
        <v>374</v>
      </c>
      <c r="G4988" s="5">
        <v>1E-3</v>
      </c>
      <c r="H4988" s="6" t="s">
        <v>64</v>
      </c>
      <c r="I4988" s="3" t="s">
        <v>45</v>
      </c>
    </row>
    <row r="4989" spans="1:9" ht="48" customHeight="1">
      <c r="A4989" s="3" t="s">
        <v>40</v>
      </c>
      <c r="B4989" s="3" t="s">
        <v>39</v>
      </c>
      <c r="C4989" s="4">
        <v>46266</v>
      </c>
      <c r="D4989" s="4">
        <v>46276</v>
      </c>
      <c r="E4989" s="3" t="s">
        <v>368</v>
      </c>
      <c r="F4989" s="3" t="s">
        <v>375</v>
      </c>
      <c r="G4989" s="5">
        <v>1E-3</v>
      </c>
      <c r="H4989" s="6" t="s">
        <v>64</v>
      </c>
      <c r="I4989" s="3" t="s">
        <v>45</v>
      </c>
    </row>
    <row r="4990" spans="1:9" ht="48" customHeight="1">
      <c r="A4990" s="3" t="s">
        <v>40</v>
      </c>
      <c r="B4990" s="3" t="s">
        <v>39</v>
      </c>
      <c r="C4990" s="4">
        <v>46266</v>
      </c>
      <c r="D4990" s="4">
        <v>46276</v>
      </c>
      <c r="E4990" s="3" t="s">
        <v>368</v>
      </c>
      <c r="F4990" s="3" t="s">
        <v>376</v>
      </c>
      <c r="G4990" s="5">
        <v>1E-3</v>
      </c>
      <c r="H4990" s="6" t="s">
        <v>64</v>
      </c>
      <c r="I4990" s="3" t="s">
        <v>45</v>
      </c>
    </row>
    <row r="4991" spans="1:9" ht="48" customHeight="1">
      <c r="A4991" s="3" t="s">
        <v>40</v>
      </c>
      <c r="B4991" s="3" t="s">
        <v>39</v>
      </c>
      <c r="C4991" s="4">
        <v>46266</v>
      </c>
      <c r="D4991" s="4">
        <v>46276</v>
      </c>
      <c r="E4991" s="3" t="s">
        <v>368</v>
      </c>
      <c r="F4991" s="3" t="s">
        <v>377</v>
      </c>
      <c r="G4991" s="5">
        <v>1E-3</v>
      </c>
      <c r="H4991" s="6" t="s">
        <v>64</v>
      </c>
      <c r="I4991" s="3" t="s">
        <v>45</v>
      </c>
    </row>
    <row r="4992" spans="1:9" ht="48" customHeight="1">
      <c r="A4992" s="3" t="s">
        <v>40</v>
      </c>
      <c r="B4992" s="3" t="s">
        <v>39</v>
      </c>
      <c r="C4992" s="4">
        <v>46266</v>
      </c>
      <c r="D4992" s="4">
        <v>46276</v>
      </c>
      <c r="E4992" s="3" t="s">
        <v>368</v>
      </c>
      <c r="F4992" s="3" t="s">
        <v>378</v>
      </c>
      <c r="G4992" s="5">
        <v>1E-3</v>
      </c>
      <c r="H4992" s="6" t="s">
        <v>64</v>
      </c>
      <c r="I4992" s="3" t="s">
        <v>45</v>
      </c>
    </row>
    <row r="4993" spans="1:9" ht="48" customHeight="1">
      <c r="A4993" s="3" t="s">
        <v>40</v>
      </c>
      <c r="B4993" s="3" t="s">
        <v>39</v>
      </c>
      <c r="C4993" s="4">
        <v>46266</v>
      </c>
      <c r="D4993" s="4">
        <v>46276</v>
      </c>
      <c r="E4993" s="3" t="s">
        <v>368</v>
      </c>
      <c r="F4993" s="3" t="s">
        <v>230</v>
      </c>
      <c r="G4993" s="5">
        <v>0</v>
      </c>
      <c r="H4993" s="6" t="s">
        <v>64</v>
      </c>
      <c r="I4993" s="3" t="s">
        <v>45</v>
      </c>
    </row>
    <row r="4994" spans="1:9" ht="48" customHeight="1">
      <c r="A4994" s="3" t="s">
        <v>40</v>
      </c>
      <c r="B4994" s="3" t="s">
        <v>39</v>
      </c>
      <c r="C4994" s="4">
        <v>46266</v>
      </c>
      <c r="D4994" s="4">
        <v>46276</v>
      </c>
      <c r="E4994" s="3" t="s">
        <v>368</v>
      </c>
      <c r="F4994" s="3" t="s">
        <v>232</v>
      </c>
      <c r="G4994" s="5">
        <v>0</v>
      </c>
      <c r="H4994" s="6" t="s">
        <v>64</v>
      </c>
      <c r="I4994" s="3" t="s">
        <v>45</v>
      </c>
    </row>
    <row r="4995" spans="1:9" ht="48" customHeight="1">
      <c r="A4995" s="3" t="s">
        <v>40</v>
      </c>
      <c r="B4995" s="3" t="s">
        <v>39</v>
      </c>
      <c r="C4995" s="4">
        <v>46266</v>
      </c>
      <c r="D4995" s="4">
        <v>46276</v>
      </c>
      <c r="E4995" s="3" t="s">
        <v>368</v>
      </c>
      <c r="F4995" s="3" t="s">
        <v>234</v>
      </c>
      <c r="G4995" s="5">
        <v>0</v>
      </c>
      <c r="H4995" s="6" t="s">
        <v>64</v>
      </c>
      <c r="I4995" s="3" t="s">
        <v>45</v>
      </c>
    </row>
    <row r="4996" spans="1:9" ht="48" customHeight="1">
      <c r="A4996" s="3" t="s">
        <v>40</v>
      </c>
      <c r="B4996" s="3" t="s">
        <v>39</v>
      </c>
      <c r="C4996" s="4">
        <v>46266</v>
      </c>
      <c r="D4996" s="4">
        <v>46276</v>
      </c>
      <c r="E4996" s="3" t="s">
        <v>368</v>
      </c>
      <c r="F4996" s="3" t="s">
        <v>207</v>
      </c>
      <c r="G4996" s="5">
        <v>0</v>
      </c>
      <c r="H4996" s="6" t="s">
        <v>64</v>
      </c>
      <c r="I4996" s="3" t="s">
        <v>45</v>
      </c>
    </row>
    <row r="4997" spans="1:9" ht="48" customHeight="1">
      <c r="A4997" s="3" t="s">
        <v>40</v>
      </c>
      <c r="B4997" s="3" t="s">
        <v>39</v>
      </c>
      <c r="C4997" s="4">
        <v>46266</v>
      </c>
      <c r="D4997" s="4">
        <v>46276</v>
      </c>
      <c r="E4997" s="3" t="s">
        <v>302</v>
      </c>
      <c r="F4997" s="3" t="s">
        <v>307</v>
      </c>
      <c r="G4997" s="5">
        <v>2E-3</v>
      </c>
      <c r="H4997" s="6" t="s">
        <v>64</v>
      </c>
      <c r="I4997" s="3" t="s">
        <v>45</v>
      </c>
    </row>
    <row r="4998" spans="1:9" ht="48" customHeight="1">
      <c r="A4998" s="3" t="s">
        <v>40</v>
      </c>
      <c r="B4998" s="3" t="s">
        <v>39</v>
      </c>
      <c r="C4998" s="4">
        <v>46266</v>
      </c>
      <c r="D4998" s="4">
        <v>46276</v>
      </c>
      <c r="E4998" s="3" t="s">
        <v>302</v>
      </c>
      <c r="F4998" s="3" t="s">
        <v>303</v>
      </c>
      <c r="G4998" s="5">
        <v>1E-3</v>
      </c>
      <c r="H4998" s="6" t="s">
        <v>64</v>
      </c>
      <c r="I4998" s="3" t="s">
        <v>45</v>
      </c>
    </row>
    <row r="4999" spans="1:9" ht="48" customHeight="1">
      <c r="A4999" s="3" t="s">
        <v>40</v>
      </c>
      <c r="B4999" s="3" t="s">
        <v>39</v>
      </c>
      <c r="C4999" s="4">
        <v>46266</v>
      </c>
      <c r="D4999" s="4">
        <v>46276</v>
      </c>
      <c r="E4999" s="3" t="s">
        <v>302</v>
      </c>
      <c r="F4999" s="3" t="s">
        <v>304</v>
      </c>
      <c r="G4999" s="5">
        <v>1E-3</v>
      </c>
      <c r="H4999" s="6" t="s">
        <v>64</v>
      </c>
      <c r="I4999" s="3" t="s">
        <v>45</v>
      </c>
    </row>
    <row r="5000" spans="1:9" ht="48" customHeight="1">
      <c r="A5000" s="3" t="s">
        <v>40</v>
      </c>
      <c r="B5000" s="3" t="s">
        <v>39</v>
      </c>
      <c r="C5000" s="4">
        <v>46266</v>
      </c>
      <c r="D5000" s="4">
        <v>46276</v>
      </c>
      <c r="E5000" s="3" t="s">
        <v>302</v>
      </c>
      <c r="F5000" s="3" t="s">
        <v>311</v>
      </c>
      <c r="G5000" s="5">
        <v>1E-3</v>
      </c>
      <c r="H5000" s="6" t="s">
        <v>64</v>
      </c>
      <c r="I5000" s="3" t="s">
        <v>45</v>
      </c>
    </row>
    <row r="5001" spans="1:9" ht="48" customHeight="1">
      <c r="A5001" s="3" t="s">
        <v>40</v>
      </c>
      <c r="B5001" s="3" t="s">
        <v>39</v>
      </c>
      <c r="C5001" s="4">
        <v>46266</v>
      </c>
      <c r="D5001" s="4">
        <v>46276</v>
      </c>
      <c r="E5001" s="3" t="s">
        <v>302</v>
      </c>
      <c r="F5001" s="3" t="s">
        <v>305</v>
      </c>
      <c r="G5001" s="5">
        <v>1E-3</v>
      </c>
      <c r="H5001" s="6" t="s">
        <v>64</v>
      </c>
      <c r="I5001" s="3" t="s">
        <v>45</v>
      </c>
    </row>
    <row r="5002" spans="1:9" ht="48" customHeight="1">
      <c r="A5002" s="3" t="s">
        <v>40</v>
      </c>
      <c r="B5002" s="3" t="s">
        <v>39</v>
      </c>
      <c r="C5002" s="4">
        <v>46266</v>
      </c>
      <c r="D5002" s="4">
        <v>46276</v>
      </c>
      <c r="E5002" s="3" t="s">
        <v>302</v>
      </c>
      <c r="F5002" s="3" t="s">
        <v>306</v>
      </c>
      <c r="G5002" s="5">
        <v>1E-3</v>
      </c>
      <c r="H5002" s="6" t="s">
        <v>64</v>
      </c>
      <c r="I5002" s="3" t="s">
        <v>45</v>
      </c>
    </row>
    <row r="5003" spans="1:9" ht="48" customHeight="1">
      <c r="A5003" s="3" t="s">
        <v>40</v>
      </c>
      <c r="B5003" s="3" t="s">
        <v>39</v>
      </c>
      <c r="C5003" s="4">
        <v>46266</v>
      </c>
      <c r="D5003" s="4">
        <v>46276</v>
      </c>
      <c r="E5003" s="3" t="s">
        <v>302</v>
      </c>
      <c r="F5003" s="3" t="s">
        <v>308</v>
      </c>
      <c r="G5003" s="5">
        <v>1E-3</v>
      </c>
      <c r="H5003" s="6" t="s">
        <v>64</v>
      </c>
      <c r="I5003" s="3" t="s">
        <v>45</v>
      </c>
    </row>
    <row r="5004" spans="1:9" ht="48" customHeight="1">
      <c r="A5004" s="3" t="s">
        <v>40</v>
      </c>
      <c r="B5004" s="3" t="s">
        <v>39</v>
      </c>
      <c r="C5004" s="4">
        <v>46266</v>
      </c>
      <c r="D5004" s="4">
        <v>46276</v>
      </c>
      <c r="E5004" s="3" t="s">
        <v>302</v>
      </c>
      <c r="F5004" s="3" t="s">
        <v>309</v>
      </c>
      <c r="G5004" s="5">
        <v>1E-3</v>
      </c>
      <c r="H5004" s="6" t="s">
        <v>64</v>
      </c>
      <c r="I5004" s="3" t="s">
        <v>45</v>
      </c>
    </row>
    <row r="5005" spans="1:9" ht="48" customHeight="1">
      <c r="A5005" s="3" t="s">
        <v>40</v>
      </c>
      <c r="B5005" s="3" t="s">
        <v>39</v>
      </c>
      <c r="C5005" s="4">
        <v>46266</v>
      </c>
      <c r="D5005" s="4">
        <v>46276</v>
      </c>
      <c r="E5005" s="3" t="s">
        <v>302</v>
      </c>
      <c r="F5005" s="3" t="s">
        <v>317</v>
      </c>
      <c r="G5005" s="5">
        <v>1E-3</v>
      </c>
      <c r="H5005" s="6" t="s">
        <v>64</v>
      </c>
      <c r="I5005" s="3" t="s">
        <v>45</v>
      </c>
    </row>
    <row r="5006" spans="1:9" ht="48" customHeight="1">
      <c r="A5006" s="3" t="s">
        <v>40</v>
      </c>
      <c r="B5006" s="3" t="s">
        <v>39</v>
      </c>
      <c r="C5006" s="4">
        <v>46266</v>
      </c>
      <c r="D5006" s="4">
        <v>46276</v>
      </c>
      <c r="E5006" s="3" t="s">
        <v>302</v>
      </c>
      <c r="F5006" s="3" t="s">
        <v>310</v>
      </c>
      <c r="G5006" s="5">
        <v>0</v>
      </c>
      <c r="H5006" s="6" t="s">
        <v>64</v>
      </c>
      <c r="I5006" s="3" t="s">
        <v>45</v>
      </c>
    </row>
    <row r="5007" spans="1:9" ht="48" customHeight="1">
      <c r="A5007" s="3" t="s">
        <v>40</v>
      </c>
      <c r="B5007" s="3" t="s">
        <v>39</v>
      </c>
      <c r="C5007" s="4">
        <v>46266</v>
      </c>
      <c r="D5007" s="4">
        <v>46276</v>
      </c>
      <c r="E5007" s="3" t="s">
        <v>302</v>
      </c>
      <c r="F5007" s="3" t="s">
        <v>312</v>
      </c>
      <c r="G5007" s="5">
        <v>0</v>
      </c>
      <c r="H5007" s="6" t="s">
        <v>64</v>
      </c>
      <c r="I5007" s="3" t="s">
        <v>45</v>
      </c>
    </row>
    <row r="5008" spans="1:9" ht="48" customHeight="1">
      <c r="A5008" s="3" t="s">
        <v>40</v>
      </c>
      <c r="B5008" s="3" t="s">
        <v>39</v>
      </c>
      <c r="C5008" s="4">
        <v>46266</v>
      </c>
      <c r="D5008" s="4">
        <v>46276</v>
      </c>
      <c r="E5008" s="3" t="s">
        <v>302</v>
      </c>
      <c r="F5008" s="3" t="s">
        <v>313</v>
      </c>
      <c r="G5008" s="5">
        <v>0</v>
      </c>
      <c r="H5008" s="6" t="s">
        <v>64</v>
      </c>
      <c r="I5008" s="3" t="s">
        <v>45</v>
      </c>
    </row>
    <row r="5009" spans="1:9" ht="48" customHeight="1">
      <c r="A5009" s="3" t="s">
        <v>40</v>
      </c>
      <c r="B5009" s="3" t="s">
        <v>39</v>
      </c>
      <c r="C5009" s="4">
        <v>46266</v>
      </c>
      <c r="D5009" s="4">
        <v>46276</v>
      </c>
      <c r="E5009" s="3" t="s">
        <v>302</v>
      </c>
      <c r="F5009" s="3" t="s">
        <v>314</v>
      </c>
      <c r="G5009" s="5">
        <v>0</v>
      </c>
      <c r="H5009" s="6" t="s">
        <v>64</v>
      </c>
      <c r="I5009" s="3" t="s">
        <v>45</v>
      </c>
    </row>
    <row r="5010" spans="1:9" ht="48" customHeight="1">
      <c r="A5010" s="3" t="s">
        <v>40</v>
      </c>
      <c r="B5010" s="3" t="s">
        <v>39</v>
      </c>
      <c r="C5010" s="4">
        <v>46266</v>
      </c>
      <c r="D5010" s="4">
        <v>46276</v>
      </c>
      <c r="E5010" s="3" t="s">
        <v>302</v>
      </c>
      <c r="F5010" s="3" t="s">
        <v>315</v>
      </c>
      <c r="G5010" s="5">
        <v>0</v>
      </c>
      <c r="H5010" s="6" t="s">
        <v>64</v>
      </c>
      <c r="I5010" s="3" t="s">
        <v>45</v>
      </c>
    </row>
    <row r="5011" spans="1:9" ht="48" customHeight="1">
      <c r="A5011" s="3" t="s">
        <v>40</v>
      </c>
      <c r="B5011" s="3" t="s">
        <v>39</v>
      </c>
      <c r="C5011" s="4">
        <v>46266</v>
      </c>
      <c r="D5011" s="4">
        <v>46276</v>
      </c>
      <c r="E5011" s="3" t="s">
        <v>302</v>
      </c>
      <c r="F5011" s="3" t="s">
        <v>316</v>
      </c>
      <c r="G5011" s="5">
        <v>0</v>
      </c>
      <c r="H5011" s="6" t="s">
        <v>64</v>
      </c>
      <c r="I5011" s="3" t="s">
        <v>45</v>
      </c>
    </row>
    <row r="5012" spans="1:9" ht="48" customHeight="1">
      <c r="A5012" s="3" t="s">
        <v>40</v>
      </c>
      <c r="B5012" s="3" t="s">
        <v>39</v>
      </c>
      <c r="C5012" s="4">
        <v>46266</v>
      </c>
      <c r="D5012" s="4">
        <v>46276</v>
      </c>
      <c r="E5012" s="3" t="s">
        <v>302</v>
      </c>
      <c r="F5012" s="3" t="s">
        <v>318</v>
      </c>
      <c r="G5012" s="5">
        <v>0</v>
      </c>
      <c r="H5012" s="6" t="s">
        <v>64</v>
      </c>
      <c r="I5012" s="3" t="s">
        <v>45</v>
      </c>
    </row>
    <row r="5013" spans="1:9" ht="48" customHeight="1">
      <c r="A5013" s="3" t="s">
        <v>40</v>
      </c>
      <c r="B5013" s="3" t="s">
        <v>39</v>
      </c>
      <c r="C5013" s="4">
        <v>46266</v>
      </c>
      <c r="D5013" s="4">
        <v>46276</v>
      </c>
      <c r="E5013" s="3" t="s">
        <v>302</v>
      </c>
      <c r="F5013" s="3" t="s">
        <v>319</v>
      </c>
      <c r="G5013" s="5">
        <v>0</v>
      </c>
      <c r="H5013" s="6" t="s">
        <v>64</v>
      </c>
      <c r="I5013" s="3" t="s">
        <v>45</v>
      </c>
    </row>
    <row r="5014" spans="1:9" ht="48" customHeight="1">
      <c r="A5014" s="3" t="s">
        <v>40</v>
      </c>
      <c r="B5014" s="3" t="s">
        <v>39</v>
      </c>
      <c r="C5014" s="4">
        <v>46266</v>
      </c>
      <c r="D5014" s="4">
        <v>46276</v>
      </c>
      <c r="E5014" s="3" t="s">
        <v>302</v>
      </c>
      <c r="F5014" s="3" t="s">
        <v>320</v>
      </c>
      <c r="G5014" s="5">
        <v>0</v>
      </c>
      <c r="H5014" s="6" t="s">
        <v>64</v>
      </c>
      <c r="I5014" s="3" t="s">
        <v>45</v>
      </c>
    </row>
    <row r="5015" spans="1:9" ht="48" customHeight="1">
      <c r="A5015" s="3" t="s">
        <v>40</v>
      </c>
      <c r="B5015" s="3" t="s">
        <v>39</v>
      </c>
      <c r="C5015" s="4">
        <v>46266</v>
      </c>
      <c r="D5015" s="4">
        <v>46276</v>
      </c>
      <c r="E5015" s="3" t="s">
        <v>302</v>
      </c>
      <c r="F5015" s="3" t="s">
        <v>321</v>
      </c>
      <c r="G5015" s="5">
        <v>0</v>
      </c>
      <c r="H5015" s="6" t="s">
        <v>64</v>
      </c>
      <c r="I5015" s="3" t="s">
        <v>45</v>
      </c>
    </row>
    <row r="5016" spans="1:9" ht="48" customHeight="1">
      <c r="A5016" s="3" t="s">
        <v>40</v>
      </c>
      <c r="B5016" s="3" t="s">
        <v>39</v>
      </c>
      <c r="C5016" s="4">
        <v>46266</v>
      </c>
      <c r="D5016" s="4">
        <v>46276</v>
      </c>
      <c r="E5016" s="3" t="s">
        <v>302</v>
      </c>
      <c r="F5016" s="3" t="s">
        <v>322</v>
      </c>
      <c r="G5016" s="5">
        <v>0</v>
      </c>
      <c r="H5016" s="6" t="s">
        <v>64</v>
      </c>
      <c r="I5016" s="3" t="s">
        <v>45</v>
      </c>
    </row>
    <row r="5017" spans="1:9" ht="48" customHeight="1">
      <c r="A5017" s="3" t="s">
        <v>40</v>
      </c>
      <c r="B5017" s="3" t="s">
        <v>39</v>
      </c>
      <c r="C5017" s="4">
        <v>46266</v>
      </c>
      <c r="D5017" s="4">
        <v>46276</v>
      </c>
      <c r="E5017" s="3" t="s">
        <v>302</v>
      </c>
      <c r="F5017" s="3" t="s">
        <v>323</v>
      </c>
      <c r="G5017" s="5">
        <v>0</v>
      </c>
      <c r="H5017" s="6" t="s">
        <v>64</v>
      </c>
      <c r="I5017" s="3" t="s">
        <v>45</v>
      </c>
    </row>
    <row r="5018" spans="1:9" ht="48" customHeight="1">
      <c r="A5018" s="3" t="s">
        <v>40</v>
      </c>
      <c r="B5018" s="3" t="s">
        <v>39</v>
      </c>
      <c r="C5018" s="4">
        <v>46266</v>
      </c>
      <c r="D5018" s="4">
        <v>46276</v>
      </c>
      <c r="E5018" s="3" t="s">
        <v>302</v>
      </c>
      <c r="F5018" s="3" t="s">
        <v>324</v>
      </c>
      <c r="G5018" s="5">
        <v>0</v>
      </c>
      <c r="H5018" s="6" t="s">
        <v>64</v>
      </c>
      <c r="I5018" s="3" t="s">
        <v>45</v>
      </c>
    </row>
    <row r="5019" spans="1:9" ht="48" customHeight="1">
      <c r="A5019" s="3" t="s">
        <v>40</v>
      </c>
      <c r="B5019" s="3" t="s">
        <v>39</v>
      </c>
      <c r="C5019" s="4">
        <v>46266</v>
      </c>
      <c r="D5019" s="4">
        <v>46276</v>
      </c>
      <c r="E5019" s="3" t="s">
        <v>260</v>
      </c>
      <c r="F5019" s="3" t="s">
        <v>263</v>
      </c>
      <c r="G5019" s="5">
        <v>1E-3</v>
      </c>
      <c r="H5019" s="6" t="s">
        <v>64</v>
      </c>
      <c r="I5019" s="3" t="s">
        <v>45</v>
      </c>
    </row>
    <row r="5020" spans="1:9" ht="48" customHeight="1">
      <c r="A5020" s="3" t="s">
        <v>40</v>
      </c>
      <c r="B5020" s="3" t="s">
        <v>39</v>
      </c>
      <c r="C5020" s="4">
        <v>46266</v>
      </c>
      <c r="D5020" s="4">
        <v>46276</v>
      </c>
      <c r="E5020" s="3" t="s">
        <v>260</v>
      </c>
      <c r="F5020" s="3" t="s">
        <v>266</v>
      </c>
      <c r="G5020" s="5">
        <v>1E-3</v>
      </c>
      <c r="H5020" s="6" t="s">
        <v>64</v>
      </c>
      <c r="I5020" s="3" t="s">
        <v>45</v>
      </c>
    </row>
    <row r="5021" spans="1:9" ht="48" customHeight="1">
      <c r="A5021" s="3" t="s">
        <v>40</v>
      </c>
      <c r="B5021" s="3" t="s">
        <v>39</v>
      </c>
      <c r="C5021" s="4">
        <v>46266</v>
      </c>
      <c r="D5021" s="4">
        <v>46276</v>
      </c>
      <c r="E5021" s="3" t="s">
        <v>260</v>
      </c>
      <c r="F5021" s="3" t="s">
        <v>264</v>
      </c>
      <c r="G5021" s="5">
        <v>1E-3</v>
      </c>
      <c r="H5021" s="6" t="s">
        <v>64</v>
      </c>
      <c r="I5021" s="3" t="s">
        <v>45</v>
      </c>
    </row>
    <row r="5022" spans="1:9" ht="48" customHeight="1">
      <c r="A5022" s="3" t="s">
        <v>40</v>
      </c>
      <c r="B5022" s="3" t="s">
        <v>39</v>
      </c>
      <c r="C5022" s="4">
        <v>46266</v>
      </c>
      <c r="D5022" s="4">
        <v>46276</v>
      </c>
      <c r="E5022" s="3" t="s">
        <v>260</v>
      </c>
      <c r="F5022" s="3" t="s">
        <v>267</v>
      </c>
      <c r="G5022" s="5">
        <v>1E-3</v>
      </c>
      <c r="H5022" s="6" t="s">
        <v>64</v>
      </c>
      <c r="I5022" s="3" t="s">
        <v>45</v>
      </c>
    </row>
    <row r="5023" spans="1:9" ht="48" customHeight="1">
      <c r="A5023" s="3" t="s">
        <v>40</v>
      </c>
      <c r="B5023" s="3" t="s">
        <v>39</v>
      </c>
      <c r="C5023" s="4">
        <v>46266</v>
      </c>
      <c r="D5023" s="4">
        <v>46276</v>
      </c>
      <c r="E5023" s="3" t="s">
        <v>260</v>
      </c>
      <c r="F5023" s="3" t="s">
        <v>268</v>
      </c>
      <c r="G5023" s="5">
        <v>1E-3</v>
      </c>
      <c r="H5023" s="6" t="s">
        <v>64</v>
      </c>
      <c r="I5023" s="3" t="s">
        <v>45</v>
      </c>
    </row>
    <row r="5024" spans="1:9" ht="48" customHeight="1">
      <c r="A5024" s="3" t="s">
        <v>40</v>
      </c>
      <c r="B5024" s="3" t="s">
        <v>39</v>
      </c>
      <c r="C5024" s="4">
        <v>46266</v>
      </c>
      <c r="D5024" s="4">
        <v>46276</v>
      </c>
      <c r="E5024" s="3" t="s">
        <v>260</v>
      </c>
      <c r="F5024" s="3" t="s">
        <v>232</v>
      </c>
      <c r="G5024" s="5">
        <v>1E-3</v>
      </c>
      <c r="H5024" s="6" t="s">
        <v>64</v>
      </c>
      <c r="I5024" s="3" t="s">
        <v>45</v>
      </c>
    </row>
    <row r="5025" spans="1:9" ht="48" customHeight="1">
      <c r="A5025" s="3" t="s">
        <v>40</v>
      </c>
      <c r="B5025" s="3" t="s">
        <v>39</v>
      </c>
      <c r="C5025" s="4">
        <v>46266</v>
      </c>
      <c r="D5025" s="4">
        <v>46276</v>
      </c>
      <c r="E5025" s="3" t="s">
        <v>260</v>
      </c>
      <c r="F5025" s="3" t="s">
        <v>262</v>
      </c>
      <c r="G5025" s="5">
        <v>1E-3</v>
      </c>
      <c r="H5025" s="6" t="s">
        <v>64</v>
      </c>
      <c r="I5025" s="3" t="s">
        <v>45</v>
      </c>
    </row>
    <row r="5026" spans="1:9" ht="48" customHeight="1">
      <c r="A5026" s="3" t="s">
        <v>40</v>
      </c>
      <c r="B5026" s="3" t="s">
        <v>39</v>
      </c>
      <c r="C5026" s="4">
        <v>46266</v>
      </c>
      <c r="D5026" s="4">
        <v>46276</v>
      </c>
      <c r="E5026" s="3" t="s">
        <v>260</v>
      </c>
      <c r="F5026" s="3" t="s">
        <v>261</v>
      </c>
      <c r="G5026" s="5">
        <v>1E-3</v>
      </c>
      <c r="H5026" s="6" t="s">
        <v>64</v>
      </c>
      <c r="I5026" s="3" t="s">
        <v>45</v>
      </c>
    </row>
    <row r="5027" spans="1:9" ht="48" customHeight="1">
      <c r="A5027" s="3" t="s">
        <v>40</v>
      </c>
      <c r="B5027" s="3" t="s">
        <v>39</v>
      </c>
      <c r="C5027" s="4">
        <v>46266</v>
      </c>
      <c r="D5027" s="4">
        <v>46276</v>
      </c>
      <c r="E5027" s="3" t="s">
        <v>260</v>
      </c>
      <c r="F5027" s="3" t="s">
        <v>234</v>
      </c>
      <c r="G5027" s="5">
        <v>0</v>
      </c>
      <c r="H5027" s="6" t="s">
        <v>64</v>
      </c>
      <c r="I5027" s="3" t="s">
        <v>45</v>
      </c>
    </row>
    <row r="5028" spans="1:9" ht="48" customHeight="1">
      <c r="A5028" s="3" t="s">
        <v>40</v>
      </c>
      <c r="B5028" s="3" t="s">
        <v>39</v>
      </c>
      <c r="C5028" s="4">
        <v>46266</v>
      </c>
      <c r="D5028" s="4">
        <v>46276</v>
      </c>
      <c r="E5028" s="3" t="s">
        <v>260</v>
      </c>
      <c r="F5028" s="3" t="s">
        <v>265</v>
      </c>
      <c r="G5028" s="5">
        <v>0</v>
      </c>
      <c r="H5028" s="6" t="s">
        <v>64</v>
      </c>
      <c r="I5028" s="3" t="s">
        <v>45</v>
      </c>
    </row>
    <row r="5029" spans="1:9" ht="48" customHeight="1">
      <c r="A5029" s="3" t="s">
        <v>40</v>
      </c>
      <c r="B5029" s="3" t="s">
        <v>39</v>
      </c>
      <c r="C5029" s="4">
        <v>46266</v>
      </c>
      <c r="D5029" s="4">
        <v>46276</v>
      </c>
      <c r="E5029" s="3" t="s">
        <v>260</v>
      </c>
      <c r="F5029" s="3" t="s">
        <v>273</v>
      </c>
      <c r="G5029" s="5">
        <v>0</v>
      </c>
      <c r="H5029" s="6" t="s">
        <v>64</v>
      </c>
      <c r="I5029" s="3" t="s">
        <v>45</v>
      </c>
    </row>
    <row r="5030" spans="1:9" ht="48" customHeight="1">
      <c r="A5030" s="3" t="s">
        <v>40</v>
      </c>
      <c r="B5030" s="3" t="s">
        <v>39</v>
      </c>
      <c r="C5030" s="4">
        <v>46266</v>
      </c>
      <c r="D5030" s="4">
        <v>46276</v>
      </c>
      <c r="E5030" s="3" t="s">
        <v>260</v>
      </c>
      <c r="F5030" s="3" t="s">
        <v>274</v>
      </c>
      <c r="G5030" s="5">
        <v>0</v>
      </c>
      <c r="H5030" s="6" t="s">
        <v>64</v>
      </c>
      <c r="I5030" s="3" t="s">
        <v>45</v>
      </c>
    </row>
    <row r="5031" spans="1:9" ht="48" customHeight="1">
      <c r="A5031" s="3" t="s">
        <v>40</v>
      </c>
      <c r="B5031" s="3" t="s">
        <v>39</v>
      </c>
      <c r="C5031" s="4">
        <v>46266</v>
      </c>
      <c r="D5031" s="4">
        <v>46276</v>
      </c>
      <c r="E5031" s="3" t="s">
        <v>260</v>
      </c>
      <c r="F5031" s="3" t="s">
        <v>275</v>
      </c>
      <c r="G5031" s="5">
        <v>0</v>
      </c>
      <c r="H5031" s="6" t="s">
        <v>64</v>
      </c>
      <c r="I5031" s="3" t="s">
        <v>45</v>
      </c>
    </row>
    <row r="5032" spans="1:9" ht="48" customHeight="1">
      <c r="A5032" s="3" t="s">
        <v>40</v>
      </c>
      <c r="B5032" s="3" t="s">
        <v>39</v>
      </c>
      <c r="C5032" s="4">
        <v>46266</v>
      </c>
      <c r="D5032" s="4">
        <v>46276</v>
      </c>
      <c r="E5032" s="3" t="s">
        <v>260</v>
      </c>
      <c r="F5032" s="3" t="s">
        <v>276</v>
      </c>
      <c r="G5032" s="5">
        <v>0</v>
      </c>
      <c r="H5032" s="6" t="s">
        <v>64</v>
      </c>
      <c r="I5032" s="3" t="s">
        <v>45</v>
      </c>
    </row>
    <row r="5033" spans="1:9" ht="48" customHeight="1">
      <c r="A5033" s="3" t="s">
        <v>40</v>
      </c>
      <c r="B5033" s="3" t="s">
        <v>39</v>
      </c>
      <c r="C5033" s="4">
        <v>46266</v>
      </c>
      <c r="D5033" s="4">
        <v>46276</v>
      </c>
      <c r="E5033" s="3" t="s">
        <v>260</v>
      </c>
      <c r="F5033" s="3" t="s">
        <v>277</v>
      </c>
      <c r="G5033" s="5">
        <v>0</v>
      </c>
      <c r="H5033" s="6" t="s">
        <v>64</v>
      </c>
      <c r="I5033" s="3" t="s">
        <v>45</v>
      </c>
    </row>
    <row r="5034" spans="1:9" ht="48" customHeight="1">
      <c r="A5034" s="3" t="s">
        <v>40</v>
      </c>
      <c r="B5034" s="3" t="s">
        <v>39</v>
      </c>
      <c r="C5034" s="4">
        <v>46266</v>
      </c>
      <c r="D5034" s="4">
        <v>46276</v>
      </c>
      <c r="E5034" s="3" t="s">
        <v>260</v>
      </c>
      <c r="F5034" s="3" t="s">
        <v>278</v>
      </c>
      <c r="G5034" s="5">
        <v>0</v>
      </c>
      <c r="H5034" s="6" t="s">
        <v>64</v>
      </c>
      <c r="I5034" s="3" t="s">
        <v>45</v>
      </c>
    </row>
    <row r="5035" spans="1:9" ht="48" customHeight="1">
      <c r="A5035" s="3" t="s">
        <v>40</v>
      </c>
      <c r="B5035" s="3" t="s">
        <v>39</v>
      </c>
      <c r="C5035" s="4">
        <v>46266</v>
      </c>
      <c r="D5035" s="4">
        <v>46276</v>
      </c>
      <c r="E5035" s="3" t="s">
        <v>260</v>
      </c>
      <c r="F5035" s="3" t="s">
        <v>269</v>
      </c>
      <c r="G5035" s="5">
        <v>0</v>
      </c>
      <c r="H5035" s="6" t="s">
        <v>64</v>
      </c>
      <c r="I5035" s="3" t="s">
        <v>45</v>
      </c>
    </row>
    <row r="5036" spans="1:9" ht="48" customHeight="1">
      <c r="A5036" s="3" t="s">
        <v>40</v>
      </c>
      <c r="B5036" s="3" t="s">
        <v>39</v>
      </c>
      <c r="C5036" s="4">
        <v>46266</v>
      </c>
      <c r="D5036" s="4">
        <v>46276</v>
      </c>
      <c r="E5036" s="3" t="s">
        <v>260</v>
      </c>
      <c r="F5036" s="3" t="s">
        <v>279</v>
      </c>
      <c r="G5036" s="5">
        <v>0</v>
      </c>
      <c r="H5036" s="6" t="s">
        <v>64</v>
      </c>
      <c r="I5036" s="3" t="s">
        <v>45</v>
      </c>
    </row>
    <row r="5037" spans="1:9" ht="48" customHeight="1">
      <c r="A5037" s="3" t="s">
        <v>40</v>
      </c>
      <c r="B5037" s="3" t="s">
        <v>39</v>
      </c>
      <c r="C5037" s="4">
        <v>46266</v>
      </c>
      <c r="D5037" s="4">
        <v>46276</v>
      </c>
      <c r="E5037" s="3" t="s">
        <v>260</v>
      </c>
      <c r="F5037" s="3" t="s">
        <v>270</v>
      </c>
      <c r="G5037" s="5">
        <v>0</v>
      </c>
      <c r="H5037" s="6" t="s">
        <v>64</v>
      </c>
      <c r="I5037" s="3" t="s">
        <v>45</v>
      </c>
    </row>
    <row r="5038" spans="1:9" ht="48" customHeight="1">
      <c r="A5038" s="3" t="s">
        <v>40</v>
      </c>
      <c r="B5038" s="3" t="s">
        <v>39</v>
      </c>
      <c r="C5038" s="4">
        <v>46266</v>
      </c>
      <c r="D5038" s="4">
        <v>46276</v>
      </c>
      <c r="E5038" s="3" t="s">
        <v>260</v>
      </c>
      <c r="F5038" s="3" t="s">
        <v>280</v>
      </c>
      <c r="G5038" s="5">
        <v>0</v>
      </c>
      <c r="H5038" s="6" t="s">
        <v>64</v>
      </c>
      <c r="I5038" s="3" t="s">
        <v>45</v>
      </c>
    </row>
    <row r="5039" spans="1:9" ht="48" customHeight="1">
      <c r="A5039" s="3" t="s">
        <v>40</v>
      </c>
      <c r="B5039" s="3" t="s">
        <v>39</v>
      </c>
      <c r="C5039" s="4">
        <v>46266</v>
      </c>
      <c r="D5039" s="4">
        <v>46276</v>
      </c>
      <c r="E5039" s="3" t="s">
        <v>260</v>
      </c>
      <c r="F5039" s="3" t="s">
        <v>271</v>
      </c>
      <c r="G5039" s="5">
        <v>0</v>
      </c>
      <c r="H5039" s="6" t="s">
        <v>64</v>
      </c>
      <c r="I5039" s="3" t="s">
        <v>45</v>
      </c>
    </row>
    <row r="5040" spans="1:9" ht="48" customHeight="1">
      <c r="A5040" s="3" t="s">
        <v>40</v>
      </c>
      <c r="B5040" s="3" t="s">
        <v>39</v>
      </c>
      <c r="C5040" s="4">
        <v>46266</v>
      </c>
      <c r="D5040" s="4">
        <v>46276</v>
      </c>
      <c r="E5040" s="3" t="s">
        <v>260</v>
      </c>
      <c r="F5040" s="3" t="s">
        <v>281</v>
      </c>
      <c r="G5040" s="5">
        <v>0</v>
      </c>
      <c r="H5040" s="6" t="s">
        <v>64</v>
      </c>
      <c r="I5040" s="3" t="s">
        <v>45</v>
      </c>
    </row>
    <row r="5041" spans="1:9" ht="48" customHeight="1">
      <c r="A5041" s="3" t="s">
        <v>40</v>
      </c>
      <c r="B5041" s="3" t="s">
        <v>39</v>
      </c>
      <c r="C5041" s="4">
        <v>46266</v>
      </c>
      <c r="D5041" s="4">
        <v>46276</v>
      </c>
      <c r="E5041" s="3" t="s">
        <v>260</v>
      </c>
      <c r="F5041" s="3" t="s">
        <v>272</v>
      </c>
      <c r="G5041" s="5">
        <v>0</v>
      </c>
      <c r="H5041" s="6" t="s">
        <v>64</v>
      </c>
      <c r="I5041" s="3" t="s">
        <v>45</v>
      </c>
    </row>
    <row r="5042" spans="1:9" ht="48" customHeight="1">
      <c r="A5042" s="3" t="s">
        <v>40</v>
      </c>
      <c r="B5042" s="3" t="s">
        <v>39</v>
      </c>
      <c r="C5042" s="4">
        <v>46266</v>
      </c>
      <c r="D5042" s="4">
        <v>46276</v>
      </c>
      <c r="E5042" s="3" t="s">
        <v>260</v>
      </c>
      <c r="F5042" s="3" t="s">
        <v>282</v>
      </c>
      <c r="G5042" s="5">
        <v>0</v>
      </c>
      <c r="H5042" s="6" t="s">
        <v>64</v>
      </c>
      <c r="I5042" s="3" t="s">
        <v>45</v>
      </c>
    </row>
    <row r="5043" spans="1:9" ht="48" customHeight="1">
      <c r="A5043" s="3" t="s">
        <v>40</v>
      </c>
      <c r="B5043" s="3" t="s">
        <v>39</v>
      </c>
      <c r="C5043" s="4">
        <v>46266</v>
      </c>
      <c r="D5043" s="4">
        <v>46276</v>
      </c>
      <c r="E5043" s="3" t="s">
        <v>260</v>
      </c>
      <c r="F5043" s="3" t="s">
        <v>283</v>
      </c>
      <c r="G5043" s="5">
        <v>0</v>
      </c>
      <c r="H5043" s="6" t="s">
        <v>64</v>
      </c>
      <c r="I5043" s="3" t="s">
        <v>45</v>
      </c>
    </row>
    <row r="5044" spans="1:9" ht="48" customHeight="1">
      <c r="A5044" s="3" t="s">
        <v>40</v>
      </c>
      <c r="B5044" s="3" t="s">
        <v>39</v>
      </c>
      <c r="C5044" s="4">
        <v>46266</v>
      </c>
      <c r="D5044" s="4">
        <v>46276</v>
      </c>
      <c r="E5044" s="3" t="s">
        <v>260</v>
      </c>
      <c r="F5044" s="3" t="s">
        <v>284</v>
      </c>
      <c r="G5044" s="5">
        <v>0</v>
      </c>
      <c r="H5044" s="6" t="s">
        <v>64</v>
      </c>
      <c r="I5044" s="3" t="s">
        <v>45</v>
      </c>
    </row>
    <row r="5045" spans="1:9" ht="48" customHeight="1">
      <c r="A5045" s="3" t="s">
        <v>40</v>
      </c>
      <c r="B5045" s="3" t="s">
        <v>39</v>
      </c>
      <c r="C5045" s="4">
        <v>46266</v>
      </c>
      <c r="D5045" s="4">
        <v>46276</v>
      </c>
      <c r="E5045" s="3" t="s">
        <v>260</v>
      </c>
      <c r="F5045" s="3" t="s">
        <v>285</v>
      </c>
      <c r="G5045" s="5">
        <v>0</v>
      </c>
      <c r="H5045" s="6" t="s">
        <v>64</v>
      </c>
      <c r="I5045" s="3" t="s">
        <v>45</v>
      </c>
    </row>
    <row r="5046" spans="1:9" ht="48" customHeight="1">
      <c r="A5046" s="3" t="s">
        <v>40</v>
      </c>
      <c r="B5046" s="3" t="s">
        <v>39</v>
      </c>
      <c r="C5046" s="4">
        <v>46266</v>
      </c>
      <c r="D5046" s="4">
        <v>46276</v>
      </c>
      <c r="E5046" s="3" t="s">
        <v>244</v>
      </c>
      <c r="F5046" s="3" t="s">
        <v>245</v>
      </c>
      <c r="G5046" s="5">
        <v>2E-3</v>
      </c>
      <c r="H5046" s="6" t="s">
        <v>64</v>
      </c>
      <c r="I5046" s="3" t="s">
        <v>45</v>
      </c>
    </row>
    <row r="5047" spans="1:9" ht="48" customHeight="1">
      <c r="A5047" s="3" t="s">
        <v>40</v>
      </c>
      <c r="B5047" s="3" t="s">
        <v>39</v>
      </c>
      <c r="C5047" s="4">
        <v>46266</v>
      </c>
      <c r="D5047" s="4">
        <v>46276</v>
      </c>
      <c r="E5047" s="3" t="s">
        <v>244</v>
      </c>
      <c r="F5047" s="3" t="s">
        <v>246</v>
      </c>
      <c r="G5047" s="5">
        <v>2E-3</v>
      </c>
      <c r="H5047" s="6" t="s">
        <v>64</v>
      </c>
      <c r="I5047" s="3" t="s">
        <v>45</v>
      </c>
    </row>
    <row r="5048" spans="1:9" ht="48" customHeight="1">
      <c r="A5048" s="3" t="s">
        <v>40</v>
      </c>
      <c r="B5048" s="3" t="s">
        <v>39</v>
      </c>
      <c r="C5048" s="4">
        <v>46266</v>
      </c>
      <c r="D5048" s="4">
        <v>46276</v>
      </c>
      <c r="E5048" s="3" t="s">
        <v>244</v>
      </c>
      <c r="F5048" s="3" t="s">
        <v>248</v>
      </c>
      <c r="G5048" s="5">
        <v>1E-3</v>
      </c>
      <c r="H5048" s="6" t="s">
        <v>64</v>
      </c>
      <c r="I5048" s="3" t="s">
        <v>45</v>
      </c>
    </row>
    <row r="5049" spans="1:9" ht="48" customHeight="1">
      <c r="A5049" s="3" t="s">
        <v>40</v>
      </c>
      <c r="B5049" s="3" t="s">
        <v>39</v>
      </c>
      <c r="C5049" s="4">
        <v>46266</v>
      </c>
      <c r="D5049" s="4">
        <v>46276</v>
      </c>
      <c r="E5049" s="3" t="s">
        <v>244</v>
      </c>
      <c r="F5049" s="3" t="s">
        <v>247</v>
      </c>
      <c r="G5049" s="5">
        <v>1E-3</v>
      </c>
      <c r="H5049" s="6" t="s">
        <v>64</v>
      </c>
      <c r="I5049" s="3" t="s">
        <v>45</v>
      </c>
    </row>
    <row r="5050" spans="1:9" ht="48" customHeight="1">
      <c r="A5050" s="3" t="s">
        <v>40</v>
      </c>
      <c r="B5050" s="3" t="s">
        <v>39</v>
      </c>
      <c r="C5050" s="4">
        <v>46266</v>
      </c>
      <c r="D5050" s="4">
        <v>46276</v>
      </c>
      <c r="E5050" s="3" t="s">
        <v>244</v>
      </c>
      <c r="F5050" s="3" t="s">
        <v>250</v>
      </c>
      <c r="G5050" s="5">
        <v>0</v>
      </c>
      <c r="H5050" s="6" t="s">
        <v>64</v>
      </c>
      <c r="I5050" s="3" t="s">
        <v>45</v>
      </c>
    </row>
    <row r="5051" spans="1:9" ht="48" customHeight="1">
      <c r="A5051" s="3" t="s">
        <v>40</v>
      </c>
      <c r="B5051" s="3" t="s">
        <v>39</v>
      </c>
      <c r="C5051" s="4">
        <v>46266</v>
      </c>
      <c r="D5051" s="4">
        <v>46276</v>
      </c>
      <c r="E5051" s="3" t="s">
        <v>244</v>
      </c>
      <c r="F5051" s="3" t="s">
        <v>251</v>
      </c>
      <c r="G5051" s="5">
        <v>0</v>
      </c>
      <c r="H5051" s="6" t="s">
        <v>64</v>
      </c>
      <c r="I5051" s="3" t="s">
        <v>45</v>
      </c>
    </row>
    <row r="5052" spans="1:9" ht="48" customHeight="1">
      <c r="A5052" s="3" t="s">
        <v>40</v>
      </c>
      <c r="B5052" s="3" t="s">
        <v>39</v>
      </c>
      <c r="C5052" s="4">
        <v>46266</v>
      </c>
      <c r="D5052" s="4">
        <v>46276</v>
      </c>
      <c r="E5052" s="3" t="s">
        <v>244</v>
      </c>
      <c r="F5052" s="3" t="s">
        <v>252</v>
      </c>
      <c r="G5052" s="5">
        <v>0</v>
      </c>
      <c r="H5052" s="6" t="s">
        <v>64</v>
      </c>
      <c r="I5052" s="3" t="s">
        <v>45</v>
      </c>
    </row>
    <row r="5053" spans="1:9" ht="48" customHeight="1">
      <c r="A5053" s="3" t="s">
        <v>40</v>
      </c>
      <c r="B5053" s="3" t="s">
        <v>39</v>
      </c>
      <c r="C5053" s="4">
        <v>46266</v>
      </c>
      <c r="D5053" s="4">
        <v>46276</v>
      </c>
      <c r="E5053" s="3" t="s">
        <v>244</v>
      </c>
      <c r="F5053" s="3" t="s">
        <v>249</v>
      </c>
      <c r="G5053" s="5">
        <v>0</v>
      </c>
      <c r="H5053" s="6" t="s">
        <v>64</v>
      </c>
      <c r="I5053" s="3" t="s">
        <v>45</v>
      </c>
    </row>
    <row r="5054" spans="1:9" ht="48" customHeight="1">
      <c r="A5054" s="3" t="s">
        <v>40</v>
      </c>
      <c r="B5054" s="3" t="s">
        <v>39</v>
      </c>
      <c r="C5054" s="4">
        <v>46266</v>
      </c>
      <c r="D5054" s="4">
        <v>46276</v>
      </c>
      <c r="E5054" s="3" t="s">
        <v>244</v>
      </c>
      <c r="F5054" s="3" t="s">
        <v>255</v>
      </c>
      <c r="G5054" s="5">
        <v>0</v>
      </c>
      <c r="H5054" s="6" t="s">
        <v>64</v>
      </c>
      <c r="I5054" s="3" t="s">
        <v>45</v>
      </c>
    </row>
    <row r="5055" spans="1:9" ht="48" customHeight="1">
      <c r="A5055" s="3" t="s">
        <v>40</v>
      </c>
      <c r="B5055" s="3" t="s">
        <v>39</v>
      </c>
      <c r="C5055" s="4">
        <v>46266</v>
      </c>
      <c r="D5055" s="4">
        <v>46276</v>
      </c>
      <c r="E5055" s="3" t="s">
        <v>244</v>
      </c>
      <c r="F5055" s="3" t="s">
        <v>256</v>
      </c>
      <c r="G5055" s="5">
        <v>0</v>
      </c>
      <c r="H5055" s="6" t="s">
        <v>64</v>
      </c>
      <c r="I5055" s="3" t="s">
        <v>45</v>
      </c>
    </row>
    <row r="5056" spans="1:9" ht="48" customHeight="1">
      <c r="A5056" s="3" t="s">
        <v>40</v>
      </c>
      <c r="B5056" s="3" t="s">
        <v>39</v>
      </c>
      <c r="C5056" s="4">
        <v>46266</v>
      </c>
      <c r="D5056" s="4">
        <v>46276</v>
      </c>
      <c r="E5056" s="3" t="s">
        <v>244</v>
      </c>
      <c r="F5056" s="3" t="s">
        <v>257</v>
      </c>
      <c r="G5056" s="5">
        <v>0</v>
      </c>
      <c r="H5056" s="6" t="s">
        <v>64</v>
      </c>
      <c r="I5056" s="3" t="s">
        <v>45</v>
      </c>
    </row>
    <row r="5057" spans="1:9" ht="48" customHeight="1">
      <c r="A5057" s="3" t="s">
        <v>40</v>
      </c>
      <c r="B5057" s="3" t="s">
        <v>39</v>
      </c>
      <c r="C5057" s="4">
        <v>46266</v>
      </c>
      <c r="D5057" s="4">
        <v>46276</v>
      </c>
      <c r="E5057" s="3" t="s">
        <v>244</v>
      </c>
      <c r="F5057" s="3" t="s">
        <v>258</v>
      </c>
      <c r="G5057" s="5">
        <v>0</v>
      </c>
      <c r="H5057" s="6" t="s">
        <v>64</v>
      </c>
      <c r="I5057" s="3" t="s">
        <v>45</v>
      </c>
    </row>
    <row r="5058" spans="1:9" ht="48" customHeight="1">
      <c r="A5058" s="3" t="s">
        <v>40</v>
      </c>
      <c r="B5058" s="3" t="s">
        <v>39</v>
      </c>
      <c r="C5058" s="4">
        <v>46266</v>
      </c>
      <c r="D5058" s="4">
        <v>46276</v>
      </c>
      <c r="E5058" s="3" t="s">
        <v>244</v>
      </c>
      <c r="F5058" s="3" t="s">
        <v>259</v>
      </c>
      <c r="G5058" s="5">
        <v>0</v>
      </c>
      <c r="H5058" s="6" t="s">
        <v>64</v>
      </c>
      <c r="I5058" s="3" t="s">
        <v>45</v>
      </c>
    </row>
    <row r="5059" spans="1:9" ht="48" customHeight="1">
      <c r="A5059" s="3" t="s">
        <v>40</v>
      </c>
      <c r="B5059" s="3" t="s">
        <v>39</v>
      </c>
      <c r="C5059" s="4">
        <v>46266</v>
      </c>
      <c r="D5059" s="4">
        <v>46276</v>
      </c>
      <c r="E5059" s="3" t="s">
        <v>244</v>
      </c>
      <c r="F5059" s="3" t="s">
        <v>253</v>
      </c>
      <c r="G5059" s="5">
        <v>0</v>
      </c>
      <c r="H5059" s="6" t="s">
        <v>64</v>
      </c>
      <c r="I5059" s="3" t="s">
        <v>45</v>
      </c>
    </row>
    <row r="5060" spans="1:9" ht="48" customHeight="1">
      <c r="A5060" s="3" t="s">
        <v>40</v>
      </c>
      <c r="B5060" s="3" t="s">
        <v>39</v>
      </c>
      <c r="C5060" s="4">
        <v>46266</v>
      </c>
      <c r="D5060" s="4">
        <v>46276</v>
      </c>
      <c r="E5060" s="3" t="s">
        <v>244</v>
      </c>
      <c r="F5060" s="3" t="s">
        <v>254</v>
      </c>
      <c r="G5060" s="5">
        <v>0</v>
      </c>
      <c r="H5060" s="6" t="s">
        <v>64</v>
      </c>
      <c r="I5060" s="3" t="s">
        <v>45</v>
      </c>
    </row>
    <row r="5061" spans="1:9" ht="48" customHeight="1">
      <c r="A5061" s="3" t="s">
        <v>40</v>
      </c>
      <c r="B5061" s="3" t="s">
        <v>39</v>
      </c>
      <c r="C5061" s="4">
        <v>46266</v>
      </c>
      <c r="D5061" s="4">
        <v>46276</v>
      </c>
      <c r="E5061" s="3" t="s">
        <v>379</v>
      </c>
      <c r="F5061" s="3" t="s">
        <v>265</v>
      </c>
      <c r="G5061" s="5">
        <v>2E-3</v>
      </c>
      <c r="H5061" s="6" t="s">
        <v>64</v>
      </c>
      <c r="I5061" s="3" t="s">
        <v>45</v>
      </c>
    </row>
    <row r="5062" spans="1:9" ht="48" customHeight="1">
      <c r="A5062" s="3" t="s">
        <v>40</v>
      </c>
      <c r="B5062" s="3" t="s">
        <v>39</v>
      </c>
      <c r="C5062" s="4">
        <v>46266</v>
      </c>
      <c r="D5062" s="4">
        <v>46276</v>
      </c>
      <c r="E5062" s="3" t="s">
        <v>379</v>
      </c>
      <c r="F5062" s="3" t="s">
        <v>234</v>
      </c>
      <c r="G5062" s="5">
        <v>2E-3</v>
      </c>
      <c r="H5062" s="6" t="s">
        <v>64</v>
      </c>
      <c r="I5062" s="3" t="s">
        <v>45</v>
      </c>
    </row>
    <row r="5063" spans="1:9" ht="48" customHeight="1">
      <c r="A5063" s="3" t="s">
        <v>40</v>
      </c>
      <c r="B5063" s="3" t="s">
        <v>39</v>
      </c>
      <c r="C5063" s="4">
        <v>46266</v>
      </c>
      <c r="D5063" s="4">
        <v>46276</v>
      </c>
      <c r="E5063" s="3" t="s">
        <v>379</v>
      </c>
      <c r="F5063" s="3" t="s">
        <v>380</v>
      </c>
      <c r="G5063" s="5">
        <v>2E-3</v>
      </c>
      <c r="H5063" s="6" t="s">
        <v>64</v>
      </c>
      <c r="I5063" s="3" t="s">
        <v>45</v>
      </c>
    </row>
    <row r="5064" spans="1:9" ht="48" customHeight="1">
      <c r="A5064" s="3" t="s">
        <v>40</v>
      </c>
      <c r="B5064" s="3" t="s">
        <v>39</v>
      </c>
      <c r="C5064" s="4">
        <v>46266</v>
      </c>
      <c r="D5064" s="4">
        <v>46276</v>
      </c>
      <c r="E5064" s="3" t="s">
        <v>379</v>
      </c>
      <c r="F5064" s="3" t="s">
        <v>230</v>
      </c>
      <c r="G5064" s="5">
        <v>1E-3</v>
      </c>
      <c r="H5064" s="6" t="s">
        <v>64</v>
      </c>
      <c r="I5064" s="3" t="s">
        <v>45</v>
      </c>
    </row>
    <row r="5065" spans="1:9" ht="48" customHeight="1">
      <c r="A5065" s="3" t="s">
        <v>40</v>
      </c>
      <c r="B5065" s="3" t="s">
        <v>39</v>
      </c>
      <c r="C5065" s="4">
        <v>46266</v>
      </c>
      <c r="D5065" s="4">
        <v>46276</v>
      </c>
      <c r="E5065" s="3" t="s">
        <v>379</v>
      </c>
      <c r="F5065" s="3" t="s">
        <v>262</v>
      </c>
      <c r="G5065" s="5">
        <v>1E-3</v>
      </c>
      <c r="H5065" s="6" t="s">
        <v>64</v>
      </c>
      <c r="I5065" s="3" t="s">
        <v>45</v>
      </c>
    </row>
    <row r="5066" spans="1:9" ht="48" customHeight="1">
      <c r="A5066" s="3" t="s">
        <v>40</v>
      </c>
      <c r="B5066" s="3" t="s">
        <v>39</v>
      </c>
      <c r="C5066" s="4">
        <v>46266</v>
      </c>
      <c r="D5066" s="4">
        <v>46276</v>
      </c>
      <c r="E5066" s="3" t="s">
        <v>301</v>
      </c>
      <c r="F5066" s="3" t="s">
        <v>301</v>
      </c>
      <c r="G5066" s="5">
        <v>5.0000000000000001E-3</v>
      </c>
      <c r="H5066" s="6" t="s">
        <v>64</v>
      </c>
      <c r="I5066" s="3" t="s">
        <v>45</v>
      </c>
    </row>
    <row r="5067" spans="1:9" ht="48" customHeight="1">
      <c r="A5067" s="3" t="s">
        <v>40</v>
      </c>
      <c r="B5067" s="3" t="s">
        <v>39</v>
      </c>
      <c r="C5067" s="4">
        <v>46266</v>
      </c>
      <c r="D5067" s="4">
        <v>46276</v>
      </c>
      <c r="E5067" s="3" t="s">
        <v>381</v>
      </c>
      <c r="F5067" s="3" t="s">
        <v>382</v>
      </c>
      <c r="G5067" s="5">
        <v>2E-3</v>
      </c>
      <c r="H5067" s="6" t="s">
        <v>64</v>
      </c>
      <c r="I5067" s="3" t="s">
        <v>45</v>
      </c>
    </row>
    <row r="5068" spans="1:9" ht="48" customHeight="1">
      <c r="A5068" s="3" t="s">
        <v>40</v>
      </c>
      <c r="B5068" s="3" t="s">
        <v>39</v>
      </c>
      <c r="C5068" s="4">
        <v>46266</v>
      </c>
      <c r="D5068" s="4">
        <v>46276</v>
      </c>
      <c r="E5068" s="3" t="s">
        <v>381</v>
      </c>
      <c r="F5068" s="3" t="s">
        <v>383</v>
      </c>
      <c r="G5068" s="5">
        <v>1E-3</v>
      </c>
      <c r="H5068" s="6" t="s">
        <v>64</v>
      </c>
      <c r="I5068" s="3" t="s">
        <v>45</v>
      </c>
    </row>
    <row r="5069" spans="1:9" ht="48" customHeight="1">
      <c r="A5069" s="3" t="s">
        <v>79</v>
      </c>
      <c r="B5069" s="3" t="s">
        <v>78</v>
      </c>
      <c r="C5069" s="4">
        <v>43313</v>
      </c>
      <c r="D5069" s="4">
        <v>43343</v>
      </c>
      <c r="E5069" s="3" t="s">
        <v>364</v>
      </c>
      <c r="F5069" s="3" t="s">
        <v>262</v>
      </c>
      <c r="G5069" s="5">
        <v>0.129</v>
      </c>
      <c r="H5069" s="6" t="s">
        <v>84</v>
      </c>
      <c r="I5069" s="3" t="s">
        <v>45</v>
      </c>
    </row>
    <row r="5070" spans="1:9" ht="48" customHeight="1">
      <c r="A5070" s="3" t="s">
        <v>79</v>
      </c>
      <c r="B5070" s="3" t="s">
        <v>78</v>
      </c>
      <c r="C5070" s="4">
        <v>43313</v>
      </c>
      <c r="D5070" s="4">
        <v>43343</v>
      </c>
      <c r="E5070" s="3" t="s">
        <v>364</v>
      </c>
      <c r="F5070" s="3" t="s">
        <v>366</v>
      </c>
      <c r="G5070" s="5">
        <v>8.5999999999999993E-2</v>
      </c>
      <c r="H5070" s="6" t="s">
        <v>84</v>
      </c>
      <c r="I5070" s="3" t="s">
        <v>45</v>
      </c>
    </row>
    <row r="5071" spans="1:9" ht="48" customHeight="1">
      <c r="A5071" s="3" t="s">
        <v>79</v>
      </c>
      <c r="B5071" s="3" t="s">
        <v>78</v>
      </c>
      <c r="C5071" s="4">
        <v>43313</v>
      </c>
      <c r="D5071" s="4">
        <v>43343</v>
      </c>
      <c r="E5071" s="3" t="s">
        <v>364</v>
      </c>
      <c r="F5071" s="3" t="s">
        <v>234</v>
      </c>
      <c r="G5071" s="5">
        <v>5.7999999999999996E-2</v>
      </c>
      <c r="H5071" s="6" t="s">
        <v>84</v>
      </c>
      <c r="I5071" s="3" t="s">
        <v>45</v>
      </c>
    </row>
    <row r="5072" spans="1:9" ht="48" customHeight="1">
      <c r="A5072" s="3" t="s">
        <v>79</v>
      </c>
      <c r="B5072" s="3" t="s">
        <v>78</v>
      </c>
      <c r="C5072" s="4">
        <v>43313</v>
      </c>
      <c r="D5072" s="4">
        <v>43343</v>
      </c>
      <c r="E5072" s="3" t="s">
        <v>364</v>
      </c>
      <c r="F5072" s="3" t="s">
        <v>365</v>
      </c>
      <c r="G5072" s="5">
        <v>5.5999999999999994E-2</v>
      </c>
      <c r="H5072" s="6" t="s">
        <v>84</v>
      </c>
      <c r="I5072" s="3" t="s">
        <v>45</v>
      </c>
    </row>
    <row r="5073" spans="1:9" ht="48" customHeight="1">
      <c r="A5073" s="3" t="s">
        <v>79</v>
      </c>
      <c r="B5073" s="3" t="s">
        <v>78</v>
      </c>
      <c r="C5073" s="4">
        <v>43313</v>
      </c>
      <c r="D5073" s="4">
        <v>43343</v>
      </c>
      <c r="E5073" s="3" t="s">
        <v>364</v>
      </c>
      <c r="F5073" s="3" t="s">
        <v>232</v>
      </c>
      <c r="G5073" s="5">
        <v>3.2000000000000001E-2</v>
      </c>
      <c r="H5073" s="6" t="s">
        <v>84</v>
      </c>
      <c r="I5073" s="3" t="s">
        <v>45</v>
      </c>
    </row>
    <row r="5074" spans="1:9" ht="48" customHeight="1">
      <c r="A5074" s="3" t="s">
        <v>79</v>
      </c>
      <c r="B5074" s="3" t="s">
        <v>78</v>
      </c>
      <c r="C5074" s="4">
        <v>43313</v>
      </c>
      <c r="D5074" s="4">
        <v>43343</v>
      </c>
      <c r="E5074" s="3" t="s">
        <v>364</v>
      </c>
      <c r="F5074" s="3" t="s">
        <v>367</v>
      </c>
      <c r="G5074" s="5">
        <v>3.1E-2</v>
      </c>
      <c r="H5074" s="6" t="s">
        <v>84</v>
      </c>
      <c r="I5074" s="3" t="s">
        <v>45</v>
      </c>
    </row>
    <row r="5075" spans="1:9" ht="48" customHeight="1">
      <c r="A5075" s="3" t="s">
        <v>79</v>
      </c>
      <c r="B5075" s="3" t="s">
        <v>78</v>
      </c>
      <c r="C5075" s="4">
        <v>43313</v>
      </c>
      <c r="D5075" s="4">
        <v>43343</v>
      </c>
      <c r="E5075" s="3" t="s">
        <v>364</v>
      </c>
      <c r="F5075" s="3" t="s">
        <v>265</v>
      </c>
      <c r="G5075" s="5">
        <v>1.9E-2</v>
      </c>
      <c r="H5075" s="6" t="s">
        <v>84</v>
      </c>
      <c r="I5075" s="3" t="s">
        <v>45</v>
      </c>
    </row>
    <row r="5076" spans="1:9" ht="48" customHeight="1">
      <c r="A5076" s="3" t="s">
        <v>79</v>
      </c>
      <c r="B5076" s="3" t="s">
        <v>78</v>
      </c>
      <c r="C5076" s="4">
        <v>43313</v>
      </c>
      <c r="D5076" s="4">
        <v>43343</v>
      </c>
      <c r="E5076" s="3" t="s">
        <v>364</v>
      </c>
      <c r="F5076" s="3" t="s">
        <v>230</v>
      </c>
      <c r="G5076" s="5">
        <v>1.1000000000000001E-2</v>
      </c>
      <c r="H5076" s="6" t="s">
        <v>84</v>
      </c>
      <c r="I5076" s="3" t="s">
        <v>45</v>
      </c>
    </row>
    <row r="5077" spans="1:9" ht="48" customHeight="1">
      <c r="A5077" s="3" t="s">
        <v>79</v>
      </c>
      <c r="B5077" s="3" t="s">
        <v>78</v>
      </c>
      <c r="C5077" s="4">
        <v>43313</v>
      </c>
      <c r="D5077" s="4">
        <v>43343</v>
      </c>
      <c r="E5077" s="3" t="s">
        <v>81</v>
      </c>
      <c r="F5077" s="3" t="s">
        <v>325</v>
      </c>
      <c r="G5077" s="5">
        <v>5.7999999999999996E-2</v>
      </c>
      <c r="H5077" s="6" t="s">
        <v>84</v>
      </c>
      <c r="I5077" s="3" t="s">
        <v>45</v>
      </c>
    </row>
    <row r="5078" spans="1:9" ht="48" customHeight="1">
      <c r="A5078" s="3" t="s">
        <v>79</v>
      </c>
      <c r="B5078" s="3" t="s">
        <v>78</v>
      </c>
      <c r="C5078" s="4">
        <v>43313</v>
      </c>
      <c r="D5078" s="4">
        <v>43343</v>
      </c>
      <c r="E5078" s="3" t="s">
        <v>81</v>
      </c>
      <c r="F5078" s="3" t="s">
        <v>336</v>
      </c>
      <c r="G5078" s="5">
        <v>3.7999999999999999E-2</v>
      </c>
      <c r="H5078" s="6" t="s">
        <v>84</v>
      </c>
      <c r="I5078" s="3" t="s">
        <v>45</v>
      </c>
    </row>
    <row r="5079" spans="1:9" ht="48" customHeight="1">
      <c r="A5079" s="3" t="s">
        <v>79</v>
      </c>
      <c r="B5079" s="3" t="s">
        <v>78</v>
      </c>
      <c r="C5079" s="4">
        <v>43313</v>
      </c>
      <c r="D5079" s="4">
        <v>43343</v>
      </c>
      <c r="E5079" s="3" t="s">
        <v>81</v>
      </c>
      <c r="F5079" s="3" t="s">
        <v>330</v>
      </c>
      <c r="G5079" s="5">
        <v>2.8999999999999998E-2</v>
      </c>
      <c r="H5079" s="6" t="s">
        <v>84</v>
      </c>
      <c r="I5079" s="3" t="s">
        <v>45</v>
      </c>
    </row>
    <row r="5080" spans="1:9" ht="48" customHeight="1">
      <c r="A5080" s="3" t="s">
        <v>79</v>
      </c>
      <c r="B5080" s="3" t="s">
        <v>78</v>
      </c>
      <c r="C5080" s="4">
        <v>43313</v>
      </c>
      <c r="D5080" s="4">
        <v>43343</v>
      </c>
      <c r="E5080" s="3" t="s">
        <v>81</v>
      </c>
      <c r="F5080" s="3" t="s">
        <v>332</v>
      </c>
      <c r="G5080" s="5">
        <v>2.8999999999999998E-2</v>
      </c>
      <c r="H5080" s="6" t="s">
        <v>84</v>
      </c>
      <c r="I5080" s="3" t="s">
        <v>45</v>
      </c>
    </row>
    <row r="5081" spans="1:9" ht="48" customHeight="1">
      <c r="A5081" s="3" t="s">
        <v>79</v>
      </c>
      <c r="B5081" s="3" t="s">
        <v>78</v>
      </c>
      <c r="C5081" s="4">
        <v>43313</v>
      </c>
      <c r="D5081" s="4">
        <v>43343</v>
      </c>
      <c r="E5081" s="3" t="s">
        <v>81</v>
      </c>
      <c r="F5081" s="3" t="s">
        <v>334</v>
      </c>
      <c r="G5081" s="5">
        <v>0.02</v>
      </c>
      <c r="H5081" s="6" t="s">
        <v>84</v>
      </c>
      <c r="I5081" s="3" t="s">
        <v>45</v>
      </c>
    </row>
    <row r="5082" spans="1:9" ht="48" customHeight="1">
      <c r="A5082" s="3" t="s">
        <v>79</v>
      </c>
      <c r="B5082" s="3" t="s">
        <v>78</v>
      </c>
      <c r="C5082" s="4">
        <v>43313</v>
      </c>
      <c r="D5082" s="4">
        <v>43343</v>
      </c>
      <c r="E5082" s="3" t="s">
        <v>81</v>
      </c>
      <c r="F5082" s="3" t="s">
        <v>343</v>
      </c>
      <c r="G5082" s="5">
        <v>0.02</v>
      </c>
      <c r="H5082" s="6" t="s">
        <v>84</v>
      </c>
      <c r="I5082" s="3" t="s">
        <v>45</v>
      </c>
    </row>
    <row r="5083" spans="1:9" ht="48" customHeight="1">
      <c r="A5083" s="3" t="s">
        <v>79</v>
      </c>
      <c r="B5083" s="3" t="s">
        <v>78</v>
      </c>
      <c r="C5083" s="4">
        <v>43313</v>
      </c>
      <c r="D5083" s="4">
        <v>43343</v>
      </c>
      <c r="E5083" s="3" t="s">
        <v>81</v>
      </c>
      <c r="F5083" s="3" t="s">
        <v>328</v>
      </c>
      <c r="G5083" s="5">
        <v>1.6E-2</v>
      </c>
      <c r="H5083" s="6" t="s">
        <v>84</v>
      </c>
      <c r="I5083" s="3" t="s">
        <v>45</v>
      </c>
    </row>
    <row r="5084" spans="1:9" ht="48" customHeight="1">
      <c r="A5084" s="3" t="s">
        <v>79</v>
      </c>
      <c r="B5084" s="3" t="s">
        <v>78</v>
      </c>
      <c r="C5084" s="4">
        <v>43313</v>
      </c>
      <c r="D5084" s="4">
        <v>43343</v>
      </c>
      <c r="E5084" s="3" t="s">
        <v>81</v>
      </c>
      <c r="F5084" s="3" t="s">
        <v>327</v>
      </c>
      <c r="G5084" s="5">
        <v>1.3999999999999999E-2</v>
      </c>
      <c r="H5084" s="6" t="s">
        <v>84</v>
      </c>
      <c r="I5084" s="3" t="s">
        <v>45</v>
      </c>
    </row>
    <row r="5085" spans="1:9" ht="48" customHeight="1">
      <c r="A5085" s="3" t="s">
        <v>79</v>
      </c>
      <c r="B5085" s="3" t="s">
        <v>78</v>
      </c>
      <c r="C5085" s="4">
        <v>43313</v>
      </c>
      <c r="D5085" s="4">
        <v>43343</v>
      </c>
      <c r="E5085" s="3" t="s">
        <v>81</v>
      </c>
      <c r="F5085" s="3" t="s">
        <v>326</v>
      </c>
      <c r="G5085" s="5">
        <v>1.2E-2</v>
      </c>
      <c r="H5085" s="6" t="s">
        <v>84</v>
      </c>
      <c r="I5085" s="3" t="s">
        <v>45</v>
      </c>
    </row>
    <row r="5086" spans="1:9" ht="48" customHeight="1">
      <c r="A5086" s="3" t="s">
        <v>79</v>
      </c>
      <c r="B5086" s="3" t="s">
        <v>78</v>
      </c>
      <c r="C5086" s="4">
        <v>43313</v>
      </c>
      <c r="D5086" s="4">
        <v>43343</v>
      </c>
      <c r="E5086" s="3" t="s">
        <v>81</v>
      </c>
      <c r="F5086" s="3" t="s">
        <v>333</v>
      </c>
      <c r="G5086" s="5">
        <v>0.01</v>
      </c>
      <c r="H5086" s="6" t="s">
        <v>84</v>
      </c>
      <c r="I5086" s="3" t="s">
        <v>45</v>
      </c>
    </row>
    <row r="5087" spans="1:9" ht="48" customHeight="1">
      <c r="A5087" s="3" t="s">
        <v>79</v>
      </c>
      <c r="B5087" s="3" t="s">
        <v>78</v>
      </c>
      <c r="C5087" s="4">
        <v>43313</v>
      </c>
      <c r="D5087" s="4">
        <v>43343</v>
      </c>
      <c r="E5087" s="3" t="s">
        <v>81</v>
      </c>
      <c r="F5087" s="3" t="s">
        <v>344</v>
      </c>
      <c r="G5087" s="5">
        <v>6.9999999999999993E-3</v>
      </c>
      <c r="H5087" s="6" t="s">
        <v>84</v>
      </c>
      <c r="I5087" s="3" t="s">
        <v>45</v>
      </c>
    </row>
    <row r="5088" spans="1:9" ht="48" customHeight="1">
      <c r="A5088" s="3" t="s">
        <v>79</v>
      </c>
      <c r="B5088" s="3" t="s">
        <v>78</v>
      </c>
      <c r="C5088" s="4">
        <v>43313</v>
      </c>
      <c r="D5088" s="4">
        <v>43343</v>
      </c>
      <c r="E5088" s="3" t="s">
        <v>81</v>
      </c>
      <c r="F5088" s="3" t="s">
        <v>331</v>
      </c>
      <c r="G5088" s="5">
        <v>5.0000000000000001E-3</v>
      </c>
      <c r="H5088" s="6" t="s">
        <v>84</v>
      </c>
      <c r="I5088" s="3" t="s">
        <v>45</v>
      </c>
    </row>
    <row r="5089" spans="1:9" ht="48" customHeight="1">
      <c r="A5089" s="3" t="s">
        <v>79</v>
      </c>
      <c r="B5089" s="3" t="s">
        <v>78</v>
      </c>
      <c r="C5089" s="4">
        <v>43313</v>
      </c>
      <c r="D5089" s="4">
        <v>43343</v>
      </c>
      <c r="E5089" s="3" t="s">
        <v>81</v>
      </c>
      <c r="F5089" s="3" t="s">
        <v>329</v>
      </c>
      <c r="G5089" s="5">
        <v>4.0000000000000001E-3</v>
      </c>
      <c r="H5089" s="6" t="s">
        <v>84</v>
      </c>
      <c r="I5089" s="3" t="s">
        <v>45</v>
      </c>
    </row>
    <row r="5090" spans="1:9" ht="48" customHeight="1">
      <c r="A5090" s="3" t="s">
        <v>79</v>
      </c>
      <c r="B5090" s="3" t="s">
        <v>78</v>
      </c>
      <c r="C5090" s="4">
        <v>43313</v>
      </c>
      <c r="D5090" s="4">
        <v>43343</v>
      </c>
      <c r="E5090" s="3" t="s">
        <v>81</v>
      </c>
      <c r="F5090" s="3" t="s">
        <v>342</v>
      </c>
      <c r="G5090" s="5">
        <v>4.0000000000000001E-3</v>
      </c>
      <c r="H5090" s="6" t="s">
        <v>84</v>
      </c>
      <c r="I5090" s="3" t="s">
        <v>45</v>
      </c>
    </row>
    <row r="5091" spans="1:9" ht="48" customHeight="1">
      <c r="A5091" s="3" t="s">
        <v>79</v>
      </c>
      <c r="B5091" s="3" t="s">
        <v>78</v>
      </c>
      <c r="C5091" s="4">
        <v>43313</v>
      </c>
      <c r="D5091" s="4">
        <v>43343</v>
      </c>
      <c r="E5091" s="3" t="s">
        <v>81</v>
      </c>
      <c r="F5091" s="3" t="s">
        <v>335</v>
      </c>
      <c r="G5091" s="5">
        <v>3.0000000000000001E-3</v>
      </c>
      <c r="H5091" s="6" t="s">
        <v>84</v>
      </c>
      <c r="I5091" s="3" t="s">
        <v>45</v>
      </c>
    </row>
    <row r="5092" spans="1:9" ht="48" customHeight="1">
      <c r="A5092" s="3" t="s">
        <v>79</v>
      </c>
      <c r="B5092" s="3" t="s">
        <v>78</v>
      </c>
      <c r="C5092" s="4">
        <v>43313</v>
      </c>
      <c r="D5092" s="4">
        <v>43343</v>
      </c>
      <c r="E5092" s="3" t="s">
        <v>81</v>
      </c>
      <c r="F5092" s="3" t="s">
        <v>337</v>
      </c>
      <c r="G5092" s="5">
        <v>3.0000000000000001E-3</v>
      </c>
      <c r="H5092" s="6" t="s">
        <v>84</v>
      </c>
      <c r="I5092" s="3" t="s">
        <v>45</v>
      </c>
    </row>
    <row r="5093" spans="1:9" ht="48" customHeight="1">
      <c r="A5093" s="3" t="s">
        <v>79</v>
      </c>
      <c r="B5093" s="3" t="s">
        <v>78</v>
      </c>
      <c r="C5093" s="4">
        <v>43313</v>
      </c>
      <c r="D5093" s="4">
        <v>43343</v>
      </c>
      <c r="E5093" s="3" t="s">
        <v>81</v>
      </c>
      <c r="F5093" s="3" t="s">
        <v>338</v>
      </c>
      <c r="G5093" s="5">
        <v>2E-3</v>
      </c>
      <c r="H5093" s="6" t="s">
        <v>84</v>
      </c>
      <c r="I5093" s="3" t="s">
        <v>45</v>
      </c>
    </row>
    <row r="5094" spans="1:9" ht="48" customHeight="1">
      <c r="A5094" s="3" t="s">
        <v>79</v>
      </c>
      <c r="B5094" s="3" t="s">
        <v>78</v>
      </c>
      <c r="C5094" s="4">
        <v>43313</v>
      </c>
      <c r="D5094" s="4">
        <v>43343</v>
      </c>
      <c r="E5094" s="3" t="s">
        <v>81</v>
      </c>
      <c r="F5094" s="3" t="s">
        <v>339</v>
      </c>
      <c r="G5094" s="5">
        <v>2E-3</v>
      </c>
      <c r="H5094" s="6" t="s">
        <v>84</v>
      </c>
      <c r="I5094" s="3" t="s">
        <v>45</v>
      </c>
    </row>
    <row r="5095" spans="1:9" ht="48" customHeight="1">
      <c r="A5095" s="3" t="s">
        <v>79</v>
      </c>
      <c r="B5095" s="3" t="s">
        <v>78</v>
      </c>
      <c r="C5095" s="4">
        <v>43313</v>
      </c>
      <c r="D5095" s="4">
        <v>43343</v>
      </c>
      <c r="E5095" s="3" t="s">
        <v>81</v>
      </c>
      <c r="F5095" s="3" t="s">
        <v>341</v>
      </c>
      <c r="G5095" s="5">
        <v>2E-3</v>
      </c>
      <c r="H5095" s="6" t="s">
        <v>84</v>
      </c>
      <c r="I5095" s="3" t="s">
        <v>45</v>
      </c>
    </row>
    <row r="5096" spans="1:9" ht="48" customHeight="1">
      <c r="A5096" s="3" t="s">
        <v>79</v>
      </c>
      <c r="B5096" s="3" t="s">
        <v>78</v>
      </c>
      <c r="C5096" s="4">
        <v>43313</v>
      </c>
      <c r="D5096" s="4">
        <v>43343</v>
      </c>
      <c r="E5096" s="3" t="s">
        <v>81</v>
      </c>
      <c r="F5096" s="3" t="s">
        <v>345</v>
      </c>
      <c r="G5096" s="5">
        <v>2E-3</v>
      </c>
      <c r="H5096" s="6" t="s">
        <v>84</v>
      </c>
      <c r="I5096" s="3" t="s">
        <v>45</v>
      </c>
    </row>
    <row r="5097" spans="1:9" ht="48" customHeight="1">
      <c r="A5097" s="3" t="s">
        <v>79</v>
      </c>
      <c r="B5097" s="3" t="s">
        <v>78</v>
      </c>
      <c r="C5097" s="4">
        <v>43313</v>
      </c>
      <c r="D5097" s="4">
        <v>43343</v>
      </c>
      <c r="E5097" s="3" t="s">
        <v>81</v>
      </c>
      <c r="F5097" s="3" t="s">
        <v>346</v>
      </c>
      <c r="G5097" s="5">
        <v>2E-3</v>
      </c>
      <c r="H5097" s="6" t="s">
        <v>84</v>
      </c>
      <c r="I5097" s="3" t="s">
        <v>45</v>
      </c>
    </row>
    <row r="5098" spans="1:9" ht="48" customHeight="1">
      <c r="A5098" s="3" t="s">
        <v>79</v>
      </c>
      <c r="B5098" s="3" t="s">
        <v>78</v>
      </c>
      <c r="C5098" s="4">
        <v>43313</v>
      </c>
      <c r="D5098" s="4">
        <v>43343</v>
      </c>
      <c r="E5098" s="3" t="s">
        <v>81</v>
      </c>
      <c r="F5098" s="3" t="s">
        <v>340</v>
      </c>
      <c r="G5098" s="5">
        <v>1E-3</v>
      </c>
      <c r="H5098" s="6" t="s">
        <v>84</v>
      </c>
      <c r="I5098" s="3" t="s">
        <v>45</v>
      </c>
    </row>
    <row r="5099" spans="1:9" ht="48" customHeight="1">
      <c r="A5099" s="3" t="s">
        <v>79</v>
      </c>
      <c r="B5099" s="3" t="s">
        <v>78</v>
      </c>
      <c r="C5099" s="4">
        <v>43313</v>
      </c>
      <c r="D5099" s="4">
        <v>43343</v>
      </c>
      <c r="E5099" s="3" t="s">
        <v>81</v>
      </c>
      <c r="F5099" s="3" t="s">
        <v>347</v>
      </c>
      <c r="G5099" s="5">
        <v>0</v>
      </c>
      <c r="H5099" s="6" t="s">
        <v>84</v>
      </c>
      <c r="I5099" s="3" t="s">
        <v>45</v>
      </c>
    </row>
    <row r="5100" spans="1:9" ht="48" customHeight="1">
      <c r="A5100" s="3" t="s">
        <v>79</v>
      </c>
      <c r="B5100" s="3" t="s">
        <v>78</v>
      </c>
      <c r="C5100" s="4">
        <v>43313</v>
      </c>
      <c r="D5100" s="4">
        <v>43343</v>
      </c>
      <c r="E5100" s="3" t="s">
        <v>161</v>
      </c>
      <c r="F5100" s="3" t="s">
        <v>172</v>
      </c>
      <c r="G5100" s="5">
        <v>4.0000000000000001E-3</v>
      </c>
      <c r="H5100" s="6" t="s">
        <v>84</v>
      </c>
      <c r="I5100" s="3" t="s">
        <v>45</v>
      </c>
    </row>
    <row r="5101" spans="1:9" ht="48" customHeight="1">
      <c r="A5101" s="3" t="s">
        <v>79</v>
      </c>
      <c r="B5101" s="3" t="s">
        <v>78</v>
      </c>
      <c r="C5101" s="4">
        <v>43313</v>
      </c>
      <c r="D5101" s="4">
        <v>43343</v>
      </c>
      <c r="E5101" s="3" t="s">
        <v>161</v>
      </c>
      <c r="F5101" s="3" t="s">
        <v>168</v>
      </c>
      <c r="G5101" s="5">
        <v>3.0000000000000001E-3</v>
      </c>
      <c r="H5101" s="6" t="s">
        <v>84</v>
      </c>
      <c r="I5101" s="3" t="s">
        <v>45</v>
      </c>
    </row>
    <row r="5102" spans="1:9" ht="48" customHeight="1">
      <c r="A5102" s="3" t="s">
        <v>79</v>
      </c>
      <c r="B5102" s="3" t="s">
        <v>78</v>
      </c>
      <c r="C5102" s="4">
        <v>43313</v>
      </c>
      <c r="D5102" s="4">
        <v>43343</v>
      </c>
      <c r="E5102" s="3" t="s">
        <v>161</v>
      </c>
      <c r="F5102" s="3" t="s">
        <v>162</v>
      </c>
      <c r="G5102" s="5">
        <v>3.0000000000000001E-3</v>
      </c>
      <c r="H5102" s="6" t="s">
        <v>84</v>
      </c>
      <c r="I5102" s="3" t="s">
        <v>45</v>
      </c>
    </row>
    <row r="5103" spans="1:9" ht="48" customHeight="1">
      <c r="A5103" s="3" t="s">
        <v>79</v>
      </c>
      <c r="B5103" s="3" t="s">
        <v>78</v>
      </c>
      <c r="C5103" s="4">
        <v>43313</v>
      </c>
      <c r="D5103" s="4">
        <v>43343</v>
      </c>
      <c r="E5103" s="3" t="s">
        <v>161</v>
      </c>
      <c r="F5103" s="3" t="s">
        <v>166</v>
      </c>
      <c r="G5103" s="5">
        <v>3.0000000000000001E-3</v>
      </c>
      <c r="H5103" s="6" t="s">
        <v>84</v>
      </c>
      <c r="I5103" s="3" t="s">
        <v>45</v>
      </c>
    </row>
    <row r="5104" spans="1:9" ht="48" customHeight="1">
      <c r="A5104" s="3" t="s">
        <v>79</v>
      </c>
      <c r="B5104" s="3" t="s">
        <v>78</v>
      </c>
      <c r="C5104" s="4">
        <v>43313</v>
      </c>
      <c r="D5104" s="4">
        <v>43343</v>
      </c>
      <c r="E5104" s="3" t="s">
        <v>161</v>
      </c>
      <c r="F5104" s="3" t="s">
        <v>184</v>
      </c>
      <c r="G5104" s="5">
        <v>3.0000000000000001E-3</v>
      </c>
      <c r="H5104" s="6" t="s">
        <v>84</v>
      </c>
      <c r="I5104" s="3" t="s">
        <v>45</v>
      </c>
    </row>
    <row r="5105" spans="1:9" ht="48" customHeight="1">
      <c r="A5105" s="3" t="s">
        <v>79</v>
      </c>
      <c r="B5105" s="3" t="s">
        <v>78</v>
      </c>
      <c r="C5105" s="4">
        <v>43313</v>
      </c>
      <c r="D5105" s="4">
        <v>43343</v>
      </c>
      <c r="E5105" s="3" t="s">
        <v>161</v>
      </c>
      <c r="F5105" s="3" t="s">
        <v>174</v>
      </c>
      <c r="G5105" s="5">
        <v>2E-3</v>
      </c>
      <c r="H5105" s="6" t="s">
        <v>84</v>
      </c>
      <c r="I5105" s="3" t="s">
        <v>45</v>
      </c>
    </row>
    <row r="5106" spans="1:9" ht="48" customHeight="1">
      <c r="A5106" s="3" t="s">
        <v>79</v>
      </c>
      <c r="B5106" s="3" t="s">
        <v>78</v>
      </c>
      <c r="C5106" s="4">
        <v>43313</v>
      </c>
      <c r="D5106" s="4">
        <v>43343</v>
      </c>
      <c r="E5106" s="3" t="s">
        <v>161</v>
      </c>
      <c r="F5106" s="3" t="s">
        <v>164</v>
      </c>
      <c r="G5106" s="5">
        <v>2E-3</v>
      </c>
      <c r="H5106" s="6" t="s">
        <v>84</v>
      </c>
      <c r="I5106" s="3" t="s">
        <v>45</v>
      </c>
    </row>
    <row r="5107" spans="1:9" ht="48" customHeight="1">
      <c r="A5107" s="3" t="s">
        <v>79</v>
      </c>
      <c r="B5107" s="3" t="s">
        <v>78</v>
      </c>
      <c r="C5107" s="4">
        <v>43313</v>
      </c>
      <c r="D5107" s="4">
        <v>43343</v>
      </c>
      <c r="E5107" s="3" t="s">
        <v>161</v>
      </c>
      <c r="F5107" s="3" t="s">
        <v>167</v>
      </c>
      <c r="G5107" s="5">
        <v>2E-3</v>
      </c>
      <c r="H5107" s="6" t="s">
        <v>84</v>
      </c>
      <c r="I5107" s="3" t="s">
        <v>45</v>
      </c>
    </row>
    <row r="5108" spans="1:9" ht="48" customHeight="1">
      <c r="A5108" s="3" t="s">
        <v>79</v>
      </c>
      <c r="B5108" s="3" t="s">
        <v>78</v>
      </c>
      <c r="C5108" s="4">
        <v>43313</v>
      </c>
      <c r="D5108" s="4">
        <v>43343</v>
      </c>
      <c r="E5108" s="3" t="s">
        <v>161</v>
      </c>
      <c r="F5108" s="3" t="s">
        <v>191</v>
      </c>
      <c r="G5108" s="5">
        <v>2E-3</v>
      </c>
      <c r="H5108" s="6" t="s">
        <v>84</v>
      </c>
      <c r="I5108" s="3" t="s">
        <v>45</v>
      </c>
    </row>
    <row r="5109" spans="1:9" ht="48" customHeight="1">
      <c r="A5109" s="3" t="s">
        <v>79</v>
      </c>
      <c r="B5109" s="3" t="s">
        <v>78</v>
      </c>
      <c r="C5109" s="4">
        <v>43313</v>
      </c>
      <c r="D5109" s="4">
        <v>43343</v>
      </c>
      <c r="E5109" s="3" t="s">
        <v>161</v>
      </c>
      <c r="F5109" s="3" t="s">
        <v>169</v>
      </c>
      <c r="G5109" s="5">
        <v>2E-3</v>
      </c>
      <c r="H5109" s="6" t="s">
        <v>84</v>
      </c>
      <c r="I5109" s="3" t="s">
        <v>45</v>
      </c>
    </row>
    <row r="5110" spans="1:9" ht="48" customHeight="1">
      <c r="A5110" s="3" t="s">
        <v>79</v>
      </c>
      <c r="B5110" s="3" t="s">
        <v>78</v>
      </c>
      <c r="C5110" s="4">
        <v>43313</v>
      </c>
      <c r="D5110" s="4">
        <v>43343</v>
      </c>
      <c r="E5110" s="3" t="s">
        <v>161</v>
      </c>
      <c r="F5110" s="3" t="s">
        <v>170</v>
      </c>
      <c r="G5110" s="5">
        <v>2E-3</v>
      </c>
      <c r="H5110" s="6" t="s">
        <v>84</v>
      </c>
      <c r="I5110" s="3" t="s">
        <v>45</v>
      </c>
    </row>
    <row r="5111" spans="1:9" ht="48" customHeight="1">
      <c r="A5111" s="3" t="s">
        <v>79</v>
      </c>
      <c r="B5111" s="3" t="s">
        <v>78</v>
      </c>
      <c r="C5111" s="4">
        <v>43313</v>
      </c>
      <c r="D5111" s="4">
        <v>43343</v>
      </c>
      <c r="E5111" s="3" t="s">
        <v>161</v>
      </c>
      <c r="F5111" s="3" t="s">
        <v>177</v>
      </c>
      <c r="G5111" s="5">
        <v>2E-3</v>
      </c>
      <c r="H5111" s="6" t="s">
        <v>84</v>
      </c>
      <c r="I5111" s="3" t="s">
        <v>45</v>
      </c>
    </row>
    <row r="5112" spans="1:9" ht="48" customHeight="1">
      <c r="A5112" s="3" t="s">
        <v>79</v>
      </c>
      <c r="B5112" s="3" t="s">
        <v>78</v>
      </c>
      <c r="C5112" s="4">
        <v>43313</v>
      </c>
      <c r="D5112" s="4">
        <v>43343</v>
      </c>
      <c r="E5112" s="3" t="s">
        <v>161</v>
      </c>
      <c r="F5112" s="3" t="s">
        <v>163</v>
      </c>
      <c r="G5112" s="5">
        <v>2E-3</v>
      </c>
      <c r="H5112" s="6" t="s">
        <v>84</v>
      </c>
      <c r="I5112" s="3" t="s">
        <v>45</v>
      </c>
    </row>
    <row r="5113" spans="1:9" ht="48" customHeight="1">
      <c r="A5113" s="3" t="s">
        <v>79</v>
      </c>
      <c r="B5113" s="3" t="s">
        <v>78</v>
      </c>
      <c r="C5113" s="4">
        <v>43313</v>
      </c>
      <c r="D5113" s="4">
        <v>43343</v>
      </c>
      <c r="E5113" s="3" t="s">
        <v>161</v>
      </c>
      <c r="F5113" s="3" t="s">
        <v>180</v>
      </c>
      <c r="G5113" s="5">
        <v>2E-3</v>
      </c>
      <c r="H5113" s="6" t="s">
        <v>84</v>
      </c>
      <c r="I5113" s="3" t="s">
        <v>45</v>
      </c>
    </row>
    <row r="5114" spans="1:9" ht="48" customHeight="1">
      <c r="A5114" s="3" t="s">
        <v>79</v>
      </c>
      <c r="B5114" s="3" t="s">
        <v>78</v>
      </c>
      <c r="C5114" s="4">
        <v>43313</v>
      </c>
      <c r="D5114" s="4">
        <v>43343</v>
      </c>
      <c r="E5114" s="3" t="s">
        <v>161</v>
      </c>
      <c r="F5114" s="3" t="s">
        <v>181</v>
      </c>
      <c r="G5114" s="5">
        <v>2E-3</v>
      </c>
      <c r="H5114" s="6" t="s">
        <v>84</v>
      </c>
      <c r="I5114" s="3" t="s">
        <v>45</v>
      </c>
    </row>
    <row r="5115" spans="1:9" ht="48" customHeight="1">
      <c r="A5115" s="3" t="s">
        <v>79</v>
      </c>
      <c r="B5115" s="3" t="s">
        <v>78</v>
      </c>
      <c r="C5115" s="4">
        <v>43313</v>
      </c>
      <c r="D5115" s="4">
        <v>43343</v>
      </c>
      <c r="E5115" s="3" t="s">
        <v>161</v>
      </c>
      <c r="F5115" s="3" t="s">
        <v>195</v>
      </c>
      <c r="G5115" s="5">
        <v>2E-3</v>
      </c>
      <c r="H5115" s="6" t="s">
        <v>84</v>
      </c>
      <c r="I5115" s="3" t="s">
        <v>45</v>
      </c>
    </row>
    <row r="5116" spans="1:9" ht="48" customHeight="1">
      <c r="A5116" s="3" t="s">
        <v>79</v>
      </c>
      <c r="B5116" s="3" t="s">
        <v>78</v>
      </c>
      <c r="C5116" s="4">
        <v>43313</v>
      </c>
      <c r="D5116" s="4">
        <v>43343</v>
      </c>
      <c r="E5116" s="3" t="s">
        <v>161</v>
      </c>
      <c r="F5116" s="3" t="s">
        <v>173</v>
      </c>
      <c r="G5116" s="5">
        <v>2E-3</v>
      </c>
      <c r="H5116" s="6" t="s">
        <v>84</v>
      </c>
      <c r="I5116" s="3" t="s">
        <v>45</v>
      </c>
    </row>
    <row r="5117" spans="1:9" ht="48" customHeight="1">
      <c r="A5117" s="3" t="s">
        <v>79</v>
      </c>
      <c r="B5117" s="3" t="s">
        <v>78</v>
      </c>
      <c r="C5117" s="4">
        <v>43313</v>
      </c>
      <c r="D5117" s="4">
        <v>43343</v>
      </c>
      <c r="E5117" s="3" t="s">
        <v>161</v>
      </c>
      <c r="F5117" s="3" t="s">
        <v>175</v>
      </c>
      <c r="G5117" s="5">
        <v>1E-3</v>
      </c>
      <c r="H5117" s="6" t="s">
        <v>84</v>
      </c>
      <c r="I5117" s="3" t="s">
        <v>45</v>
      </c>
    </row>
    <row r="5118" spans="1:9" ht="48" customHeight="1">
      <c r="A5118" s="3" t="s">
        <v>79</v>
      </c>
      <c r="B5118" s="3" t="s">
        <v>78</v>
      </c>
      <c r="C5118" s="4">
        <v>43313</v>
      </c>
      <c r="D5118" s="4">
        <v>43343</v>
      </c>
      <c r="E5118" s="3" t="s">
        <v>161</v>
      </c>
      <c r="F5118" s="3" t="s">
        <v>189</v>
      </c>
      <c r="G5118" s="5">
        <v>1E-3</v>
      </c>
      <c r="H5118" s="6" t="s">
        <v>84</v>
      </c>
      <c r="I5118" s="3" t="s">
        <v>45</v>
      </c>
    </row>
    <row r="5119" spans="1:9" ht="48" customHeight="1">
      <c r="A5119" s="3" t="s">
        <v>79</v>
      </c>
      <c r="B5119" s="3" t="s">
        <v>78</v>
      </c>
      <c r="C5119" s="4">
        <v>43313</v>
      </c>
      <c r="D5119" s="4">
        <v>43343</v>
      </c>
      <c r="E5119" s="3" t="s">
        <v>161</v>
      </c>
      <c r="F5119" s="3" t="s">
        <v>190</v>
      </c>
      <c r="G5119" s="5">
        <v>1E-3</v>
      </c>
      <c r="H5119" s="6" t="s">
        <v>84</v>
      </c>
      <c r="I5119" s="3" t="s">
        <v>45</v>
      </c>
    </row>
    <row r="5120" spans="1:9" ht="48" customHeight="1">
      <c r="A5120" s="3" t="s">
        <v>79</v>
      </c>
      <c r="B5120" s="3" t="s">
        <v>78</v>
      </c>
      <c r="C5120" s="4">
        <v>43313</v>
      </c>
      <c r="D5120" s="4">
        <v>43343</v>
      </c>
      <c r="E5120" s="3" t="s">
        <v>161</v>
      </c>
      <c r="F5120" s="3" t="s">
        <v>176</v>
      </c>
      <c r="G5120" s="5">
        <v>1E-3</v>
      </c>
      <c r="H5120" s="6" t="s">
        <v>84</v>
      </c>
      <c r="I5120" s="3" t="s">
        <v>45</v>
      </c>
    </row>
    <row r="5121" spans="1:9" ht="48" customHeight="1">
      <c r="A5121" s="3" t="s">
        <v>79</v>
      </c>
      <c r="B5121" s="3" t="s">
        <v>78</v>
      </c>
      <c r="C5121" s="4">
        <v>43313</v>
      </c>
      <c r="D5121" s="4">
        <v>43343</v>
      </c>
      <c r="E5121" s="3" t="s">
        <v>161</v>
      </c>
      <c r="F5121" s="3" t="s">
        <v>186</v>
      </c>
      <c r="G5121" s="5">
        <v>1E-3</v>
      </c>
      <c r="H5121" s="6" t="s">
        <v>84</v>
      </c>
      <c r="I5121" s="3" t="s">
        <v>45</v>
      </c>
    </row>
    <row r="5122" spans="1:9" ht="48" customHeight="1">
      <c r="A5122" s="3" t="s">
        <v>79</v>
      </c>
      <c r="B5122" s="3" t="s">
        <v>78</v>
      </c>
      <c r="C5122" s="4">
        <v>43313</v>
      </c>
      <c r="D5122" s="4">
        <v>43343</v>
      </c>
      <c r="E5122" s="3" t="s">
        <v>161</v>
      </c>
      <c r="F5122" s="3" t="s">
        <v>171</v>
      </c>
      <c r="G5122" s="5">
        <v>1E-3</v>
      </c>
      <c r="H5122" s="6" t="s">
        <v>84</v>
      </c>
      <c r="I5122" s="3" t="s">
        <v>45</v>
      </c>
    </row>
    <row r="5123" spans="1:9" ht="48" customHeight="1">
      <c r="A5123" s="3" t="s">
        <v>79</v>
      </c>
      <c r="B5123" s="3" t="s">
        <v>78</v>
      </c>
      <c r="C5123" s="4">
        <v>43313</v>
      </c>
      <c r="D5123" s="4">
        <v>43343</v>
      </c>
      <c r="E5123" s="3" t="s">
        <v>161</v>
      </c>
      <c r="F5123" s="3" t="s">
        <v>187</v>
      </c>
      <c r="G5123" s="5">
        <v>1E-3</v>
      </c>
      <c r="H5123" s="6" t="s">
        <v>84</v>
      </c>
      <c r="I5123" s="3" t="s">
        <v>45</v>
      </c>
    </row>
    <row r="5124" spans="1:9" ht="48" customHeight="1">
      <c r="A5124" s="3" t="s">
        <v>79</v>
      </c>
      <c r="B5124" s="3" t="s">
        <v>78</v>
      </c>
      <c r="C5124" s="4">
        <v>43313</v>
      </c>
      <c r="D5124" s="4">
        <v>43343</v>
      </c>
      <c r="E5124" s="3" t="s">
        <v>161</v>
      </c>
      <c r="F5124" s="3" t="s">
        <v>192</v>
      </c>
      <c r="G5124" s="5">
        <v>1E-3</v>
      </c>
      <c r="H5124" s="6" t="s">
        <v>84</v>
      </c>
      <c r="I5124" s="3" t="s">
        <v>45</v>
      </c>
    </row>
    <row r="5125" spans="1:9" ht="48" customHeight="1">
      <c r="A5125" s="3" t="s">
        <v>79</v>
      </c>
      <c r="B5125" s="3" t="s">
        <v>78</v>
      </c>
      <c r="C5125" s="4">
        <v>43313</v>
      </c>
      <c r="D5125" s="4">
        <v>43343</v>
      </c>
      <c r="E5125" s="3" t="s">
        <v>161</v>
      </c>
      <c r="F5125" s="3" t="s">
        <v>193</v>
      </c>
      <c r="G5125" s="5">
        <v>1E-3</v>
      </c>
      <c r="H5125" s="6" t="s">
        <v>84</v>
      </c>
      <c r="I5125" s="3" t="s">
        <v>45</v>
      </c>
    </row>
    <row r="5126" spans="1:9" ht="48" customHeight="1">
      <c r="A5126" s="3" t="s">
        <v>79</v>
      </c>
      <c r="B5126" s="3" t="s">
        <v>78</v>
      </c>
      <c r="C5126" s="4">
        <v>43313</v>
      </c>
      <c r="D5126" s="4">
        <v>43343</v>
      </c>
      <c r="E5126" s="3" t="s">
        <v>161</v>
      </c>
      <c r="F5126" s="3" t="s">
        <v>178</v>
      </c>
      <c r="G5126" s="5">
        <v>1E-3</v>
      </c>
      <c r="H5126" s="6" t="s">
        <v>84</v>
      </c>
      <c r="I5126" s="3" t="s">
        <v>45</v>
      </c>
    </row>
    <row r="5127" spans="1:9" ht="48" customHeight="1">
      <c r="A5127" s="3" t="s">
        <v>79</v>
      </c>
      <c r="B5127" s="3" t="s">
        <v>78</v>
      </c>
      <c r="C5127" s="4">
        <v>43313</v>
      </c>
      <c r="D5127" s="4">
        <v>43343</v>
      </c>
      <c r="E5127" s="3" t="s">
        <v>161</v>
      </c>
      <c r="F5127" s="3" t="s">
        <v>179</v>
      </c>
      <c r="G5127" s="5">
        <v>1E-3</v>
      </c>
      <c r="H5127" s="6" t="s">
        <v>84</v>
      </c>
      <c r="I5127" s="3" t="s">
        <v>45</v>
      </c>
    </row>
    <row r="5128" spans="1:9" ht="48" customHeight="1">
      <c r="A5128" s="3" t="s">
        <v>79</v>
      </c>
      <c r="B5128" s="3" t="s">
        <v>78</v>
      </c>
      <c r="C5128" s="4">
        <v>43313</v>
      </c>
      <c r="D5128" s="4">
        <v>43343</v>
      </c>
      <c r="E5128" s="3" t="s">
        <v>161</v>
      </c>
      <c r="F5128" s="3" t="s">
        <v>188</v>
      </c>
      <c r="G5128" s="5">
        <v>1E-3</v>
      </c>
      <c r="H5128" s="6" t="s">
        <v>84</v>
      </c>
      <c r="I5128" s="3" t="s">
        <v>45</v>
      </c>
    </row>
    <row r="5129" spans="1:9" ht="48" customHeight="1">
      <c r="A5129" s="3" t="s">
        <v>79</v>
      </c>
      <c r="B5129" s="3" t="s">
        <v>78</v>
      </c>
      <c r="C5129" s="4">
        <v>43313</v>
      </c>
      <c r="D5129" s="4">
        <v>43343</v>
      </c>
      <c r="E5129" s="3" t="s">
        <v>161</v>
      </c>
      <c r="F5129" s="3" t="s">
        <v>182</v>
      </c>
      <c r="G5129" s="5">
        <v>1E-3</v>
      </c>
      <c r="H5129" s="6" t="s">
        <v>84</v>
      </c>
      <c r="I5129" s="3" t="s">
        <v>45</v>
      </c>
    </row>
    <row r="5130" spans="1:9" ht="48" customHeight="1">
      <c r="A5130" s="3" t="s">
        <v>79</v>
      </c>
      <c r="B5130" s="3" t="s">
        <v>78</v>
      </c>
      <c r="C5130" s="4">
        <v>43313</v>
      </c>
      <c r="D5130" s="4">
        <v>43343</v>
      </c>
      <c r="E5130" s="3" t="s">
        <v>161</v>
      </c>
      <c r="F5130" s="3" t="s">
        <v>183</v>
      </c>
      <c r="G5130" s="5">
        <v>1E-3</v>
      </c>
      <c r="H5130" s="6" t="s">
        <v>84</v>
      </c>
      <c r="I5130" s="3" t="s">
        <v>45</v>
      </c>
    </row>
    <row r="5131" spans="1:9" ht="48" customHeight="1">
      <c r="A5131" s="3" t="s">
        <v>79</v>
      </c>
      <c r="B5131" s="3" t="s">
        <v>78</v>
      </c>
      <c r="C5131" s="4">
        <v>43313</v>
      </c>
      <c r="D5131" s="4">
        <v>43343</v>
      </c>
      <c r="E5131" s="3" t="s">
        <v>161</v>
      </c>
      <c r="F5131" s="3" t="s">
        <v>196</v>
      </c>
      <c r="G5131" s="5">
        <v>1E-3</v>
      </c>
      <c r="H5131" s="6" t="s">
        <v>84</v>
      </c>
      <c r="I5131" s="3" t="s">
        <v>45</v>
      </c>
    </row>
    <row r="5132" spans="1:9" ht="48" customHeight="1">
      <c r="A5132" s="3" t="s">
        <v>79</v>
      </c>
      <c r="B5132" s="3" t="s">
        <v>78</v>
      </c>
      <c r="C5132" s="4">
        <v>43313</v>
      </c>
      <c r="D5132" s="4">
        <v>43343</v>
      </c>
      <c r="E5132" s="3" t="s">
        <v>161</v>
      </c>
      <c r="F5132" s="3" t="s">
        <v>199</v>
      </c>
      <c r="G5132" s="5">
        <v>1E-3</v>
      </c>
      <c r="H5132" s="6" t="s">
        <v>84</v>
      </c>
      <c r="I5132" s="3" t="s">
        <v>45</v>
      </c>
    </row>
    <row r="5133" spans="1:9" ht="48" customHeight="1">
      <c r="A5133" s="3" t="s">
        <v>79</v>
      </c>
      <c r="B5133" s="3" t="s">
        <v>78</v>
      </c>
      <c r="C5133" s="4">
        <v>43313</v>
      </c>
      <c r="D5133" s="4">
        <v>43343</v>
      </c>
      <c r="E5133" s="3" t="s">
        <v>161</v>
      </c>
      <c r="F5133" s="3" t="s">
        <v>200</v>
      </c>
      <c r="G5133" s="5">
        <v>1E-3</v>
      </c>
      <c r="H5133" s="6" t="s">
        <v>84</v>
      </c>
      <c r="I5133" s="3" t="s">
        <v>45</v>
      </c>
    </row>
    <row r="5134" spans="1:9" ht="48" customHeight="1">
      <c r="A5134" s="3" t="s">
        <v>79</v>
      </c>
      <c r="B5134" s="3" t="s">
        <v>78</v>
      </c>
      <c r="C5134" s="4">
        <v>43313</v>
      </c>
      <c r="D5134" s="4">
        <v>43343</v>
      </c>
      <c r="E5134" s="3" t="s">
        <v>161</v>
      </c>
      <c r="F5134" s="3" t="s">
        <v>201</v>
      </c>
      <c r="G5134" s="5">
        <v>1E-3</v>
      </c>
      <c r="H5134" s="6" t="s">
        <v>84</v>
      </c>
      <c r="I5134" s="3" t="s">
        <v>45</v>
      </c>
    </row>
    <row r="5135" spans="1:9" ht="48" customHeight="1">
      <c r="A5135" s="3" t="s">
        <v>79</v>
      </c>
      <c r="B5135" s="3" t="s">
        <v>78</v>
      </c>
      <c r="C5135" s="4">
        <v>43313</v>
      </c>
      <c r="D5135" s="4">
        <v>43343</v>
      </c>
      <c r="E5135" s="3" t="s">
        <v>161</v>
      </c>
      <c r="F5135" s="3" t="s">
        <v>202</v>
      </c>
      <c r="G5135" s="5">
        <v>0</v>
      </c>
      <c r="H5135" s="6" t="s">
        <v>84</v>
      </c>
      <c r="I5135" s="3" t="s">
        <v>45</v>
      </c>
    </row>
    <row r="5136" spans="1:9" ht="48" customHeight="1">
      <c r="A5136" s="3" t="s">
        <v>79</v>
      </c>
      <c r="B5136" s="3" t="s">
        <v>78</v>
      </c>
      <c r="C5136" s="4">
        <v>43313</v>
      </c>
      <c r="D5136" s="4">
        <v>43343</v>
      </c>
      <c r="E5136" s="3" t="s">
        <v>161</v>
      </c>
      <c r="F5136" s="3" t="s">
        <v>198</v>
      </c>
      <c r="G5136" s="5">
        <v>0</v>
      </c>
      <c r="H5136" s="6" t="s">
        <v>84</v>
      </c>
      <c r="I5136" s="3" t="s">
        <v>45</v>
      </c>
    </row>
    <row r="5137" spans="1:9" ht="48" customHeight="1">
      <c r="A5137" s="3" t="s">
        <v>79</v>
      </c>
      <c r="B5137" s="3" t="s">
        <v>78</v>
      </c>
      <c r="C5137" s="4">
        <v>43313</v>
      </c>
      <c r="D5137" s="4">
        <v>43343</v>
      </c>
      <c r="E5137" s="3" t="s">
        <v>161</v>
      </c>
      <c r="F5137" s="3" t="s">
        <v>194</v>
      </c>
      <c r="G5137" s="5">
        <v>0</v>
      </c>
      <c r="H5137" s="6" t="s">
        <v>84</v>
      </c>
      <c r="I5137" s="3" t="s">
        <v>45</v>
      </c>
    </row>
    <row r="5138" spans="1:9" ht="48" customHeight="1">
      <c r="A5138" s="3" t="s">
        <v>79</v>
      </c>
      <c r="B5138" s="3" t="s">
        <v>78</v>
      </c>
      <c r="C5138" s="4">
        <v>43313</v>
      </c>
      <c r="D5138" s="4">
        <v>43343</v>
      </c>
      <c r="E5138" s="3" t="s">
        <v>161</v>
      </c>
      <c r="F5138" s="3" t="s">
        <v>203</v>
      </c>
      <c r="G5138" s="5">
        <v>0</v>
      </c>
      <c r="H5138" s="6" t="s">
        <v>84</v>
      </c>
      <c r="I5138" s="3" t="s">
        <v>45</v>
      </c>
    </row>
    <row r="5139" spans="1:9" ht="48" customHeight="1">
      <c r="A5139" s="3" t="s">
        <v>79</v>
      </c>
      <c r="B5139" s="3" t="s">
        <v>78</v>
      </c>
      <c r="C5139" s="4">
        <v>43313</v>
      </c>
      <c r="D5139" s="4">
        <v>43343</v>
      </c>
      <c r="E5139" s="3" t="s">
        <v>161</v>
      </c>
      <c r="F5139" s="3" t="s">
        <v>204</v>
      </c>
      <c r="G5139" s="5">
        <v>0</v>
      </c>
      <c r="H5139" s="6" t="s">
        <v>84</v>
      </c>
      <c r="I5139" s="3" t="s">
        <v>45</v>
      </c>
    </row>
    <row r="5140" spans="1:9" ht="48" customHeight="1">
      <c r="A5140" s="3" t="s">
        <v>79</v>
      </c>
      <c r="B5140" s="3" t="s">
        <v>78</v>
      </c>
      <c r="C5140" s="4">
        <v>43313</v>
      </c>
      <c r="D5140" s="4">
        <v>43343</v>
      </c>
      <c r="E5140" s="3" t="s">
        <v>379</v>
      </c>
      <c r="F5140" s="3" t="s">
        <v>265</v>
      </c>
      <c r="G5140" s="5">
        <v>1.3000000000000001E-2</v>
      </c>
      <c r="H5140" s="6" t="s">
        <v>84</v>
      </c>
      <c r="I5140" s="3" t="s">
        <v>45</v>
      </c>
    </row>
    <row r="5141" spans="1:9" ht="48" customHeight="1">
      <c r="A5141" s="3" t="s">
        <v>79</v>
      </c>
      <c r="B5141" s="3" t="s">
        <v>78</v>
      </c>
      <c r="C5141" s="4">
        <v>43313</v>
      </c>
      <c r="D5141" s="4">
        <v>43343</v>
      </c>
      <c r="E5141" s="3" t="s">
        <v>379</v>
      </c>
      <c r="F5141" s="3" t="s">
        <v>262</v>
      </c>
      <c r="G5141" s="5">
        <v>0.01</v>
      </c>
      <c r="H5141" s="6" t="s">
        <v>84</v>
      </c>
      <c r="I5141" s="3" t="s">
        <v>45</v>
      </c>
    </row>
    <row r="5142" spans="1:9" ht="48" customHeight="1">
      <c r="A5142" s="3" t="s">
        <v>79</v>
      </c>
      <c r="B5142" s="3" t="s">
        <v>78</v>
      </c>
      <c r="C5142" s="4">
        <v>43313</v>
      </c>
      <c r="D5142" s="4">
        <v>43343</v>
      </c>
      <c r="E5142" s="3" t="s">
        <v>379</v>
      </c>
      <c r="F5142" s="3" t="s">
        <v>380</v>
      </c>
      <c r="G5142" s="5">
        <v>9.0000000000000011E-3</v>
      </c>
      <c r="H5142" s="6" t="s">
        <v>84</v>
      </c>
      <c r="I5142" s="3" t="s">
        <v>45</v>
      </c>
    </row>
    <row r="5143" spans="1:9" ht="48" customHeight="1">
      <c r="A5143" s="3" t="s">
        <v>79</v>
      </c>
      <c r="B5143" s="3" t="s">
        <v>78</v>
      </c>
      <c r="C5143" s="4">
        <v>43313</v>
      </c>
      <c r="D5143" s="4">
        <v>43343</v>
      </c>
      <c r="E5143" s="3" t="s">
        <v>379</v>
      </c>
      <c r="F5143" s="3" t="s">
        <v>230</v>
      </c>
      <c r="G5143" s="5">
        <v>8.0000000000000002E-3</v>
      </c>
      <c r="H5143" s="6" t="s">
        <v>84</v>
      </c>
      <c r="I5143" s="3" t="s">
        <v>45</v>
      </c>
    </row>
    <row r="5144" spans="1:9" ht="48" customHeight="1">
      <c r="A5144" s="3" t="s">
        <v>79</v>
      </c>
      <c r="B5144" s="3" t="s">
        <v>78</v>
      </c>
      <c r="C5144" s="4">
        <v>43313</v>
      </c>
      <c r="D5144" s="4">
        <v>43343</v>
      </c>
      <c r="E5144" s="3" t="s">
        <v>379</v>
      </c>
      <c r="F5144" s="3" t="s">
        <v>234</v>
      </c>
      <c r="G5144" s="5">
        <v>6.9999999999999993E-3</v>
      </c>
      <c r="H5144" s="6" t="s">
        <v>84</v>
      </c>
      <c r="I5144" s="3" t="s">
        <v>45</v>
      </c>
    </row>
    <row r="5145" spans="1:9" ht="48" customHeight="1">
      <c r="A5145" s="3" t="s">
        <v>79</v>
      </c>
      <c r="B5145" s="3" t="s">
        <v>78</v>
      </c>
      <c r="C5145" s="4">
        <v>43313</v>
      </c>
      <c r="D5145" s="4">
        <v>43343</v>
      </c>
      <c r="E5145" s="3" t="s">
        <v>368</v>
      </c>
      <c r="F5145" s="3" t="s">
        <v>370</v>
      </c>
      <c r="G5145" s="5">
        <v>8.0000000000000002E-3</v>
      </c>
      <c r="H5145" s="6" t="s">
        <v>84</v>
      </c>
      <c r="I5145" s="3" t="s">
        <v>45</v>
      </c>
    </row>
    <row r="5146" spans="1:9" ht="48" customHeight="1">
      <c r="A5146" s="3" t="s">
        <v>79</v>
      </c>
      <c r="B5146" s="3" t="s">
        <v>78</v>
      </c>
      <c r="C5146" s="4">
        <v>43313</v>
      </c>
      <c r="D5146" s="4">
        <v>43343</v>
      </c>
      <c r="E5146" s="3" t="s">
        <v>368</v>
      </c>
      <c r="F5146" s="3" t="s">
        <v>374</v>
      </c>
      <c r="G5146" s="5">
        <v>5.0000000000000001E-3</v>
      </c>
      <c r="H5146" s="6" t="s">
        <v>84</v>
      </c>
      <c r="I5146" s="3" t="s">
        <v>45</v>
      </c>
    </row>
    <row r="5147" spans="1:9" ht="48" customHeight="1">
      <c r="A5147" s="3" t="s">
        <v>79</v>
      </c>
      <c r="B5147" s="3" t="s">
        <v>78</v>
      </c>
      <c r="C5147" s="4">
        <v>43313</v>
      </c>
      <c r="D5147" s="4">
        <v>43343</v>
      </c>
      <c r="E5147" s="3" t="s">
        <v>368</v>
      </c>
      <c r="F5147" s="3" t="s">
        <v>373</v>
      </c>
      <c r="G5147" s="5">
        <v>4.0000000000000001E-3</v>
      </c>
      <c r="H5147" s="6" t="s">
        <v>84</v>
      </c>
      <c r="I5147" s="3" t="s">
        <v>45</v>
      </c>
    </row>
    <row r="5148" spans="1:9" ht="48" customHeight="1">
      <c r="A5148" s="3" t="s">
        <v>79</v>
      </c>
      <c r="B5148" s="3" t="s">
        <v>78</v>
      </c>
      <c r="C5148" s="4">
        <v>43313</v>
      </c>
      <c r="D5148" s="4">
        <v>43343</v>
      </c>
      <c r="E5148" s="3" t="s">
        <v>368</v>
      </c>
      <c r="F5148" s="3" t="s">
        <v>265</v>
      </c>
      <c r="G5148" s="5">
        <v>4.0000000000000001E-3</v>
      </c>
      <c r="H5148" s="6" t="s">
        <v>84</v>
      </c>
      <c r="I5148" s="3" t="s">
        <v>45</v>
      </c>
    </row>
    <row r="5149" spans="1:9" ht="48" customHeight="1">
      <c r="A5149" s="3" t="s">
        <v>79</v>
      </c>
      <c r="B5149" s="3" t="s">
        <v>78</v>
      </c>
      <c r="C5149" s="4">
        <v>43313</v>
      </c>
      <c r="D5149" s="4">
        <v>43343</v>
      </c>
      <c r="E5149" s="3" t="s">
        <v>368</v>
      </c>
      <c r="F5149" s="3" t="s">
        <v>378</v>
      </c>
      <c r="G5149" s="5">
        <v>4.0000000000000001E-3</v>
      </c>
      <c r="H5149" s="6" t="s">
        <v>84</v>
      </c>
      <c r="I5149" s="3" t="s">
        <v>45</v>
      </c>
    </row>
    <row r="5150" spans="1:9" ht="48" customHeight="1">
      <c r="A5150" s="3" t="s">
        <v>79</v>
      </c>
      <c r="B5150" s="3" t="s">
        <v>78</v>
      </c>
      <c r="C5150" s="4">
        <v>43313</v>
      </c>
      <c r="D5150" s="4">
        <v>43343</v>
      </c>
      <c r="E5150" s="3" t="s">
        <v>368</v>
      </c>
      <c r="F5150" s="3" t="s">
        <v>369</v>
      </c>
      <c r="G5150" s="5">
        <v>3.0000000000000001E-3</v>
      </c>
      <c r="H5150" s="6" t="s">
        <v>84</v>
      </c>
      <c r="I5150" s="3" t="s">
        <v>45</v>
      </c>
    </row>
    <row r="5151" spans="1:9" ht="48" customHeight="1">
      <c r="A5151" s="3" t="s">
        <v>79</v>
      </c>
      <c r="B5151" s="3" t="s">
        <v>78</v>
      </c>
      <c r="C5151" s="4">
        <v>43313</v>
      </c>
      <c r="D5151" s="4">
        <v>43343</v>
      </c>
      <c r="E5151" s="3" t="s">
        <v>368</v>
      </c>
      <c r="F5151" s="3" t="s">
        <v>262</v>
      </c>
      <c r="G5151" s="5">
        <v>3.0000000000000001E-3</v>
      </c>
      <c r="H5151" s="6" t="s">
        <v>84</v>
      </c>
      <c r="I5151" s="3" t="s">
        <v>45</v>
      </c>
    </row>
    <row r="5152" spans="1:9" ht="48" customHeight="1">
      <c r="A5152" s="3" t="s">
        <v>79</v>
      </c>
      <c r="B5152" s="3" t="s">
        <v>78</v>
      </c>
      <c r="C5152" s="4">
        <v>43313</v>
      </c>
      <c r="D5152" s="4">
        <v>43343</v>
      </c>
      <c r="E5152" s="3" t="s">
        <v>368</v>
      </c>
      <c r="F5152" s="3" t="s">
        <v>371</v>
      </c>
      <c r="G5152" s="5">
        <v>3.0000000000000001E-3</v>
      </c>
      <c r="H5152" s="6" t="s">
        <v>84</v>
      </c>
      <c r="I5152" s="3" t="s">
        <v>45</v>
      </c>
    </row>
    <row r="5153" spans="1:9" ht="48" customHeight="1">
      <c r="A5153" s="3" t="s">
        <v>79</v>
      </c>
      <c r="B5153" s="3" t="s">
        <v>78</v>
      </c>
      <c r="C5153" s="4">
        <v>43313</v>
      </c>
      <c r="D5153" s="4">
        <v>43343</v>
      </c>
      <c r="E5153" s="3" t="s">
        <v>368</v>
      </c>
      <c r="F5153" s="3" t="s">
        <v>375</v>
      </c>
      <c r="G5153" s="5">
        <v>3.0000000000000001E-3</v>
      </c>
      <c r="H5153" s="6" t="s">
        <v>84</v>
      </c>
      <c r="I5153" s="3" t="s">
        <v>45</v>
      </c>
    </row>
    <row r="5154" spans="1:9" ht="48" customHeight="1">
      <c r="A5154" s="3" t="s">
        <v>79</v>
      </c>
      <c r="B5154" s="3" t="s">
        <v>78</v>
      </c>
      <c r="C5154" s="4">
        <v>43313</v>
      </c>
      <c r="D5154" s="4">
        <v>43343</v>
      </c>
      <c r="E5154" s="3" t="s">
        <v>368</v>
      </c>
      <c r="F5154" s="3" t="s">
        <v>376</v>
      </c>
      <c r="G5154" s="5">
        <v>3.0000000000000001E-3</v>
      </c>
      <c r="H5154" s="6" t="s">
        <v>84</v>
      </c>
      <c r="I5154" s="3" t="s">
        <v>45</v>
      </c>
    </row>
    <row r="5155" spans="1:9" ht="48" customHeight="1">
      <c r="A5155" s="3" t="s">
        <v>79</v>
      </c>
      <c r="B5155" s="3" t="s">
        <v>78</v>
      </c>
      <c r="C5155" s="4">
        <v>43313</v>
      </c>
      <c r="D5155" s="4">
        <v>43343</v>
      </c>
      <c r="E5155" s="3" t="s">
        <v>368</v>
      </c>
      <c r="F5155" s="3" t="s">
        <v>377</v>
      </c>
      <c r="G5155" s="5">
        <v>2E-3</v>
      </c>
      <c r="H5155" s="6" t="s">
        <v>84</v>
      </c>
      <c r="I5155" s="3" t="s">
        <v>45</v>
      </c>
    </row>
    <row r="5156" spans="1:9" ht="48" customHeight="1">
      <c r="A5156" s="3" t="s">
        <v>79</v>
      </c>
      <c r="B5156" s="3" t="s">
        <v>78</v>
      </c>
      <c r="C5156" s="4">
        <v>43313</v>
      </c>
      <c r="D5156" s="4">
        <v>43343</v>
      </c>
      <c r="E5156" s="3" t="s">
        <v>368</v>
      </c>
      <c r="F5156" s="3" t="s">
        <v>232</v>
      </c>
      <c r="G5156" s="5">
        <v>1E-3</v>
      </c>
      <c r="H5156" s="6" t="s">
        <v>84</v>
      </c>
      <c r="I5156" s="3" t="s">
        <v>45</v>
      </c>
    </row>
    <row r="5157" spans="1:9" ht="48" customHeight="1">
      <c r="A5157" s="3" t="s">
        <v>79</v>
      </c>
      <c r="B5157" s="3" t="s">
        <v>78</v>
      </c>
      <c r="C5157" s="4">
        <v>43313</v>
      </c>
      <c r="D5157" s="4">
        <v>43343</v>
      </c>
      <c r="E5157" s="3" t="s">
        <v>368</v>
      </c>
      <c r="F5157" s="3" t="s">
        <v>234</v>
      </c>
      <c r="G5157" s="5">
        <v>1E-3</v>
      </c>
      <c r="H5157" s="6" t="s">
        <v>84</v>
      </c>
      <c r="I5157" s="3" t="s">
        <v>45</v>
      </c>
    </row>
    <row r="5158" spans="1:9" ht="48" customHeight="1">
      <c r="A5158" s="3" t="s">
        <v>79</v>
      </c>
      <c r="B5158" s="3" t="s">
        <v>78</v>
      </c>
      <c r="C5158" s="4">
        <v>43313</v>
      </c>
      <c r="D5158" s="4">
        <v>43343</v>
      </c>
      <c r="E5158" s="3" t="s">
        <v>368</v>
      </c>
      <c r="F5158" s="3" t="s">
        <v>372</v>
      </c>
      <c r="G5158" s="5">
        <v>1E-3</v>
      </c>
      <c r="H5158" s="6" t="s">
        <v>84</v>
      </c>
      <c r="I5158" s="3" t="s">
        <v>45</v>
      </c>
    </row>
    <row r="5159" spans="1:9" ht="48" customHeight="1">
      <c r="A5159" s="3" t="s">
        <v>79</v>
      </c>
      <c r="B5159" s="3" t="s">
        <v>78</v>
      </c>
      <c r="C5159" s="4">
        <v>43313</v>
      </c>
      <c r="D5159" s="4">
        <v>43343</v>
      </c>
      <c r="E5159" s="3" t="s">
        <v>368</v>
      </c>
      <c r="F5159" s="3" t="s">
        <v>207</v>
      </c>
      <c r="G5159" s="5">
        <v>1E-3</v>
      </c>
      <c r="H5159" s="6" t="s">
        <v>84</v>
      </c>
      <c r="I5159" s="3" t="s">
        <v>45</v>
      </c>
    </row>
    <row r="5160" spans="1:9" ht="48" customHeight="1">
      <c r="A5160" s="3" t="s">
        <v>79</v>
      </c>
      <c r="B5160" s="3" t="s">
        <v>78</v>
      </c>
      <c r="C5160" s="4">
        <v>43313</v>
      </c>
      <c r="D5160" s="4">
        <v>43343</v>
      </c>
      <c r="E5160" s="3" t="s">
        <v>368</v>
      </c>
      <c r="F5160" s="3" t="s">
        <v>230</v>
      </c>
      <c r="G5160" s="5">
        <v>0</v>
      </c>
      <c r="H5160" s="6" t="s">
        <v>84</v>
      </c>
      <c r="I5160" s="3" t="s">
        <v>45</v>
      </c>
    </row>
    <row r="5161" spans="1:9" ht="48" customHeight="1">
      <c r="A5161" s="3" t="s">
        <v>79</v>
      </c>
      <c r="B5161" s="3" t="s">
        <v>78</v>
      </c>
      <c r="C5161" s="4">
        <v>43313</v>
      </c>
      <c r="D5161" s="4">
        <v>43343</v>
      </c>
      <c r="E5161" s="3" t="s">
        <v>205</v>
      </c>
      <c r="F5161" s="3" t="s">
        <v>206</v>
      </c>
      <c r="G5161" s="5">
        <v>3.0000000000000001E-3</v>
      </c>
      <c r="H5161" s="6" t="s">
        <v>84</v>
      </c>
      <c r="I5161" s="3" t="s">
        <v>45</v>
      </c>
    </row>
    <row r="5162" spans="1:9" ht="48" customHeight="1">
      <c r="A5162" s="3" t="s">
        <v>79</v>
      </c>
      <c r="B5162" s="3" t="s">
        <v>78</v>
      </c>
      <c r="C5162" s="4">
        <v>43313</v>
      </c>
      <c r="D5162" s="4">
        <v>43343</v>
      </c>
      <c r="E5162" s="3" t="s">
        <v>205</v>
      </c>
      <c r="F5162" s="3" t="s">
        <v>210</v>
      </c>
      <c r="G5162" s="5">
        <v>3.0000000000000001E-3</v>
      </c>
      <c r="H5162" s="6" t="s">
        <v>84</v>
      </c>
      <c r="I5162" s="3" t="s">
        <v>45</v>
      </c>
    </row>
    <row r="5163" spans="1:9" ht="48" customHeight="1">
      <c r="A5163" s="3" t="s">
        <v>79</v>
      </c>
      <c r="B5163" s="3" t="s">
        <v>78</v>
      </c>
      <c r="C5163" s="4">
        <v>43313</v>
      </c>
      <c r="D5163" s="4">
        <v>43343</v>
      </c>
      <c r="E5163" s="3" t="s">
        <v>205</v>
      </c>
      <c r="F5163" s="3" t="s">
        <v>217</v>
      </c>
      <c r="G5163" s="5">
        <v>2E-3</v>
      </c>
      <c r="H5163" s="6" t="s">
        <v>84</v>
      </c>
      <c r="I5163" s="3" t="s">
        <v>45</v>
      </c>
    </row>
    <row r="5164" spans="1:9" ht="48" customHeight="1">
      <c r="A5164" s="3" t="s">
        <v>79</v>
      </c>
      <c r="B5164" s="3" t="s">
        <v>78</v>
      </c>
      <c r="C5164" s="4">
        <v>43313</v>
      </c>
      <c r="D5164" s="4">
        <v>43343</v>
      </c>
      <c r="E5164" s="3" t="s">
        <v>205</v>
      </c>
      <c r="F5164" s="3" t="s">
        <v>219</v>
      </c>
      <c r="G5164" s="5">
        <v>2E-3</v>
      </c>
      <c r="H5164" s="6" t="s">
        <v>84</v>
      </c>
      <c r="I5164" s="3" t="s">
        <v>45</v>
      </c>
    </row>
    <row r="5165" spans="1:9" ht="48" customHeight="1">
      <c r="A5165" s="3" t="s">
        <v>79</v>
      </c>
      <c r="B5165" s="3" t="s">
        <v>78</v>
      </c>
      <c r="C5165" s="4">
        <v>43313</v>
      </c>
      <c r="D5165" s="4">
        <v>43343</v>
      </c>
      <c r="E5165" s="3" t="s">
        <v>205</v>
      </c>
      <c r="F5165" s="3" t="s">
        <v>220</v>
      </c>
      <c r="G5165" s="5">
        <v>2E-3</v>
      </c>
      <c r="H5165" s="6" t="s">
        <v>84</v>
      </c>
      <c r="I5165" s="3" t="s">
        <v>45</v>
      </c>
    </row>
    <row r="5166" spans="1:9" ht="48" customHeight="1">
      <c r="A5166" s="3" t="s">
        <v>79</v>
      </c>
      <c r="B5166" s="3" t="s">
        <v>78</v>
      </c>
      <c r="C5166" s="4">
        <v>43313</v>
      </c>
      <c r="D5166" s="4">
        <v>43343</v>
      </c>
      <c r="E5166" s="3" t="s">
        <v>205</v>
      </c>
      <c r="F5166" s="3" t="s">
        <v>211</v>
      </c>
      <c r="G5166" s="5">
        <v>2E-3</v>
      </c>
      <c r="H5166" s="6" t="s">
        <v>84</v>
      </c>
      <c r="I5166" s="3" t="s">
        <v>45</v>
      </c>
    </row>
    <row r="5167" spans="1:9" ht="48" customHeight="1">
      <c r="A5167" s="3" t="s">
        <v>79</v>
      </c>
      <c r="B5167" s="3" t="s">
        <v>78</v>
      </c>
      <c r="C5167" s="4">
        <v>43313</v>
      </c>
      <c r="D5167" s="4">
        <v>43343</v>
      </c>
      <c r="E5167" s="3" t="s">
        <v>205</v>
      </c>
      <c r="F5167" s="3" t="s">
        <v>222</v>
      </c>
      <c r="G5167" s="5">
        <v>2E-3</v>
      </c>
      <c r="H5167" s="6" t="s">
        <v>84</v>
      </c>
      <c r="I5167" s="3" t="s">
        <v>45</v>
      </c>
    </row>
    <row r="5168" spans="1:9" ht="48" customHeight="1">
      <c r="A5168" s="3" t="s">
        <v>79</v>
      </c>
      <c r="B5168" s="3" t="s">
        <v>78</v>
      </c>
      <c r="C5168" s="4">
        <v>43313</v>
      </c>
      <c r="D5168" s="4">
        <v>43343</v>
      </c>
      <c r="E5168" s="3" t="s">
        <v>205</v>
      </c>
      <c r="F5168" s="3" t="s">
        <v>207</v>
      </c>
      <c r="G5168" s="5">
        <v>2E-3</v>
      </c>
      <c r="H5168" s="6" t="s">
        <v>84</v>
      </c>
      <c r="I5168" s="3" t="s">
        <v>45</v>
      </c>
    </row>
    <row r="5169" spans="1:9" ht="48" customHeight="1">
      <c r="A5169" s="3" t="s">
        <v>79</v>
      </c>
      <c r="B5169" s="3" t="s">
        <v>78</v>
      </c>
      <c r="C5169" s="4">
        <v>43313</v>
      </c>
      <c r="D5169" s="4">
        <v>43343</v>
      </c>
      <c r="E5169" s="3" t="s">
        <v>205</v>
      </c>
      <c r="F5169" s="3" t="s">
        <v>215</v>
      </c>
      <c r="G5169" s="5">
        <v>2E-3</v>
      </c>
      <c r="H5169" s="6" t="s">
        <v>84</v>
      </c>
      <c r="I5169" s="3" t="s">
        <v>45</v>
      </c>
    </row>
    <row r="5170" spans="1:9" ht="48" customHeight="1">
      <c r="A5170" s="3" t="s">
        <v>79</v>
      </c>
      <c r="B5170" s="3" t="s">
        <v>78</v>
      </c>
      <c r="C5170" s="4">
        <v>43313</v>
      </c>
      <c r="D5170" s="4">
        <v>43343</v>
      </c>
      <c r="E5170" s="3" t="s">
        <v>205</v>
      </c>
      <c r="F5170" s="3" t="s">
        <v>209</v>
      </c>
      <c r="G5170" s="5">
        <v>2E-3</v>
      </c>
      <c r="H5170" s="6" t="s">
        <v>84</v>
      </c>
      <c r="I5170" s="3" t="s">
        <v>45</v>
      </c>
    </row>
    <row r="5171" spans="1:9" ht="48" customHeight="1">
      <c r="A5171" s="3" t="s">
        <v>79</v>
      </c>
      <c r="B5171" s="3" t="s">
        <v>78</v>
      </c>
      <c r="C5171" s="4">
        <v>43313</v>
      </c>
      <c r="D5171" s="4">
        <v>43343</v>
      </c>
      <c r="E5171" s="3" t="s">
        <v>205</v>
      </c>
      <c r="F5171" s="3" t="s">
        <v>216</v>
      </c>
      <c r="G5171" s="5">
        <v>2E-3</v>
      </c>
      <c r="H5171" s="6" t="s">
        <v>84</v>
      </c>
      <c r="I5171" s="3" t="s">
        <v>45</v>
      </c>
    </row>
    <row r="5172" spans="1:9" ht="48" customHeight="1">
      <c r="A5172" s="3" t="s">
        <v>79</v>
      </c>
      <c r="B5172" s="3" t="s">
        <v>78</v>
      </c>
      <c r="C5172" s="4">
        <v>43313</v>
      </c>
      <c r="D5172" s="4">
        <v>43343</v>
      </c>
      <c r="E5172" s="3" t="s">
        <v>205</v>
      </c>
      <c r="F5172" s="3" t="s">
        <v>229</v>
      </c>
      <c r="G5172" s="5">
        <v>1E-3</v>
      </c>
      <c r="H5172" s="6" t="s">
        <v>84</v>
      </c>
      <c r="I5172" s="3" t="s">
        <v>45</v>
      </c>
    </row>
    <row r="5173" spans="1:9" ht="48" customHeight="1">
      <c r="A5173" s="3" t="s">
        <v>79</v>
      </c>
      <c r="B5173" s="3" t="s">
        <v>78</v>
      </c>
      <c r="C5173" s="4">
        <v>43313</v>
      </c>
      <c r="D5173" s="4">
        <v>43343</v>
      </c>
      <c r="E5173" s="3" t="s">
        <v>205</v>
      </c>
      <c r="F5173" s="3" t="s">
        <v>230</v>
      </c>
      <c r="G5173" s="5">
        <v>1E-3</v>
      </c>
      <c r="H5173" s="6" t="s">
        <v>84</v>
      </c>
      <c r="I5173" s="3" t="s">
        <v>45</v>
      </c>
    </row>
    <row r="5174" spans="1:9" ht="48" customHeight="1">
      <c r="A5174" s="3" t="s">
        <v>79</v>
      </c>
      <c r="B5174" s="3" t="s">
        <v>78</v>
      </c>
      <c r="C5174" s="4">
        <v>43313</v>
      </c>
      <c r="D5174" s="4">
        <v>43343</v>
      </c>
      <c r="E5174" s="3" t="s">
        <v>205</v>
      </c>
      <c r="F5174" s="3" t="s">
        <v>223</v>
      </c>
      <c r="G5174" s="5">
        <v>1E-3</v>
      </c>
      <c r="H5174" s="6" t="s">
        <v>84</v>
      </c>
      <c r="I5174" s="3" t="s">
        <v>45</v>
      </c>
    </row>
    <row r="5175" spans="1:9" ht="48" customHeight="1">
      <c r="A5175" s="3" t="s">
        <v>79</v>
      </c>
      <c r="B5175" s="3" t="s">
        <v>78</v>
      </c>
      <c r="C5175" s="4">
        <v>43313</v>
      </c>
      <c r="D5175" s="4">
        <v>43343</v>
      </c>
      <c r="E5175" s="3" t="s">
        <v>205</v>
      </c>
      <c r="F5175" s="3" t="s">
        <v>224</v>
      </c>
      <c r="G5175" s="5">
        <v>1E-3</v>
      </c>
      <c r="H5175" s="6" t="s">
        <v>84</v>
      </c>
      <c r="I5175" s="3" t="s">
        <v>45</v>
      </c>
    </row>
    <row r="5176" spans="1:9" ht="48" customHeight="1">
      <c r="A5176" s="3" t="s">
        <v>79</v>
      </c>
      <c r="B5176" s="3" t="s">
        <v>78</v>
      </c>
      <c r="C5176" s="4">
        <v>43313</v>
      </c>
      <c r="D5176" s="4">
        <v>43343</v>
      </c>
      <c r="E5176" s="3" t="s">
        <v>205</v>
      </c>
      <c r="F5176" s="3" t="s">
        <v>218</v>
      </c>
      <c r="G5176" s="5">
        <v>1E-3</v>
      </c>
      <c r="H5176" s="6" t="s">
        <v>84</v>
      </c>
      <c r="I5176" s="3" t="s">
        <v>45</v>
      </c>
    </row>
    <row r="5177" spans="1:9" ht="48" customHeight="1">
      <c r="A5177" s="3" t="s">
        <v>79</v>
      </c>
      <c r="B5177" s="3" t="s">
        <v>78</v>
      </c>
      <c r="C5177" s="4">
        <v>43313</v>
      </c>
      <c r="D5177" s="4">
        <v>43343</v>
      </c>
      <c r="E5177" s="3" t="s">
        <v>205</v>
      </c>
      <c r="F5177" s="3" t="s">
        <v>225</v>
      </c>
      <c r="G5177" s="5">
        <v>1E-3</v>
      </c>
      <c r="H5177" s="6" t="s">
        <v>84</v>
      </c>
      <c r="I5177" s="3" t="s">
        <v>45</v>
      </c>
    </row>
    <row r="5178" spans="1:9" ht="48" customHeight="1">
      <c r="A5178" s="3" t="s">
        <v>79</v>
      </c>
      <c r="B5178" s="3" t="s">
        <v>78</v>
      </c>
      <c r="C5178" s="4">
        <v>43313</v>
      </c>
      <c r="D5178" s="4">
        <v>43343</v>
      </c>
      <c r="E5178" s="3" t="s">
        <v>205</v>
      </c>
      <c r="F5178" s="3" t="s">
        <v>226</v>
      </c>
      <c r="G5178" s="5">
        <v>1E-3</v>
      </c>
      <c r="H5178" s="6" t="s">
        <v>84</v>
      </c>
      <c r="I5178" s="3" t="s">
        <v>45</v>
      </c>
    </row>
    <row r="5179" spans="1:9" ht="48" customHeight="1">
      <c r="A5179" s="3" t="s">
        <v>79</v>
      </c>
      <c r="B5179" s="3" t="s">
        <v>78</v>
      </c>
      <c r="C5179" s="4">
        <v>43313</v>
      </c>
      <c r="D5179" s="4">
        <v>43343</v>
      </c>
      <c r="E5179" s="3" t="s">
        <v>205</v>
      </c>
      <c r="F5179" s="3" t="s">
        <v>227</v>
      </c>
      <c r="G5179" s="5">
        <v>1E-3</v>
      </c>
      <c r="H5179" s="6" t="s">
        <v>84</v>
      </c>
      <c r="I5179" s="3" t="s">
        <v>45</v>
      </c>
    </row>
    <row r="5180" spans="1:9" ht="48" customHeight="1">
      <c r="A5180" s="3" t="s">
        <v>79</v>
      </c>
      <c r="B5180" s="3" t="s">
        <v>78</v>
      </c>
      <c r="C5180" s="4">
        <v>43313</v>
      </c>
      <c r="D5180" s="4">
        <v>43343</v>
      </c>
      <c r="E5180" s="3" t="s">
        <v>205</v>
      </c>
      <c r="F5180" s="3" t="s">
        <v>221</v>
      </c>
      <c r="G5180" s="5">
        <v>1E-3</v>
      </c>
      <c r="H5180" s="6" t="s">
        <v>84</v>
      </c>
      <c r="I5180" s="3" t="s">
        <v>45</v>
      </c>
    </row>
    <row r="5181" spans="1:9" ht="48" customHeight="1">
      <c r="A5181" s="3" t="s">
        <v>79</v>
      </c>
      <c r="B5181" s="3" t="s">
        <v>78</v>
      </c>
      <c r="C5181" s="4">
        <v>43313</v>
      </c>
      <c r="D5181" s="4">
        <v>43343</v>
      </c>
      <c r="E5181" s="3" t="s">
        <v>205</v>
      </c>
      <c r="F5181" s="3" t="s">
        <v>212</v>
      </c>
      <c r="G5181" s="5">
        <v>1E-3</v>
      </c>
      <c r="H5181" s="6" t="s">
        <v>84</v>
      </c>
      <c r="I5181" s="3" t="s">
        <v>45</v>
      </c>
    </row>
    <row r="5182" spans="1:9" ht="48" customHeight="1">
      <c r="A5182" s="3" t="s">
        <v>79</v>
      </c>
      <c r="B5182" s="3" t="s">
        <v>78</v>
      </c>
      <c r="C5182" s="4">
        <v>43313</v>
      </c>
      <c r="D5182" s="4">
        <v>43343</v>
      </c>
      <c r="E5182" s="3" t="s">
        <v>205</v>
      </c>
      <c r="F5182" s="3" t="s">
        <v>208</v>
      </c>
      <c r="G5182" s="5">
        <v>1E-3</v>
      </c>
      <c r="H5182" s="6" t="s">
        <v>84</v>
      </c>
      <c r="I5182" s="3" t="s">
        <v>45</v>
      </c>
    </row>
    <row r="5183" spans="1:9" ht="48" customHeight="1">
      <c r="A5183" s="3" t="s">
        <v>79</v>
      </c>
      <c r="B5183" s="3" t="s">
        <v>78</v>
      </c>
      <c r="C5183" s="4">
        <v>43313</v>
      </c>
      <c r="D5183" s="4">
        <v>43343</v>
      </c>
      <c r="E5183" s="3" t="s">
        <v>205</v>
      </c>
      <c r="F5183" s="3" t="s">
        <v>228</v>
      </c>
      <c r="G5183" s="5">
        <v>1E-3</v>
      </c>
      <c r="H5183" s="6" t="s">
        <v>84</v>
      </c>
      <c r="I5183" s="3" t="s">
        <v>45</v>
      </c>
    </row>
    <row r="5184" spans="1:9" ht="48" customHeight="1">
      <c r="A5184" s="3" t="s">
        <v>79</v>
      </c>
      <c r="B5184" s="3" t="s">
        <v>78</v>
      </c>
      <c r="C5184" s="4">
        <v>43313</v>
      </c>
      <c r="D5184" s="4">
        <v>43343</v>
      </c>
      <c r="E5184" s="3" t="s">
        <v>205</v>
      </c>
      <c r="F5184" s="3" t="s">
        <v>213</v>
      </c>
      <c r="G5184" s="5">
        <v>1E-3</v>
      </c>
      <c r="H5184" s="6" t="s">
        <v>84</v>
      </c>
      <c r="I5184" s="3" t="s">
        <v>45</v>
      </c>
    </row>
    <row r="5185" spans="1:9" ht="48" customHeight="1">
      <c r="A5185" s="3" t="s">
        <v>79</v>
      </c>
      <c r="B5185" s="3" t="s">
        <v>78</v>
      </c>
      <c r="C5185" s="4">
        <v>43313</v>
      </c>
      <c r="D5185" s="4">
        <v>43343</v>
      </c>
      <c r="E5185" s="3" t="s">
        <v>205</v>
      </c>
      <c r="F5185" s="3" t="s">
        <v>214</v>
      </c>
      <c r="G5185" s="5">
        <v>1E-3</v>
      </c>
      <c r="H5185" s="6" t="s">
        <v>84</v>
      </c>
      <c r="I5185" s="3" t="s">
        <v>45</v>
      </c>
    </row>
    <row r="5186" spans="1:9" ht="48" customHeight="1">
      <c r="A5186" s="3" t="s">
        <v>79</v>
      </c>
      <c r="B5186" s="3" t="s">
        <v>78</v>
      </c>
      <c r="C5186" s="4">
        <v>43313</v>
      </c>
      <c r="D5186" s="4">
        <v>43343</v>
      </c>
      <c r="E5186" s="3" t="s">
        <v>302</v>
      </c>
      <c r="F5186" s="3" t="s">
        <v>309</v>
      </c>
      <c r="G5186" s="5">
        <v>6.9999999999999993E-3</v>
      </c>
      <c r="H5186" s="6" t="s">
        <v>84</v>
      </c>
      <c r="I5186" s="3" t="s">
        <v>45</v>
      </c>
    </row>
    <row r="5187" spans="1:9" ht="48" customHeight="1">
      <c r="A5187" s="3" t="s">
        <v>79</v>
      </c>
      <c r="B5187" s="3" t="s">
        <v>78</v>
      </c>
      <c r="C5187" s="4">
        <v>43313</v>
      </c>
      <c r="D5187" s="4">
        <v>43343</v>
      </c>
      <c r="E5187" s="3" t="s">
        <v>302</v>
      </c>
      <c r="F5187" s="3" t="s">
        <v>307</v>
      </c>
      <c r="G5187" s="5">
        <v>5.0000000000000001E-3</v>
      </c>
      <c r="H5187" s="6" t="s">
        <v>84</v>
      </c>
      <c r="I5187" s="3" t="s">
        <v>45</v>
      </c>
    </row>
    <row r="5188" spans="1:9" ht="48" customHeight="1">
      <c r="A5188" s="3" t="s">
        <v>79</v>
      </c>
      <c r="B5188" s="3" t="s">
        <v>78</v>
      </c>
      <c r="C5188" s="4">
        <v>43313</v>
      </c>
      <c r="D5188" s="4">
        <v>43343</v>
      </c>
      <c r="E5188" s="3" t="s">
        <v>302</v>
      </c>
      <c r="F5188" s="3" t="s">
        <v>308</v>
      </c>
      <c r="G5188" s="5">
        <v>4.0000000000000001E-3</v>
      </c>
      <c r="H5188" s="6" t="s">
        <v>84</v>
      </c>
      <c r="I5188" s="3" t="s">
        <v>45</v>
      </c>
    </row>
    <row r="5189" spans="1:9" ht="48" customHeight="1">
      <c r="A5189" s="3" t="s">
        <v>79</v>
      </c>
      <c r="B5189" s="3" t="s">
        <v>78</v>
      </c>
      <c r="C5189" s="4">
        <v>43313</v>
      </c>
      <c r="D5189" s="4">
        <v>43343</v>
      </c>
      <c r="E5189" s="3" t="s">
        <v>302</v>
      </c>
      <c r="F5189" s="3" t="s">
        <v>303</v>
      </c>
      <c r="G5189" s="5">
        <v>3.0000000000000001E-3</v>
      </c>
      <c r="H5189" s="6" t="s">
        <v>84</v>
      </c>
      <c r="I5189" s="3" t="s">
        <v>45</v>
      </c>
    </row>
    <row r="5190" spans="1:9" ht="48" customHeight="1">
      <c r="A5190" s="3" t="s">
        <v>79</v>
      </c>
      <c r="B5190" s="3" t="s">
        <v>78</v>
      </c>
      <c r="C5190" s="4">
        <v>43313</v>
      </c>
      <c r="D5190" s="4">
        <v>43343</v>
      </c>
      <c r="E5190" s="3" t="s">
        <v>302</v>
      </c>
      <c r="F5190" s="3" t="s">
        <v>304</v>
      </c>
      <c r="G5190" s="5">
        <v>2E-3</v>
      </c>
      <c r="H5190" s="6" t="s">
        <v>84</v>
      </c>
      <c r="I5190" s="3" t="s">
        <v>45</v>
      </c>
    </row>
    <row r="5191" spans="1:9" ht="48" customHeight="1">
      <c r="A5191" s="3" t="s">
        <v>79</v>
      </c>
      <c r="B5191" s="3" t="s">
        <v>78</v>
      </c>
      <c r="C5191" s="4">
        <v>43313</v>
      </c>
      <c r="D5191" s="4">
        <v>43343</v>
      </c>
      <c r="E5191" s="3" t="s">
        <v>302</v>
      </c>
      <c r="F5191" s="3" t="s">
        <v>311</v>
      </c>
      <c r="G5191" s="5">
        <v>2E-3</v>
      </c>
      <c r="H5191" s="6" t="s">
        <v>84</v>
      </c>
      <c r="I5191" s="3" t="s">
        <v>45</v>
      </c>
    </row>
    <row r="5192" spans="1:9" ht="48" customHeight="1">
      <c r="A5192" s="3" t="s">
        <v>79</v>
      </c>
      <c r="B5192" s="3" t="s">
        <v>78</v>
      </c>
      <c r="C5192" s="4">
        <v>43313</v>
      </c>
      <c r="D5192" s="4">
        <v>43343</v>
      </c>
      <c r="E5192" s="3" t="s">
        <v>302</v>
      </c>
      <c r="F5192" s="3" t="s">
        <v>305</v>
      </c>
      <c r="G5192" s="5">
        <v>2E-3</v>
      </c>
      <c r="H5192" s="6" t="s">
        <v>84</v>
      </c>
      <c r="I5192" s="3" t="s">
        <v>45</v>
      </c>
    </row>
    <row r="5193" spans="1:9" ht="48" customHeight="1">
      <c r="A5193" s="3" t="s">
        <v>79</v>
      </c>
      <c r="B5193" s="3" t="s">
        <v>78</v>
      </c>
      <c r="C5193" s="4">
        <v>43313</v>
      </c>
      <c r="D5193" s="4">
        <v>43343</v>
      </c>
      <c r="E5193" s="3" t="s">
        <v>302</v>
      </c>
      <c r="F5193" s="3" t="s">
        <v>306</v>
      </c>
      <c r="G5193" s="5">
        <v>2E-3</v>
      </c>
      <c r="H5193" s="6" t="s">
        <v>84</v>
      </c>
      <c r="I5193" s="3" t="s">
        <v>45</v>
      </c>
    </row>
    <row r="5194" spans="1:9" ht="48" customHeight="1">
      <c r="A5194" s="3" t="s">
        <v>79</v>
      </c>
      <c r="B5194" s="3" t="s">
        <v>78</v>
      </c>
      <c r="C5194" s="4">
        <v>43313</v>
      </c>
      <c r="D5194" s="4">
        <v>43343</v>
      </c>
      <c r="E5194" s="3" t="s">
        <v>302</v>
      </c>
      <c r="F5194" s="3" t="s">
        <v>310</v>
      </c>
      <c r="G5194" s="5">
        <v>1E-3</v>
      </c>
      <c r="H5194" s="6" t="s">
        <v>84</v>
      </c>
      <c r="I5194" s="3" t="s">
        <v>45</v>
      </c>
    </row>
    <row r="5195" spans="1:9" ht="48" customHeight="1">
      <c r="A5195" s="3" t="s">
        <v>79</v>
      </c>
      <c r="B5195" s="3" t="s">
        <v>78</v>
      </c>
      <c r="C5195" s="4">
        <v>43313</v>
      </c>
      <c r="D5195" s="4">
        <v>43343</v>
      </c>
      <c r="E5195" s="3" t="s">
        <v>302</v>
      </c>
      <c r="F5195" s="3" t="s">
        <v>312</v>
      </c>
      <c r="G5195" s="5">
        <v>1E-3</v>
      </c>
      <c r="H5195" s="6" t="s">
        <v>84</v>
      </c>
      <c r="I5195" s="3" t="s">
        <v>45</v>
      </c>
    </row>
    <row r="5196" spans="1:9" ht="48" customHeight="1">
      <c r="A5196" s="3" t="s">
        <v>79</v>
      </c>
      <c r="B5196" s="3" t="s">
        <v>78</v>
      </c>
      <c r="C5196" s="4">
        <v>43313</v>
      </c>
      <c r="D5196" s="4">
        <v>43343</v>
      </c>
      <c r="E5196" s="3" t="s">
        <v>302</v>
      </c>
      <c r="F5196" s="3" t="s">
        <v>313</v>
      </c>
      <c r="G5196" s="5">
        <v>1E-3</v>
      </c>
      <c r="H5196" s="6" t="s">
        <v>84</v>
      </c>
      <c r="I5196" s="3" t="s">
        <v>45</v>
      </c>
    </row>
    <row r="5197" spans="1:9" ht="48" customHeight="1">
      <c r="A5197" s="3" t="s">
        <v>79</v>
      </c>
      <c r="B5197" s="3" t="s">
        <v>78</v>
      </c>
      <c r="C5197" s="4">
        <v>43313</v>
      </c>
      <c r="D5197" s="4">
        <v>43343</v>
      </c>
      <c r="E5197" s="3" t="s">
        <v>302</v>
      </c>
      <c r="F5197" s="3" t="s">
        <v>314</v>
      </c>
      <c r="G5197" s="5">
        <v>1E-3</v>
      </c>
      <c r="H5197" s="6" t="s">
        <v>84</v>
      </c>
      <c r="I5197" s="3" t="s">
        <v>45</v>
      </c>
    </row>
    <row r="5198" spans="1:9" ht="48" customHeight="1">
      <c r="A5198" s="3" t="s">
        <v>79</v>
      </c>
      <c r="B5198" s="3" t="s">
        <v>78</v>
      </c>
      <c r="C5198" s="4">
        <v>43313</v>
      </c>
      <c r="D5198" s="4">
        <v>43343</v>
      </c>
      <c r="E5198" s="3" t="s">
        <v>302</v>
      </c>
      <c r="F5198" s="3" t="s">
        <v>316</v>
      </c>
      <c r="G5198" s="5">
        <v>1E-3</v>
      </c>
      <c r="H5198" s="6" t="s">
        <v>84</v>
      </c>
      <c r="I5198" s="3" t="s">
        <v>45</v>
      </c>
    </row>
    <row r="5199" spans="1:9" ht="48" customHeight="1">
      <c r="A5199" s="3" t="s">
        <v>79</v>
      </c>
      <c r="B5199" s="3" t="s">
        <v>78</v>
      </c>
      <c r="C5199" s="4">
        <v>43313</v>
      </c>
      <c r="D5199" s="4">
        <v>43343</v>
      </c>
      <c r="E5199" s="3" t="s">
        <v>302</v>
      </c>
      <c r="F5199" s="3" t="s">
        <v>317</v>
      </c>
      <c r="G5199" s="5">
        <v>1E-3</v>
      </c>
      <c r="H5199" s="6" t="s">
        <v>84</v>
      </c>
      <c r="I5199" s="3" t="s">
        <v>45</v>
      </c>
    </row>
    <row r="5200" spans="1:9" ht="48" customHeight="1">
      <c r="A5200" s="3" t="s">
        <v>79</v>
      </c>
      <c r="B5200" s="3" t="s">
        <v>78</v>
      </c>
      <c r="C5200" s="4">
        <v>43313</v>
      </c>
      <c r="D5200" s="4">
        <v>43343</v>
      </c>
      <c r="E5200" s="3" t="s">
        <v>302</v>
      </c>
      <c r="F5200" s="3" t="s">
        <v>323</v>
      </c>
      <c r="G5200" s="5">
        <v>1E-3</v>
      </c>
      <c r="H5200" s="6" t="s">
        <v>84</v>
      </c>
      <c r="I5200" s="3" t="s">
        <v>45</v>
      </c>
    </row>
    <row r="5201" spans="1:9" ht="48" customHeight="1">
      <c r="A5201" s="3" t="s">
        <v>79</v>
      </c>
      <c r="B5201" s="3" t="s">
        <v>78</v>
      </c>
      <c r="C5201" s="4">
        <v>43313</v>
      </c>
      <c r="D5201" s="4">
        <v>43343</v>
      </c>
      <c r="E5201" s="3" t="s">
        <v>302</v>
      </c>
      <c r="F5201" s="3" t="s">
        <v>324</v>
      </c>
      <c r="G5201" s="5">
        <v>1E-3</v>
      </c>
      <c r="H5201" s="6" t="s">
        <v>84</v>
      </c>
      <c r="I5201" s="3" t="s">
        <v>45</v>
      </c>
    </row>
    <row r="5202" spans="1:9" ht="48" customHeight="1">
      <c r="A5202" s="3" t="s">
        <v>79</v>
      </c>
      <c r="B5202" s="3" t="s">
        <v>78</v>
      </c>
      <c r="C5202" s="4">
        <v>43313</v>
      </c>
      <c r="D5202" s="4">
        <v>43343</v>
      </c>
      <c r="E5202" s="3" t="s">
        <v>302</v>
      </c>
      <c r="F5202" s="3" t="s">
        <v>315</v>
      </c>
      <c r="G5202" s="5">
        <v>0</v>
      </c>
      <c r="H5202" s="6" t="s">
        <v>84</v>
      </c>
      <c r="I5202" s="3" t="s">
        <v>45</v>
      </c>
    </row>
    <row r="5203" spans="1:9" ht="48" customHeight="1">
      <c r="A5203" s="3" t="s">
        <v>79</v>
      </c>
      <c r="B5203" s="3" t="s">
        <v>78</v>
      </c>
      <c r="C5203" s="4">
        <v>43313</v>
      </c>
      <c r="D5203" s="4">
        <v>43343</v>
      </c>
      <c r="E5203" s="3" t="s">
        <v>302</v>
      </c>
      <c r="F5203" s="3" t="s">
        <v>318</v>
      </c>
      <c r="G5203" s="5">
        <v>0</v>
      </c>
      <c r="H5203" s="6" t="s">
        <v>84</v>
      </c>
      <c r="I5203" s="3" t="s">
        <v>45</v>
      </c>
    </row>
    <row r="5204" spans="1:9" ht="48" customHeight="1">
      <c r="A5204" s="3" t="s">
        <v>79</v>
      </c>
      <c r="B5204" s="3" t="s">
        <v>78</v>
      </c>
      <c r="C5204" s="4">
        <v>43313</v>
      </c>
      <c r="D5204" s="4">
        <v>43343</v>
      </c>
      <c r="E5204" s="3" t="s">
        <v>302</v>
      </c>
      <c r="F5204" s="3" t="s">
        <v>319</v>
      </c>
      <c r="G5204" s="5">
        <v>0</v>
      </c>
      <c r="H5204" s="6" t="s">
        <v>84</v>
      </c>
      <c r="I5204" s="3" t="s">
        <v>45</v>
      </c>
    </row>
    <row r="5205" spans="1:9" ht="48" customHeight="1">
      <c r="A5205" s="3" t="s">
        <v>79</v>
      </c>
      <c r="B5205" s="3" t="s">
        <v>78</v>
      </c>
      <c r="C5205" s="4">
        <v>43313</v>
      </c>
      <c r="D5205" s="4">
        <v>43343</v>
      </c>
      <c r="E5205" s="3" t="s">
        <v>302</v>
      </c>
      <c r="F5205" s="3" t="s">
        <v>320</v>
      </c>
      <c r="G5205" s="5">
        <v>0</v>
      </c>
      <c r="H5205" s="6" t="s">
        <v>84</v>
      </c>
      <c r="I5205" s="3" t="s">
        <v>45</v>
      </c>
    </row>
    <row r="5206" spans="1:9" ht="48" customHeight="1">
      <c r="A5206" s="3" t="s">
        <v>79</v>
      </c>
      <c r="B5206" s="3" t="s">
        <v>78</v>
      </c>
      <c r="C5206" s="4">
        <v>43313</v>
      </c>
      <c r="D5206" s="4">
        <v>43343</v>
      </c>
      <c r="E5206" s="3" t="s">
        <v>302</v>
      </c>
      <c r="F5206" s="3" t="s">
        <v>321</v>
      </c>
      <c r="G5206" s="5">
        <v>0</v>
      </c>
      <c r="H5206" s="6" t="s">
        <v>84</v>
      </c>
      <c r="I5206" s="3" t="s">
        <v>45</v>
      </c>
    </row>
    <row r="5207" spans="1:9" ht="48" customHeight="1">
      <c r="A5207" s="3" t="s">
        <v>79</v>
      </c>
      <c r="B5207" s="3" t="s">
        <v>78</v>
      </c>
      <c r="C5207" s="4">
        <v>43313</v>
      </c>
      <c r="D5207" s="4">
        <v>43343</v>
      </c>
      <c r="E5207" s="3" t="s">
        <v>302</v>
      </c>
      <c r="F5207" s="3" t="s">
        <v>322</v>
      </c>
      <c r="G5207" s="5">
        <v>0</v>
      </c>
      <c r="H5207" s="6" t="s">
        <v>84</v>
      </c>
      <c r="I5207" s="3" t="s">
        <v>45</v>
      </c>
    </row>
    <row r="5208" spans="1:9" ht="48" customHeight="1">
      <c r="A5208" s="3" t="s">
        <v>79</v>
      </c>
      <c r="B5208" s="3" t="s">
        <v>78</v>
      </c>
      <c r="C5208" s="4">
        <v>43313</v>
      </c>
      <c r="D5208" s="4">
        <v>43343</v>
      </c>
      <c r="E5208" s="3" t="s">
        <v>286</v>
      </c>
      <c r="F5208" s="3" t="s">
        <v>287</v>
      </c>
      <c r="G5208" s="5">
        <v>3.0000000000000001E-3</v>
      </c>
      <c r="H5208" s="6" t="s">
        <v>84</v>
      </c>
      <c r="I5208" s="3" t="s">
        <v>45</v>
      </c>
    </row>
    <row r="5209" spans="1:9" ht="48" customHeight="1">
      <c r="A5209" s="3" t="s">
        <v>79</v>
      </c>
      <c r="B5209" s="3" t="s">
        <v>78</v>
      </c>
      <c r="C5209" s="4">
        <v>43313</v>
      </c>
      <c r="D5209" s="4">
        <v>43343</v>
      </c>
      <c r="E5209" s="3" t="s">
        <v>286</v>
      </c>
      <c r="F5209" s="3" t="s">
        <v>290</v>
      </c>
      <c r="G5209" s="5">
        <v>2E-3</v>
      </c>
      <c r="H5209" s="6" t="s">
        <v>84</v>
      </c>
      <c r="I5209" s="3" t="s">
        <v>45</v>
      </c>
    </row>
    <row r="5210" spans="1:9" ht="48" customHeight="1">
      <c r="A5210" s="3" t="s">
        <v>79</v>
      </c>
      <c r="B5210" s="3" t="s">
        <v>78</v>
      </c>
      <c r="C5210" s="4">
        <v>43313</v>
      </c>
      <c r="D5210" s="4">
        <v>43343</v>
      </c>
      <c r="E5210" s="3" t="s">
        <v>286</v>
      </c>
      <c r="F5210" s="3" t="s">
        <v>288</v>
      </c>
      <c r="G5210" s="5">
        <v>2E-3</v>
      </c>
      <c r="H5210" s="6" t="s">
        <v>84</v>
      </c>
      <c r="I5210" s="3" t="s">
        <v>45</v>
      </c>
    </row>
    <row r="5211" spans="1:9" ht="48" customHeight="1">
      <c r="A5211" s="3" t="s">
        <v>79</v>
      </c>
      <c r="B5211" s="3" t="s">
        <v>78</v>
      </c>
      <c r="C5211" s="4">
        <v>43313</v>
      </c>
      <c r="D5211" s="4">
        <v>43343</v>
      </c>
      <c r="E5211" s="3" t="s">
        <v>286</v>
      </c>
      <c r="F5211" s="3" t="s">
        <v>289</v>
      </c>
      <c r="G5211" s="5">
        <v>2E-3</v>
      </c>
      <c r="H5211" s="6" t="s">
        <v>84</v>
      </c>
      <c r="I5211" s="3" t="s">
        <v>45</v>
      </c>
    </row>
    <row r="5212" spans="1:9" ht="48" customHeight="1">
      <c r="A5212" s="3" t="s">
        <v>79</v>
      </c>
      <c r="B5212" s="3" t="s">
        <v>78</v>
      </c>
      <c r="C5212" s="4">
        <v>43313</v>
      </c>
      <c r="D5212" s="4">
        <v>43343</v>
      </c>
      <c r="E5212" s="3" t="s">
        <v>286</v>
      </c>
      <c r="F5212" s="3" t="s">
        <v>291</v>
      </c>
      <c r="G5212" s="5">
        <v>2E-3</v>
      </c>
      <c r="H5212" s="6" t="s">
        <v>84</v>
      </c>
      <c r="I5212" s="3" t="s">
        <v>45</v>
      </c>
    </row>
    <row r="5213" spans="1:9" ht="48" customHeight="1">
      <c r="A5213" s="3" t="s">
        <v>79</v>
      </c>
      <c r="B5213" s="3" t="s">
        <v>78</v>
      </c>
      <c r="C5213" s="4">
        <v>43313</v>
      </c>
      <c r="D5213" s="4">
        <v>43343</v>
      </c>
      <c r="E5213" s="3" t="s">
        <v>286</v>
      </c>
      <c r="F5213" s="3" t="s">
        <v>293</v>
      </c>
      <c r="G5213" s="5">
        <v>2E-3</v>
      </c>
      <c r="H5213" s="6" t="s">
        <v>84</v>
      </c>
      <c r="I5213" s="3" t="s">
        <v>45</v>
      </c>
    </row>
    <row r="5214" spans="1:9" ht="48" customHeight="1">
      <c r="A5214" s="3" t="s">
        <v>79</v>
      </c>
      <c r="B5214" s="3" t="s">
        <v>78</v>
      </c>
      <c r="C5214" s="4">
        <v>43313</v>
      </c>
      <c r="D5214" s="4">
        <v>43343</v>
      </c>
      <c r="E5214" s="3" t="s">
        <v>286</v>
      </c>
      <c r="F5214" s="3" t="s">
        <v>297</v>
      </c>
      <c r="G5214" s="5">
        <v>1E-3</v>
      </c>
      <c r="H5214" s="6" t="s">
        <v>84</v>
      </c>
      <c r="I5214" s="3" t="s">
        <v>45</v>
      </c>
    </row>
    <row r="5215" spans="1:9" ht="48" customHeight="1">
      <c r="A5215" s="3" t="s">
        <v>79</v>
      </c>
      <c r="B5215" s="3" t="s">
        <v>78</v>
      </c>
      <c r="C5215" s="4">
        <v>43313</v>
      </c>
      <c r="D5215" s="4">
        <v>43343</v>
      </c>
      <c r="E5215" s="3" t="s">
        <v>286</v>
      </c>
      <c r="F5215" s="3" t="s">
        <v>292</v>
      </c>
      <c r="G5215" s="5">
        <v>1E-3</v>
      </c>
      <c r="H5215" s="6" t="s">
        <v>84</v>
      </c>
      <c r="I5215" s="3" t="s">
        <v>45</v>
      </c>
    </row>
    <row r="5216" spans="1:9" ht="48" customHeight="1">
      <c r="A5216" s="3" t="s">
        <v>79</v>
      </c>
      <c r="B5216" s="3" t="s">
        <v>78</v>
      </c>
      <c r="C5216" s="4">
        <v>43313</v>
      </c>
      <c r="D5216" s="4">
        <v>43343</v>
      </c>
      <c r="E5216" s="3" t="s">
        <v>286</v>
      </c>
      <c r="F5216" s="3" t="s">
        <v>300</v>
      </c>
      <c r="G5216" s="5">
        <v>1E-3</v>
      </c>
      <c r="H5216" s="6" t="s">
        <v>84</v>
      </c>
      <c r="I5216" s="3" t="s">
        <v>45</v>
      </c>
    </row>
    <row r="5217" spans="1:9" ht="48" customHeight="1">
      <c r="A5217" s="3" t="s">
        <v>79</v>
      </c>
      <c r="B5217" s="3" t="s">
        <v>78</v>
      </c>
      <c r="C5217" s="4">
        <v>43313</v>
      </c>
      <c r="D5217" s="4">
        <v>43343</v>
      </c>
      <c r="E5217" s="3" t="s">
        <v>286</v>
      </c>
      <c r="F5217" s="3" t="s">
        <v>294</v>
      </c>
      <c r="G5217" s="5">
        <v>0</v>
      </c>
      <c r="H5217" s="6" t="s">
        <v>84</v>
      </c>
      <c r="I5217" s="3" t="s">
        <v>45</v>
      </c>
    </row>
    <row r="5218" spans="1:9" ht="48" customHeight="1">
      <c r="A5218" s="3" t="s">
        <v>79</v>
      </c>
      <c r="B5218" s="3" t="s">
        <v>78</v>
      </c>
      <c r="C5218" s="4">
        <v>43313</v>
      </c>
      <c r="D5218" s="4">
        <v>43343</v>
      </c>
      <c r="E5218" s="3" t="s">
        <v>286</v>
      </c>
      <c r="F5218" s="3" t="s">
        <v>295</v>
      </c>
      <c r="G5218" s="5">
        <v>0</v>
      </c>
      <c r="H5218" s="6" t="s">
        <v>84</v>
      </c>
      <c r="I5218" s="3" t="s">
        <v>45</v>
      </c>
    </row>
    <row r="5219" spans="1:9" ht="48" customHeight="1">
      <c r="A5219" s="3" t="s">
        <v>79</v>
      </c>
      <c r="B5219" s="3" t="s">
        <v>78</v>
      </c>
      <c r="C5219" s="4">
        <v>43313</v>
      </c>
      <c r="D5219" s="4">
        <v>43343</v>
      </c>
      <c r="E5219" s="3" t="s">
        <v>286</v>
      </c>
      <c r="F5219" s="3" t="s">
        <v>296</v>
      </c>
      <c r="G5219" s="5">
        <v>0</v>
      </c>
      <c r="H5219" s="6" t="s">
        <v>84</v>
      </c>
      <c r="I5219" s="3" t="s">
        <v>45</v>
      </c>
    </row>
    <row r="5220" spans="1:9" ht="48" customHeight="1">
      <c r="A5220" s="3" t="s">
        <v>79</v>
      </c>
      <c r="B5220" s="3" t="s">
        <v>78</v>
      </c>
      <c r="C5220" s="4">
        <v>43313</v>
      </c>
      <c r="D5220" s="4">
        <v>43343</v>
      </c>
      <c r="E5220" s="3" t="s">
        <v>286</v>
      </c>
      <c r="F5220" s="3" t="s">
        <v>298</v>
      </c>
      <c r="G5220" s="5">
        <v>0</v>
      </c>
      <c r="H5220" s="6" t="s">
        <v>84</v>
      </c>
      <c r="I5220" s="3" t="s">
        <v>45</v>
      </c>
    </row>
    <row r="5221" spans="1:9" ht="48" customHeight="1">
      <c r="A5221" s="3" t="s">
        <v>79</v>
      </c>
      <c r="B5221" s="3" t="s">
        <v>78</v>
      </c>
      <c r="C5221" s="4">
        <v>43313</v>
      </c>
      <c r="D5221" s="4">
        <v>43343</v>
      </c>
      <c r="E5221" s="3" t="s">
        <v>286</v>
      </c>
      <c r="F5221" s="3" t="s">
        <v>299</v>
      </c>
      <c r="G5221" s="5">
        <v>0</v>
      </c>
      <c r="H5221" s="6" t="s">
        <v>84</v>
      </c>
      <c r="I5221" s="3" t="s">
        <v>45</v>
      </c>
    </row>
    <row r="5222" spans="1:9" ht="48" customHeight="1">
      <c r="A5222" s="3" t="s">
        <v>79</v>
      </c>
      <c r="B5222" s="3" t="s">
        <v>78</v>
      </c>
      <c r="C5222" s="4">
        <v>43313</v>
      </c>
      <c r="D5222" s="4">
        <v>43343</v>
      </c>
      <c r="E5222" s="3" t="s">
        <v>47</v>
      </c>
      <c r="F5222" s="3" t="s">
        <v>348</v>
      </c>
      <c r="G5222" s="5">
        <v>4.0000000000000001E-3</v>
      </c>
      <c r="H5222" s="6" t="s">
        <v>84</v>
      </c>
      <c r="I5222" s="3" t="s">
        <v>45</v>
      </c>
    </row>
    <row r="5223" spans="1:9" ht="48" customHeight="1">
      <c r="A5223" s="3" t="s">
        <v>79</v>
      </c>
      <c r="B5223" s="3" t="s">
        <v>78</v>
      </c>
      <c r="C5223" s="4">
        <v>43313</v>
      </c>
      <c r="D5223" s="4">
        <v>43343</v>
      </c>
      <c r="E5223" s="3" t="s">
        <v>47</v>
      </c>
      <c r="F5223" s="3" t="s">
        <v>349</v>
      </c>
      <c r="G5223" s="5">
        <v>2E-3</v>
      </c>
      <c r="H5223" s="6" t="s">
        <v>84</v>
      </c>
      <c r="I5223" s="3" t="s">
        <v>45</v>
      </c>
    </row>
    <row r="5224" spans="1:9" ht="48" customHeight="1">
      <c r="A5224" s="3" t="s">
        <v>79</v>
      </c>
      <c r="B5224" s="3" t="s">
        <v>78</v>
      </c>
      <c r="C5224" s="4">
        <v>43313</v>
      </c>
      <c r="D5224" s="4">
        <v>43343</v>
      </c>
      <c r="E5224" s="3" t="s">
        <v>47</v>
      </c>
      <c r="F5224" s="3" t="s">
        <v>350</v>
      </c>
      <c r="G5224" s="5">
        <v>1E-3</v>
      </c>
      <c r="H5224" s="6" t="s">
        <v>84</v>
      </c>
      <c r="I5224" s="3" t="s">
        <v>45</v>
      </c>
    </row>
    <row r="5225" spans="1:9" ht="48" customHeight="1">
      <c r="A5225" s="3" t="s">
        <v>79</v>
      </c>
      <c r="B5225" s="3" t="s">
        <v>78</v>
      </c>
      <c r="C5225" s="4">
        <v>43313</v>
      </c>
      <c r="D5225" s="4">
        <v>43343</v>
      </c>
      <c r="E5225" s="3" t="s">
        <v>47</v>
      </c>
      <c r="F5225" s="3" t="s">
        <v>351</v>
      </c>
      <c r="G5225" s="5">
        <v>1E-3</v>
      </c>
      <c r="H5225" s="6" t="s">
        <v>84</v>
      </c>
      <c r="I5225" s="3" t="s">
        <v>45</v>
      </c>
    </row>
    <row r="5226" spans="1:9" ht="48" customHeight="1">
      <c r="A5226" s="3" t="s">
        <v>79</v>
      </c>
      <c r="B5226" s="3" t="s">
        <v>78</v>
      </c>
      <c r="C5226" s="4">
        <v>43313</v>
      </c>
      <c r="D5226" s="4">
        <v>43343</v>
      </c>
      <c r="E5226" s="3" t="s">
        <v>47</v>
      </c>
      <c r="F5226" s="3" t="s">
        <v>352</v>
      </c>
      <c r="G5226" s="5">
        <v>1E-3</v>
      </c>
      <c r="H5226" s="6" t="s">
        <v>84</v>
      </c>
      <c r="I5226" s="3" t="s">
        <v>45</v>
      </c>
    </row>
    <row r="5227" spans="1:9" ht="48" customHeight="1">
      <c r="A5227" s="3" t="s">
        <v>79</v>
      </c>
      <c r="B5227" s="3" t="s">
        <v>78</v>
      </c>
      <c r="C5227" s="4">
        <v>43313</v>
      </c>
      <c r="D5227" s="4">
        <v>43343</v>
      </c>
      <c r="E5227" s="3" t="s">
        <v>47</v>
      </c>
      <c r="F5227" s="3" t="s">
        <v>354</v>
      </c>
      <c r="G5227" s="5">
        <v>1E-3</v>
      </c>
      <c r="H5227" s="6" t="s">
        <v>84</v>
      </c>
      <c r="I5227" s="3" t="s">
        <v>45</v>
      </c>
    </row>
    <row r="5228" spans="1:9" ht="48" customHeight="1">
      <c r="A5228" s="3" t="s">
        <v>79</v>
      </c>
      <c r="B5228" s="3" t="s">
        <v>78</v>
      </c>
      <c r="C5228" s="4">
        <v>43313</v>
      </c>
      <c r="D5228" s="4">
        <v>43343</v>
      </c>
      <c r="E5228" s="3" t="s">
        <v>47</v>
      </c>
      <c r="F5228" s="3" t="s">
        <v>355</v>
      </c>
      <c r="G5228" s="5">
        <v>1E-3</v>
      </c>
      <c r="H5228" s="6" t="s">
        <v>84</v>
      </c>
      <c r="I5228" s="3" t="s">
        <v>45</v>
      </c>
    </row>
    <row r="5229" spans="1:9" ht="48" customHeight="1">
      <c r="A5229" s="3" t="s">
        <v>79</v>
      </c>
      <c r="B5229" s="3" t="s">
        <v>78</v>
      </c>
      <c r="C5229" s="4">
        <v>43313</v>
      </c>
      <c r="D5229" s="4">
        <v>43343</v>
      </c>
      <c r="E5229" s="3" t="s">
        <v>47</v>
      </c>
      <c r="F5229" s="3" t="s">
        <v>357</v>
      </c>
      <c r="G5229" s="5">
        <v>1E-3</v>
      </c>
      <c r="H5229" s="6" t="s">
        <v>84</v>
      </c>
      <c r="I5229" s="3" t="s">
        <v>45</v>
      </c>
    </row>
    <row r="5230" spans="1:9" ht="48" customHeight="1">
      <c r="A5230" s="3" t="s">
        <v>79</v>
      </c>
      <c r="B5230" s="3" t="s">
        <v>78</v>
      </c>
      <c r="C5230" s="4">
        <v>43313</v>
      </c>
      <c r="D5230" s="4">
        <v>43343</v>
      </c>
      <c r="E5230" s="3" t="s">
        <v>47</v>
      </c>
      <c r="F5230" s="3" t="s">
        <v>358</v>
      </c>
      <c r="G5230" s="5">
        <v>1E-3</v>
      </c>
      <c r="H5230" s="6" t="s">
        <v>84</v>
      </c>
      <c r="I5230" s="3" t="s">
        <v>45</v>
      </c>
    </row>
    <row r="5231" spans="1:9" ht="48" customHeight="1">
      <c r="A5231" s="3" t="s">
        <v>79</v>
      </c>
      <c r="B5231" s="3" t="s">
        <v>78</v>
      </c>
      <c r="C5231" s="4">
        <v>43313</v>
      </c>
      <c r="D5231" s="4">
        <v>43343</v>
      </c>
      <c r="E5231" s="3" t="s">
        <v>47</v>
      </c>
      <c r="F5231" s="3" t="s">
        <v>353</v>
      </c>
      <c r="G5231" s="5">
        <v>0</v>
      </c>
      <c r="H5231" s="6" t="s">
        <v>84</v>
      </c>
      <c r="I5231" s="3" t="s">
        <v>45</v>
      </c>
    </row>
    <row r="5232" spans="1:9" ht="48" customHeight="1">
      <c r="A5232" s="3" t="s">
        <v>79</v>
      </c>
      <c r="B5232" s="3" t="s">
        <v>78</v>
      </c>
      <c r="C5232" s="4">
        <v>43313</v>
      </c>
      <c r="D5232" s="4">
        <v>43343</v>
      </c>
      <c r="E5232" s="3" t="s">
        <v>47</v>
      </c>
      <c r="F5232" s="3" t="s">
        <v>356</v>
      </c>
      <c r="G5232" s="5">
        <v>0</v>
      </c>
      <c r="H5232" s="6" t="s">
        <v>84</v>
      </c>
      <c r="I5232" s="3" t="s">
        <v>45</v>
      </c>
    </row>
    <row r="5233" spans="1:9" ht="48" customHeight="1">
      <c r="A5233" s="3" t="s">
        <v>79</v>
      </c>
      <c r="B5233" s="3" t="s">
        <v>78</v>
      </c>
      <c r="C5233" s="4">
        <v>43313</v>
      </c>
      <c r="D5233" s="4">
        <v>43343</v>
      </c>
      <c r="E5233" s="3" t="s">
        <v>47</v>
      </c>
      <c r="F5233" s="3" t="s">
        <v>40</v>
      </c>
      <c r="G5233" s="5">
        <v>0</v>
      </c>
      <c r="H5233" s="6" t="s">
        <v>84</v>
      </c>
      <c r="I5233" s="3" t="s">
        <v>45</v>
      </c>
    </row>
    <row r="5234" spans="1:9" ht="48" customHeight="1">
      <c r="A5234" s="3" t="s">
        <v>79</v>
      </c>
      <c r="B5234" s="3" t="s">
        <v>78</v>
      </c>
      <c r="C5234" s="4">
        <v>43313</v>
      </c>
      <c r="D5234" s="4">
        <v>43343</v>
      </c>
      <c r="E5234" s="3" t="s">
        <v>47</v>
      </c>
      <c r="F5234" s="3" t="s">
        <v>359</v>
      </c>
      <c r="G5234" s="5">
        <v>0</v>
      </c>
      <c r="H5234" s="6" t="s">
        <v>84</v>
      </c>
      <c r="I5234" s="3" t="s">
        <v>45</v>
      </c>
    </row>
    <row r="5235" spans="1:9" ht="48" customHeight="1">
      <c r="A5235" s="3" t="s">
        <v>79</v>
      </c>
      <c r="B5235" s="3" t="s">
        <v>78</v>
      </c>
      <c r="C5235" s="4">
        <v>43313</v>
      </c>
      <c r="D5235" s="4">
        <v>43343</v>
      </c>
      <c r="E5235" s="3" t="s">
        <v>47</v>
      </c>
      <c r="F5235" s="3" t="s">
        <v>360</v>
      </c>
      <c r="G5235" s="5">
        <v>0</v>
      </c>
      <c r="H5235" s="6" t="s">
        <v>84</v>
      </c>
      <c r="I5235" s="3" t="s">
        <v>45</v>
      </c>
    </row>
    <row r="5236" spans="1:9" ht="48" customHeight="1">
      <c r="A5236" s="3" t="s">
        <v>79</v>
      </c>
      <c r="B5236" s="3" t="s">
        <v>78</v>
      </c>
      <c r="C5236" s="4">
        <v>43313</v>
      </c>
      <c r="D5236" s="4">
        <v>43343</v>
      </c>
      <c r="E5236" s="3" t="s">
        <v>47</v>
      </c>
      <c r="F5236" s="3" t="s">
        <v>361</v>
      </c>
      <c r="G5236" s="5">
        <v>0</v>
      </c>
      <c r="H5236" s="6" t="s">
        <v>84</v>
      </c>
      <c r="I5236" s="3" t="s">
        <v>45</v>
      </c>
    </row>
    <row r="5237" spans="1:9" ht="48" customHeight="1">
      <c r="A5237" s="3" t="s">
        <v>79</v>
      </c>
      <c r="B5237" s="3" t="s">
        <v>78</v>
      </c>
      <c r="C5237" s="4">
        <v>43313</v>
      </c>
      <c r="D5237" s="4">
        <v>43343</v>
      </c>
      <c r="E5237" s="3" t="s">
        <v>47</v>
      </c>
      <c r="F5237" s="3" t="s">
        <v>362</v>
      </c>
      <c r="G5237" s="5">
        <v>0</v>
      </c>
      <c r="H5237" s="6" t="s">
        <v>84</v>
      </c>
      <c r="I5237" s="3" t="s">
        <v>45</v>
      </c>
    </row>
    <row r="5238" spans="1:9" ht="48" customHeight="1">
      <c r="A5238" s="3" t="s">
        <v>79</v>
      </c>
      <c r="B5238" s="3" t="s">
        <v>78</v>
      </c>
      <c r="C5238" s="4">
        <v>43313</v>
      </c>
      <c r="D5238" s="4">
        <v>43343</v>
      </c>
      <c r="E5238" s="3" t="s">
        <v>47</v>
      </c>
      <c r="F5238" s="3" t="s">
        <v>318</v>
      </c>
      <c r="G5238" s="5">
        <v>0</v>
      </c>
      <c r="H5238" s="6" t="s">
        <v>84</v>
      </c>
      <c r="I5238" s="3" t="s">
        <v>45</v>
      </c>
    </row>
    <row r="5239" spans="1:9" ht="48" customHeight="1">
      <c r="A5239" s="3" t="s">
        <v>79</v>
      </c>
      <c r="B5239" s="3" t="s">
        <v>78</v>
      </c>
      <c r="C5239" s="4">
        <v>43313</v>
      </c>
      <c r="D5239" s="4">
        <v>43343</v>
      </c>
      <c r="E5239" s="3" t="s">
        <v>47</v>
      </c>
      <c r="F5239" s="3" t="s">
        <v>363</v>
      </c>
      <c r="G5239" s="5">
        <v>0</v>
      </c>
      <c r="H5239" s="6" t="s">
        <v>84</v>
      </c>
      <c r="I5239" s="3" t="s">
        <v>45</v>
      </c>
    </row>
    <row r="5240" spans="1:9" ht="48" customHeight="1">
      <c r="A5240" s="3" t="s">
        <v>79</v>
      </c>
      <c r="B5240" s="3" t="s">
        <v>78</v>
      </c>
      <c r="C5240" s="4">
        <v>43313</v>
      </c>
      <c r="D5240" s="4">
        <v>43343</v>
      </c>
      <c r="E5240" s="3" t="s">
        <v>236</v>
      </c>
      <c r="F5240" s="3" t="s">
        <v>238</v>
      </c>
      <c r="G5240" s="5">
        <v>2E-3</v>
      </c>
      <c r="H5240" s="6" t="s">
        <v>84</v>
      </c>
      <c r="I5240" s="3" t="s">
        <v>45</v>
      </c>
    </row>
    <row r="5241" spans="1:9" ht="48" customHeight="1">
      <c r="A5241" s="3" t="s">
        <v>79</v>
      </c>
      <c r="B5241" s="3" t="s">
        <v>78</v>
      </c>
      <c r="C5241" s="4">
        <v>43313</v>
      </c>
      <c r="D5241" s="4">
        <v>43343</v>
      </c>
      <c r="E5241" s="3" t="s">
        <v>236</v>
      </c>
      <c r="F5241" s="3" t="s">
        <v>239</v>
      </c>
      <c r="G5241" s="5">
        <v>2E-3</v>
      </c>
      <c r="H5241" s="6" t="s">
        <v>84</v>
      </c>
      <c r="I5241" s="3" t="s">
        <v>45</v>
      </c>
    </row>
    <row r="5242" spans="1:9" ht="48" customHeight="1">
      <c r="A5242" s="3" t="s">
        <v>79</v>
      </c>
      <c r="B5242" s="3" t="s">
        <v>78</v>
      </c>
      <c r="C5242" s="4">
        <v>43313</v>
      </c>
      <c r="D5242" s="4">
        <v>43343</v>
      </c>
      <c r="E5242" s="3" t="s">
        <v>236</v>
      </c>
      <c r="F5242" s="3" t="s">
        <v>232</v>
      </c>
      <c r="G5242" s="5">
        <v>2E-3</v>
      </c>
      <c r="H5242" s="6" t="s">
        <v>84</v>
      </c>
      <c r="I5242" s="3" t="s">
        <v>45</v>
      </c>
    </row>
    <row r="5243" spans="1:9" ht="48" customHeight="1">
      <c r="A5243" s="3" t="s">
        <v>79</v>
      </c>
      <c r="B5243" s="3" t="s">
        <v>78</v>
      </c>
      <c r="C5243" s="4">
        <v>43313</v>
      </c>
      <c r="D5243" s="4">
        <v>43343</v>
      </c>
      <c r="E5243" s="3" t="s">
        <v>236</v>
      </c>
      <c r="F5243" s="3" t="s">
        <v>230</v>
      </c>
      <c r="G5243" s="5">
        <v>1E-3</v>
      </c>
      <c r="H5243" s="6" t="s">
        <v>84</v>
      </c>
      <c r="I5243" s="3" t="s">
        <v>45</v>
      </c>
    </row>
    <row r="5244" spans="1:9" ht="48" customHeight="1">
      <c r="A5244" s="3" t="s">
        <v>79</v>
      </c>
      <c r="B5244" s="3" t="s">
        <v>78</v>
      </c>
      <c r="C5244" s="4">
        <v>43313</v>
      </c>
      <c r="D5244" s="4">
        <v>43343</v>
      </c>
      <c r="E5244" s="3" t="s">
        <v>236</v>
      </c>
      <c r="F5244" s="3" t="s">
        <v>240</v>
      </c>
      <c r="G5244" s="5">
        <v>1E-3</v>
      </c>
      <c r="H5244" s="6" t="s">
        <v>84</v>
      </c>
      <c r="I5244" s="3" t="s">
        <v>45</v>
      </c>
    </row>
    <row r="5245" spans="1:9" ht="48" customHeight="1">
      <c r="A5245" s="3" t="s">
        <v>79</v>
      </c>
      <c r="B5245" s="3" t="s">
        <v>78</v>
      </c>
      <c r="C5245" s="4">
        <v>43313</v>
      </c>
      <c r="D5245" s="4">
        <v>43343</v>
      </c>
      <c r="E5245" s="3" t="s">
        <v>236</v>
      </c>
      <c r="F5245" s="3" t="s">
        <v>237</v>
      </c>
      <c r="G5245" s="5">
        <v>1E-3</v>
      </c>
      <c r="H5245" s="6" t="s">
        <v>84</v>
      </c>
      <c r="I5245" s="3" t="s">
        <v>45</v>
      </c>
    </row>
    <row r="5246" spans="1:9" ht="48" customHeight="1">
      <c r="A5246" s="3" t="s">
        <v>79</v>
      </c>
      <c r="B5246" s="3" t="s">
        <v>78</v>
      </c>
      <c r="C5246" s="4">
        <v>43313</v>
      </c>
      <c r="D5246" s="4">
        <v>43343</v>
      </c>
      <c r="E5246" s="3" t="s">
        <v>236</v>
      </c>
      <c r="F5246" s="3" t="s">
        <v>241</v>
      </c>
      <c r="G5246" s="5">
        <v>1E-3</v>
      </c>
      <c r="H5246" s="6" t="s">
        <v>84</v>
      </c>
      <c r="I5246" s="3" t="s">
        <v>45</v>
      </c>
    </row>
    <row r="5247" spans="1:9" ht="48" customHeight="1">
      <c r="A5247" s="3" t="s">
        <v>79</v>
      </c>
      <c r="B5247" s="3" t="s">
        <v>78</v>
      </c>
      <c r="C5247" s="4">
        <v>43313</v>
      </c>
      <c r="D5247" s="4">
        <v>43343</v>
      </c>
      <c r="E5247" s="3" t="s">
        <v>236</v>
      </c>
      <c r="F5247" s="3" t="s">
        <v>234</v>
      </c>
      <c r="G5247" s="5">
        <v>0</v>
      </c>
      <c r="H5247" s="6" t="s">
        <v>84</v>
      </c>
      <c r="I5247" s="3" t="s">
        <v>45</v>
      </c>
    </row>
    <row r="5248" spans="1:9" ht="48" customHeight="1">
      <c r="A5248" s="3" t="s">
        <v>79</v>
      </c>
      <c r="B5248" s="3" t="s">
        <v>78</v>
      </c>
      <c r="C5248" s="4">
        <v>43313</v>
      </c>
      <c r="D5248" s="4">
        <v>43343</v>
      </c>
      <c r="E5248" s="3" t="s">
        <v>236</v>
      </c>
      <c r="F5248" s="3" t="s">
        <v>242</v>
      </c>
      <c r="G5248" s="5">
        <v>0</v>
      </c>
      <c r="H5248" s="6" t="s">
        <v>84</v>
      </c>
      <c r="I5248" s="3" t="s">
        <v>45</v>
      </c>
    </row>
    <row r="5249" spans="1:9" ht="48" customHeight="1">
      <c r="A5249" s="3" t="s">
        <v>79</v>
      </c>
      <c r="B5249" s="3" t="s">
        <v>78</v>
      </c>
      <c r="C5249" s="4">
        <v>43313</v>
      </c>
      <c r="D5249" s="4">
        <v>43343</v>
      </c>
      <c r="E5249" s="3" t="s">
        <v>236</v>
      </c>
      <c r="F5249" s="3" t="s">
        <v>243</v>
      </c>
      <c r="G5249" s="5">
        <v>0</v>
      </c>
      <c r="H5249" s="6" t="s">
        <v>84</v>
      </c>
      <c r="I5249" s="3" t="s">
        <v>45</v>
      </c>
    </row>
    <row r="5250" spans="1:9" ht="48" customHeight="1">
      <c r="A5250" s="3" t="s">
        <v>79</v>
      </c>
      <c r="B5250" s="3" t="s">
        <v>78</v>
      </c>
      <c r="C5250" s="4">
        <v>43313</v>
      </c>
      <c r="D5250" s="4">
        <v>43343</v>
      </c>
      <c r="E5250" s="3" t="s">
        <v>68</v>
      </c>
      <c r="F5250" s="3" t="s">
        <v>150</v>
      </c>
      <c r="G5250" s="5">
        <v>3.0000000000000001E-3</v>
      </c>
      <c r="H5250" s="6" t="s">
        <v>84</v>
      </c>
      <c r="I5250" s="3" t="s">
        <v>45</v>
      </c>
    </row>
    <row r="5251" spans="1:9" ht="48" customHeight="1">
      <c r="A5251" s="3" t="s">
        <v>79</v>
      </c>
      <c r="B5251" s="3" t="s">
        <v>78</v>
      </c>
      <c r="C5251" s="4">
        <v>43313</v>
      </c>
      <c r="D5251" s="4">
        <v>43343</v>
      </c>
      <c r="E5251" s="3" t="s">
        <v>68</v>
      </c>
      <c r="F5251" s="3" t="s">
        <v>151</v>
      </c>
      <c r="G5251" s="5">
        <v>2E-3</v>
      </c>
      <c r="H5251" s="6" t="s">
        <v>84</v>
      </c>
      <c r="I5251" s="3" t="s">
        <v>45</v>
      </c>
    </row>
    <row r="5252" spans="1:9" ht="48" customHeight="1">
      <c r="A5252" s="3" t="s">
        <v>79</v>
      </c>
      <c r="B5252" s="3" t="s">
        <v>78</v>
      </c>
      <c r="C5252" s="4">
        <v>43313</v>
      </c>
      <c r="D5252" s="4">
        <v>43343</v>
      </c>
      <c r="E5252" s="3" t="s">
        <v>68</v>
      </c>
      <c r="F5252" s="3" t="s">
        <v>147</v>
      </c>
      <c r="G5252" s="5">
        <v>2E-3</v>
      </c>
      <c r="H5252" s="6" t="s">
        <v>84</v>
      </c>
      <c r="I5252" s="3" t="s">
        <v>45</v>
      </c>
    </row>
    <row r="5253" spans="1:9" ht="48" customHeight="1">
      <c r="A5253" s="3" t="s">
        <v>79</v>
      </c>
      <c r="B5253" s="3" t="s">
        <v>78</v>
      </c>
      <c r="C5253" s="4">
        <v>43313</v>
      </c>
      <c r="D5253" s="4">
        <v>43343</v>
      </c>
      <c r="E5253" s="3" t="s">
        <v>68</v>
      </c>
      <c r="F5253" s="3" t="s">
        <v>149</v>
      </c>
      <c r="G5253" s="5">
        <v>1E-3</v>
      </c>
      <c r="H5253" s="6" t="s">
        <v>84</v>
      </c>
      <c r="I5253" s="3" t="s">
        <v>45</v>
      </c>
    </row>
    <row r="5254" spans="1:9" ht="48" customHeight="1">
      <c r="A5254" s="3" t="s">
        <v>79</v>
      </c>
      <c r="B5254" s="3" t="s">
        <v>78</v>
      </c>
      <c r="C5254" s="4">
        <v>43313</v>
      </c>
      <c r="D5254" s="4">
        <v>43343</v>
      </c>
      <c r="E5254" s="3" t="s">
        <v>68</v>
      </c>
      <c r="F5254" s="3" t="s">
        <v>148</v>
      </c>
      <c r="G5254" s="5">
        <v>1E-3</v>
      </c>
      <c r="H5254" s="6" t="s">
        <v>84</v>
      </c>
      <c r="I5254" s="3" t="s">
        <v>45</v>
      </c>
    </row>
    <row r="5255" spans="1:9" ht="48" customHeight="1">
      <c r="A5255" s="3" t="s">
        <v>79</v>
      </c>
      <c r="B5255" s="3" t="s">
        <v>78</v>
      </c>
      <c r="C5255" s="4">
        <v>43313</v>
      </c>
      <c r="D5255" s="4">
        <v>43343</v>
      </c>
      <c r="E5255" s="3" t="s">
        <v>68</v>
      </c>
      <c r="F5255" s="3" t="s">
        <v>66</v>
      </c>
      <c r="G5255" s="5">
        <v>1E-3</v>
      </c>
      <c r="H5255" s="6" t="s">
        <v>84</v>
      </c>
      <c r="I5255" s="3" t="s">
        <v>45</v>
      </c>
    </row>
    <row r="5256" spans="1:9" ht="48" customHeight="1">
      <c r="A5256" s="3" t="s">
        <v>79</v>
      </c>
      <c r="B5256" s="3" t="s">
        <v>78</v>
      </c>
      <c r="C5256" s="4">
        <v>43313</v>
      </c>
      <c r="D5256" s="4">
        <v>43343</v>
      </c>
      <c r="E5256" s="3" t="s">
        <v>68</v>
      </c>
      <c r="F5256" s="3" t="s">
        <v>155</v>
      </c>
      <c r="G5256" s="5">
        <v>0</v>
      </c>
      <c r="H5256" s="6" t="s">
        <v>84</v>
      </c>
      <c r="I5256" s="3" t="s">
        <v>45</v>
      </c>
    </row>
    <row r="5257" spans="1:9" ht="48" customHeight="1">
      <c r="A5257" s="3" t="s">
        <v>79</v>
      </c>
      <c r="B5257" s="3" t="s">
        <v>78</v>
      </c>
      <c r="C5257" s="4">
        <v>43313</v>
      </c>
      <c r="D5257" s="4">
        <v>43343</v>
      </c>
      <c r="E5257" s="3" t="s">
        <v>68</v>
      </c>
      <c r="F5257" s="3" t="s">
        <v>152</v>
      </c>
      <c r="G5257" s="5">
        <v>0</v>
      </c>
      <c r="H5257" s="6" t="s">
        <v>84</v>
      </c>
      <c r="I5257" s="3" t="s">
        <v>45</v>
      </c>
    </row>
    <row r="5258" spans="1:9" ht="48" customHeight="1">
      <c r="A5258" s="3" t="s">
        <v>79</v>
      </c>
      <c r="B5258" s="3" t="s">
        <v>78</v>
      </c>
      <c r="C5258" s="4">
        <v>43313</v>
      </c>
      <c r="D5258" s="4">
        <v>43343</v>
      </c>
      <c r="E5258" s="3" t="s">
        <v>68</v>
      </c>
      <c r="F5258" s="3" t="s">
        <v>157</v>
      </c>
      <c r="G5258" s="5">
        <v>0</v>
      </c>
      <c r="H5258" s="6" t="s">
        <v>84</v>
      </c>
      <c r="I5258" s="3" t="s">
        <v>45</v>
      </c>
    </row>
    <row r="5259" spans="1:9" ht="48" customHeight="1">
      <c r="A5259" s="3" t="s">
        <v>79</v>
      </c>
      <c r="B5259" s="3" t="s">
        <v>78</v>
      </c>
      <c r="C5259" s="4">
        <v>43313</v>
      </c>
      <c r="D5259" s="4">
        <v>43343</v>
      </c>
      <c r="E5259" s="3" t="s">
        <v>68</v>
      </c>
      <c r="F5259" s="3" t="s">
        <v>159</v>
      </c>
      <c r="G5259" s="5">
        <v>0</v>
      </c>
      <c r="H5259" s="6" t="s">
        <v>84</v>
      </c>
      <c r="I5259" s="3" t="s">
        <v>45</v>
      </c>
    </row>
    <row r="5260" spans="1:9" ht="48" customHeight="1">
      <c r="A5260" s="3" t="s">
        <v>79</v>
      </c>
      <c r="B5260" s="3" t="s">
        <v>78</v>
      </c>
      <c r="C5260" s="4">
        <v>43313</v>
      </c>
      <c r="D5260" s="4">
        <v>43343</v>
      </c>
      <c r="E5260" s="3" t="s">
        <v>68</v>
      </c>
      <c r="F5260" s="3" t="s">
        <v>160</v>
      </c>
      <c r="G5260" s="5">
        <v>0</v>
      </c>
      <c r="H5260" s="6" t="s">
        <v>84</v>
      </c>
      <c r="I5260" s="3" t="s">
        <v>45</v>
      </c>
    </row>
    <row r="5261" spans="1:9" ht="48" customHeight="1">
      <c r="A5261" s="3" t="s">
        <v>79</v>
      </c>
      <c r="B5261" s="3" t="s">
        <v>78</v>
      </c>
      <c r="C5261" s="4">
        <v>43313</v>
      </c>
      <c r="D5261" s="4">
        <v>43343</v>
      </c>
      <c r="E5261" s="3" t="s">
        <v>68</v>
      </c>
      <c r="F5261" s="3" t="s">
        <v>156</v>
      </c>
      <c r="G5261" s="5">
        <v>0</v>
      </c>
      <c r="H5261" s="6" t="s">
        <v>84</v>
      </c>
      <c r="I5261" s="3" t="s">
        <v>45</v>
      </c>
    </row>
    <row r="5262" spans="1:9" ht="48" customHeight="1">
      <c r="A5262" s="3" t="s">
        <v>79</v>
      </c>
      <c r="B5262" s="3" t="s">
        <v>78</v>
      </c>
      <c r="C5262" s="4">
        <v>43313</v>
      </c>
      <c r="D5262" s="4">
        <v>43343</v>
      </c>
      <c r="E5262" s="3" t="s">
        <v>68</v>
      </c>
      <c r="F5262" s="3" t="s">
        <v>158</v>
      </c>
      <c r="G5262" s="5">
        <v>0</v>
      </c>
      <c r="H5262" s="6" t="s">
        <v>84</v>
      </c>
      <c r="I5262" s="3" t="s">
        <v>45</v>
      </c>
    </row>
    <row r="5263" spans="1:9" ht="48" customHeight="1">
      <c r="A5263" s="3" t="s">
        <v>79</v>
      </c>
      <c r="B5263" s="3" t="s">
        <v>78</v>
      </c>
      <c r="C5263" s="4">
        <v>43313</v>
      </c>
      <c r="D5263" s="4">
        <v>43343</v>
      </c>
      <c r="E5263" s="3" t="s">
        <v>68</v>
      </c>
      <c r="F5263" s="3" t="s">
        <v>153</v>
      </c>
      <c r="G5263" s="5">
        <v>0</v>
      </c>
      <c r="H5263" s="6" t="s">
        <v>84</v>
      </c>
      <c r="I5263" s="3" t="s">
        <v>45</v>
      </c>
    </row>
    <row r="5264" spans="1:9" ht="48" customHeight="1">
      <c r="A5264" s="3" t="s">
        <v>79</v>
      </c>
      <c r="B5264" s="3" t="s">
        <v>78</v>
      </c>
      <c r="C5264" s="4">
        <v>43313</v>
      </c>
      <c r="D5264" s="4">
        <v>43343</v>
      </c>
      <c r="E5264" s="3" t="s">
        <v>68</v>
      </c>
      <c r="F5264" s="3" t="s">
        <v>146</v>
      </c>
      <c r="G5264" s="5">
        <v>0</v>
      </c>
      <c r="H5264" s="6" t="s">
        <v>84</v>
      </c>
      <c r="I5264" s="3" t="s">
        <v>45</v>
      </c>
    </row>
    <row r="5265" spans="1:9" ht="48" customHeight="1">
      <c r="A5265" s="3" t="s">
        <v>79</v>
      </c>
      <c r="B5265" s="3" t="s">
        <v>78</v>
      </c>
      <c r="C5265" s="4">
        <v>43313</v>
      </c>
      <c r="D5265" s="4">
        <v>43343</v>
      </c>
      <c r="E5265" s="3" t="s">
        <v>68</v>
      </c>
      <c r="F5265" s="3" t="s">
        <v>154</v>
      </c>
      <c r="G5265" s="5">
        <v>0</v>
      </c>
      <c r="H5265" s="6" t="s">
        <v>84</v>
      </c>
      <c r="I5265" s="3" t="s">
        <v>45</v>
      </c>
    </row>
    <row r="5266" spans="1:9" ht="48" customHeight="1">
      <c r="A5266" s="3" t="s">
        <v>79</v>
      </c>
      <c r="B5266" s="3" t="s">
        <v>78</v>
      </c>
      <c r="C5266" s="4">
        <v>43313</v>
      </c>
      <c r="D5266" s="4">
        <v>43343</v>
      </c>
      <c r="E5266" s="3" t="s">
        <v>260</v>
      </c>
      <c r="F5266" s="3" t="s">
        <v>232</v>
      </c>
      <c r="G5266" s="5">
        <v>1E-3</v>
      </c>
      <c r="H5266" s="6" t="s">
        <v>84</v>
      </c>
      <c r="I5266" s="3" t="s">
        <v>45</v>
      </c>
    </row>
    <row r="5267" spans="1:9" ht="48" customHeight="1">
      <c r="A5267" s="3" t="s">
        <v>79</v>
      </c>
      <c r="B5267" s="3" t="s">
        <v>78</v>
      </c>
      <c r="C5267" s="4">
        <v>43313</v>
      </c>
      <c r="D5267" s="4">
        <v>43343</v>
      </c>
      <c r="E5267" s="3" t="s">
        <v>260</v>
      </c>
      <c r="F5267" s="3" t="s">
        <v>262</v>
      </c>
      <c r="G5267" s="5">
        <v>1E-3</v>
      </c>
      <c r="H5267" s="6" t="s">
        <v>84</v>
      </c>
      <c r="I5267" s="3" t="s">
        <v>45</v>
      </c>
    </row>
    <row r="5268" spans="1:9" ht="48" customHeight="1">
      <c r="A5268" s="3" t="s">
        <v>79</v>
      </c>
      <c r="B5268" s="3" t="s">
        <v>78</v>
      </c>
      <c r="C5268" s="4">
        <v>43313</v>
      </c>
      <c r="D5268" s="4">
        <v>43343</v>
      </c>
      <c r="E5268" s="3" t="s">
        <v>260</v>
      </c>
      <c r="F5268" s="3" t="s">
        <v>261</v>
      </c>
      <c r="G5268" s="5">
        <v>1E-3</v>
      </c>
      <c r="H5268" s="6" t="s">
        <v>84</v>
      </c>
      <c r="I5268" s="3" t="s">
        <v>45</v>
      </c>
    </row>
    <row r="5269" spans="1:9" ht="48" customHeight="1">
      <c r="A5269" s="3" t="s">
        <v>79</v>
      </c>
      <c r="B5269" s="3" t="s">
        <v>78</v>
      </c>
      <c r="C5269" s="4">
        <v>43313</v>
      </c>
      <c r="D5269" s="4">
        <v>43343</v>
      </c>
      <c r="E5269" s="3" t="s">
        <v>260</v>
      </c>
      <c r="F5269" s="3" t="s">
        <v>264</v>
      </c>
      <c r="G5269" s="5">
        <v>1E-3</v>
      </c>
      <c r="H5269" s="6" t="s">
        <v>84</v>
      </c>
      <c r="I5269" s="3" t="s">
        <v>45</v>
      </c>
    </row>
    <row r="5270" spans="1:9" ht="48" customHeight="1">
      <c r="A5270" s="3" t="s">
        <v>79</v>
      </c>
      <c r="B5270" s="3" t="s">
        <v>78</v>
      </c>
      <c r="C5270" s="4">
        <v>43313</v>
      </c>
      <c r="D5270" s="4">
        <v>43343</v>
      </c>
      <c r="E5270" s="3" t="s">
        <v>260</v>
      </c>
      <c r="F5270" s="3" t="s">
        <v>268</v>
      </c>
      <c r="G5270" s="5">
        <v>1E-3</v>
      </c>
      <c r="H5270" s="6" t="s">
        <v>84</v>
      </c>
      <c r="I5270" s="3" t="s">
        <v>45</v>
      </c>
    </row>
    <row r="5271" spans="1:9" ht="48" customHeight="1">
      <c r="A5271" s="3" t="s">
        <v>79</v>
      </c>
      <c r="B5271" s="3" t="s">
        <v>78</v>
      </c>
      <c r="C5271" s="4">
        <v>43313</v>
      </c>
      <c r="D5271" s="4">
        <v>43343</v>
      </c>
      <c r="E5271" s="3" t="s">
        <v>260</v>
      </c>
      <c r="F5271" s="3" t="s">
        <v>234</v>
      </c>
      <c r="G5271" s="5">
        <v>0</v>
      </c>
      <c r="H5271" s="6" t="s">
        <v>84</v>
      </c>
      <c r="I5271" s="3" t="s">
        <v>45</v>
      </c>
    </row>
    <row r="5272" spans="1:9" ht="48" customHeight="1">
      <c r="A5272" s="3" t="s">
        <v>79</v>
      </c>
      <c r="B5272" s="3" t="s">
        <v>78</v>
      </c>
      <c r="C5272" s="4">
        <v>43313</v>
      </c>
      <c r="D5272" s="4">
        <v>43343</v>
      </c>
      <c r="E5272" s="3" t="s">
        <v>260</v>
      </c>
      <c r="F5272" s="3" t="s">
        <v>265</v>
      </c>
      <c r="G5272" s="5">
        <v>0</v>
      </c>
      <c r="H5272" s="6" t="s">
        <v>84</v>
      </c>
      <c r="I5272" s="3" t="s">
        <v>45</v>
      </c>
    </row>
    <row r="5273" spans="1:9" ht="48" customHeight="1">
      <c r="A5273" s="3" t="s">
        <v>79</v>
      </c>
      <c r="B5273" s="3" t="s">
        <v>78</v>
      </c>
      <c r="C5273" s="4">
        <v>43313</v>
      </c>
      <c r="D5273" s="4">
        <v>43343</v>
      </c>
      <c r="E5273" s="3" t="s">
        <v>260</v>
      </c>
      <c r="F5273" s="3" t="s">
        <v>263</v>
      </c>
      <c r="G5273" s="5">
        <v>0</v>
      </c>
      <c r="H5273" s="6" t="s">
        <v>84</v>
      </c>
      <c r="I5273" s="3" t="s">
        <v>45</v>
      </c>
    </row>
    <row r="5274" spans="1:9" ht="48" customHeight="1">
      <c r="A5274" s="3" t="s">
        <v>79</v>
      </c>
      <c r="B5274" s="3" t="s">
        <v>78</v>
      </c>
      <c r="C5274" s="4">
        <v>43313</v>
      </c>
      <c r="D5274" s="4">
        <v>43343</v>
      </c>
      <c r="E5274" s="3" t="s">
        <v>260</v>
      </c>
      <c r="F5274" s="3" t="s">
        <v>266</v>
      </c>
      <c r="G5274" s="5">
        <v>0</v>
      </c>
      <c r="H5274" s="6" t="s">
        <v>84</v>
      </c>
      <c r="I5274" s="3" t="s">
        <v>45</v>
      </c>
    </row>
    <row r="5275" spans="1:9" ht="48" customHeight="1">
      <c r="A5275" s="3" t="s">
        <v>79</v>
      </c>
      <c r="B5275" s="3" t="s">
        <v>78</v>
      </c>
      <c r="C5275" s="4">
        <v>43313</v>
      </c>
      <c r="D5275" s="4">
        <v>43343</v>
      </c>
      <c r="E5275" s="3" t="s">
        <v>260</v>
      </c>
      <c r="F5275" s="3" t="s">
        <v>267</v>
      </c>
      <c r="G5275" s="5">
        <v>0</v>
      </c>
      <c r="H5275" s="6" t="s">
        <v>84</v>
      </c>
      <c r="I5275" s="3" t="s">
        <v>45</v>
      </c>
    </row>
    <row r="5276" spans="1:9" ht="48" customHeight="1">
      <c r="A5276" s="3" t="s">
        <v>79</v>
      </c>
      <c r="B5276" s="3" t="s">
        <v>78</v>
      </c>
      <c r="C5276" s="4">
        <v>43313</v>
      </c>
      <c r="D5276" s="4">
        <v>43343</v>
      </c>
      <c r="E5276" s="3" t="s">
        <v>260</v>
      </c>
      <c r="F5276" s="3" t="s">
        <v>273</v>
      </c>
      <c r="G5276" s="5">
        <v>0</v>
      </c>
      <c r="H5276" s="6" t="s">
        <v>84</v>
      </c>
      <c r="I5276" s="3" t="s">
        <v>45</v>
      </c>
    </row>
    <row r="5277" spans="1:9" ht="48" customHeight="1">
      <c r="A5277" s="3" t="s">
        <v>79</v>
      </c>
      <c r="B5277" s="3" t="s">
        <v>78</v>
      </c>
      <c r="C5277" s="4">
        <v>43313</v>
      </c>
      <c r="D5277" s="4">
        <v>43343</v>
      </c>
      <c r="E5277" s="3" t="s">
        <v>260</v>
      </c>
      <c r="F5277" s="3" t="s">
        <v>274</v>
      </c>
      <c r="G5277" s="5">
        <v>0</v>
      </c>
      <c r="H5277" s="6" t="s">
        <v>84</v>
      </c>
      <c r="I5277" s="3" t="s">
        <v>45</v>
      </c>
    </row>
    <row r="5278" spans="1:9" ht="48" customHeight="1">
      <c r="A5278" s="3" t="s">
        <v>79</v>
      </c>
      <c r="B5278" s="3" t="s">
        <v>78</v>
      </c>
      <c r="C5278" s="4">
        <v>43313</v>
      </c>
      <c r="D5278" s="4">
        <v>43343</v>
      </c>
      <c r="E5278" s="3" t="s">
        <v>260</v>
      </c>
      <c r="F5278" s="3" t="s">
        <v>275</v>
      </c>
      <c r="G5278" s="5">
        <v>0</v>
      </c>
      <c r="H5278" s="6" t="s">
        <v>84</v>
      </c>
      <c r="I5278" s="3" t="s">
        <v>45</v>
      </c>
    </row>
    <row r="5279" spans="1:9" ht="48" customHeight="1">
      <c r="A5279" s="3" t="s">
        <v>79</v>
      </c>
      <c r="B5279" s="3" t="s">
        <v>78</v>
      </c>
      <c r="C5279" s="4">
        <v>43313</v>
      </c>
      <c r="D5279" s="4">
        <v>43343</v>
      </c>
      <c r="E5279" s="3" t="s">
        <v>260</v>
      </c>
      <c r="F5279" s="3" t="s">
        <v>276</v>
      </c>
      <c r="G5279" s="5">
        <v>0</v>
      </c>
      <c r="H5279" s="6" t="s">
        <v>84</v>
      </c>
      <c r="I5279" s="3" t="s">
        <v>45</v>
      </c>
    </row>
    <row r="5280" spans="1:9" ht="48" customHeight="1">
      <c r="A5280" s="3" t="s">
        <v>79</v>
      </c>
      <c r="B5280" s="3" t="s">
        <v>78</v>
      </c>
      <c r="C5280" s="4">
        <v>43313</v>
      </c>
      <c r="D5280" s="4">
        <v>43343</v>
      </c>
      <c r="E5280" s="3" t="s">
        <v>260</v>
      </c>
      <c r="F5280" s="3" t="s">
        <v>277</v>
      </c>
      <c r="G5280" s="5">
        <v>0</v>
      </c>
      <c r="H5280" s="6" t="s">
        <v>84</v>
      </c>
      <c r="I5280" s="3" t="s">
        <v>45</v>
      </c>
    </row>
    <row r="5281" spans="1:9" ht="48" customHeight="1">
      <c r="A5281" s="3" t="s">
        <v>79</v>
      </c>
      <c r="B5281" s="3" t="s">
        <v>78</v>
      </c>
      <c r="C5281" s="4">
        <v>43313</v>
      </c>
      <c r="D5281" s="4">
        <v>43343</v>
      </c>
      <c r="E5281" s="3" t="s">
        <v>260</v>
      </c>
      <c r="F5281" s="3" t="s">
        <v>278</v>
      </c>
      <c r="G5281" s="5">
        <v>0</v>
      </c>
      <c r="H5281" s="6" t="s">
        <v>84</v>
      </c>
      <c r="I5281" s="3" t="s">
        <v>45</v>
      </c>
    </row>
    <row r="5282" spans="1:9" ht="48" customHeight="1">
      <c r="A5282" s="3" t="s">
        <v>79</v>
      </c>
      <c r="B5282" s="3" t="s">
        <v>78</v>
      </c>
      <c r="C5282" s="4">
        <v>43313</v>
      </c>
      <c r="D5282" s="4">
        <v>43343</v>
      </c>
      <c r="E5282" s="3" t="s">
        <v>260</v>
      </c>
      <c r="F5282" s="3" t="s">
        <v>269</v>
      </c>
      <c r="G5282" s="5">
        <v>0</v>
      </c>
      <c r="H5282" s="6" t="s">
        <v>84</v>
      </c>
      <c r="I5282" s="3" t="s">
        <v>45</v>
      </c>
    </row>
    <row r="5283" spans="1:9" ht="48" customHeight="1">
      <c r="A5283" s="3" t="s">
        <v>79</v>
      </c>
      <c r="B5283" s="3" t="s">
        <v>78</v>
      </c>
      <c r="C5283" s="4">
        <v>43313</v>
      </c>
      <c r="D5283" s="4">
        <v>43343</v>
      </c>
      <c r="E5283" s="3" t="s">
        <v>260</v>
      </c>
      <c r="F5283" s="3" t="s">
        <v>279</v>
      </c>
      <c r="G5283" s="5">
        <v>0</v>
      </c>
      <c r="H5283" s="6" t="s">
        <v>84</v>
      </c>
      <c r="I5283" s="3" t="s">
        <v>45</v>
      </c>
    </row>
    <row r="5284" spans="1:9" ht="48" customHeight="1">
      <c r="A5284" s="3" t="s">
        <v>79</v>
      </c>
      <c r="B5284" s="3" t="s">
        <v>78</v>
      </c>
      <c r="C5284" s="4">
        <v>43313</v>
      </c>
      <c r="D5284" s="4">
        <v>43343</v>
      </c>
      <c r="E5284" s="3" t="s">
        <v>260</v>
      </c>
      <c r="F5284" s="3" t="s">
        <v>270</v>
      </c>
      <c r="G5284" s="5">
        <v>0</v>
      </c>
      <c r="H5284" s="6" t="s">
        <v>84</v>
      </c>
      <c r="I5284" s="3" t="s">
        <v>45</v>
      </c>
    </row>
    <row r="5285" spans="1:9" ht="48" customHeight="1">
      <c r="A5285" s="3" t="s">
        <v>79</v>
      </c>
      <c r="B5285" s="3" t="s">
        <v>78</v>
      </c>
      <c r="C5285" s="4">
        <v>43313</v>
      </c>
      <c r="D5285" s="4">
        <v>43343</v>
      </c>
      <c r="E5285" s="3" t="s">
        <v>260</v>
      </c>
      <c r="F5285" s="3" t="s">
        <v>280</v>
      </c>
      <c r="G5285" s="5">
        <v>0</v>
      </c>
      <c r="H5285" s="6" t="s">
        <v>84</v>
      </c>
      <c r="I5285" s="3" t="s">
        <v>45</v>
      </c>
    </row>
    <row r="5286" spans="1:9" ht="48" customHeight="1">
      <c r="A5286" s="3" t="s">
        <v>79</v>
      </c>
      <c r="B5286" s="3" t="s">
        <v>78</v>
      </c>
      <c r="C5286" s="4">
        <v>43313</v>
      </c>
      <c r="D5286" s="4">
        <v>43343</v>
      </c>
      <c r="E5286" s="3" t="s">
        <v>260</v>
      </c>
      <c r="F5286" s="3" t="s">
        <v>271</v>
      </c>
      <c r="G5286" s="5">
        <v>0</v>
      </c>
      <c r="H5286" s="6" t="s">
        <v>84</v>
      </c>
      <c r="I5286" s="3" t="s">
        <v>45</v>
      </c>
    </row>
    <row r="5287" spans="1:9" ht="48" customHeight="1">
      <c r="A5287" s="3" t="s">
        <v>79</v>
      </c>
      <c r="B5287" s="3" t="s">
        <v>78</v>
      </c>
      <c r="C5287" s="4">
        <v>43313</v>
      </c>
      <c r="D5287" s="4">
        <v>43343</v>
      </c>
      <c r="E5287" s="3" t="s">
        <v>260</v>
      </c>
      <c r="F5287" s="3" t="s">
        <v>281</v>
      </c>
      <c r="G5287" s="5">
        <v>0</v>
      </c>
      <c r="H5287" s="6" t="s">
        <v>84</v>
      </c>
      <c r="I5287" s="3" t="s">
        <v>45</v>
      </c>
    </row>
    <row r="5288" spans="1:9" ht="48" customHeight="1">
      <c r="A5288" s="3" t="s">
        <v>79</v>
      </c>
      <c r="B5288" s="3" t="s">
        <v>78</v>
      </c>
      <c r="C5288" s="4">
        <v>43313</v>
      </c>
      <c r="D5288" s="4">
        <v>43343</v>
      </c>
      <c r="E5288" s="3" t="s">
        <v>260</v>
      </c>
      <c r="F5288" s="3" t="s">
        <v>272</v>
      </c>
      <c r="G5288" s="5">
        <v>0</v>
      </c>
      <c r="H5288" s="6" t="s">
        <v>84</v>
      </c>
      <c r="I5288" s="3" t="s">
        <v>45</v>
      </c>
    </row>
    <row r="5289" spans="1:9" ht="48" customHeight="1">
      <c r="A5289" s="3" t="s">
        <v>79</v>
      </c>
      <c r="B5289" s="3" t="s">
        <v>78</v>
      </c>
      <c r="C5289" s="4">
        <v>43313</v>
      </c>
      <c r="D5289" s="4">
        <v>43343</v>
      </c>
      <c r="E5289" s="3" t="s">
        <v>260</v>
      </c>
      <c r="F5289" s="3" t="s">
        <v>282</v>
      </c>
      <c r="G5289" s="5">
        <v>0</v>
      </c>
      <c r="H5289" s="6" t="s">
        <v>84</v>
      </c>
      <c r="I5289" s="3" t="s">
        <v>45</v>
      </c>
    </row>
    <row r="5290" spans="1:9" ht="48" customHeight="1">
      <c r="A5290" s="3" t="s">
        <v>79</v>
      </c>
      <c r="B5290" s="3" t="s">
        <v>78</v>
      </c>
      <c r="C5290" s="4">
        <v>43313</v>
      </c>
      <c r="D5290" s="4">
        <v>43343</v>
      </c>
      <c r="E5290" s="3" t="s">
        <v>260</v>
      </c>
      <c r="F5290" s="3" t="s">
        <v>283</v>
      </c>
      <c r="G5290" s="5">
        <v>0</v>
      </c>
      <c r="H5290" s="6" t="s">
        <v>84</v>
      </c>
      <c r="I5290" s="3" t="s">
        <v>45</v>
      </c>
    </row>
    <row r="5291" spans="1:9" ht="48" customHeight="1">
      <c r="A5291" s="3" t="s">
        <v>79</v>
      </c>
      <c r="B5291" s="3" t="s">
        <v>78</v>
      </c>
      <c r="C5291" s="4">
        <v>43313</v>
      </c>
      <c r="D5291" s="4">
        <v>43343</v>
      </c>
      <c r="E5291" s="3" t="s">
        <v>260</v>
      </c>
      <c r="F5291" s="3" t="s">
        <v>284</v>
      </c>
      <c r="G5291" s="5">
        <v>0</v>
      </c>
      <c r="H5291" s="6" t="s">
        <v>84</v>
      </c>
      <c r="I5291" s="3" t="s">
        <v>45</v>
      </c>
    </row>
    <row r="5292" spans="1:9" ht="48" customHeight="1">
      <c r="A5292" s="3" t="s">
        <v>79</v>
      </c>
      <c r="B5292" s="3" t="s">
        <v>78</v>
      </c>
      <c r="C5292" s="4">
        <v>43313</v>
      </c>
      <c r="D5292" s="4">
        <v>43343</v>
      </c>
      <c r="E5292" s="3" t="s">
        <v>260</v>
      </c>
      <c r="F5292" s="3" t="s">
        <v>285</v>
      </c>
      <c r="G5292" s="5">
        <v>0</v>
      </c>
      <c r="H5292" s="6" t="s">
        <v>84</v>
      </c>
      <c r="I5292" s="3" t="s">
        <v>45</v>
      </c>
    </row>
    <row r="5293" spans="1:9" ht="48" customHeight="1">
      <c r="A5293" s="3" t="s">
        <v>79</v>
      </c>
      <c r="B5293" s="3" t="s">
        <v>78</v>
      </c>
      <c r="C5293" s="4">
        <v>43313</v>
      </c>
      <c r="D5293" s="4">
        <v>43343</v>
      </c>
      <c r="E5293" s="3" t="s">
        <v>231</v>
      </c>
      <c r="F5293" s="3" t="s">
        <v>232</v>
      </c>
      <c r="G5293" s="5">
        <v>2E-3</v>
      </c>
      <c r="H5293" s="6" t="s">
        <v>84</v>
      </c>
      <c r="I5293" s="3" t="s">
        <v>45</v>
      </c>
    </row>
    <row r="5294" spans="1:9" ht="48" customHeight="1">
      <c r="A5294" s="3" t="s">
        <v>79</v>
      </c>
      <c r="B5294" s="3" t="s">
        <v>78</v>
      </c>
      <c r="C5294" s="4">
        <v>43313</v>
      </c>
      <c r="D5294" s="4">
        <v>43343</v>
      </c>
      <c r="E5294" s="3" t="s">
        <v>231</v>
      </c>
      <c r="F5294" s="3" t="s">
        <v>233</v>
      </c>
      <c r="G5294" s="5">
        <v>2E-3</v>
      </c>
      <c r="H5294" s="6" t="s">
        <v>84</v>
      </c>
      <c r="I5294" s="3" t="s">
        <v>45</v>
      </c>
    </row>
    <row r="5295" spans="1:9" ht="48" customHeight="1">
      <c r="A5295" s="3" t="s">
        <v>79</v>
      </c>
      <c r="B5295" s="3" t="s">
        <v>78</v>
      </c>
      <c r="C5295" s="4">
        <v>43313</v>
      </c>
      <c r="D5295" s="4">
        <v>43343</v>
      </c>
      <c r="E5295" s="3" t="s">
        <v>231</v>
      </c>
      <c r="F5295" s="3" t="s">
        <v>234</v>
      </c>
      <c r="G5295" s="5">
        <v>1E-3</v>
      </c>
      <c r="H5295" s="6" t="s">
        <v>84</v>
      </c>
      <c r="I5295" s="3" t="s">
        <v>45</v>
      </c>
    </row>
    <row r="5296" spans="1:9" ht="48" customHeight="1">
      <c r="A5296" s="3" t="s">
        <v>79</v>
      </c>
      <c r="B5296" s="3" t="s">
        <v>78</v>
      </c>
      <c r="C5296" s="4">
        <v>43313</v>
      </c>
      <c r="D5296" s="4">
        <v>43343</v>
      </c>
      <c r="E5296" s="3" t="s">
        <v>231</v>
      </c>
      <c r="F5296" s="3" t="s">
        <v>235</v>
      </c>
      <c r="G5296" s="5">
        <v>1E-3</v>
      </c>
      <c r="H5296" s="6" t="s">
        <v>84</v>
      </c>
      <c r="I5296" s="3" t="s">
        <v>45</v>
      </c>
    </row>
    <row r="5297" spans="1:9" ht="48" customHeight="1">
      <c r="A5297" s="3" t="s">
        <v>79</v>
      </c>
      <c r="B5297" s="3" t="s">
        <v>78</v>
      </c>
      <c r="C5297" s="4">
        <v>43313</v>
      </c>
      <c r="D5297" s="4">
        <v>43343</v>
      </c>
      <c r="E5297" s="3" t="s">
        <v>231</v>
      </c>
      <c r="F5297" s="3" t="s">
        <v>230</v>
      </c>
      <c r="G5297" s="5">
        <v>0</v>
      </c>
      <c r="H5297" s="6" t="s">
        <v>84</v>
      </c>
      <c r="I5297" s="3" t="s">
        <v>45</v>
      </c>
    </row>
    <row r="5298" spans="1:9" ht="48" customHeight="1">
      <c r="A5298" s="3" t="s">
        <v>79</v>
      </c>
      <c r="B5298" s="3" t="s">
        <v>78</v>
      </c>
      <c r="C5298" s="4">
        <v>43313</v>
      </c>
      <c r="D5298" s="4">
        <v>43343</v>
      </c>
      <c r="E5298" s="3" t="s">
        <v>244</v>
      </c>
      <c r="F5298" s="3" t="s">
        <v>246</v>
      </c>
      <c r="G5298" s="5">
        <v>1E-3</v>
      </c>
      <c r="H5298" s="6" t="s">
        <v>84</v>
      </c>
      <c r="I5298" s="3" t="s">
        <v>45</v>
      </c>
    </row>
    <row r="5299" spans="1:9" ht="48" customHeight="1">
      <c r="A5299" s="3" t="s">
        <v>79</v>
      </c>
      <c r="B5299" s="3" t="s">
        <v>78</v>
      </c>
      <c r="C5299" s="4">
        <v>43313</v>
      </c>
      <c r="D5299" s="4">
        <v>43343</v>
      </c>
      <c r="E5299" s="3" t="s">
        <v>244</v>
      </c>
      <c r="F5299" s="3" t="s">
        <v>248</v>
      </c>
      <c r="G5299" s="5">
        <v>0</v>
      </c>
      <c r="H5299" s="6" t="s">
        <v>84</v>
      </c>
      <c r="I5299" s="3" t="s">
        <v>45</v>
      </c>
    </row>
    <row r="5300" spans="1:9" ht="48" customHeight="1">
      <c r="A5300" s="3" t="s">
        <v>79</v>
      </c>
      <c r="B5300" s="3" t="s">
        <v>78</v>
      </c>
      <c r="C5300" s="4">
        <v>43313</v>
      </c>
      <c r="D5300" s="4">
        <v>43343</v>
      </c>
      <c r="E5300" s="3" t="s">
        <v>244</v>
      </c>
      <c r="F5300" s="3" t="s">
        <v>247</v>
      </c>
      <c r="G5300" s="5">
        <v>0</v>
      </c>
      <c r="H5300" s="6" t="s">
        <v>84</v>
      </c>
      <c r="I5300" s="3" t="s">
        <v>45</v>
      </c>
    </row>
    <row r="5301" spans="1:9" ht="48" customHeight="1">
      <c r="A5301" s="3" t="s">
        <v>79</v>
      </c>
      <c r="B5301" s="3" t="s">
        <v>78</v>
      </c>
      <c r="C5301" s="4">
        <v>43313</v>
      </c>
      <c r="D5301" s="4">
        <v>43343</v>
      </c>
      <c r="E5301" s="3" t="s">
        <v>244</v>
      </c>
      <c r="F5301" s="3" t="s">
        <v>245</v>
      </c>
      <c r="G5301" s="5">
        <v>0</v>
      </c>
      <c r="H5301" s="6" t="s">
        <v>84</v>
      </c>
      <c r="I5301" s="3" t="s">
        <v>45</v>
      </c>
    </row>
    <row r="5302" spans="1:9" ht="48" customHeight="1">
      <c r="A5302" s="3" t="s">
        <v>79</v>
      </c>
      <c r="B5302" s="3" t="s">
        <v>78</v>
      </c>
      <c r="C5302" s="4">
        <v>43313</v>
      </c>
      <c r="D5302" s="4">
        <v>43343</v>
      </c>
      <c r="E5302" s="3" t="s">
        <v>244</v>
      </c>
      <c r="F5302" s="3" t="s">
        <v>250</v>
      </c>
      <c r="G5302" s="5">
        <v>0</v>
      </c>
      <c r="H5302" s="6" t="s">
        <v>84</v>
      </c>
      <c r="I5302" s="3" t="s">
        <v>45</v>
      </c>
    </row>
    <row r="5303" spans="1:9" ht="48" customHeight="1">
      <c r="A5303" s="3" t="s">
        <v>79</v>
      </c>
      <c r="B5303" s="3" t="s">
        <v>78</v>
      </c>
      <c r="C5303" s="4">
        <v>43313</v>
      </c>
      <c r="D5303" s="4">
        <v>43343</v>
      </c>
      <c r="E5303" s="3" t="s">
        <v>244</v>
      </c>
      <c r="F5303" s="3" t="s">
        <v>251</v>
      </c>
      <c r="G5303" s="5">
        <v>0</v>
      </c>
      <c r="H5303" s="6" t="s">
        <v>84</v>
      </c>
      <c r="I5303" s="3" t="s">
        <v>45</v>
      </c>
    </row>
    <row r="5304" spans="1:9" ht="48" customHeight="1">
      <c r="A5304" s="3" t="s">
        <v>79</v>
      </c>
      <c r="B5304" s="3" t="s">
        <v>78</v>
      </c>
      <c r="C5304" s="4">
        <v>43313</v>
      </c>
      <c r="D5304" s="4">
        <v>43343</v>
      </c>
      <c r="E5304" s="3" t="s">
        <v>244</v>
      </c>
      <c r="F5304" s="3" t="s">
        <v>252</v>
      </c>
      <c r="G5304" s="5">
        <v>0</v>
      </c>
      <c r="H5304" s="6" t="s">
        <v>84</v>
      </c>
      <c r="I5304" s="3" t="s">
        <v>45</v>
      </c>
    </row>
    <row r="5305" spans="1:9" ht="48" customHeight="1">
      <c r="A5305" s="3" t="s">
        <v>79</v>
      </c>
      <c r="B5305" s="3" t="s">
        <v>78</v>
      </c>
      <c r="C5305" s="4">
        <v>43313</v>
      </c>
      <c r="D5305" s="4">
        <v>43343</v>
      </c>
      <c r="E5305" s="3" t="s">
        <v>244</v>
      </c>
      <c r="F5305" s="3" t="s">
        <v>249</v>
      </c>
      <c r="G5305" s="5">
        <v>0</v>
      </c>
      <c r="H5305" s="6" t="s">
        <v>84</v>
      </c>
      <c r="I5305" s="3" t="s">
        <v>45</v>
      </c>
    </row>
    <row r="5306" spans="1:9" ht="48" customHeight="1">
      <c r="A5306" s="3" t="s">
        <v>79</v>
      </c>
      <c r="B5306" s="3" t="s">
        <v>78</v>
      </c>
      <c r="C5306" s="4">
        <v>43313</v>
      </c>
      <c r="D5306" s="4">
        <v>43343</v>
      </c>
      <c r="E5306" s="3" t="s">
        <v>244</v>
      </c>
      <c r="F5306" s="3" t="s">
        <v>255</v>
      </c>
      <c r="G5306" s="5">
        <v>0</v>
      </c>
      <c r="H5306" s="6" t="s">
        <v>84</v>
      </c>
      <c r="I5306" s="3" t="s">
        <v>45</v>
      </c>
    </row>
    <row r="5307" spans="1:9" ht="48" customHeight="1">
      <c r="A5307" s="3" t="s">
        <v>79</v>
      </c>
      <c r="B5307" s="3" t="s">
        <v>78</v>
      </c>
      <c r="C5307" s="4">
        <v>43313</v>
      </c>
      <c r="D5307" s="4">
        <v>43343</v>
      </c>
      <c r="E5307" s="3" t="s">
        <v>244</v>
      </c>
      <c r="F5307" s="3" t="s">
        <v>256</v>
      </c>
      <c r="G5307" s="5">
        <v>0</v>
      </c>
      <c r="H5307" s="6" t="s">
        <v>84</v>
      </c>
      <c r="I5307" s="3" t="s">
        <v>45</v>
      </c>
    </row>
    <row r="5308" spans="1:9" ht="48" customHeight="1">
      <c r="A5308" s="3" t="s">
        <v>79</v>
      </c>
      <c r="B5308" s="3" t="s">
        <v>78</v>
      </c>
      <c r="C5308" s="4">
        <v>43313</v>
      </c>
      <c r="D5308" s="4">
        <v>43343</v>
      </c>
      <c r="E5308" s="3" t="s">
        <v>244</v>
      </c>
      <c r="F5308" s="3" t="s">
        <v>257</v>
      </c>
      <c r="G5308" s="5">
        <v>0</v>
      </c>
      <c r="H5308" s="6" t="s">
        <v>84</v>
      </c>
      <c r="I5308" s="3" t="s">
        <v>45</v>
      </c>
    </row>
    <row r="5309" spans="1:9" ht="48" customHeight="1">
      <c r="A5309" s="3" t="s">
        <v>79</v>
      </c>
      <c r="B5309" s="3" t="s">
        <v>78</v>
      </c>
      <c r="C5309" s="4">
        <v>43313</v>
      </c>
      <c r="D5309" s="4">
        <v>43343</v>
      </c>
      <c r="E5309" s="3" t="s">
        <v>244</v>
      </c>
      <c r="F5309" s="3" t="s">
        <v>258</v>
      </c>
      <c r="G5309" s="5">
        <v>0</v>
      </c>
      <c r="H5309" s="6" t="s">
        <v>84</v>
      </c>
      <c r="I5309" s="3" t="s">
        <v>45</v>
      </c>
    </row>
    <row r="5310" spans="1:9" ht="48" customHeight="1">
      <c r="A5310" s="3" t="s">
        <v>79</v>
      </c>
      <c r="B5310" s="3" t="s">
        <v>78</v>
      </c>
      <c r="C5310" s="4">
        <v>43313</v>
      </c>
      <c r="D5310" s="4">
        <v>43343</v>
      </c>
      <c r="E5310" s="3" t="s">
        <v>244</v>
      </c>
      <c r="F5310" s="3" t="s">
        <v>259</v>
      </c>
      <c r="G5310" s="5">
        <v>0</v>
      </c>
      <c r="H5310" s="6" t="s">
        <v>84</v>
      </c>
      <c r="I5310" s="3" t="s">
        <v>45</v>
      </c>
    </row>
    <row r="5311" spans="1:9" ht="48" customHeight="1">
      <c r="A5311" s="3" t="s">
        <v>79</v>
      </c>
      <c r="B5311" s="3" t="s">
        <v>78</v>
      </c>
      <c r="C5311" s="4">
        <v>43313</v>
      </c>
      <c r="D5311" s="4">
        <v>43343</v>
      </c>
      <c r="E5311" s="3" t="s">
        <v>244</v>
      </c>
      <c r="F5311" s="3" t="s">
        <v>253</v>
      </c>
      <c r="G5311" s="5">
        <v>0</v>
      </c>
      <c r="H5311" s="6" t="s">
        <v>84</v>
      </c>
      <c r="I5311" s="3" t="s">
        <v>45</v>
      </c>
    </row>
    <row r="5312" spans="1:9" ht="48" customHeight="1">
      <c r="A5312" s="3" t="s">
        <v>79</v>
      </c>
      <c r="B5312" s="3" t="s">
        <v>78</v>
      </c>
      <c r="C5312" s="4">
        <v>43313</v>
      </c>
      <c r="D5312" s="4">
        <v>43343</v>
      </c>
      <c r="E5312" s="3" t="s">
        <v>244</v>
      </c>
      <c r="F5312" s="3" t="s">
        <v>254</v>
      </c>
      <c r="G5312" s="5">
        <v>0</v>
      </c>
      <c r="H5312" s="6" t="s">
        <v>84</v>
      </c>
      <c r="I5312" s="3" t="s">
        <v>45</v>
      </c>
    </row>
    <row r="5313" spans="1:9" ht="48" customHeight="1">
      <c r="A5313" s="3" t="s">
        <v>79</v>
      </c>
      <c r="B5313" s="3" t="s">
        <v>78</v>
      </c>
      <c r="C5313" s="4">
        <v>43313</v>
      </c>
      <c r="D5313" s="4">
        <v>43343</v>
      </c>
      <c r="E5313" s="3" t="s">
        <v>301</v>
      </c>
      <c r="F5313" s="3" t="s">
        <v>301</v>
      </c>
      <c r="G5313" s="5">
        <v>2E-3</v>
      </c>
      <c r="H5313" s="6" t="s">
        <v>84</v>
      </c>
      <c r="I5313" s="3" t="s">
        <v>45</v>
      </c>
    </row>
    <row r="5314" spans="1:9" ht="48" customHeight="1">
      <c r="A5314" s="3" t="s">
        <v>79</v>
      </c>
      <c r="B5314" s="3" t="s">
        <v>78</v>
      </c>
      <c r="C5314" s="4">
        <v>43313</v>
      </c>
      <c r="D5314" s="4">
        <v>43343</v>
      </c>
      <c r="E5314" s="3" t="s">
        <v>381</v>
      </c>
      <c r="F5314" s="3" t="s">
        <v>382</v>
      </c>
      <c r="G5314" s="5">
        <v>1E-3</v>
      </c>
      <c r="H5314" s="6" t="s">
        <v>84</v>
      </c>
      <c r="I5314" s="3" t="s">
        <v>45</v>
      </c>
    </row>
    <row r="5315" spans="1:9" ht="48" customHeight="1">
      <c r="A5315" s="3" t="s">
        <v>79</v>
      </c>
      <c r="B5315" s="3" t="s">
        <v>78</v>
      </c>
      <c r="C5315" s="4">
        <v>43313</v>
      </c>
      <c r="D5315" s="4">
        <v>43343</v>
      </c>
      <c r="E5315" s="3" t="s">
        <v>381</v>
      </c>
      <c r="F5315" s="3" t="s">
        <v>383</v>
      </c>
      <c r="G5315" s="5">
        <v>0</v>
      </c>
      <c r="H5315" s="6" t="s">
        <v>84</v>
      </c>
      <c r="I5315" s="3" t="s">
        <v>45</v>
      </c>
    </row>
    <row r="5316" spans="1:9" ht="48" customHeight="1">
      <c r="A5316" s="3" t="s">
        <v>79</v>
      </c>
      <c r="B5316" s="3" t="s">
        <v>78</v>
      </c>
      <c r="C5316" s="4">
        <v>43344</v>
      </c>
      <c r="D5316" s="4">
        <v>43373</v>
      </c>
      <c r="E5316" s="3" t="s">
        <v>364</v>
      </c>
      <c r="F5316" s="3" t="s">
        <v>262</v>
      </c>
      <c r="G5316" s="5">
        <v>0.12</v>
      </c>
      <c r="H5316" s="6" t="s">
        <v>85</v>
      </c>
      <c r="I5316" s="3" t="s">
        <v>45</v>
      </c>
    </row>
    <row r="5317" spans="1:9" ht="48" customHeight="1">
      <c r="A5317" s="3" t="s">
        <v>79</v>
      </c>
      <c r="B5317" s="3" t="s">
        <v>78</v>
      </c>
      <c r="C5317" s="4">
        <v>43344</v>
      </c>
      <c r="D5317" s="4">
        <v>43373</v>
      </c>
      <c r="E5317" s="3" t="s">
        <v>364</v>
      </c>
      <c r="F5317" s="3" t="s">
        <v>366</v>
      </c>
      <c r="G5317" s="5">
        <v>8.3000000000000004E-2</v>
      </c>
      <c r="H5317" s="6" t="s">
        <v>85</v>
      </c>
      <c r="I5317" s="3" t="s">
        <v>45</v>
      </c>
    </row>
    <row r="5318" spans="1:9" ht="48" customHeight="1">
      <c r="A5318" s="3" t="s">
        <v>79</v>
      </c>
      <c r="B5318" s="3" t="s">
        <v>78</v>
      </c>
      <c r="C5318" s="4">
        <v>43344</v>
      </c>
      <c r="D5318" s="4">
        <v>43373</v>
      </c>
      <c r="E5318" s="3" t="s">
        <v>364</v>
      </c>
      <c r="F5318" s="3" t="s">
        <v>365</v>
      </c>
      <c r="G5318" s="5">
        <v>5.9000000000000004E-2</v>
      </c>
      <c r="H5318" s="6" t="s">
        <v>85</v>
      </c>
      <c r="I5318" s="3" t="s">
        <v>45</v>
      </c>
    </row>
    <row r="5319" spans="1:9" ht="48" customHeight="1">
      <c r="A5319" s="3" t="s">
        <v>79</v>
      </c>
      <c r="B5319" s="3" t="s">
        <v>78</v>
      </c>
      <c r="C5319" s="4">
        <v>43344</v>
      </c>
      <c r="D5319" s="4">
        <v>43373</v>
      </c>
      <c r="E5319" s="3" t="s">
        <v>364</v>
      </c>
      <c r="F5319" s="3" t="s">
        <v>234</v>
      </c>
      <c r="G5319" s="5">
        <v>5.2000000000000005E-2</v>
      </c>
      <c r="H5319" s="6" t="s">
        <v>85</v>
      </c>
      <c r="I5319" s="3" t="s">
        <v>45</v>
      </c>
    </row>
    <row r="5320" spans="1:9" ht="48" customHeight="1">
      <c r="A5320" s="3" t="s">
        <v>79</v>
      </c>
      <c r="B5320" s="3" t="s">
        <v>78</v>
      </c>
      <c r="C5320" s="4">
        <v>43344</v>
      </c>
      <c r="D5320" s="4">
        <v>43373</v>
      </c>
      <c r="E5320" s="3" t="s">
        <v>364</v>
      </c>
      <c r="F5320" s="3" t="s">
        <v>232</v>
      </c>
      <c r="G5320" s="5">
        <v>0.03</v>
      </c>
      <c r="H5320" s="6" t="s">
        <v>85</v>
      </c>
      <c r="I5320" s="3" t="s">
        <v>45</v>
      </c>
    </row>
    <row r="5321" spans="1:9" ht="48" customHeight="1">
      <c r="A5321" s="3" t="s">
        <v>79</v>
      </c>
      <c r="B5321" s="3" t="s">
        <v>78</v>
      </c>
      <c r="C5321" s="4">
        <v>43344</v>
      </c>
      <c r="D5321" s="4">
        <v>43373</v>
      </c>
      <c r="E5321" s="3" t="s">
        <v>364</v>
      </c>
      <c r="F5321" s="3" t="s">
        <v>367</v>
      </c>
      <c r="G5321" s="5">
        <v>0.03</v>
      </c>
      <c r="H5321" s="6" t="s">
        <v>85</v>
      </c>
      <c r="I5321" s="3" t="s">
        <v>45</v>
      </c>
    </row>
    <row r="5322" spans="1:9" ht="48" customHeight="1">
      <c r="A5322" s="3" t="s">
        <v>79</v>
      </c>
      <c r="B5322" s="3" t="s">
        <v>78</v>
      </c>
      <c r="C5322" s="4">
        <v>43344</v>
      </c>
      <c r="D5322" s="4">
        <v>43373</v>
      </c>
      <c r="E5322" s="3" t="s">
        <v>364</v>
      </c>
      <c r="F5322" s="3" t="s">
        <v>265</v>
      </c>
      <c r="G5322" s="5">
        <v>1.9E-2</v>
      </c>
      <c r="H5322" s="6" t="s">
        <v>85</v>
      </c>
      <c r="I5322" s="3" t="s">
        <v>45</v>
      </c>
    </row>
    <row r="5323" spans="1:9" ht="48" customHeight="1">
      <c r="A5323" s="3" t="s">
        <v>79</v>
      </c>
      <c r="B5323" s="3" t="s">
        <v>78</v>
      </c>
      <c r="C5323" s="4">
        <v>43344</v>
      </c>
      <c r="D5323" s="4">
        <v>43373</v>
      </c>
      <c r="E5323" s="3" t="s">
        <v>364</v>
      </c>
      <c r="F5323" s="3" t="s">
        <v>230</v>
      </c>
      <c r="G5323" s="5">
        <v>1.1000000000000001E-2</v>
      </c>
      <c r="H5323" s="6" t="s">
        <v>85</v>
      </c>
      <c r="I5323" s="3" t="s">
        <v>45</v>
      </c>
    </row>
    <row r="5324" spans="1:9" ht="48" customHeight="1">
      <c r="A5324" s="3" t="s">
        <v>79</v>
      </c>
      <c r="B5324" s="3" t="s">
        <v>78</v>
      </c>
      <c r="C5324" s="4">
        <v>43344</v>
      </c>
      <c r="D5324" s="4">
        <v>43373</v>
      </c>
      <c r="E5324" s="3" t="s">
        <v>81</v>
      </c>
      <c r="F5324" s="3" t="s">
        <v>325</v>
      </c>
      <c r="G5324" s="5">
        <v>5.4000000000000006E-2</v>
      </c>
      <c r="H5324" s="6" t="s">
        <v>85</v>
      </c>
      <c r="I5324" s="3" t="s">
        <v>45</v>
      </c>
    </row>
    <row r="5325" spans="1:9" ht="48" customHeight="1">
      <c r="A5325" s="3" t="s">
        <v>79</v>
      </c>
      <c r="B5325" s="3" t="s">
        <v>78</v>
      </c>
      <c r="C5325" s="4">
        <v>43344</v>
      </c>
      <c r="D5325" s="4">
        <v>43373</v>
      </c>
      <c r="E5325" s="3" t="s">
        <v>81</v>
      </c>
      <c r="F5325" s="3" t="s">
        <v>336</v>
      </c>
      <c r="G5325" s="5">
        <v>3.2000000000000001E-2</v>
      </c>
      <c r="H5325" s="6" t="s">
        <v>85</v>
      </c>
      <c r="I5325" s="3" t="s">
        <v>45</v>
      </c>
    </row>
    <row r="5326" spans="1:9" ht="48" customHeight="1">
      <c r="A5326" s="3" t="s">
        <v>79</v>
      </c>
      <c r="B5326" s="3" t="s">
        <v>78</v>
      </c>
      <c r="C5326" s="4">
        <v>43344</v>
      </c>
      <c r="D5326" s="4">
        <v>43373</v>
      </c>
      <c r="E5326" s="3" t="s">
        <v>81</v>
      </c>
      <c r="F5326" s="3" t="s">
        <v>332</v>
      </c>
      <c r="G5326" s="5">
        <v>3.1E-2</v>
      </c>
      <c r="H5326" s="6" t="s">
        <v>85</v>
      </c>
      <c r="I5326" s="3" t="s">
        <v>45</v>
      </c>
    </row>
    <row r="5327" spans="1:9" ht="48" customHeight="1">
      <c r="A5327" s="3" t="s">
        <v>79</v>
      </c>
      <c r="B5327" s="3" t="s">
        <v>78</v>
      </c>
      <c r="C5327" s="4">
        <v>43344</v>
      </c>
      <c r="D5327" s="4">
        <v>43373</v>
      </c>
      <c r="E5327" s="3" t="s">
        <v>81</v>
      </c>
      <c r="F5327" s="3" t="s">
        <v>330</v>
      </c>
      <c r="G5327" s="5">
        <v>2.6000000000000002E-2</v>
      </c>
      <c r="H5327" s="6" t="s">
        <v>85</v>
      </c>
      <c r="I5327" s="3" t="s">
        <v>45</v>
      </c>
    </row>
    <row r="5328" spans="1:9" ht="48" customHeight="1">
      <c r="A5328" s="3" t="s">
        <v>79</v>
      </c>
      <c r="B5328" s="3" t="s">
        <v>78</v>
      </c>
      <c r="C5328" s="4">
        <v>43344</v>
      </c>
      <c r="D5328" s="4">
        <v>43373</v>
      </c>
      <c r="E5328" s="3" t="s">
        <v>81</v>
      </c>
      <c r="F5328" s="3" t="s">
        <v>343</v>
      </c>
      <c r="G5328" s="5">
        <v>1.8000000000000002E-2</v>
      </c>
      <c r="H5328" s="6" t="s">
        <v>85</v>
      </c>
      <c r="I5328" s="3" t="s">
        <v>45</v>
      </c>
    </row>
    <row r="5329" spans="1:9" ht="48" customHeight="1">
      <c r="A5329" s="3" t="s">
        <v>79</v>
      </c>
      <c r="B5329" s="3" t="s">
        <v>78</v>
      </c>
      <c r="C5329" s="4">
        <v>43344</v>
      </c>
      <c r="D5329" s="4">
        <v>43373</v>
      </c>
      <c r="E5329" s="3" t="s">
        <v>81</v>
      </c>
      <c r="F5329" s="3" t="s">
        <v>334</v>
      </c>
      <c r="G5329" s="5">
        <v>1.7000000000000001E-2</v>
      </c>
      <c r="H5329" s="6" t="s">
        <v>85</v>
      </c>
      <c r="I5329" s="3" t="s">
        <v>45</v>
      </c>
    </row>
    <row r="5330" spans="1:9" ht="48" customHeight="1">
      <c r="A5330" s="3" t="s">
        <v>79</v>
      </c>
      <c r="B5330" s="3" t="s">
        <v>78</v>
      </c>
      <c r="C5330" s="4">
        <v>43344</v>
      </c>
      <c r="D5330" s="4">
        <v>43373</v>
      </c>
      <c r="E5330" s="3" t="s">
        <v>81</v>
      </c>
      <c r="F5330" s="3" t="s">
        <v>328</v>
      </c>
      <c r="G5330" s="5">
        <v>1.6E-2</v>
      </c>
      <c r="H5330" s="6" t="s">
        <v>85</v>
      </c>
      <c r="I5330" s="3" t="s">
        <v>45</v>
      </c>
    </row>
    <row r="5331" spans="1:9" ht="48" customHeight="1">
      <c r="A5331" s="3" t="s">
        <v>79</v>
      </c>
      <c r="B5331" s="3" t="s">
        <v>78</v>
      </c>
      <c r="C5331" s="4">
        <v>43344</v>
      </c>
      <c r="D5331" s="4">
        <v>43373</v>
      </c>
      <c r="E5331" s="3" t="s">
        <v>81</v>
      </c>
      <c r="F5331" s="3" t="s">
        <v>327</v>
      </c>
      <c r="G5331" s="5">
        <v>1.3999999999999999E-2</v>
      </c>
      <c r="H5331" s="6" t="s">
        <v>85</v>
      </c>
      <c r="I5331" s="3" t="s">
        <v>45</v>
      </c>
    </row>
    <row r="5332" spans="1:9" ht="48" customHeight="1">
      <c r="A5332" s="3" t="s">
        <v>79</v>
      </c>
      <c r="B5332" s="3" t="s">
        <v>78</v>
      </c>
      <c r="C5332" s="4">
        <v>43344</v>
      </c>
      <c r="D5332" s="4">
        <v>43373</v>
      </c>
      <c r="E5332" s="3" t="s">
        <v>81</v>
      </c>
      <c r="F5332" s="3" t="s">
        <v>326</v>
      </c>
      <c r="G5332" s="5">
        <v>1.3000000000000001E-2</v>
      </c>
      <c r="H5332" s="6" t="s">
        <v>85</v>
      </c>
      <c r="I5332" s="3" t="s">
        <v>45</v>
      </c>
    </row>
    <row r="5333" spans="1:9" ht="48" customHeight="1">
      <c r="A5333" s="3" t="s">
        <v>79</v>
      </c>
      <c r="B5333" s="3" t="s">
        <v>78</v>
      </c>
      <c r="C5333" s="4">
        <v>43344</v>
      </c>
      <c r="D5333" s="4">
        <v>43373</v>
      </c>
      <c r="E5333" s="3" t="s">
        <v>81</v>
      </c>
      <c r="F5333" s="3" t="s">
        <v>333</v>
      </c>
      <c r="G5333" s="5">
        <v>1.1000000000000001E-2</v>
      </c>
      <c r="H5333" s="6" t="s">
        <v>85</v>
      </c>
      <c r="I5333" s="3" t="s">
        <v>45</v>
      </c>
    </row>
    <row r="5334" spans="1:9" ht="48" customHeight="1">
      <c r="A5334" s="3" t="s">
        <v>79</v>
      </c>
      <c r="B5334" s="3" t="s">
        <v>78</v>
      </c>
      <c r="C5334" s="4">
        <v>43344</v>
      </c>
      <c r="D5334" s="4">
        <v>43373</v>
      </c>
      <c r="E5334" s="3" t="s">
        <v>81</v>
      </c>
      <c r="F5334" s="3" t="s">
        <v>344</v>
      </c>
      <c r="G5334" s="5">
        <v>6.9999999999999993E-3</v>
      </c>
      <c r="H5334" s="6" t="s">
        <v>85</v>
      </c>
      <c r="I5334" s="3" t="s">
        <v>45</v>
      </c>
    </row>
    <row r="5335" spans="1:9" ht="48" customHeight="1">
      <c r="A5335" s="3" t="s">
        <v>79</v>
      </c>
      <c r="B5335" s="3" t="s">
        <v>78</v>
      </c>
      <c r="C5335" s="4">
        <v>43344</v>
      </c>
      <c r="D5335" s="4">
        <v>43373</v>
      </c>
      <c r="E5335" s="3" t="s">
        <v>81</v>
      </c>
      <c r="F5335" s="3" t="s">
        <v>329</v>
      </c>
      <c r="G5335" s="5">
        <v>5.0000000000000001E-3</v>
      </c>
      <c r="H5335" s="6" t="s">
        <v>85</v>
      </c>
      <c r="I5335" s="3" t="s">
        <v>45</v>
      </c>
    </row>
    <row r="5336" spans="1:9" ht="48" customHeight="1">
      <c r="A5336" s="3" t="s">
        <v>79</v>
      </c>
      <c r="B5336" s="3" t="s">
        <v>78</v>
      </c>
      <c r="C5336" s="4">
        <v>43344</v>
      </c>
      <c r="D5336" s="4">
        <v>43373</v>
      </c>
      <c r="E5336" s="3" t="s">
        <v>81</v>
      </c>
      <c r="F5336" s="3" t="s">
        <v>331</v>
      </c>
      <c r="G5336" s="5">
        <v>5.0000000000000001E-3</v>
      </c>
      <c r="H5336" s="6" t="s">
        <v>85</v>
      </c>
      <c r="I5336" s="3" t="s">
        <v>45</v>
      </c>
    </row>
    <row r="5337" spans="1:9" ht="48" customHeight="1">
      <c r="A5337" s="3" t="s">
        <v>79</v>
      </c>
      <c r="B5337" s="3" t="s">
        <v>78</v>
      </c>
      <c r="C5337" s="4">
        <v>43344</v>
      </c>
      <c r="D5337" s="4">
        <v>43373</v>
      </c>
      <c r="E5337" s="3" t="s">
        <v>81</v>
      </c>
      <c r="F5337" s="3" t="s">
        <v>337</v>
      </c>
      <c r="G5337" s="5">
        <v>3.0000000000000001E-3</v>
      </c>
      <c r="H5337" s="6" t="s">
        <v>85</v>
      </c>
      <c r="I5337" s="3" t="s">
        <v>45</v>
      </c>
    </row>
    <row r="5338" spans="1:9" ht="48" customHeight="1">
      <c r="A5338" s="3" t="s">
        <v>79</v>
      </c>
      <c r="B5338" s="3" t="s">
        <v>78</v>
      </c>
      <c r="C5338" s="4">
        <v>43344</v>
      </c>
      <c r="D5338" s="4">
        <v>43373</v>
      </c>
      <c r="E5338" s="3" t="s">
        <v>81</v>
      </c>
      <c r="F5338" s="3" t="s">
        <v>342</v>
      </c>
      <c r="G5338" s="5">
        <v>3.0000000000000001E-3</v>
      </c>
      <c r="H5338" s="6" t="s">
        <v>85</v>
      </c>
      <c r="I5338" s="3" t="s">
        <v>45</v>
      </c>
    </row>
    <row r="5339" spans="1:9" ht="48" customHeight="1">
      <c r="A5339" s="3" t="s">
        <v>79</v>
      </c>
      <c r="B5339" s="3" t="s">
        <v>78</v>
      </c>
      <c r="C5339" s="4">
        <v>43344</v>
      </c>
      <c r="D5339" s="4">
        <v>43373</v>
      </c>
      <c r="E5339" s="3" t="s">
        <v>81</v>
      </c>
      <c r="F5339" s="3" t="s">
        <v>335</v>
      </c>
      <c r="G5339" s="5">
        <v>2E-3</v>
      </c>
      <c r="H5339" s="6" t="s">
        <v>85</v>
      </c>
      <c r="I5339" s="3" t="s">
        <v>45</v>
      </c>
    </row>
    <row r="5340" spans="1:9" ht="48" customHeight="1">
      <c r="A5340" s="3" t="s">
        <v>79</v>
      </c>
      <c r="B5340" s="3" t="s">
        <v>78</v>
      </c>
      <c r="C5340" s="4">
        <v>43344</v>
      </c>
      <c r="D5340" s="4">
        <v>43373</v>
      </c>
      <c r="E5340" s="3" t="s">
        <v>81</v>
      </c>
      <c r="F5340" s="3" t="s">
        <v>338</v>
      </c>
      <c r="G5340" s="5">
        <v>2E-3</v>
      </c>
      <c r="H5340" s="6" t="s">
        <v>85</v>
      </c>
      <c r="I5340" s="3" t="s">
        <v>45</v>
      </c>
    </row>
    <row r="5341" spans="1:9" ht="48" customHeight="1">
      <c r="A5341" s="3" t="s">
        <v>79</v>
      </c>
      <c r="B5341" s="3" t="s">
        <v>78</v>
      </c>
      <c r="C5341" s="4">
        <v>43344</v>
      </c>
      <c r="D5341" s="4">
        <v>43373</v>
      </c>
      <c r="E5341" s="3" t="s">
        <v>81</v>
      </c>
      <c r="F5341" s="3" t="s">
        <v>339</v>
      </c>
      <c r="G5341" s="5">
        <v>2E-3</v>
      </c>
      <c r="H5341" s="6" t="s">
        <v>85</v>
      </c>
      <c r="I5341" s="3" t="s">
        <v>45</v>
      </c>
    </row>
    <row r="5342" spans="1:9" ht="48" customHeight="1">
      <c r="A5342" s="3" t="s">
        <v>79</v>
      </c>
      <c r="B5342" s="3" t="s">
        <v>78</v>
      </c>
      <c r="C5342" s="4">
        <v>43344</v>
      </c>
      <c r="D5342" s="4">
        <v>43373</v>
      </c>
      <c r="E5342" s="3" t="s">
        <v>81</v>
      </c>
      <c r="F5342" s="3" t="s">
        <v>340</v>
      </c>
      <c r="G5342" s="5">
        <v>2E-3</v>
      </c>
      <c r="H5342" s="6" t="s">
        <v>85</v>
      </c>
      <c r="I5342" s="3" t="s">
        <v>45</v>
      </c>
    </row>
    <row r="5343" spans="1:9" ht="48" customHeight="1">
      <c r="A5343" s="3" t="s">
        <v>79</v>
      </c>
      <c r="B5343" s="3" t="s">
        <v>78</v>
      </c>
      <c r="C5343" s="4">
        <v>43344</v>
      </c>
      <c r="D5343" s="4">
        <v>43373</v>
      </c>
      <c r="E5343" s="3" t="s">
        <v>81</v>
      </c>
      <c r="F5343" s="3" t="s">
        <v>341</v>
      </c>
      <c r="G5343" s="5">
        <v>2E-3</v>
      </c>
      <c r="H5343" s="6" t="s">
        <v>85</v>
      </c>
      <c r="I5343" s="3" t="s">
        <v>45</v>
      </c>
    </row>
    <row r="5344" spans="1:9" ht="48" customHeight="1">
      <c r="A5344" s="3" t="s">
        <v>79</v>
      </c>
      <c r="B5344" s="3" t="s">
        <v>78</v>
      </c>
      <c r="C5344" s="4">
        <v>43344</v>
      </c>
      <c r="D5344" s="4">
        <v>43373</v>
      </c>
      <c r="E5344" s="3" t="s">
        <v>81</v>
      </c>
      <c r="F5344" s="3" t="s">
        <v>345</v>
      </c>
      <c r="G5344" s="5">
        <v>2E-3</v>
      </c>
      <c r="H5344" s="6" t="s">
        <v>85</v>
      </c>
      <c r="I5344" s="3" t="s">
        <v>45</v>
      </c>
    </row>
    <row r="5345" spans="1:9" ht="48" customHeight="1">
      <c r="A5345" s="3" t="s">
        <v>79</v>
      </c>
      <c r="B5345" s="3" t="s">
        <v>78</v>
      </c>
      <c r="C5345" s="4">
        <v>43344</v>
      </c>
      <c r="D5345" s="4">
        <v>43373</v>
      </c>
      <c r="E5345" s="3" t="s">
        <v>81</v>
      </c>
      <c r="F5345" s="3" t="s">
        <v>346</v>
      </c>
      <c r="G5345" s="5">
        <v>2E-3</v>
      </c>
      <c r="H5345" s="6" t="s">
        <v>85</v>
      </c>
      <c r="I5345" s="3" t="s">
        <v>45</v>
      </c>
    </row>
    <row r="5346" spans="1:9" ht="48" customHeight="1">
      <c r="A5346" s="3" t="s">
        <v>79</v>
      </c>
      <c r="B5346" s="3" t="s">
        <v>78</v>
      </c>
      <c r="C5346" s="4">
        <v>43344</v>
      </c>
      <c r="D5346" s="4">
        <v>43373</v>
      </c>
      <c r="E5346" s="3" t="s">
        <v>81</v>
      </c>
      <c r="F5346" s="3" t="s">
        <v>347</v>
      </c>
      <c r="G5346" s="5">
        <v>1E-3</v>
      </c>
      <c r="H5346" s="6" t="s">
        <v>85</v>
      </c>
      <c r="I5346" s="3" t="s">
        <v>45</v>
      </c>
    </row>
    <row r="5347" spans="1:9" ht="48" customHeight="1">
      <c r="A5347" s="3" t="s">
        <v>79</v>
      </c>
      <c r="B5347" s="3" t="s">
        <v>78</v>
      </c>
      <c r="C5347" s="4">
        <v>43344</v>
      </c>
      <c r="D5347" s="4">
        <v>43373</v>
      </c>
      <c r="E5347" s="3" t="s">
        <v>161</v>
      </c>
      <c r="F5347" s="3" t="s">
        <v>168</v>
      </c>
      <c r="G5347" s="5">
        <v>4.0000000000000001E-3</v>
      </c>
      <c r="H5347" s="6" t="s">
        <v>85</v>
      </c>
      <c r="I5347" s="3" t="s">
        <v>45</v>
      </c>
    </row>
    <row r="5348" spans="1:9" ht="48" customHeight="1">
      <c r="A5348" s="3" t="s">
        <v>79</v>
      </c>
      <c r="B5348" s="3" t="s">
        <v>78</v>
      </c>
      <c r="C5348" s="4">
        <v>43344</v>
      </c>
      <c r="D5348" s="4">
        <v>43373</v>
      </c>
      <c r="E5348" s="3" t="s">
        <v>161</v>
      </c>
      <c r="F5348" s="3" t="s">
        <v>172</v>
      </c>
      <c r="G5348" s="5">
        <v>4.0000000000000001E-3</v>
      </c>
      <c r="H5348" s="6" t="s">
        <v>85</v>
      </c>
      <c r="I5348" s="3" t="s">
        <v>45</v>
      </c>
    </row>
    <row r="5349" spans="1:9" ht="48" customHeight="1">
      <c r="A5349" s="3" t="s">
        <v>79</v>
      </c>
      <c r="B5349" s="3" t="s">
        <v>78</v>
      </c>
      <c r="C5349" s="4">
        <v>43344</v>
      </c>
      <c r="D5349" s="4">
        <v>43373</v>
      </c>
      <c r="E5349" s="3" t="s">
        <v>161</v>
      </c>
      <c r="F5349" s="3" t="s">
        <v>166</v>
      </c>
      <c r="G5349" s="5">
        <v>4.0000000000000001E-3</v>
      </c>
      <c r="H5349" s="6" t="s">
        <v>85</v>
      </c>
      <c r="I5349" s="3" t="s">
        <v>45</v>
      </c>
    </row>
    <row r="5350" spans="1:9" ht="48" customHeight="1">
      <c r="A5350" s="3" t="s">
        <v>79</v>
      </c>
      <c r="B5350" s="3" t="s">
        <v>78</v>
      </c>
      <c r="C5350" s="4">
        <v>43344</v>
      </c>
      <c r="D5350" s="4">
        <v>43373</v>
      </c>
      <c r="E5350" s="3" t="s">
        <v>161</v>
      </c>
      <c r="F5350" s="3" t="s">
        <v>167</v>
      </c>
      <c r="G5350" s="5">
        <v>3.0000000000000001E-3</v>
      </c>
      <c r="H5350" s="6" t="s">
        <v>85</v>
      </c>
      <c r="I5350" s="3" t="s">
        <v>45</v>
      </c>
    </row>
    <row r="5351" spans="1:9" ht="48" customHeight="1">
      <c r="A5351" s="3" t="s">
        <v>79</v>
      </c>
      <c r="B5351" s="3" t="s">
        <v>78</v>
      </c>
      <c r="C5351" s="4">
        <v>43344</v>
      </c>
      <c r="D5351" s="4">
        <v>43373</v>
      </c>
      <c r="E5351" s="3" t="s">
        <v>161</v>
      </c>
      <c r="F5351" s="3" t="s">
        <v>162</v>
      </c>
      <c r="G5351" s="5">
        <v>3.0000000000000001E-3</v>
      </c>
      <c r="H5351" s="6" t="s">
        <v>85</v>
      </c>
      <c r="I5351" s="3" t="s">
        <v>45</v>
      </c>
    </row>
    <row r="5352" spans="1:9" ht="48" customHeight="1">
      <c r="A5352" s="3" t="s">
        <v>79</v>
      </c>
      <c r="B5352" s="3" t="s">
        <v>78</v>
      </c>
      <c r="C5352" s="4">
        <v>43344</v>
      </c>
      <c r="D5352" s="4">
        <v>43373</v>
      </c>
      <c r="E5352" s="3" t="s">
        <v>161</v>
      </c>
      <c r="F5352" s="3" t="s">
        <v>181</v>
      </c>
      <c r="G5352" s="5">
        <v>3.0000000000000001E-3</v>
      </c>
      <c r="H5352" s="6" t="s">
        <v>85</v>
      </c>
      <c r="I5352" s="3" t="s">
        <v>45</v>
      </c>
    </row>
    <row r="5353" spans="1:9" ht="48" customHeight="1">
      <c r="A5353" s="3" t="s">
        <v>79</v>
      </c>
      <c r="B5353" s="3" t="s">
        <v>78</v>
      </c>
      <c r="C5353" s="4">
        <v>43344</v>
      </c>
      <c r="D5353" s="4">
        <v>43373</v>
      </c>
      <c r="E5353" s="3" t="s">
        <v>161</v>
      </c>
      <c r="F5353" s="3" t="s">
        <v>184</v>
      </c>
      <c r="G5353" s="5">
        <v>3.0000000000000001E-3</v>
      </c>
      <c r="H5353" s="6" t="s">
        <v>85</v>
      </c>
      <c r="I5353" s="3" t="s">
        <v>45</v>
      </c>
    </row>
    <row r="5354" spans="1:9" ht="48" customHeight="1">
      <c r="A5354" s="3" t="s">
        <v>79</v>
      </c>
      <c r="B5354" s="3" t="s">
        <v>78</v>
      </c>
      <c r="C5354" s="4">
        <v>43344</v>
      </c>
      <c r="D5354" s="4">
        <v>43373</v>
      </c>
      <c r="E5354" s="3" t="s">
        <v>161</v>
      </c>
      <c r="F5354" s="3" t="s">
        <v>164</v>
      </c>
      <c r="G5354" s="5">
        <v>2E-3</v>
      </c>
      <c r="H5354" s="6" t="s">
        <v>85</v>
      </c>
      <c r="I5354" s="3" t="s">
        <v>45</v>
      </c>
    </row>
    <row r="5355" spans="1:9" ht="48" customHeight="1">
      <c r="A5355" s="3" t="s">
        <v>79</v>
      </c>
      <c r="B5355" s="3" t="s">
        <v>78</v>
      </c>
      <c r="C5355" s="4">
        <v>43344</v>
      </c>
      <c r="D5355" s="4">
        <v>43373</v>
      </c>
      <c r="E5355" s="3" t="s">
        <v>161</v>
      </c>
      <c r="F5355" s="3" t="s">
        <v>191</v>
      </c>
      <c r="G5355" s="5">
        <v>2E-3</v>
      </c>
      <c r="H5355" s="6" t="s">
        <v>85</v>
      </c>
      <c r="I5355" s="3" t="s">
        <v>45</v>
      </c>
    </row>
    <row r="5356" spans="1:9" ht="48" customHeight="1">
      <c r="A5356" s="3" t="s">
        <v>79</v>
      </c>
      <c r="B5356" s="3" t="s">
        <v>78</v>
      </c>
      <c r="C5356" s="4">
        <v>43344</v>
      </c>
      <c r="D5356" s="4">
        <v>43373</v>
      </c>
      <c r="E5356" s="3" t="s">
        <v>161</v>
      </c>
      <c r="F5356" s="3" t="s">
        <v>169</v>
      </c>
      <c r="G5356" s="5">
        <v>2E-3</v>
      </c>
      <c r="H5356" s="6" t="s">
        <v>85</v>
      </c>
      <c r="I5356" s="3" t="s">
        <v>45</v>
      </c>
    </row>
    <row r="5357" spans="1:9" ht="48" customHeight="1">
      <c r="A5357" s="3" t="s">
        <v>79</v>
      </c>
      <c r="B5357" s="3" t="s">
        <v>78</v>
      </c>
      <c r="C5357" s="4">
        <v>43344</v>
      </c>
      <c r="D5357" s="4">
        <v>43373</v>
      </c>
      <c r="E5357" s="3" t="s">
        <v>161</v>
      </c>
      <c r="F5357" s="3" t="s">
        <v>170</v>
      </c>
      <c r="G5357" s="5">
        <v>2E-3</v>
      </c>
      <c r="H5357" s="6" t="s">
        <v>85</v>
      </c>
      <c r="I5357" s="3" t="s">
        <v>45</v>
      </c>
    </row>
    <row r="5358" spans="1:9" ht="48" customHeight="1">
      <c r="A5358" s="3" t="s">
        <v>79</v>
      </c>
      <c r="B5358" s="3" t="s">
        <v>78</v>
      </c>
      <c r="C5358" s="4">
        <v>43344</v>
      </c>
      <c r="D5358" s="4">
        <v>43373</v>
      </c>
      <c r="E5358" s="3" t="s">
        <v>161</v>
      </c>
      <c r="F5358" s="3" t="s">
        <v>177</v>
      </c>
      <c r="G5358" s="5">
        <v>2E-3</v>
      </c>
      <c r="H5358" s="6" t="s">
        <v>85</v>
      </c>
      <c r="I5358" s="3" t="s">
        <v>45</v>
      </c>
    </row>
    <row r="5359" spans="1:9" ht="48" customHeight="1">
      <c r="A5359" s="3" t="s">
        <v>79</v>
      </c>
      <c r="B5359" s="3" t="s">
        <v>78</v>
      </c>
      <c r="C5359" s="4">
        <v>43344</v>
      </c>
      <c r="D5359" s="4">
        <v>43373</v>
      </c>
      <c r="E5359" s="3" t="s">
        <v>161</v>
      </c>
      <c r="F5359" s="3" t="s">
        <v>187</v>
      </c>
      <c r="G5359" s="5">
        <v>2E-3</v>
      </c>
      <c r="H5359" s="6" t="s">
        <v>85</v>
      </c>
      <c r="I5359" s="3" t="s">
        <v>45</v>
      </c>
    </row>
    <row r="5360" spans="1:9" ht="48" customHeight="1">
      <c r="A5360" s="3" t="s">
        <v>79</v>
      </c>
      <c r="B5360" s="3" t="s">
        <v>78</v>
      </c>
      <c r="C5360" s="4">
        <v>43344</v>
      </c>
      <c r="D5360" s="4">
        <v>43373</v>
      </c>
      <c r="E5360" s="3" t="s">
        <v>161</v>
      </c>
      <c r="F5360" s="3" t="s">
        <v>163</v>
      </c>
      <c r="G5360" s="5">
        <v>2E-3</v>
      </c>
      <c r="H5360" s="6" t="s">
        <v>85</v>
      </c>
      <c r="I5360" s="3" t="s">
        <v>45</v>
      </c>
    </row>
    <row r="5361" spans="1:9" ht="48" customHeight="1">
      <c r="A5361" s="3" t="s">
        <v>79</v>
      </c>
      <c r="B5361" s="3" t="s">
        <v>78</v>
      </c>
      <c r="C5361" s="4">
        <v>43344</v>
      </c>
      <c r="D5361" s="4">
        <v>43373</v>
      </c>
      <c r="E5361" s="3" t="s">
        <v>161</v>
      </c>
      <c r="F5361" s="3" t="s">
        <v>179</v>
      </c>
      <c r="G5361" s="5">
        <v>2E-3</v>
      </c>
      <c r="H5361" s="6" t="s">
        <v>85</v>
      </c>
      <c r="I5361" s="3" t="s">
        <v>45</v>
      </c>
    </row>
    <row r="5362" spans="1:9" ht="48" customHeight="1">
      <c r="A5362" s="3" t="s">
        <v>79</v>
      </c>
      <c r="B5362" s="3" t="s">
        <v>78</v>
      </c>
      <c r="C5362" s="4">
        <v>43344</v>
      </c>
      <c r="D5362" s="4">
        <v>43373</v>
      </c>
      <c r="E5362" s="3" t="s">
        <v>161</v>
      </c>
      <c r="F5362" s="3" t="s">
        <v>180</v>
      </c>
      <c r="G5362" s="5">
        <v>2E-3</v>
      </c>
      <c r="H5362" s="6" t="s">
        <v>85</v>
      </c>
      <c r="I5362" s="3" t="s">
        <v>45</v>
      </c>
    </row>
    <row r="5363" spans="1:9" ht="48" customHeight="1">
      <c r="A5363" s="3" t="s">
        <v>79</v>
      </c>
      <c r="B5363" s="3" t="s">
        <v>78</v>
      </c>
      <c r="C5363" s="4">
        <v>43344</v>
      </c>
      <c r="D5363" s="4">
        <v>43373</v>
      </c>
      <c r="E5363" s="3" t="s">
        <v>161</v>
      </c>
      <c r="F5363" s="3" t="s">
        <v>182</v>
      </c>
      <c r="G5363" s="5">
        <v>2E-3</v>
      </c>
      <c r="H5363" s="6" t="s">
        <v>85</v>
      </c>
      <c r="I5363" s="3" t="s">
        <v>45</v>
      </c>
    </row>
    <row r="5364" spans="1:9" ht="48" customHeight="1">
      <c r="A5364" s="3" t="s">
        <v>79</v>
      </c>
      <c r="B5364" s="3" t="s">
        <v>78</v>
      </c>
      <c r="C5364" s="4">
        <v>43344</v>
      </c>
      <c r="D5364" s="4">
        <v>43373</v>
      </c>
      <c r="E5364" s="3" t="s">
        <v>161</v>
      </c>
      <c r="F5364" s="3" t="s">
        <v>173</v>
      </c>
      <c r="G5364" s="5">
        <v>2E-3</v>
      </c>
      <c r="H5364" s="6" t="s">
        <v>85</v>
      </c>
      <c r="I5364" s="3" t="s">
        <v>45</v>
      </c>
    </row>
    <row r="5365" spans="1:9" ht="48" customHeight="1">
      <c r="A5365" s="3" t="s">
        <v>79</v>
      </c>
      <c r="B5365" s="3" t="s">
        <v>78</v>
      </c>
      <c r="C5365" s="4">
        <v>43344</v>
      </c>
      <c r="D5365" s="4">
        <v>43373</v>
      </c>
      <c r="E5365" s="3" t="s">
        <v>161</v>
      </c>
      <c r="F5365" s="3" t="s">
        <v>174</v>
      </c>
      <c r="G5365" s="5">
        <v>1E-3</v>
      </c>
      <c r="H5365" s="6" t="s">
        <v>85</v>
      </c>
      <c r="I5365" s="3" t="s">
        <v>45</v>
      </c>
    </row>
    <row r="5366" spans="1:9" ht="48" customHeight="1">
      <c r="A5366" s="3" t="s">
        <v>79</v>
      </c>
      <c r="B5366" s="3" t="s">
        <v>78</v>
      </c>
      <c r="C5366" s="4">
        <v>43344</v>
      </c>
      <c r="D5366" s="4">
        <v>43373</v>
      </c>
      <c r="E5366" s="3" t="s">
        <v>161</v>
      </c>
      <c r="F5366" s="3" t="s">
        <v>175</v>
      </c>
      <c r="G5366" s="5">
        <v>1E-3</v>
      </c>
      <c r="H5366" s="6" t="s">
        <v>85</v>
      </c>
      <c r="I5366" s="3" t="s">
        <v>45</v>
      </c>
    </row>
    <row r="5367" spans="1:9" ht="48" customHeight="1">
      <c r="A5367" s="3" t="s">
        <v>79</v>
      </c>
      <c r="B5367" s="3" t="s">
        <v>78</v>
      </c>
      <c r="C5367" s="4">
        <v>43344</v>
      </c>
      <c r="D5367" s="4">
        <v>43373</v>
      </c>
      <c r="E5367" s="3" t="s">
        <v>161</v>
      </c>
      <c r="F5367" s="3" t="s">
        <v>189</v>
      </c>
      <c r="G5367" s="5">
        <v>1E-3</v>
      </c>
      <c r="H5367" s="6" t="s">
        <v>85</v>
      </c>
      <c r="I5367" s="3" t="s">
        <v>45</v>
      </c>
    </row>
    <row r="5368" spans="1:9" ht="48" customHeight="1">
      <c r="A5368" s="3" t="s">
        <v>79</v>
      </c>
      <c r="B5368" s="3" t="s">
        <v>78</v>
      </c>
      <c r="C5368" s="4">
        <v>43344</v>
      </c>
      <c r="D5368" s="4">
        <v>43373</v>
      </c>
      <c r="E5368" s="3" t="s">
        <v>161</v>
      </c>
      <c r="F5368" s="3" t="s">
        <v>190</v>
      </c>
      <c r="G5368" s="5">
        <v>1E-3</v>
      </c>
      <c r="H5368" s="6" t="s">
        <v>85</v>
      </c>
      <c r="I5368" s="3" t="s">
        <v>45</v>
      </c>
    </row>
    <row r="5369" spans="1:9" ht="48" customHeight="1">
      <c r="A5369" s="3" t="s">
        <v>79</v>
      </c>
      <c r="B5369" s="3" t="s">
        <v>78</v>
      </c>
      <c r="C5369" s="4">
        <v>43344</v>
      </c>
      <c r="D5369" s="4">
        <v>43373</v>
      </c>
      <c r="E5369" s="3" t="s">
        <v>161</v>
      </c>
      <c r="F5369" s="3" t="s">
        <v>176</v>
      </c>
      <c r="G5369" s="5">
        <v>1E-3</v>
      </c>
      <c r="H5369" s="6" t="s">
        <v>85</v>
      </c>
      <c r="I5369" s="3" t="s">
        <v>45</v>
      </c>
    </row>
    <row r="5370" spans="1:9" ht="48" customHeight="1">
      <c r="A5370" s="3" t="s">
        <v>79</v>
      </c>
      <c r="B5370" s="3" t="s">
        <v>78</v>
      </c>
      <c r="C5370" s="4">
        <v>43344</v>
      </c>
      <c r="D5370" s="4">
        <v>43373</v>
      </c>
      <c r="E5370" s="3" t="s">
        <v>161</v>
      </c>
      <c r="F5370" s="3" t="s">
        <v>186</v>
      </c>
      <c r="G5370" s="5">
        <v>1E-3</v>
      </c>
      <c r="H5370" s="6" t="s">
        <v>85</v>
      </c>
      <c r="I5370" s="3" t="s">
        <v>45</v>
      </c>
    </row>
    <row r="5371" spans="1:9" ht="48" customHeight="1">
      <c r="A5371" s="3" t="s">
        <v>79</v>
      </c>
      <c r="B5371" s="3" t="s">
        <v>78</v>
      </c>
      <c r="C5371" s="4">
        <v>43344</v>
      </c>
      <c r="D5371" s="4">
        <v>43373</v>
      </c>
      <c r="E5371" s="3" t="s">
        <v>161</v>
      </c>
      <c r="F5371" s="3" t="s">
        <v>171</v>
      </c>
      <c r="G5371" s="5">
        <v>1E-3</v>
      </c>
      <c r="H5371" s="6" t="s">
        <v>85</v>
      </c>
      <c r="I5371" s="3" t="s">
        <v>45</v>
      </c>
    </row>
    <row r="5372" spans="1:9" ht="48" customHeight="1">
      <c r="A5372" s="3" t="s">
        <v>79</v>
      </c>
      <c r="B5372" s="3" t="s">
        <v>78</v>
      </c>
      <c r="C5372" s="4">
        <v>43344</v>
      </c>
      <c r="D5372" s="4">
        <v>43373</v>
      </c>
      <c r="E5372" s="3" t="s">
        <v>161</v>
      </c>
      <c r="F5372" s="3" t="s">
        <v>192</v>
      </c>
      <c r="G5372" s="5">
        <v>1E-3</v>
      </c>
      <c r="H5372" s="6" t="s">
        <v>85</v>
      </c>
      <c r="I5372" s="3" t="s">
        <v>45</v>
      </c>
    </row>
    <row r="5373" spans="1:9" ht="48" customHeight="1">
      <c r="A5373" s="3" t="s">
        <v>79</v>
      </c>
      <c r="B5373" s="3" t="s">
        <v>78</v>
      </c>
      <c r="C5373" s="4">
        <v>43344</v>
      </c>
      <c r="D5373" s="4">
        <v>43373</v>
      </c>
      <c r="E5373" s="3" t="s">
        <v>161</v>
      </c>
      <c r="F5373" s="3" t="s">
        <v>193</v>
      </c>
      <c r="G5373" s="5">
        <v>1E-3</v>
      </c>
      <c r="H5373" s="6" t="s">
        <v>85</v>
      </c>
      <c r="I5373" s="3" t="s">
        <v>45</v>
      </c>
    </row>
    <row r="5374" spans="1:9" ht="48" customHeight="1">
      <c r="A5374" s="3" t="s">
        <v>79</v>
      </c>
      <c r="B5374" s="3" t="s">
        <v>78</v>
      </c>
      <c r="C5374" s="4">
        <v>43344</v>
      </c>
      <c r="D5374" s="4">
        <v>43373</v>
      </c>
      <c r="E5374" s="3" t="s">
        <v>161</v>
      </c>
      <c r="F5374" s="3" t="s">
        <v>178</v>
      </c>
      <c r="G5374" s="5">
        <v>1E-3</v>
      </c>
      <c r="H5374" s="6" t="s">
        <v>85</v>
      </c>
      <c r="I5374" s="3" t="s">
        <v>45</v>
      </c>
    </row>
    <row r="5375" spans="1:9" ht="48" customHeight="1">
      <c r="A5375" s="3" t="s">
        <v>79</v>
      </c>
      <c r="B5375" s="3" t="s">
        <v>78</v>
      </c>
      <c r="C5375" s="4">
        <v>43344</v>
      </c>
      <c r="D5375" s="4">
        <v>43373</v>
      </c>
      <c r="E5375" s="3" t="s">
        <v>161</v>
      </c>
      <c r="F5375" s="3" t="s">
        <v>194</v>
      </c>
      <c r="G5375" s="5">
        <v>1E-3</v>
      </c>
      <c r="H5375" s="6" t="s">
        <v>85</v>
      </c>
      <c r="I5375" s="3" t="s">
        <v>45</v>
      </c>
    </row>
    <row r="5376" spans="1:9" ht="48" customHeight="1">
      <c r="A5376" s="3" t="s">
        <v>79</v>
      </c>
      <c r="B5376" s="3" t="s">
        <v>78</v>
      </c>
      <c r="C5376" s="4">
        <v>43344</v>
      </c>
      <c r="D5376" s="4">
        <v>43373</v>
      </c>
      <c r="E5376" s="3" t="s">
        <v>161</v>
      </c>
      <c r="F5376" s="3" t="s">
        <v>188</v>
      </c>
      <c r="G5376" s="5">
        <v>1E-3</v>
      </c>
      <c r="H5376" s="6" t="s">
        <v>85</v>
      </c>
      <c r="I5376" s="3" t="s">
        <v>45</v>
      </c>
    </row>
    <row r="5377" spans="1:9" ht="48" customHeight="1">
      <c r="A5377" s="3" t="s">
        <v>79</v>
      </c>
      <c r="B5377" s="3" t="s">
        <v>78</v>
      </c>
      <c r="C5377" s="4">
        <v>43344</v>
      </c>
      <c r="D5377" s="4">
        <v>43373</v>
      </c>
      <c r="E5377" s="3" t="s">
        <v>161</v>
      </c>
      <c r="F5377" s="3" t="s">
        <v>195</v>
      </c>
      <c r="G5377" s="5">
        <v>1E-3</v>
      </c>
      <c r="H5377" s="6" t="s">
        <v>85</v>
      </c>
      <c r="I5377" s="3" t="s">
        <v>45</v>
      </c>
    </row>
    <row r="5378" spans="1:9" ht="48" customHeight="1">
      <c r="A5378" s="3" t="s">
        <v>79</v>
      </c>
      <c r="B5378" s="3" t="s">
        <v>78</v>
      </c>
      <c r="C5378" s="4">
        <v>43344</v>
      </c>
      <c r="D5378" s="4">
        <v>43373</v>
      </c>
      <c r="E5378" s="3" t="s">
        <v>161</v>
      </c>
      <c r="F5378" s="3" t="s">
        <v>183</v>
      </c>
      <c r="G5378" s="5">
        <v>1E-3</v>
      </c>
      <c r="H5378" s="6" t="s">
        <v>85</v>
      </c>
      <c r="I5378" s="3" t="s">
        <v>45</v>
      </c>
    </row>
    <row r="5379" spans="1:9" ht="48" customHeight="1">
      <c r="A5379" s="3" t="s">
        <v>79</v>
      </c>
      <c r="B5379" s="3" t="s">
        <v>78</v>
      </c>
      <c r="C5379" s="4">
        <v>43344</v>
      </c>
      <c r="D5379" s="4">
        <v>43373</v>
      </c>
      <c r="E5379" s="3" t="s">
        <v>161</v>
      </c>
      <c r="F5379" s="3" t="s">
        <v>196</v>
      </c>
      <c r="G5379" s="5">
        <v>1E-3</v>
      </c>
      <c r="H5379" s="6" t="s">
        <v>85</v>
      </c>
      <c r="I5379" s="3" t="s">
        <v>45</v>
      </c>
    </row>
    <row r="5380" spans="1:9" ht="48" customHeight="1">
      <c r="A5380" s="3" t="s">
        <v>79</v>
      </c>
      <c r="B5380" s="3" t="s">
        <v>78</v>
      </c>
      <c r="C5380" s="4">
        <v>43344</v>
      </c>
      <c r="D5380" s="4">
        <v>43373</v>
      </c>
      <c r="E5380" s="3" t="s">
        <v>161</v>
      </c>
      <c r="F5380" s="3" t="s">
        <v>199</v>
      </c>
      <c r="G5380" s="5">
        <v>1E-3</v>
      </c>
      <c r="H5380" s="6" t="s">
        <v>85</v>
      </c>
      <c r="I5380" s="3" t="s">
        <v>45</v>
      </c>
    </row>
    <row r="5381" spans="1:9" ht="48" customHeight="1">
      <c r="A5381" s="3" t="s">
        <v>79</v>
      </c>
      <c r="B5381" s="3" t="s">
        <v>78</v>
      </c>
      <c r="C5381" s="4">
        <v>43344</v>
      </c>
      <c r="D5381" s="4">
        <v>43373</v>
      </c>
      <c r="E5381" s="3" t="s">
        <v>161</v>
      </c>
      <c r="F5381" s="3" t="s">
        <v>200</v>
      </c>
      <c r="G5381" s="5">
        <v>1E-3</v>
      </c>
      <c r="H5381" s="6" t="s">
        <v>85</v>
      </c>
      <c r="I5381" s="3" t="s">
        <v>45</v>
      </c>
    </row>
    <row r="5382" spans="1:9" ht="48" customHeight="1">
      <c r="A5382" s="3" t="s">
        <v>79</v>
      </c>
      <c r="B5382" s="3" t="s">
        <v>78</v>
      </c>
      <c r="C5382" s="4">
        <v>43344</v>
      </c>
      <c r="D5382" s="4">
        <v>43373</v>
      </c>
      <c r="E5382" s="3" t="s">
        <v>161</v>
      </c>
      <c r="F5382" s="3" t="s">
        <v>204</v>
      </c>
      <c r="G5382" s="5">
        <v>1E-3</v>
      </c>
      <c r="H5382" s="6" t="s">
        <v>85</v>
      </c>
      <c r="I5382" s="3" t="s">
        <v>45</v>
      </c>
    </row>
    <row r="5383" spans="1:9" ht="48" customHeight="1">
      <c r="A5383" s="3" t="s">
        <v>79</v>
      </c>
      <c r="B5383" s="3" t="s">
        <v>78</v>
      </c>
      <c r="C5383" s="4">
        <v>43344</v>
      </c>
      <c r="D5383" s="4">
        <v>43373</v>
      </c>
      <c r="E5383" s="3" t="s">
        <v>161</v>
      </c>
      <c r="F5383" s="3" t="s">
        <v>201</v>
      </c>
      <c r="G5383" s="5">
        <v>1E-3</v>
      </c>
      <c r="H5383" s="6" t="s">
        <v>85</v>
      </c>
      <c r="I5383" s="3" t="s">
        <v>45</v>
      </c>
    </row>
    <row r="5384" spans="1:9" ht="48" customHeight="1">
      <c r="A5384" s="3" t="s">
        <v>79</v>
      </c>
      <c r="B5384" s="3" t="s">
        <v>78</v>
      </c>
      <c r="C5384" s="4">
        <v>43344</v>
      </c>
      <c r="D5384" s="4">
        <v>43373</v>
      </c>
      <c r="E5384" s="3" t="s">
        <v>161</v>
      </c>
      <c r="F5384" s="3" t="s">
        <v>202</v>
      </c>
      <c r="G5384" s="5">
        <v>0</v>
      </c>
      <c r="H5384" s="6" t="s">
        <v>85</v>
      </c>
      <c r="I5384" s="3" t="s">
        <v>45</v>
      </c>
    </row>
    <row r="5385" spans="1:9" ht="48" customHeight="1">
      <c r="A5385" s="3" t="s">
        <v>79</v>
      </c>
      <c r="B5385" s="3" t="s">
        <v>78</v>
      </c>
      <c r="C5385" s="4">
        <v>43344</v>
      </c>
      <c r="D5385" s="4">
        <v>43373</v>
      </c>
      <c r="E5385" s="3" t="s">
        <v>161</v>
      </c>
      <c r="F5385" s="3" t="s">
        <v>198</v>
      </c>
      <c r="G5385" s="5">
        <v>0</v>
      </c>
      <c r="H5385" s="6" t="s">
        <v>85</v>
      </c>
      <c r="I5385" s="3" t="s">
        <v>45</v>
      </c>
    </row>
    <row r="5386" spans="1:9" ht="48" customHeight="1">
      <c r="A5386" s="3" t="s">
        <v>79</v>
      </c>
      <c r="B5386" s="3" t="s">
        <v>78</v>
      </c>
      <c r="C5386" s="4">
        <v>43344</v>
      </c>
      <c r="D5386" s="4">
        <v>43373</v>
      </c>
      <c r="E5386" s="3" t="s">
        <v>161</v>
      </c>
      <c r="F5386" s="3" t="s">
        <v>203</v>
      </c>
      <c r="G5386" s="5">
        <v>0</v>
      </c>
      <c r="H5386" s="6" t="s">
        <v>85</v>
      </c>
      <c r="I5386" s="3" t="s">
        <v>45</v>
      </c>
    </row>
    <row r="5387" spans="1:9" ht="48" customHeight="1">
      <c r="A5387" s="3" t="s">
        <v>79</v>
      </c>
      <c r="B5387" s="3" t="s">
        <v>78</v>
      </c>
      <c r="C5387" s="4">
        <v>43344</v>
      </c>
      <c r="D5387" s="4">
        <v>43373</v>
      </c>
      <c r="E5387" s="3" t="s">
        <v>205</v>
      </c>
      <c r="F5387" s="3" t="s">
        <v>209</v>
      </c>
      <c r="G5387" s="5">
        <v>4.0000000000000001E-3</v>
      </c>
      <c r="H5387" s="6" t="s">
        <v>85</v>
      </c>
      <c r="I5387" s="3" t="s">
        <v>45</v>
      </c>
    </row>
    <row r="5388" spans="1:9" ht="48" customHeight="1">
      <c r="A5388" s="3" t="s">
        <v>79</v>
      </c>
      <c r="B5388" s="3" t="s">
        <v>78</v>
      </c>
      <c r="C5388" s="4">
        <v>43344</v>
      </c>
      <c r="D5388" s="4">
        <v>43373</v>
      </c>
      <c r="E5388" s="3" t="s">
        <v>205</v>
      </c>
      <c r="F5388" s="3" t="s">
        <v>210</v>
      </c>
      <c r="G5388" s="5">
        <v>4.0000000000000001E-3</v>
      </c>
      <c r="H5388" s="6" t="s">
        <v>85</v>
      </c>
      <c r="I5388" s="3" t="s">
        <v>45</v>
      </c>
    </row>
    <row r="5389" spans="1:9" ht="48" customHeight="1">
      <c r="A5389" s="3" t="s">
        <v>79</v>
      </c>
      <c r="B5389" s="3" t="s">
        <v>78</v>
      </c>
      <c r="C5389" s="4">
        <v>43344</v>
      </c>
      <c r="D5389" s="4">
        <v>43373</v>
      </c>
      <c r="E5389" s="3" t="s">
        <v>205</v>
      </c>
      <c r="F5389" s="3" t="s">
        <v>219</v>
      </c>
      <c r="G5389" s="5">
        <v>3.0000000000000001E-3</v>
      </c>
      <c r="H5389" s="6" t="s">
        <v>85</v>
      </c>
      <c r="I5389" s="3" t="s">
        <v>45</v>
      </c>
    </row>
    <row r="5390" spans="1:9" ht="48" customHeight="1">
      <c r="A5390" s="3" t="s">
        <v>79</v>
      </c>
      <c r="B5390" s="3" t="s">
        <v>78</v>
      </c>
      <c r="C5390" s="4">
        <v>43344</v>
      </c>
      <c r="D5390" s="4">
        <v>43373</v>
      </c>
      <c r="E5390" s="3" t="s">
        <v>205</v>
      </c>
      <c r="F5390" s="3" t="s">
        <v>220</v>
      </c>
      <c r="G5390" s="5">
        <v>3.0000000000000001E-3</v>
      </c>
      <c r="H5390" s="6" t="s">
        <v>85</v>
      </c>
      <c r="I5390" s="3" t="s">
        <v>45</v>
      </c>
    </row>
    <row r="5391" spans="1:9" ht="48" customHeight="1">
      <c r="A5391" s="3" t="s">
        <v>79</v>
      </c>
      <c r="B5391" s="3" t="s">
        <v>78</v>
      </c>
      <c r="C5391" s="4">
        <v>43344</v>
      </c>
      <c r="D5391" s="4">
        <v>43373</v>
      </c>
      <c r="E5391" s="3" t="s">
        <v>205</v>
      </c>
      <c r="F5391" s="3" t="s">
        <v>207</v>
      </c>
      <c r="G5391" s="5">
        <v>3.0000000000000001E-3</v>
      </c>
      <c r="H5391" s="6" t="s">
        <v>85</v>
      </c>
      <c r="I5391" s="3" t="s">
        <v>45</v>
      </c>
    </row>
    <row r="5392" spans="1:9" ht="48" customHeight="1">
      <c r="A5392" s="3" t="s">
        <v>79</v>
      </c>
      <c r="B5392" s="3" t="s">
        <v>78</v>
      </c>
      <c r="C5392" s="4">
        <v>43344</v>
      </c>
      <c r="D5392" s="4">
        <v>43373</v>
      </c>
      <c r="E5392" s="3" t="s">
        <v>205</v>
      </c>
      <c r="F5392" s="3" t="s">
        <v>206</v>
      </c>
      <c r="G5392" s="5">
        <v>3.0000000000000001E-3</v>
      </c>
      <c r="H5392" s="6" t="s">
        <v>85</v>
      </c>
      <c r="I5392" s="3" t="s">
        <v>45</v>
      </c>
    </row>
    <row r="5393" spans="1:9" ht="48" customHeight="1">
      <c r="A5393" s="3" t="s">
        <v>79</v>
      </c>
      <c r="B5393" s="3" t="s">
        <v>78</v>
      </c>
      <c r="C5393" s="4">
        <v>43344</v>
      </c>
      <c r="D5393" s="4">
        <v>43373</v>
      </c>
      <c r="E5393" s="3" t="s">
        <v>205</v>
      </c>
      <c r="F5393" s="3" t="s">
        <v>216</v>
      </c>
      <c r="G5393" s="5">
        <v>3.0000000000000001E-3</v>
      </c>
      <c r="H5393" s="6" t="s">
        <v>85</v>
      </c>
      <c r="I5393" s="3" t="s">
        <v>45</v>
      </c>
    </row>
    <row r="5394" spans="1:9" ht="48" customHeight="1">
      <c r="A5394" s="3" t="s">
        <v>79</v>
      </c>
      <c r="B5394" s="3" t="s">
        <v>78</v>
      </c>
      <c r="C5394" s="4">
        <v>43344</v>
      </c>
      <c r="D5394" s="4">
        <v>43373</v>
      </c>
      <c r="E5394" s="3" t="s">
        <v>205</v>
      </c>
      <c r="F5394" s="3" t="s">
        <v>224</v>
      </c>
      <c r="G5394" s="5">
        <v>2E-3</v>
      </c>
      <c r="H5394" s="6" t="s">
        <v>85</v>
      </c>
      <c r="I5394" s="3" t="s">
        <v>45</v>
      </c>
    </row>
    <row r="5395" spans="1:9" ht="48" customHeight="1">
      <c r="A5395" s="3" t="s">
        <v>79</v>
      </c>
      <c r="B5395" s="3" t="s">
        <v>78</v>
      </c>
      <c r="C5395" s="4">
        <v>43344</v>
      </c>
      <c r="D5395" s="4">
        <v>43373</v>
      </c>
      <c r="E5395" s="3" t="s">
        <v>205</v>
      </c>
      <c r="F5395" s="3" t="s">
        <v>217</v>
      </c>
      <c r="G5395" s="5">
        <v>2E-3</v>
      </c>
      <c r="H5395" s="6" t="s">
        <v>85</v>
      </c>
      <c r="I5395" s="3" t="s">
        <v>45</v>
      </c>
    </row>
    <row r="5396" spans="1:9" ht="48" customHeight="1">
      <c r="A5396" s="3" t="s">
        <v>79</v>
      </c>
      <c r="B5396" s="3" t="s">
        <v>78</v>
      </c>
      <c r="C5396" s="4">
        <v>43344</v>
      </c>
      <c r="D5396" s="4">
        <v>43373</v>
      </c>
      <c r="E5396" s="3" t="s">
        <v>205</v>
      </c>
      <c r="F5396" s="3" t="s">
        <v>218</v>
      </c>
      <c r="G5396" s="5">
        <v>2E-3</v>
      </c>
      <c r="H5396" s="6" t="s">
        <v>85</v>
      </c>
      <c r="I5396" s="3" t="s">
        <v>45</v>
      </c>
    </row>
    <row r="5397" spans="1:9" ht="48" customHeight="1">
      <c r="A5397" s="3" t="s">
        <v>79</v>
      </c>
      <c r="B5397" s="3" t="s">
        <v>78</v>
      </c>
      <c r="C5397" s="4">
        <v>43344</v>
      </c>
      <c r="D5397" s="4">
        <v>43373</v>
      </c>
      <c r="E5397" s="3" t="s">
        <v>205</v>
      </c>
      <c r="F5397" s="3" t="s">
        <v>225</v>
      </c>
      <c r="G5397" s="5">
        <v>2E-3</v>
      </c>
      <c r="H5397" s="6" t="s">
        <v>85</v>
      </c>
      <c r="I5397" s="3" t="s">
        <v>45</v>
      </c>
    </row>
    <row r="5398" spans="1:9" ht="48" customHeight="1">
      <c r="A5398" s="3" t="s">
        <v>79</v>
      </c>
      <c r="B5398" s="3" t="s">
        <v>78</v>
      </c>
      <c r="C5398" s="4">
        <v>43344</v>
      </c>
      <c r="D5398" s="4">
        <v>43373</v>
      </c>
      <c r="E5398" s="3" t="s">
        <v>205</v>
      </c>
      <c r="F5398" s="3" t="s">
        <v>211</v>
      </c>
      <c r="G5398" s="5">
        <v>2E-3</v>
      </c>
      <c r="H5398" s="6" t="s">
        <v>85</v>
      </c>
      <c r="I5398" s="3" t="s">
        <v>45</v>
      </c>
    </row>
    <row r="5399" spans="1:9" ht="48" customHeight="1">
      <c r="A5399" s="3" t="s">
        <v>79</v>
      </c>
      <c r="B5399" s="3" t="s">
        <v>78</v>
      </c>
      <c r="C5399" s="4">
        <v>43344</v>
      </c>
      <c r="D5399" s="4">
        <v>43373</v>
      </c>
      <c r="E5399" s="3" t="s">
        <v>205</v>
      </c>
      <c r="F5399" s="3" t="s">
        <v>221</v>
      </c>
      <c r="G5399" s="5">
        <v>2E-3</v>
      </c>
      <c r="H5399" s="6" t="s">
        <v>85</v>
      </c>
      <c r="I5399" s="3" t="s">
        <v>45</v>
      </c>
    </row>
    <row r="5400" spans="1:9" ht="48" customHeight="1">
      <c r="A5400" s="3" t="s">
        <v>79</v>
      </c>
      <c r="B5400" s="3" t="s">
        <v>78</v>
      </c>
      <c r="C5400" s="4">
        <v>43344</v>
      </c>
      <c r="D5400" s="4">
        <v>43373</v>
      </c>
      <c r="E5400" s="3" t="s">
        <v>205</v>
      </c>
      <c r="F5400" s="3" t="s">
        <v>222</v>
      </c>
      <c r="G5400" s="5">
        <v>2E-3</v>
      </c>
      <c r="H5400" s="6" t="s">
        <v>85</v>
      </c>
      <c r="I5400" s="3" t="s">
        <v>45</v>
      </c>
    </row>
    <row r="5401" spans="1:9" ht="48" customHeight="1">
      <c r="A5401" s="3" t="s">
        <v>79</v>
      </c>
      <c r="B5401" s="3" t="s">
        <v>78</v>
      </c>
      <c r="C5401" s="4">
        <v>43344</v>
      </c>
      <c r="D5401" s="4">
        <v>43373</v>
      </c>
      <c r="E5401" s="3" t="s">
        <v>205</v>
      </c>
      <c r="F5401" s="3" t="s">
        <v>212</v>
      </c>
      <c r="G5401" s="5">
        <v>2E-3</v>
      </c>
      <c r="H5401" s="6" t="s">
        <v>85</v>
      </c>
      <c r="I5401" s="3" t="s">
        <v>45</v>
      </c>
    </row>
    <row r="5402" spans="1:9" ht="48" customHeight="1">
      <c r="A5402" s="3" t="s">
        <v>79</v>
      </c>
      <c r="B5402" s="3" t="s">
        <v>78</v>
      </c>
      <c r="C5402" s="4">
        <v>43344</v>
      </c>
      <c r="D5402" s="4">
        <v>43373</v>
      </c>
      <c r="E5402" s="3" t="s">
        <v>205</v>
      </c>
      <c r="F5402" s="3" t="s">
        <v>208</v>
      </c>
      <c r="G5402" s="5">
        <v>2E-3</v>
      </c>
      <c r="H5402" s="6" t="s">
        <v>85</v>
      </c>
      <c r="I5402" s="3" t="s">
        <v>45</v>
      </c>
    </row>
    <row r="5403" spans="1:9" ht="48" customHeight="1">
      <c r="A5403" s="3" t="s">
        <v>79</v>
      </c>
      <c r="B5403" s="3" t="s">
        <v>78</v>
      </c>
      <c r="C5403" s="4">
        <v>43344</v>
      </c>
      <c r="D5403" s="4">
        <v>43373</v>
      </c>
      <c r="E5403" s="3" t="s">
        <v>205</v>
      </c>
      <c r="F5403" s="3" t="s">
        <v>213</v>
      </c>
      <c r="G5403" s="5">
        <v>2E-3</v>
      </c>
      <c r="H5403" s="6" t="s">
        <v>85</v>
      </c>
      <c r="I5403" s="3" t="s">
        <v>45</v>
      </c>
    </row>
    <row r="5404" spans="1:9" ht="48" customHeight="1">
      <c r="A5404" s="3" t="s">
        <v>79</v>
      </c>
      <c r="B5404" s="3" t="s">
        <v>78</v>
      </c>
      <c r="C5404" s="4">
        <v>43344</v>
      </c>
      <c r="D5404" s="4">
        <v>43373</v>
      </c>
      <c r="E5404" s="3" t="s">
        <v>205</v>
      </c>
      <c r="F5404" s="3" t="s">
        <v>214</v>
      </c>
      <c r="G5404" s="5">
        <v>2E-3</v>
      </c>
      <c r="H5404" s="6" t="s">
        <v>85</v>
      </c>
      <c r="I5404" s="3" t="s">
        <v>45</v>
      </c>
    </row>
    <row r="5405" spans="1:9" ht="48" customHeight="1">
      <c r="A5405" s="3" t="s">
        <v>79</v>
      </c>
      <c r="B5405" s="3" t="s">
        <v>78</v>
      </c>
      <c r="C5405" s="4">
        <v>43344</v>
      </c>
      <c r="D5405" s="4">
        <v>43373</v>
      </c>
      <c r="E5405" s="3" t="s">
        <v>205</v>
      </c>
      <c r="F5405" s="3" t="s">
        <v>215</v>
      </c>
      <c r="G5405" s="5">
        <v>2E-3</v>
      </c>
      <c r="H5405" s="6" t="s">
        <v>85</v>
      </c>
      <c r="I5405" s="3" t="s">
        <v>45</v>
      </c>
    </row>
    <row r="5406" spans="1:9" ht="48" customHeight="1">
      <c r="A5406" s="3" t="s">
        <v>79</v>
      </c>
      <c r="B5406" s="3" t="s">
        <v>78</v>
      </c>
      <c r="C5406" s="4">
        <v>43344</v>
      </c>
      <c r="D5406" s="4">
        <v>43373</v>
      </c>
      <c r="E5406" s="3" t="s">
        <v>205</v>
      </c>
      <c r="F5406" s="3" t="s">
        <v>229</v>
      </c>
      <c r="G5406" s="5">
        <v>1E-3</v>
      </c>
      <c r="H5406" s="6" t="s">
        <v>85</v>
      </c>
      <c r="I5406" s="3" t="s">
        <v>45</v>
      </c>
    </row>
    <row r="5407" spans="1:9" ht="48" customHeight="1">
      <c r="A5407" s="3" t="s">
        <v>79</v>
      </c>
      <c r="B5407" s="3" t="s">
        <v>78</v>
      </c>
      <c r="C5407" s="4">
        <v>43344</v>
      </c>
      <c r="D5407" s="4">
        <v>43373</v>
      </c>
      <c r="E5407" s="3" t="s">
        <v>205</v>
      </c>
      <c r="F5407" s="3" t="s">
        <v>230</v>
      </c>
      <c r="G5407" s="5">
        <v>1E-3</v>
      </c>
      <c r="H5407" s="6" t="s">
        <v>85</v>
      </c>
      <c r="I5407" s="3" t="s">
        <v>45</v>
      </c>
    </row>
    <row r="5408" spans="1:9" ht="48" customHeight="1">
      <c r="A5408" s="3" t="s">
        <v>79</v>
      </c>
      <c r="B5408" s="3" t="s">
        <v>78</v>
      </c>
      <c r="C5408" s="4">
        <v>43344</v>
      </c>
      <c r="D5408" s="4">
        <v>43373</v>
      </c>
      <c r="E5408" s="3" t="s">
        <v>205</v>
      </c>
      <c r="F5408" s="3" t="s">
        <v>223</v>
      </c>
      <c r="G5408" s="5">
        <v>1E-3</v>
      </c>
      <c r="H5408" s="6" t="s">
        <v>85</v>
      </c>
      <c r="I5408" s="3" t="s">
        <v>45</v>
      </c>
    </row>
    <row r="5409" spans="1:9" ht="48" customHeight="1">
      <c r="A5409" s="3" t="s">
        <v>79</v>
      </c>
      <c r="B5409" s="3" t="s">
        <v>78</v>
      </c>
      <c r="C5409" s="4">
        <v>43344</v>
      </c>
      <c r="D5409" s="4">
        <v>43373</v>
      </c>
      <c r="E5409" s="3" t="s">
        <v>205</v>
      </c>
      <c r="F5409" s="3" t="s">
        <v>226</v>
      </c>
      <c r="G5409" s="5">
        <v>1E-3</v>
      </c>
      <c r="H5409" s="6" t="s">
        <v>85</v>
      </c>
      <c r="I5409" s="3" t="s">
        <v>45</v>
      </c>
    </row>
    <row r="5410" spans="1:9" ht="48" customHeight="1">
      <c r="A5410" s="3" t="s">
        <v>79</v>
      </c>
      <c r="B5410" s="3" t="s">
        <v>78</v>
      </c>
      <c r="C5410" s="4">
        <v>43344</v>
      </c>
      <c r="D5410" s="4">
        <v>43373</v>
      </c>
      <c r="E5410" s="3" t="s">
        <v>205</v>
      </c>
      <c r="F5410" s="3" t="s">
        <v>227</v>
      </c>
      <c r="G5410" s="5">
        <v>1E-3</v>
      </c>
      <c r="H5410" s="6" t="s">
        <v>85</v>
      </c>
      <c r="I5410" s="3" t="s">
        <v>45</v>
      </c>
    </row>
    <row r="5411" spans="1:9" ht="48" customHeight="1">
      <c r="A5411" s="3" t="s">
        <v>79</v>
      </c>
      <c r="B5411" s="3" t="s">
        <v>78</v>
      </c>
      <c r="C5411" s="4">
        <v>43344</v>
      </c>
      <c r="D5411" s="4">
        <v>43373</v>
      </c>
      <c r="E5411" s="3" t="s">
        <v>205</v>
      </c>
      <c r="F5411" s="3" t="s">
        <v>228</v>
      </c>
      <c r="G5411" s="5">
        <v>1E-3</v>
      </c>
      <c r="H5411" s="6" t="s">
        <v>85</v>
      </c>
      <c r="I5411" s="3" t="s">
        <v>45</v>
      </c>
    </row>
    <row r="5412" spans="1:9" ht="48" customHeight="1">
      <c r="A5412" s="3" t="s">
        <v>79</v>
      </c>
      <c r="B5412" s="3" t="s">
        <v>78</v>
      </c>
      <c r="C5412" s="4">
        <v>43344</v>
      </c>
      <c r="D5412" s="4">
        <v>43373</v>
      </c>
      <c r="E5412" s="3" t="s">
        <v>379</v>
      </c>
      <c r="F5412" s="3" t="s">
        <v>265</v>
      </c>
      <c r="G5412" s="5">
        <v>1.3000000000000001E-2</v>
      </c>
      <c r="H5412" s="6" t="s">
        <v>85</v>
      </c>
      <c r="I5412" s="3" t="s">
        <v>45</v>
      </c>
    </row>
    <row r="5413" spans="1:9" ht="48" customHeight="1">
      <c r="A5413" s="3" t="s">
        <v>79</v>
      </c>
      <c r="B5413" s="3" t="s">
        <v>78</v>
      </c>
      <c r="C5413" s="4">
        <v>43344</v>
      </c>
      <c r="D5413" s="4">
        <v>43373</v>
      </c>
      <c r="E5413" s="3" t="s">
        <v>379</v>
      </c>
      <c r="F5413" s="3" t="s">
        <v>262</v>
      </c>
      <c r="G5413" s="5">
        <v>1.1000000000000001E-2</v>
      </c>
      <c r="H5413" s="6" t="s">
        <v>85</v>
      </c>
      <c r="I5413" s="3" t="s">
        <v>45</v>
      </c>
    </row>
    <row r="5414" spans="1:9" ht="48" customHeight="1">
      <c r="A5414" s="3" t="s">
        <v>79</v>
      </c>
      <c r="B5414" s="3" t="s">
        <v>78</v>
      </c>
      <c r="C5414" s="4">
        <v>43344</v>
      </c>
      <c r="D5414" s="4">
        <v>43373</v>
      </c>
      <c r="E5414" s="3" t="s">
        <v>379</v>
      </c>
      <c r="F5414" s="3" t="s">
        <v>230</v>
      </c>
      <c r="G5414" s="5">
        <v>9.0000000000000011E-3</v>
      </c>
      <c r="H5414" s="6" t="s">
        <v>85</v>
      </c>
      <c r="I5414" s="3" t="s">
        <v>45</v>
      </c>
    </row>
    <row r="5415" spans="1:9" ht="48" customHeight="1">
      <c r="A5415" s="3" t="s">
        <v>79</v>
      </c>
      <c r="B5415" s="3" t="s">
        <v>78</v>
      </c>
      <c r="C5415" s="4">
        <v>43344</v>
      </c>
      <c r="D5415" s="4">
        <v>43373</v>
      </c>
      <c r="E5415" s="3" t="s">
        <v>379</v>
      </c>
      <c r="F5415" s="3" t="s">
        <v>234</v>
      </c>
      <c r="G5415" s="5">
        <v>9.0000000000000011E-3</v>
      </c>
      <c r="H5415" s="6" t="s">
        <v>85</v>
      </c>
      <c r="I5415" s="3" t="s">
        <v>45</v>
      </c>
    </row>
    <row r="5416" spans="1:9" ht="48" customHeight="1">
      <c r="A5416" s="3" t="s">
        <v>79</v>
      </c>
      <c r="B5416" s="3" t="s">
        <v>78</v>
      </c>
      <c r="C5416" s="4">
        <v>43344</v>
      </c>
      <c r="D5416" s="4">
        <v>43373</v>
      </c>
      <c r="E5416" s="3" t="s">
        <v>379</v>
      </c>
      <c r="F5416" s="3" t="s">
        <v>380</v>
      </c>
      <c r="G5416" s="5">
        <v>9.0000000000000011E-3</v>
      </c>
      <c r="H5416" s="6" t="s">
        <v>85</v>
      </c>
      <c r="I5416" s="3" t="s">
        <v>45</v>
      </c>
    </row>
    <row r="5417" spans="1:9" ht="48" customHeight="1">
      <c r="A5417" s="3" t="s">
        <v>79</v>
      </c>
      <c r="B5417" s="3" t="s">
        <v>78</v>
      </c>
      <c r="C5417" s="4">
        <v>43344</v>
      </c>
      <c r="D5417" s="4">
        <v>43373</v>
      </c>
      <c r="E5417" s="3" t="s">
        <v>368</v>
      </c>
      <c r="F5417" s="3" t="s">
        <v>370</v>
      </c>
      <c r="G5417" s="5">
        <v>9.0000000000000011E-3</v>
      </c>
      <c r="H5417" s="6" t="s">
        <v>85</v>
      </c>
      <c r="I5417" s="3" t="s">
        <v>45</v>
      </c>
    </row>
    <row r="5418" spans="1:9" ht="48" customHeight="1">
      <c r="A5418" s="3" t="s">
        <v>79</v>
      </c>
      <c r="B5418" s="3" t="s">
        <v>78</v>
      </c>
      <c r="C5418" s="4">
        <v>43344</v>
      </c>
      <c r="D5418" s="4">
        <v>43373</v>
      </c>
      <c r="E5418" s="3" t="s">
        <v>368</v>
      </c>
      <c r="F5418" s="3" t="s">
        <v>374</v>
      </c>
      <c r="G5418" s="5">
        <v>5.0000000000000001E-3</v>
      </c>
      <c r="H5418" s="6" t="s">
        <v>85</v>
      </c>
      <c r="I5418" s="3" t="s">
        <v>45</v>
      </c>
    </row>
    <row r="5419" spans="1:9" ht="48" customHeight="1">
      <c r="A5419" s="3" t="s">
        <v>79</v>
      </c>
      <c r="B5419" s="3" t="s">
        <v>78</v>
      </c>
      <c r="C5419" s="4">
        <v>43344</v>
      </c>
      <c r="D5419" s="4">
        <v>43373</v>
      </c>
      <c r="E5419" s="3" t="s">
        <v>368</v>
      </c>
      <c r="F5419" s="3" t="s">
        <v>369</v>
      </c>
      <c r="G5419" s="5">
        <v>4.0000000000000001E-3</v>
      </c>
      <c r="H5419" s="6" t="s">
        <v>85</v>
      </c>
      <c r="I5419" s="3" t="s">
        <v>45</v>
      </c>
    </row>
    <row r="5420" spans="1:9" ht="48" customHeight="1">
      <c r="A5420" s="3" t="s">
        <v>79</v>
      </c>
      <c r="B5420" s="3" t="s">
        <v>78</v>
      </c>
      <c r="C5420" s="4">
        <v>43344</v>
      </c>
      <c r="D5420" s="4">
        <v>43373</v>
      </c>
      <c r="E5420" s="3" t="s">
        <v>368</v>
      </c>
      <c r="F5420" s="3" t="s">
        <v>373</v>
      </c>
      <c r="G5420" s="5">
        <v>4.0000000000000001E-3</v>
      </c>
      <c r="H5420" s="6" t="s">
        <v>85</v>
      </c>
      <c r="I5420" s="3" t="s">
        <v>45</v>
      </c>
    </row>
    <row r="5421" spans="1:9" ht="48" customHeight="1">
      <c r="A5421" s="3" t="s">
        <v>79</v>
      </c>
      <c r="B5421" s="3" t="s">
        <v>78</v>
      </c>
      <c r="C5421" s="4">
        <v>43344</v>
      </c>
      <c r="D5421" s="4">
        <v>43373</v>
      </c>
      <c r="E5421" s="3" t="s">
        <v>368</v>
      </c>
      <c r="F5421" s="3" t="s">
        <v>265</v>
      </c>
      <c r="G5421" s="5">
        <v>4.0000000000000001E-3</v>
      </c>
      <c r="H5421" s="6" t="s">
        <v>85</v>
      </c>
      <c r="I5421" s="3" t="s">
        <v>45</v>
      </c>
    </row>
    <row r="5422" spans="1:9" ht="48" customHeight="1">
      <c r="A5422" s="3" t="s">
        <v>79</v>
      </c>
      <c r="B5422" s="3" t="s">
        <v>78</v>
      </c>
      <c r="C5422" s="4">
        <v>43344</v>
      </c>
      <c r="D5422" s="4">
        <v>43373</v>
      </c>
      <c r="E5422" s="3" t="s">
        <v>368</v>
      </c>
      <c r="F5422" s="3" t="s">
        <v>262</v>
      </c>
      <c r="G5422" s="5">
        <v>4.0000000000000001E-3</v>
      </c>
      <c r="H5422" s="6" t="s">
        <v>85</v>
      </c>
      <c r="I5422" s="3" t="s">
        <v>45</v>
      </c>
    </row>
    <row r="5423" spans="1:9" ht="48" customHeight="1">
      <c r="A5423" s="3" t="s">
        <v>79</v>
      </c>
      <c r="B5423" s="3" t="s">
        <v>78</v>
      </c>
      <c r="C5423" s="4">
        <v>43344</v>
      </c>
      <c r="D5423" s="4">
        <v>43373</v>
      </c>
      <c r="E5423" s="3" t="s">
        <v>368</v>
      </c>
      <c r="F5423" s="3" t="s">
        <v>378</v>
      </c>
      <c r="G5423" s="5">
        <v>4.0000000000000001E-3</v>
      </c>
      <c r="H5423" s="6" t="s">
        <v>85</v>
      </c>
      <c r="I5423" s="3" t="s">
        <v>45</v>
      </c>
    </row>
    <row r="5424" spans="1:9" ht="48" customHeight="1">
      <c r="A5424" s="3" t="s">
        <v>79</v>
      </c>
      <c r="B5424" s="3" t="s">
        <v>78</v>
      </c>
      <c r="C5424" s="4">
        <v>43344</v>
      </c>
      <c r="D5424" s="4">
        <v>43373</v>
      </c>
      <c r="E5424" s="3" t="s">
        <v>368</v>
      </c>
      <c r="F5424" s="3" t="s">
        <v>371</v>
      </c>
      <c r="G5424" s="5">
        <v>3.0000000000000001E-3</v>
      </c>
      <c r="H5424" s="6" t="s">
        <v>85</v>
      </c>
      <c r="I5424" s="3" t="s">
        <v>45</v>
      </c>
    </row>
    <row r="5425" spans="1:9" ht="48" customHeight="1">
      <c r="A5425" s="3" t="s">
        <v>79</v>
      </c>
      <c r="B5425" s="3" t="s">
        <v>78</v>
      </c>
      <c r="C5425" s="4">
        <v>43344</v>
      </c>
      <c r="D5425" s="4">
        <v>43373</v>
      </c>
      <c r="E5425" s="3" t="s">
        <v>368</v>
      </c>
      <c r="F5425" s="3" t="s">
        <v>375</v>
      </c>
      <c r="G5425" s="5">
        <v>3.0000000000000001E-3</v>
      </c>
      <c r="H5425" s="6" t="s">
        <v>85</v>
      </c>
      <c r="I5425" s="3" t="s">
        <v>45</v>
      </c>
    </row>
    <row r="5426" spans="1:9" ht="48" customHeight="1">
      <c r="A5426" s="3" t="s">
        <v>79</v>
      </c>
      <c r="B5426" s="3" t="s">
        <v>78</v>
      </c>
      <c r="C5426" s="4">
        <v>43344</v>
      </c>
      <c r="D5426" s="4">
        <v>43373</v>
      </c>
      <c r="E5426" s="3" t="s">
        <v>368</v>
      </c>
      <c r="F5426" s="3" t="s">
        <v>376</v>
      </c>
      <c r="G5426" s="5">
        <v>3.0000000000000001E-3</v>
      </c>
      <c r="H5426" s="6" t="s">
        <v>85</v>
      </c>
      <c r="I5426" s="3" t="s">
        <v>45</v>
      </c>
    </row>
    <row r="5427" spans="1:9" ht="48" customHeight="1">
      <c r="A5427" s="3" t="s">
        <v>79</v>
      </c>
      <c r="B5427" s="3" t="s">
        <v>78</v>
      </c>
      <c r="C5427" s="4">
        <v>43344</v>
      </c>
      <c r="D5427" s="4">
        <v>43373</v>
      </c>
      <c r="E5427" s="3" t="s">
        <v>368</v>
      </c>
      <c r="F5427" s="3" t="s">
        <v>377</v>
      </c>
      <c r="G5427" s="5">
        <v>2E-3</v>
      </c>
      <c r="H5427" s="6" t="s">
        <v>85</v>
      </c>
      <c r="I5427" s="3" t="s">
        <v>45</v>
      </c>
    </row>
    <row r="5428" spans="1:9" ht="48" customHeight="1">
      <c r="A5428" s="3" t="s">
        <v>79</v>
      </c>
      <c r="B5428" s="3" t="s">
        <v>78</v>
      </c>
      <c r="C5428" s="4">
        <v>43344</v>
      </c>
      <c r="D5428" s="4">
        <v>43373</v>
      </c>
      <c r="E5428" s="3" t="s">
        <v>368</v>
      </c>
      <c r="F5428" s="3" t="s">
        <v>232</v>
      </c>
      <c r="G5428" s="5">
        <v>1E-3</v>
      </c>
      <c r="H5428" s="6" t="s">
        <v>85</v>
      </c>
      <c r="I5428" s="3" t="s">
        <v>45</v>
      </c>
    </row>
    <row r="5429" spans="1:9" ht="48" customHeight="1">
      <c r="A5429" s="3" t="s">
        <v>79</v>
      </c>
      <c r="B5429" s="3" t="s">
        <v>78</v>
      </c>
      <c r="C5429" s="4">
        <v>43344</v>
      </c>
      <c r="D5429" s="4">
        <v>43373</v>
      </c>
      <c r="E5429" s="3" t="s">
        <v>368</v>
      </c>
      <c r="F5429" s="3" t="s">
        <v>234</v>
      </c>
      <c r="G5429" s="5">
        <v>1E-3</v>
      </c>
      <c r="H5429" s="6" t="s">
        <v>85</v>
      </c>
      <c r="I5429" s="3" t="s">
        <v>45</v>
      </c>
    </row>
    <row r="5430" spans="1:9" ht="48" customHeight="1">
      <c r="A5430" s="3" t="s">
        <v>79</v>
      </c>
      <c r="B5430" s="3" t="s">
        <v>78</v>
      </c>
      <c r="C5430" s="4">
        <v>43344</v>
      </c>
      <c r="D5430" s="4">
        <v>43373</v>
      </c>
      <c r="E5430" s="3" t="s">
        <v>368</v>
      </c>
      <c r="F5430" s="3" t="s">
        <v>372</v>
      </c>
      <c r="G5430" s="5">
        <v>1E-3</v>
      </c>
      <c r="H5430" s="6" t="s">
        <v>85</v>
      </c>
      <c r="I5430" s="3" t="s">
        <v>45</v>
      </c>
    </row>
    <row r="5431" spans="1:9" ht="48" customHeight="1">
      <c r="A5431" s="3" t="s">
        <v>79</v>
      </c>
      <c r="B5431" s="3" t="s">
        <v>78</v>
      </c>
      <c r="C5431" s="4">
        <v>43344</v>
      </c>
      <c r="D5431" s="4">
        <v>43373</v>
      </c>
      <c r="E5431" s="3" t="s">
        <v>368</v>
      </c>
      <c r="F5431" s="3" t="s">
        <v>207</v>
      </c>
      <c r="G5431" s="5">
        <v>1E-3</v>
      </c>
      <c r="H5431" s="6" t="s">
        <v>85</v>
      </c>
      <c r="I5431" s="3" t="s">
        <v>45</v>
      </c>
    </row>
    <row r="5432" spans="1:9" ht="48" customHeight="1">
      <c r="A5432" s="3" t="s">
        <v>79</v>
      </c>
      <c r="B5432" s="3" t="s">
        <v>78</v>
      </c>
      <c r="C5432" s="4">
        <v>43344</v>
      </c>
      <c r="D5432" s="4">
        <v>43373</v>
      </c>
      <c r="E5432" s="3" t="s">
        <v>368</v>
      </c>
      <c r="F5432" s="3" t="s">
        <v>230</v>
      </c>
      <c r="G5432" s="5">
        <v>0</v>
      </c>
      <c r="H5432" s="6" t="s">
        <v>85</v>
      </c>
      <c r="I5432" s="3" t="s">
        <v>45</v>
      </c>
    </row>
    <row r="5433" spans="1:9" ht="48" customHeight="1">
      <c r="A5433" s="3" t="s">
        <v>79</v>
      </c>
      <c r="B5433" s="3" t="s">
        <v>78</v>
      </c>
      <c r="C5433" s="4">
        <v>43344</v>
      </c>
      <c r="D5433" s="4">
        <v>43373</v>
      </c>
      <c r="E5433" s="3" t="s">
        <v>302</v>
      </c>
      <c r="F5433" s="3" t="s">
        <v>309</v>
      </c>
      <c r="G5433" s="5">
        <v>6.9999999999999993E-3</v>
      </c>
      <c r="H5433" s="6" t="s">
        <v>85</v>
      </c>
      <c r="I5433" s="3" t="s">
        <v>45</v>
      </c>
    </row>
    <row r="5434" spans="1:9" ht="48" customHeight="1">
      <c r="A5434" s="3" t="s">
        <v>79</v>
      </c>
      <c r="B5434" s="3" t="s">
        <v>78</v>
      </c>
      <c r="C5434" s="4">
        <v>43344</v>
      </c>
      <c r="D5434" s="4">
        <v>43373</v>
      </c>
      <c r="E5434" s="3" t="s">
        <v>302</v>
      </c>
      <c r="F5434" s="3" t="s">
        <v>307</v>
      </c>
      <c r="G5434" s="5">
        <v>5.0000000000000001E-3</v>
      </c>
      <c r="H5434" s="6" t="s">
        <v>85</v>
      </c>
      <c r="I5434" s="3" t="s">
        <v>45</v>
      </c>
    </row>
    <row r="5435" spans="1:9" ht="48" customHeight="1">
      <c r="A5435" s="3" t="s">
        <v>79</v>
      </c>
      <c r="B5435" s="3" t="s">
        <v>78</v>
      </c>
      <c r="C5435" s="4">
        <v>43344</v>
      </c>
      <c r="D5435" s="4">
        <v>43373</v>
      </c>
      <c r="E5435" s="3" t="s">
        <v>302</v>
      </c>
      <c r="F5435" s="3" t="s">
        <v>308</v>
      </c>
      <c r="G5435" s="5">
        <v>4.0000000000000001E-3</v>
      </c>
      <c r="H5435" s="6" t="s">
        <v>85</v>
      </c>
      <c r="I5435" s="3" t="s">
        <v>45</v>
      </c>
    </row>
    <row r="5436" spans="1:9" ht="48" customHeight="1">
      <c r="A5436" s="3" t="s">
        <v>79</v>
      </c>
      <c r="B5436" s="3" t="s">
        <v>78</v>
      </c>
      <c r="C5436" s="4">
        <v>43344</v>
      </c>
      <c r="D5436" s="4">
        <v>43373</v>
      </c>
      <c r="E5436" s="3" t="s">
        <v>302</v>
      </c>
      <c r="F5436" s="3" t="s">
        <v>303</v>
      </c>
      <c r="G5436" s="5">
        <v>3.0000000000000001E-3</v>
      </c>
      <c r="H5436" s="6" t="s">
        <v>85</v>
      </c>
      <c r="I5436" s="3" t="s">
        <v>45</v>
      </c>
    </row>
    <row r="5437" spans="1:9" ht="48" customHeight="1">
      <c r="A5437" s="3" t="s">
        <v>79</v>
      </c>
      <c r="B5437" s="3" t="s">
        <v>78</v>
      </c>
      <c r="C5437" s="4">
        <v>43344</v>
      </c>
      <c r="D5437" s="4">
        <v>43373</v>
      </c>
      <c r="E5437" s="3" t="s">
        <v>302</v>
      </c>
      <c r="F5437" s="3" t="s">
        <v>304</v>
      </c>
      <c r="G5437" s="5">
        <v>3.0000000000000001E-3</v>
      </c>
      <c r="H5437" s="6" t="s">
        <v>85</v>
      </c>
      <c r="I5437" s="3" t="s">
        <v>45</v>
      </c>
    </row>
    <row r="5438" spans="1:9" ht="48" customHeight="1">
      <c r="A5438" s="3" t="s">
        <v>79</v>
      </c>
      <c r="B5438" s="3" t="s">
        <v>78</v>
      </c>
      <c r="C5438" s="4">
        <v>43344</v>
      </c>
      <c r="D5438" s="4">
        <v>43373</v>
      </c>
      <c r="E5438" s="3" t="s">
        <v>302</v>
      </c>
      <c r="F5438" s="3" t="s">
        <v>311</v>
      </c>
      <c r="G5438" s="5">
        <v>2E-3</v>
      </c>
      <c r="H5438" s="6" t="s">
        <v>85</v>
      </c>
      <c r="I5438" s="3" t="s">
        <v>45</v>
      </c>
    </row>
    <row r="5439" spans="1:9" ht="48" customHeight="1">
      <c r="A5439" s="3" t="s">
        <v>79</v>
      </c>
      <c r="B5439" s="3" t="s">
        <v>78</v>
      </c>
      <c r="C5439" s="4">
        <v>43344</v>
      </c>
      <c r="D5439" s="4">
        <v>43373</v>
      </c>
      <c r="E5439" s="3" t="s">
        <v>302</v>
      </c>
      <c r="F5439" s="3" t="s">
        <v>305</v>
      </c>
      <c r="G5439" s="5">
        <v>2E-3</v>
      </c>
      <c r="H5439" s="6" t="s">
        <v>85</v>
      </c>
      <c r="I5439" s="3" t="s">
        <v>45</v>
      </c>
    </row>
    <row r="5440" spans="1:9" ht="48" customHeight="1">
      <c r="A5440" s="3" t="s">
        <v>79</v>
      </c>
      <c r="B5440" s="3" t="s">
        <v>78</v>
      </c>
      <c r="C5440" s="4">
        <v>43344</v>
      </c>
      <c r="D5440" s="4">
        <v>43373</v>
      </c>
      <c r="E5440" s="3" t="s">
        <v>302</v>
      </c>
      <c r="F5440" s="3" t="s">
        <v>306</v>
      </c>
      <c r="G5440" s="5">
        <v>2E-3</v>
      </c>
      <c r="H5440" s="6" t="s">
        <v>85</v>
      </c>
      <c r="I5440" s="3" t="s">
        <v>45</v>
      </c>
    </row>
    <row r="5441" spans="1:9" ht="48" customHeight="1">
      <c r="A5441" s="3" t="s">
        <v>79</v>
      </c>
      <c r="B5441" s="3" t="s">
        <v>78</v>
      </c>
      <c r="C5441" s="4">
        <v>43344</v>
      </c>
      <c r="D5441" s="4">
        <v>43373</v>
      </c>
      <c r="E5441" s="3" t="s">
        <v>302</v>
      </c>
      <c r="F5441" s="3" t="s">
        <v>310</v>
      </c>
      <c r="G5441" s="5">
        <v>1E-3</v>
      </c>
      <c r="H5441" s="6" t="s">
        <v>85</v>
      </c>
      <c r="I5441" s="3" t="s">
        <v>45</v>
      </c>
    </row>
    <row r="5442" spans="1:9" ht="48" customHeight="1">
      <c r="A5442" s="3" t="s">
        <v>79</v>
      </c>
      <c r="B5442" s="3" t="s">
        <v>78</v>
      </c>
      <c r="C5442" s="4">
        <v>43344</v>
      </c>
      <c r="D5442" s="4">
        <v>43373</v>
      </c>
      <c r="E5442" s="3" t="s">
        <v>302</v>
      </c>
      <c r="F5442" s="3" t="s">
        <v>312</v>
      </c>
      <c r="G5442" s="5">
        <v>1E-3</v>
      </c>
      <c r="H5442" s="6" t="s">
        <v>85</v>
      </c>
      <c r="I5442" s="3" t="s">
        <v>45</v>
      </c>
    </row>
    <row r="5443" spans="1:9" ht="48" customHeight="1">
      <c r="A5443" s="3" t="s">
        <v>79</v>
      </c>
      <c r="B5443" s="3" t="s">
        <v>78</v>
      </c>
      <c r="C5443" s="4">
        <v>43344</v>
      </c>
      <c r="D5443" s="4">
        <v>43373</v>
      </c>
      <c r="E5443" s="3" t="s">
        <v>302</v>
      </c>
      <c r="F5443" s="3" t="s">
        <v>313</v>
      </c>
      <c r="G5443" s="5">
        <v>1E-3</v>
      </c>
      <c r="H5443" s="6" t="s">
        <v>85</v>
      </c>
      <c r="I5443" s="3" t="s">
        <v>45</v>
      </c>
    </row>
    <row r="5444" spans="1:9" ht="48" customHeight="1">
      <c r="A5444" s="3" t="s">
        <v>79</v>
      </c>
      <c r="B5444" s="3" t="s">
        <v>78</v>
      </c>
      <c r="C5444" s="4">
        <v>43344</v>
      </c>
      <c r="D5444" s="4">
        <v>43373</v>
      </c>
      <c r="E5444" s="3" t="s">
        <v>302</v>
      </c>
      <c r="F5444" s="3" t="s">
        <v>314</v>
      </c>
      <c r="G5444" s="5">
        <v>1E-3</v>
      </c>
      <c r="H5444" s="6" t="s">
        <v>85</v>
      </c>
      <c r="I5444" s="3" t="s">
        <v>45</v>
      </c>
    </row>
    <row r="5445" spans="1:9" ht="48" customHeight="1">
      <c r="A5445" s="3" t="s">
        <v>79</v>
      </c>
      <c r="B5445" s="3" t="s">
        <v>78</v>
      </c>
      <c r="C5445" s="4">
        <v>43344</v>
      </c>
      <c r="D5445" s="4">
        <v>43373</v>
      </c>
      <c r="E5445" s="3" t="s">
        <v>302</v>
      </c>
      <c r="F5445" s="3" t="s">
        <v>316</v>
      </c>
      <c r="G5445" s="5">
        <v>1E-3</v>
      </c>
      <c r="H5445" s="6" t="s">
        <v>85</v>
      </c>
      <c r="I5445" s="3" t="s">
        <v>45</v>
      </c>
    </row>
    <row r="5446" spans="1:9" ht="48" customHeight="1">
      <c r="A5446" s="3" t="s">
        <v>79</v>
      </c>
      <c r="B5446" s="3" t="s">
        <v>78</v>
      </c>
      <c r="C5446" s="4">
        <v>43344</v>
      </c>
      <c r="D5446" s="4">
        <v>43373</v>
      </c>
      <c r="E5446" s="3" t="s">
        <v>302</v>
      </c>
      <c r="F5446" s="3" t="s">
        <v>317</v>
      </c>
      <c r="G5446" s="5">
        <v>1E-3</v>
      </c>
      <c r="H5446" s="6" t="s">
        <v>85</v>
      </c>
      <c r="I5446" s="3" t="s">
        <v>45</v>
      </c>
    </row>
    <row r="5447" spans="1:9" ht="48" customHeight="1">
      <c r="A5447" s="3" t="s">
        <v>79</v>
      </c>
      <c r="B5447" s="3" t="s">
        <v>78</v>
      </c>
      <c r="C5447" s="4">
        <v>43344</v>
      </c>
      <c r="D5447" s="4">
        <v>43373</v>
      </c>
      <c r="E5447" s="3" t="s">
        <v>302</v>
      </c>
      <c r="F5447" s="3" t="s">
        <v>323</v>
      </c>
      <c r="G5447" s="5">
        <v>1E-3</v>
      </c>
      <c r="H5447" s="6" t="s">
        <v>85</v>
      </c>
      <c r="I5447" s="3" t="s">
        <v>45</v>
      </c>
    </row>
    <row r="5448" spans="1:9" ht="48" customHeight="1">
      <c r="A5448" s="3" t="s">
        <v>79</v>
      </c>
      <c r="B5448" s="3" t="s">
        <v>78</v>
      </c>
      <c r="C5448" s="4">
        <v>43344</v>
      </c>
      <c r="D5448" s="4">
        <v>43373</v>
      </c>
      <c r="E5448" s="3" t="s">
        <v>302</v>
      </c>
      <c r="F5448" s="3" t="s">
        <v>324</v>
      </c>
      <c r="G5448" s="5">
        <v>1E-3</v>
      </c>
      <c r="H5448" s="6" t="s">
        <v>85</v>
      </c>
      <c r="I5448" s="3" t="s">
        <v>45</v>
      </c>
    </row>
    <row r="5449" spans="1:9" ht="48" customHeight="1">
      <c r="A5449" s="3" t="s">
        <v>79</v>
      </c>
      <c r="B5449" s="3" t="s">
        <v>78</v>
      </c>
      <c r="C5449" s="4">
        <v>43344</v>
      </c>
      <c r="D5449" s="4">
        <v>43373</v>
      </c>
      <c r="E5449" s="3" t="s">
        <v>302</v>
      </c>
      <c r="F5449" s="3" t="s">
        <v>315</v>
      </c>
      <c r="G5449" s="5">
        <v>0</v>
      </c>
      <c r="H5449" s="6" t="s">
        <v>85</v>
      </c>
      <c r="I5449" s="3" t="s">
        <v>45</v>
      </c>
    </row>
    <row r="5450" spans="1:9" ht="48" customHeight="1">
      <c r="A5450" s="3" t="s">
        <v>79</v>
      </c>
      <c r="B5450" s="3" t="s">
        <v>78</v>
      </c>
      <c r="C5450" s="4">
        <v>43344</v>
      </c>
      <c r="D5450" s="4">
        <v>43373</v>
      </c>
      <c r="E5450" s="3" t="s">
        <v>302</v>
      </c>
      <c r="F5450" s="3" t="s">
        <v>318</v>
      </c>
      <c r="G5450" s="5">
        <v>0</v>
      </c>
      <c r="H5450" s="6" t="s">
        <v>85</v>
      </c>
      <c r="I5450" s="3" t="s">
        <v>45</v>
      </c>
    </row>
    <row r="5451" spans="1:9" ht="48" customHeight="1">
      <c r="A5451" s="3" t="s">
        <v>79</v>
      </c>
      <c r="B5451" s="3" t="s">
        <v>78</v>
      </c>
      <c r="C5451" s="4">
        <v>43344</v>
      </c>
      <c r="D5451" s="4">
        <v>43373</v>
      </c>
      <c r="E5451" s="3" t="s">
        <v>302</v>
      </c>
      <c r="F5451" s="3" t="s">
        <v>319</v>
      </c>
      <c r="G5451" s="5">
        <v>0</v>
      </c>
      <c r="H5451" s="6" t="s">
        <v>85</v>
      </c>
      <c r="I5451" s="3" t="s">
        <v>45</v>
      </c>
    </row>
    <row r="5452" spans="1:9" ht="48" customHeight="1">
      <c r="A5452" s="3" t="s">
        <v>79</v>
      </c>
      <c r="B5452" s="3" t="s">
        <v>78</v>
      </c>
      <c r="C5452" s="4">
        <v>43344</v>
      </c>
      <c r="D5452" s="4">
        <v>43373</v>
      </c>
      <c r="E5452" s="3" t="s">
        <v>302</v>
      </c>
      <c r="F5452" s="3" t="s">
        <v>320</v>
      </c>
      <c r="G5452" s="5">
        <v>0</v>
      </c>
      <c r="H5452" s="6" t="s">
        <v>85</v>
      </c>
      <c r="I5452" s="3" t="s">
        <v>45</v>
      </c>
    </row>
    <row r="5453" spans="1:9" ht="48" customHeight="1">
      <c r="A5453" s="3" t="s">
        <v>79</v>
      </c>
      <c r="B5453" s="3" t="s">
        <v>78</v>
      </c>
      <c r="C5453" s="4">
        <v>43344</v>
      </c>
      <c r="D5453" s="4">
        <v>43373</v>
      </c>
      <c r="E5453" s="3" t="s">
        <v>302</v>
      </c>
      <c r="F5453" s="3" t="s">
        <v>321</v>
      </c>
      <c r="G5453" s="5">
        <v>0</v>
      </c>
      <c r="H5453" s="6" t="s">
        <v>85</v>
      </c>
      <c r="I5453" s="3" t="s">
        <v>45</v>
      </c>
    </row>
    <row r="5454" spans="1:9" ht="48" customHeight="1">
      <c r="A5454" s="3" t="s">
        <v>79</v>
      </c>
      <c r="B5454" s="3" t="s">
        <v>78</v>
      </c>
      <c r="C5454" s="4">
        <v>43344</v>
      </c>
      <c r="D5454" s="4">
        <v>43373</v>
      </c>
      <c r="E5454" s="3" t="s">
        <v>302</v>
      </c>
      <c r="F5454" s="3" t="s">
        <v>322</v>
      </c>
      <c r="G5454" s="5">
        <v>0</v>
      </c>
      <c r="H5454" s="6" t="s">
        <v>85</v>
      </c>
      <c r="I5454" s="3" t="s">
        <v>45</v>
      </c>
    </row>
    <row r="5455" spans="1:9" ht="48" customHeight="1">
      <c r="A5455" s="3" t="s">
        <v>79</v>
      </c>
      <c r="B5455" s="3" t="s">
        <v>78</v>
      </c>
      <c r="C5455" s="4">
        <v>43344</v>
      </c>
      <c r="D5455" s="4">
        <v>43373</v>
      </c>
      <c r="E5455" s="3" t="s">
        <v>286</v>
      </c>
      <c r="F5455" s="3" t="s">
        <v>287</v>
      </c>
      <c r="G5455" s="5">
        <v>3.0000000000000001E-3</v>
      </c>
      <c r="H5455" s="6" t="s">
        <v>85</v>
      </c>
      <c r="I5455" s="3" t="s">
        <v>45</v>
      </c>
    </row>
    <row r="5456" spans="1:9" ht="48" customHeight="1">
      <c r="A5456" s="3" t="s">
        <v>79</v>
      </c>
      <c r="B5456" s="3" t="s">
        <v>78</v>
      </c>
      <c r="C5456" s="4">
        <v>43344</v>
      </c>
      <c r="D5456" s="4">
        <v>43373</v>
      </c>
      <c r="E5456" s="3" t="s">
        <v>286</v>
      </c>
      <c r="F5456" s="3" t="s">
        <v>288</v>
      </c>
      <c r="G5456" s="5">
        <v>2E-3</v>
      </c>
      <c r="H5456" s="6" t="s">
        <v>85</v>
      </c>
      <c r="I5456" s="3" t="s">
        <v>45</v>
      </c>
    </row>
    <row r="5457" spans="1:9" ht="48" customHeight="1">
      <c r="A5457" s="3" t="s">
        <v>79</v>
      </c>
      <c r="B5457" s="3" t="s">
        <v>78</v>
      </c>
      <c r="C5457" s="4">
        <v>43344</v>
      </c>
      <c r="D5457" s="4">
        <v>43373</v>
      </c>
      <c r="E5457" s="3" t="s">
        <v>286</v>
      </c>
      <c r="F5457" s="3" t="s">
        <v>289</v>
      </c>
      <c r="G5457" s="5">
        <v>2E-3</v>
      </c>
      <c r="H5457" s="6" t="s">
        <v>85</v>
      </c>
      <c r="I5457" s="3" t="s">
        <v>45</v>
      </c>
    </row>
    <row r="5458" spans="1:9" ht="48" customHeight="1">
      <c r="A5458" s="3" t="s">
        <v>79</v>
      </c>
      <c r="B5458" s="3" t="s">
        <v>78</v>
      </c>
      <c r="C5458" s="4">
        <v>43344</v>
      </c>
      <c r="D5458" s="4">
        <v>43373</v>
      </c>
      <c r="E5458" s="3" t="s">
        <v>286</v>
      </c>
      <c r="F5458" s="3" t="s">
        <v>291</v>
      </c>
      <c r="G5458" s="5">
        <v>2E-3</v>
      </c>
      <c r="H5458" s="6" t="s">
        <v>85</v>
      </c>
      <c r="I5458" s="3" t="s">
        <v>45</v>
      </c>
    </row>
    <row r="5459" spans="1:9" ht="48" customHeight="1">
      <c r="A5459" s="3" t="s">
        <v>79</v>
      </c>
      <c r="B5459" s="3" t="s">
        <v>78</v>
      </c>
      <c r="C5459" s="4">
        <v>43344</v>
      </c>
      <c r="D5459" s="4">
        <v>43373</v>
      </c>
      <c r="E5459" s="3" t="s">
        <v>286</v>
      </c>
      <c r="F5459" s="3" t="s">
        <v>293</v>
      </c>
      <c r="G5459" s="5">
        <v>2E-3</v>
      </c>
      <c r="H5459" s="6" t="s">
        <v>85</v>
      </c>
      <c r="I5459" s="3" t="s">
        <v>45</v>
      </c>
    </row>
    <row r="5460" spans="1:9" ht="48" customHeight="1">
      <c r="A5460" s="3" t="s">
        <v>79</v>
      </c>
      <c r="B5460" s="3" t="s">
        <v>78</v>
      </c>
      <c r="C5460" s="4">
        <v>43344</v>
      </c>
      <c r="D5460" s="4">
        <v>43373</v>
      </c>
      <c r="E5460" s="3" t="s">
        <v>286</v>
      </c>
      <c r="F5460" s="3" t="s">
        <v>290</v>
      </c>
      <c r="G5460" s="5">
        <v>1E-3</v>
      </c>
      <c r="H5460" s="6" t="s">
        <v>85</v>
      </c>
      <c r="I5460" s="3" t="s">
        <v>45</v>
      </c>
    </row>
    <row r="5461" spans="1:9" ht="48" customHeight="1">
      <c r="A5461" s="3" t="s">
        <v>79</v>
      </c>
      <c r="B5461" s="3" t="s">
        <v>78</v>
      </c>
      <c r="C5461" s="4">
        <v>43344</v>
      </c>
      <c r="D5461" s="4">
        <v>43373</v>
      </c>
      <c r="E5461" s="3" t="s">
        <v>286</v>
      </c>
      <c r="F5461" s="3" t="s">
        <v>298</v>
      </c>
      <c r="G5461" s="5">
        <v>1E-3</v>
      </c>
      <c r="H5461" s="6" t="s">
        <v>85</v>
      </c>
      <c r="I5461" s="3" t="s">
        <v>45</v>
      </c>
    </row>
    <row r="5462" spans="1:9" ht="48" customHeight="1">
      <c r="A5462" s="3" t="s">
        <v>79</v>
      </c>
      <c r="B5462" s="3" t="s">
        <v>78</v>
      </c>
      <c r="C5462" s="4">
        <v>43344</v>
      </c>
      <c r="D5462" s="4">
        <v>43373</v>
      </c>
      <c r="E5462" s="3" t="s">
        <v>286</v>
      </c>
      <c r="F5462" s="3" t="s">
        <v>297</v>
      </c>
      <c r="G5462" s="5">
        <v>1E-3</v>
      </c>
      <c r="H5462" s="6" t="s">
        <v>85</v>
      </c>
      <c r="I5462" s="3" t="s">
        <v>45</v>
      </c>
    </row>
    <row r="5463" spans="1:9" ht="48" customHeight="1">
      <c r="A5463" s="3" t="s">
        <v>79</v>
      </c>
      <c r="B5463" s="3" t="s">
        <v>78</v>
      </c>
      <c r="C5463" s="4">
        <v>43344</v>
      </c>
      <c r="D5463" s="4">
        <v>43373</v>
      </c>
      <c r="E5463" s="3" t="s">
        <v>286</v>
      </c>
      <c r="F5463" s="3" t="s">
        <v>292</v>
      </c>
      <c r="G5463" s="5">
        <v>1E-3</v>
      </c>
      <c r="H5463" s="6" t="s">
        <v>85</v>
      </c>
      <c r="I5463" s="3" t="s">
        <v>45</v>
      </c>
    </row>
    <row r="5464" spans="1:9" ht="48" customHeight="1">
      <c r="A5464" s="3" t="s">
        <v>79</v>
      </c>
      <c r="B5464" s="3" t="s">
        <v>78</v>
      </c>
      <c r="C5464" s="4">
        <v>43344</v>
      </c>
      <c r="D5464" s="4">
        <v>43373</v>
      </c>
      <c r="E5464" s="3" t="s">
        <v>286</v>
      </c>
      <c r="F5464" s="3" t="s">
        <v>300</v>
      </c>
      <c r="G5464" s="5">
        <v>1E-3</v>
      </c>
      <c r="H5464" s="6" t="s">
        <v>85</v>
      </c>
      <c r="I5464" s="3" t="s">
        <v>45</v>
      </c>
    </row>
    <row r="5465" spans="1:9" ht="48" customHeight="1">
      <c r="A5465" s="3" t="s">
        <v>79</v>
      </c>
      <c r="B5465" s="3" t="s">
        <v>78</v>
      </c>
      <c r="C5465" s="4">
        <v>43344</v>
      </c>
      <c r="D5465" s="4">
        <v>43373</v>
      </c>
      <c r="E5465" s="3" t="s">
        <v>286</v>
      </c>
      <c r="F5465" s="3" t="s">
        <v>294</v>
      </c>
      <c r="G5465" s="5">
        <v>0</v>
      </c>
      <c r="H5465" s="6" t="s">
        <v>85</v>
      </c>
      <c r="I5465" s="3" t="s">
        <v>45</v>
      </c>
    </row>
    <row r="5466" spans="1:9" ht="48" customHeight="1">
      <c r="A5466" s="3" t="s">
        <v>79</v>
      </c>
      <c r="B5466" s="3" t="s">
        <v>78</v>
      </c>
      <c r="C5466" s="4">
        <v>43344</v>
      </c>
      <c r="D5466" s="4">
        <v>43373</v>
      </c>
      <c r="E5466" s="3" t="s">
        <v>286</v>
      </c>
      <c r="F5466" s="3" t="s">
        <v>295</v>
      </c>
      <c r="G5466" s="5">
        <v>0</v>
      </c>
      <c r="H5466" s="6" t="s">
        <v>85</v>
      </c>
      <c r="I5466" s="3" t="s">
        <v>45</v>
      </c>
    </row>
    <row r="5467" spans="1:9" ht="48" customHeight="1">
      <c r="A5467" s="3" t="s">
        <v>79</v>
      </c>
      <c r="B5467" s="3" t="s">
        <v>78</v>
      </c>
      <c r="C5467" s="4">
        <v>43344</v>
      </c>
      <c r="D5467" s="4">
        <v>43373</v>
      </c>
      <c r="E5467" s="3" t="s">
        <v>286</v>
      </c>
      <c r="F5467" s="3" t="s">
        <v>296</v>
      </c>
      <c r="G5467" s="5">
        <v>0</v>
      </c>
      <c r="H5467" s="6" t="s">
        <v>85</v>
      </c>
      <c r="I5467" s="3" t="s">
        <v>45</v>
      </c>
    </row>
    <row r="5468" spans="1:9" ht="48" customHeight="1">
      <c r="A5468" s="3" t="s">
        <v>79</v>
      </c>
      <c r="B5468" s="3" t="s">
        <v>78</v>
      </c>
      <c r="C5468" s="4">
        <v>43344</v>
      </c>
      <c r="D5468" s="4">
        <v>43373</v>
      </c>
      <c r="E5468" s="3" t="s">
        <v>286</v>
      </c>
      <c r="F5468" s="3" t="s">
        <v>299</v>
      </c>
      <c r="G5468" s="5">
        <v>0</v>
      </c>
      <c r="H5468" s="6" t="s">
        <v>85</v>
      </c>
      <c r="I5468" s="3" t="s">
        <v>45</v>
      </c>
    </row>
    <row r="5469" spans="1:9" ht="48" customHeight="1">
      <c r="A5469" s="3" t="s">
        <v>79</v>
      </c>
      <c r="B5469" s="3" t="s">
        <v>78</v>
      </c>
      <c r="C5469" s="4">
        <v>43344</v>
      </c>
      <c r="D5469" s="4">
        <v>43373</v>
      </c>
      <c r="E5469" s="3" t="s">
        <v>47</v>
      </c>
      <c r="F5469" s="3" t="s">
        <v>348</v>
      </c>
      <c r="G5469" s="5">
        <v>5.0000000000000001E-3</v>
      </c>
      <c r="H5469" s="6" t="s">
        <v>85</v>
      </c>
      <c r="I5469" s="3" t="s">
        <v>45</v>
      </c>
    </row>
    <row r="5470" spans="1:9" ht="48" customHeight="1">
      <c r="A5470" s="3" t="s">
        <v>79</v>
      </c>
      <c r="B5470" s="3" t="s">
        <v>78</v>
      </c>
      <c r="C5470" s="4">
        <v>43344</v>
      </c>
      <c r="D5470" s="4">
        <v>43373</v>
      </c>
      <c r="E5470" s="3" t="s">
        <v>47</v>
      </c>
      <c r="F5470" s="3" t="s">
        <v>349</v>
      </c>
      <c r="G5470" s="5">
        <v>2E-3</v>
      </c>
      <c r="H5470" s="6" t="s">
        <v>85</v>
      </c>
      <c r="I5470" s="3" t="s">
        <v>45</v>
      </c>
    </row>
    <row r="5471" spans="1:9" ht="48" customHeight="1">
      <c r="A5471" s="3" t="s">
        <v>79</v>
      </c>
      <c r="B5471" s="3" t="s">
        <v>78</v>
      </c>
      <c r="C5471" s="4">
        <v>43344</v>
      </c>
      <c r="D5471" s="4">
        <v>43373</v>
      </c>
      <c r="E5471" s="3" t="s">
        <v>47</v>
      </c>
      <c r="F5471" s="3" t="s">
        <v>350</v>
      </c>
      <c r="G5471" s="5">
        <v>1E-3</v>
      </c>
      <c r="H5471" s="6" t="s">
        <v>85</v>
      </c>
      <c r="I5471" s="3" t="s">
        <v>45</v>
      </c>
    </row>
    <row r="5472" spans="1:9" ht="48" customHeight="1">
      <c r="A5472" s="3" t="s">
        <v>79</v>
      </c>
      <c r="B5472" s="3" t="s">
        <v>78</v>
      </c>
      <c r="C5472" s="4">
        <v>43344</v>
      </c>
      <c r="D5472" s="4">
        <v>43373</v>
      </c>
      <c r="E5472" s="3" t="s">
        <v>47</v>
      </c>
      <c r="F5472" s="3" t="s">
        <v>351</v>
      </c>
      <c r="G5472" s="5">
        <v>1E-3</v>
      </c>
      <c r="H5472" s="6" t="s">
        <v>85</v>
      </c>
      <c r="I5472" s="3" t="s">
        <v>45</v>
      </c>
    </row>
    <row r="5473" spans="1:9" ht="48" customHeight="1">
      <c r="A5473" s="3" t="s">
        <v>79</v>
      </c>
      <c r="B5473" s="3" t="s">
        <v>78</v>
      </c>
      <c r="C5473" s="4">
        <v>43344</v>
      </c>
      <c r="D5473" s="4">
        <v>43373</v>
      </c>
      <c r="E5473" s="3" t="s">
        <v>47</v>
      </c>
      <c r="F5473" s="3" t="s">
        <v>352</v>
      </c>
      <c r="G5473" s="5">
        <v>1E-3</v>
      </c>
      <c r="H5473" s="6" t="s">
        <v>85</v>
      </c>
      <c r="I5473" s="3" t="s">
        <v>45</v>
      </c>
    </row>
    <row r="5474" spans="1:9" ht="48" customHeight="1">
      <c r="A5474" s="3" t="s">
        <v>79</v>
      </c>
      <c r="B5474" s="3" t="s">
        <v>78</v>
      </c>
      <c r="C5474" s="4">
        <v>43344</v>
      </c>
      <c r="D5474" s="4">
        <v>43373</v>
      </c>
      <c r="E5474" s="3" t="s">
        <v>47</v>
      </c>
      <c r="F5474" s="3" t="s">
        <v>354</v>
      </c>
      <c r="G5474" s="5">
        <v>1E-3</v>
      </c>
      <c r="H5474" s="6" t="s">
        <v>85</v>
      </c>
      <c r="I5474" s="3" t="s">
        <v>45</v>
      </c>
    </row>
    <row r="5475" spans="1:9" ht="48" customHeight="1">
      <c r="A5475" s="3" t="s">
        <v>79</v>
      </c>
      <c r="B5475" s="3" t="s">
        <v>78</v>
      </c>
      <c r="C5475" s="4">
        <v>43344</v>
      </c>
      <c r="D5475" s="4">
        <v>43373</v>
      </c>
      <c r="E5475" s="3" t="s">
        <v>47</v>
      </c>
      <c r="F5475" s="3" t="s">
        <v>355</v>
      </c>
      <c r="G5475" s="5">
        <v>1E-3</v>
      </c>
      <c r="H5475" s="6" t="s">
        <v>85</v>
      </c>
      <c r="I5475" s="3" t="s">
        <v>45</v>
      </c>
    </row>
    <row r="5476" spans="1:9" ht="48" customHeight="1">
      <c r="A5476" s="3" t="s">
        <v>79</v>
      </c>
      <c r="B5476" s="3" t="s">
        <v>78</v>
      </c>
      <c r="C5476" s="4">
        <v>43344</v>
      </c>
      <c r="D5476" s="4">
        <v>43373</v>
      </c>
      <c r="E5476" s="3" t="s">
        <v>47</v>
      </c>
      <c r="F5476" s="3" t="s">
        <v>356</v>
      </c>
      <c r="G5476" s="5">
        <v>1E-3</v>
      </c>
      <c r="H5476" s="6" t="s">
        <v>85</v>
      </c>
      <c r="I5476" s="3" t="s">
        <v>45</v>
      </c>
    </row>
    <row r="5477" spans="1:9" ht="48" customHeight="1">
      <c r="A5477" s="3" t="s">
        <v>79</v>
      </c>
      <c r="B5477" s="3" t="s">
        <v>78</v>
      </c>
      <c r="C5477" s="4">
        <v>43344</v>
      </c>
      <c r="D5477" s="4">
        <v>43373</v>
      </c>
      <c r="E5477" s="3" t="s">
        <v>47</v>
      </c>
      <c r="F5477" s="3" t="s">
        <v>40</v>
      </c>
      <c r="G5477" s="5">
        <v>1E-3</v>
      </c>
      <c r="H5477" s="6" t="s">
        <v>85</v>
      </c>
      <c r="I5477" s="3" t="s">
        <v>45</v>
      </c>
    </row>
    <row r="5478" spans="1:9" ht="48" customHeight="1">
      <c r="A5478" s="3" t="s">
        <v>79</v>
      </c>
      <c r="B5478" s="3" t="s">
        <v>78</v>
      </c>
      <c r="C5478" s="4">
        <v>43344</v>
      </c>
      <c r="D5478" s="4">
        <v>43373</v>
      </c>
      <c r="E5478" s="3" t="s">
        <v>47</v>
      </c>
      <c r="F5478" s="3" t="s">
        <v>357</v>
      </c>
      <c r="G5478" s="5">
        <v>1E-3</v>
      </c>
      <c r="H5478" s="6" t="s">
        <v>85</v>
      </c>
      <c r="I5478" s="3" t="s">
        <v>45</v>
      </c>
    </row>
    <row r="5479" spans="1:9" ht="48" customHeight="1">
      <c r="A5479" s="3" t="s">
        <v>79</v>
      </c>
      <c r="B5479" s="3" t="s">
        <v>78</v>
      </c>
      <c r="C5479" s="4">
        <v>43344</v>
      </c>
      <c r="D5479" s="4">
        <v>43373</v>
      </c>
      <c r="E5479" s="3" t="s">
        <v>47</v>
      </c>
      <c r="F5479" s="3" t="s">
        <v>358</v>
      </c>
      <c r="G5479" s="5">
        <v>1E-3</v>
      </c>
      <c r="H5479" s="6" t="s">
        <v>85</v>
      </c>
      <c r="I5479" s="3" t="s">
        <v>45</v>
      </c>
    </row>
    <row r="5480" spans="1:9" ht="48" customHeight="1">
      <c r="A5480" s="3" t="s">
        <v>79</v>
      </c>
      <c r="B5480" s="3" t="s">
        <v>78</v>
      </c>
      <c r="C5480" s="4">
        <v>43344</v>
      </c>
      <c r="D5480" s="4">
        <v>43373</v>
      </c>
      <c r="E5480" s="3" t="s">
        <v>47</v>
      </c>
      <c r="F5480" s="3" t="s">
        <v>353</v>
      </c>
      <c r="G5480" s="5">
        <v>0</v>
      </c>
      <c r="H5480" s="6" t="s">
        <v>85</v>
      </c>
      <c r="I5480" s="3" t="s">
        <v>45</v>
      </c>
    </row>
    <row r="5481" spans="1:9" ht="48" customHeight="1">
      <c r="A5481" s="3" t="s">
        <v>79</v>
      </c>
      <c r="B5481" s="3" t="s">
        <v>78</v>
      </c>
      <c r="C5481" s="4">
        <v>43344</v>
      </c>
      <c r="D5481" s="4">
        <v>43373</v>
      </c>
      <c r="E5481" s="3" t="s">
        <v>47</v>
      </c>
      <c r="F5481" s="3" t="s">
        <v>359</v>
      </c>
      <c r="G5481" s="5">
        <v>0</v>
      </c>
      <c r="H5481" s="6" t="s">
        <v>85</v>
      </c>
      <c r="I5481" s="3" t="s">
        <v>45</v>
      </c>
    </row>
    <row r="5482" spans="1:9" ht="48" customHeight="1">
      <c r="A5482" s="3" t="s">
        <v>79</v>
      </c>
      <c r="B5482" s="3" t="s">
        <v>78</v>
      </c>
      <c r="C5482" s="4">
        <v>43344</v>
      </c>
      <c r="D5482" s="4">
        <v>43373</v>
      </c>
      <c r="E5482" s="3" t="s">
        <v>47</v>
      </c>
      <c r="F5482" s="3" t="s">
        <v>360</v>
      </c>
      <c r="G5482" s="5">
        <v>0</v>
      </c>
      <c r="H5482" s="6" t="s">
        <v>85</v>
      </c>
      <c r="I5482" s="3" t="s">
        <v>45</v>
      </c>
    </row>
    <row r="5483" spans="1:9" ht="48" customHeight="1">
      <c r="A5483" s="3" t="s">
        <v>79</v>
      </c>
      <c r="B5483" s="3" t="s">
        <v>78</v>
      </c>
      <c r="C5483" s="4">
        <v>43344</v>
      </c>
      <c r="D5483" s="4">
        <v>43373</v>
      </c>
      <c r="E5483" s="3" t="s">
        <v>47</v>
      </c>
      <c r="F5483" s="3" t="s">
        <v>361</v>
      </c>
      <c r="G5483" s="5">
        <v>0</v>
      </c>
      <c r="H5483" s="6" t="s">
        <v>85</v>
      </c>
      <c r="I5483" s="3" t="s">
        <v>45</v>
      </c>
    </row>
    <row r="5484" spans="1:9" ht="48" customHeight="1">
      <c r="A5484" s="3" t="s">
        <v>79</v>
      </c>
      <c r="B5484" s="3" t="s">
        <v>78</v>
      </c>
      <c r="C5484" s="4">
        <v>43344</v>
      </c>
      <c r="D5484" s="4">
        <v>43373</v>
      </c>
      <c r="E5484" s="3" t="s">
        <v>47</v>
      </c>
      <c r="F5484" s="3" t="s">
        <v>362</v>
      </c>
      <c r="G5484" s="5">
        <v>0</v>
      </c>
      <c r="H5484" s="6" t="s">
        <v>85</v>
      </c>
      <c r="I5484" s="3" t="s">
        <v>45</v>
      </c>
    </row>
    <row r="5485" spans="1:9" ht="48" customHeight="1">
      <c r="A5485" s="3" t="s">
        <v>79</v>
      </c>
      <c r="B5485" s="3" t="s">
        <v>78</v>
      </c>
      <c r="C5485" s="4">
        <v>43344</v>
      </c>
      <c r="D5485" s="4">
        <v>43373</v>
      </c>
      <c r="E5485" s="3" t="s">
        <v>47</v>
      </c>
      <c r="F5485" s="3" t="s">
        <v>318</v>
      </c>
      <c r="G5485" s="5">
        <v>0</v>
      </c>
      <c r="H5485" s="6" t="s">
        <v>85</v>
      </c>
      <c r="I5485" s="3" t="s">
        <v>45</v>
      </c>
    </row>
    <row r="5486" spans="1:9" ht="48" customHeight="1">
      <c r="A5486" s="3" t="s">
        <v>79</v>
      </c>
      <c r="B5486" s="3" t="s">
        <v>78</v>
      </c>
      <c r="C5486" s="4">
        <v>43344</v>
      </c>
      <c r="D5486" s="4">
        <v>43373</v>
      </c>
      <c r="E5486" s="3" t="s">
        <v>47</v>
      </c>
      <c r="F5486" s="3" t="s">
        <v>363</v>
      </c>
      <c r="G5486" s="5">
        <v>0</v>
      </c>
      <c r="H5486" s="6" t="s">
        <v>85</v>
      </c>
      <c r="I5486" s="3" t="s">
        <v>45</v>
      </c>
    </row>
    <row r="5487" spans="1:9" ht="48" customHeight="1">
      <c r="A5487" s="3" t="s">
        <v>79</v>
      </c>
      <c r="B5487" s="3" t="s">
        <v>78</v>
      </c>
      <c r="C5487" s="4">
        <v>43344</v>
      </c>
      <c r="D5487" s="4">
        <v>43373</v>
      </c>
      <c r="E5487" s="3" t="s">
        <v>236</v>
      </c>
      <c r="F5487" s="3" t="s">
        <v>240</v>
      </c>
      <c r="G5487" s="5">
        <v>2E-3</v>
      </c>
      <c r="H5487" s="6" t="s">
        <v>85</v>
      </c>
      <c r="I5487" s="3" t="s">
        <v>45</v>
      </c>
    </row>
    <row r="5488" spans="1:9" ht="48" customHeight="1">
      <c r="A5488" s="3" t="s">
        <v>79</v>
      </c>
      <c r="B5488" s="3" t="s">
        <v>78</v>
      </c>
      <c r="C5488" s="4">
        <v>43344</v>
      </c>
      <c r="D5488" s="4">
        <v>43373</v>
      </c>
      <c r="E5488" s="3" t="s">
        <v>236</v>
      </c>
      <c r="F5488" s="3" t="s">
        <v>237</v>
      </c>
      <c r="G5488" s="5">
        <v>2E-3</v>
      </c>
      <c r="H5488" s="6" t="s">
        <v>85</v>
      </c>
      <c r="I5488" s="3" t="s">
        <v>45</v>
      </c>
    </row>
    <row r="5489" spans="1:9" ht="48" customHeight="1">
      <c r="A5489" s="3" t="s">
        <v>79</v>
      </c>
      <c r="B5489" s="3" t="s">
        <v>78</v>
      </c>
      <c r="C5489" s="4">
        <v>43344</v>
      </c>
      <c r="D5489" s="4">
        <v>43373</v>
      </c>
      <c r="E5489" s="3" t="s">
        <v>236</v>
      </c>
      <c r="F5489" s="3" t="s">
        <v>238</v>
      </c>
      <c r="G5489" s="5">
        <v>2E-3</v>
      </c>
      <c r="H5489" s="6" t="s">
        <v>85</v>
      </c>
      <c r="I5489" s="3" t="s">
        <v>45</v>
      </c>
    </row>
    <row r="5490" spans="1:9" ht="48" customHeight="1">
      <c r="A5490" s="3" t="s">
        <v>79</v>
      </c>
      <c r="B5490" s="3" t="s">
        <v>78</v>
      </c>
      <c r="C5490" s="4">
        <v>43344</v>
      </c>
      <c r="D5490" s="4">
        <v>43373</v>
      </c>
      <c r="E5490" s="3" t="s">
        <v>236</v>
      </c>
      <c r="F5490" s="3" t="s">
        <v>239</v>
      </c>
      <c r="G5490" s="5">
        <v>2E-3</v>
      </c>
      <c r="H5490" s="6" t="s">
        <v>85</v>
      </c>
      <c r="I5490" s="3" t="s">
        <v>45</v>
      </c>
    </row>
    <row r="5491" spans="1:9" ht="48" customHeight="1">
      <c r="A5491" s="3" t="s">
        <v>79</v>
      </c>
      <c r="B5491" s="3" t="s">
        <v>78</v>
      </c>
      <c r="C5491" s="4">
        <v>43344</v>
      </c>
      <c r="D5491" s="4">
        <v>43373</v>
      </c>
      <c r="E5491" s="3" t="s">
        <v>236</v>
      </c>
      <c r="F5491" s="3" t="s">
        <v>232</v>
      </c>
      <c r="G5491" s="5">
        <v>2E-3</v>
      </c>
      <c r="H5491" s="6" t="s">
        <v>85</v>
      </c>
      <c r="I5491" s="3" t="s">
        <v>45</v>
      </c>
    </row>
    <row r="5492" spans="1:9" ht="48" customHeight="1">
      <c r="A5492" s="3" t="s">
        <v>79</v>
      </c>
      <c r="B5492" s="3" t="s">
        <v>78</v>
      </c>
      <c r="C5492" s="4">
        <v>43344</v>
      </c>
      <c r="D5492" s="4">
        <v>43373</v>
      </c>
      <c r="E5492" s="3" t="s">
        <v>236</v>
      </c>
      <c r="F5492" s="3" t="s">
        <v>230</v>
      </c>
      <c r="G5492" s="5">
        <v>1E-3</v>
      </c>
      <c r="H5492" s="6" t="s">
        <v>85</v>
      </c>
      <c r="I5492" s="3" t="s">
        <v>45</v>
      </c>
    </row>
    <row r="5493" spans="1:9" ht="48" customHeight="1">
      <c r="A5493" s="3" t="s">
        <v>79</v>
      </c>
      <c r="B5493" s="3" t="s">
        <v>78</v>
      </c>
      <c r="C5493" s="4">
        <v>43344</v>
      </c>
      <c r="D5493" s="4">
        <v>43373</v>
      </c>
      <c r="E5493" s="3" t="s">
        <v>236</v>
      </c>
      <c r="F5493" s="3" t="s">
        <v>241</v>
      </c>
      <c r="G5493" s="5">
        <v>1E-3</v>
      </c>
      <c r="H5493" s="6" t="s">
        <v>85</v>
      </c>
      <c r="I5493" s="3" t="s">
        <v>45</v>
      </c>
    </row>
    <row r="5494" spans="1:9" ht="48" customHeight="1">
      <c r="A5494" s="3" t="s">
        <v>79</v>
      </c>
      <c r="B5494" s="3" t="s">
        <v>78</v>
      </c>
      <c r="C5494" s="4">
        <v>43344</v>
      </c>
      <c r="D5494" s="4">
        <v>43373</v>
      </c>
      <c r="E5494" s="3" t="s">
        <v>236</v>
      </c>
      <c r="F5494" s="3" t="s">
        <v>234</v>
      </c>
      <c r="G5494" s="5">
        <v>0</v>
      </c>
      <c r="H5494" s="6" t="s">
        <v>85</v>
      </c>
      <c r="I5494" s="3" t="s">
        <v>45</v>
      </c>
    </row>
    <row r="5495" spans="1:9" ht="48" customHeight="1">
      <c r="A5495" s="3" t="s">
        <v>79</v>
      </c>
      <c r="B5495" s="3" t="s">
        <v>78</v>
      </c>
      <c r="C5495" s="4">
        <v>43344</v>
      </c>
      <c r="D5495" s="4">
        <v>43373</v>
      </c>
      <c r="E5495" s="3" t="s">
        <v>236</v>
      </c>
      <c r="F5495" s="3" t="s">
        <v>242</v>
      </c>
      <c r="G5495" s="5">
        <v>0</v>
      </c>
      <c r="H5495" s="6" t="s">
        <v>85</v>
      </c>
      <c r="I5495" s="3" t="s">
        <v>45</v>
      </c>
    </row>
    <row r="5496" spans="1:9" ht="48" customHeight="1">
      <c r="A5496" s="3" t="s">
        <v>79</v>
      </c>
      <c r="B5496" s="3" t="s">
        <v>78</v>
      </c>
      <c r="C5496" s="4">
        <v>43344</v>
      </c>
      <c r="D5496" s="4">
        <v>43373</v>
      </c>
      <c r="E5496" s="3" t="s">
        <v>236</v>
      </c>
      <c r="F5496" s="3" t="s">
        <v>243</v>
      </c>
      <c r="G5496" s="5">
        <v>0</v>
      </c>
      <c r="H5496" s="6" t="s">
        <v>85</v>
      </c>
      <c r="I5496" s="3" t="s">
        <v>45</v>
      </c>
    </row>
    <row r="5497" spans="1:9" ht="48" customHeight="1">
      <c r="A5497" s="3" t="s">
        <v>79</v>
      </c>
      <c r="B5497" s="3" t="s">
        <v>78</v>
      </c>
      <c r="C5497" s="4">
        <v>43344</v>
      </c>
      <c r="D5497" s="4">
        <v>43373</v>
      </c>
      <c r="E5497" s="3" t="s">
        <v>68</v>
      </c>
      <c r="F5497" s="3" t="s">
        <v>150</v>
      </c>
      <c r="G5497" s="5">
        <v>3.0000000000000001E-3</v>
      </c>
      <c r="H5497" s="6" t="s">
        <v>85</v>
      </c>
      <c r="I5497" s="3" t="s">
        <v>45</v>
      </c>
    </row>
    <row r="5498" spans="1:9" ht="48" customHeight="1">
      <c r="A5498" s="3" t="s">
        <v>79</v>
      </c>
      <c r="B5498" s="3" t="s">
        <v>78</v>
      </c>
      <c r="C5498" s="4">
        <v>43344</v>
      </c>
      <c r="D5498" s="4">
        <v>43373</v>
      </c>
      <c r="E5498" s="3" t="s">
        <v>68</v>
      </c>
      <c r="F5498" s="3" t="s">
        <v>147</v>
      </c>
      <c r="G5498" s="5">
        <v>3.0000000000000001E-3</v>
      </c>
      <c r="H5498" s="6" t="s">
        <v>85</v>
      </c>
      <c r="I5498" s="3" t="s">
        <v>45</v>
      </c>
    </row>
    <row r="5499" spans="1:9" ht="48" customHeight="1">
      <c r="A5499" s="3" t="s">
        <v>79</v>
      </c>
      <c r="B5499" s="3" t="s">
        <v>78</v>
      </c>
      <c r="C5499" s="4">
        <v>43344</v>
      </c>
      <c r="D5499" s="4">
        <v>43373</v>
      </c>
      <c r="E5499" s="3" t="s">
        <v>68</v>
      </c>
      <c r="F5499" s="3" t="s">
        <v>151</v>
      </c>
      <c r="G5499" s="5">
        <v>2E-3</v>
      </c>
      <c r="H5499" s="6" t="s">
        <v>85</v>
      </c>
      <c r="I5499" s="3" t="s">
        <v>45</v>
      </c>
    </row>
    <row r="5500" spans="1:9" ht="48" customHeight="1">
      <c r="A5500" s="3" t="s">
        <v>79</v>
      </c>
      <c r="B5500" s="3" t="s">
        <v>78</v>
      </c>
      <c r="C5500" s="4">
        <v>43344</v>
      </c>
      <c r="D5500" s="4">
        <v>43373</v>
      </c>
      <c r="E5500" s="3" t="s">
        <v>68</v>
      </c>
      <c r="F5500" s="3" t="s">
        <v>149</v>
      </c>
      <c r="G5500" s="5">
        <v>1E-3</v>
      </c>
      <c r="H5500" s="6" t="s">
        <v>85</v>
      </c>
      <c r="I5500" s="3" t="s">
        <v>45</v>
      </c>
    </row>
    <row r="5501" spans="1:9" ht="48" customHeight="1">
      <c r="A5501" s="3" t="s">
        <v>79</v>
      </c>
      <c r="B5501" s="3" t="s">
        <v>78</v>
      </c>
      <c r="C5501" s="4">
        <v>43344</v>
      </c>
      <c r="D5501" s="4">
        <v>43373</v>
      </c>
      <c r="E5501" s="3" t="s">
        <v>68</v>
      </c>
      <c r="F5501" s="3" t="s">
        <v>148</v>
      </c>
      <c r="G5501" s="5">
        <v>1E-3</v>
      </c>
      <c r="H5501" s="6" t="s">
        <v>85</v>
      </c>
      <c r="I5501" s="3" t="s">
        <v>45</v>
      </c>
    </row>
    <row r="5502" spans="1:9" ht="48" customHeight="1">
      <c r="A5502" s="3" t="s">
        <v>79</v>
      </c>
      <c r="B5502" s="3" t="s">
        <v>78</v>
      </c>
      <c r="C5502" s="4">
        <v>43344</v>
      </c>
      <c r="D5502" s="4">
        <v>43373</v>
      </c>
      <c r="E5502" s="3" t="s">
        <v>68</v>
      </c>
      <c r="F5502" s="3" t="s">
        <v>155</v>
      </c>
      <c r="G5502" s="5">
        <v>0</v>
      </c>
      <c r="H5502" s="6" t="s">
        <v>85</v>
      </c>
      <c r="I5502" s="3" t="s">
        <v>45</v>
      </c>
    </row>
    <row r="5503" spans="1:9" ht="48" customHeight="1">
      <c r="A5503" s="3" t="s">
        <v>79</v>
      </c>
      <c r="B5503" s="3" t="s">
        <v>78</v>
      </c>
      <c r="C5503" s="4">
        <v>43344</v>
      </c>
      <c r="D5503" s="4">
        <v>43373</v>
      </c>
      <c r="E5503" s="3" t="s">
        <v>68</v>
      </c>
      <c r="F5503" s="3" t="s">
        <v>152</v>
      </c>
      <c r="G5503" s="5">
        <v>0</v>
      </c>
      <c r="H5503" s="6" t="s">
        <v>85</v>
      </c>
      <c r="I5503" s="3" t="s">
        <v>45</v>
      </c>
    </row>
    <row r="5504" spans="1:9" ht="48" customHeight="1">
      <c r="A5504" s="3" t="s">
        <v>79</v>
      </c>
      <c r="B5504" s="3" t="s">
        <v>78</v>
      </c>
      <c r="C5504" s="4">
        <v>43344</v>
      </c>
      <c r="D5504" s="4">
        <v>43373</v>
      </c>
      <c r="E5504" s="3" t="s">
        <v>68</v>
      </c>
      <c r="F5504" s="3" t="s">
        <v>157</v>
      </c>
      <c r="G5504" s="5">
        <v>0</v>
      </c>
      <c r="H5504" s="6" t="s">
        <v>85</v>
      </c>
      <c r="I5504" s="3" t="s">
        <v>45</v>
      </c>
    </row>
    <row r="5505" spans="1:9" ht="48" customHeight="1">
      <c r="A5505" s="3" t="s">
        <v>79</v>
      </c>
      <c r="B5505" s="3" t="s">
        <v>78</v>
      </c>
      <c r="C5505" s="4">
        <v>43344</v>
      </c>
      <c r="D5505" s="4">
        <v>43373</v>
      </c>
      <c r="E5505" s="3" t="s">
        <v>68</v>
      </c>
      <c r="F5505" s="3" t="s">
        <v>159</v>
      </c>
      <c r="G5505" s="5">
        <v>0</v>
      </c>
      <c r="H5505" s="6" t="s">
        <v>85</v>
      </c>
      <c r="I5505" s="3" t="s">
        <v>45</v>
      </c>
    </row>
    <row r="5506" spans="1:9" ht="48" customHeight="1">
      <c r="A5506" s="3" t="s">
        <v>79</v>
      </c>
      <c r="B5506" s="3" t="s">
        <v>78</v>
      </c>
      <c r="C5506" s="4">
        <v>43344</v>
      </c>
      <c r="D5506" s="4">
        <v>43373</v>
      </c>
      <c r="E5506" s="3" t="s">
        <v>68</v>
      </c>
      <c r="F5506" s="3" t="s">
        <v>160</v>
      </c>
      <c r="G5506" s="5">
        <v>0</v>
      </c>
      <c r="H5506" s="6" t="s">
        <v>85</v>
      </c>
      <c r="I5506" s="3" t="s">
        <v>45</v>
      </c>
    </row>
    <row r="5507" spans="1:9" ht="48" customHeight="1">
      <c r="A5507" s="3" t="s">
        <v>79</v>
      </c>
      <c r="B5507" s="3" t="s">
        <v>78</v>
      </c>
      <c r="C5507" s="4">
        <v>43344</v>
      </c>
      <c r="D5507" s="4">
        <v>43373</v>
      </c>
      <c r="E5507" s="3" t="s">
        <v>68</v>
      </c>
      <c r="F5507" s="3" t="s">
        <v>156</v>
      </c>
      <c r="G5507" s="5">
        <v>0</v>
      </c>
      <c r="H5507" s="6" t="s">
        <v>85</v>
      </c>
      <c r="I5507" s="3" t="s">
        <v>45</v>
      </c>
    </row>
    <row r="5508" spans="1:9" ht="48" customHeight="1">
      <c r="A5508" s="3" t="s">
        <v>79</v>
      </c>
      <c r="B5508" s="3" t="s">
        <v>78</v>
      </c>
      <c r="C5508" s="4">
        <v>43344</v>
      </c>
      <c r="D5508" s="4">
        <v>43373</v>
      </c>
      <c r="E5508" s="3" t="s">
        <v>68</v>
      </c>
      <c r="F5508" s="3" t="s">
        <v>158</v>
      </c>
      <c r="G5508" s="5">
        <v>0</v>
      </c>
      <c r="H5508" s="6" t="s">
        <v>85</v>
      </c>
      <c r="I5508" s="3" t="s">
        <v>45</v>
      </c>
    </row>
    <row r="5509" spans="1:9" ht="48" customHeight="1">
      <c r="A5509" s="3" t="s">
        <v>79</v>
      </c>
      <c r="B5509" s="3" t="s">
        <v>78</v>
      </c>
      <c r="C5509" s="4">
        <v>43344</v>
      </c>
      <c r="D5509" s="4">
        <v>43373</v>
      </c>
      <c r="E5509" s="3" t="s">
        <v>68</v>
      </c>
      <c r="F5509" s="3" t="s">
        <v>153</v>
      </c>
      <c r="G5509" s="5">
        <v>0</v>
      </c>
      <c r="H5509" s="6" t="s">
        <v>85</v>
      </c>
      <c r="I5509" s="3" t="s">
        <v>45</v>
      </c>
    </row>
    <row r="5510" spans="1:9" ht="48" customHeight="1">
      <c r="A5510" s="3" t="s">
        <v>79</v>
      </c>
      <c r="B5510" s="3" t="s">
        <v>78</v>
      </c>
      <c r="C5510" s="4">
        <v>43344</v>
      </c>
      <c r="D5510" s="4">
        <v>43373</v>
      </c>
      <c r="E5510" s="3" t="s">
        <v>68</v>
      </c>
      <c r="F5510" s="3" t="s">
        <v>146</v>
      </c>
      <c r="G5510" s="5">
        <v>0</v>
      </c>
      <c r="H5510" s="6" t="s">
        <v>85</v>
      </c>
      <c r="I5510" s="3" t="s">
        <v>45</v>
      </c>
    </row>
    <row r="5511" spans="1:9" ht="48" customHeight="1">
      <c r="A5511" s="3" t="s">
        <v>79</v>
      </c>
      <c r="B5511" s="3" t="s">
        <v>78</v>
      </c>
      <c r="C5511" s="4">
        <v>43344</v>
      </c>
      <c r="D5511" s="4">
        <v>43373</v>
      </c>
      <c r="E5511" s="3" t="s">
        <v>68</v>
      </c>
      <c r="F5511" s="3" t="s">
        <v>66</v>
      </c>
      <c r="G5511" s="5">
        <v>0</v>
      </c>
      <c r="H5511" s="6" t="s">
        <v>85</v>
      </c>
      <c r="I5511" s="3" t="s">
        <v>45</v>
      </c>
    </row>
    <row r="5512" spans="1:9" ht="48" customHeight="1">
      <c r="A5512" s="3" t="s">
        <v>79</v>
      </c>
      <c r="B5512" s="3" t="s">
        <v>78</v>
      </c>
      <c r="C5512" s="4">
        <v>43344</v>
      </c>
      <c r="D5512" s="4">
        <v>43373</v>
      </c>
      <c r="E5512" s="3" t="s">
        <v>68</v>
      </c>
      <c r="F5512" s="3" t="s">
        <v>154</v>
      </c>
      <c r="G5512" s="5">
        <v>0</v>
      </c>
      <c r="H5512" s="6" t="s">
        <v>85</v>
      </c>
      <c r="I5512" s="3" t="s">
        <v>45</v>
      </c>
    </row>
    <row r="5513" spans="1:9" ht="48" customHeight="1">
      <c r="A5513" s="3" t="s">
        <v>79</v>
      </c>
      <c r="B5513" s="3" t="s">
        <v>78</v>
      </c>
      <c r="C5513" s="4">
        <v>43344</v>
      </c>
      <c r="D5513" s="4">
        <v>43373</v>
      </c>
      <c r="E5513" s="3" t="s">
        <v>231</v>
      </c>
      <c r="F5513" s="3" t="s">
        <v>232</v>
      </c>
      <c r="G5513" s="5">
        <v>2E-3</v>
      </c>
      <c r="H5513" s="6" t="s">
        <v>85</v>
      </c>
      <c r="I5513" s="3" t="s">
        <v>45</v>
      </c>
    </row>
    <row r="5514" spans="1:9" ht="48" customHeight="1">
      <c r="A5514" s="3" t="s">
        <v>79</v>
      </c>
      <c r="B5514" s="3" t="s">
        <v>78</v>
      </c>
      <c r="C5514" s="4">
        <v>43344</v>
      </c>
      <c r="D5514" s="4">
        <v>43373</v>
      </c>
      <c r="E5514" s="3" t="s">
        <v>231</v>
      </c>
      <c r="F5514" s="3" t="s">
        <v>233</v>
      </c>
      <c r="G5514" s="5">
        <v>2E-3</v>
      </c>
      <c r="H5514" s="6" t="s">
        <v>85</v>
      </c>
      <c r="I5514" s="3" t="s">
        <v>45</v>
      </c>
    </row>
    <row r="5515" spans="1:9" ht="48" customHeight="1">
      <c r="A5515" s="3" t="s">
        <v>79</v>
      </c>
      <c r="B5515" s="3" t="s">
        <v>78</v>
      </c>
      <c r="C5515" s="4">
        <v>43344</v>
      </c>
      <c r="D5515" s="4">
        <v>43373</v>
      </c>
      <c r="E5515" s="3" t="s">
        <v>231</v>
      </c>
      <c r="F5515" s="3" t="s">
        <v>234</v>
      </c>
      <c r="G5515" s="5">
        <v>1E-3</v>
      </c>
      <c r="H5515" s="6" t="s">
        <v>85</v>
      </c>
      <c r="I5515" s="3" t="s">
        <v>45</v>
      </c>
    </row>
    <row r="5516" spans="1:9" ht="48" customHeight="1">
      <c r="A5516" s="3" t="s">
        <v>79</v>
      </c>
      <c r="B5516" s="3" t="s">
        <v>78</v>
      </c>
      <c r="C5516" s="4">
        <v>43344</v>
      </c>
      <c r="D5516" s="4">
        <v>43373</v>
      </c>
      <c r="E5516" s="3" t="s">
        <v>231</v>
      </c>
      <c r="F5516" s="3" t="s">
        <v>230</v>
      </c>
      <c r="G5516" s="5">
        <v>1E-3</v>
      </c>
      <c r="H5516" s="6" t="s">
        <v>85</v>
      </c>
      <c r="I5516" s="3" t="s">
        <v>45</v>
      </c>
    </row>
    <row r="5517" spans="1:9" ht="48" customHeight="1">
      <c r="A5517" s="3" t="s">
        <v>79</v>
      </c>
      <c r="B5517" s="3" t="s">
        <v>78</v>
      </c>
      <c r="C5517" s="4">
        <v>43344</v>
      </c>
      <c r="D5517" s="4">
        <v>43373</v>
      </c>
      <c r="E5517" s="3" t="s">
        <v>231</v>
      </c>
      <c r="F5517" s="3" t="s">
        <v>235</v>
      </c>
      <c r="G5517" s="5">
        <v>1E-3</v>
      </c>
      <c r="H5517" s="6" t="s">
        <v>85</v>
      </c>
      <c r="I5517" s="3" t="s">
        <v>45</v>
      </c>
    </row>
    <row r="5518" spans="1:9" ht="48" customHeight="1">
      <c r="A5518" s="3" t="s">
        <v>79</v>
      </c>
      <c r="B5518" s="3" t="s">
        <v>78</v>
      </c>
      <c r="C5518" s="4">
        <v>43344</v>
      </c>
      <c r="D5518" s="4">
        <v>43373</v>
      </c>
      <c r="E5518" s="3" t="s">
        <v>260</v>
      </c>
      <c r="F5518" s="3" t="s">
        <v>262</v>
      </c>
      <c r="G5518" s="5">
        <v>1E-3</v>
      </c>
      <c r="H5518" s="6" t="s">
        <v>85</v>
      </c>
      <c r="I5518" s="3" t="s">
        <v>45</v>
      </c>
    </row>
    <row r="5519" spans="1:9" ht="48" customHeight="1">
      <c r="A5519" s="3" t="s">
        <v>79</v>
      </c>
      <c r="B5519" s="3" t="s">
        <v>78</v>
      </c>
      <c r="C5519" s="4">
        <v>43344</v>
      </c>
      <c r="D5519" s="4">
        <v>43373</v>
      </c>
      <c r="E5519" s="3" t="s">
        <v>260</v>
      </c>
      <c r="F5519" s="3" t="s">
        <v>261</v>
      </c>
      <c r="G5519" s="5">
        <v>1E-3</v>
      </c>
      <c r="H5519" s="6" t="s">
        <v>85</v>
      </c>
      <c r="I5519" s="3" t="s">
        <v>45</v>
      </c>
    </row>
    <row r="5520" spans="1:9" ht="48" customHeight="1">
      <c r="A5520" s="3" t="s">
        <v>79</v>
      </c>
      <c r="B5520" s="3" t="s">
        <v>78</v>
      </c>
      <c r="C5520" s="4">
        <v>43344</v>
      </c>
      <c r="D5520" s="4">
        <v>43373</v>
      </c>
      <c r="E5520" s="3" t="s">
        <v>260</v>
      </c>
      <c r="F5520" s="3" t="s">
        <v>266</v>
      </c>
      <c r="G5520" s="5">
        <v>1E-3</v>
      </c>
      <c r="H5520" s="6" t="s">
        <v>85</v>
      </c>
      <c r="I5520" s="3" t="s">
        <v>45</v>
      </c>
    </row>
    <row r="5521" spans="1:9" ht="48" customHeight="1">
      <c r="A5521" s="3" t="s">
        <v>79</v>
      </c>
      <c r="B5521" s="3" t="s">
        <v>78</v>
      </c>
      <c r="C5521" s="4">
        <v>43344</v>
      </c>
      <c r="D5521" s="4">
        <v>43373</v>
      </c>
      <c r="E5521" s="3" t="s">
        <v>260</v>
      </c>
      <c r="F5521" s="3" t="s">
        <v>268</v>
      </c>
      <c r="G5521" s="5">
        <v>1E-3</v>
      </c>
      <c r="H5521" s="6" t="s">
        <v>85</v>
      </c>
      <c r="I5521" s="3" t="s">
        <v>45</v>
      </c>
    </row>
    <row r="5522" spans="1:9" ht="48" customHeight="1">
      <c r="A5522" s="3" t="s">
        <v>79</v>
      </c>
      <c r="B5522" s="3" t="s">
        <v>78</v>
      </c>
      <c r="C5522" s="4">
        <v>43344</v>
      </c>
      <c r="D5522" s="4">
        <v>43373</v>
      </c>
      <c r="E5522" s="3" t="s">
        <v>260</v>
      </c>
      <c r="F5522" s="3" t="s">
        <v>234</v>
      </c>
      <c r="G5522" s="5">
        <v>0</v>
      </c>
      <c r="H5522" s="6" t="s">
        <v>85</v>
      </c>
      <c r="I5522" s="3" t="s">
        <v>45</v>
      </c>
    </row>
    <row r="5523" spans="1:9" ht="48" customHeight="1">
      <c r="A5523" s="3" t="s">
        <v>79</v>
      </c>
      <c r="B5523" s="3" t="s">
        <v>78</v>
      </c>
      <c r="C5523" s="4">
        <v>43344</v>
      </c>
      <c r="D5523" s="4">
        <v>43373</v>
      </c>
      <c r="E5523" s="3" t="s">
        <v>260</v>
      </c>
      <c r="F5523" s="3" t="s">
        <v>232</v>
      </c>
      <c r="G5523" s="5">
        <v>0</v>
      </c>
      <c r="H5523" s="6" t="s">
        <v>85</v>
      </c>
      <c r="I5523" s="3" t="s">
        <v>45</v>
      </c>
    </row>
    <row r="5524" spans="1:9" ht="48" customHeight="1">
      <c r="A5524" s="3" t="s">
        <v>79</v>
      </c>
      <c r="B5524" s="3" t="s">
        <v>78</v>
      </c>
      <c r="C5524" s="4">
        <v>43344</v>
      </c>
      <c r="D5524" s="4">
        <v>43373</v>
      </c>
      <c r="E5524" s="3" t="s">
        <v>260</v>
      </c>
      <c r="F5524" s="3" t="s">
        <v>265</v>
      </c>
      <c r="G5524" s="5">
        <v>0</v>
      </c>
      <c r="H5524" s="6" t="s">
        <v>85</v>
      </c>
      <c r="I5524" s="3" t="s">
        <v>45</v>
      </c>
    </row>
    <row r="5525" spans="1:9" ht="48" customHeight="1">
      <c r="A5525" s="3" t="s">
        <v>79</v>
      </c>
      <c r="B5525" s="3" t="s">
        <v>78</v>
      </c>
      <c r="C5525" s="4">
        <v>43344</v>
      </c>
      <c r="D5525" s="4">
        <v>43373</v>
      </c>
      <c r="E5525" s="3" t="s">
        <v>260</v>
      </c>
      <c r="F5525" s="3" t="s">
        <v>263</v>
      </c>
      <c r="G5525" s="5">
        <v>0</v>
      </c>
      <c r="H5525" s="6" t="s">
        <v>85</v>
      </c>
      <c r="I5525" s="3" t="s">
        <v>45</v>
      </c>
    </row>
    <row r="5526" spans="1:9" ht="48" customHeight="1">
      <c r="A5526" s="3" t="s">
        <v>79</v>
      </c>
      <c r="B5526" s="3" t="s">
        <v>78</v>
      </c>
      <c r="C5526" s="4">
        <v>43344</v>
      </c>
      <c r="D5526" s="4">
        <v>43373</v>
      </c>
      <c r="E5526" s="3" t="s">
        <v>260</v>
      </c>
      <c r="F5526" s="3" t="s">
        <v>264</v>
      </c>
      <c r="G5526" s="5">
        <v>0</v>
      </c>
      <c r="H5526" s="6" t="s">
        <v>85</v>
      </c>
      <c r="I5526" s="3" t="s">
        <v>45</v>
      </c>
    </row>
    <row r="5527" spans="1:9" ht="48" customHeight="1">
      <c r="A5527" s="3" t="s">
        <v>79</v>
      </c>
      <c r="B5527" s="3" t="s">
        <v>78</v>
      </c>
      <c r="C5527" s="4">
        <v>43344</v>
      </c>
      <c r="D5527" s="4">
        <v>43373</v>
      </c>
      <c r="E5527" s="3" t="s">
        <v>260</v>
      </c>
      <c r="F5527" s="3" t="s">
        <v>267</v>
      </c>
      <c r="G5527" s="5">
        <v>0</v>
      </c>
      <c r="H5527" s="6" t="s">
        <v>85</v>
      </c>
      <c r="I5527" s="3" t="s">
        <v>45</v>
      </c>
    </row>
    <row r="5528" spans="1:9" ht="48" customHeight="1">
      <c r="A5528" s="3" t="s">
        <v>79</v>
      </c>
      <c r="B5528" s="3" t="s">
        <v>78</v>
      </c>
      <c r="C5528" s="4">
        <v>43344</v>
      </c>
      <c r="D5528" s="4">
        <v>43373</v>
      </c>
      <c r="E5528" s="3" t="s">
        <v>260</v>
      </c>
      <c r="F5528" s="3" t="s">
        <v>273</v>
      </c>
      <c r="G5528" s="5">
        <v>0</v>
      </c>
      <c r="H5528" s="6" t="s">
        <v>85</v>
      </c>
      <c r="I5528" s="3" t="s">
        <v>45</v>
      </c>
    </row>
    <row r="5529" spans="1:9" ht="48" customHeight="1">
      <c r="A5529" s="3" t="s">
        <v>79</v>
      </c>
      <c r="B5529" s="3" t="s">
        <v>78</v>
      </c>
      <c r="C5529" s="4">
        <v>43344</v>
      </c>
      <c r="D5529" s="4">
        <v>43373</v>
      </c>
      <c r="E5529" s="3" t="s">
        <v>260</v>
      </c>
      <c r="F5529" s="3" t="s">
        <v>274</v>
      </c>
      <c r="G5529" s="5">
        <v>0</v>
      </c>
      <c r="H5529" s="6" t="s">
        <v>85</v>
      </c>
      <c r="I5529" s="3" t="s">
        <v>45</v>
      </c>
    </row>
    <row r="5530" spans="1:9" ht="48" customHeight="1">
      <c r="A5530" s="3" t="s">
        <v>79</v>
      </c>
      <c r="B5530" s="3" t="s">
        <v>78</v>
      </c>
      <c r="C5530" s="4">
        <v>43344</v>
      </c>
      <c r="D5530" s="4">
        <v>43373</v>
      </c>
      <c r="E5530" s="3" t="s">
        <v>260</v>
      </c>
      <c r="F5530" s="3" t="s">
        <v>275</v>
      </c>
      <c r="G5530" s="5">
        <v>0</v>
      </c>
      <c r="H5530" s="6" t="s">
        <v>85</v>
      </c>
      <c r="I5530" s="3" t="s">
        <v>45</v>
      </c>
    </row>
    <row r="5531" spans="1:9" ht="48" customHeight="1">
      <c r="A5531" s="3" t="s">
        <v>79</v>
      </c>
      <c r="B5531" s="3" t="s">
        <v>78</v>
      </c>
      <c r="C5531" s="4">
        <v>43344</v>
      </c>
      <c r="D5531" s="4">
        <v>43373</v>
      </c>
      <c r="E5531" s="3" t="s">
        <v>260</v>
      </c>
      <c r="F5531" s="3" t="s">
        <v>276</v>
      </c>
      <c r="G5531" s="5">
        <v>0</v>
      </c>
      <c r="H5531" s="6" t="s">
        <v>85</v>
      </c>
      <c r="I5531" s="3" t="s">
        <v>45</v>
      </c>
    </row>
    <row r="5532" spans="1:9" ht="48" customHeight="1">
      <c r="A5532" s="3" t="s">
        <v>79</v>
      </c>
      <c r="B5532" s="3" t="s">
        <v>78</v>
      </c>
      <c r="C5532" s="4">
        <v>43344</v>
      </c>
      <c r="D5532" s="4">
        <v>43373</v>
      </c>
      <c r="E5532" s="3" t="s">
        <v>260</v>
      </c>
      <c r="F5532" s="3" t="s">
        <v>277</v>
      </c>
      <c r="G5532" s="5">
        <v>0</v>
      </c>
      <c r="H5532" s="6" t="s">
        <v>85</v>
      </c>
      <c r="I5532" s="3" t="s">
        <v>45</v>
      </c>
    </row>
    <row r="5533" spans="1:9" ht="48" customHeight="1">
      <c r="A5533" s="3" t="s">
        <v>79</v>
      </c>
      <c r="B5533" s="3" t="s">
        <v>78</v>
      </c>
      <c r="C5533" s="4">
        <v>43344</v>
      </c>
      <c r="D5533" s="4">
        <v>43373</v>
      </c>
      <c r="E5533" s="3" t="s">
        <v>260</v>
      </c>
      <c r="F5533" s="3" t="s">
        <v>278</v>
      </c>
      <c r="G5533" s="5">
        <v>0</v>
      </c>
      <c r="H5533" s="6" t="s">
        <v>85</v>
      </c>
      <c r="I5533" s="3" t="s">
        <v>45</v>
      </c>
    </row>
    <row r="5534" spans="1:9" ht="48" customHeight="1">
      <c r="A5534" s="3" t="s">
        <v>79</v>
      </c>
      <c r="B5534" s="3" t="s">
        <v>78</v>
      </c>
      <c r="C5534" s="4">
        <v>43344</v>
      </c>
      <c r="D5534" s="4">
        <v>43373</v>
      </c>
      <c r="E5534" s="3" t="s">
        <v>260</v>
      </c>
      <c r="F5534" s="3" t="s">
        <v>269</v>
      </c>
      <c r="G5534" s="5">
        <v>0</v>
      </c>
      <c r="H5534" s="6" t="s">
        <v>85</v>
      </c>
      <c r="I5534" s="3" t="s">
        <v>45</v>
      </c>
    </row>
    <row r="5535" spans="1:9" ht="48" customHeight="1">
      <c r="A5535" s="3" t="s">
        <v>79</v>
      </c>
      <c r="B5535" s="3" t="s">
        <v>78</v>
      </c>
      <c r="C5535" s="4">
        <v>43344</v>
      </c>
      <c r="D5535" s="4">
        <v>43373</v>
      </c>
      <c r="E5535" s="3" t="s">
        <v>260</v>
      </c>
      <c r="F5535" s="3" t="s">
        <v>279</v>
      </c>
      <c r="G5535" s="5">
        <v>0</v>
      </c>
      <c r="H5535" s="6" t="s">
        <v>85</v>
      </c>
      <c r="I5535" s="3" t="s">
        <v>45</v>
      </c>
    </row>
    <row r="5536" spans="1:9" ht="48" customHeight="1">
      <c r="A5536" s="3" t="s">
        <v>79</v>
      </c>
      <c r="B5536" s="3" t="s">
        <v>78</v>
      </c>
      <c r="C5536" s="4">
        <v>43344</v>
      </c>
      <c r="D5536" s="4">
        <v>43373</v>
      </c>
      <c r="E5536" s="3" t="s">
        <v>260</v>
      </c>
      <c r="F5536" s="3" t="s">
        <v>270</v>
      </c>
      <c r="G5536" s="5">
        <v>0</v>
      </c>
      <c r="H5536" s="6" t="s">
        <v>85</v>
      </c>
      <c r="I5536" s="3" t="s">
        <v>45</v>
      </c>
    </row>
    <row r="5537" spans="1:9" ht="48" customHeight="1">
      <c r="A5537" s="3" t="s">
        <v>79</v>
      </c>
      <c r="B5537" s="3" t="s">
        <v>78</v>
      </c>
      <c r="C5537" s="4">
        <v>43344</v>
      </c>
      <c r="D5537" s="4">
        <v>43373</v>
      </c>
      <c r="E5537" s="3" t="s">
        <v>260</v>
      </c>
      <c r="F5537" s="3" t="s">
        <v>280</v>
      </c>
      <c r="G5537" s="5">
        <v>0</v>
      </c>
      <c r="H5537" s="6" t="s">
        <v>85</v>
      </c>
      <c r="I5537" s="3" t="s">
        <v>45</v>
      </c>
    </row>
    <row r="5538" spans="1:9" ht="48" customHeight="1">
      <c r="A5538" s="3" t="s">
        <v>79</v>
      </c>
      <c r="B5538" s="3" t="s">
        <v>78</v>
      </c>
      <c r="C5538" s="4">
        <v>43344</v>
      </c>
      <c r="D5538" s="4">
        <v>43373</v>
      </c>
      <c r="E5538" s="3" t="s">
        <v>260</v>
      </c>
      <c r="F5538" s="3" t="s">
        <v>271</v>
      </c>
      <c r="G5538" s="5">
        <v>0</v>
      </c>
      <c r="H5538" s="6" t="s">
        <v>85</v>
      </c>
      <c r="I5538" s="3" t="s">
        <v>45</v>
      </c>
    </row>
    <row r="5539" spans="1:9" ht="48" customHeight="1">
      <c r="A5539" s="3" t="s">
        <v>79</v>
      </c>
      <c r="B5539" s="3" t="s">
        <v>78</v>
      </c>
      <c r="C5539" s="4">
        <v>43344</v>
      </c>
      <c r="D5539" s="4">
        <v>43373</v>
      </c>
      <c r="E5539" s="3" t="s">
        <v>260</v>
      </c>
      <c r="F5539" s="3" t="s">
        <v>281</v>
      </c>
      <c r="G5539" s="5">
        <v>0</v>
      </c>
      <c r="H5539" s="6" t="s">
        <v>85</v>
      </c>
      <c r="I5539" s="3" t="s">
        <v>45</v>
      </c>
    </row>
    <row r="5540" spans="1:9" ht="48" customHeight="1">
      <c r="A5540" s="3" t="s">
        <v>79</v>
      </c>
      <c r="B5540" s="3" t="s">
        <v>78</v>
      </c>
      <c r="C5540" s="4">
        <v>43344</v>
      </c>
      <c r="D5540" s="4">
        <v>43373</v>
      </c>
      <c r="E5540" s="3" t="s">
        <v>260</v>
      </c>
      <c r="F5540" s="3" t="s">
        <v>272</v>
      </c>
      <c r="G5540" s="5">
        <v>0</v>
      </c>
      <c r="H5540" s="6" t="s">
        <v>85</v>
      </c>
      <c r="I5540" s="3" t="s">
        <v>45</v>
      </c>
    </row>
    <row r="5541" spans="1:9" ht="48" customHeight="1">
      <c r="A5541" s="3" t="s">
        <v>79</v>
      </c>
      <c r="B5541" s="3" t="s">
        <v>78</v>
      </c>
      <c r="C5541" s="4">
        <v>43344</v>
      </c>
      <c r="D5541" s="4">
        <v>43373</v>
      </c>
      <c r="E5541" s="3" t="s">
        <v>260</v>
      </c>
      <c r="F5541" s="3" t="s">
        <v>282</v>
      </c>
      <c r="G5541" s="5">
        <v>0</v>
      </c>
      <c r="H5541" s="6" t="s">
        <v>85</v>
      </c>
      <c r="I5541" s="3" t="s">
        <v>45</v>
      </c>
    </row>
    <row r="5542" spans="1:9" ht="48" customHeight="1">
      <c r="A5542" s="3" t="s">
        <v>79</v>
      </c>
      <c r="B5542" s="3" t="s">
        <v>78</v>
      </c>
      <c r="C5542" s="4">
        <v>43344</v>
      </c>
      <c r="D5542" s="4">
        <v>43373</v>
      </c>
      <c r="E5542" s="3" t="s">
        <v>260</v>
      </c>
      <c r="F5542" s="3" t="s">
        <v>283</v>
      </c>
      <c r="G5542" s="5">
        <v>0</v>
      </c>
      <c r="H5542" s="6" t="s">
        <v>85</v>
      </c>
      <c r="I5542" s="3" t="s">
        <v>45</v>
      </c>
    </row>
    <row r="5543" spans="1:9" ht="48" customHeight="1">
      <c r="A5543" s="3" t="s">
        <v>79</v>
      </c>
      <c r="B5543" s="3" t="s">
        <v>78</v>
      </c>
      <c r="C5543" s="4">
        <v>43344</v>
      </c>
      <c r="D5543" s="4">
        <v>43373</v>
      </c>
      <c r="E5543" s="3" t="s">
        <v>260</v>
      </c>
      <c r="F5543" s="3" t="s">
        <v>284</v>
      </c>
      <c r="G5543" s="5">
        <v>0</v>
      </c>
      <c r="H5543" s="6" t="s">
        <v>85</v>
      </c>
      <c r="I5543" s="3" t="s">
        <v>45</v>
      </c>
    </row>
    <row r="5544" spans="1:9" ht="48" customHeight="1">
      <c r="A5544" s="3" t="s">
        <v>79</v>
      </c>
      <c r="B5544" s="3" t="s">
        <v>78</v>
      </c>
      <c r="C5544" s="4">
        <v>43344</v>
      </c>
      <c r="D5544" s="4">
        <v>43373</v>
      </c>
      <c r="E5544" s="3" t="s">
        <v>260</v>
      </c>
      <c r="F5544" s="3" t="s">
        <v>285</v>
      </c>
      <c r="G5544" s="5">
        <v>0</v>
      </c>
      <c r="H5544" s="6" t="s">
        <v>85</v>
      </c>
      <c r="I5544" s="3" t="s">
        <v>45</v>
      </c>
    </row>
    <row r="5545" spans="1:9" ht="48" customHeight="1">
      <c r="A5545" s="3" t="s">
        <v>79</v>
      </c>
      <c r="B5545" s="3" t="s">
        <v>78</v>
      </c>
      <c r="C5545" s="4">
        <v>43344</v>
      </c>
      <c r="D5545" s="4">
        <v>43373</v>
      </c>
      <c r="E5545" s="3" t="s">
        <v>301</v>
      </c>
      <c r="F5545" s="3" t="s">
        <v>301</v>
      </c>
      <c r="G5545" s="5">
        <v>3.0000000000000001E-3</v>
      </c>
      <c r="H5545" s="6" t="s">
        <v>85</v>
      </c>
      <c r="I5545" s="3" t="s">
        <v>45</v>
      </c>
    </row>
    <row r="5546" spans="1:9" ht="48" customHeight="1">
      <c r="A5546" s="3" t="s">
        <v>79</v>
      </c>
      <c r="B5546" s="3" t="s">
        <v>78</v>
      </c>
      <c r="C5546" s="4">
        <v>43344</v>
      </c>
      <c r="D5546" s="4">
        <v>43373</v>
      </c>
      <c r="E5546" s="3" t="s">
        <v>244</v>
      </c>
      <c r="F5546" s="3" t="s">
        <v>248</v>
      </c>
      <c r="G5546" s="5">
        <v>0</v>
      </c>
      <c r="H5546" s="6" t="s">
        <v>85</v>
      </c>
      <c r="I5546" s="3" t="s">
        <v>45</v>
      </c>
    </row>
    <row r="5547" spans="1:9" ht="48" customHeight="1">
      <c r="A5547" s="3" t="s">
        <v>79</v>
      </c>
      <c r="B5547" s="3" t="s">
        <v>78</v>
      </c>
      <c r="C5547" s="4">
        <v>43344</v>
      </c>
      <c r="D5547" s="4">
        <v>43373</v>
      </c>
      <c r="E5547" s="3" t="s">
        <v>244</v>
      </c>
      <c r="F5547" s="3" t="s">
        <v>247</v>
      </c>
      <c r="G5547" s="5">
        <v>0</v>
      </c>
      <c r="H5547" s="6" t="s">
        <v>85</v>
      </c>
      <c r="I5547" s="3" t="s">
        <v>45</v>
      </c>
    </row>
    <row r="5548" spans="1:9" ht="48" customHeight="1">
      <c r="A5548" s="3" t="s">
        <v>79</v>
      </c>
      <c r="B5548" s="3" t="s">
        <v>78</v>
      </c>
      <c r="C5548" s="4">
        <v>43344</v>
      </c>
      <c r="D5548" s="4">
        <v>43373</v>
      </c>
      <c r="E5548" s="3" t="s">
        <v>244</v>
      </c>
      <c r="F5548" s="3" t="s">
        <v>245</v>
      </c>
      <c r="G5548" s="5">
        <v>0</v>
      </c>
      <c r="H5548" s="6" t="s">
        <v>85</v>
      </c>
      <c r="I5548" s="3" t="s">
        <v>45</v>
      </c>
    </row>
    <row r="5549" spans="1:9" ht="48" customHeight="1">
      <c r="A5549" s="3" t="s">
        <v>79</v>
      </c>
      <c r="B5549" s="3" t="s">
        <v>78</v>
      </c>
      <c r="C5549" s="4">
        <v>43344</v>
      </c>
      <c r="D5549" s="4">
        <v>43373</v>
      </c>
      <c r="E5549" s="3" t="s">
        <v>244</v>
      </c>
      <c r="F5549" s="3" t="s">
        <v>246</v>
      </c>
      <c r="G5549" s="5">
        <v>0</v>
      </c>
      <c r="H5549" s="6" t="s">
        <v>85</v>
      </c>
      <c r="I5549" s="3" t="s">
        <v>45</v>
      </c>
    </row>
    <row r="5550" spans="1:9" ht="48" customHeight="1">
      <c r="A5550" s="3" t="s">
        <v>79</v>
      </c>
      <c r="B5550" s="3" t="s">
        <v>78</v>
      </c>
      <c r="C5550" s="4">
        <v>43344</v>
      </c>
      <c r="D5550" s="4">
        <v>43373</v>
      </c>
      <c r="E5550" s="3" t="s">
        <v>244</v>
      </c>
      <c r="F5550" s="3" t="s">
        <v>250</v>
      </c>
      <c r="G5550" s="5">
        <v>0</v>
      </c>
      <c r="H5550" s="6" t="s">
        <v>85</v>
      </c>
      <c r="I5550" s="3" t="s">
        <v>45</v>
      </c>
    </row>
    <row r="5551" spans="1:9" ht="48" customHeight="1">
      <c r="A5551" s="3" t="s">
        <v>79</v>
      </c>
      <c r="B5551" s="3" t="s">
        <v>78</v>
      </c>
      <c r="C5551" s="4">
        <v>43344</v>
      </c>
      <c r="D5551" s="4">
        <v>43373</v>
      </c>
      <c r="E5551" s="3" t="s">
        <v>244</v>
      </c>
      <c r="F5551" s="3" t="s">
        <v>251</v>
      </c>
      <c r="G5551" s="5">
        <v>0</v>
      </c>
      <c r="H5551" s="6" t="s">
        <v>85</v>
      </c>
      <c r="I5551" s="3" t="s">
        <v>45</v>
      </c>
    </row>
    <row r="5552" spans="1:9" ht="48" customHeight="1">
      <c r="A5552" s="3" t="s">
        <v>79</v>
      </c>
      <c r="B5552" s="3" t="s">
        <v>78</v>
      </c>
      <c r="C5552" s="4">
        <v>43344</v>
      </c>
      <c r="D5552" s="4">
        <v>43373</v>
      </c>
      <c r="E5552" s="3" t="s">
        <v>244</v>
      </c>
      <c r="F5552" s="3" t="s">
        <v>252</v>
      </c>
      <c r="G5552" s="5">
        <v>0</v>
      </c>
      <c r="H5552" s="6" t="s">
        <v>85</v>
      </c>
      <c r="I5552" s="3" t="s">
        <v>45</v>
      </c>
    </row>
    <row r="5553" spans="1:9" ht="48" customHeight="1">
      <c r="A5553" s="3" t="s">
        <v>79</v>
      </c>
      <c r="B5553" s="3" t="s">
        <v>78</v>
      </c>
      <c r="C5553" s="4">
        <v>43344</v>
      </c>
      <c r="D5553" s="4">
        <v>43373</v>
      </c>
      <c r="E5553" s="3" t="s">
        <v>244</v>
      </c>
      <c r="F5553" s="3" t="s">
        <v>249</v>
      </c>
      <c r="G5553" s="5">
        <v>0</v>
      </c>
      <c r="H5553" s="6" t="s">
        <v>85</v>
      </c>
      <c r="I5553" s="3" t="s">
        <v>45</v>
      </c>
    </row>
    <row r="5554" spans="1:9" ht="48" customHeight="1">
      <c r="A5554" s="3" t="s">
        <v>79</v>
      </c>
      <c r="B5554" s="3" t="s">
        <v>78</v>
      </c>
      <c r="C5554" s="4">
        <v>43344</v>
      </c>
      <c r="D5554" s="4">
        <v>43373</v>
      </c>
      <c r="E5554" s="3" t="s">
        <v>244</v>
      </c>
      <c r="F5554" s="3" t="s">
        <v>255</v>
      </c>
      <c r="G5554" s="5">
        <v>0</v>
      </c>
      <c r="H5554" s="6" t="s">
        <v>85</v>
      </c>
      <c r="I5554" s="3" t="s">
        <v>45</v>
      </c>
    </row>
    <row r="5555" spans="1:9" ht="48" customHeight="1">
      <c r="A5555" s="3" t="s">
        <v>79</v>
      </c>
      <c r="B5555" s="3" t="s">
        <v>78</v>
      </c>
      <c r="C5555" s="4">
        <v>43344</v>
      </c>
      <c r="D5555" s="4">
        <v>43373</v>
      </c>
      <c r="E5555" s="3" t="s">
        <v>244</v>
      </c>
      <c r="F5555" s="3" t="s">
        <v>256</v>
      </c>
      <c r="G5555" s="5">
        <v>0</v>
      </c>
      <c r="H5555" s="6" t="s">
        <v>85</v>
      </c>
      <c r="I5555" s="3" t="s">
        <v>45</v>
      </c>
    </row>
    <row r="5556" spans="1:9" ht="48" customHeight="1">
      <c r="A5556" s="3" t="s">
        <v>79</v>
      </c>
      <c r="B5556" s="3" t="s">
        <v>78</v>
      </c>
      <c r="C5556" s="4">
        <v>43344</v>
      </c>
      <c r="D5556" s="4">
        <v>43373</v>
      </c>
      <c r="E5556" s="3" t="s">
        <v>244</v>
      </c>
      <c r="F5556" s="3" t="s">
        <v>257</v>
      </c>
      <c r="G5556" s="5">
        <v>0</v>
      </c>
      <c r="H5556" s="6" t="s">
        <v>85</v>
      </c>
      <c r="I5556" s="3" t="s">
        <v>45</v>
      </c>
    </row>
    <row r="5557" spans="1:9" ht="48" customHeight="1">
      <c r="A5557" s="3" t="s">
        <v>79</v>
      </c>
      <c r="B5557" s="3" t="s">
        <v>78</v>
      </c>
      <c r="C5557" s="4">
        <v>43344</v>
      </c>
      <c r="D5557" s="4">
        <v>43373</v>
      </c>
      <c r="E5557" s="3" t="s">
        <v>244</v>
      </c>
      <c r="F5557" s="3" t="s">
        <v>258</v>
      </c>
      <c r="G5557" s="5">
        <v>0</v>
      </c>
      <c r="H5557" s="6" t="s">
        <v>85</v>
      </c>
      <c r="I5557" s="3" t="s">
        <v>45</v>
      </c>
    </row>
    <row r="5558" spans="1:9" ht="48" customHeight="1">
      <c r="A5558" s="3" t="s">
        <v>79</v>
      </c>
      <c r="B5558" s="3" t="s">
        <v>78</v>
      </c>
      <c r="C5558" s="4">
        <v>43344</v>
      </c>
      <c r="D5558" s="4">
        <v>43373</v>
      </c>
      <c r="E5558" s="3" t="s">
        <v>244</v>
      </c>
      <c r="F5558" s="3" t="s">
        <v>259</v>
      </c>
      <c r="G5558" s="5">
        <v>0</v>
      </c>
      <c r="H5558" s="6" t="s">
        <v>85</v>
      </c>
      <c r="I5558" s="3" t="s">
        <v>45</v>
      </c>
    </row>
    <row r="5559" spans="1:9" ht="48" customHeight="1">
      <c r="A5559" s="3" t="s">
        <v>79</v>
      </c>
      <c r="B5559" s="3" t="s">
        <v>78</v>
      </c>
      <c r="C5559" s="4">
        <v>43344</v>
      </c>
      <c r="D5559" s="4">
        <v>43373</v>
      </c>
      <c r="E5559" s="3" t="s">
        <v>244</v>
      </c>
      <c r="F5559" s="3" t="s">
        <v>253</v>
      </c>
      <c r="G5559" s="5">
        <v>0</v>
      </c>
      <c r="H5559" s="6" t="s">
        <v>85</v>
      </c>
      <c r="I5559" s="3" t="s">
        <v>45</v>
      </c>
    </row>
    <row r="5560" spans="1:9" ht="48" customHeight="1">
      <c r="A5560" s="3" t="s">
        <v>79</v>
      </c>
      <c r="B5560" s="3" t="s">
        <v>78</v>
      </c>
      <c r="C5560" s="4">
        <v>43344</v>
      </c>
      <c r="D5560" s="4">
        <v>43373</v>
      </c>
      <c r="E5560" s="3" t="s">
        <v>244</v>
      </c>
      <c r="F5560" s="3" t="s">
        <v>254</v>
      </c>
      <c r="G5560" s="5">
        <v>0</v>
      </c>
      <c r="H5560" s="6" t="s">
        <v>85</v>
      </c>
      <c r="I5560" s="3" t="s">
        <v>45</v>
      </c>
    </row>
    <row r="5561" spans="1:9" ht="48" customHeight="1">
      <c r="A5561" s="3" t="s">
        <v>79</v>
      </c>
      <c r="B5561" s="3" t="s">
        <v>78</v>
      </c>
      <c r="C5561" s="4">
        <v>43344</v>
      </c>
      <c r="D5561" s="4">
        <v>43373</v>
      </c>
      <c r="E5561" s="3" t="s">
        <v>381</v>
      </c>
      <c r="F5561" s="3" t="s">
        <v>382</v>
      </c>
      <c r="G5561" s="5">
        <v>1E-3</v>
      </c>
      <c r="H5561" s="6" t="s">
        <v>85</v>
      </c>
      <c r="I5561" s="3" t="s">
        <v>45</v>
      </c>
    </row>
    <row r="5562" spans="1:9" ht="48" customHeight="1">
      <c r="A5562" s="3" t="s">
        <v>79</v>
      </c>
      <c r="B5562" s="3" t="s">
        <v>78</v>
      </c>
      <c r="C5562" s="4">
        <v>43344</v>
      </c>
      <c r="D5562" s="4">
        <v>43373</v>
      </c>
      <c r="E5562" s="3" t="s">
        <v>381</v>
      </c>
      <c r="F5562" s="3" t="s">
        <v>383</v>
      </c>
      <c r="G5562" s="5">
        <v>1E-3</v>
      </c>
      <c r="H5562" s="6" t="s">
        <v>85</v>
      </c>
      <c r="I5562" s="3" t="s">
        <v>45</v>
      </c>
    </row>
    <row r="5563" spans="1:9" ht="48" customHeight="1">
      <c r="A5563" s="3" t="s">
        <v>79</v>
      </c>
      <c r="B5563" s="3" t="s">
        <v>78</v>
      </c>
      <c r="C5563" s="4">
        <v>43374</v>
      </c>
      <c r="D5563" s="4">
        <v>43404</v>
      </c>
      <c r="E5563" s="3" t="s">
        <v>364</v>
      </c>
      <c r="F5563" s="3" t="s">
        <v>262</v>
      </c>
      <c r="G5563" s="5">
        <v>0.121</v>
      </c>
      <c r="H5563" s="6" t="s">
        <v>86</v>
      </c>
      <c r="I5563" s="3" t="s">
        <v>45</v>
      </c>
    </row>
    <row r="5564" spans="1:9" ht="48" customHeight="1">
      <c r="A5564" s="3" t="s">
        <v>79</v>
      </c>
      <c r="B5564" s="3" t="s">
        <v>78</v>
      </c>
      <c r="C5564" s="4">
        <v>43374</v>
      </c>
      <c r="D5564" s="4">
        <v>43404</v>
      </c>
      <c r="E5564" s="3" t="s">
        <v>364</v>
      </c>
      <c r="F5564" s="3" t="s">
        <v>366</v>
      </c>
      <c r="G5564" s="5">
        <v>8.8000000000000009E-2</v>
      </c>
      <c r="H5564" s="6" t="s">
        <v>86</v>
      </c>
      <c r="I5564" s="3" t="s">
        <v>45</v>
      </c>
    </row>
    <row r="5565" spans="1:9" ht="48" customHeight="1">
      <c r="A5565" s="3" t="s">
        <v>79</v>
      </c>
      <c r="B5565" s="3" t="s">
        <v>78</v>
      </c>
      <c r="C5565" s="4">
        <v>43374</v>
      </c>
      <c r="D5565" s="4">
        <v>43404</v>
      </c>
      <c r="E5565" s="3" t="s">
        <v>364</v>
      </c>
      <c r="F5565" s="3" t="s">
        <v>365</v>
      </c>
      <c r="G5565" s="5">
        <v>6.2E-2</v>
      </c>
      <c r="H5565" s="6" t="s">
        <v>86</v>
      </c>
      <c r="I5565" s="3" t="s">
        <v>45</v>
      </c>
    </row>
    <row r="5566" spans="1:9" ht="48" customHeight="1">
      <c r="A5566" s="3" t="s">
        <v>79</v>
      </c>
      <c r="B5566" s="3" t="s">
        <v>78</v>
      </c>
      <c r="C5566" s="4">
        <v>43374</v>
      </c>
      <c r="D5566" s="4">
        <v>43404</v>
      </c>
      <c r="E5566" s="3" t="s">
        <v>364</v>
      </c>
      <c r="F5566" s="3" t="s">
        <v>234</v>
      </c>
      <c r="G5566" s="5">
        <v>5.9000000000000004E-2</v>
      </c>
      <c r="H5566" s="6" t="s">
        <v>86</v>
      </c>
      <c r="I5566" s="3" t="s">
        <v>45</v>
      </c>
    </row>
    <row r="5567" spans="1:9" ht="48" customHeight="1">
      <c r="A5567" s="3" t="s">
        <v>79</v>
      </c>
      <c r="B5567" s="3" t="s">
        <v>78</v>
      </c>
      <c r="C5567" s="4">
        <v>43374</v>
      </c>
      <c r="D5567" s="4">
        <v>43404</v>
      </c>
      <c r="E5567" s="3" t="s">
        <v>364</v>
      </c>
      <c r="F5567" s="3" t="s">
        <v>232</v>
      </c>
      <c r="G5567" s="5">
        <v>3.1E-2</v>
      </c>
      <c r="H5567" s="6" t="s">
        <v>86</v>
      </c>
      <c r="I5567" s="3" t="s">
        <v>45</v>
      </c>
    </row>
    <row r="5568" spans="1:9" ht="48" customHeight="1">
      <c r="A5568" s="3" t="s">
        <v>79</v>
      </c>
      <c r="B5568" s="3" t="s">
        <v>78</v>
      </c>
      <c r="C5568" s="4">
        <v>43374</v>
      </c>
      <c r="D5568" s="4">
        <v>43404</v>
      </c>
      <c r="E5568" s="3" t="s">
        <v>364</v>
      </c>
      <c r="F5568" s="3" t="s">
        <v>367</v>
      </c>
      <c r="G5568" s="5">
        <v>3.1E-2</v>
      </c>
      <c r="H5568" s="6" t="s">
        <v>86</v>
      </c>
      <c r="I5568" s="3" t="s">
        <v>45</v>
      </c>
    </row>
    <row r="5569" spans="1:9" ht="48" customHeight="1">
      <c r="A5569" s="3" t="s">
        <v>79</v>
      </c>
      <c r="B5569" s="3" t="s">
        <v>78</v>
      </c>
      <c r="C5569" s="4">
        <v>43374</v>
      </c>
      <c r="D5569" s="4">
        <v>43404</v>
      </c>
      <c r="E5569" s="3" t="s">
        <v>364</v>
      </c>
      <c r="F5569" s="3" t="s">
        <v>265</v>
      </c>
      <c r="G5569" s="5">
        <v>1.8000000000000002E-2</v>
      </c>
      <c r="H5569" s="6" t="s">
        <v>86</v>
      </c>
      <c r="I5569" s="3" t="s">
        <v>45</v>
      </c>
    </row>
    <row r="5570" spans="1:9" ht="48" customHeight="1">
      <c r="A5570" s="3" t="s">
        <v>79</v>
      </c>
      <c r="B5570" s="3" t="s">
        <v>78</v>
      </c>
      <c r="C5570" s="4">
        <v>43374</v>
      </c>
      <c r="D5570" s="4">
        <v>43404</v>
      </c>
      <c r="E5570" s="3" t="s">
        <v>364</v>
      </c>
      <c r="F5570" s="3" t="s">
        <v>230</v>
      </c>
      <c r="G5570" s="5">
        <v>1.1000000000000001E-2</v>
      </c>
      <c r="H5570" s="6" t="s">
        <v>86</v>
      </c>
      <c r="I5570" s="3" t="s">
        <v>45</v>
      </c>
    </row>
    <row r="5571" spans="1:9" ht="48" customHeight="1">
      <c r="A5571" s="3" t="s">
        <v>79</v>
      </c>
      <c r="B5571" s="3" t="s">
        <v>78</v>
      </c>
      <c r="C5571" s="4">
        <v>43374</v>
      </c>
      <c r="D5571" s="4">
        <v>43404</v>
      </c>
      <c r="E5571" s="3" t="s">
        <v>81</v>
      </c>
      <c r="F5571" s="3" t="s">
        <v>325</v>
      </c>
      <c r="G5571" s="5">
        <v>0.06</v>
      </c>
      <c r="H5571" s="6" t="s">
        <v>86</v>
      </c>
      <c r="I5571" s="3" t="s">
        <v>45</v>
      </c>
    </row>
    <row r="5572" spans="1:9" ht="48" customHeight="1">
      <c r="A5572" s="3" t="s">
        <v>79</v>
      </c>
      <c r="B5572" s="3" t="s">
        <v>78</v>
      </c>
      <c r="C5572" s="4">
        <v>43374</v>
      </c>
      <c r="D5572" s="4">
        <v>43404</v>
      </c>
      <c r="E5572" s="3" t="s">
        <v>81</v>
      </c>
      <c r="F5572" s="3" t="s">
        <v>336</v>
      </c>
      <c r="G5572" s="5">
        <v>3.7999999999999999E-2</v>
      </c>
      <c r="H5572" s="6" t="s">
        <v>86</v>
      </c>
      <c r="I5572" s="3" t="s">
        <v>45</v>
      </c>
    </row>
    <row r="5573" spans="1:9" ht="48" customHeight="1">
      <c r="A5573" s="3" t="s">
        <v>79</v>
      </c>
      <c r="B5573" s="3" t="s">
        <v>78</v>
      </c>
      <c r="C5573" s="4">
        <v>43374</v>
      </c>
      <c r="D5573" s="4">
        <v>43404</v>
      </c>
      <c r="E5573" s="3" t="s">
        <v>81</v>
      </c>
      <c r="F5573" s="3" t="s">
        <v>330</v>
      </c>
      <c r="G5573" s="5">
        <v>3.2000000000000001E-2</v>
      </c>
      <c r="H5573" s="6" t="s">
        <v>86</v>
      </c>
      <c r="I5573" s="3" t="s">
        <v>45</v>
      </c>
    </row>
    <row r="5574" spans="1:9" ht="48" customHeight="1">
      <c r="A5574" s="3" t="s">
        <v>79</v>
      </c>
      <c r="B5574" s="3" t="s">
        <v>78</v>
      </c>
      <c r="C5574" s="4">
        <v>43374</v>
      </c>
      <c r="D5574" s="4">
        <v>43404</v>
      </c>
      <c r="E5574" s="3" t="s">
        <v>81</v>
      </c>
      <c r="F5574" s="3" t="s">
        <v>332</v>
      </c>
      <c r="G5574" s="5">
        <v>3.1E-2</v>
      </c>
      <c r="H5574" s="6" t="s">
        <v>86</v>
      </c>
      <c r="I5574" s="3" t="s">
        <v>45</v>
      </c>
    </row>
    <row r="5575" spans="1:9" ht="48" customHeight="1">
      <c r="A5575" s="3" t="s">
        <v>79</v>
      </c>
      <c r="B5575" s="3" t="s">
        <v>78</v>
      </c>
      <c r="C5575" s="4">
        <v>43374</v>
      </c>
      <c r="D5575" s="4">
        <v>43404</v>
      </c>
      <c r="E5575" s="3" t="s">
        <v>81</v>
      </c>
      <c r="F5575" s="3" t="s">
        <v>334</v>
      </c>
      <c r="G5575" s="5">
        <v>0.02</v>
      </c>
      <c r="H5575" s="6" t="s">
        <v>86</v>
      </c>
      <c r="I5575" s="3" t="s">
        <v>45</v>
      </c>
    </row>
    <row r="5576" spans="1:9" ht="48" customHeight="1">
      <c r="A5576" s="3" t="s">
        <v>79</v>
      </c>
      <c r="B5576" s="3" t="s">
        <v>78</v>
      </c>
      <c r="C5576" s="4">
        <v>43374</v>
      </c>
      <c r="D5576" s="4">
        <v>43404</v>
      </c>
      <c r="E5576" s="3" t="s">
        <v>81</v>
      </c>
      <c r="F5576" s="3" t="s">
        <v>343</v>
      </c>
      <c r="G5576" s="5">
        <v>0.02</v>
      </c>
      <c r="H5576" s="6" t="s">
        <v>86</v>
      </c>
      <c r="I5576" s="3" t="s">
        <v>45</v>
      </c>
    </row>
    <row r="5577" spans="1:9" ht="48" customHeight="1">
      <c r="A5577" s="3" t="s">
        <v>79</v>
      </c>
      <c r="B5577" s="3" t="s">
        <v>78</v>
      </c>
      <c r="C5577" s="4">
        <v>43374</v>
      </c>
      <c r="D5577" s="4">
        <v>43404</v>
      </c>
      <c r="E5577" s="3" t="s">
        <v>81</v>
      </c>
      <c r="F5577" s="3" t="s">
        <v>328</v>
      </c>
      <c r="G5577" s="5">
        <v>1.9E-2</v>
      </c>
      <c r="H5577" s="6" t="s">
        <v>86</v>
      </c>
      <c r="I5577" s="3" t="s">
        <v>45</v>
      </c>
    </row>
    <row r="5578" spans="1:9" ht="48" customHeight="1">
      <c r="A5578" s="3" t="s">
        <v>79</v>
      </c>
      <c r="B5578" s="3" t="s">
        <v>78</v>
      </c>
      <c r="C5578" s="4">
        <v>43374</v>
      </c>
      <c r="D5578" s="4">
        <v>43404</v>
      </c>
      <c r="E5578" s="3" t="s">
        <v>81</v>
      </c>
      <c r="F5578" s="3" t="s">
        <v>327</v>
      </c>
      <c r="G5578" s="5">
        <v>1.6E-2</v>
      </c>
      <c r="H5578" s="6" t="s">
        <v>86</v>
      </c>
      <c r="I5578" s="3" t="s">
        <v>45</v>
      </c>
    </row>
    <row r="5579" spans="1:9" ht="48" customHeight="1">
      <c r="A5579" s="3" t="s">
        <v>79</v>
      </c>
      <c r="B5579" s="3" t="s">
        <v>78</v>
      </c>
      <c r="C5579" s="4">
        <v>43374</v>
      </c>
      <c r="D5579" s="4">
        <v>43404</v>
      </c>
      <c r="E5579" s="3" t="s">
        <v>81</v>
      </c>
      <c r="F5579" s="3" t="s">
        <v>326</v>
      </c>
      <c r="G5579" s="5">
        <v>1.3000000000000001E-2</v>
      </c>
      <c r="H5579" s="6" t="s">
        <v>86</v>
      </c>
      <c r="I5579" s="3" t="s">
        <v>45</v>
      </c>
    </row>
    <row r="5580" spans="1:9" ht="48" customHeight="1">
      <c r="A5580" s="3" t="s">
        <v>79</v>
      </c>
      <c r="B5580" s="3" t="s">
        <v>78</v>
      </c>
      <c r="C5580" s="4">
        <v>43374</v>
      </c>
      <c r="D5580" s="4">
        <v>43404</v>
      </c>
      <c r="E5580" s="3" t="s">
        <v>81</v>
      </c>
      <c r="F5580" s="3" t="s">
        <v>333</v>
      </c>
      <c r="G5580" s="5">
        <v>1.3000000000000001E-2</v>
      </c>
      <c r="H5580" s="6" t="s">
        <v>86</v>
      </c>
      <c r="I5580" s="3" t="s">
        <v>45</v>
      </c>
    </row>
    <row r="5581" spans="1:9" ht="48" customHeight="1">
      <c r="A5581" s="3" t="s">
        <v>79</v>
      </c>
      <c r="B5581" s="3" t="s">
        <v>78</v>
      </c>
      <c r="C5581" s="4">
        <v>43374</v>
      </c>
      <c r="D5581" s="4">
        <v>43404</v>
      </c>
      <c r="E5581" s="3" t="s">
        <v>81</v>
      </c>
      <c r="F5581" s="3" t="s">
        <v>344</v>
      </c>
      <c r="G5581" s="5">
        <v>8.0000000000000002E-3</v>
      </c>
      <c r="H5581" s="6" t="s">
        <v>86</v>
      </c>
      <c r="I5581" s="3" t="s">
        <v>45</v>
      </c>
    </row>
    <row r="5582" spans="1:9" ht="48" customHeight="1">
      <c r="A5582" s="3" t="s">
        <v>79</v>
      </c>
      <c r="B5582" s="3" t="s">
        <v>78</v>
      </c>
      <c r="C5582" s="4">
        <v>43374</v>
      </c>
      <c r="D5582" s="4">
        <v>43404</v>
      </c>
      <c r="E5582" s="3" t="s">
        <v>81</v>
      </c>
      <c r="F5582" s="3" t="s">
        <v>329</v>
      </c>
      <c r="G5582" s="5">
        <v>5.0000000000000001E-3</v>
      </c>
      <c r="H5582" s="6" t="s">
        <v>86</v>
      </c>
      <c r="I5582" s="3" t="s">
        <v>45</v>
      </c>
    </row>
    <row r="5583" spans="1:9" ht="48" customHeight="1">
      <c r="A5583" s="3" t="s">
        <v>79</v>
      </c>
      <c r="B5583" s="3" t="s">
        <v>78</v>
      </c>
      <c r="C5583" s="4">
        <v>43374</v>
      </c>
      <c r="D5583" s="4">
        <v>43404</v>
      </c>
      <c r="E5583" s="3" t="s">
        <v>81</v>
      </c>
      <c r="F5583" s="3" t="s">
        <v>331</v>
      </c>
      <c r="G5583" s="5">
        <v>5.0000000000000001E-3</v>
      </c>
      <c r="H5583" s="6" t="s">
        <v>86</v>
      </c>
      <c r="I5583" s="3" t="s">
        <v>45</v>
      </c>
    </row>
    <row r="5584" spans="1:9" ht="48" customHeight="1">
      <c r="A5584" s="3" t="s">
        <v>79</v>
      </c>
      <c r="B5584" s="3" t="s">
        <v>78</v>
      </c>
      <c r="C5584" s="4">
        <v>43374</v>
      </c>
      <c r="D5584" s="4">
        <v>43404</v>
      </c>
      <c r="E5584" s="3" t="s">
        <v>81</v>
      </c>
      <c r="F5584" s="3" t="s">
        <v>337</v>
      </c>
      <c r="G5584" s="5">
        <v>4.0000000000000001E-3</v>
      </c>
      <c r="H5584" s="6" t="s">
        <v>86</v>
      </c>
      <c r="I5584" s="3" t="s">
        <v>45</v>
      </c>
    </row>
    <row r="5585" spans="1:9" ht="48" customHeight="1">
      <c r="A5585" s="3" t="s">
        <v>79</v>
      </c>
      <c r="B5585" s="3" t="s">
        <v>78</v>
      </c>
      <c r="C5585" s="4">
        <v>43374</v>
      </c>
      <c r="D5585" s="4">
        <v>43404</v>
      </c>
      <c r="E5585" s="3" t="s">
        <v>81</v>
      </c>
      <c r="F5585" s="3" t="s">
        <v>342</v>
      </c>
      <c r="G5585" s="5">
        <v>4.0000000000000001E-3</v>
      </c>
      <c r="H5585" s="6" t="s">
        <v>86</v>
      </c>
      <c r="I5585" s="3" t="s">
        <v>45</v>
      </c>
    </row>
    <row r="5586" spans="1:9" ht="48" customHeight="1">
      <c r="A5586" s="3" t="s">
        <v>79</v>
      </c>
      <c r="B5586" s="3" t="s">
        <v>78</v>
      </c>
      <c r="C5586" s="4">
        <v>43374</v>
      </c>
      <c r="D5586" s="4">
        <v>43404</v>
      </c>
      <c r="E5586" s="3" t="s">
        <v>81</v>
      </c>
      <c r="F5586" s="3" t="s">
        <v>335</v>
      </c>
      <c r="G5586" s="5">
        <v>3.0000000000000001E-3</v>
      </c>
      <c r="H5586" s="6" t="s">
        <v>86</v>
      </c>
      <c r="I5586" s="3" t="s">
        <v>45</v>
      </c>
    </row>
    <row r="5587" spans="1:9" ht="48" customHeight="1">
      <c r="A5587" s="3" t="s">
        <v>79</v>
      </c>
      <c r="B5587" s="3" t="s">
        <v>78</v>
      </c>
      <c r="C5587" s="4">
        <v>43374</v>
      </c>
      <c r="D5587" s="4">
        <v>43404</v>
      </c>
      <c r="E5587" s="3" t="s">
        <v>81</v>
      </c>
      <c r="F5587" s="3" t="s">
        <v>338</v>
      </c>
      <c r="G5587" s="5">
        <v>2E-3</v>
      </c>
      <c r="H5587" s="6" t="s">
        <v>86</v>
      </c>
      <c r="I5587" s="3" t="s">
        <v>45</v>
      </c>
    </row>
    <row r="5588" spans="1:9" ht="48" customHeight="1">
      <c r="A5588" s="3" t="s">
        <v>79</v>
      </c>
      <c r="B5588" s="3" t="s">
        <v>78</v>
      </c>
      <c r="C5588" s="4">
        <v>43374</v>
      </c>
      <c r="D5588" s="4">
        <v>43404</v>
      </c>
      <c r="E5588" s="3" t="s">
        <v>81</v>
      </c>
      <c r="F5588" s="3" t="s">
        <v>339</v>
      </c>
      <c r="G5588" s="5">
        <v>2E-3</v>
      </c>
      <c r="H5588" s="6" t="s">
        <v>86</v>
      </c>
      <c r="I5588" s="3" t="s">
        <v>45</v>
      </c>
    </row>
    <row r="5589" spans="1:9" ht="48" customHeight="1">
      <c r="A5589" s="3" t="s">
        <v>79</v>
      </c>
      <c r="B5589" s="3" t="s">
        <v>78</v>
      </c>
      <c r="C5589" s="4">
        <v>43374</v>
      </c>
      <c r="D5589" s="4">
        <v>43404</v>
      </c>
      <c r="E5589" s="3" t="s">
        <v>81</v>
      </c>
      <c r="F5589" s="3" t="s">
        <v>340</v>
      </c>
      <c r="G5589" s="5">
        <v>2E-3</v>
      </c>
      <c r="H5589" s="6" t="s">
        <v>86</v>
      </c>
      <c r="I5589" s="3" t="s">
        <v>45</v>
      </c>
    </row>
    <row r="5590" spans="1:9" ht="48" customHeight="1">
      <c r="A5590" s="3" t="s">
        <v>79</v>
      </c>
      <c r="B5590" s="3" t="s">
        <v>78</v>
      </c>
      <c r="C5590" s="4">
        <v>43374</v>
      </c>
      <c r="D5590" s="4">
        <v>43404</v>
      </c>
      <c r="E5590" s="3" t="s">
        <v>81</v>
      </c>
      <c r="F5590" s="3" t="s">
        <v>341</v>
      </c>
      <c r="G5590" s="5">
        <v>2E-3</v>
      </c>
      <c r="H5590" s="6" t="s">
        <v>86</v>
      </c>
      <c r="I5590" s="3" t="s">
        <v>45</v>
      </c>
    </row>
    <row r="5591" spans="1:9" ht="48" customHeight="1">
      <c r="A5591" s="3" t="s">
        <v>79</v>
      </c>
      <c r="B5591" s="3" t="s">
        <v>78</v>
      </c>
      <c r="C5591" s="4">
        <v>43374</v>
      </c>
      <c r="D5591" s="4">
        <v>43404</v>
      </c>
      <c r="E5591" s="3" t="s">
        <v>81</v>
      </c>
      <c r="F5591" s="3" t="s">
        <v>345</v>
      </c>
      <c r="G5591" s="5">
        <v>2E-3</v>
      </c>
      <c r="H5591" s="6" t="s">
        <v>86</v>
      </c>
      <c r="I5591" s="3" t="s">
        <v>45</v>
      </c>
    </row>
    <row r="5592" spans="1:9" ht="48" customHeight="1">
      <c r="A5592" s="3" t="s">
        <v>79</v>
      </c>
      <c r="B5592" s="3" t="s">
        <v>78</v>
      </c>
      <c r="C5592" s="4">
        <v>43374</v>
      </c>
      <c r="D5592" s="4">
        <v>43404</v>
      </c>
      <c r="E5592" s="3" t="s">
        <v>81</v>
      </c>
      <c r="F5592" s="3" t="s">
        <v>346</v>
      </c>
      <c r="G5592" s="5">
        <v>2E-3</v>
      </c>
      <c r="H5592" s="6" t="s">
        <v>86</v>
      </c>
      <c r="I5592" s="3" t="s">
        <v>45</v>
      </c>
    </row>
    <row r="5593" spans="1:9" ht="48" customHeight="1">
      <c r="A5593" s="3" t="s">
        <v>79</v>
      </c>
      <c r="B5593" s="3" t="s">
        <v>78</v>
      </c>
      <c r="C5593" s="4">
        <v>43374</v>
      </c>
      <c r="D5593" s="4">
        <v>43404</v>
      </c>
      <c r="E5593" s="3" t="s">
        <v>81</v>
      </c>
      <c r="F5593" s="3" t="s">
        <v>347</v>
      </c>
      <c r="G5593" s="5">
        <v>0</v>
      </c>
      <c r="H5593" s="6" t="s">
        <v>86</v>
      </c>
      <c r="I5593" s="3" t="s">
        <v>45</v>
      </c>
    </row>
    <row r="5594" spans="1:9" ht="48" customHeight="1">
      <c r="A5594" s="3" t="s">
        <v>79</v>
      </c>
      <c r="B5594" s="3" t="s">
        <v>78</v>
      </c>
      <c r="C5594" s="4">
        <v>43374</v>
      </c>
      <c r="D5594" s="4">
        <v>43404</v>
      </c>
      <c r="E5594" s="3" t="s">
        <v>368</v>
      </c>
      <c r="F5594" s="3" t="s">
        <v>370</v>
      </c>
      <c r="G5594" s="5">
        <v>8.0000000000000002E-3</v>
      </c>
      <c r="H5594" s="6" t="s">
        <v>86</v>
      </c>
      <c r="I5594" s="3" t="s">
        <v>45</v>
      </c>
    </row>
    <row r="5595" spans="1:9" ht="48" customHeight="1">
      <c r="A5595" s="3" t="s">
        <v>79</v>
      </c>
      <c r="B5595" s="3" t="s">
        <v>78</v>
      </c>
      <c r="C5595" s="4">
        <v>43374</v>
      </c>
      <c r="D5595" s="4">
        <v>43404</v>
      </c>
      <c r="E5595" s="3" t="s">
        <v>368</v>
      </c>
      <c r="F5595" s="3" t="s">
        <v>369</v>
      </c>
      <c r="G5595" s="5">
        <v>4.0000000000000001E-3</v>
      </c>
      <c r="H5595" s="6" t="s">
        <v>86</v>
      </c>
      <c r="I5595" s="3" t="s">
        <v>45</v>
      </c>
    </row>
    <row r="5596" spans="1:9" ht="48" customHeight="1">
      <c r="A5596" s="3" t="s">
        <v>79</v>
      </c>
      <c r="B5596" s="3" t="s">
        <v>78</v>
      </c>
      <c r="C5596" s="4">
        <v>43374</v>
      </c>
      <c r="D5596" s="4">
        <v>43404</v>
      </c>
      <c r="E5596" s="3" t="s">
        <v>368</v>
      </c>
      <c r="F5596" s="3" t="s">
        <v>373</v>
      </c>
      <c r="G5596" s="5">
        <v>4.0000000000000001E-3</v>
      </c>
      <c r="H5596" s="6" t="s">
        <v>86</v>
      </c>
      <c r="I5596" s="3" t="s">
        <v>45</v>
      </c>
    </row>
    <row r="5597" spans="1:9" ht="48" customHeight="1">
      <c r="A5597" s="3" t="s">
        <v>79</v>
      </c>
      <c r="B5597" s="3" t="s">
        <v>78</v>
      </c>
      <c r="C5597" s="4">
        <v>43374</v>
      </c>
      <c r="D5597" s="4">
        <v>43404</v>
      </c>
      <c r="E5597" s="3" t="s">
        <v>368</v>
      </c>
      <c r="F5597" s="3" t="s">
        <v>265</v>
      </c>
      <c r="G5597" s="5">
        <v>4.0000000000000001E-3</v>
      </c>
      <c r="H5597" s="6" t="s">
        <v>86</v>
      </c>
      <c r="I5597" s="3" t="s">
        <v>45</v>
      </c>
    </row>
    <row r="5598" spans="1:9" ht="48" customHeight="1">
      <c r="A5598" s="3" t="s">
        <v>79</v>
      </c>
      <c r="B5598" s="3" t="s">
        <v>78</v>
      </c>
      <c r="C5598" s="4">
        <v>43374</v>
      </c>
      <c r="D5598" s="4">
        <v>43404</v>
      </c>
      <c r="E5598" s="3" t="s">
        <v>368</v>
      </c>
      <c r="F5598" s="3" t="s">
        <v>262</v>
      </c>
      <c r="G5598" s="5">
        <v>4.0000000000000001E-3</v>
      </c>
      <c r="H5598" s="6" t="s">
        <v>86</v>
      </c>
      <c r="I5598" s="3" t="s">
        <v>45</v>
      </c>
    </row>
    <row r="5599" spans="1:9" ht="48" customHeight="1">
      <c r="A5599" s="3" t="s">
        <v>79</v>
      </c>
      <c r="B5599" s="3" t="s">
        <v>78</v>
      </c>
      <c r="C5599" s="4">
        <v>43374</v>
      </c>
      <c r="D5599" s="4">
        <v>43404</v>
      </c>
      <c r="E5599" s="3" t="s">
        <v>368</v>
      </c>
      <c r="F5599" s="3" t="s">
        <v>374</v>
      </c>
      <c r="G5599" s="5">
        <v>4.0000000000000001E-3</v>
      </c>
      <c r="H5599" s="6" t="s">
        <v>86</v>
      </c>
      <c r="I5599" s="3" t="s">
        <v>45</v>
      </c>
    </row>
    <row r="5600" spans="1:9" ht="48" customHeight="1">
      <c r="A5600" s="3" t="s">
        <v>79</v>
      </c>
      <c r="B5600" s="3" t="s">
        <v>78</v>
      </c>
      <c r="C5600" s="4">
        <v>43374</v>
      </c>
      <c r="D5600" s="4">
        <v>43404</v>
      </c>
      <c r="E5600" s="3" t="s">
        <v>368</v>
      </c>
      <c r="F5600" s="3" t="s">
        <v>371</v>
      </c>
      <c r="G5600" s="5">
        <v>3.0000000000000001E-3</v>
      </c>
      <c r="H5600" s="6" t="s">
        <v>86</v>
      </c>
      <c r="I5600" s="3" t="s">
        <v>45</v>
      </c>
    </row>
    <row r="5601" spans="1:9" ht="48" customHeight="1">
      <c r="A5601" s="3" t="s">
        <v>79</v>
      </c>
      <c r="B5601" s="3" t="s">
        <v>78</v>
      </c>
      <c r="C5601" s="4">
        <v>43374</v>
      </c>
      <c r="D5601" s="4">
        <v>43404</v>
      </c>
      <c r="E5601" s="3" t="s">
        <v>368</v>
      </c>
      <c r="F5601" s="3" t="s">
        <v>375</v>
      </c>
      <c r="G5601" s="5">
        <v>3.0000000000000001E-3</v>
      </c>
      <c r="H5601" s="6" t="s">
        <v>86</v>
      </c>
      <c r="I5601" s="3" t="s">
        <v>45</v>
      </c>
    </row>
    <row r="5602" spans="1:9" ht="48" customHeight="1">
      <c r="A5602" s="3" t="s">
        <v>79</v>
      </c>
      <c r="B5602" s="3" t="s">
        <v>78</v>
      </c>
      <c r="C5602" s="4">
        <v>43374</v>
      </c>
      <c r="D5602" s="4">
        <v>43404</v>
      </c>
      <c r="E5602" s="3" t="s">
        <v>368</v>
      </c>
      <c r="F5602" s="3" t="s">
        <v>376</v>
      </c>
      <c r="G5602" s="5">
        <v>3.0000000000000001E-3</v>
      </c>
      <c r="H5602" s="6" t="s">
        <v>86</v>
      </c>
      <c r="I5602" s="3" t="s">
        <v>45</v>
      </c>
    </row>
    <row r="5603" spans="1:9" ht="48" customHeight="1">
      <c r="A5603" s="3" t="s">
        <v>79</v>
      </c>
      <c r="B5603" s="3" t="s">
        <v>78</v>
      </c>
      <c r="C5603" s="4">
        <v>43374</v>
      </c>
      <c r="D5603" s="4">
        <v>43404</v>
      </c>
      <c r="E5603" s="3" t="s">
        <v>368</v>
      </c>
      <c r="F5603" s="3" t="s">
        <v>378</v>
      </c>
      <c r="G5603" s="5">
        <v>3.0000000000000001E-3</v>
      </c>
      <c r="H5603" s="6" t="s">
        <v>86</v>
      </c>
      <c r="I5603" s="3" t="s">
        <v>45</v>
      </c>
    </row>
    <row r="5604" spans="1:9" ht="48" customHeight="1">
      <c r="A5604" s="3" t="s">
        <v>79</v>
      </c>
      <c r="B5604" s="3" t="s">
        <v>78</v>
      </c>
      <c r="C5604" s="4">
        <v>43374</v>
      </c>
      <c r="D5604" s="4">
        <v>43404</v>
      </c>
      <c r="E5604" s="3" t="s">
        <v>368</v>
      </c>
      <c r="F5604" s="3" t="s">
        <v>207</v>
      </c>
      <c r="G5604" s="5">
        <v>2E-3</v>
      </c>
      <c r="H5604" s="6" t="s">
        <v>86</v>
      </c>
      <c r="I5604" s="3" t="s">
        <v>45</v>
      </c>
    </row>
    <row r="5605" spans="1:9" ht="48" customHeight="1">
      <c r="A5605" s="3" t="s">
        <v>79</v>
      </c>
      <c r="B5605" s="3" t="s">
        <v>78</v>
      </c>
      <c r="C5605" s="4">
        <v>43374</v>
      </c>
      <c r="D5605" s="4">
        <v>43404</v>
      </c>
      <c r="E5605" s="3" t="s">
        <v>368</v>
      </c>
      <c r="F5605" s="3" t="s">
        <v>377</v>
      </c>
      <c r="G5605" s="5">
        <v>2E-3</v>
      </c>
      <c r="H5605" s="6" t="s">
        <v>86</v>
      </c>
      <c r="I5605" s="3" t="s">
        <v>45</v>
      </c>
    </row>
    <row r="5606" spans="1:9" ht="48" customHeight="1">
      <c r="A5606" s="3" t="s">
        <v>79</v>
      </c>
      <c r="B5606" s="3" t="s">
        <v>78</v>
      </c>
      <c r="C5606" s="4">
        <v>43374</v>
      </c>
      <c r="D5606" s="4">
        <v>43404</v>
      </c>
      <c r="E5606" s="3" t="s">
        <v>368</v>
      </c>
      <c r="F5606" s="3" t="s">
        <v>230</v>
      </c>
      <c r="G5606" s="5">
        <v>1E-3</v>
      </c>
      <c r="H5606" s="6" t="s">
        <v>86</v>
      </c>
      <c r="I5606" s="3" t="s">
        <v>45</v>
      </c>
    </row>
    <row r="5607" spans="1:9" ht="48" customHeight="1">
      <c r="A5607" s="3" t="s">
        <v>79</v>
      </c>
      <c r="B5607" s="3" t="s">
        <v>78</v>
      </c>
      <c r="C5607" s="4">
        <v>43374</v>
      </c>
      <c r="D5607" s="4">
        <v>43404</v>
      </c>
      <c r="E5607" s="3" t="s">
        <v>368</v>
      </c>
      <c r="F5607" s="3" t="s">
        <v>232</v>
      </c>
      <c r="G5607" s="5">
        <v>1E-3</v>
      </c>
      <c r="H5607" s="6" t="s">
        <v>86</v>
      </c>
      <c r="I5607" s="3" t="s">
        <v>45</v>
      </c>
    </row>
    <row r="5608" spans="1:9" ht="48" customHeight="1">
      <c r="A5608" s="3" t="s">
        <v>79</v>
      </c>
      <c r="B5608" s="3" t="s">
        <v>78</v>
      </c>
      <c r="C5608" s="4">
        <v>43374</v>
      </c>
      <c r="D5608" s="4">
        <v>43404</v>
      </c>
      <c r="E5608" s="3" t="s">
        <v>368</v>
      </c>
      <c r="F5608" s="3" t="s">
        <v>234</v>
      </c>
      <c r="G5608" s="5">
        <v>1E-3</v>
      </c>
      <c r="H5608" s="6" t="s">
        <v>86</v>
      </c>
      <c r="I5608" s="3" t="s">
        <v>45</v>
      </c>
    </row>
    <row r="5609" spans="1:9" ht="48" customHeight="1">
      <c r="A5609" s="3" t="s">
        <v>79</v>
      </c>
      <c r="B5609" s="3" t="s">
        <v>78</v>
      </c>
      <c r="C5609" s="4">
        <v>43374</v>
      </c>
      <c r="D5609" s="4">
        <v>43404</v>
      </c>
      <c r="E5609" s="3" t="s">
        <v>368</v>
      </c>
      <c r="F5609" s="3" t="s">
        <v>372</v>
      </c>
      <c r="G5609" s="5">
        <v>1E-3</v>
      </c>
      <c r="H5609" s="6" t="s">
        <v>86</v>
      </c>
      <c r="I5609" s="3" t="s">
        <v>45</v>
      </c>
    </row>
    <row r="5610" spans="1:9" ht="48" customHeight="1">
      <c r="A5610" s="3" t="s">
        <v>79</v>
      </c>
      <c r="B5610" s="3" t="s">
        <v>78</v>
      </c>
      <c r="C5610" s="4">
        <v>43374</v>
      </c>
      <c r="D5610" s="4">
        <v>43404</v>
      </c>
      <c r="E5610" s="3" t="s">
        <v>161</v>
      </c>
      <c r="F5610" s="3" t="s">
        <v>162</v>
      </c>
      <c r="G5610" s="5">
        <v>3.0000000000000001E-3</v>
      </c>
      <c r="H5610" s="6" t="s">
        <v>86</v>
      </c>
      <c r="I5610" s="3" t="s">
        <v>45</v>
      </c>
    </row>
    <row r="5611" spans="1:9" ht="48" customHeight="1">
      <c r="A5611" s="3" t="s">
        <v>79</v>
      </c>
      <c r="B5611" s="3" t="s">
        <v>78</v>
      </c>
      <c r="C5611" s="4">
        <v>43374</v>
      </c>
      <c r="D5611" s="4">
        <v>43404</v>
      </c>
      <c r="E5611" s="3" t="s">
        <v>161</v>
      </c>
      <c r="F5611" s="3" t="s">
        <v>172</v>
      </c>
      <c r="G5611" s="5">
        <v>3.0000000000000001E-3</v>
      </c>
      <c r="H5611" s="6" t="s">
        <v>86</v>
      </c>
      <c r="I5611" s="3" t="s">
        <v>45</v>
      </c>
    </row>
    <row r="5612" spans="1:9" ht="48" customHeight="1">
      <c r="A5612" s="3" t="s">
        <v>79</v>
      </c>
      <c r="B5612" s="3" t="s">
        <v>78</v>
      </c>
      <c r="C5612" s="4">
        <v>43374</v>
      </c>
      <c r="D5612" s="4">
        <v>43404</v>
      </c>
      <c r="E5612" s="3" t="s">
        <v>161</v>
      </c>
      <c r="F5612" s="3" t="s">
        <v>168</v>
      </c>
      <c r="G5612" s="5">
        <v>2E-3</v>
      </c>
      <c r="H5612" s="6" t="s">
        <v>86</v>
      </c>
      <c r="I5612" s="3" t="s">
        <v>45</v>
      </c>
    </row>
    <row r="5613" spans="1:9" ht="48" customHeight="1">
      <c r="A5613" s="3" t="s">
        <v>79</v>
      </c>
      <c r="B5613" s="3" t="s">
        <v>78</v>
      </c>
      <c r="C5613" s="4">
        <v>43374</v>
      </c>
      <c r="D5613" s="4">
        <v>43404</v>
      </c>
      <c r="E5613" s="3" t="s">
        <v>161</v>
      </c>
      <c r="F5613" s="3" t="s">
        <v>191</v>
      </c>
      <c r="G5613" s="5">
        <v>2E-3</v>
      </c>
      <c r="H5613" s="6" t="s">
        <v>86</v>
      </c>
      <c r="I5613" s="3" t="s">
        <v>45</v>
      </c>
    </row>
    <row r="5614" spans="1:9" ht="48" customHeight="1">
      <c r="A5614" s="3" t="s">
        <v>79</v>
      </c>
      <c r="B5614" s="3" t="s">
        <v>78</v>
      </c>
      <c r="C5614" s="4">
        <v>43374</v>
      </c>
      <c r="D5614" s="4">
        <v>43404</v>
      </c>
      <c r="E5614" s="3" t="s">
        <v>161</v>
      </c>
      <c r="F5614" s="3" t="s">
        <v>169</v>
      </c>
      <c r="G5614" s="5">
        <v>2E-3</v>
      </c>
      <c r="H5614" s="6" t="s">
        <v>86</v>
      </c>
      <c r="I5614" s="3" t="s">
        <v>45</v>
      </c>
    </row>
    <row r="5615" spans="1:9" ht="48" customHeight="1">
      <c r="A5615" s="3" t="s">
        <v>79</v>
      </c>
      <c r="B5615" s="3" t="s">
        <v>78</v>
      </c>
      <c r="C5615" s="4">
        <v>43374</v>
      </c>
      <c r="D5615" s="4">
        <v>43404</v>
      </c>
      <c r="E5615" s="3" t="s">
        <v>161</v>
      </c>
      <c r="F5615" s="3" t="s">
        <v>166</v>
      </c>
      <c r="G5615" s="5">
        <v>2E-3</v>
      </c>
      <c r="H5615" s="6" t="s">
        <v>86</v>
      </c>
      <c r="I5615" s="3" t="s">
        <v>45</v>
      </c>
    </row>
    <row r="5616" spans="1:9" ht="48" customHeight="1">
      <c r="A5616" s="3" t="s">
        <v>79</v>
      </c>
      <c r="B5616" s="3" t="s">
        <v>78</v>
      </c>
      <c r="C5616" s="4">
        <v>43374</v>
      </c>
      <c r="D5616" s="4">
        <v>43404</v>
      </c>
      <c r="E5616" s="3" t="s">
        <v>161</v>
      </c>
      <c r="F5616" s="3" t="s">
        <v>181</v>
      </c>
      <c r="G5616" s="5">
        <v>2E-3</v>
      </c>
      <c r="H5616" s="6" t="s">
        <v>86</v>
      </c>
      <c r="I5616" s="3" t="s">
        <v>45</v>
      </c>
    </row>
    <row r="5617" spans="1:9" ht="48" customHeight="1">
      <c r="A5617" s="3" t="s">
        <v>79</v>
      </c>
      <c r="B5617" s="3" t="s">
        <v>78</v>
      </c>
      <c r="C5617" s="4">
        <v>43374</v>
      </c>
      <c r="D5617" s="4">
        <v>43404</v>
      </c>
      <c r="E5617" s="3" t="s">
        <v>161</v>
      </c>
      <c r="F5617" s="3" t="s">
        <v>184</v>
      </c>
      <c r="G5617" s="5">
        <v>2E-3</v>
      </c>
      <c r="H5617" s="6" t="s">
        <v>86</v>
      </c>
      <c r="I5617" s="3" t="s">
        <v>45</v>
      </c>
    </row>
    <row r="5618" spans="1:9" ht="48" customHeight="1">
      <c r="A5618" s="3" t="s">
        <v>79</v>
      </c>
      <c r="B5618" s="3" t="s">
        <v>78</v>
      </c>
      <c r="C5618" s="4">
        <v>43374</v>
      </c>
      <c r="D5618" s="4">
        <v>43404</v>
      </c>
      <c r="E5618" s="3" t="s">
        <v>161</v>
      </c>
      <c r="F5618" s="3" t="s">
        <v>174</v>
      </c>
      <c r="G5618" s="5">
        <v>1E-3</v>
      </c>
      <c r="H5618" s="6" t="s">
        <v>86</v>
      </c>
      <c r="I5618" s="3" t="s">
        <v>45</v>
      </c>
    </row>
    <row r="5619" spans="1:9" ht="48" customHeight="1">
      <c r="A5619" s="3" t="s">
        <v>79</v>
      </c>
      <c r="B5619" s="3" t="s">
        <v>78</v>
      </c>
      <c r="C5619" s="4">
        <v>43374</v>
      </c>
      <c r="D5619" s="4">
        <v>43404</v>
      </c>
      <c r="E5619" s="3" t="s">
        <v>161</v>
      </c>
      <c r="F5619" s="3" t="s">
        <v>164</v>
      </c>
      <c r="G5619" s="5">
        <v>1E-3</v>
      </c>
      <c r="H5619" s="6" t="s">
        <v>86</v>
      </c>
      <c r="I5619" s="3" t="s">
        <v>45</v>
      </c>
    </row>
    <row r="5620" spans="1:9" ht="48" customHeight="1">
      <c r="A5620" s="3" t="s">
        <v>79</v>
      </c>
      <c r="B5620" s="3" t="s">
        <v>78</v>
      </c>
      <c r="C5620" s="4">
        <v>43374</v>
      </c>
      <c r="D5620" s="4">
        <v>43404</v>
      </c>
      <c r="E5620" s="3" t="s">
        <v>161</v>
      </c>
      <c r="F5620" s="3" t="s">
        <v>175</v>
      </c>
      <c r="G5620" s="5">
        <v>1E-3</v>
      </c>
      <c r="H5620" s="6" t="s">
        <v>86</v>
      </c>
      <c r="I5620" s="3" t="s">
        <v>45</v>
      </c>
    </row>
    <row r="5621" spans="1:9" ht="48" customHeight="1">
      <c r="A5621" s="3" t="s">
        <v>79</v>
      </c>
      <c r="B5621" s="3" t="s">
        <v>78</v>
      </c>
      <c r="C5621" s="4">
        <v>43374</v>
      </c>
      <c r="D5621" s="4">
        <v>43404</v>
      </c>
      <c r="E5621" s="3" t="s">
        <v>161</v>
      </c>
      <c r="F5621" s="3" t="s">
        <v>167</v>
      </c>
      <c r="G5621" s="5">
        <v>1E-3</v>
      </c>
      <c r="H5621" s="6" t="s">
        <v>86</v>
      </c>
      <c r="I5621" s="3" t="s">
        <v>45</v>
      </c>
    </row>
    <row r="5622" spans="1:9" ht="48" customHeight="1">
      <c r="A5622" s="3" t="s">
        <v>79</v>
      </c>
      <c r="B5622" s="3" t="s">
        <v>78</v>
      </c>
      <c r="C5622" s="4">
        <v>43374</v>
      </c>
      <c r="D5622" s="4">
        <v>43404</v>
      </c>
      <c r="E5622" s="3" t="s">
        <v>161</v>
      </c>
      <c r="F5622" s="3" t="s">
        <v>189</v>
      </c>
      <c r="G5622" s="5">
        <v>1E-3</v>
      </c>
      <c r="H5622" s="6" t="s">
        <v>86</v>
      </c>
      <c r="I5622" s="3" t="s">
        <v>45</v>
      </c>
    </row>
    <row r="5623" spans="1:9" ht="48" customHeight="1">
      <c r="A5623" s="3" t="s">
        <v>79</v>
      </c>
      <c r="B5623" s="3" t="s">
        <v>78</v>
      </c>
      <c r="C5623" s="4">
        <v>43374</v>
      </c>
      <c r="D5623" s="4">
        <v>43404</v>
      </c>
      <c r="E5623" s="3" t="s">
        <v>161</v>
      </c>
      <c r="F5623" s="3" t="s">
        <v>190</v>
      </c>
      <c r="G5623" s="5">
        <v>1E-3</v>
      </c>
      <c r="H5623" s="6" t="s">
        <v>86</v>
      </c>
      <c r="I5623" s="3" t="s">
        <v>45</v>
      </c>
    </row>
    <row r="5624" spans="1:9" ht="48" customHeight="1">
      <c r="A5624" s="3" t="s">
        <v>79</v>
      </c>
      <c r="B5624" s="3" t="s">
        <v>78</v>
      </c>
      <c r="C5624" s="4">
        <v>43374</v>
      </c>
      <c r="D5624" s="4">
        <v>43404</v>
      </c>
      <c r="E5624" s="3" t="s">
        <v>161</v>
      </c>
      <c r="F5624" s="3" t="s">
        <v>176</v>
      </c>
      <c r="G5624" s="5">
        <v>1E-3</v>
      </c>
      <c r="H5624" s="6" t="s">
        <v>86</v>
      </c>
      <c r="I5624" s="3" t="s">
        <v>45</v>
      </c>
    </row>
    <row r="5625" spans="1:9" ht="48" customHeight="1">
      <c r="A5625" s="3" t="s">
        <v>79</v>
      </c>
      <c r="B5625" s="3" t="s">
        <v>78</v>
      </c>
      <c r="C5625" s="4">
        <v>43374</v>
      </c>
      <c r="D5625" s="4">
        <v>43404</v>
      </c>
      <c r="E5625" s="3" t="s">
        <v>161</v>
      </c>
      <c r="F5625" s="3" t="s">
        <v>186</v>
      </c>
      <c r="G5625" s="5">
        <v>1E-3</v>
      </c>
      <c r="H5625" s="6" t="s">
        <v>86</v>
      </c>
      <c r="I5625" s="3" t="s">
        <v>45</v>
      </c>
    </row>
    <row r="5626" spans="1:9" ht="48" customHeight="1">
      <c r="A5626" s="3" t="s">
        <v>79</v>
      </c>
      <c r="B5626" s="3" t="s">
        <v>78</v>
      </c>
      <c r="C5626" s="4">
        <v>43374</v>
      </c>
      <c r="D5626" s="4">
        <v>43404</v>
      </c>
      <c r="E5626" s="3" t="s">
        <v>161</v>
      </c>
      <c r="F5626" s="3" t="s">
        <v>170</v>
      </c>
      <c r="G5626" s="5">
        <v>1E-3</v>
      </c>
      <c r="H5626" s="6" t="s">
        <v>86</v>
      </c>
      <c r="I5626" s="3" t="s">
        <v>45</v>
      </c>
    </row>
    <row r="5627" spans="1:9" ht="48" customHeight="1">
      <c r="A5627" s="3" t="s">
        <v>79</v>
      </c>
      <c r="B5627" s="3" t="s">
        <v>78</v>
      </c>
      <c r="C5627" s="4">
        <v>43374</v>
      </c>
      <c r="D5627" s="4">
        <v>43404</v>
      </c>
      <c r="E5627" s="3" t="s">
        <v>161</v>
      </c>
      <c r="F5627" s="3" t="s">
        <v>171</v>
      </c>
      <c r="G5627" s="5">
        <v>1E-3</v>
      </c>
      <c r="H5627" s="6" t="s">
        <v>86</v>
      </c>
      <c r="I5627" s="3" t="s">
        <v>45</v>
      </c>
    </row>
    <row r="5628" spans="1:9" ht="48" customHeight="1">
      <c r="A5628" s="3" t="s">
        <v>79</v>
      </c>
      <c r="B5628" s="3" t="s">
        <v>78</v>
      </c>
      <c r="C5628" s="4">
        <v>43374</v>
      </c>
      <c r="D5628" s="4">
        <v>43404</v>
      </c>
      <c r="E5628" s="3" t="s">
        <v>161</v>
      </c>
      <c r="F5628" s="3" t="s">
        <v>177</v>
      </c>
      <c r="G5628" s="5">
        <v>1E-3</v>
      </c>
      <c r="H5628" s="6" t="s">
        <v>86</v>
      </c>
      <c r="I5628" s="3" t="s">
        <v>45</v>
      </c>
    </row>
    <row r="5629" spans="1:9" ht="48" customHeight="1">
      <c r="A5629" s="3" t="s">
        <v>79</v>
      </c>
      <c r="B5629" s="3" t="s">
        <v>78</v>
      </c>
      <c r="C5629" s="4">
        <v>43374</v>
      </c>
      <c r="D5629" s="4">
        <v>43404</v>
      </c>
      <c r="E5629" s="3" t="s">
        <v>161</v>
      </c>
      <c r="F5629" s="3" t="s">
        <v>187</v>
      </c>
      <c r="G5629" s="5">
        <v>1E-3</v>
      </c>
      <c r="H5629" s="6" t="s">
        <v>86</v>
      </c>
      <c r="I5629" s="3" t="s">
        <v>45</v>
      </c>
    </row>
    <row r="5630" spans="1:9" ht="48" customHeight="1">
      <c r="A5630" s="3" t="s">
        <v>79</v>
      </c>
      <c r="B5630" s="3" t="s">
        <v>78</v>
      </c>
      <c r="C5630" s="4">
        <v>43374</v>
      </c>
      <c r="D5630" s="4">
        <v>43404</v>
      </c>
      <c r="E5630" s="3" t="s">
        <v>161</v>
      </c>
      <c r="F5630" s="3" t="s">
        <v>192</v>
      </c>
      <c r="G5630" s="5">
        <v>1E-3</v>
      </c>
      <c r="H5630" s="6" t="s">
        <v>86</v>
      </c>
      <c r="I5630" s="3" t="s">
        <v>45</v>
      </c>
    </row>
    <row r="5631" spans="1:9" ht="48" customHeight="1">
      <c r="A5631" s="3" t="s">
        <v>79</v>
      </c>
      <c r="B5631" s="3" t="s">
        <v>78</v>
      </c>
      <c r="C5631" s="4">
        <v>43374</v>
      </c>
      <c r="D5631" s="4">
        <v>43404</v>
      </c>
      <c r="E5631" s="3" t="s">
        <v>161</v>
      </c>
      <c r="F5631" s="3" t="s">
        <v>193</v>
      </c>
      <c r="G5631" s="5">
        <v>1E-3</v>
      </c>
      <c r="H5631" s="6" t="s">
        <v>86</v>
      </c>
      <c r="I5631" s="3" t="s">
        <v>45</v>
      </c>
    </row>
    <row r="5632" spans="1:9" ht="48" customHeight="1">
      <c r="A5632" s="3" t="s">
        <v>79</v>
      </c>
      <c r="B5632" s="3" t="s">
        <v>78</v>
      </c>
      <c r="C5632" s="4">
        <v>43374</v>
      </c>
      <c r="D5632" s="4">
        <v>43404</v>
      </c>
      <c r="E5632" s="3" t="s">
        <v>161</v>
      </c>
      <c r="F5632" s="3" t="s">
        <v>178</v>
      </c>
      <c r="G5632" s="5">
        <v>1E-3</v>
      </c>
      <c r="H5632" s="6" t="s">
        <v>86</v>
      </c>
      <c r="I5632" s="3" t="s">
        <v>45</v>
      </c>
    </row>
    <row r="5633" spans="1:9" ht="48" customHeight="1">
      <c r="A5633" s="3" t="s">
        <v>79</v>
      </c>
      <c r="B5633" s="3" t="s">
        <v>78</v>
      </c>
      <c r="C5633" s="4">
        <v>43374</v>
      </c>
      <c r="D5633" s="4">
        <v>43404</v>
      </c>
      <c r="E5633" s="3" t="s">
        <v>161</v>
      </c>
      <c r="F5633" s="3" t="s">
        <v>163</v>
      </c>
      <c r="G5633" s="5">
        <v>1E-3</v>
      </c>
      <c r="H5633" s="6" t="s">
        <v>86</v>
      </c>
      <c r="I5633" s="3" t="s">
        <v>45</v>
      </c>
    </row>
    <row r="5634" spans="1:9" ht="48" customHeight="1">
      <c r="A5634" s="3" t="s">
        <v>79</v>
      </c>
      <c r="B5634" s="3" t="s">
        <v>78</v>
      </c>
      <c r="C5634" s="4">
        <v>43374</v>
      </c>
      <c r="D5634" s="4">
        <v>43404</v>
      </c>
      <c r="E5634" s="3" t="s">
        <v>161</v>
      </c>
      <c r="F5634" s="3" t="s">
        <v>179</v>
      </c>
      <c r="G5634" s="5">
        <v>1E-3</v>
      </c>
      <c r="H5634" s="6" t="s">
        <v>86</v>
      </c>
      <c r="I5634" s="3" t="s">
        <v>45</v>
      </c>
    </row>
    <row r="5635" spans="1:9" ht="48" customHeight="1">
      <c r="A5635" s="3" t="s">
        <v>79</v>
      </c>
      <c r="B5635" s="3" t="s">
        <v>78</v>
      </c>
      <c r="C5635" s="4">
        <v>43374</v>
      </c>
      <c r="D5635" s="4">
        <v>43404</v>
      </c>
      <c r="E5635" s="3" t="s">
        <v>161</v>
      </c>
      <c r="F5635" s="3" t="s">
        <v>188</v>
      </c>
      <c r="G5635" s="5">
        <v>1E-3</v>
      </c>
      <c r="H5635" s="6" t="s">
        <v>86</v>
      </c>
      <c r="I5635" s="3" t="s">
        <v>45</v>
      </c>
    </row>
    <row r="5636" spans="1:9" ht="48" customHeight="1">
      <c r="A5636" s="3" t="s">
        <v>79</v>
      </c>
      <c r="B5636" s="3" t="s">
        <v>78</v>
      </c>
      <c r="C5636" s="4">
        <v>43374</v>
      </c>
      <c r="D5636" s="4">
        <v>43404</v>
      </c>
      <c r="E5636" s="3" t="s">
        <v>161</v>
      </c>
      <c r="F5636" s="3" t="s">
        <v>180</v>
      </c>
      <c r="G5636" s="5">
        <v>1E-3</v>
      </c>
      <c r="H5636" s="6" t="s">
        <v>86</v>
      </c>
      <c r="I5636" s="3" t="s">
        <v>45</v>
      </c>
    </row>
    <row r="5637" spans="1:9" ht="48" customHeight="1">
      <c r="A5637" s="3" t="s">
        <v>79</v>
      </c>
      <c r="B5637" s="3" t="s">
        <v>78</v>
      </c>
      <c r="C5637" s="4">
        <v>43374</v>
      </c>
      <c r="D5637" s="4">
        <v>43404</v>
      </c>
      <c r="E5637" s="3" t="s">
        <v>161</v>
      </c>
      <c r="F5637" s="3" t="s">
        <v>182</v>
      </c>
      <c r="G5637" s="5">
        <v>1E-3</v>
      </c>
      <c r="H5637" s="6" t="s">
        <v>86</v>
      </c>
      <c r="I5637" s="3" t="s">
        <v>45</v>
      </c>
    </row>
    <row r="5638" spans="1:9" ht="48" customHeight="1">
      <c r="A5638" s="3" t="s">
        <v>79</v>
      </c>
      <c r="B5638" s="3" t="s">
        <v>78</v>
      </c>
      <c r="C5638" s="4">
        <v>43374</v>
      </c>
      <c r="D5638" s="4">
        <v>43404</v>
      </c>
      <c r="E5638" s="3" t="s">
        <v>161</v>
      </c>
      <c r="F5638" s="3" t="s">
        <v>195</v>
      </c>
      <c r="G5638" s="5">
        <v>1E-3</v>
      </c>
      <c r="H5638" s="6" t="s">
        <v>86</v>
      </c>
      <c r="I5638" s="3" t="s">
        <v>45</v>
      </c>
    </row>
    <row r="5639" spans="1:9" ht="48" customHeight="1">
      <c r="A5639" s="3" t="s">
        <v>79</v>
      </c>
      <c r="B5639" s="3" t="s">
        <v>78</v>
      </c>
      <c r="C5639" s="4">
        <v>43374</v>
      </c>
      <c r="D5639" s="4">
        <v>43404</v>
      </c>
      <c r="E5639" s="3" t="s">
        <v>161</v>
      </c>
      <c r="F5639" s="3" t="s">
        <v>183</v>
      </c>
      <c r="G5639" s="5">
        <v>1E-3</v>
      </c>
      <c r="H5639" s="6" t="s">
        <v>86</v>
      </c>
      <c r="I5639" s="3" t="s">
        <v>45</v>
      </c>
    </row>
    <row r="5640" spans="1:9" ht="48" customHeight="1">
      <c r="A5640" s="3" t="s">
        <v>79</v>
      </c>
      <c r="B5640" s="3" t="s">
        <v>78</v>
      </c>
      <c r="C5640" s="4">
        <v>43374</v>
      </c>
      <c r="D5640" s="4">
        <v>43404</v>
      </c>
      <c r="E5640" s="3" t="s">
        <v>161</v>
      </c>
      <c r="F5640" s="3" t="s">
        <v>173</v>
      </c>
      <c r="G5640" s="5">
        <v>1E-3</v>
      </c>
      <c r="H5640" s="6" t="s">
        <v>86</v>
      </c>
      <c r="I5640" s="3" t="s">
        <v>45</v>
      </c>
    </row>
    <row r="5641" spans="1:9" ht="48" customHeight="1">
      <c r="A5641" s="3" t="s">
        <v>79</v>
      </c>
      <c r="B5641" s="3" t="s">
        <v>78</v>
      </c>
      <c r="C5641" s="4">
        <v>43374</v>
      </c>
      <c r="D5641" s="4">
        <v>43404</v>
      </c>
      <c r="E5641" s="3" t="s">
        <v>161</v>
      </c>
      <c r="F5641" s="3" t="s">
        <v>196</v>
      </c>
      <c r="G5641" s="5">
        <v>1E-3</v>
      </c>
      <c r="H5641" s="6" t="s">
        <v>86</v>
      </c>
      <c r="I5641" s="3" t="s">
        <v>45</v>
      </c>
    </row>
    <row r="5642" spans="1:9" ht="48" customHeight="1">
      <c r="A5642" s="3" t="s">
        <v>79</v>
      </c>
      <c r="B5642" s="3" t="s">
        <v>78</v>
      </c>
      <c r="C5642" s="4">
        <v>43374</v>
      </c>
      <c r="D5642" s="4">
        <v>43404</v>
      </c>
      <c r="E5642" s="3" t="s">
        <v>161</v>
      </c>
      <c r="F5642" s="3" t="s">
        <v>199</v>
      </c>
      <c r="G5642" s="5">
        <v>1E-3</v>
      </c>
      <c r="H5642" s="6" t="s">
        <v>86</v>
      </c>
      <c r="I5642" s="3" t="s">
        <v>45</v>
      </c>
    </row>
    <row r="5643" spans="1:9" ht="48" customHeight="1">
      <c r="A5643" s="3" t="s">
        <v>79</v>
      </c>
      <c r="B5643" s="3" t="s">
        <v>78</v>
      </c>
      <c r="C5643" s="4">
        <v>43374</v>
      </c>
      <c r="D5643" s="4">
        <v>43404</v>
      </c>
      <c r="E5643" s="3" t="s">
        <v>161</v>
      </c>
      <c r="F5643" s="3" t="s">
        <v>200</v>
      </c>
      <c r="G5643" s="5">
        <v>1E-3</v>
      </c>
      <c r="H5643" s="6" t="s">
        <v>86</v>
      </c>
      <c r="I5643" s="3" t="s">
        <v>45</v>
      </c>
    </row>
    <row r="5644" spans="1:9" ht="48" customHeight="1">
      <c r="A5644" s="3" t="s">
        <v>79</v>
      </c>
      <c r="B5644" s="3" t="s">
        <v>78</v>
      </c>
      <c r="C5644" s="4">
        <v>43374</v>
      </c>
      <c r="D5644" s="4">
        <v>43404</v>
      </c>
      <c r="E5644" s="3" t="s">
        <v>161</v>
      </c>
      <c r="F5644" s="3" t="s">
        <v>201</v>
      </c>
      <c r="G5644" s="5">
        <v>1E-3</v>
      </c>
      <c r="H5644" s="6" t="s">
        <v>86</v>
      </c>
      <c r="I5644" s="3" t="s">
        <v>45</v>
      </c>
    </row>
    <row r="5645" spans="1:9" ht="48" customHeight="1">
      <c r="A5645" s="3" t="s">
        <v>79</v>
      </c>
      <c r="B5645" s="3" t="s">
        <v>78</v>
      </c>
      <c r="C5645" s="4">
        <v>43374</v>
      </c>
      <c r="D5645" s="4">
        <v>43404</v>
      </c>
      <c r="E5645" s="3" t="s">
        <v>161</v>
      </c>
      <c r="F5645" s="3" t="s">
        <v>202</v>
      </c>
      <c r="G5645" s="5">
        <v>0</v>
      </c>
      <c r="H5645" s="6" t="s">
        <v>86</v>
      </c>
      <c r="I5645" s="3" t="s">
        <v>45</v>
      </c>
    </row>
    <row r="5646" spans="1:9" ht="48" customHeight="1">
      <c r="A5646" s="3" t="s">
        <v>79</v>
      </c>
      <c r="B5646" s="3" t="s">
        <v>78</v>
      </c>
      <c r="C5646" s="4">
        <v>43374</v>
      </c>
      <c r="D5646" s="4">
        <v>43404</v>
      </c>
      <c r="E5646" s="3" t="s">
        <v>161</v>
      </c>
      <c r="F5646" s="3" t="s">
        <v>198</v>
      </c>
      <c r="G5646" s="5">
        <v>0</v>
      </c>
      <c r="H5646" s="6" t="s">
        <v>86</v>
      </c>
      <c r="I5646" s="3" t="s">
        <v>45</v>
      </c>
    </row>
    <row r="5647" spans="1:9" ht="48" customHeight="1">
      <c r="A5647" s="3" t="s">
        <v>79</v>
      </c>
      <c r="B5647" s="3" t="s">
        <v>78</v>
      </c>
      <c r="C5647" s="4">
        <v>43374</v>
      </c>
      <c r="D5647" s="4">
        <v>43404</v>
      </c>
      <c r="E5647" s="3" t="s">
        <v>161</v>
      </c>
      <c r="F5647" s="3" t="s">
        <v>194</v>
      </c>
      <c r="G5647" s="5">
        <v>0</v>
      </c>
      <c r="H5647" s="6" t="s">
        <v>86</v>
      </c>
      <c r="I5647" s="3" t="s">
        <v>45</v>
      </c>
    </row>
    <row r="5648" spans="1:9" ht="48" customHeight="1">
      <c r="A5648" s="3" t="s">
        <v>79</v>
      </c>
      <c r="B5648" s="3" t="s">
        <v>78</v>
      </c>
      <c r="C5648" s="4">
        <v>43374</v>
      </c>
      <c r="D5648" s="4">
        <v>43404</v>
      </c>
      <c r="E5648" s="3" t="s">
        <v>161</v>
      </c>
      <c r="F5648" s="3" t="s">
        <v>203</v>
      </c>
      <c r="G5648" s="5">
        <v>0</v>
      </c>
      <c r="H5648" s="6" t="s">
        <v>86</v>
      </c>
      <c r="I5648" s="3" t="s">
        <v>45</v>
      </c>
    </row>
    <row r="5649" spans="1:9" ht="48" customHeight="1">
      <c r="A5649" s="3" t="s">
        <v>79</v>
      </c>
      <c r="B5649" s="3" t="s">
        <v>78</v>
      </c>
      <c r="C5649" s="4">
        <v>43374</v>
      </c>
      <c r="D5649" s="4">
        <v>43404</v>
      </c>
      <c r="E5649" s="3" t="s">
        <v>161</v>
      </c>
      <c r="F5649" s="3" t="s">
        <v>204</v>
      </c>
      <c r="G5649" s="5">
        <v>0</v>
      </c>
      <c r="H5649" s="6" t="s">
        <v>86</v>
      </c>
      <c r="I5649" s="3" t="s">
        <v>45</v>
      </c>
    </row>
    <row r="5650" spans="1:9" ht="48" customHeight="1">
      <c r="A5650" s="3" t="s">
        <v>79</v>
      </c>
      <c r="B5650" s="3" t="s">
        <v>78</v>
      </c>
      <c r="C5650" s="4">
        <v>43374</v>
      </c>
      <c r="D5650" s="4">
        <v>43404</v>
      </c>
      <c r="E5650" s="3" t="s">
        <v>379</v>
      </c>
      <c r="F5650" s="3" t="s">
        <v>265</v>
      </c>
      <c r="G5650" s="5">
        <v>1.2E-2</v>
      </c>
      <c r="H5650" s="6" t="s">
        <v>86</v>
      </c>
      <c r="I5650" s="3" t="s">
        <v>45</v>
      </c>
    </row>
    <row r="5651" spans="1:9" ht="48" customHeight="1">
      <c r="A5651" s="3" t="s">
        <v>79</v>
      </c>
      <c r="B5651" s="3" t="s">
        <v>78</v>
      </c>
      <c r="C5651" s="4">
        <v>43374</v>
      </c>
      <c r="D5651" s="4">
        <v>43404</v>
      </c>
      <c r="E5651" s="3" t="s">
        <v>379</v>
      </c>
      <c r="F5651" s="3" t="s">
        <v>262</v>
      </c>
      <c r="G5651" s="5">
        <v>9.0000000000000011E-3</v>
      </c>
      <c r="H5651" s="6" t="s">
        <v>86</v>
      </c>
      <c r="I5651" s="3" t="s">
        <v>45</v>
      </c>
    </row>
    <row r="5652" spans="1:9" ht="48" customHeight="1">
      <c r="A5652" s="3" t="s">
        <v>79</v>
      </c>
      <c r="B5652" s="3" t="s">
        <v>78</v>
      </c>
      <c r="C5652" s="4">
        <v>43374</v>
      </c>
      <c r="D5652" s="4">
        <v>43404</v>
      </c>
      <c r="E5652" s="3" t="s">
        <v>379</v>
      </c>
      <c r="F5652" s="3" t="s">
        <v>380</v>
      </c>
      <c r="G5652" s="5">
        <v>9.0000000000000011E-3</v>
      </c>
      <c r="H5652" s="6" t="s">
        <v>86</v>
      </c>
      <c r="I5652" s="3" t="s">
        <v>45</v>
      </c>
    </row>
    <row r="5653" spans="1:9" ht="48" customHeight="1">
      <c r="A5653" s="3" t="s">
        <v>79</v>
      </c>
      <c r="B5653" s="3" t="s">
        <v>78</v>
      </c>
      <c r="C5653" s="4">
        <v>43374</v>
      </c>
      <c r="D5653" s="4">
        <v>43404</v>
      </c>
      <c r="E5653" s="3" t="s">
        <v>379</v>
      </c>
      <c r="F5653" s="3" t="s">
        <v>230</v>
      </c>
      <c r="G5653" s="5">
        <v>8.0000000000000002E-3</v>
      </c>
      <c r="H5653" s="6" t="s">
        <v>86</v>
      </c>
      <c r="I5653" s="3" t="s">
        <v>45</v>
      </c>
    </row>
    <row r="5654" spans="1:9" ht="48" customHeight="1">
      <c r="A5654" s="3" t="s">
        <v>79</v>
      </c>
      <c r="B5654" s="3" t="s">
        <v>78</v>
      </c>
      <c r="C5654" s="4">
        <v>43374</v>
      </c>
      <c r="D5654" s="4">
        <v>43404</v>
      </c>
      <c r="E5654" s="3" t="s">
        <v>379</v>
      </c>
      <c r="F5654" s="3" t="s">
        <v>234</v>
      </c>
      <c r="G5654" s="5">
        <v>6.0000000000000001E-3</v>
      </c>
      <c r="H5654" s="6" t="s">
        <v>86</v>
      </c>
      <c r="I5654" s="3" t="s">
        <v>45</v>
      </c>
    </row>
    <row r="5655" spans="1:9" ht="48" customHeight="1">
      <c r="A5655" s="3" t="s">
        <v>79</v>
      </c>
      <c r="B5655" s="3" t="s">
        <v>78</v>
      </c>
      <c r="C5655" s="4">
        <v>43374</v>
      </c>
      <c r="D5655" s="4">
        <v>43404</v>
      </c>
      <c r="E5655" s="3" t="s">
        <v>302</v>
      </c>
      <c r="F5655" s="3" t="s">
        <v>309</v>
      </c>
      <c r="G5655" s="5">
        <v>8.0000000000000002E-3</v>
      </c>
      <c r="H5655" s="6" t="s">
        <v>86</v>
      </c>
      <c r="I5655" s="3" t="s">
        <v>45</v>
      </c>
    </row>
    <row r="5656" spans="1:9" ht="48" customHeight="1">
      <c r="A5656" s="3" t="s">
        <v>79</v>
      </c>
      <c r="B5656" s="3" t="s">
        <v>78</v>
      </c>
      <c r="C5656" s="4">
        <v>43374</v>
      </c>
      <c r="D5656" s="4">
        <v>43404</v>
      </c>
      <c r="E5656" s="3" t="s">
        <v>302</v>
      </c>
      <c r="F5656" s="3" t="s">
        <v>307</v>
      </c>
      <c r="G5656" s="5">
        <v>6.0000000000000001E-3</v>
      </c>
      <c r="H5656" s="6" t="s">
        <v>86</v>
      </c>
      <c r="I5656" s="3" t="s">
        <v>45</v>
      </c>
    </row>
    <row r="5657" spans="1:9" ht="48" customHeight="1">
      <c r="A5657" s="3" t="s">
        <v>79</v>
      </c>
      <c r="B5657" s="3" t="s">
        <v>78</v>
      </c>
      <c r="C5657" s="4">
        <v>43374</v>
      </c>
      <c r="D5657" s="4">
        <v>43404</v>
      </c>
      <c r="E5657" s="3" t="s">
        <v>302</v>
      </c>
      <c r="F5657" s="3" t="s">
        <v>303</v>
      </c>
      <c r="G5657" s="5">
        <v>3.0000000000000001E-3</v>
      </c>
      <c r="H5657" s="6" t="s">
        <v>86</v>
      </c>
      <c r="I5657" s="3" t="s">
        <v>45</v>
      </c>
    </row>
    <row r="5658" spans="1:9" ht="48" customHeight="1">
      <c r="A5658" s="3" t="s">
        <v>79</v>
      </c>
      <c r="B5658" s="3" t="s">
        <v>78</v>
      </c>
      <c r="C5658" s="4">
        <v>43374</v>
      </c>
      <c r="D5658" s="4">
        <v>43404</v>
      </c>
      <c r="E5658" s="3" t="s">
        <v>302</v>
      </c>
      <c r="F5658" s="3" t="s">
        <v>306</v>
      </c>
      <c r="G5658" s="5">
        <v>3.0000000000000001E-3</v>
      </c>
      <c r="H5658" s="6" t="s">
        <v>86</v>
      </c>
      <c r="I5658" s="3" t="s">
        <v>45</v>
      </c>
    </row>
    <row r="5659" spans="1:9" ht="48" customHeight="1">
      <c r="A5659" s="3" t="s">
        <v>79</v>
      </c>
      <c r="B5659" s="3" t="s">
        <v>78</v>
      </c>
      <c r="C5659" s="4">
        <v>43374</v>
      </c>
      <c r="D5659" s="4">
        <v>43404</v>
      </c>
      <c r="E5659" s="3" t="s">
        <v>302</v>
      </c>
      <c r="F5659" s="3" t="s">
        <v>304</v>
      </c>
      <c r="G5659" s="5">
        <v>2E-3</v>
      </c>
      <c r="H5659" s="6" t="s">
        <v>86</v>
      </c>
      <c r="I5659" s="3" t="s">
        <v>45</v>
      </c>
    </row>
    <row r="5660" spans="1:9" ht="48" customHeight="1">
      <c r="A5660" s="3" t="s">
        <v>79</v>
      </c>
      <c r="B5660" s="3" t="s">
        <v>78</v>
      </c>
      <c r="C5660" s="4">
        <v>43374</v>
      </c>
      <c r="D5660" s="4">
        <v>43404</v>
      </c>
      <c r="E5660" s="3" t="s">
        <v>302</v>
      </c>
      <c r="F5660" s="3" t="s">
        <v>310</v>
      </c>
      <c r="G5660" s="5">
        <v>2E-3</v>
      </c>
      <c r="H5660" s="6" t="s">
        <v>86</v>
      </c>
      <c r="I5660" s="3" t="s">
        <v>45</v>
      </c>
    </row>
    <row r="5661" spans="1:9" ht="48" customHeight="1">
      <c r="A5661" s="3" t="s">
        <v>79</v>
      </c>
      <c r="B5661" s="3" t="s">
        <v>78</v>
      </c>
      <c r="C5661" s="4">
        <v>43374</v>
      </c>
      <c r="D5661" s="4">
        <v>43404</v>
      </c>
      <c r="E5661" s="3" t="s">
        <v>302</v>
      </c>
      <c r="F5661" s="3" t="s">
        <v>311</v>
      </c>
      <c r="G5661" s="5">
        <v>2E-3</v>
      </c>
      <c r="H5661" s="6" t="s">
        <v>86</v>
      </c>
      <c r="I5661" s="3" t="s">
        <v>45</v>
      </c>
    </row>
    <row r="5662" spans="1:9" ht="48" customHeight="1">
      <c r="A5662" s="3" t="s">
        <v>79</v>
      </c>
      <c r="B5662" s="3" t="s">
        <v>78</v>
      </c>
      <c r="C5662" s="4">
        <v>43374</v>
      </c>
      <c r="D5662" s="4">
        <v>43404</v>
      </c>
      <c r="E5662" s="3" t="s">
        <v>302</v>
      </c>
      <c r="F5662" s="3" t="s">
        <v>305</v>
      </c>
      <c r="G5662" s="5">
        <v>2E-3</v>
      </c>
      <c r="H5662" s="6" t="s">
        <v>86</v>
      </c>
      <c r="I5662" s="3" t="s">
        <v>45</v>
      </c>
    </row>
    <row r="5663" spans="1:9" ht="48" customHeight="1">
      <c r="A5663" s="3" t="s">
        <v>79</v>
      </c>
      <c r="B5663" s="3" t="s">
        <v>78</v>
      </c>
      <c r="C5663" s="4">
        <v>43374</v>
      </c>
      <c r="D5663" s="4">
        <v>43404</v>
      </c>
      <c r="E5663" s="3" t="s">
        <v>302</v>
      </c>
      <c r="F5663" s="3" t="s">
        <v>308</v>
      </c>
      <c r="G5663" s="5">
        <v>2E-3</v>
      </c>
      <c r="H5663" s="6" t="s">
        <v>86</v>
      </c>
      <c r="I5663" s="3" t="s">
        <v>45</v>
      </c>
    </row>
    <row r="5664" spans="1:9" ht="48" customHeight="1">
      <c r="A5664" s="3" t="s">
        <v>79</v>
      </c>
      <c r="B5664" s="3" t="s">
        <v>78</v>
      </c>
      <c r="C5664" s="4">
        <v>43374</v>
      </c>
      <c r="D5664" s="4">
        <v>43404</v>
      </c>
      <c r="E5664" s="3" t="s">
        <v>302</v>
      </c>
      <c r="F5664" s="3" t="s">
        <v>317</v>
      </c>
      <c r="G5664" s="5">
        <v>2E-3</v>
      </c>
      <c r="H5664" s="6" t="s">
        <v>86</v>
      </c>
      <c r="I5664" s="3" t="s">
        <v>45</v>
      </c>
    </row>
    <row r="5665" spans="1:9" ht="48" customHeight="1">
      <c r="A5665" s="3" t="s">
        <v>79</v>
      </c>
      <c r="B5665" s="3" t="s">
        <v>78</v>
      </c>
      <c r="C5665" s="4">
        <v>43374</v>
      </c>
      <c r="D5665" s="4">
        <v>43404</v>
      </c>
      <c r="E5665" s="3" t="s">
        <v>302</v>
      </c>
      <c r="F5665" s="3" t="s">
        <v>312</v>
      </c>
      <c r="G5665" s="5">
        <v>1E-3</v>
      </c>
      <c r="H5665" s="6" t="s">
        <v>86</v>
      </c>
      <c r="I5665" s="3" t="s">
        <v>45</v>
      </c>
    </row>
    <row r="5666" spans="1:9" ht="48" customHeight="1">
      <c r="A5666" s="3" t="s">
        <v>79</v>
      </c>
      <c r="B5666" s="3" t="s">
        <v>78</v>
      </c>
      <c r="C5666" s="4">
        <v>43374</v>
      </c>
      <c r="D5666" s="4">
        <v>43404</v>
      </c>
      <c r="E5666" s="3" t="s">
        <v>302</v>
      </c>
      <c r="F5666" s="3" t="s">
        <v>313</v>
      </c>
      <c r="G5666" s="5">
        <v>1E-3</v>
      </c>
      <c r="H5666" s="6" t="s">
        <v>86</v>
      </c>
      <c r="I5666" s="3" t="s">
        <v>45</v>
      </c>
    </row>
    <row r="5667" spans="1:9" ht="48" customHeight="1">
      <c r="A5667" s="3" t="s">
        <v>79</v>
      </c>
      <c r="B5667" s="3" t="s">
        <v>78</v>
      </c>
      <c r="C5667" s="4">
        <v>43374</v>
      </c>
      <c r="D5667" s="4">
        <v>43404</v>
      </c>
      <c r="E5667" s="3" t="s">
        <v>302</v>
      </c>
      <c r="F5667" s="3" t="s">
        <v>314</v>
      </c>
      <c r="G5667" s="5">
        <v>1E-3</v>
      </c>
      <c r="H5667" s="6" t="s">
        <v>86</v>
      </c>
      <c r="I5667" s="3" t="s">
        <v>45</v>
      </c>
    </row>
    <row r="5668" spans="1:9" ht="48" customHeight="1">
      <c r="A5668" s="3" t="s">
        <v>79</v>
      </c>
      <c r="B5668" s="3" t="s">
        <v>78</v>
      </c>
      <c r="C5668" s="4">
        <v>43374</v>
      </c>
      <c r="D5668" s="4">
        <v>43404</v>
      </c>
      <c r="E5668" s="3" t="s">
        <v>302</v>
      </c>
      <c r="F5668" s="3" t="s">
        <v>316</v>
      </c>
      <c r="G5668" s="5">
        <v>1E-3</v>
      </c>
      <c r="H5668" s="6" t="s">
        <v>86</v>
      </c>
      <c r="I5668" s="3" t="s">
        <v>45</v>
      </c>
    </row>
    <row r="5669" spans="1:9" ht="48" customHeight="1">
      <c r="A5669" s="3" t="s">
        <v>79</v>
      </c>
      <c r="B5669" s="3" t="s">
        <v>78</v>
      </c>
      <c r="C5669" s="4">
        <v>43374</v>
      </c>
      <c r="D5669" s="4">
        <v>43404</v>
      </c>
      <c r="E5669" s="3" t="s">
        <v>302</v>
      </c>
      <c r="F5669" s="3" t="s">
        <v>323</v>
      </c>
      <c r="G5669" s="5">
        <v>1E-3</v>
      </c>
      <c r="H5669" s="6" t="s">
        <v>86</v>
      </c>
      <c r="I5669" s="3" t="s">
        <v>45</v>
      </c>
    </row>
    <row r="5670" spans="1:9" ht="48" customHeight="1">
      <c r="A5670" s="3" t="s">
        <v>79</v>
      </c>
      <c r="B5670" s="3" t="s">
        <v>78</v>
      </c>
      <c r="C5670" s="4">
        <v>43374</v>
      </c>
      <c r="D5670" s="4">
        <v>43404</v>
      </c>
      <c r="E5670" s="3" t="s">
        <v>302</v>
      </c>
      <c r="F5670" s="3" t="s">
        <v>324</v>
      </c>
      <c r="G5670" s="5">
        <v>1E-3</v>
      </c>
      <c r="H5670" s="6" t="s">
        <v>86</v>
      </c>
      <c r="I5670" s="3" t="s">
        <v>45</v>
      </c>
    </row>
    <row r="5671" spans="1:9" ht="48" customHeight="1">
      <c r="A5671" s="3" t="s">
        <v>79</v>
      </c>
      <c r="B5671" s="3" t="s">
        <v>78</v>
      </c>
      <c r="C5671" s="4">
        <v>43374</v>
      </c>
      <c r="D5671" s="4">
        <v>43404</v>
      </c>
      <c r="E5671" s="3" t="s">
        <v>302</v>
      </c>
      <c r="F5671" s="3" t="s">
        <v>315</v>
      </c>
      <c r="G5671" s="5">
        <v>0</v>
      </c>
      <c r="H5671" s="6" t="s">
        <v>86</v>
      </c>
      <c r="I5671" s="3" t="s">
        <v>45</v>
      </c>
    </row>
    <row r="5672" spans="1:9" ht="48" customHeight="1">
      <c r="A5672" s="3" t="s">
        <v>79</v>
      </c>
      <c r="B5672" s="3" t="s">
        <v>78</v>
      </c>
      <c r="C5672" s="4">
        <v>43374</v>
      </c>
      <c r="D5672" s="4">
        <v>43404</v>
      </c>
      <c r="E5672" s="3" t="s">
        <v>302</v>
      </c>
      <c r="F5672" s="3" t="s">
        <v>318</v>
      </c>
      <c r="G5672" s="5">
        <v>0</v>
      </c>
      <c r="H5672" s="6" t="s">
        <v>86</v>
      </c>
      <c r="I5672" s="3" t="s">
        <v>45</v>
      </c>
    </row>
    <row r="5673" spans="1:9" ht="48" customHeight="1">
      <c r="A5673" s="3" t="s">
        <v>79</v>
      </c>
      <c r="B5673" s="3" t="s">
        <v>78</v>
      </c>
      <c r="C5673" s="4">
        <v>43374</v>
      </c>
      <c r="D5673" s="4">
        <v>43404</v>
      </c>
      <c r="E5673" s="3" t="s">
        <v>302</v>
      </c>
      <c r="F5673" s="3" t="s">
        <v>319</v>
      </c>
      <c r="G5673" s="5">
        <v>0</v>
      </c>
      <c r="H5673" s="6" t="s">
        <v>86</v>
      </c>
      <c r="I5673" s="3" t="s">
        <v>45</v>
      </c>
    </row>
    <row r="5674" spans="1:9" ht="48" customHeight="1">
      <c r="A5674" s="3" t="s">
        <v>79</v>
      </c>
      <c r="B5674" s="3" t="s">
        <v>78</v>
      </c>
      <c r="C5674" s="4">
        <v>43374</v>
      </c>
      <c r="D5674" s="4">
        <v>43404</v>
      </c>
      <c r="E5674" s="3" t="s">
        <v>302</v>
      </c>
      <c r="F5674" s="3" t="s">
        <v>320</v>
      </c>
      <c r="G5674" s="5">
        <v>0</v>
      </c>
      <c r="H5674" s="6" t="s">
        <v>86</v>
      </c>
      <c r="I5674" s="3" t="s">
        <v>45</v>
      </c>
    </row>
    <row r="5675" spans="1:9" ht="48" customHeight="1">
      <c r="A5675" s="3" t="s">
        <v>79</v>
      </c>
      <c r="B5675" s="3" t="s">
        <v>78</v>
      </c>
      <c r="C5675" s="4">
        <v>43374</v>
      </c>
      <c r="D5675" s="4">
        <v>43404</v>
      </c>
      <c r="E5675" s="3" t="s">
        <v>302</v>
      </c>
      <c r="F5675" s="3" t="s">
        <v>321</v>
      </c>
      <c r="G5675" s="5">
        <v>0</v>
      </c>
      <c r="H5675" s="6" t="s">
        <v>86</v>
      </c>
      <c r="I5675" s="3" t="s">
        <v>45</v>
      </c>
    </row>
    <row r="5676" spans="1:9" ht="48" customHeight="1">
      <c r="A5676" s="3" t="s">
        <v>79</v>
      </c>
      <c r="B5676" s="3" t="s">
        <v>78</v>
      </c>
      <c r="C5676" s="4">
        <v>43374</v>
      </c>
      <c r="D5676" s="4">
        <v>43404</v>
      </c>
      <c r="E5676" s="3" t="s">
        <v>302</v>
      </c>
      <c r="F5676" s="3" t="s">
        <v>322</v>
      </c>
      <c r="G5676" s="5">
        <v>0</v>
      </c>
      <c r="H5676" s="6" t="s">
        <v>86</v>
      </c>
      <c r="I5676" s="3" t="s">
        <v>45</v>
      </c>
    </row>
    <row r="5677" spans="1:9" ht="48" customHeight="1">
      <c r="A5677" s="3" t="s">
        <v>79</v>
      </c>
      <c r="B5677" s="3" t="s">
        <v>78</v>
      </c>
      <c r="C5677" s="4">
        <v>43374</v>
      </c>
      <c r="D5677" s="4">
        <v>43404</v>
      </c>
      <c r="E5677" s="3" t="s">
        <v>205</v>
      </c>
      <c r="F5677" s="3" t="s">
        <v>210</v>
      </c>
      <c r="G5677" s="5">
        <v>3.0000000000000001E-3</v>
      </c>
      <c r="H5677" s="6" t="s">
        <v>86</v>
      </c>
      <c r="I5677" s="3" t="s">
        <v>45</v>
      </c>
    </row>
    <row r="5678" spans="1:9" ht="48" customHeight="1">
      <c r="A5678" s="3" t="s">
        <v>79</v>
      </c>
      <c r="B5678" s="3" t="s">
        <v>78</v>
      </c>
      <c r="C5678" s="4">
        <v>43374</v>
      </c>
      <c r="D5678" s="4">
        <v>43404</v>
      </c>
      <c r="E5678" s="3" t="s">
        <v>205</v>
      </c>
      <c r="F5678" s="3" t="s">
        <v>220</v>
      </c>
      <c r="G5678" s="5">
        <v>2E-3</v>
      </c>
      <c r="H5678" s="6" t="s">
        <v>86</v>
      </c>
      <c r="I5678" s="3" t="s">
        <v>45</v>
      </c>
    </row>
    <row r="5679" spans="1:9" ht="48" customHeight="1">
      <c r="A5679" s="3" t="s">
        <v>79</v>
      </c>
      <c r="B5679" s="3" t="s">
        <v>78</v>
      </c>
      <c r="C5679" s="4">
        <v>43374</v>
      </c>
      <c r="D5679" s="4">
        <v>43404</v>
      </c>
      <c r="E5679" s="3" t="s">
        <v>205</v>
      </c>
      <c r="F5679" s="3" t="s">
        <v>207</v>
      </c>
      <c r="G5679" s="5">
        <v>2E-3</v>
      </c>
      <c r="H5679" s="6" t="s">
        <v>86</v>
      </c>
      <c r="I5679" s="3" t="s">
        <v>45</v>
      </c>
    </row>
    <row r="5680" spans="1:9" ht="48" customHeight="1">
      <c r="A5680" s="3" t="s">
        <v>79</v>
      </c>
      <c r="B5680" s="3" t="s">
        <v>78</v>
      </c>
      <c r="C5680" s="4">
        <v>43374</v>
      </c>
      <c r="D5680" s="4">
        <v>43404</v>
      </c>
      <c r="E5680" s="3" t="s">
        <v>205</v>
      </c>
      <c r="F5680" s="3" t="s">
        <v>206</v>
      </c>
      <c r="G5680" s="5">
        <v>2E-3</v>
      </c>
      <c r="H5680" s="6" t="s">
        <v>86</v>
      </c>
      <c r="I5680" s="3" t="s">
        <v>45</v>
      </c>
    </row>
    <row r="5681" spans="1:9" ht="48" customHeight="1">
      <c r="A5681" s="3" t="s">
        <v>79</v>
      </c>
      <c r="B5681" s="3" t="s">
        <v>78</v>
      </c>
      <c r="C5681" s="4">
        <v>43374</v>
      </c>
      <c r="D5681" s="4">
        <v>43404</v>
      </c>
      <c r="E5681" s="3" t="s">
        <v>205</v>
      </c>
      <c r="F5681" s="3" t="s">
        <v>209</v>
      </c>
      <c r="G5681" s="5">
        <v>2E-3</v>
      </c>
      <c r="H5681" s="6" t="s">
        <v>86</v>
      </c>
      <c r="I5681" s="3" t="s">
        <v>45</v>
      </c>
    </row>
    <row r="5682" spans="1:9" ht="48" customHeight="1">
      <c r="A5682" s="3" t="s">
        <v>79</v>
      </c>
      <c r="B5682" s="3" t="s">
        <v>78</v>
      </c>
      <c r="C5682" s="4">
        <v>43374</v>
      </c>
      <c r="D5682" s="4">
        <v>43404</v>
      </c>
      <c r="E5682" s="3" t="s">
        <v>205</v>
      </c>
      <c r="F5682" s="3" t="s">
        <v>216</v>
      </c>
      <c r="G5682" s="5">
        <v>2E-3</v>
      </c>
      <c r="H5682" s="6" t="s">
        <v>86</v>
      </c>
      <c r="I5682" s="3" t="s">
        <v>45</v>
      </c>
    </row>
    <row r="5683" spans="1:9" ht="48" customHeight="1">
      <c r="A5683" s="3" t="s">
        <v>79</v>
      </c>
      <c r="B5683" s="3" t="s">
        <v>78</v>
      </c>
      <c r="C5683" s="4">
        <v>43374</v>
      </c>
      <c r="D5683" s="4">
        <v>43404</v>
      </c>
      <c r="E5683" s="3" t="s">
        <v>205</v>
      </c>
      <c r="F5683" s="3" t="s">
        <v>223</v>
      </c>
      <c r="G5683" s="5">
        <v>1E-3</v>
      </c>
      <c r="H5683" s="6" t="s">
        <v>86</v>
      </c>
      <c r="I5683" s="3" t="s">
        <v>45</v>
      </c>
    </row>
    <row r="5684" spans="1:9" ht="48" customHeight="1">
      <c r="A5684" s="3" t="s">
        <v>79</v>
      </c>
      <c r="B5684" s="3" t="s">
        <v>78</v>
      </c>
      <c r="C5684" s="4">
        <v>43374</v>
      </c>
      <c r="D5684" s="4">
        <v>43404</v>
      </c>
      <c r="E5684" s="3" t="s">
        <v>205</v>
      </c>
      <c r="F5684" s="3" t="s">
        <v>224</v>
      </c>
      <c r="G5684" s="5">
        <v>1E-3</v>
      </c>
      <c r="H5684" s="6" t="s">
        <v>86</v>
      </c>
      <c r="I5684" s="3" t="s">
        <v>45</v>
      </c>
    </row>
    <row r="5685" spans="1:9" ht="48" customHeight="1">
      <c r="A5685" s="3" t="s">
        <v>79</v>
      </c>
      <c r="B5685" s="3" t="s">
        <v>78</v>
      </c>
      <c r="C5685" s="4">
        <v>43374</v>
      </c>
      <c r="D5685" s="4">
        <v>43404</v>
      </c>
      <c r="E5685" s="3" t="s">
        <v>205</v>
      </c>
      <c r="F5685" s="3" t="s">
        <v>217</v>
      </c>
      <c r="G5685" s="5">
        <v>1E-3</v>
      </c>
      <c r="H5685" s="6" t="s">
        <v>86</v>
      </c>
      <c r="I5685" s="3" t="s">
        <v>45</v>
      </c>
    </row>
    <row r="5686" spans="1:9" ht="48" customHeight="1">
      <c r="A5686" s="3" t="s">
        <v>79</v>
      </c>
      <c r="B5686" s="3" t="s">
        <v>78</v>
      </c>
      <c r="C5686" s="4">
        <v>43374</v>
      </c>
      <c r="D5686" s="4">
        <v>43404</v>
      </c>
      <c r="E5686" s="3" t="s">
        <v>205</v>
      </c>
      <c r="F5686" s="3" t="s">
        <v>218</v>
      </c>
      <c r="G5686" s="5">
        <v>1E-3</v>
      </c>
      <c r="H5686" s="6" t="s">
        <v>86</v>
      </c>
      <c r="I5686" s="3" t="s">
        <v>45</v>
      </c>
    </row>
    <row r="5687" spans="1:9" ht="48" customHeight="1">
      <c r="A5687" s="3" t="s">
        <v>79</v>
      </c>
      <c r="B5687" s="3" t="s">
        <v>78</v>
      </c>
      <c r="C5687" s="4">
        <v>43374</v>
      </c>
      <c r="D5687" s="4">
        <v>43404</v>
      </c>
      <c r="E5687" s="3" t="s">
        <v>205</v>
      </c>
      <c r="F5687" s="3" t="s">
        <v>225</v>
      </c>
      <c r="G5687" s="5">
        <v>1E-3</v>
      </c>
      <c r="H5687" s="6" t="s">
        <v>86</v>
      </c>
      <c r="I5687" s="3" t="s">
        <v>45</v>
      </c>
    </row>
    <row r="5688" spans="1:9" ht="48" customHeight="1">
      <c r="A5688" s="3" t="s">
        <v>79</v>
      </c>
      <c r="B5688" s="3" t="s">
        <v>78</v>
      </c>
      <c r="C5688" s="4">
        <v>43374</v>
      </c>
      <c r="D5688" s="4">
        <v>43404</v>
      </c>
      <c r="E5688" s="3" t="s">
        <v>205</v>
      </c>
      <c r="F5688" s="3" t="s">
        <v>219</v>
      </c>
      <c r="G5688" s="5">
        <v>1E-3</v>
      </c>
      <c r="H5688" s="6" t="s">
        <v>86</v>
      </c>
      <c r="I5688" s="3" t="s">
        <v>45</v>
      </c>
    </row>
    <row r="5689" spans="1:9" ht="48" customHeight="1">
      <c r="A5689" s="3" t="s">
        <v>79</v>
      </c>
      <c r="B5689" s="3" t="s">
        <v>78</v>
      </c>
      <c r="C5689" s="4">
        <v>43374</v>
      </c>
      <c r="D5689" s="4">
        <v>43404</v>
      </c>
      <c r="E5689" s="3" t="s">
        <v>205</v>
      </c>
      <c r="F5689" s="3" t="s">
        <v>226</v>
      </c>
      <c r="G5689" s="5">
        <v>1E-3</v>
      </c>
      <c r="H5689" s="6" t="s">
        <v>86</v>
      </c>
      <c r="I5689" s="3" t="s">
        <v>45</v>
      </c>
    </row>
    <row r="5690" spans="1:9" ht="48" customHeight="1">
      <c r="A5690" s="3" t="s">
        <v>79</v>
      </c>
      <c r="B5690" s="3" t="s">
        <v>78</v>
      </c>
      <c r="C5690" s="4">
        <v>43374</v>
      </c>
      <c r="D5690" s="4">
        <v>43404</v>
      </c>
      <c r="E5690" s="3" t="s">
        <v>205</v>
      </c>
      <c r="F5690" s="3" t="s">
        <v>227</v>
      </c>
      <c r="G5690" s="5">
        <v>1E-3</v>
      </c>
      <c r="H5690" s="6" t="s">
        <v>86</v>
      </c>
      <c r="I5690" s="3" t="s">
        <v>45</v>
      </c>
    </row>
    <row r="5691" spans="1:9" ht="48" customHeight="1">
      <c r="A5691" s="3" t="s">
        <v>79</v>
      </c>
      <c r="B5691" s="3" t="s">
        <v>78</v>
      </c>
      <c r="C5691" s="4">
        <v>43374</v>
      </c>
      <c r="D5691" s="4">
        <v>43404</v>
      </c>
      <c r="E5691" s="3" t="s">
        <v>205</v>
      </c>
      <c r="F5691" s="3" t="s">
        <v>211</v>
      </c>
      <c r="G5691" s="5">
        <v>1E-3</v>
      </c>
      <c r="H5691" s="6" t="s">
        <v>86</v>
      </c>
      <c r="I5691" s="3" t="s">
        <v>45</v>
      </c>
    </row>
    <row r="5692" spans="1:9" ht="48" customHeight="1">
      <c r="A5692" s="3" t="s">
        <v>79</v>
      </c>
      <c r="B5692" s="3" t="s">
        <v>78</v>
      </c>
      <c r="C5692" s="4">
        <v>43374</v>
      </c>
      <c r="D5692" s="4">
        <v>43404</v>
      </c>
      <c r="E5692" s="3" t="s">
        <v>205</v>
      </c>
      <c r="F5692" s="3" t="s">
        <v>221</v>
      </c>
      <c r="G5692" s="5">
        <v>1E-3</v>
      </c>
      <c r="H5692" s="6" t="s">
        <v>86</v>
      </c>
      <c r="I5692" s="3" t="s">
        <v>45</v>
      </c>
    </row>
    <row r="5693" spans="1:9" ht="48" customHeight="1">
      <c r="A5693" s="3" t="s">
        <v>79</v>
      </c>
      <c r="B5693" s="3" t="s">
        <v>78</v>
      </c>
      <c r="C5693" s="4">
        <v>43374</v>
      </c>
      <c r="D5693" s="4">
        <v>43404</v>
      </c>
      <c r="E5693" s="3" t="s">
        <v>205</v>
      </c>
      <c r="F5693" s="3" t="s">
        <v>222</v>
      </c>
      <c r="G5693" s="5">
        <v>1E-3</v>
      </c>
      <c r="H5693" s="6" t="s">
        <v>86</v>
      </c>
      <c r="I5693" s="3" t="s">
        <v>45</v>
      </c>
    </row>
    <row r="5694" spans="1:9" ht="48" customHeight="1">
      <c r="A5694" s="3" t="s">
        <v>79</v>
      </c>
      <c r="B5694" s="3" t="s">
        <v>78</v>
      </c>
      <c r="C5694" s="4">
        <v>43374</v>
      </c>
      <c r="D5694" s="4">
        <v>43404</v>
      </c>
      <c r="E5694" s="3" t="s">
        <v>205</v>
      </c>
      <c r="F5694" s="3" t="s">
        <v>212</v>
      </c>
      <c r="G5694" s="5">
        <v>1E-3</v>
      </c>
      <c r="H5694" s="6" t="s">
        <v>86</v>
      </c>
      <c r="I5694" s="3" t="s">
        <v>45</v>
      </c>
    </row>
    <row r="5695" spans="1:9" ht="48" customHeight="1">
      <c r="A5695" s="3" t="s">
        <v>79</v>
      </c>
      <c r="B5695" s="3" t="s">
        <v>78</v>
      </c>
      <c r="C5695" s="4">
        <v>43374</v>
      </c>
      <c r="D5695" s="4">
        <v>43404</v>
      </c>
      <c r="E5695" s="3" t="s">
        <v>205</v>
      </c>
      <c r="F5695" s="3" t="s">
        <v>208</v>
      </c>
      <c r="G5695" s="5">
        <v>1E-3</v>
      </c>
      <c r="H5695" s="6" t="s">
        <v>86</v>
      </c>
      <c r="I5695" s="3" t="s">
        <v>45</v>
      </c>
    </row>
    <row r="5696" spans="1:9" ht="48" customHeight="1">
      <c r="A5696" s="3" t="s">
        <v>79</v>
      </c>
      <c r="B5696" s="3" t="s">
        <v>78</v>
      </c>
      <c r="C5696" s="4">
        <v>43374</v>
      </c>
      <c r="D5696" s="4">
        <v>43404</v>
      </c>
      <c r="E5696" s="3" t="s">
        <v>205</v>
      </c>
      <c r="F5696" s="3" t="s">
        <v>228</v>
      </c>
      <c r="G5696" s="5">
        <v>1E-3</v>
      </c>
      <c r="H5696" s="6" t="s">
        <v>86</v>
      </c>
      <c r="I5696" s="3" t="s">
        <v>45</v>
      </c>
    </row>
    <row r="5697" spans="1:9" ht="48" customHeight="1">
      <c r="A5697" s="3" t="s">
        <v>79</v>
      </c>
      <c r="B5697" s="3" t="s">
        <v>78</v>
      </c>
      <c r="C5697" s="4">
        <v>43374</v>
      </c>
      <c r="D5697" s="4">
        <v>43404</v>
      </c>
      <c r="E5697" s="3" t="s">
        <v>205</v>
      </c>
      <c r="F5697" s="3" t="s">
        <v>213</v>
      </c>
      <c r="G5697" s="5">
        <v>1E-3</v>
      </c>
      <c r="H5697" s="6" t="s">
        <v>86</v>
      </c>
      <c r="I5697" s="3" t="s">
        <v>45</v>
      </c>
    </row>
    <row r="5698" spans="1:9" ht="48" customHeight="1">
      <c r="A5698" s="3" t="s">
        <v>79</v>
      </c>
      <c r="B5698" s="3" t="s">
        <v>78</v>
      </c>
      <c r="C5698" s="4">
        <v>43374</v>
      </c>
      <c r="D5698" s="4">
        <v>43404</v>
      </c>
      <c r="E5698" s="3" t="s">
        <v>205</v>
      </c>
      <c r="F5698" s="3" t="s">
        <v>214</v>
      </c>
      <c r="G5698" s="5">
        <v>1E-3</v>
      </c>
      <c r="H5698" s="6" t="s">
        <v>86</v>
      </c>
      <c r="I5698" s="3" t="s">
        <v>45</v>
      </c>
    </row>
    <row r="5699" spans="1:9" ht="48" customHeight="1">
      <c r="A5699" s="3" t="s">
        <v>79</v>
      </c>
      <c r="B5699" s="3" t="s">
        <v>78</v>
      </c>
      <c r="C5699" s="4">
        <v>43374</v>
      </c>
      <c r="D5699" s="4">
        <v>43404</v>
      </c>
      <c r="E5699" s="3" t="s">
        <v>205</v>
      </c>
      <c r="F5699" s="3" t="s">
        <v>215</v>
      </c>
      <c r="G5699" s="5">
        <v>1E-3</v>
      </c>
      <c r="H5699" s="6" t="s">
        <v>86</v>
      </c>
      <c r="I5699" s="3" t="s">
        <v>45</v>
      </c>
    </row>
    <row r="5700" spans="1:9" ht="48" customHeight="1">
      <c r="A5700" s="3" t="s">
        <v>79</v>
      </c>
      <c r="B5700" s="3" t="s">
        <v>78</v>
      </c>
      <c r="C5700" s="4">
        <v>43374</v>
      </c>
      <c r="D5700" s="4">
        <v>43404</v>
      </c>
      <c r="E5700" s="3" t="s">
        <v>205</v>
      </c>
      <c r="F5700" s="3" t="s">
        <v>229</v>
      </c>
      <c r="G5700" s="5">
        <v>0</v>
      </c>
      <c r="H5700" s="6" t="s">
        <v>86</v>
      </c>
      <c r="I5700" s="3" t="s">
        <v>45</v>
      </c>
    </row>
    <row r="5701" spans="1:9" ht="48" customHeight="1">
      <c r="A5701" s="3" t="s">
        <v>79</v>
      </c>
      <c r="B5701" s="3" t="s">
        <v>78</v>
      </c>
      <c r="C5701" s="4">
        <v>43374</v>
      </c>
      <c r="D5701" s="4">
        <v>43404</v>
      </c>
      <c r="E5701" s="3" t="s">
        <v>205</v>
      </c>
      <c r="F5701" s="3" t="s">
        <v>230</v>
      </c>
      <c r="G5701" s="5">
        <v>0</v>
      </c>
      <c r="H5701" s="6" t="s">
        <v>86</v>
      </c>
      <c r="I5701" s="3" t="s">
        <v>45</v>
      </c>
    </row>
    <row r="5702" spans="1:9" ht="48" customHeight="1">
      <c r="A5702" s="3" t="s">
        <v>79</v>
      </c>
      <c r="B5702" s="3" t="s">
        <v>78</v>
      </c>
      <c r="C5702" s="4">
        <v>43374</v>
      </c>
      <c r="D5702" s="4">
        <v>43404</v>
      </c>
      <c r="E5702" s="3" t="s">
        <v>286</v>
      </c>
      <c r="F5702" s="3" t="s">
        <v>288</v>
      </c>
      <c r="G5702" s="5">
        <v>2E-3</v>
      </c>
      <c r="H5702" s="6" t="s">
        <v>86</v>
      </c>
      <c r="I5702" s="3" t="s">
        <v>45</v>
      </c>
    </row>
    <row r="5703" spans="1:9" ht="48" customHeight="1">
      <c r="A5703" s="3" t="s">
        <v>79</v>
      </c>
      <c r="B5703" s="3" t="s">
        <v>78</v>
      </c>
      <c r="C5703" s="4">
        <v>43374</v>
      </c>
      <c r="D5703" s="4">
        <v>43404</v>
      </c>
      <c r="E5703" s="3" t="s">
        <v>286</v>
      </c>
      <c r="F5703" s="3" t="s">
        <v>287</v>
      </c>
      <c r="G5703" s="5">
        <v>2E-3</v>
      </c>
      <c r="H5703" s="6" t="s">
        <v>86</v>
      </c>
      <c r="I5703" s="3" t="s">
        <v>45</v>
      </c>
    </row>
    <row r="5704" spans="1:9" ht="48" customHeight="1">
      <c r="A5704" s="3" t="s">
        <v>79</v>
      </c>
      <c r="B5704" s="3" t="s">
        <v>78</v>
      </c>
      <c r="C5704" s="4">
        <v>43374</v>
      </c>
      <c r="D5704" s="4">
        <v>43404</v>
      </c>
      <c r="E5704" s="3" t="s">
        <v>286</v>
      </c>
      <c r="F5704" s="3" t="s">
        <v>289</v>
      </c>
      <c r="G5704" s="5">
        <v>2E-3</v>
      </c>
      <c r="H5704" s="6" t="s">
        <v>86</v>
      </c>
      <c r="I5704" s="3" t="s">
        <v>45</v>
      </c>
    </row>
    <row r="5705" spans="1:9" ht="48" customHeight="1">
      <c r="A5705" s="3" t="s">
        <v>79</v>
      </c>
      <c r="B5705" s="3" t="s">
        <v>78</v>
      </c>
      <c r="C5705" s="4">
        <v>43374</v>
      </c>
      <c r="D5705" s="4">
        <v>43404</v>
      </c>
      <c r="E5705" s="3" t="s">
        <v>286</v>
      </c>
      <c r="F5705" s="3" t="s">
        <v>291</v>
      </c>
      <c r="G5705" s="5">
        <v>2E-3</v>
      </c>
      <c r="H5705" s="6" t="s">
        <v>86</v>
      </c>
      <c r="I5705" s="3" t="s">
        <v>45</v>
      </c>
    </row>
    <row r="5706" spans="1:9" ht="48" customHeight="1">
      <c r="A5706" s="3" t="s">
        <v>79</v>
      </c>
      <c r="B5706" s="3" t="s">
        <v>78</v>
      </c>
      <c r="C5706" s="4">
        <v>43374</v>
      </c>
      <c r="D5706" s="4">
        <v>43404</v>
      </c>
      <c r="E5706" s="3" t="s">
        <v>286</v>
      </c>
      <c r="F5706" s="3" t="s">
        <v>293</v>
      </c>
      <c r="G5706" s="5">
        <v>2E-3</v>
      </c>
      <c r="H5706" s="6" t="s">
        <v>86</v>
      </c>
      <c r="I5706" s="3" t="s">
        <v>45</v>
      </c>
    </row>
    <row r="5707" spans="1:9" ht="48" customHeight="1">
      <c r="A5707" s="3" t="s">
        <v>79</v>
      </c>
      <c r="B5707" s="3" t="s">
        <v>78</v>
      </c>
      <c r="C5707" s="4">
        <v>43374</v>
      </c>
      <c r="D5707" s="4">
        <v>43404</v>
      </c>
      <c r="E5707" s="3" t="s">
        <v>286</v>
      </c>
      <c r="F5707" s="3" t="s">
        <v>290</v>
      </c>
      <c r="G5707" s="5">
        <v>1E-3</v>
      </c>
      <c r="H5707" s="6" t="s">
        <v>86</v>
      </c>
      <c r="I5707" s="3" t="s">
        <v>45</v>
      </c>
    </row>
    <row r="5708" spans="1:9" ht="48" customHeight="1">
      <c r="A5708" s="3" t="s">
        <v>79</v>
      </c>
      <c r="B5708" s="3" t="s">
        <v>78</v>
      </c>
      <c r="C5708" s="4">
        <v>43374</v>
      </c>
      <c r="D5708" s="4">
        <v>43404</v>
      </c>
      <c r="E5708" s="3" t="s">
        <v>286</v>
      </c>
      <c r="F5708" s="3" t="s">
        <v>298</v>
      </c>
      <c r="G5708" s="5">
        <v>1E-3</v>
      </c>
      <c r="H5708" s="6" t="s">
        <v>86</v>
      </c>
      <c r="I5708" s="3" t="s">
        <v>45</v>
      </c>
    </row>
    <row r="5709" spans="1:9" ht="48" customHeight="1">
      <c r="A5709" s="3" t="s">
        <v>79</v>
      </c>
      <c r="B5709" s="3" t="s">
        <v>78</v>
      </c>
      <c r="C5709" s="4">
        <v>43374</v>
      </c>
      <c r="D5709" s="4">
        <v>43404</v>
      </c>
      <c r="E5709" s="3" t="s">
        <v>286</v>
      </c>
      <c r="F5709" s="3" t="s">
        <v>297</v>
      </c>
      <c r="G5709" s="5">
        <v>1E-3</v>
      </c>
      <c r="H5709" s="6" t="s">
        <v>86</v>
      </c>
      <c r="I5709" s="3" t="s">
        <v>45</v>
      </c>
    </row>
    <row r="5710" spans="1:9" ht="48" customHeight="1">
      <c r="A5710" s="3" t="s">
        <v>79</v>
      </c>
      <c r="B5710" s="3" t="s">
        <v>78</v>
      </c>
      <c r="C5710" s="4">
        <v>43374</v>
      </c>
      <c r="D5710" s="4">
        <v>43404</v>
      </c>
      <c r="E5710" s="3" t="s">
        <v>286</v>
      </c>
      <c r="F5710" s="3" t="s">
        <v>292</v>
      </c>
      <c r="G5710" s="5">
        <v>1E-3</v>
      </c>
      <c r="H5710" s="6" t="s">
        <v>86</v>
      </c>
      <c r="I5710" s="3" t="s">
        <v>45</v>
      </c>
    </row>
    <row r="5711" spans="1:9" ht="48" customHeight="1">
      <c r="A5711" s="3" t="s">
        <v>79</v>
      </c>
      <c r="B5711" s="3" t="s">
        <v>78</v>
      </c>
      <c r="C5711" s="4">
        <v>43374</v>
      </c>
      <c r="D5711" s="4">
        <v>43404</v>
      </c>
      <c r="E5711" s="3" t="s">
        <v>286</v>
      </c>
      <c r="F5711" s="3" t="s">
        <v>300</v>
      </c>
      <c r="G5711" s="5">
        <v>1E-3</v>
      </c>
      <c r="H5711" s="6" t="s">
        <v>86</v>
      </c>
      <c r="I5711" s="3" t="s">
        <v>45</v>
      </c>
    </row>
    <row r="5712" spans="1:9" ht="48" customHeight="1">
      <c r="A5712" s="3" t="s">
        <v>79</v>
      </c>
      <c r="B5712" s="3" t="s">
        <v>78</v>
      </c>
      <c r="C5712" s="4">
        <v>43374</v>
      </c>
      <c r="D5712" s="4">
        <v>43404</v>
      </c>
      <c r="E5712" s="3" t="s">
        <v>286</v>
      </c>
      <c r="F5712" s="3" t="s">
        <v>294</v>
      </c>
      <c r="G5712" s="5">
        <v>0</v>
      </c>
      <c r="H5712" s="6" t="s">
        <v>86</v>
      </c>
      <c r="I5712" s="3" t="s">
        <v>45</v>
      </c>
    </row>
    <row r="5713" spans="1:9" ht="48" customHeight="1">
      <c r="A5713" s="3" t="s">
        <v>79</v>
      </c>
      <c r="B5713" s="3" t="s">
        <v>78</v>
      </c>
      <c r="C5713" s="4">
        <v>43374</v>
      </c>
      <c r="D5713" s="4">
        <v>43404</v>
      </c>
      <c r="E5713" s="3" t="s">
        <v>286</v>
      </c>
      <c r="F5713" s="3" t="s">
        <v>295</v>
      </c>
      <c r="G5713" s="5">
        <v>0</v>
      </c>
      <c r="H5713" s="6" t="s">
        <v>86</v>
      </c>
      <c r="I5713" s="3" t="s">
        <v>45</v>
      </c>
    </row>
    <row r="5714" spans="1:9" ht="48" customHeight="1">
      <c r="A5714" s="3" t="s">
        <v>79</v>
      </c>
      <c r="B5714" s="3" t="s">
        <v>78</v>
      </c>
      <c r="C5714" s="4">
        <v>43374</v>
      </c>
      <c r="D5714" s="4">
        <v>43404</v>
      </c>
      <c r="E5714" s="3" t="s">
        <v>286</v>
      </c>
      <c r="F5714" s="3" t="s">
        <v>296</v>
      </c>
      <c r="G5714" s="5">
        <v>0</v>
      </c>
      <c r="H5714" s="6" t="s">
        <v>86</v>
      </c>
      <c r="I5714" s="3" t="s">
        <v>45</v>
      </c>
    </row>
    <row r="5715" spans="1:9" ht="48" customHeight="1">
      <c r="A5715" s="3" t="s">
        <v>79</v>
      </c>
      <c r="B5715" s="3" t="s">
        <v>78</v>
      </c>
      <c r="C5715" s="4">
        <v>43374</v>
      </c>
      <c r="D5715" s="4">
        <v>43404</v>
      </c>
      <c r="E5715" s="3" t="s">
        <v>286</v>
      </c>
      <c r="F5715" s="3" t="s">
        <v>299</v>
      </c>
      <c r="G5715" s="5">
        <v>0</v>
      </c>
      <c r="H5715" s="6" t="s">
        <v>86</v>
      </c>
      <c r="I5715" s="3" t="s">
        <v>45</v>
      </c>
    </row>
    <row r="5716" spans="1:9" ht="48" customHeight="1">
      <c r="A5716" s="3" t="s">
        <v>79</v>
      </c>
      <c r="B5716" s="3" t="s">
        <v>78</v>
      </c>
      <c r="C5716" s="4">
        <v>43374</v>
      </c>
      <c r="D5716" s="4">
        <v>43404</v>
      </c>
      <c r="E5716" s="3" t="s">
        <v>47</v>
      </c>
      <c r="F5716" s="3" t="s">
        <v>348</v>
      </c>
      <c r="G5716" s="5">
        <v>4.0000000000000001E-3</v>
      </c>
      <c r="H5716" s="6" t="s">
        <v>86</v>
      </c>
      <c r="I5716" s="3" t="s">
        <v>45</v>
      </c>
    </row>
    <row r="5717" spans="1:9" ht="48" customHeight="1">
      <c r="A5717" s="3" t="s">
        <v>79</v>
      </c>
      <c r="B5717" s="3" t="s">
        <v>78</v>
      </c>
      <c r="C5717" s="4">
        <v>43374</v>
      </c>
      <c r="D5717" s="4">
        <v>43404</v>
      </c>
      <c r="E5717" s="3" t="s">
        <v>47</v>
      </c>
      <c r="F5717" s="3" t="s">
        <v>349</v>
      </c>
      <c r="G5717" s="5">
        <v>2E-3</v>
      </c>
      <c r="H5717" s="6" t="s">
        <v>86</v>
      </c>
      <c r="I5717" s="3" t="s">
        <v>45</v>
      </c>
    </row>
    <row r="5718" spans="1:9" ht="48" customHeight="1">
      <c r="A5718" s="3" t="s">
        <v>79</v>
      </c>
      <c r="B5718" s="3" t="s">
        <v>78</v>
      </c>
      <c r="C5718" s="4">
        <v>43374</v>
      </c>
      <c r="D5718" s="4">
        <v>43404</v>
      </c>
      <c r="E5718" s="3" t="s">
        <v>47</v>
      </c>
      <c r="F5718" s="3" t="s">
        <v>352</v>
      </c>
      <c r="G5718" s="5">
        <v>2E-3</v>
      </c>
      <c r="H5718" s="6" t="s">
        <v>86</v>
      </c>
      <c r="I5718" s="3" t="s">
        <v>45</v>
      </c>
    </row>
    <row r="5719" spans="1:9" ht="48" customHeight="1">
      <c r="A5719" s="3" t="s">
        <v>79</v>
      </c>
      <c r="B5719" s="3" t="s">
        <v>78</v>
      </c>
      <c r="C5719" s="4">
        <v>43374</v>
      </c>
      <c r="D5719" s="4">
        <v>43404</v>
      </c>
      <c r="E5719" s="3" t="s">
        <v>47</v>
      </c>
      <c r="F5719" s="3" t="s">
        <v>350</v>
      </c>
      <c r="G5719" s="5">
        <v>1E-3</v>
      </c>
      <c r="H5719" s="6" t="s">
        <v>86</v>
      </c>
      <c r="I5719" s="3" t="s">
        <v>45</v>
      </c>
    </row>
    <row r="5720" spans="1:9" ht="48" customHeight="1">
      <c r="A5720" s="3" t="s">
        <v>79</v>
      </c>
      <c r="B5720" s="3" t="s">
        <v>78</v>
      </c>
      <c r="C5720" s="4">
        <v>43374</v>
      </c>
      <c r="D5720" s="4">
        <v>43404</v>
      </c>
      <c r="E5720" s="3" t="s">
        <v>47</v>
      </c>
      <c r="F5720" s="3" t="s">
        <v>354</v>
      </c>
      <c r="G5720" s="5">
        <v>1E-3</v>
      </c>
      <c r="H5720" s="6" t="s">
        <v>86</v>
      </c>
      <c r="I5720" s="3" t="s">
        <v>45</v>
      </c>
    </row>
    <row r="5721" spans="1:9" ht="48" customHeight="1">
      <c r="A5721" s="3" t="s">
        <v>79</v>
      </c>
      <c r="B5721" s="3" t="s">
        <v>78</v>
      </c>
      <c r="C5721" s="4">
        <v>43374</v>
      </c>
      <c r="D5721" s="4">
        <v>43404</v>
      </c>
      <c r="E5721" s="3" t="s">
        <v>47</v>
      </c>
      <c r="F5721" s="3" t="s">
        <v>355</v>
      </c>
      <c r="G5721" s="5">
        <v>1E-3</v>
      </c>
      <c r="H5721" s="6" t="s">
        <v>86</v>
      </c>
      <c r="I5721" s="3" t="s">
        <v>45</v>
      </c>
    </row>
    <row r="5722" spans="1:9" ht="48" customHeight="1">
      <c r="A5722" s="3" t="s">
        <v>79</v>
      </c>
      <c r="B5722" s="3" t="s">
        <v>78</v>
      </c>
      <c r="C5722" s="4">
        <v>43374</v>
      </c>
      <c r="D5722" s="4">
        <v>43404</v>
      </c>
      <c r="E5722" s="3" t="s">
        <v>47</v>
      </c>
      <c r="F5722" s="3" t="s">
        <v>356</v>
      </c>
      <c r="G5722" s="5">
        <v>1E-3</v>
      </c>
      <c r="H5722" s="6" t="s">
        <v>86</v>
      </c>
      <c r="I5722" s="3" t="s">
        <v>45</v>
      </c>
    </row>
    <row r="5723" spans="1:9" ht="48" customHeight="1">
      <c r="A5723" s="3" t="s">
        <v>79</v>
      </c>
      <c r="B5723" s="3" t="s">
        <v>78</v>
      </c>
      <c r="C5723" s="4">
        <v>43374</v>
      </c>
      <c r="D5723" s="4">
        <v>43404</v>
      </c>
      <c r="E5723" s="3" t="s">
        <v>47</v>
      </c>
      <c r="F5723" s="3" t="s">
        <v>40</v>
      </c>
      <c r="G5723" s="5">
        <v>1E-3</v>
      </c>
      <c r="H5723" s="6" t="s">
        <v>86</v>
      </c>
      <c r="I5723" s="3" t="s">
        <v>45</v>
      </c>
    </row>
    <row r="5724" spans="1:9" ht="48" customHeight="1">
      <c r="A5724" s="3" t="s">
        <v>79</v>
      </c>
      <c r="B5724" s="3" t="s">
        <v>78</v>
      </c>
      <c r="C5724" s="4">
        <v>43374</v>
      </c>
      <c r="D5724" s="4">
        <v>43404</v>
      </c>
      <c r="E5724" s="3" t="s">
        <v>47</v>
      </c>
      <c r="F5724" s="3" t="s">
        <v>357</v>
      </c>
      <c r="G5724" s="5">
        <v>1E-3</v>
      </c>
      <c r="H5724" s="6" t="s">
        <v>86</v>
      </c>
      <c r="I5724" s="3" t="s">
        <v>45</v>
      </c>
    </row>
    <row r="5725" spans="1:9" ht="48" customHeight="1">
      <c r="A5725" s="3" t="s">
        <v>79</v>
      </c>
      <c r="B5725" s="3" t="s">
        <v>78</v>
      </c>
      <c r="C5725" s="4">
        <v>43374</v>
      </c>
      <c r="D5725" s="4">
        <v>43404</v>
      </c>
      <c r="E5725" s="3" t="s">
        <v>47</v>
      </c>
      <c r="F5725" s="3" t="s">
        <v>358</v>
      </c>
      <c r="G5725" s="5">
        <v>1E-3</v>
      </c>
      <c r="H5725" s="6" t="s">
        <v>86</v>
      </c>
      <c r="I5725" s="3" t="s">
        <v>45</v>
      </c>
    </row>
    <row r="5726" spans="1:9" ht="48" customHeight="1">
      <c r="A5726" s="3" t="s">
        <v>79</v>
      </c>
      <c r="B5726" s="3" t="s">
        <v>78</v>
      </c>
      <c r="C5726" s="4">
        <v>43374</v>
      </c>
      <c r="D5726" s="4">
        <v>43404</v>
      </c>
      <c r="E5726" s="3" t="s">
        <v>47</v>
      </c>
      <c r="F5726" s="3" t="s">
        <v>351</v>
      </c>
      <c r="G5726" s="5">
        <v>0</v>
      </c>
      <c r="H5726" s="6" t="s">
        <v>86</v>
      </c>
      <c r="I5726" s="3" t="s">
        <v>45</v>
      </c>
    </row>
    <row r="5727" spans="1:9" ht="48" customHeight="1">
      <c r="A5727" s="3" t="s">
        <v>79</v>
      </c>
      <c r="B5727" s="3" t="s">
        <v>78</v>
      </c>
      <c r="C5727" s="4">
        <v>43374</v>
      </c>
      <c r="D5727" s="4">
        <v>43404</v>
      </c>
      <c r="E5727" s="3" t="s">
        <v>47</v>
      </c>
      <c r="F5727" s="3" t="s">
        <v>353</v>
      </c>
      <c r="G5727" s="5">
        <v>0</v>
      </c>
      <c r="H5727" s="6" t="s">
        <v>86</v>
      </c>
      <c r="I5727" s="3" t="s">
        <v>45</v>
      </c>
    </row>
    <row r="5728" spans="1:9" ht="48" customHeight="1">
      <c r="A5728" s="3" t="s">
        <v>79</v>
      </c>
      <c r="B5728" s="3" t="s">
        <v>78</v>
      </c>
      <c r="C5728" s="4">
        <v>43374</v>
      </c>
      <c r="D5728" s="4">
        <v>43404</v>
      </c>
      <c r="E5728" s="3" t="s">
        <v>47</v>
      </c>
      <c r="F5728" s="3" t="s">
        <v>359</v>
      </c>
      <c r="G5728" s="5">
        <v>0</v>
      </c>
      <c r="H5728" s="6" t="s">
        <v>86</v>
      </c>
      <c r="I5728" s="3" t="s">
        <v>45</v>
      </c>
    </row>
    <row r="5729" spans="1:9" ht="48" customHeight="1">
      <c r="A5729" s="3" t="s">
        <v>79</v>
      </c>
      <c r="B5729" s="3" t="s">
        <v>78</v>
      </c>
      <c r="C5729" s="4">
        <v>43374</v>
      </c>
      <c r="D5729" s="4">
        <v>43404</v>
      </c>
      <c r="E5729" s="3" t="s">
        <v>47</v>
      </c>
      <c r="F5729" s="3" t="s">
        <v>360</v>
      </c>
      <c r="G5729" s="5">
        <v>0</v>
      </c>
      <c r="H5729" s="6" t="s">
        <v>86</v>
      </c>
      <c r="I5729" s="3" t="s">
        <v>45</v>
      </c>
    </row>
    <row r="5730" spans="1:9" ht="48" customHeight="1">
      <c r="A5730" s="3" t="s">
        <v>79</v>
      </c>
      <c r="B5730" s="3" t="s">
        <v>78</v>
      </c>
      <c r="C5730" s="4">
        <v>43374</v>
      </c>
      <c r="D5730" s="4">
        <v>43404</v>
      </c>
      <c r="E5730" s="3" t="s">
        <v>47</v>
      </c>
      <c r="F5730" s="3" t="s">
        <v>361</v>
      </c>
      <c r="G5730" s="5">
        <v>0</v>
      </c>
      <c r="H5730" s="6" t="s">
        <v>86</v>
      </c>
      <c r="I5730" s="3" t="s">
        <v>45</v>
      </c>
    </row>
    <row r="5731" spans="1:9" ht="48" customHeight="1">
      <c r="A5731" s="3" t="s">
        <v>79</v>
      </c>
      <c r="B5731" s="3" t="s">
        <v>78</v>
      </c>
      <c r="C5731" s="4">
        <v>43374</v>
      </c>
      <c r="D5731" s="4">
        <v>43404</v>
      </c>
      <c r="E5731" s="3" t="s">
        <v>47</v>
      </c>
      <c r="F5731" s="3" t="s">
        <v>362</v>
      </c>
      <c r="G5731" s="5">
        <v>0</v>
      </c>
      <c r="H5731" s="6" t="s">
        <v>86</v>
      </c>
      <c r="I5731" s="3" t="s">
        <v>45</v>
      </c>
    </row>
    <row r="5732" spans="1:9" ht="48" customHeight="1">
      <c r="A5732" s="3" t="s">
        <v>79</v>
      </c>
      <c r="B5732" s="3" t="s">
        <v>78</v>
      </c>
      <c r="C5732" s="4">
        <v>43374</v>
      </c>
      <c r="D5732" s="4">
        <v>43404</v>
      </c>
      <c r="E5732" s="3" t="s">
        <v>47</v>
      </c>
      <c r="F5732" s="3" t="s">
        <v>318</v>
      </c>
      <c r="G5732" s="5">
        <v>0</v>
      </c>
      <c r="H5732" s="6" t="s">
        <v>86</v>
      </c>
      <c r="I5732" s="3" t="s">
        <v>45</v>
      </c>
    </row>
    <row r="5733" spans="1:9" ht="48" customHeight="1">
      <c r="A5733" s="3" t="s">
        <v>79</v>
      </c>
      <c r="B5733" s="3" t="s">
        <v>78</v>
      </c>
      <c r="C5733" s="4">
        <v>43374</v>
      </c>
      <c r="D5733" s="4">
        <v>43404</v>
      </c>
      <c r="E5733" s="3" t="s">
        <v>47</v>
      </c>
      <c r="F5733" s="3" t="s">
        <v>363</v>
      </c>
      <c r="G5733" s="5">
        <v>0</v>
      </c>
      <c r="H5733" s="6" t="s">
        <v>86</v>
      </c>
      <c r="I5733" s="3" t="s">
        <v>45</v>
      </c>
    </row>
    <row r="5734" spans="1:9" ht="48" customHeight="1">
      <c r="A5734" s="3" t="s">
        <v>79</v>
      </c>
      <c r="B5734" s="3" t="s">
        <v>78</v>
      </c>
      <c r="C5734" s="4">
        <v>43374</v>
      </c>
      <c r="D5734" s="4">
        <v>43404</v>
      </c>
      <c r="E5734" s="3" t="s">
        <v>68</v>
      </c>
      <c r="F5734" s="3" t="s">
        <v>151</v>
      </c>
      <c r="G5734" s="5">
        <v>2E-3</v>
      </c>
      <c r="H5734" s="6" t="s">
        <v>86</v>
      </c>
      <c r="I5734" s="3" t="s">
        <v>45</v>
      </c>
    </row>
    <row r="5735" spans="1:9" ht="48" customHeight="1">
      <c r="A5735" s="3" t="s">
        <v>79</v>
      </c>
      <c r="B5735" s="3" t="s">
        <v>78</v>
      </c>
      <c r="C5735" s="4">
        <v>43374</v>
      </c>
      <c r="D5735" s="4">
        <v>43404</v>
      </c>
      <c r="E5735" s="3" t="s">
        <v>68</v>
      </c>
      <c r="F5735" s="3" t="s">
        <v>150</v>
      </c>
      <c r="G5735" s="5">
        <v>2E-3</v>
      </c>
      <c r="H5735" s="6" t="s">
        <v>86</v>
      </c>
      <c r="I5735" s="3" t="s">
        <v>45</v>
      </c>
    </row>
    <row r="5736" spans="1:9" ht="48" customHeight="1">
      <c r="A5736" s="3" t="s">
        <v>79</v>
      </c>
      <c r="B5736" s="3" t="s">
        <v>78</v>
      </c>
      <c r="C5736" s="4">
        <v>43374</v>
      </c>
      <c r="D5736" s="4">
        <v>43404</v>
      </c>
      <c r="E5736" s="3" t="s">
        <v>68</v>
      </c>
      <c r="F5736" s="3" t="s">
        <v>147</v>
      </c>
      <c r="G5736" s="5">
        <v>2E-3</v>
      </c>
      <c r="H5736" s="6" t="s">
        <v>86</v>
      </c>
      <c r="I5736" s="3" t="s">
        <v>45</v>
      </c>
    </row>
    <row r="5737" spans="1:9" ht="48" customHeight="1">
      <c r="A5737" s="3" t="s">
        <v>79</v>
      </c>
      <c r="B5737" s="3" t="s">
        <v>78</v>
      </c>
      <c r="C5737" s="4">
        <v>43374</v>
      </c>
      <c r="D5737" s="4">
        <v>43404</v>
      </c>
      <c r="E5737" s="3" t="s">
        <v>68</v>
      </c>
      <c r="F5737" s="3" t="s">
        <v>149</v>
      </c>
      <c r="G5737" s="5">
        <v>1E-3</v>
      </c>
      <c r="H5737" s="6" t="s">
        <v>86</v>
      </c>
      <c r="I5737" s="3" t="s">
        <v>45</v>
      </c>
    </row>
    <row r="5738" spans="1:9" ht="48" customHeight="1">
      <c r="A5738" s="3" t="s">
        <v>79</v>
      </c>
      <c r="B5738" s="3" t="s">
        <v>78</v>
      </c>
      <c r="C5738" s="4">
        <v>43374</v>
      </c>
      <c r="D5738" s="4">
        <v>43404</v>
      </c>
      <c r="E5738" s="3" t="s">
        <v>68</v>
      </c>
      <c r="F5738" s="3" t="s">
        <v>148</v>
      </c>
      <c r="G5738" s="5">
        <v>1E-3</v>
      </c>
      <c r="H5738" s="6" t="s">
        <v>86</v>
      </c>
      <c r="I5738" s="3" t="s">
        <v>45</v>
      </c>
    </row>
    <row r="5739" spans="1:9" ht="48" customHeight="1">
      <c r="A5739" s="3" t="s">
        <v>79</v>
      </c>
      <c r="B5739" s="3" t="s">
        <v>78</v>
      </c>
      <c r="C5739" s="4">
        <v>43374</v>
      </c>
      <c r="D5739" s="4">
        <v>43404</v>
      </c>
      <c r="E5739" s="3" t="s">
        <v>68</v>
      </c>
      <c r="F5739" s="3" t="s">
        <v>155</v>
      </c>
      <c r="G5739" s="5">
        <v>0</v>
      </c>
      <c r="H5739" s="6" t="s">
        <v>86</v>
      </c>
      <c r="I5739" s="3" t="s">
        <v>45</v>
      </c>
    </row>
    <row r="5740" spans="1:9" ht="48" customHeight="1">
      <c r="A5740" s="3" t="s">
        <v>79</v>
      </c>
      <c r="B5740" s="3" t="s">
        <v>78</v>
      </c>
      <c r="C5740" s="4">
        <v>43374</v>
      </c>
      <c r="D5740" s="4">
        <v>43404</v>
      </c>
      <c r="E5740" s="3" t="s">
        <v>68</v>
      </c>
      <c r="F5740" s="3" t="s">
        <v>152</v>
      </c>
      <c r="G5740" s="5">
        <v>0</v>
      </c>
      <c r="H5740" s="6" t="s">
        <v>86</v>
      </c>
      <c r="I5740" s="3" t="s">
        <v>45</v>
      </c>
    </row>
    <row r="5741" spans="1:9" ht="48" customHeight="1">
      <c r="A5741" s="3" t="s">
        <v>79</v>
      </c>
      <c r="B5741" s="3" t="s">
        <v>78</v>
      </c>
      <c r="C5741" s="4">
        <v>43374</v>
      </c>
      <c r="D5741" s="4">
        <v>43404</v>
      </c>
      <c r="E5741" s="3" t="s">
        <v>68</v>
      </c>
      <c r="F5741" s="3" t="s">
        <v>157</v>
      </c>
      <c r="G5741" s="5">
        <v>0</v>
      </c>
      <c r="H5741" s="6" t="s">
        <v>86</v>
      </c>
      <c r="I5741" s="3" t="s">
        <v>45</v>
      </c>
    </row>
    <row r="5742" spans="1:9" ht="48" customHeight="1">
      <c r="A5742" s="3" t="s">
        <v>79</v>
      </c>
      <c r="B5742" s="3" t="s">
        <v>78</v>
      </c>
      <c r="C5742" s="4">
        <v>43374</v>
      </c>
      <c r="D5742" s="4">
        <v>43404</v>
      </c>
      <c r="E5742" s="3" t="s">
        <v>68</v>
      </c>
      <c r="F5742" s="3" t="s">
        <v>159</v>
      </c>
      <c r="G5742" s="5">
        <v>0</v>
      </c>
      <c r="H5742" s="6" t="s">
        <v>86</v>
      </c>
      <c r="I5742" s="3" t="s">
        <v>45</v>
      </c>
    </row>
    <row r="5743" spans="1:9" ht="48" customHeight="1">
      <c r="A5743" s="3" t="s">
        <v>79</v>
      </c>
      <c r="B5743" s="3" t="s">
        <v>78</v>
      </c>
      <c r="C5743" s="4">
        <v>43374</v>
      </c>
      <c r="D5743" s="4">
        <v>43404</v>
      </c>
      <c r="E5743" s="3" t="s">
        <v>68</v>
      </c>
      <c r="F5743" s="3" t="s">
        <v>160</v>
      </c>
      <c r="G5743" s="5">
        <v>0</v>
      </c>
      <c r="H5743" s="6" t="s">
        <v>86</v>
      </c>
      <c r="I5743" s="3" t="s">
        <v>45</v>
      </c>
    </row>
    <row r="5744" spans="1:9" ht="48" customHeight="1">
      <c r="A5744" s="3" t="s">
        <v>79</v>
      </c>
      <c r="B5744" s="3" t="s">
        <v>78</v>
      </c>
      <c r="C5744" s="4">
        <v>43374</v>
      </c>
      <c r="D5744" s="4">
        <v>43404</v>
      </c>
      <c r="E5744" s="3" t="s">
        <v>68</v>
      </c>
      <c r="F5744" s="3" t="s">
        <v>156</v>
      </c>
      <c r="G5744" s="5">
        <v>0</v>
      </c>
      <c r="H5744" s="6" t="s">
        <v>86</v>
      </c>
      <c r="I5744" s="3" t="s">
        <v>45</v>
      </c>
    </row>
    <row r="5745" spans="1:9" ht="48" customHeight="1">
      <c r="A5745" s="3" t="s">
        <v>79</v>
      </c>
      <c r="B5745" s="3" t="s">
        <v>78</v>
      </c>
      <c r="C5745" s="4">
        <v>43374</v>
      </c>
      <c r="D5745" s="4">
        <v>43404</v>
      </c>
      <c r="E5745" s="3" t="s">
        <v>68</v>
      </c>
      <c r="F5745" s="3" t="s">
        <v>158</v>
      </c>
      <c r="G5745" s="5">
        <v>0</v>
      </c>
      <c r="H5745" s="6" t="s">
        <v>86</v>
      </c>
      <c r="I5745" s="3" t="s">
        <v>45</v>
      </c>
    </row>
    <row r="5746" spans="1:9" ht="48" customHeight="1">
      <c r="A5746" s="3" t="s">
        <v>79</v>
      </c>
      <c r="B5746" s="3" t="s">
        <v>78</v>
      </c>
      <c r="C5746" s="4">
        <v>43374</v>
      </c>
      <c r="D5746" s="4">
        <v>43404</v>
      </c>
      <c r="E5746" s="3" t="s">
        <v>68</v>
      </c>
      <c r="F5746" s="3" t="s">
        <v>153</v>
      </c>
      <c r="G5746" s="5">
        <v>0</v>
      </c>
      <c r="H5746" s="6" t="s">
        <v>86</v>
      </c>
      <c r="I5746" s="3" t="s">
        <v>45</v>
      </c>
    </row>
    <row r="5747" spans="1:9" ht="48" customHeight="1">
      <c r="A5747" s="3" t="s">
        <v>79</v>
      </c>
      <c r="B5747" s="3" t="s">
        <v>78</v>
      </c>
      <c r="C5747" s="4">
        <v>43374</v>
      </c>
      <c r="D5747" s="4">
        <v>43404</v>
      </c>
      <c r="E5747" s="3" t="s">
        <v>68</v>
      </c>
      <c r="F5747" s="3" t="s">
        <v>146</v>
      </c>
      <c r="G5747" s="5">
        <v>0</v>
      </c>
      <c r="H5747" s="6" t="s">
        <v>86</v>
      </c>
      <c r="I5747" s="3" t="s">
        <v>45</v>
      </c>
    </row>
    <row r="5748" spans="1:9" ht="48" customHeight="1">
      <c r="A5748" s="3" t="s">
        <v>79</v>
      </c>
      <c r="B5748" s="3" t="s">
        <v>78</v>
      </c>
      <c r="C5748" s="4">
        <v>43374</v>
      </c>
      <c r="D5748" s="4">
        <v>43404</v>
      </c>
      <c r="E5748" s="3" t="s">
        <v>68</v>
      </c>
      <c r="F5748" s="3" t="s">
        <v>66</v>
      </c>
      <c r="G5748" s="5">
        <v>0</v>
      </c>
      <c r="H5748" s="6" t="s">
        <v>86</v>
      </c>
      <c r="I5748" s="3" t="s">
        <v>45</v>
      </c>
    </row>
    <row r="5749" spans="1:9" ht="48" customHeight="1">
      <c r="A5749" s="3" t="s">
        <v>79</v>
      </c>
      <c r="B5749" s="3" t="s">
        <v>78</v>
      </c>
      <c r="C5749" s="4">
        <v>43374</v>
      </c>
      <c r="D5749" s="4">
        <v>43404</v>
      </c>
      <c r="E5749" s="3" t="s">
        <v>68</v>
      </c>
      <c r="F5749" s="3" t="s">
        <v>154</v>
      </c>
      <c r="G5749" s="5">
        <v>0</v>
      </c>
      <c r="H5749" s="6" t="s">
        <v>86</v>
      </c>
      <c r="I5749" s="3" t="s">
        <v>45</v>
      </c>
    </row>
    <row r="5750" spans="1:9" ht="48" customHeight="1">
      <c r="A5750" s="3" t="s">
        <v>79</v>
      </c>
      <c r="B5750" s="3" t="s">
        <v>78</v>
      </c>
      <c r="C5750" s="4">
        <v>43374</v>
      </c>
      <c r="D5750" s="4">
        <v>43404</v>
      </c>
      <c r="E5750" s="3" t="s">
        <v>236</v>
      </c>
      <c r="F5750" s="3" t="s">
        <v>232</v>
      </c>
      <c r="G5750" s="5">
        <v>2E-3</v>
      </c>
      <c r="H5750" s="6" t="s">
        <v>86</v>
      </c>
      <c r="I5750" s="3" t="s">
        <v>45</v>
      </c>
    </row>
    <row r="5751" spans="1:9" ht="48" customHeight="1">
      <c r="A5751" s="3" t="s">
        <v>79</v>
      </c>
      <c r="B5751" s="3" t="s">
        <v>78</v>
      </c>
      <c r="C5751" s="4">
        <v>43374</v>
      </c>
      <c r="D5751" s="4">
        <v>43404</v>
      </c>
      <c r="E5751" s="3" t="s">
        <v>236</v>
      </c>
      <c r="F5751" s="3" t="s">
        <v>240</v>
      </c>
      <c r="G5751" s="5">
        <v>1E-3</v>
      </c>
      <c r="H5751" s="6" t="s">
        <v>86</v>
      </c>
      <c r="I5751" s="3" t="s">
        <v>45</v>
      </c>
    </row>
    <row r="5752" spans="1:9" ht="48" customHeight="1">
      <c r="A5752" s="3" t="s">
        <v>79</v>
      </c>
      <c r="B5752" s="3" t="s">
        <v>78</v>
      </c>
      <c r="C5752" s="4">
        <v>43374</v>
      </c>
      <c r="D5752" s="4">
        <v>43404</v>
      </c>
      <c r="E5752" s="3" t="s">
        <v>236</v>
      </c>
      <c r="F5752" s="3" t="s">
        <v>237</v>
      </c>
      <c r="G5752" s="5">
        <v>1E-3</v>
      </c>
      <c r="H5752" s="6" t="s">
        <v>86</v>
      </c>
      <c r="I5752" s="3" t="s">
        <v>45</v>
      </c>
    </row>
    <row r="5753" spans="1:9" ht="48" customHeight="1">
      <c r="A5753" s="3" t="s">
        <v>79</v>
      </c>
      <c r="B5753" s="3" t="s">
        <v>78</v>
      </c>
      <c r="C5753" s="4">
        <v>43374</v>
      </c>
      <c r="D5753" s="4">
        <v>43404</v>
      </c>
      <c r="E5753" s="3" t="s">
        <v>236</v>
      </c>
      <c r="F5753" s="3" t="s">
        <v>238</v>
      </c>
      <c r="G5753" s="5">
        <v>1E-3</v>
      </c>
      <c r="H5753" s="6" t="s">
        <v>86</v>
      </c>
      <c r="I5753" s="3" t="s">
        <v>45</v>
      </c>
    </row>
    <row r="5754" spans="1:9" ht="48" customHeight="1">
      <c r="A5754" s="3" t="s">
        <v>79</v>
      </c>
      <c r="B5754" s="3" t="s">
        <v>78</v>
      </c>
      <c r="C5754" s="4">
        <v>43374</v>
      </c>
      <c r="D5754" s="4">
        <v>43404</v>
      </c>
      <c r="E5754" s="3" t="s">
        <v>236</v>
      </c>
      <c r="F5754" s="3" t="s">
        <v>239</v>
      </c>
      <c r="G5754" s="5">
        <v>1E-3</v>
      </c>
      <c r="H5754" s="6" t="s">
        <v>86</v>
      </c>
      <c r="I5754" s="3" t="s">
        <v>45</v>
      </c>
    </row>
    <row r="5755" spans="1:9" ht="48" customHeight="1">
      <c r="A5755" s="3" t="s">
        <v>79</v>
      </c>
      <c r="B5755" s="3" t="s">
        <v>78</v>
      </c>
      <c r="C5755" s="4">
        <v>43374</v>
      </c>
      <c r="D5755" s="4">
        <v>43404</v>
      </c>
      <c r="E5755" s="3" t="s">
        <v>236</v>
      </c>
      <c r="F5755" s="3" t="s">
        <v>241</v>
      </c>
      <c r="G5755" s="5">
        <v>1E-3</v>
      </c>
      <c r="H5755" s="6" t="s">
        <v>86</v>
      </c>
      <c r="I5755" s="3" t="s">
        <v>45</v>
      </c>
    </row>
    <row r="5756" spans="1:9" ht="48" customHeight="1">
      <c r="A5756" s="3" t="s">
        <v>79</v>
      </c>
      <c r="B5756" s="3" t="s">
        <v>78</v>
      </c>
      <c r="C5756" s="4">
        <v>43374</v>
      </c>
      <c r="D5756" s="4">
        <v>43404</v>
      </c>
      <c r="E5756" s="3" t="s">
        <v>236</v>
      </c>
      <c r="F5756" s="3" t="s">
        <v>230</v>
      </c>
      <c r="G5756" s="5">
        <v>0</v>
      </c>
      <c r="H5756" s="6" t="s">
        <v>86</v>
      </c>
      <c r="I5756" s="3" t="s">
        <v>45</v>
      </c>
    </row>
    <row r="5757" spans="1:9" ht="48" customHeight="1">
      <c r="A5757" s="3" t="s">
        <v>79</v>
      </c>
      <c r="B5757" s="3" t="s">
        <v>78</v>
      </c>
      <c r="C5757" s="4">
        <v>43374</v>
      </c>
      <c r="D5757" s="4">
        <v>43404</v>
      </c>
      <c r="E5757" s="3" t="s">
        <v>236</v>
      </c>
      <c r="F5757" s="3" t="s">
        <v>234</v>
      </c>
      <c r="G5757" s="5">
        <v>0</v>
      </c>
      <c r="H5757" s="6" t="s">
        <v>86</v>
      </c>
      <c r="I5757" s="3" t="s">
        <v>45</v>
      </c>
    </row>
    <row r="5758" spans="1:9" ht="48" customHeight="1">
      <c r="A5758" s="3" t="s">
        <v>79</v>
      </c>
      <c r="B5758" s="3" t="s">
        <v>78</v>
      </c>
      <c r="C5758" s="4">
        <v>43374</v>
      </c>
      <c r="D5758" s="4">
        <v>43404</v>
      </c>
      <c r="E5758" s="3" t="s">
        <v>236</v>
      </c>
      <c r="F5758" s="3" t="s">
        <v>242</v>
      </c>
      <c r="G5758" s="5">
        <v>0</v>
      </c>
      <c r="H5758" s="6" t="s">
        <v>86</v>
      </c>
      <c r="I5758" s="3" t="s">
        <v>45</v>
      </c>
    </row>
    <row r="5759" spans="1:9" ht="48" customHeight="1">
      <c r="A5759" s="3" t="s">
        <v>79</v>
      </c>
      <c r="B5759" s="3" t="s">
        <v>78</v>
      </c>
      <c r="C5759" s="4">
        <v>43374</v>
      </c>
      <c r="D5759" s="4">
        <v>43404</v>
      </c>
      <c r="E5759" s="3" t="s">
        <v>236</v>
      </c>
      <c r="F5759" s="3" t="s">
        <v>243</v>
      </c>
      <c r="G5759" s="5">
        <v>0</v>
      </c>
      <c r="H5759" s="6" t="s">
        <v>86</v>
      </c>
      <c r="I5759" s="3" t="s">
        <v>45</v>
      </c>
    </row>
    <row r="5760" spans="1:9" ht="48" customHeight="1">
      <c r="A5760" s="3" t="s">
        <v>79</v>
      </c>
      <c r="B5760" s="3" t="s">
        <v>78</v>
      </c>
      <c r="C5760" s="4">
        <v>43374</v>
      </c>
      <c r="D5760" s="4">
        <v>43404</v>
      </c>
      <c r="E5760" s="3" t="s">
        <v>260</v>
      </c>
      <c r="F5760" s="3" t="s">
        <v>262</v>
      </c>
      <c r="G5760" s="5">
        <v>1E-3</v>
      </c>
      <c r="H5760" s="6" t="s">
        <v>86</v>
      </c>
      <c r="I5760" s="3" t="s">
        <v>45</v>
      </c>
    </row>
    <row r="5761" spans="1:9" ht="48" customHeight="1">
      <c r="A5761" s="3" t="s">
        <v>79</v>
      </c>
      <c r="B5761" s="3" t="s">
        <v>78</v>
      </c>
      <c r="C5761" s="4">
        <v>43374</v>
      </c>
      <c r="D5761" s="4">
        <v>43404</v>
      </c>
      <c r="E5761" s="3" t="s">
        <v>260</v>
      </c>
      <c r="F5761" s="3" t="s">
        <v>261</v>
      </c>
      <c r="G5761" s="5">
        <v>1E-3</v>
      </c>
      <c r="H5761" s="6" t="s">
        <v>86</v>
      </c>
      <c r="I5761" s="3" t="s">
        <v>45</v>
      </c>
    </row>
    <row r="5762" spans="1:9" ht="48" customHeight="1">
      <c r="A5762" s="3" t="s">
        <v>79</v>
      </c>
      <c r="B5762" s="3" t="s">
        <v>78</v>
      </c>
      <c r="C5762" s="4">
        <v>43374</v>
      </c>
      <c r="D5762" s="4">
        <v>43404</v>
      </c>
      <c r="E5762" s="3" t="s">
        <v>260</v>
      </c>
      <c r="F5762" s="3" t="s">
        <v>264</v>
      </c>
      <c r="G5762" s="5">
        <v>1E-3</v>
      </c>
      <c r="H5762" s="6" t="s">
        <v>86</v>
      </c>
      <c r="I5762" s="3" t="s">
        <v>45</v>
      </c>
    </row>
    <row r="5763" spans="1:9" ht="48" customHeight="1">
      <c r="A5763" s="3" t="s">
        <v>79</v>
      </c>
      <c r="B5763" s="3" t="s">
        <v>78</v>
      </c>
      <c r="C5763" s="4">
        <v>43374</v>
      </c>
      <c r="D5763" s="4">
        <v>43404</v>
      </c>
      <c r="E5763" s="3" t="s">
        <v>260</v>
      </c>
      <c r="F5763" s="3" t="s">
        <v>268</v>
      </c>
      <c r="G5763" s="5">
        <v>1E-3</v>
      </c>
      <c r="H5763" s="6" t="s">
        <v>86</v>
      </c>
      <c r="I5763" s="3" t="s">
        <v>45</v>
      </c>
    </row>
    <row r="5764" spans="1:9" ht="48" customHeight="1">
      <c r="A5764" s="3" t="s">
        <v>79</v>
      </c>
      <c r="B5764" s="3" t="s">
        <v>78</v>
      </c>
      <c r="C5764" s="4">
        <v>43374</v>
      </c>
      <c r="D5764" s="4">
        <v>43404</v>
      </c>
      <c r="E5764" s="3" t="s">
        <v>260</v>
      </c>
      <c r="F5764" s="3" t="s">
        <v>234</v>
      </c>
      <c r="G5764" s="5">
        <v>0</v>
      </c>
      <c r="H5764" s="6" t="s">
        <v>86</v>
      </c>
      <c r="I5764" s="3" t="s">
        <v>45</v>
      </c>
    </row>
    <row r="5765" spans="1:9" ht="48" customHeight="1">
      <c r="A5765" s="3" t="s">
        <v>79</v>
      </c>
      <c r="B5765" s="3" t="s">
        <v>78</v>
      </c>
      <c r="C5765" s="4">
        <v>43374</v>
      </c>
      <c r="D5765" s="4">
        <v>43404</v>
      </c>
      <c r="E5765" s="3" t="s">
        <v>260</v>
      </c>
      <c r="F5765" s="3" t="s">
        <v>232</v>
      </c>
      <c r="G5765" s="5">
        <v>0</v>
      </c>
      <c r="H5765" s="6" t="s">
        <v>86</v>
      </c>
      <c r="I5765" s="3" t="s">
        <v>45</v>
      </c>
    </row>
    <row r="5766" spans="1:9" ht="48" customHeight="1">
      <c r="A5766" s="3" t="s">
        <v>79</v>
      </c>
      <c r="B5766" s="3" t="s">
        <v>78</v>
      </c>
      <c r="C5766" s="4">
        <v>43374</v>
      </c>
      <c r="D5766" s="4">
        <v>43404</v>
      </c>
      <c r="E5766" s="3" t="s">
        <v>260</v>
      </c>
      <c r="F5766" s="3" t="s">
        <v>265</v>
      </c>
      <c r="G5766" s="5">
        <v>0</v>
      </c>
      <c r="H5766" s="6" t="s">
        <v>86</v>
      </c>
      <c r="I5766" s="3" t="s">
        <v>45</v>
      </c>
    </row>
    <row r="5767" spans="1:9" ht="48" customHeight="1">
      <c r="A5767" s="3" t="s">
        <v>79</v>
      </c>
      <c r="B5767" s="3" t="s">
        <v>78</v>
      </c>
      <c r="C5767" s="4">
        <v>43374</v>
      </c>
      <c r="D5767" s="4">
        <v>43404</v>
      </c>
      <c r="E5767" s="3" t="s">
        <v>260</v>
      </c>
      <c r="F5767" s="3" t="s">
        <v>263</v>
      </c>
      <c r="G5767" s="5">
        <v>0</v>
      </c>
      <c r="H5767" s="6" t="s">
        <v>86</v>
      </c>
      <c r="I5767" s="3" t="s">
        <v>45</v>
      </c>
    </row>
    <row r="5768" spans="1:9" ht="48" customHeight="1">
      <c r="A5768" s="3" t="s">
        <v>79</v>
      </c>
      <c r="B5768" s="3" t="s">
        <v>78</v>
      </c>
      <c r="C5768" s="4">
        <v>43374</v>
      </c>
      <c r="D5768" s="4">
        <v>43404</v>
      </c>
      <c r="E5768" s="3" t="s">
        <v>260</v>
      </c>
      <c r="F5768" s="3" t="s">
        <v>266</v>
      </c>
      <c r="G5768" s="5">
        <v>0</v>
      </c>
      <c r="H5768" s="6" t="s">
        <v>86</v>
      </c>
      <c r="I5768" s="3" t="s">
        <v>45</v>
      </c>
    </row>
    <row r="5769" spans="1:9" ht="48" customHeight="1">
      <c r="A5769" s="3" t="s">
        <v>79</v>
      </c>
      <c r="B5769" s="3" t="s">
        <v>78</v>
      </c>
      <c r="C5769" s="4">
        <v>43374</v>
      </c>
      <c r="D5769" s="4">
        <v>43404</v>
      </c>
      <c r="E5769" s="3" t="s">
        <v>260</v>
      </c>
      <c r="F5769" s="3" t="s">
        <v>267</v>
      </c>
      <c r="G5769" s="5">
        <v>0</v>
      </c>
      <c r="H5769" s="6" t="s">
        <v>86</v>
      </c>
      <c r="I5769" s="3" t="s">
        <v>45</v>
      </c>
    </row>
    <row r="5770" spans="1:9" ht="48" customHeight="1">
      <c r="A5770" s="3" t="s">
        <v>79</v>
      </c>
      <c r="B5770" s="3" t="s">
        <v>78</v>
      </c>
      <c r="C5770" s="4">
        <v>43374</v>
      </c>
      <c r="D5770" s="4">
        <v>43404</v>
      </c>
      <c r="E5770" s="3" t="s">
        <v>260</v>
      </c>
      <c r="F5770" s="3" t="s">
        <v>273</v>
      </c>
      <c r="G5770" s="5">
        <v>0</v>
      </c>
      <c r="H5770" s="6" t="s">
        <v>86</v>
      </c>
      <c r="I5770" s="3" t="s">
        <v>45</v>
      </c>
    </row>
    <row r="5771" spans="1:9" ht="48" customHeight="1">
      <c r="A5771" s="3" t="s">
        <v>79</v>
      </c>
      <c r="B5771" s="3" t="s">
        <v>78</v>
      </c>
      <c r="C5771" s="4">
        <v>43374</v>
      </c>
      <c r="D5771" s="4">
        <v>43404</v>
      </c>
      <c r="E5771" s="3" t="s">
        <v>260</v>
      </c>
      <c r="F5771" s="3" t="s">
        <v>274</v>
      </c>
      <c r="G5771" s="5">
        <v>0</v>
      </c>
      <c r="H5771" s="6" t="s">
        <v>86</v>
      </c>
      <c r="I5771" s="3" t="s">
        <v>45</v>
      </c>
    </row>
    <row r="5772" spans="1:9" ht="48" customHeight="1">
      <c r="A5772" s="3" t="s">
        <v>79</v>
      </c>
      <c r="B5772" s="3" t="s">
        <v>78</v>
      </c>
      <c r="C5772" s="4">
        <v>43374</v>
      </c>
      <c r="D5772" s="4">
        <v>43404</v>
      </c>
      <c r="E5772" s="3" t="s">
        <v>260</v>
      </c>
      <c r="F5772" s="3" t="s">
        <v>275</v>
      </c>
      <c r="G5772" s="5">
        <v>0</v>
      </c>
      <c r="H5772" s="6" t="s">
        <v>86</v>
      </c>
      <c r="I5772" s="3" t="s">
        <v>45</v>
      </c>
    </row>
    <row r="5773" spans="1:9" ht="48" customHeight="1">
      <c r="A5773" s="3" t="s">
        <v>79</v>
      </c>
      <c r="B5773" s="3" t="s">
        <v>78</v>
      </c>
      <c r="C5773" s="4">
        <v>43374</v>
      </c>
      <c r="D5773" s="4">
        <v>43404</v>
      </c>
      <c r="E5773" s="3" t="s">
        <v>260</v>
      </c>
      <c r="F5773" s="3" t="s">
        <v>276</v>
      </c>
      <c r="G5773" s="5">
        <v>0</v>
      </c>
      <c r="H5773" s="6" t="s">
        <v>86</v>
      </c>
      <c r="I5773" s="3" t="s">
        <v>45</v>
      </c>
    </row>
    <row r="5774" spans="1:9" ht="48" customHeight="1">
      <c r="A5774" s="3" t="s">
        <v>79</v>
      </c>
      <c r="B5774" s="3" t="s">
        <v>78</v>
      </c>
      <c r="C5774" s="4">
        <v>43374</v>
      </c>
      <c r="D5774" s="4">
        <v>43404</v>
      </c>
      <c r="E5774" s="3" t="s">
        <v>260</v>
      </c>
      <c r="F5774" s="3" t="s">
        <v>277</v>
      </c>
      <c r="G5774" s="5">
        <v>0</v>
      </c>
      <c r="H5774" s="6" t="s">
        <v>86</v>
      </c>
      <c r="I5774" s="3" t="s">
        <v>45</v>
      </c>
    </row>
    <row r="5775" spans="1:9" ht="48" customHeight="1">
      <c r="A5775" s="3" t="s">
        <v>79</v>
      </c>
      <c r="B5775" s="3" t="s">
        <v>78</v>
      </c>
      <c r="C5775" s="4">
        <v>43374</v>
      </c>
      <c r="D5775" s="4">
        <v>43404</v>
      </c>
      <c r="E5775" s="3" t="s">
        <v>260</v>
      </c>
      <c r="F5775" s="3" t="s">
        <v>278</v>
      </c>
      <c r="G5775" s="5">
        <v>0</v>
      </c>
      <c r="H5775" s="6" t="s">
        <v>86</v>
      </c>
      <c r="I5775" s="3" t="s">
        <v>45</v>
      </c>
    </row>
    <row r="5776" spans="1:9" ht="48" customHeight="1">
      <c r="A5776" s="3" t="s">
        <v>79</v>
      </c>
      <c r="B5776" s="3" t="s">
        <v>78</v>
      </c>
      <c r="C5776" s="4">
        <v>43374</v>
      </c>
      <c r="D5776" s="4">
        <v>43404</v>
      </c>
      <c r="E5776" s="3" t="s">
        <v>260</v>
      </c>
      <c r="F5776" s="3" t="s">
        <v>269</v>
      </c>
      <c r="G5776" s="5">
        <v>0</v>
      </c>
      <c r="H5776" s="6" t="s">
        <v>86</v>
      </c>
      <c r="I5776" s="3" t="s">
        <v>45</v>
      </c>
    </row>
    <row r="5777" spans="1:9" ht="48" customHeight="1">
      <c r="A5777" s="3" t="s">
        <v>79</v>
      </c>
      <c r="B5777" s="3" t="s">
        <v>78</v>
      </c>
      <c r="C5777" s="4">
        <v>43374</v>
      </c>
      <c r="D5777" s="4">
        <v>43404</v>
      </c>
      <c r="E5777" s="3" t="s">
        <v>260</v>
      </c>
      <c r="F5777" s="3" t="s">
        <v>279</v>
      </c>
      <c r="G5777" s="5">
        <v>0</v>
      </c>
      <c r="H5777" s="6" t="s">
        <v>86</v>
      </c>
      <c r="I5777" s="3" t="s">
        <v>45</v>
      </c>
    </row>
    <row r="5778" spans="1:9" ht="48" customHeight="1">
      <c r="A5778" s="3" t="s">
        <v>79</v>
      </c>
      <c r="B5778" s="3" t="s">
        <v>78</v>
      </c>
      <c r="C5778" s="4">
        <v>43374</v>
      </c>
      <c r="D5778" s="4">
        <v>43404</v>
      </c>
      <c r="E5778" s="3" t="s">
        <v>260</v>
      </c>
      <c r="F5778" s="3" t="s">
        <v>270</v>
      </c>
      <c r="G5778" s="5">
        <v>0</v>
      </c>
      <c r="H5778" s="6" t="s">
        <v>86</v>
      </c>
      <c r="I5778" s="3" t="s">
        <v>45</v>
      </c>
    </row>
    <row r="5779" spans="1:9" ht="48" customHeight="1">
      <c r="A5779" s="3" t="s">
        <v>79</v>
      </c>
      <c r="B5779" s="3" t="s">
        <v>78</v>
      </c>
      <c r="C5779" s="4">
        <v>43374</v>
      </c>
      <c r="D5779" s="4">
        <v>43404</v>
      </c>
      <c r="E5779" s="3" t="s">
        <v>260</v>
      </c>
      <c r="F5779" s="3" t="s">
        <v>280</v>
      </c>
      <c r="G5779" s="5">
        <v>0</v>
      </c>
      <c r="H5779" s="6" t="s">
        <v>86</v>
      </c>
      <c r="I5779" s="3" t="s">
        <v>45</v>
      </c>
    </row>
    <row r="5780" spans="1:9" ht="48" customHeight="1">
      <c r="A5780" s="3" t="s">
        <v>79</v>
      </c>
      <c r="B5780" s="3" t="s">
        <v>78</v>
      </c>
      <c r="C5780" s="4">
        <v>43374</v>
      </c>
      <c r="D5780" s="4">
        <v>43404</v>
      </c>
      <c r="E5780" s="3" t="s">
        <v>260</v>
      </c>
      <c r="F5780" s="3" t="s">
        <v>271</v>
      </c>
      <c r="G5780" s="5">
        <v>0</v>
      </c>
      <c r="H5780" s="6" t="s">
        <v>86</v>
      </c>
      <c r="I5780" s="3" t="s">
        <v>45</v>
      </c>
    </row>
    <row r="5781" spans="1:9" ht="48" customHeight="1">
      <c r="A5781" s="3" t="s">
        <v>79</v>
      </c>
      <c r="B5781" s="3" t="s">
        <v>78</v>
      </c>
      <c r="C5781" s="4">
        <v>43374</v>
      </c>
      <c r="D5781" s="4">
        <v>43404</v>
      </c>
      <c r="E5781" s="3" t="s">
        <v>260</v>
      </c>
      <c r="F5781" s="3" t="s">
        <v>281</v>
      </c>
      <c r="G5781" s="5">
        <v>0</v>
      </c>
      <c r="H5781" s="6" t="s">
        <v>86</v>
      </c>
      <c r="I5781" s="3" t="s">
        <v>45</v>
      </c>
    </row>
    <row r="5782" spans="1:9" ht="48" customHeight="1">
      <c r="A5782" s="3" t="s">
        <v>79</v>
      </c>
      <c r="B5782" s="3" t="s">
        <v>78</v>
      </c>
      <c r="C5782" s="4">
        <v>43374</v>
      </c>
      <c r="D5782" s="4">
        <v>43404</v>
      </c>
      <c r="E5782" s="3" t="s">
        <v>260</v>
      </c>
      <c r="F5782" s="3" t="s">
        <v>272</v>
      </c>
      <c r="G5782" s="5">
        <v>0</v>
      </c>
      <c r="H5782" s="6" t="s">
        <v>86</v>
      </c>
      <c r="I5782" s="3" t="s">
        <v>45</v>
      </c>
    </row>
    <row r="5783" spans="1:9" ht="48" customHeight="1">
      <c r="A5783" s="3" t="s">
        <v>79</v>
      </c>
      <c r="B5783" s="3" t="s">
        <v>78</v>
      </c>
      <c r="C5783" s="4">
        <v>43374</v>
      </c>
      <c r="D5783" s="4">
        <v>43404</v>
      </c>
      <c r="E5783" s="3" t="s">
        <v>260</v>
      </c>
      <c r="F5783" s="3" t="s">
        <v>282</v>
      </c>
      <c r="G5783" s="5">
        <v>0</v>
      </c>
      <c r="H5783" s="6" t="s">
        <v>86</v>
      </c>
      <c r="I5783" s="3" t="s">
        <v>45</v>
      </c>
    </row>
    <row r="5784" spans="1:9" ht="48" customHeight="1">
      <c r="A5784" s="3" t="s">
        <v>79</v>
      </c>
      <c r="B5784" s="3" t="s">
        <v>78</v>
      </c>
      <c r="C5784" s="4">
        <v>43374</v>
      </c>
      <c r="D5784" s="4">
        <v>43404</v>
      </c>
      <c r="E5784" s="3" t="s">
        <v>260</v>
      </c>
      <c r="F5784" s="3" t="s">
        <v>283</v>
      </c>
      <c r="G5784" s="5">
        <v>0</v>
      </c>
      <c r="H5784" s="6" t="s">
        <v>86</v>
      </c>
      <c r="I5784" s="3" t="s">
        <v>45</v>
      </c>
    </row>
    <row r="5785" spans="1:9" ht="48" customHeight="1">
      <c r="A5785" s="3" t="s">
        <v>79</v>
      </c>
      <c r="B5785" s="3" t="s">
        <v>78</v>
      </c>
      <c r="C5785" s="4">
        <v>43374</v>
      </c>
      <c r="D5785" s="4">
        <v>43404</v>
      </c>
      <c r="E5785" s="3" t="s">
        <v>260</v>
      </c>
      <c r="F5785" s="3" t="s">
        <v>284</v>
      </c>
      <c r="G5785" s="5">
        <v>0</v>
      </c>
      <c r="H5785" s="6" t="s">
        <v>86</v>
      </c>
      <c r="I5785" s="3" t="s">
        <v>45</v>
      </c>
    </row>
    <row r="5786" spans="1:9" ht="48" customHeight="1">
      <c r="A5786" s="3" t="s">
        <v>79</v>
      </c>
      <c r="B5786" s="3" t="s">
        <v>78</v>
      </c>
      <c r="C5786" s="4">
        <v>43374</v>
      </c>
      <c r="D5786" s="4">
        <v>43404</v>
      </c>
      <c r="E5786" s="3" t="s">
        <v>260</v>
      </c>
      <c r="F5786" s="3" t="s">
        <v>285</v>
      </c>
      <c r="G5786" s="5">
        <v>0</v>
      </c>
      <c r="H5786" s="6" t="s">
        <v>86</v>
      </c>
      <c r="I5786" s="3" t="s">
        <v>45</v>
      </c>
    </row>
    <row r="5787" spans="1:9" ht="48" customHeight="1">
      <c r="A5787" s="3" t="s">
        <v>79</v>
      </c>
      <c r="B5787" s="3" t="s">
        <v>78</v>
      </c>
      <c r="C5787" s="4">
        <v>43374</v>
      </c>
      <c r="D5787" s="4">
        <v>43404</v>
      </c>
      <c r="E5787" s="3" t="s">
        <v>231</v>
      </c>
      <c r="F5787" s="3" t="s">
        <v>232</v>
      </c>
      <c r="G5787" s="5">
        <v>2E-3</v>
      </c>
      <c r="H5787" s="6" t="s">
        <v>86</v>
      </c>
      <c r="I5787" s="3" t="s">
        <v>45</v>
      </c>
    </row>
    <row r="5788" spans="1:9" ht="48" customHeight="1">
      <c r="A5788" s="3" t="s">
        <v>79</v>
      </c>
      <c r="B5788" s="3" t="s">
        <v>78</v>
      </c>
      <c r="C5788" s="4">
        <v>43374</v>
      </c>
      <c r="D5788" s="4">
        <v>43404</v>
      </c>
      <c r="E5788" s="3" t="s">
        <v>231</v>
      </c>
      <c r="F5788" s="3" t="s">
        <v>233</v>
      </c>
      <c r="G5788" s="5">
        <v>2E-3</v>
      </c>
      <c r="H5788" s="6" t="s">
        <v>86</v>
      </c>
      <c r="I5788" s="3" t="s">
        <v>45</v>
      </c>
    </row>
    <row r="5789" spans="1:9" ht="48" customHeight="1">
      <c r="A5789" s="3" t="s">
        <v>79</v>
      </c>
      <c r="B5789" s="3" t="s">
        <v>78</v>
      </c>
      <c r="C5789" s="4">
        <v>43374</v>
      </c>
      <c r="D5789" s="4">
        <v>43404</v>
      </c>
      <c r="E5789" s="3" t="s">
        <v>231</v>
      </c>
      <c r="F5789" s="3" t="s">
        <v>234</v>
      </c>
      <c r="G5789" s="5">
        <v>1E-3</v>
      </c>
      <c r="H5789" s="6" t="s">
        <v>86</v>
      </c>
      <c r="I5789" s="3" t="s">
        <v>45</v>
      </c>
    </row>
    <row r="5790" spans="1:9" ht="48" customHeight="1">
      <c r="A5790" s="3" t="s">
        <v>79</v>
      </c>
      <c r="B5790" s="3" t="s">
        <v>78</v>
      </c>
      <c r="C5790" s="4">
        <v>43374</v>
      </c>
      <c r="D5790" s="4">
        <v>43404</v>
      </c>
      <c r="E5790" s="3" t="s">
        <v>231</v>
      </c>
      <c r="F5790" s="3" t="s">
        <v>230</v>
      </c>
      <c r="G5790" s="5">
        <v>1E-3</v>
      </c>
      <c r="H5790" s="6" t="s">
        <v>86</v>
      </c>
      <c r="I5790" s="3" t="s">
        <v>45</v>
      </c>
    </row>
    <row r="5791" spans="1:9" ht="48" customHeight="1">
      <c r="A5791" s="3" t="s">
        <v>79</v>
      </c>
      <c r="B5791" s="3" t="s">
        <v>78</v>
      </c>
      <c r="C5791" s="4">
        <v>43374</v>
      </c>
      <c r="D5791" s="4">
        <v>43404</v>
      </c>
      <c r="E5791" s="3" t="s">
        <v>231</v>
      </c>
      <c r="F5791" s="3" t="s">
        <v>235</v>
      </c>
      <c r="G5791" s="5">
        <v>1E-3</v>
      </c>
      <c r="H5791" s="6" t="s">
        <v>86</v>
      </c>
      <c r="I5791" s="3" t="s">
        <v>45</v>
      </c>
    </row>
    <row r="5792" spans="1:9" ht="48" customHeight="1">
      <c r="A5792" s="3" t="s">
        <v>79</v>
      </c>
      <c r="B5792" s="3" t="s">
        <v>78</v>
      </c>
      <c r="C5792" s="4">
        <v>43374</v>
      </c>
      <c r="D5792" s="4">
        <v>43404</v>
      </c>
      <c r="E5792" s="3" t="s">
        <v>244</v>
      </c>
      <c r="F5792" s="3" t="s">
        <v>246</v>
      </c>
      <c r="G5792" s="5">
        <v>1E-3</v>
      </c>
      <c r="H5792" s="6" t="s">
        <v>86</v>
      </c>
      <c r="I5792" s="3" t="s">
        <v>45</v>
      </c>
    </row>
    <row r="5793" spans="1:9" ht="48" customHeight="1">
      <c r="A5793" s="3" t="s">
        <v>79</v>
      </c>
      <c r="B5793" s="3" t="s">
        <v>78</v>
      </c>
      <c r="C5793" s="4">
        <v>43374</v>
      </c>
      <c r="D5793" s="4">
        <v>43404</v>
      </c>
      <c r="E5793" s="3" t="s">
        <v>244</v>
      </c>
      <c r="F5793" s="3" t="s">
        <v>248</v>
      </c>
      <c r="G5793" s="5">
        <v>0</v>
      </c>
      <c r="H5793" s="6" t="s">
        <v>86</v>
      </c>
      <c r="I5793" s="3" t="s">
        <v>45</v>
      </c>
    </row>
    <row r="5794" spans="1:9" ht="48" customHeight="1">
      <c r="A5794" s="3" t="s">
        <v>79</v>
      </c>
      <c r="B5794" s="3" t="s">
        <v>78</v>
      </c>
      <c r="C5794" s="4">
        <v>43374</v>
      </c>
      <c r="D5794" s="4">
        <v>43404</v>
      </c>
      <c r="E5794" s="3" t="s">
        <v>244</v>
      </c>
      <c r="F5794" s="3" t="s">
        <v>247</v>
      </c>
      <c r="G5794" s="5">
        <v>0</v>
      </c>
      <c r="H5794" s="6" t="s">
        <v>86</v>
      </c>
      <c r="I5794" s="3" t="s">
        <v>45</v>
      </c>
    </row>
    <row r="5795" spans="1:9" ht="48" customHeight="1">
      <c r="A5795" s="3" t="s">
        <v>79</v>
      </c>
      <c r="B5795" s="3" t="s">
        <v>78</v>
      </c>
      <c r="C5795" s="4">
        <v>43374</v>
      </c>
      <c r="D5795" s="4">
        <v>43404</v>
      </c>
      <c r="E5795" s="3" t="s">
        <v>244</v>
      </c>
      <c r="F5795" s="3" t="s">
        <v>245</v>
      </c>
      <c r="G5795" s="5">
        <v>0</v>
      </c>
      <c r="H5795" s="6" t="s">
        <v>86</v>
      </c>
      <c r="I5795" s="3" t="s">
        <v>45</v>
      </c>
    </row>
    <row r="5796" spans="1:9" ht="48" customHeight="1">
      <c r="A5796" s="3" t="s">
        <v>79</v>
      </c>
      <c r="B5796" s="3" t="s">
        <v>78</v>
      </c>
      <c r="C5796" s="4">
        <v>43374</v>
      </c>
      <c r="D5796" s="4">
        <v>43404</v>
      </c>
      <c r="E5796" s="3" t="s">
        <v>244</v>
      </c>
      <c r="F5796" s="3" t="s">
        <v>250</v>
      </c>
      <c r="G5796" s="5">
        <v>0</v>
      </c>
      <c r="H5796" s="6" t="s">
        <v>86</v>
      </c>
      <c r="I5796" s="3" t="s">
        <v>45</v>
      </c>
    </row>
    <row r="5797" spans="1:9" ht="48" customHeight="1">
      <c r="A5797" s="3" t="s">
        <v>79</v>
      </c>
      <c r="B5797" s="3" t="s">
        <v>78</v>
      </c>
      <c r="C5797" s="4">
        <v>43374</v>
      </c>
      <c r="D5797" s="4">
        <v>43404</v>
      </c>
      <c r="E5797" s="3" t="s">
        <v>244</v>
      </c>
      <c r="F5797" s="3" t="s">
        <v>251</v>
      </c>
      <c r="G5797" s="5">
        <v>0</v>
      </c>
      <c r="H5797" s="6" t="s">
        <v>86</v>
      </c>
      <c r="I5797" s="3" t="s">
        <v>45</v>
      </c>
    </row>
    <row r="5798" spans="1:9" ht="48" customHeight="1">
      <c r="A5798" s="3" t="s">
        <v>79</v>
      </c>
      <c r="B5798" s="3" t="s">
        <v>78</v>
      </c>
      <c r="C5798" s="4">
        <v>43374</v>
      </c>
      <c r="D5798" s="4">
        <v>43404</v>
      </c>
      <c r="E5798" s="3" t="s">
        <v>244</v>
      </c>
      <c r="F5798" s="3" t="s">
        <v>252</v>
      </c>
      <c r="G5798" s="5">
        <v>0</v>
      </c>
      <c r="H5798" s="6" t="s">
        <v>86</v>
      </c>
      <c r="I5798" s="3" t="s">
        <v>45</v>
      </c>
    </row>
    <row r="5799" spans="1:9" ht="48" customHeight="1">
      <c r="A5799" s="3" t="s">
        <v>79</v>
      </c>
      <c r="B5799" s="3" t="s">
        <v>78</v>
      </c>
      <c r="C5799" s="4">
        <v>43374</v>
      </c>
      <c r="D5799" s="4">
        <v>43404</v>
      </c>
      <c r="E5799" s="3" t="s">
        <v>244</v>
      </c>
      <c r="F5799" s="3" t="s">
        <v>249</v>
      </c>
      <c r="G5799" s="5">
        <v>0</v>
      </c>
      <c r="H5799" s="6" t="s">
        <v>86</v>
      </c>
      <c r="I5799" s="3" t="s">
        <v>45</v>
      </c>
    </row>
    <row r="5800" spans="1:9" ht="48" customHeight="1">
      <c r="A5800" s="3" t="s">
        <v>79</v>
      </c>
      <c r="B5800" s="3" t="s">
        <v>78</v>
      </c>
      <c r="C5800" s="4">
        <v>43374</v>
      </c>
      <c r="D5800" s="4">
        <v>43404</v>
      </c>
      <c r="E5800" s="3" t="s">
        <v>244</v>
      </c>
      <c r="F5800" s="3" t="s">
        <v>255</v>
      </c>
      <c r="G5800" s="5">
        <v>0</v>
      </c>
      <c r="H5800" s="6" t="s">
        <v>86</v>
      </c>
      <c r="I5800" s="3" t="s">
        <v>45</v>
      </c>
    </row>
    <row r="5801" spans="1:9" ht="48" customHeight="1">
      <c r="A5801" s="3" t="s">
        <v>79</v>
      </c>
      <c r="B5801" s="3" t="s">
        <v>78</v>
      </c>
      <c r="C5801" s="4">
        <v>43374</v>
      </c>
      <c r="D5801" s="4">
        <v>43404</v>
      </c>
      <c r="E5801" s="3" t="s">
        <v>244</v>
      </c>
      <c r="F5801" s="3" t="s">
        <v>256</v>
      </c>
      <c r="G5801" s="5">
        <v>0</v>
      </c>
      <c r="H5801" s="6" t="s">
        <v>86</v>
      </c>
      <c r="I5801" s="3" t="s">
        <v>45</v>
      </c>
    </row>
    <row r="5802" spans="1:9" ht="48" customHeight="1">
      <c r="A5802" s="3" t="s">
        <v>79</v>
      </c>
      <c r="B5802" s="3" t="s">
        <v>78</v>
      </c>
      <c r="C5802" s="4">
        <v>43374</v>
      </c>
      <c r="D5802" s="4">
        <v>43404</v>
      </c>
      <c r="E5802" s="3" t="s">
        <v>244</v>
      </c>
      <c r="F5802" s="3" t="s">
        <v>257</v>
      </c>
      <c r="G5802" s="5">
        <v>0</v>
      </c>
      <c r="H5802" s="6" t="s">
        <v>86</v>
      </c>
      <c r="I5802" s="3" t="s">
        <v>45</v>
      </c>
    </row>
    <row r="5803" spans="1:9" ht="48" customHeight="1">
      <c r="A5803" s="3" t="s">
        <v>79</v>
      </c>
      <c r="B5803" s="3" t="s">
        <v>78</v>
      </c>
      <c r="C5803" s="4">
        <v>43374</v>
      </c>
      <c r="D5803" s="4">
        <v>43404</v>
      </c>
      <c r="E5803" s="3" t="s">
        <v>244</v>
      </c>
      <c r="F5803" s="3" t="s">
        <v>258</v>
      </c>
      <c r="G5803" s="5">
        <v>0</v>
      </c>
      <c r="H5803" s="6" t="s">
        <v>86</v>
      </c>
      <c r="I5803" s="3" t="s">
        <v>45</v>
      </c>
    </row>
    <row r="5804" spans="1:9" ht="48" customHeight="1">
      <c r="A5804" s="3" t="s">
        <v>79</v>
      </c>
      <c r="B5804" s="3" t="s">
        <v>78</v>
      </c>
      <c r="C5804" s="4">
        <v>43374</v>
      </c>
      <c r="D5804" s="4">
        <v>43404</v>
      </c>
      <c r="E5804" s="3" t="s">
        <v>244</v>
      </c>
      <c r="F5804" s="3" t="s">
        <v>259</v>
      </c>
      <c r="G5804" s="5">
        <v>0</v>
      </c>
      <c r="H5804" s="6" t="s">
        <v>86</v>
      </c>
      <c r="I5804" s="3" t="s">
        <v>45</v>
      </c>
    </row>
    <row r="5805" spans="1:9" ht="48" customHeight="1">
      <c r="A5805" s="3" t="s">
        <v>79</v>
      </c>
      <c r="B5805" s="3" t="s">
        <v>78</v>
      </c>
      <c r="C5805" s="4">
        <v>43374</v>
      </c>
      <c r="D5805" s="4">
        <v>43404</v>
      </c>
      <c r="E5805" s="3" t="s">
        <v>244</v>
      </c>
      <c r="F5805" s="3" t="s">
        <v>253</v>
      </c>
      <c r="G5805" s="5">
        <v>0</v>
      </c>
      <c r="H5805" s="6" t="s">
        <v>86</v>
      </c>
      <c r="I5805" s="3" t="s">
        <v>45</v>
      </c>
    </row>
    <row r="5806" spans="1:9" ht="48" customHeight="1">
      <c r="A5806" s="3" t="s">
        <v>79</v>
      </c>
      <c r="B5806" s="3" t="s">
        <v>78</v>
      </c>
      <c r="C5806" s="4">
        <v>43374</v>
      </c>
      <c r="D5806" s="4">
        <v>43404</v>
      </c>
      <c r="E5806" s="3" t="s">
        <v>244</v>
      </c>
      <c r="F5806" s="3" t="s">
        <v>254</v>
      </c>
      <c r="G5806" s="5">
        <v>0</v>
      </c>
      <c r="H5806" s="6" t="s">
        <v>86</v>
      </c>
      <c r="I5806" s="3" t="s">
        <v>45</v>
      </c>
    </row>
    <row r="5807" spans="1:9" ht="48" customHeight="1">
      <c r="A5807" s="3" t="s">
        <v>79</v>
      </c>
      <c r="B5807" s="3" t="s">
        <v>78</v>
      </c>
      <c r="C5807" s="4">
        <v>43374</v>
      </c>
      <c r="D5807" s="4">
        <v>43404</v>
      </c>
      <c r="E5807" s="3" t="s">
        <v>301</v>
      </c>
      <c r="F5807" s="3" t="s">
        <v>301</v>
      </c>
      <c r="G5807" s="5">
        <v>2E-3</v>
      </c>
      <c r="H5807" s="6" t="s">
        <v>86</v>
      </c>
      <c r="I5807" s="3" t="s">
        <v>45</v>
      </c>
    </row>
    <row r="5808" spans="1:9" ht="48" customHeight="1">
      <c r="A5808" s="3" t="s">
        <v>79</v>
      </c>
      <c r="B5808" s="3" t="s">
        <v>78</v>
      </c>
      <c r="C5808" s="4">
        <v>43374</v>
      </c>
      <c r="D5808" s="4">
        <v>43404</v>
      </c>
      <c r="E5808" s="3" t="s">
        <v>381</v>
      </c>
      <c r="F5808" s="3" t="s">
        <v>382</v>
      </c>
      <c r="G5808" s="5">
        <v>1E-3</v>
      </c>
      <c r="H5808" s="6" t="s">
        <v>86</v>
      </c>
      <c r="I5808" s="3" t="s">
        <v>45</v>
      </c>
    </row>
    <row r="5809" spans="1:9" ht="48" customHeight="1">
      <c r="A5809" s="3" t="s">
        <v>79</v>
      </c>
      <c r="B5809" s="3" t="s">
        <v>78</v>
      </c>
      <c r="C5809" s="4">
        <v>43374</v>
      </c>
      <c r="D5809" s="4">
        <v>43404</v>
      </c>
      <c r="E5809" s="3" t="s">
        <v>381</v>
      </c>
      <c r="F5809" s="3" t="s">
        <v>383</v>
      </c>
      <c r="G5809" s="5">
        <v>0</v>
      </c>
      <c r="H5809" s="6" t="s">
        <v>86</v>
      </c>
      <c r="I5809" s="3" t="s">
        <v>45</v>
      </c>
    </row>
    <row r="5810" spans="1:9" ht="48" customHeight="1">
      <c r="A5810" s="3" t="s">
        <v>79</v>
      </c>
      <c r="B5810" s="3" t="s">
        <v>78</v>
      </c>
      <c r="C5810" s="4">
        <v>43405</v>
      </c>
      <c r="D5810" s="4">
        <v>43434</v>
      </c>
      <c r="E5810" s="3" t="s">
        <v>364</v>
      </c>
      <c r="F5810" s="3" t="s">
        <v>262</v>
      </c>
      <c r="G5810" s="5">
        <v>0.11599999999999999</v>
      </c>
      <c r="H5810" s="6" t="s">
        <v>87</v>
      </c>
      <c r="I5810" s="3" t="s">
        <v>45</v>
      </c>
    </row>
    <row r="5811" spans="1:9" ht="48" customHeight="1">
      <c r="A5811" s="3" t="s">
        <v>79</v>
      </c>
      <c r="B5811" s="3" t="s">
        <v>78</v>
      </c>
      <c r="C5811" s="4">
        <v>43405</v>
      </c>
      <c r="D5811" s="4">
        <v>43434</v>
      </c>
      <c r="E5811" s="3" t="s">
        <v>364</v>
      </c>
      <c r="F5811" s="3" t="s">
        <v>366</v>
      </c>
      <c r="G5811" s="5">
        <v>8.3000000000000004E-2</v>
      </c>
      <c r="H5811" s="6" t="s">
        <v>87</v>
      </c>
      <c r="I5811" s="3" t="s">
        <v>45</v>
      </c>
    </row>
    <row r="5812" spans="1:9" ht="48" customHeight="1">
      <c r="A5812" s="3" t="s">
        <v>79</v>
      </c>
      <c r="B5812" s="3" t="s">
        <v>78</v>
      </c>
      <c r="C5812" s="4">
        <v>43405</v>
      </c>
      <c r="D5812" s="4">
        <v>43434</v>
      </c>
      <c r="E5812" s="3" t="s">
        <v>364</v>
      </c>
      <c r="F5812" s="3" t="s">
        <v>365</v>
      </c>
      <c r="G5812" s="5">
        <v>5.7999999999999996E-2</v>
      </c>
      <c r="H5812" s="6" t="s">
        <v>87</v>
      </c>
      <c r="I5812" s="3" t="s">
        <v>45</v>
      </c>
    </row>
    <row r="5813" spans="1:9" ht="48" customHeight="1">
      <c r="A5813" s="3" t="s">
        <v>79</v>
      </c>
      <c r="B5813" s="3" t="s">
        <v>78</v>
      </c>
      <c r="C5813" s="4">
        <v>43405</v>
      </c>
      <c r="D5813" s="4">
        <v>43434</v>
      </c>
      <c r="E5813" s="3" t="s">
        <v>364</v>
      </c>
      <c r="F5813" s="3" t="s">
        <v>234</v>
      </c>
      <c r="G5813" s="5">
        <v>5.4000000000000006E-2</v>
      </c>
      <c r="H5813" s="6" t="s">
        <v>87</v>
      </c>
      <c r="I5813" s="3" t="s">
        <v>45</v>
      </c>
    </row>
    <row r="5814" spans="1:9" ht="48" customHeight="1">
      <c r="A5814" s="3" t="s">
        <v>79</v>
      </c>
      <c r="B5814" s="3" t="s">
        <v>78</v>
      </c>
      <c r="C5814" s="4">
        <v>43405</v>
      </c>
      <c r="D5814" s="4">
        <v>43434</v>
      </c>
      <c r="E5814" s="3" t="s">
        <v>364</v>
      </c>
      <c r="F5814" s="3" t="s">
        <v>367</v>
      </c>
      <c r="G5814" s="5">
        <v>3.1E-2</v>
      </c>
      <c r="H5814" s="6" t="s">
        <v>87</v>
      </c>
      <c r="I5814" s="3" t="s">
        <v>45</v>
      </c>
    </row>
    <row r="5815" spans="1:9" ht="48" customHeight="1">
      <c r="A5815" s="3" t="s">
        <v>79</v>
      </c>
      <c r="B5815" s="3" t="s">
        <v>78</v>
      </c>
      <c r="C5815" s="4">
        <v>43405</v>
      </c>
      <c r="D5815" s="4">
        <v>43434</v>
      </c>
      <c r="E5815" s="3" t="s">
        <v>364</v>
      </c>
      <c r="F5815" s="3" t="s">
        <v>232</v>
      </c>
      <c r="G5815" s="5">
        <v>2.7999999999999997E-2</v>
      </c>
      <c r="H5815" s="6" t="s">
        <v>87</v>
      </c>
      <c r="I5815" s="3" t="s">
        <v>45</v>
      </c>
    </row>
    <row r="5816" spans="1:9" ht="48" customHeight="1">
      <c r="A5816" s="3" t="s">
        <v>79</v>
      </c>
      <c r="B5816" s="3" t="s">
        <v>78</v>
      </c>
      <c r="C5816" s="4">
        <v>43405</v>
      </c>
      <c r="D5816" s="4">
        <v>43434</v>
      </c>
      <c r="E5816" s="3" t="s">
        <v>364</v>
      </c>
      <c r="F5816" s="3" t="s">
        <v>265</v>
      </c>
      <c r="G5816" s="5">
        <v>1.8000000000000002E-2</v>
      </c>
      <c r="H5816" s="6" t="s">
        <v>87</v>
      </c>
      <c r="I5816" s="3" t="s">
        <v>45</v>
      </c>
    </row>
    <row r="5817" spans="1:9" ht="48" customHeight="1">
      <c r="A5817" s="3" t="s">
        <v>79</v>
      </c>
      <c r="B5817" s="3" t="s">
        <v>78</v>
      </c>
      <c r="C5817" s="4">
        <v>43405</v>
      </c>
      <c r="D5817" s="4">
        <v>43434</v>
      </c>
      <c r="E5817" s="3" t="s">
        <v>364</v>
      </c>
      <c r="F5817" s="3" t="s">
        <v>230</v>
      </c>
      <c r="G5817" s="5">
        <v>1.1000000000000001E-2</v>
      </c>
      <c r="H5817" s="6" t="s">
        <v>87</v>
      </c>
      <c r="I5817" s="3" t="s">
        <v>45</v>
      </c>
    </row>
    <row r="5818" spans="1:9" ht="48" customHeight="1">
      <c r="A5818" s="3" t="s">
        <v>79</v>
      </c>
      <c r="B5818" s="3" t="s">
        <v>78</v>
      </c>
      <c r="C5818" s="4">
        <v>43405</v>
      </c>
      <c r="D5818" s="4">
        <v>43434</v>
      </c>
      <c r="E5818" s="3" t="s">
        <v>81</v>
      </c>
      <c r="F5818" s="3" t="s">
        <v>325</v>
      </c>
      <c r="G5818" s="5">
        <v>6.0999999999999999E-2</v>
      </c>
      <c r="H5818" s="6" t="s">
        <v>87</v>
      </c>
      <c r="I5818" s="3" t="s">
        <v>45</v>
      </c>
    </row>
    <row r="5819" spans="1:9" ht="48" customHeight="1">
      <c r="A5819" s="3" t="s">
        <v>79</v>
      </c>
      <c r="B5819" s="3" t="s">
        <v>78</v>
      </c>
      <c r="C5819" s="4">
        <v>43405</v>
      </c>
      <c r="D5819" s="4">
        <v>43434</v>
      </c>
      <c r="E5819" s="3" t="s">
        <v>81</v>
      </c>
      <c r="F5819" s="3" t="s">
        <v>336</v>
      </c>
      <c r="G5819" s="5">
        <v>0.04</v>
      </c>
      <c r="H5819" s="6" t="s">
        <v>87</v>
      </c>
      <c r="I5819" s="3" t="s">
        <v>45</v>
      </c>
    </row>
    <row r="5820" spans="1:9" ht="48" customHeight="1">
      <c r="A5820" s="3" t="s">
        <v>79</v>
      </c>
      <c r="B5820" s="3" t="s">
        <v>78</v>
      </c>
      <c r="C5820" s="4">
        <v>43405</v>
      </c>
      <c r="D5820" s="4">
        <v>43434</v>
      </c>
      <c r="E5820" s="3" t="s">
        <v>81</v>
      </c>
      <c r="F5820" s="3" t="s">
        <v>332</v>
      </c>
      <c r="G5820" s="5">
        <v>3.5000000000000003E-2</v>
      </c>
      <c r="H5820" s="6" t="s">
        <v>87</v>
      </c>
      <c r="I5820" s="3" t="s">
        <v>45</v>
      </c>
    </row>
    <row r="5821" spans="1:9" ht="48" customHeight="1">
      <c r="A5821" s="3" t="s">
        <v>79</v>
      </c>
      <c r="B5821" s="3" t="s">
        <v>78</v>
      </c>
      <c r="C5821" s="4">
        <v>43405</v>
      </c>
      <c r="D5821" s="4">
        <v>43434</v>
      </c>
      <c r="E5821" s="3" t="s">
        <v>81</v>
      </c>
      <c r="F5821" s="3" t="s">
        <v>330</v>
      </c>
      <c r="G5821" s="5">
        <v>3.3000000000000002E-2</v>
      </c>
      <c r="H5821" s="6" t="s">
        <v>87</v>
      </c>
      <c r="I5821" s="3" t="s">
        <v>45</v>
      </c>
    </row>
    <row r="5822" spans="1:9" ht="48" customHeight="1">
      <c r="A5822" s="3" t="s">
        <v>79</v>
      </c>
      <c r="B5822" s="3" t="s">
        <v>78</v>
      </c>
      <c r="C5822" s="4">
        <v>43405</v>
      </c>
      <c r="D5822" s="4">
        <v>43434</v>
      </c>
      <c r="E5822" s="3" t="s">
        <v>81</v>
      </c>
      <c r="F5822" s="3" t="s">
        <v>343</v>
      </c>
      <c r="G5822" s="5">
        <v>2.1000000000000001E-2</v>
      </c>
      <c r="H5822" s="6" t="s">
        <v>87</v>
      </c>
      <c r="I5822" s="3" t="s">
        <v>45</v>
      </c>
    </row>
    <row r="5823" spans="1:9" ht="48" customHeight="1">
      <c r="A5823" s="3" t="s">
        <v>79</v>
      </c>
      <c r="B5823" s="3" t="s">
        <v>78</v>
      </c>
      <c r="C5823" s="4">
        <v>43405</v>
      </c>
      <c r="D5823" s="4">
        <v>43434</v>
      </c>
      <c r="E5823" s="3" t="s">
        <v>81</v>
      </c>
      <c r="F5823" s="3" t="s">
        <v>334</v>
      </c>
      <c r="G5823" s="5">
        <v>0.02</v>
      </c>
      <c r="H5823" s="6" t="s">
        <v>87</v>
      </c>
      <c r="I5823" s="3" t="s">
        <v>45</v>
      </c>
    </row>
    <row r="5824" spans="1:9" ht="48" customHeight="1">
      <c r="A5824" s="3" t="s">
        <v>79</v>
      </c>
      <c r="B5824" s="3" t="s">
        <v>78</v>
      </c>
      <c r="C5824" s="4">
        <v>43405</v>
      </c>
      <c r="D5824" s="4">
        <v>43434</v>
      </c>
      <c r="E5824" s="3" t="s">
        <v>81</v>
      </c>
      <c r="F5824" s="3" t="s">
        <v>328</v>
      </c>
      <c r="G5824" s="5">
        <v>1.8000000000000002E-2</v>
      </c>
      <c r="H5824" s="6" t="s">
        <v>87</v>
      </c>
      <c r="I5824" s="3" t="s">
        <v>45</v>
      </c>
    </row>
    <row r="5825" spans="1:9" ht="48" customHeight="1">
      <c r="A5825" s="3" t="s">
        <v>79</v>
      </c>
      <c r="B5825" s="3" t="s">
        <v>78</v>
      </c>
      <c r="C5825" s="4">
        <v>43405</v>
      </c>
      <c r="D5825" s="4">
        <v>43434</v>
      </c>
      <c r="E5825" s="3" t="s">
        <v>81</v>
      </c>
      <c r="F5825" s="3" t="s">
        <v>326</v>
      </c>
      <c r="G5825" s="5">
        <v>1.3999999999999999E-2</v>
      </c>
      <c r="H5825" s="6" t="s">
        <v>87</v>
      </c>
      <c r="I5825" s="3" t="s">
        <v>45</v>
      </c>
    </row>
    <row r="5826" spans="1:9" ht="48" customHeight="1">
      <c r="A5826" s="3" t="s">
        <v>79</v>
      </c>
      <c r="B5826" s="3" t="s">
        <v>78</v>
      </c>
      <c r="C5826" s="4">
        <v>43405</v>
      </c>
      <c r="D5826" s="4">
        <v>43434</v>
      </c>
      <c r="E5826" s="3" t="s">
        <v>81</v>
      </c>
      <c r="F5826" s="3" t="s">
        <v>327</v>
      </c>
      <c r="G5826" s="5">
        <v>1.3999999999999999E-2</v>
      </c>
      <c r="H5826" s="6" t="s">
        <v>87</v>
      </c>
      <c r="I5826" s="3" t="s">
        <v>45</v>
      </c>
    </row>
    <row r="5827" spans="1:9" ht="48" customHeight="1">
      <c r="A5827" s="3" t="s">
        <v>79</v>
      </c>
      <c r="B5827" s="3" t="s">
        <v>78</v>
      </c>
      <c r="C5827" s="4">
        <v>43405</v>
      </c>
      <c r="D5827" s="4">
        <v>43434</v>
      </c>
      <c r="E5827" s="3" t="s">
        <v>81</v>
      </c>
      <c r="F5827" s="3" t="s">
        <v>333</v>
      </c>
      <c r="G5827" s="5">
        <v>1.3000000000000001E-2</v>
      </c>
      <c r="H5827" s="6" t="s">
        <v>87</v>
      </c>
      <c r="I5827" s="3" t="s">
        <v>45</v>
      </c>
    </row>
    <row r="5828" spans="1:9" ht="48" customHeight="1">
      <c r="A5828" s="3" t="s">
        <v>79</v>
      </c>
      <c r="B5828" s="3" t="s">
        <v>78</v>
      </c>
      <c r="C5828" s="4">
        <v>43405</v>
      </c>
      <c r="D5828" s="4">
        <v>43434</v>
      </c>
      <c r="E5828" s="3" t="s">
        <v>81</v>
      </c>
      <c r="F5828" s="3" t="s">
        <v>344</v>
      </c>
      <c r="G5828" s="5">
        <v>9.0000000000000011E-3</v>
      </c>
      <c r="H5828" s="6" t="s">
        <v>87</v>
      </c>
      <c r="I5828" s="3" t="s">
        <v>45</v>
      </c>
    </row>
    <row r="5829" spans="1:9" ht="48" customHeight="1">
      <c r="A5829" s="3" t="s">
        <v>79</v>
      </c>
      <c r="B5829" s="3" t="s">
        <v>78</v>
      </c>
      <c r="C5829" s="4">
        <v>43405</v>
      </c>
      <c r="D5829" s="4">
        <v>43434</v>
      </c>
      <c r="E5829" s="3" t="s">
        <v>81</v>
      </c>
      <c r="F5829" s="3" t="s">
        <v>329</v>
      </c>
      <c r="G5829" s="5">
        <v>5.0000000000000001E-3</v>
      </c>
      <c r="H5829" s="6" t="s">
        <v>87</v>
      </c>
      <c r="I5829" s="3" t="s">
        <v>45</v>
      </c>
    </row>
    <row r="5830" spans="1:9" ht="48" customHeight="1">
      <c r="A5830" s="3" t="s">
        <v>79</v>
      </c>
      <c r="B5830" s="3" t="s">
        <v>78</v>
      </c>
      <c r="C5830" s="4">
        <v>43405</v>
      </c>
      <c r="D5830" s="4">
        <v>43434</v>
      </c>
      <c r="E5830" s="3" t="s">
        <v>81</v>
      </c>
      <c r="F5830" s="3" t="s">
        <v>331</v>
      </c>
      <c r="G5830" s="5">
        <v>5.0000000000000001E-3</v>
      </c>
      <c r="H5830" s="6" t="s">
        <v>87</v>
      </c>
      <c r="I5830" s="3" t="s">
        <v>45</v>
      </c>
    </row>
    <row r="5831" spans="1:9" ht="48" customHeight="1">
      <c r="A5831" s="3" t="s">
        <v>79</v>
      </c>
      <c r="B5831" s="3" t="s">
        <v>78</v>
      </c>
      <c r="C5831" s="4">
        <v>43405</v>
      </c>
      <c r="D5831" s="4">
        <v>43434</v>
      </c>
      <c r="E5831" s="3" t="s">
        <v>81</v>
      </c>
      <c r="F5831" s="3" t="s">
        <v>335</v>
      </c>
      <c r="G5831" s="5">
        <v>3.0000000000000001E-3</v>
      </c>
      <c r="H5831" s="6" t="s">
        <v>87</v>
      </c>
      <c r="I5831" s="3" t="s">
        <v>45</v>
      </c>
    </row>
    <row r="5832" spans="1:9" ht="48" customHeight="1">
      <c r="A5832" s="3" t="s">
        <v>79</v>
      </c>
      <c r="B5832" s="3" t="s">
        <v>78</v>
      </c>
      <c r="C5832" s="4">
        <v>43405</v>
      </c>
      <c r="D5832" s="4">
        <v>43434</v>
      </c>
      <c r="E5832" s="3" t="s">
        <v>81</v>
      </c>
      <c r="F5832" s="3" t="s">
        <v>337</v>
      </c>
      <c r="G5832" s="5">
        <v>3.0000000000000001E-3</v>
      </c>
      <c r="H5832" s="6" t="s">
        <v>87</v>
      </c>
      <c r="I5832" s="3" t="s">
        <v>45</v>
      </c>
    </row>
    <row r="5833" spans="1:9" ht="48" customHeight="1">
      <c r="A5833" s="3" t="s">
        <v>79</v>
      </c>
      <c r="B5833" s="3" t="s">
        <v>78</v>
      </c>
      <c r="C5833" s="4">
        <v>43405</v>
      </c>
      <c r="D5833" s="4">
        <v>43434</v>
      </c>
      <c r="E5833" s="3" t="s">
        <v>81</v>
      </c>
      <c r="F5833" s="3" t="s">
        <v>338</v>
      </c>
      <c r="G5833" s="5">
        <v>3.0000000000000001E-3</v>
      </c>
      <c r="H5833" s="6" t="s">
        <v>87</v>
      </c>
      <c r="I5833" s="3" t="s">
        <v>45</v>
      </c>
    </row>
    <row r="5834" spans="1:9" ht="48" customHeight="1">
      <c r="A5834" s="3" t="s">
        <v>79</v>
      </c>
      <c r="B5834" s="3" t="s">
        <v>78</v>
      </c>
      <c r="C5834" s="4">
        <v>43405</v>
      </c>
      <c r="D5834" s="4">
        <v>43434</v>
      </c>
      <c r="E5834" s="3" t="s">
        <v>81</v>
      </c>
      <c r="F5834" s="3" t="s">
        <v>341</v>
      </c>
      <c r="G5834" s="5">
        <v>3.0000000000000001E-3</v>
      </c>
      <c r="H5834" s="6" t="s">
        <v>87</v>
      </c>
      <c r="I5834" s="3" t="s">
        <v>45</v>
      </c>
    </row>
    <row r="5835" spans="1:9" ht="48" customHeight="1">
      <c r="A5835" s="3" t="s">
        <v>79</v>
      </c>
      <c r="B5835" s="3" t="s">
        <v>78</v>
      </c>
      <c r="C5835" s="4">
        <v>43405</v>
      </c>
      <c r="D5835" s="4">
        <v>43434</v>
      </c>
      <c r="E5835" s="3" t="s">
        <v>81</v>
      </c>
      <c r="F5835" s="3" t="s">
        <v>342</v>
      </c>
      <c r="G5835" s="5">
        <v>3.0000000000000001E-3</v>
      </c>
      <c r="H5835" s="6" t="s">
        <v>87</v>
      </c>
      <c r="I5835" s="3" t="s">
        <v>45</v>
      </c>
    </row>
    <row r="5836" spans="1:9" ht="48" customHeight="1">
      <c r="A5836" s="3" t="s">
        <v>79</v>
      </c>
      <c r="B5836" s="3" t="s">
        <v>78</v>
      </c>
      <c r="C5836" s="4">
        <v>43405</v>
      </c>
      <c r="D5836" s="4">
        <v>43434</v>
      </c>
      <c r="E5836" s="3" t="s">
        <v>81</v>
      </c>
      <c r="F5836" s="3" t="s">
        <v>345</v>
      </c>
      <c r="G5836" s="5">
        <v>3.0000000000000001E-3</v>
      </c>
      <c r="H5836" s="6" t="s">
        <v>87</v>
      </c>
      <c r="I5836" s="3" t="s">
        <v>45</v>
      </c>
    </row>
    <row r="5837" spans="1:9" ht="48" customHeight="1">
      <c r="A5837" s="3" t="s">
        <v>79</v>
      </c>
      <c r="B5837" s="3" t="s">
        <v>78</v>
      </c>
      <c r="C5837" s="4">
        <v>43405</v>
      </c>
      <c r="D5837" s="4">
        <v>43434</v>
      </c>
      <c r="E5837" s="3" t="s">
        <v>81</v>
      </c>
      <c r="F5837" s="3" t="s">
        <v>339</v>
      </c>
      <c r="G5837" s="5">
        <v>2E-3</v>
      </c>
      <c r="H5837" s="6" t="s">
        <v>87</v>
      </c>
      <c r="I5837" s="3" t="s">
        <v>45</v>
      </c>
    </row>
    <row r="5838" spans="1:9" ht="48" customHeight="1">
      <c r="A5838" s="3" t="s">
        <v>79</v>
      </c>
      <c r="B5838" s="3" t="s">
        <v>78</v>
      </c>
      <c r="C5838" s="4">
        <v>43405</v>
      </c>
      <c r="D5838" s="4">
        <v>43434</v>
      </c>
      <c r="E5838" s="3" t="s">
        <v>81</v>
      </c>
      <c r="F5838" s="3" t="s">
        <v>340</v>
      </c>
      <c r="G5838" s="5">
        <v>2E-3</v>
      </c>
      <c r="H5838" s="6" t="s">
        <v>87</v>
      </c>
      <c r="I5838" s="3" t="s">
        <v>45</v>
      </c>
    </row>
    <row r="5839" spans="1:9" ht="48" customHeight="1">
      <c r="A5839" s="3" t="s">
        <v>79</v>
      </c>
      <c r="B5839" s="3" t="s">
        <v>78</v>
      </c>
      <c r="C5839" s="4">
        <v>43405</v>
      </c>
      <c r="D5839" s="4">
        <v>43434</v>
      </c>
      <c r="E5839" s="3" t="s">
        <v>81</v>
      </c>
      <c r="F5839" s="3" t="s">
        <v>346</v>
      </c>
      <c r="G5839" s="5">
        <v>2E-3</v>
      </c>
      <c r="H5839" s="6" t="s">
        <v>87</v>
      </c>
      <c r="I5839" s="3" t="s">
        <v>45</v>
      </c>
    </row>
    <row r="5840" spans="1:9" ht="48" customHeight="1">
      <c r="A5840" s="3" t="s">
        <v>79</v>
      </c>
      <c r="B5840" s="3" t="s">
        <v>78</v>
      </c>
      <c r="C5840" s="4">
        <v>43405</v>
      </c>
      <c r="D5840" s="4">
        <v>43434</v>
      </c>
      <c r="E5840" s="3" t="s">
        <v>81</v>
      </c>
      <c r="F5840" s="3" t="s">
        <v>347</v>
      </c>
      <c r="G5840" s="5">
        <v>0</v>
      </c>
      <c r="H5840" s="6" t="s">
        <v>87</v>
      </c>
      <c r="I5840" s="3" t="s">
        <v>45</v>
      </c>
    </row>
    <row r="5841" spans="1:9" ht="48" customHeight="1">
      <c r="A5841" s="3" t="s">
        <v>79</v>
      </c>
      <c r="B5841" s="3" t="s">
        <v>78</v>
      </c>
      <c r="C5841" s="4">
        <v>43405</v>
      </c>
      <c r="D5841" s="4">
        <v>43434</v>
      </c>
      <c r="E5841" s="3" t="s">
        <v>161</v>
      </c>
      <c r="F5841" s="3" t="s">
        <v>172</v>
      </c>
      <c r="G5841" s="5">
        <v>4.0000000000000001E-3</v>
      </c>
      <c r="H5841" s="6" t="s">
        <v>87</v>
      </c>
      <c r="I5841" s="3" t="s">
        <v>45</v>
      </c>
    </row>
    <row r="5842" spans="1:9" ht="48" customHeight="1">
      <c r="A5842" s="3" t="s">
        <v>79</v>
      </c>
      <c r="B5842" s="3" t="s">
        <v>78</v>
      </c>
      <c r="C5842" s="4">
        <v>43405</v>
      </c>
      <c r="D5842" s="4">
        <v>43434</v>
      </c>
      <c r="E5842" s="3" t="s">
        <v>161</v>
      </c>
      <c r="F5842" s="3" t="s">
        <v>162</v>
      </c>
      <c r="G5842" s="5">
        <v>3.0000000000000001E-3</v>
      </c>
      <c r="H5842" s="6" t="s">
        <v>87</v>
      </c>
      <c r="I5842" s="3" t="s">
        <v>45</v>
      </c>
    </row>
    <row r="5843" spans="1:9" ht="48" customHeight="1">
      <c r="A5843" s="3" t="s">
        <v>79</v>
      </c>
      <c r="B5843" s="3" t="s">
        <v>78</v>
      </c>
      <c r="C5843" s="4">
        <v>43405</v>
      </c>
      <c r="D5843" s="4">
        <v>43434</v>
      </c>
      <c r="E5843" s="3" t="s">
        <v>161</v>
      </c>
      <c r="F5843" s="3" t="s">
        <v>184</v>
      </c>
      <c r="G5843" s="5">
        <v>3.0000000000000001E-3</v>
      </c>
      <c r="H5843" s="6" t="s">
        <v>87</v>
      </c>
      <c r="I5843" s="3" t="s">
        <v>45</v>
      </c>
    </row>
    <row r="5844" spans="1:9" ht="48" customHeight="1">
      <c r="A5844" s="3" t="s">
        <v>79</v>
      </c>
      <c r="B5844" s="3" t="s">
        <v>78</v>
      </c>
      <c r="C5844" s="4">
        <v>43405</v>
      </c>
      <c r="D5844" s="4">
        <v>43434</v>
      </c>
      <c r="E5844" s="3" t="s">
        <v>161</v>
      </c>
      <c r="F5844" s="3" t="s">
        <v>164</v>
      </c>
      <c r="G5844" s="5">
        <v>2E-3</v>
      </c>
      <c r="H5844" s="6" t="s">
        <v>87</v>
      </c>
      <c r="I5844" s="3" t="s">
        <v>45</v>
      </c>
    </row>
    <row r="5845" spans="1:9" ht="48" customHeight="1">
      <c r="A5845" s="3" t="s">
        <v>79</v>
      </c>
      <c r="B5845" s="3" t="s">
        <v>78</v>
      </c>
      <c r="C5845" s="4">
        <v>43405</v>
      </c>
      <c r="D5845" s="4">
        <v>43434</v>
      </c>
      <c r="E5845" s="3" t="s">
        <v>161</v>
      </c>
      <c r="F5845" s="3" t="s">
        <v>167</v>
      </c>
      <c r="G5845" s="5">
        <v>2E-3</v>
      </c>
      <c r="H5845" s="6" t="s">
        <v>87</v>
      </c>
      <c r="I5845" s="3" t="s">
        <v>45</v>
      </c>
    </row>
    <row r="5846" spans="1:9" ht="48" customHeight="1">
      <c r="A5846" s="3" t="s">
        <v>79</v>
      </c>
      <c r="B5846" s="3" t="s">
        <v>78</v>
      </c>
      <c r="C5846" s="4">
        <v>43405</v>
      </c>
      <c r="D5846" s="4">
        <v>43434</v>
      </c>
      <c r="E5846" s="3" t="s">
        <v>161</v>
      </c>
      <c r="F5846" s="3" t="s">
        <v>168</v>
      </c>
      <c r="G5846" s="5">
        <v>2E-3</v>
      </c>
      <c r="H5846" s="6" t="s">
        <v>87</v>
      </c>
      <c r="I5846" s="3" t="s">
        <v>45</v>
      </c>
    </row>
    <row r="5847" spans="1:9" ht="48" customHeight="1">
      <c r="A5847" s="3" t="s">
        <v>79</v>
      </c>
      <c r="B5847" s="3" t="s">
        <v>78</v>
      </c>
      <c r="C5847" s="4">
        <v>43405</v>
      </c>
      <c r="D5847" s="4">
        <v>43434</v>
      </c>
      <c r="E5847" s="3" t="s">
        <v>161</v>
      </c>
      <c r="F5847" s="3" t="s">
        <v>191</v>
      </c>
      <c r="G5847" s="5">
        <v>2E-3</v>
      </c>
      <c r="H5847" s="6" t="s">
        <v>87</v>
      </c>
      <c r="I5847" s="3" t="s">
        <v>45</v>
      </c>
    </row>
    <row r="5848" spans="1:9" ht="48" customHeight="1">
      <c r="A5848" s="3" t="s">
        <v>79</v>
      </c>
      <c r="B5848" s="3" t="s">
        <v>78</v>
      </c>
      <c r="C5848" s="4">
        <v>43405</v>
      </c>
      <c r="D5848" s="4">
        <v>43434</v>
      </c>
      <c r="E5848" s="3" t="s">
        <v>161</v>
      </c>
      <c r="F5848" s="3" t="s">
        <v>177</v>
      </c>
      <c r="G5848" s="5">
        <v>2E-3</v>
      </c>
      <c r="H5848" s="6" t="s">
        <v>87</v>
      </c>
      <c r="I5848" s="3" t="s">
        <v>45</v>
      </c>
    </row>
    <row r="5849" spans="1:9" ht="48" customHeight="1">
      <c r="A5849" s="3" t="s">
        <v>79</v>
      </c>
      <c r="B5849" s="3" t="s">
        <v>78</v>
      </c>
      <c r="C5849" s="4">
        <v>43405</v>
      </c>
      <c r="D5849" s="4">
        <v>43434</v>
      </c>
      <c r="E5849" s="3" t="s">
        <v>161</v>
      </c>
      <c r="F5849" s="3" t="s">
        <v>163</v>
      </c>
      <c r="G5849" s="5">
        <v>2E-3</v>
      </c>
      <c r="H5849" s="6" t="s">
        <v>87</v>
      </c>
      <c r="I5849" s="3" t="s">
        <v>45</v>
      </c>
    </row>
    <row r="5850" spans="1:9" ht="48" customHeight="1">
      <c r="A5850" s="3" t="s">
        <v>79</v>
      </c>
      <c r="B5850" s="3" t="s">
        <v>78</v>
      </c>
      <c r="C5850" s="4">
        <v>43405</v>
      </c>
      <c r="D5850" s="4">
        <v>43434</v>
      </c>
      <c r="E5850" s="3" t="s">
        <v>161</v>
      </c>
      <c r="F5850" s="3" t="s">
        <v>180</v>
      </c>
      <c r="G5850" s="5">
        <v>2E-3</v>
      </c>
      <c r="H5850" s="6" t="s">
        <v>87</v>
      </c>
      <c r="I5850" s="3" t="s">
        <v>45</v>
      </c>
    </row>
    <row r="5851" spans="1:9" ht="48" customHeight="1">
      <c r="A5851" s="3" t="s">
        <v>79</v>
      </c>
      <c r="B5851" s="3" t="s">
        <v>78</v>
      </c>
      <c r="C5851" s="4">
        <v>43405</v>
      </c>
      <c r="D5851" s="4">
        <v>43434</v>
      </c>
      <c r="E5851" s="3" t="s">
        <v>161</v>
      </c>
      <c r="F5851" s="3" t="s">
        <v>166</v>
      </c>
      <c r="G5851" s="5">
        <v>2E-3</v>
      </c>
      <c r="H5851" s="6" t="s">
        <v>87</v>
      </c>
      <c r="I5851" s="3" t="s">
        <v>45</v>
      </c>
    </row>
    <row r="5852" spans="1:9" ht="48" customHeight="1">
      <c r="A5852" s="3" t="s">
        <v>79</v>
      </c>
      <c r="B5852" s="3" t="s">
        <v>78</v>
      </c>
      <c r="C5852" s="4">
        <v>43405</v>
      </c>
      <c r="D5852" s="4">
        <v>43434</v>
      </c>
      <c r="E5852" s="3" t="s">
        <v>161</v>
      </c>
      <c r="F5852" s="3" t="s">
        <v>181</v>
      </c>
      <c r="G5852" s="5">
        <v>2E-3</v>
      </c>
      <c r="H5852" s="6" t="s">
        <v>87</v>
      </c>
      <c r="I5852" s="3" t="s">
        <v>45</v>
      </c>
    </row>
    <row r="5853" spans="1:9" ht="48" customHeight="1">
      <c r="A5853" s="3" t="s">
        <v>79</v>
      </c>
      <c r="B5853" s="3" t="s">
        <v>78</v>
      </c>
      <c r="C5853" s="4">
        <v>43405</v>
      </c>
      <c r="D5853" s="4">
        <v>43434</v>
      </c>
      <c r="E5853" s="3" t="s">
        <v>161</v>
      </c>
      <c r="F5853" s="3" t="s">
        <v>174</v>
      </c>
      <c r="G5853" s="5">
        <v>1E-3</v>
      </c>
      <c r="H5853" s="6" t="s">
        <v>87</v>
      </c>
      <c r="I5853" s="3" t="s">
        <v>45</v>
      </c>
    </row>
    <row r="5854" spans="1:9" ht="48" customHeight="1">
      <c r="A5854" s="3" t="s">
        <v>79</v>
      </c>
      <c r="B5854" s="3" t="s">
        <v>78</v>
      </c>
      <c r="C5854" s="4">
        <v>43405</v>
      </c>
      <c r="D5854" s="4">
        <v>43434</v>
      </c>
      <c r="E5854" s="3" t="s">
        <v>161</v>
      </c>
      <c r="F5854" s="3" t="s">
        <v>175</v>
      </c>
      <c r="G5854" s="5">
        <v>1E-3</v>
      </c>
      <c r="H5854" s="6" t="s">
        <v>87</v>
      </c>
      <c r="I5854" s="3" t="s">
        <v>45</v>
      </c>
    </row>
    <row r="5855" spans="1:9" ht="48" customHeight="1">
      <c r="A5855" s="3" t="s">
        <v>79</v>
      </c>
      <c r="B5855" s="3" t="s">
        <v>78</v>
      </c>
      <c r="C5855" s="4">
        <v>43405</v>
      </c>
      <c r="D5855" s="4">
        <v>43434</v>
      </c>
      <c r="E5855" s="3" t="s">
        <v>161</v>
      </c>
      <c r="F5855" s="3" t="s">
        <v>189</v>
      </c>
      <c r="G5855" s="5">
        <v>1E-3</v>
      </c>
      <c r="H5855" s="6" t="s">
        <v>87</v>
      </c>
      <c r="I5855" s="3" t="s">
        <v>45</v>
      </c>
    </row>
    <row r="5856" spans="1:9" ht="48" customHeight="1">
      <c r="A5856" s="3" t="s">
        <v>79</v>
      </c>
      <c r="B5856" s="3" t="s">
        <v>78</v>
      </c>
      <c r="C5856" s="4">
        <v>43405</v>
      </c>
      <c r="D5856" s="4">
        <v>43434</v>
      </c>
      <c r="E5856" s="3" t="s">
        <v>161</v>
      </c>
      <c r="F5856" s="3" t="s">
        <v>190</v>
      </c>
      <c r="G5856" s="5">
        <v>1E-3</v>
      </c>
      <c r="H5856" s="6" t="s">
        <v>87</v>
      </c>
      <c r="I5856" s="3" t="s">
        <v>45</v>
      </c>
    </row>
    <row r="5857" spans="1:9" ht="48" customHeight="1">
      <c r="A5857" s="3" t="s">
        <v>79</v>
      </c>
      <c r="B5857" s="3" t="s">
        <v>78</v>
      </c>
      <c r="C5857" s="4">
        <v>43405</v>
      </c>
      <c r="D5857" s="4">
        <v>43434</v>
      </c>
      <c r="E5857" s="3" t="s">
        <v>161</v>
      </c>
      <c r="F5857" s="3" t="s">
        <v>176</v>
      </c>
      <c r="G5857" s="5">
        <v>1E-3</v>
      </c>
      <c r="H5857" s="6" t="s">
        <v>87</v>
      </c>
      <c r="I5857" s="3" t="s">
        <v>45</v>
      </c>
    </row>
    <row r="5858" spans="1:9" ht="48" customHeight="1">
      <c r="A5858" s="3" t="s">
        <v>79</v>
      </c>
      <c r="B5858" s="3" t="s">
        <v>78</v>
      </c>
      <c r="C5858" s="4">
        <v>43405</v>
      </c>
      <c r="D5858" s="4">
        <v>43434</v>
      </c>
      <c r="E5858" s="3" t="s">
        <v>161</v>
      </c>
      <c r="F5858" s="3" t="s">
        <v>169</v>
      </c>
      <c r="G5858" s="5">
        <v>1E-3</v>
      </c>
      <c r="H5858" s="6" t="s">
        <v>87</v>
      </c>
      <c r="I5858" s="3" t="s">
        <v>45</v>
      </c>
    </row>
    <row r="5859" spans="1:9" ht="48" customHeight="1">
      <c r="A5859" s="3" t="s">
        <v>79</v>
      </c>
      <c r="B5859" s="3" t="s">
        <v>78</v>
      </c>
      <c r="C5859" s="4">
        <v>43405</v>
      </c>
      <c r="D5859" s="4">
        <v>43434</v>
      </c>
      <c r="E5859" s="3" t="s">
        <v>161</v>
      </c>
      <c r="F5859" s="3" t="s">
        <v>186</v>
      </c>
      <c r="G5859" s="5">
        <v>1E-3</v>
      </c>
      <c r="H5859" s="6" t="s">
        <v>87</v>
      </c>
      <c r="I5859" s="3" t="s">
        <v>45</v>
      </c>
    </row>
    <row r="5860" spans="1:9" ht="48" customHeight="1">
      <c r="A5860" s="3" t="s">
        <v>79</v>
      </c>
      <c r="B5860" s="3" t="s">
        <v>78</v>
      </c>
      <c r="C5860" s="4">
        <v>43405</v>
      </c>
      <c r="D5860" s="4">
        <v>43434</v>
      </c>
      <c r="E5860" s="3" t="s">
        <v>161</v>
      </c>
      <c r="F5860" s="3" t="s">
        <v>170</v>
      </c>
      <c r="G5860" s="5">
        <v>1E-3</v>
      </c>
      <c r="H5860" s="6" t="s">
        <v>87</v>
      </c>
      <c r="I5860" s="3" t="s">
        <v>45</v>
      </c>
    </row>
    <row r="5861" spans="1:9" ht="48" customHeight="1">
      <c r="A5861" s="3" t="s">
        <v>79</v>
      </c>
      <c r="B5861" s="3" t="s">
        <v>78</v>
      </c>
      <c r="C5861" s="4">
        <v>43405</v>
      </c>
      <c r="D5861" s="4">
        <v>43434</v>
      </c>
      <c r="E5861" s="3" t="s">
        <v>161</v>
      </c>
      <c r="F5861" s="3" t="s">
        <v>171</v>
      </c>
      <c r="G5861" s="5">
        <v>1E-3</v>
      </c>
      <c r="H5861" s="6" t="s">
        <v>87</v>
      </c>
      <c r="I5861" s="3" t="s">
        <v>45</v>
      </c>
    </row>
    <row r="5862" spans="1:9" ht="48" customHeight="1">
      <c r="A5862" s="3" t="s">
        <v>79</v>
      </c>
      <c r="B5862" s="3" t="s">
        <v>78</v>
      </c>
      <c r="C5862" s="4">
        <v>43405</v>
      </c>
      <c r="D5862" s="4">
        <v>43434</v>
      </c>
      <c r="E5862" s="3" t="s">
        <v>161</v>
      </c>
      <c r="F5862" s="3" t="s">
        <v>187</v>
      </c>
      <c r="G5862" s="5">
        <v>1E-3</v>
      </c>
      <c r="H5862" s="6" t="s">
        <v>87</v>
      </c>
      <c r="I5862" s="3" t="s">
        <v>45</v>
      </c>
    </row>
    <row r="5863" spans="1:9" ht="48" customHeight="1">
      <c r="A5863" s="3" t="s">
        <v>79</v>
      </c>
      <c r="B5863" s="3" t="s">
        <v>78</v>
      </c>
      <c r="C5863" s="4">
        <v>43405</v>
      </c>
      <c r="D5863" s="4">
        <v>43434</v>
      </c>
      <c r="E5863" s="3" t="s">
        <v>161</v>
      </c>
      <c r="F5863" s="3" t="s">
        <v>192</v>
      </c>
      <c r="G5863" s="5">
        <v>1E-3</v>
      </c>
      <c r="H5863" s="6" t="s">
        <v>87</v>
      </c>
      <c r="I5863" s="3" t="s">
        <v>45</v>
      </c>
    </row>
    <row r="5864" spans="1:9" ht="48" customHeight="1">
      <c r="A5864" s="3" t="s">
        <v>79</v>
      </c>
      <c r="B5864" s="3" t="s">
        <v>78</v>
      </c>
      <c r="C5864" s="4">
        <v>43405</v>
      </c>
      <c r="D5864" s="4">
        <v>43434</v>
      </c>
      <c r="E5864" s="3" t="s">
        <v>161</v>
      </c>
      <c r="F5864" s="3" t="s">
        <v>193</v>
      </c>
      <c r="G5864" s="5">
        <v>1E-3</v>
      </c>
      <c r="H5864" s="6" t="s">
        <v>87</v>
      </c>
      <c r="I5864" s="3" t="s">
        <v>45</v>
      </c>
    </row>
    <row r="5865" spans="1:9" ht="48" customHeight="1">
      <c r="A5865" s="3" t="s">
        <v>79</v>
      </c>
      <c r="B5865" s="3" t="s">
        <v>78</v>
      </c>
      <c r="C5865" s="4">
        <v>43405</v>
      </c>
      <c r="D5865" s="4">
        <v>43434</v>
      </c>
      <c r="E5865" s="3" t="s">
        <v>161</v>
      </c>
      <c r="F5865" s="3" t="s">
        <v>178</v>
      </c>
      <c r="G5865" s="5">
        <v>1E-3</v>
      </c>
      <c r="H5865" s="6" t="s">
        <v>87</v>
      </c>
      <c r="I5865" s="3" t="s">
        <v>45</v>
      </c>
    </row>
    <row r="5866" spans="1:9" ht="48" customHeight="1">
      <c r="A5866" s="3" t="s">
        <v>79</v>
      </c>
      <c r="B5866" s="3" t="s">
        <v>78</v>
      </c>
      <c r="C5866" s="4">
        <v>43405</v>
      </c>
      <c r="D5866" s="4">
        <v>43434</v>
      </c>
      <c r="E5866" s="3" t="s">
        <v>161</v>
      </c>
      <c r="F5866" s="3" t="s">
        <v>179</v>
      </c>
      <c r="G5866" s="5">
        <v>1E-3</v>
      </c>
      <c r="H5866" s="6" t="s">
        <v>87</v>
      </c>
      <c r="I5866" s="3" t="s">
        <v>45</v>
      </c>
    </row>
    <row r="5867" spans="1:9" ht="48" customHeight="1">
      <c r="A5867" s="3" t="s">
        <v>79</v>
      </c>
      <c r="B5867" s="3" t="s">
        <v>78</v>
      </c>
      <c r="C5867" s="4">
        <v>43405</v>
      </c>
      <c r="D5867" s="4">
        <v>43434</v>
      </c>
      <c r="E5867" s="3" t="s">
        <v>161</v>
      </c>
      <c r="F5867" s="3" t="s">
        <v>194</v>
      </c>
      <c r="G5867" s="5">
        <v>1E-3</v>
      </c>
      <c r="H5867" s="6" t="s">
        <v>87</v>
      </c>
      <c r="I5867" s="3" t="s">
        <v>45</v>
      </c>
    </row>
    <row r="5868" spans="1:9" ht="48" customHeight="1">
      <c r="A5868" s="3" t="s">
        <v>79</v>
      </c>
      <c r="B5868" s="3" t="s">
        <v>78</v>
      </c>
      <c r="C5868" s="4">
        <v>43405</v>
      </c>
      <c r="D5868" s="4">
        <v>43434</v>
      </c>
      <c r="E5868" s="3" t="s">
        <v>161</v>
      </c>
      <c r="F5868" s="3" t="s">
        <v>188</v>
      </c>
      <c r="G5868" s="5">
        <v>1E-3</v>
      </c>
      <c r="H5868" s="6" t="s">
        <v>87</v>
      </c>
      <c r="I5868" s="3" t="s">
        <v>45</v>
      </c>
    </row>
    <row r="5869" spans="1:9" ht="48" customHeight="1">
      <c r="A5869" s="3" t="s">
        <v>79</v>
      </c>
      <c r="B5869" s="3" t="s">
        <v>78</v>
      </c>
      <c r="C5869" s="4">
        <v>43405</v>
      </c>
      <c r="D5869" s="4">
        <v>43434</v>
      </c>
      <c r="E5869" s="3" t="s">
        <v>161</v>
      </c>
      <c r="F5869" s="3" t="s">
        <v>182</v>
      </c>
      <c r="G5869" s="5">
        <v>1E-3</v>
      </c>
      <c r="H5869" s="6" t="s">
        <v>87</v>
      </c>
      <c r="I5869" s="3" t="s">
        <v>45</v>
      </c>
    </row>
    <row r="5870" spans="1:9" ht="48" customHeight="1">
      <c r="A5870" s="3" t="s">
        <v>79</v>
      </c>
      <c r="B5870" s="3" t="s">
        <v>78</v>
      </c>
      <c r="C5870" s="4">
        <v>43405</v>
      </c>
      <c r="D5870" s="4">
        <v>43434</v>
      </c>
      <c r="E5870" s="3" t="s">
        <v>161</v>
      </c>
      <c r="F5870" s="3" t="s">
        <v>195</v>
      </c>
      <c r="G5870" s="5">
        <v>1E-3</v>
      </c>
      <c r="H5870" s="6" t="s">
        <v>87</v>
      </c>
      <c r="I5870" s="3" t="s">
        <v>45</v>
      </c>
    </row>
    <row r="5871" spans="1:9" ht="48" customHeight="1">
      <c r="A5871" s="3" t="s">
        <v>79</v>
      </c>
      <c r="B5871" s="3" t="s">
        <v>78</v>
      </c>
      <c r="C5871" s="4">
        <v>43405</v>
      </c>
      <c r="D5871" s="4">
        <v>43434</v>
      </c>
      <c r="E5871" s="3" t="s">
        <v>161</v>
      </c>
      <c r="F5871" s="3" t="s">
        <v>183</v>
      </c>
      <c r="G5871" s="5">
        <v>1E-3</v>
      </c>
      <c r="H5871" s="6" t="s">
        <v>87</v>
      </c>
      <c r="I5871" s="3" t="s">
        <v>45</v>
      </c>
    </row>
    <row r="5872" spans="1:9" ht="48" customHeight="1">
      <c r="A5872" s="3" t="s">
        <v>79</v>
      </c>
      <c r="B5872" s="3" t="s">
        <v>78</v>
      </c>
      <c r="C5872" s="4">
        <v>43405</v>
      </c>
      <c r="D5872" s="4">
        <v>43434</v>
      </c>
      <c r="E5872" s="3" t="s">
        <v>161</v>
      </c>
      <c r="F5872" s="3" t="s">
        <v>173</v>
      </c>
      <c r="G5872" s="5">
        <v>1E-3</v>
      </c>
      <c r="H5872" s="6" t="s">
        <v>87</v>
      </c>
      <c r="I5872" s="3" t="s">
        <v>45</v>
      </c>
    </row>
    <row r="5873" spans="1:9" ht="48" customHeight="1">
      <c r="A5873" s="3" t="s">
        <v>79</v>
      </c>
      <c r="B5873" s="3" t="s">
        <v>78</v>
      </c>
      <c r="C5873" s="4">
        <v>43405</v>
      </c>
      <c r="D5873" s="4">
        <v>43434</v>
      </c>
      <c r="E5873" s="3" t="s">
        <v>161</v>
      </c>
      <c r="F5873" s="3" t="s">
        <v>196</v>
      </c>
      <c r="G5873" s="5">
        <v>1E-3</v>
      </c>
      <c r="H5873" s="6" t="s">
        <v>87</v>
      </c>
      <c r="I5873" s="3" t="s">
        <v>45</v>
      </c>
    </row>
    <row r="5874" spans="1:9" ht="48" customHeight="1">
      <c r="A5874" s="3" t="s">
        <v>79</v>
      </c>
      <c r="B5874" s="3" t="s">
        <v>78</v>
      </c>
      <c r="C5874" s="4">
        <v>43405</v>
      </c>
      <c r="D5874" s="4">
        <v>43434</v>
      </c>
      <c r="E5874" s="3" t="s">
        <v>161</v>
      </c>
      <c r="F5874" s="3" t="s">
        <v>199</v>
      </c>
      <c r="G5874" s="5">
        <v>1E-3</v>
      </c>
      <c r="H5874" s="6" t="s">
        <v>87</v>
      </c>
      <c r="I5874" s="3" t="s">
        <v>45</v>
      </c>
    </row>
    <row r="5875" spans="1:9" ht="48" customHeight="1">
      <c r="A5875" s="3" t="s">
        <v>79</v>
      </c>
      <c r="B5875" s="3" t="s">
        <v>78</v>
      </c>
      <c r="C5875" s="4">
        <v>43405</v>
      </c>
      <c r="D5875" s="4">
        <v>43434</v>
      </c>
      <c r="E5875" s="3" t="s">
        <v>161</v>
      </c>
      <c r="F5875" s="3" t="s">
        <v>200</v>
      </c>
      <c r="G5875" s="5">
        <v>1E-3</v>
      </c>
      <c r="H5875" s="6" t="s">
        <v>87</v>
      </c>
      <c r="I5875" s="3" t="s">
        <v>45</v>
      </c>
    </row>
    <row r="5876" spans="1:9" ht="48" customHeight="1">
      <c r="A5876" s="3" t="s">
        <v>79</v>
      </c>
      <c r="B5876" s="3" t="s">
        <v>78</v>
      </c>
      <c r="C5876" s="4">
        <v>43405</v>
      </c>
      <c r="D5876" s="4">
        <v>43434</v>
      </c>
      <c r="E5876" s="3" t="s">
        <v>161</v>
      </c>
      <c r="F5876" s="3" t="s">
        <v>201</v>
      </c>
      <c r="G5876" s="5">
        <v>1E-3</v>
      </c>
      <c r="H5876" s="6" t="s">
        <v>87</v>
      </c>
      <c r="I5876" s="3" t="s">
        <v>45</v>
      </c>
    </row>
    <row r="5877" spans="1:9" ht="48" customHeight="1">
      <c r="A5877" s="3" t="s">
        <v>79</v>
      </c>
      <c r="B5877" s="3" t="s">
        <v>78</v>
      </c>
      <c r="C5877" s="4">
        <v>43405</v>
      </c>
      <c r="D5877" s="4">
        <v>43434</v>
      </c>
      <c r="E5877" s="3" t="s">
        <v>161</v>
      </c>
      <c r="F5877" s="3" t="s">
        <v>202</v>
      </c>
      <c r="G5877" s="5">
        <v>0</v>
      </c>
      <c r="H5877" s="6" t="s">
        <v>87</v>
      </c>
      <c r="I5877" s="3" t="s">
        <v>45</v>
      </c>
    </row>
    <row r="5878" spans="1:9" ht="48" customHeight="1">
      <c r="A5878" s="3" t="s">
        <v>79</v>
      </c>
      <c r="B5878" s="3" t="s">
        <v>78</v>
      </c>
      <c r="C5878" s="4">
        <v>43405</v>
      </c>
      <c r="D5878" s="4">
        <v>43434</v>
      </c>
      <c r="E5878" s="3" t="s">
        <v>161</v>
      </c>
      <c r="F5878" s="3" t="s">
        <v>198</v>
      </c>
      <c r="G5878" s="5">
        <v>0</v>
      </c>
      <c r="H5878" s="6" t="s">
        <v>87</v>
      </c>
      <c r="I5878" s="3" t="s">
        <v>45</v>
      </c>
    </row>
    <row r="5879" spans="1:9" ht="48" customHeight="1">
      <c r="A5879" s="3" t="s">
        <v>79</v>
      </c>
      <c r="B5879" s="3" t="s">
        <v>78</v>
      </c>
      <c r="C5879" s="4">
        <v>43405</v>
      </c>
      <c r="D5879" s="4">
        <v>43434</v>
      </c>
      <c r="E5879" s="3" t="s">
        <v>161</v>
      </c>
      <c r="F5879" s="3" t="s">
        <v>203</v>
      </c>
      <c r="G5879" s="5">
        <v>0</v>
      </c>
      <c r="H5879" s="6" t="s">
        <v>87</v>
      </c>
      <c r="I5879" s="3" t="s">
        <v>45</v>
      </c>
    </row>
    <row r="5880" spans="1:9" ht="48" customHeight="1">
      <c r="A5880" s="3" t="s">
        <v>79</v>
      </c>
      <c r="B5880" s="3" t="s">
        <v>78</v>
      </c>
      <c r="C5880" s="4">
        <v>43405</v>
      </c>
      <c r="D5880" s="4">
        <v>43434</v>
      </c>
      <c r="E5880" s="3" t="s">
        <v>161</v>
      </c>
      <c r="F5880" s="3" t="s">
        <v>204</v>
      </c>
      <c r="G5880" s="5">
        <v>0</v>
      </c>
      <c r="H5880" s="6" t="s">
        <v>87</v>
      </c>
      <c r="I5880" s="3" t="s">
        <v>45</v>
      </c>
    </row>
    <row r="5881" spans="1:9" ht="48" customHeight="1">
      <c r="A5881" s="3" t="s">
        <v>79</v>
      </c>
      <c r="B5881" s="3" t="s">
        <v>78</v>
      </c>
      <c r="C5881" s="4">
        <v>43405</v>
      </c>
      <c r="D5881" s="4">
        <v>43434</v>
      </c>
      <c r="E5881" s="3" t="s">
        <v>368</v>
      </c>
      <c r="F5881" s="3" t="s">
        <v>370</v>
      </c>
      <c r="G5881" s="5">
        <v>8.0000000000000002E-3</v>
      </c>
      <c r="H5881" s="6" t="s">
        <v>87</v>
      </c>
      <c r="I5881" s="3" t="s">
        <v>45</v>
      </c>
    </row>
    <row r="5882" spans="1:9" ht="48" customHeight="1">
      <c r="A5882" s="3" t="s">
        <v>79</v>
      </c>
      <c r="B5882" s="3" t="s">
        <v>78</v>
      </c>
      <c r="C5882" s="4">
        <v>43405</v>
      </c>
      <c r="D5882" s="4">
        <v>43434</v>
      </c>
      <c r="E5882" s="3" t="s">
        <v>368</v>
      </c>
      <c r="F5882" s="3" t="s">
        <v>374</v>
      </c>
      <c r="G5882" s="5">
        <v>5.0000000000000001E-3</v>
      </c>
      <c r="H5882" s="6" t="s">
        <v>87</v>
      </c>
      <c r="I5882" s="3" t="s">
        <v>45</v>
      </c>
    </row>
    <row r="5883" spans="1:9" ht="48" customHeight="1">
      <c r="A5883" s="3" t="s">
        <v>79</v>
      </c>
      <c r="B5883" s="3" t="s">
        <v>78</v>
      </c>
      <c r="C5883" s="4">
        <v>43405</v>
      </c>
      <c r="D5883" s="4">
        <v>43434</v>
      </c>
      <c r="E5883" s="3" t="s">
        <v>368</v>
      </c>
      <c r="F5883" s="3" t="s">
        <v>369</v>
      </c>
      <c r="G5883" s="5">
        <v>4.0000000000000001E-3</v>
      </c>
      <c r="H5883" s="6" t="s">
        <v>87</v>
      </c>
      <c r="I5883" s="3" t="s">
        <v>45</v>
      </c>
    </row>
    <row r="5884" spans="1:9" ht="48" customHeight="1">
      <c r="A5884" s="3" t="s">
        <v>79</v>
      </c>
      <c r="B5884" s="3" t="s">
        <v>78</v>
      </c>
      <c r="C5884" s="4">
        <v>43405</v>
      </c>
      <c r="D5884" s="4">
        <v>43434</v>
      </c>
      <c r="E5884" s="3" t="s">
        <v>368</v>
      </c>
      <c r="F5884" s="3" t="s">
        <v>373</v>
      </c>
      <c r="G5884" s="5">
        <v>4.0000000000000001E-3</v>
      </c>
      <c r="H5884" s="6" t="s">
        <v>87</v>
      </c>
      <c r="I5884" s="3" t="s">
        <v>45</v>
      </c>
    </row>
    <row r="5885" spans="1:9" ht="48" customHeight="1">
      <c r="A5885" s="3" t="s">
        <v>79</v>
      </c>
      <c r="B5885" s="3" t="s">
        <v>78</v>
      </c>
      <c r="C5885" s="4">
        <v>43405</v>
      </c>
      <c r="D5885" s="4">
        <v>43434</v>
      </c>
      <c r="E5885" s="3" t="s">
        <v>368</v>
      </c>
      <c r="F5885" s="3" t="s">
        <v>265</v>
      </c>
      <c r="G5885" s="5">
        <v>4.0000000000000001E-3</v>
      </c>
      <c r="H5885" s="6" t="s">
        <v>87</v>
      </c>
      <c r="I5885" s="3" t="s">
        <v>45</v>
      </c>
    </row>
    <row r="5886" spans="1:9" ht="48" customHeight="1">
      <c r="A5886" s="3" t="s">
        <v>79</v>
      </c>
      <c r="B5886" s="3" t="s">
        <v>78</v>
      </c>
      <c r="C5886" s="4">
        <v>43405</v>
      </c>
      <c r="D5886" s="4">
        <v>43434</v>
      </c>
      <c r="E5886" s="3" t="s">
        <v>368</v>
      </c>
      <c r="F5886" s="3" t="s">
        <v>378</v>
      </c>
      <c r="G5886" s="5">
        <v>4.0000000000000001E-3</v>
      </c>
      <c r="H5886" s="6" t="s">
        <v>87</v>
      </c>
      <c r="I5886" s="3" t="s">
        <v>45</v>
      </c>
    </row>
    <row r="5887" spans="1:9" ht="48" customHeight="1">
      <c r="A5887" s="3" t="s">
        <v>79</v>
      </c>
      <c r="B5887" s="3" t="s">
        <v>78</v>
      </c>
      <c r="C5887" s="4">
        <v>43405</v>
      </c>
      <c r="D5887" s="4">
        <v>43434</v>
      </c>
      <c r="E5887" s="3" t="s">
        <v>368</v>
      </c>
      <c r="F5887" s="3" t="s">
        <v>262</v>
      </c>
      <c r="G5887" s="5">
        <v>3.0000000000000001E-3</v>
      </c>
      <c r="H5887" s="6" t="s">
        <v>87</v>
      </c>
      <c r="I5887" s="3" t="s">
        <v>45</v>
      </c>
    </row>
    <row r="5888" spans="1:9" ht="48" customHeight="1">
      <c r="A5888" s="3" t="s">
        <v>79</v>
      </c>
      <c r="B5888" s="3" t="s">
        <v>78</v>
      </c>
      <c r="C5888" s="4">
        <v>43405</v>
      </c>
      <c r="D5888" s="4">
        <v>43434</v>
      </c>
      <c r="E5888" s="3" t="s">
        <v>368</v>
      </c>
      <c r="F5888" s="3" t="s">
        <v>371</v>
      </c>
      <c r="G5888" s="5">
        <v>3.0000000000000001E-3</v>
      </c>
      <c r="H5888" s="6" t="s">
        <v>87</v>
      </c>
      <c r="I5888" s="3" t="s">
        <v>45</v>
      </c>
    </row>
    <row r="5889" spans="1:9" ht="48" customHeight="1">
      <c r="A5889" s="3" t="s">
        <v>79</v>
      </c>
      <c r="B5889" s="3" t="s">
        <v>78</v>
      </c>
      <c r="C5889" s="4">
        <v>43405</v>
      </c>
      <c r="D5889" s="4">
        <v>43434</v>
      </c>
      <c r="E5889" s="3" t="s">
        <v>368</v>
      </c>
      <c r="F5889" s="3" t="s">
        <v>375</v>
      </c>
      <c r="G5889" s="5">
        <v>3.0000000000000001E-3</v>
      </c>
      <c r="H5889" s="6" t="s">
        <v>87</v>
      </c>
      <c r="I5889" s="3" t="s">
        <v>45</v>
      </c>
    </row>
    <row r="5890" spans="1:9" ht="48" customHeight="1">
      <c r="A5890" s="3" t="s">
        <v>79</v>
      </c>
      <c r="B5890" s="3" t="s">
        <v>78</v>
      </c>
      <c r="C5890" s="4">
        <v>43405</v>
      </c>
      <c r="D5890" s="4">
        <v>43434</v>
      </c>
      <c r="E5890" s="3" t="s">
        <v>368</v>
      </c>
      <c r="F5890" s="3" t="s">
        <v>376</v>
      </c>
      <c r="G5890" s="5">
        <v>3.0000000000000001E-3</v>
      </c>
      <c r="H5890" s="6" t="s">
        <v>87</v>
      </c>
      <c r="I5890" s="3" t="s">
        <v>45</v>
      </c>
    </row>
    <row r="5891" spans="1:9" ht="48" customHeight="1">
      <c r="A5891" s="3" t="s">
        <v>79</v>
      </c>
      <c r="B5891" s="3" t="s">
        <v>78</v>
      </c>
      <c r="C5891" s="4">
        <v>43405</v>
      </c>
      <c r="D5891" s="4">
        <v>43434</v>
      </c>
      <c r="E5891" s="3" t="s">
        <v>368</v>
      </c>
      <c r="F5891" s="3" t="s">
        <v>207</v>
      </c>
      <c r="G5891" s="5">
        <v>2E-3</v>
      </c>
      <c r="H5891" s="6" t="s">
        <v>87</v>
      </c>
      <c r="I5891" s="3" t="s">
        <v>45</v>
      </c>
    </row>
    <row r="5892" spans="1:9" ht="48" customHeight="1">
      <c r="A5892" s="3" t="s">
        <v>79</v>
      </c>
      <c r="B5892" s="3" t="s">
        <v>78</v>
      </c>
      <c r="C5892" s="4">
        <v>43405</v>
      </c>
      <c r="D5892" s="4">
        <v>43434</v>
      </c>
      <c r="E5892" s="3" t="s">
        <v>368</v>
      </c>
      <c r="F5892" s="3" t="s">
        <v>377</v>
      </c>
      <c r="G5892" s="5">
        <v>2E-3</v>
      </c>
      <c r="H5892" s="6" t="s">
        <v>87</v>
      </c>
      <c r="I5892" s="3" t="s">
        <v>45</v>
      </c>
    </row>
    <row r="5893" spans="1:9" ht="48" customHeight="1">
      <c r="A5893" s="3" t="s">
        <v>79</v>
      </c>
      <c r="B5893" s="3" t="s">
        <v>78</v>
      </c>
      <c r="C5893" s="4">
        <v>43405</v>
      </c>
      <c r="D5893" s="4">
        <v>43434</v>
      </c>
      <c r="E5893" s="3" t="s">
        <v>368</v>
      </c>
      <c r="F5893" s="3" t="s">
        <v>232</v>
      </c>
      <c r="G5893" s="5">
        <v>1E-3</v>
      </c>
      <c r="H5893" s="6" t="s">
        <v>87</v>
      </c>
      <c r="I5893" s="3" t="s">
        <v>45</v>
      </c>
    </row>
    <row r="5894" spans="1:9" ht="48" customHeight="1">
      <c r="A5894" s="3" t="s">
        <v>79</v>
      </c>
      <c r="B5894" s="3" t="s">
        <v>78</v>
      </c>
      <c r="C5894" s="4">
        <v>43405</v>
      </c>
      <c r="D5894" s="4">
        <v>43434</v>
      </c>
      <c r="E5894" s="3" t="s">
        <v>368</v>
      </c>
      <c r="F5894" s="3" t="s">
        <v>234</v>
      </c>
      <c r="G5894" s="5">
        <v>1E-3</v>
      </c>
      <c r="H5894" s="6" t="s">
        <v>87</v>
      </c>
      <c r="I5894" s="3" t="s">
        <v>45</v>
      </c>
    </row>
    <row r="5895" spans="1:9" ht="48" customHeight="1">
      <c r="A5895" s="3" t="s">
        <v>79</v>
      </c>
      <c r="B5895" s="3" t="s">
        <v>78</v>
      </c>
      <c r="C5895" s="4">
        <v>43405</v>
      </c>
      <c r="D5895" s="4">
        <v>43434</v>
      </c>
      <c r="E5895" s="3" t="s">
        <v>368</v>
      </c>
      <c r="F5895" s="3" t="s">
        <v>372</v>
      </c>
      <c r="G5895" s="5">
        <v>1E-3</v>
      </c>
      <c r="H5895" s="6" t="s">
        <v>87</v>
      </c>
      <c r="I5895" s="3" t="s">
        <v>45</v>
      </c>
    </row>
    <row r="5896" spans="1:9" ht="48" customHeight="1">
      <c r="A5896" s="3" t="s">
        <v>79</v>
      </c>
      <c r="B5896" s="3" t="s">
        <v>78</v>
      </c>
      <c r="C5896" s="4">
        <v>43405</v>
      </c>
      <c r="D5896" s="4">
        <v>43434</v>
      </c>
      <c r="E5896" s="3" t="s">
        <v>368</v>
      </c>
      <c r="F5896" s="3" t="s">
        <v>230</v>
      </c>
      <c r="G5896" s="5">
        <v>0</v>
      </c>
      <c r="H5896" s="6" t="s">
        <v>87</v>
      </c>
      <c r="I5896" s="3" t="s">
        <v>45</v>
      </c>
    </row>
    <row r="5897" spans="1:9" ht="48" customHeight="1">
      <c r="A5897" s="3" t="s">
        <v>79</v>
      </c>
      <c r="B5897" s="3" t="s">
        <v>78</v>
      </c>
      <c r="C5897" s="4">
        <v>43405</v>
      </c>
      <c r="D5897" s="4">
        <v>43434</v>
      </c>
      <c r="E5897" s="3" t="s">
        <v>379</v>
      </c>
      <c r="F5897" s="3" t="s">
        <v>265</v>
      </c>
      <c r="G5897" s="5">
        <v>1.1000000000000001E-2</v>
      </c>
      <c r="H5897" s="6" t="s">
        <v>87</v>
      </c>
      <c r="I5897" s="3" t="s">
        <v>45</v>
      </c>
    </row>
    <row r="5898" spans="1:9" ht="48" customHeight="1">
      <c r="A5898" s="3" t="s">
        <v>79</v>
      </c>
      <c r="B5898" s="3" t="s">
        <v>78</v>
      </c>
      <c r="C5898" s="4">
        <v>43405</v>
      </c>
      <c r="D5898" s="4">
        <v>43434</v>
      </c>
      <c r="E5898" s="3" t="s">
        <v>379</v>
      </c>
      <c r="F5898" s="3" t="s">
        <v>230</v>
      </c>
      <c r="G5898" s="5">
        <v>9.0000000000000011E-3</v>
      </c>
      <c r="H5898" s="6" t="s">
        <v>87</v>
      </c>
      <c r="I5898" s="3" t="s">
        <v>45</v>
      </c>
    </row>
    <row r="5899" spans="1:9" ht="48" customHeight="1">
      <c r="A5899" s="3" t="s">
        <v>79</v>
      </c>
      <c r="B5899" s="3" t="s">
        <v>78</v>
      </c>
      <c r="C5899" s="4">
        <v>43405</v>
      </c>
      <c r="D5899" s="4">
        <v>43434</v>
      </c>
      <c r="E5899" s="3" t="s">
        <v>379</v>
      </c>
      <c r="F5899" s="3" t="s">
        <v>262</v>
      </c>
      <c r="G5899" s="5">
        <v>9.0000000000000011E-3</v>
      </c>
      <c r="H5899" s="6" t="s">
        <v>87</v>
      </c>
      <c r="I5899" s="3" t="s">
        <v>45</v>
      </c>
    </row>
    <row r="5900" spans="1:9" ht="48" customHeight="1">
      <c r="A5900" s="3" t="s">
        <v>79</v>
      </c>
      <c r="B5900" s="3" t="s">
        <v>78</v>
      </c>
      <c r="C5900" s="4">
        <v>43405</v>
      </c>
      <c r="D5900" s="4">
        <v>43434</v>
      </c>
      <c r="E5900" s="3" t="s">
        <v>379</v>
      </c>
      <c r="F5900" s="3" t="s">
        <v>380</v>
      </c>
      <c r="G5900" s="5">
        <v>9.0000000000000011E-3</v>
      </c>
      <c r="H5900" s="6" t="s">
        <v>87</v>
      </c>
      <c r="I5900" s="3" t="s">
        <v>45</v>
      </c>
    </row>
    <row r="5901" spans="1:9" ht="48" customHeight="1">
      <c r="A5901" s="3" t="s">
        <v>79</v>
      </c>
      <c r="B5901" s="3" t="s">
        <v>78</v>
      </c>
      <c r="C5901" s="4">
        <v>43405</v>
      </c>
      <c r="D5901" s="4">
        <v>43434</v>
      </c>
      <c r="E5901" s="3" t="s">
        <v>379</v>
      </c>
      <c r="F5901" s="3" t="s">
        <v>234</v>
      </c>
      <c r="G5901" s="5">
        <v>6.9999999999999993E-3</v>
      </c>
      <c r="H5901" s="6" t="s">
        <v>87</v>
      </c>
      <c r="I5901" s="3" t="s">
        <v>45</v>
      </c>
    </row>
    <row r="5902" spans="1:9" ht="48" customHeight="1">
      <c r="A5902" s="3" t="s">
        <v>79</v>
      </c>
      <c r="B5902" s="3" t="s">
        <v>78</v>
      </c>
      <c r="C5902" s="4">
        <v>43405</v>
      </c>
      <c r="D5902" s="4">
        <v>43434</v>
      </c>
      <c r="E5902" s="3" t="s">
        <v>302</v>
      </c>
      <c r="F5902" s="3" t="s">
        <v>309</v>
      </c>
      <c r="G5902" s="5">
        <v>8.0000000000000002E-3</v>
      </c>
      <c r="H5902" s="6" t="s">
        <v>87</v>
      </c>
      <c r="I5902" s="3" t="s">
        <v>45</v>
      </c>
    </row>
    <row r="5903" spans="1:9" ht="48" customHeight="1">
      <c r="A5903" s="3" t="s">
        <v>79</v>
      </c>
      <c r="B5903" s="3" t="s">
        <v>78</v>
      </c>
      <c r="C5903" s="4">
        <v>43405</v>
      </c>
      <c r="D5903" s="4">
        <v>43434</v>
      </c>
      <c r="E5903" s="3" t="s">
        <v>302</v>
      </c>
      <c r="F5903" s="3" t="s">
        <v>307</v>
      </c>
      <c r="G5903" s="5">
        <v>5.0000000000000001E-3</v>
      </c>
      <c r="H5903" s="6" t="s">
        <v>87</v>
      </c>
      <c r="I5903" s="3" t="s">
        <v>45</v>
      </c>
    </row>
    <row r="5904" spans="1:9" ht="48" customHeight="1">
      <c r="A5904" s="3" t="s">
        <v>79</v>
      </c>
      <c r="B5904" s="3" t="s">
        <v>78</v>
      </c>
      <c r="C5904" s="4">
        <v>43405</v>
      </c>
      <c r="D5904" s="4">
        <v>43434</v>
      </c>
      <c r="E5904" s="3" t="s">
        <v>302</v>
      </c>
      <c r="F5904" s="3" t="s">
        <v>303</v>
      </c>
      <c r="G5904" s="5">
        <v>3.0000000000000001E-3</v>
      </c>
      <c r="H5904" s="6" t="s">
        <v>87</v>
      </c>
      <c r="I5904" s="3" t="s">
        <v>45</v>
      </c>
    </row>
    <row r="5905" spans="1:9" ht="48" customHeight="1">
      <c r="A5905" s="3" t="s">
        <v>79</v>
      </c>
      <c r="B5905" s="3" t="s">
        <v>78</v>
      </c>
      <c r="C5905" s="4">
        <v>43405</v>
      </c>
      <c r="D5905" s="4">
        <v>43434</v>
      </c>
      <c r="E5905" s="3" t="s">
        <v>302</v>
      </c>
      <c r="F5905" s="3" t="s">
        <v>308</v>
      </c>
      <c r="G5905" s="5">
        <v>3.0000000000000001E-3</v>
      </c>
      <c r="H5905" s="6" t="s">
        <v>87</v>
      </c>
      <c r="I5905" s="3" t="s">
        <v>45</v>
      </c>
    </row>
    <row r="5906" spans="1:9" ht="48" customHeight="1">
      <c r="A5906" s="3" t="s">
        <v>79</v>
      </c>
      <c r="B5906" s="3" t="s">
        <v>78</v>
      </c>
      <c r="C5906" s="4">
        <v>43405</v>
      </c>
      <c r="D5906" s="4">
        <v>43434</v>
      </c>
      <c r="E5906" s="3" t="s">
        <v>302</v>
      </c>
      <c r="F5906" s="3" t="s">
        <v>304</v>
      </c>
      <c r="G5906" s="5">
        <v>2E-3</v>
      </c>
      <c r="H5906" s="6" t="s">
        <v>87</v>
      </c>
      <c r="I5906" s="3" t="s">
        <v>45</v>
      </c>
    </row>
    <row r="5907" spans="1:9" ht="48" customHeight="1">
      <c r="A5907" s="3" t="s">
        <v>79</v>
      </c>
      <c r="B5907" s="3" t="s">
        <v>78</v>
      </c>
      <c r="C5907" s="4">
        <v>43405</v>
      </c>
      <c r="D5907" s="4">
        <v>43434</v>
      </c>
      <c r="E5907" s="3" t="s">
        <v>302</v>
      </c>
      <c r="F5907" s="3" t="s">
        <v>311</v>
      </c>
      <c r="G5907" s="5">
        <v>2E-3</v>
      </c>
      <c r="H5907" s="6" t="s">
        <v>87</v>
      </c>
      <c r="I5907" s="3" t="s">
        <v>45</v>
      </c>
    </row>
    <row r="5908" spans="1:9" ht="48" customHeight="1">
      <c r="A5908" s="3" t="s">
        <v>79</v>
      </c>
      <c r="B5908" s="3" t="s">
        <v>78</v>
      </c>
      <c r="C5908" s="4">
        <v>43405</v>
      </c>
      <c r="D5908" s="4">
        <v>43434</v>
      </c>
      <c r="E5908" s="3" t="s">
        <v>302</v>
      </c>
      <c r="F5908" s="3" t="s">
        <v>305</v>
      </c>
      <c r="G5908" s="5">
        <v>2E-3</v>
      </c>
      <c r="H5908" s="6" t="s">
        <v>87</v>
      </c>
      <c r="I5908" s="3" t="s">
        <v>45</v>
      </c>
    </row>
    <row r="5909" spans="1:9" ht="48" customHeight="1">
      <c r="A5909" s="3" t="s">
        <v>79</v>
      </c>
      <c r="B5909" s="3" t="s">
        <v>78</v>
      </c>
      <c r="C5909" s="4">
        <v>43405</v>
      </c>
      <c r="D5909" s="4">
        <v>43434</v>
      </c>
      <c r="E5909" s="3" t="s">
        <v>302</v>
      </c>
      <c r="F5909" s="3" t="s">
        <v>306</v>
      </c>
      <c r="G5909" s="5">
        <v>2E-3</v>
      </c>
      <c r="H5909" s="6" t="s">
        <v>87</v>
      </c>
      <c r="I5909" s="3" t="s">
        <v>45</v>
      </c>
    </row>
    <row r="5910" spans="1:9" ht="48" customHeight="1">
      <c r="A5910" s="3" t="s">
        <v>79</v>
      </c>
      <c r="B5910" s="3" t="s">
        <v>78</v>
      </c>
      <c r="C5910" s="4">
        <v>43405</v>
      </c>
      <c r="D5910" s="4">
        <v>43434</v>
      </c>
      <c r="E5910" s="3" t="s">
        <v>302</v>
      </c>
      <c r="F5910" s="3" t="s">
        <v>310</v>
      </c>
      <c r="G5910" s="5">
        <v>1E-3</v>
      </c>
      <c r="H5910" s="6" t="s">
        <v>87</v>
      </c>
      <c r="I5910" s="3" t="s">
        <v>45</v>
      </c>
    </row>
    <row r="5911" spans="1:9" ht="48" customHeight="1">
      <c r="A5911" s="3" t="s">
        <v>79</v>
      </c>
      <c r="B5911" s="3" t="s">
        <v>78</v>
      </c>
      <c r="C5911" s="4">
        <v>43405</v>
      </c>
      <c r="D5911" s="4">
        <v>43434</v>
      </c>
      <c r="E5911" s="3" t="s">
        <v>302</v>
      </c>
      <c r="F5911" s="3" t="s">
        <v>313</v>
      </c>
      <c r="G5911" s="5">
        <v>1E-3</v>
      </c>
      <c r="H5911" s="6" t="s">
        <v>87</v>
      </c>
      <c r="I5911" s="3" t="s">
        <v>45</v>
      </c>
    </row>
    <row r="5912" spans="1:9" ht="48" customHeight="1">
      <c r="A5912" s="3" t="s">
        <v>79</v>
      </c>
      <c r="B5912" s="3" t="s">
        <v>78</v>
      </c>
      <c r="C5912" s="4">
        <v>43405</v>
      </c>
      <c r="D5912" s="4">
        <v>43434</v>
      </c>
      <c r="E5912" s="3" t="s">
        <v>302</v>
      </c>
      <c r="F5912" s="3" t="s">
        <v>314</v>
      </c>
      <c r="G5912" s="5">
        <v>1E-3</v>
      </c>
      <c r="H5912" s="6" t="s">
        <v>87</v>
      </c>
      <c r="I5912" s="3" t="s">
        <v>45</v>
      </c>
    </row>
    <row r="5913" spans="1:9" ht="48" customHeight="1">
      <c r="A5913" s="3" t="s">
        <v>79</v>
      </c>
      <c r="B5913" s="3" t="s">
        <v>78</v>
      </c>
      <c r="C5913" s="4">
        <v>43405</v>
      </c>
      <c r="D5913" s="4">
        <v>43434</v>
      </c>
      <c r="E5913" s="3" t="s">
        <v>302</v>
      </c>
      <c r="F5913" s="3" t="s">
        <v>316</v>
      </c>
      <c r="G5913" s="5">
        <v>1E-3</v>
      </c>
      <c r="H5913" s="6" t="s">
        <v>87</v>
      </c>
      <c r="I5913" s="3" t="s">
        <v>45</v>
      </c>
    </row>
    <row r="5914" spans="1:9" ht="48" customHeight="1">
      <c r="A5914" s="3" t="s">
        <v>79</v>
      </c>
      <c r="B5914" s="3" t="s">
        <v>78</v>
      </c>
      <c r="C5914" s="4">
        <v>43405</v>
      </c>
      <c r="D5914" s="4">
        <v>43434</v>
      </c>
      <c r="E5914" s="3" t="s">
        <v>302</v>
      </c>
      <c r="F5914" s="3" t="s">
        <v>317</v>
      </c>
      <c r="G5914" s="5">
        <v>1E-3</v>
      </c>
      <c r="H5914" s="6" t="s">
        <v>87</v>
      </c>
      <c r="I5914" s="3" t="s">
        <v>45</v>
      </c>
    </row>
    <row r="5915" spans="1:9" ht="48" customHeight="1">
      <c r="A5915" s="3" t="s">
        <v>79</v>
      </c>
      <c r="B5915" s="3" t="s">
        <v>78</v>
      </c>
      <c r="C5915" s="4">
        <v>43405</v>
      </c>
      <c r="D5915" s="4">
        <v>43434</v>
      </c>
      <c r="E5915" s="3" t="s">
        <v>302</v>
      </c>
      <c r="F5915" s="3" t="s">
        <v>322</v>
      </c>
      <c r="G5915" s="5">
        <v>1E-3</v>
      </c>
      <c r="H5915" s="6" t="s">
        <v>87</v>
      </c>
      <c r="I5915" s="3" t="s">
        <v>45</v>
      </c>
    </row>
    <row r="5916" spans="1:9" ht="48" customHeight="1">
      <c r="A5916" s="3" t="s">
        <v>79</v>
      </c>
      <c r="B5916" s="3" t="s">
        <v>78</v>
      </c>
      <c r="C5916" s="4">
        <v>43405</v>
      </c>
      <c r="D5916" s="4">
        <v>43434</v>
      </c>
      <c r="E5916" s="3" t="s">
        <v>302</v>
      </c>
      <c r="F5916" s="3" t="s">
        <v>323</v>
      </c>
      <c r="G5916" s="5">
        <v>1E-3</v>
      </c>
      <c r="H5916" s="6" t="s">
        <v>87</v>
      </c>
      <c r="I5916" s="3" t="s">
        <v>45</v>
      </c>
    </row>
    <row r="5917" spans="1:9" ht="48" customHeight="1">
      <c r="A5917" s="3" t="s">
        <v>79</v>
      </c>
      <c r="B5917" s="3" t="s">
        <v>78</v>
      </c>
      <c r="C5917" s="4">
        <v>43405</v>
      </c>
      <c r="D5917" s="4">
        <v>43434</v>
      </c>
      <c r="E5917" s="3" t="s">
        <v>302</v>
      </c>
      <c r="F5917" s="3" t="s">
        <v>324</v>
      </c>
      <c r="G5917" s="5">
        <v>1E-3</v>
      </c>
      <c r="H5917" s="6" t="s">
        <v>87</v>
      </c>
      <c r="I5917" s="3" t="s">
        <v>45</v>
      </c>
    </row>
    <row r="5918" spans="1:9" ht="48" customHeight="1">
      <c r="A5918" s="3" t="s">
        <v>79</v>
      </c>
      <c r="B5918" s="3" t="s">
        <v>78</v>
      </c>
      <c r="C5918" s="4">
        <v>43405</v>
      </c>
      <c r="D5918" s="4">
        <v>43434</v>
      </c>
      <c r="E5918" s="3" t="s">
        <v>302</v>
      </c>
      <c r="F5918" s="3" t="s">
        <v>312</v>
      </c>
      <c r="G5918" s="5">
        <v>0</v>
      </c>
      <c r="H5918" s="6" t="s">
        <v>87</v>
      </c>
      <c r="I5918" s="3" t="s">
        <v>45</v>
      </c>
    </row>
    <row r="5919" spans="1:9" ht="48" customHeight="1">
      <c r="A5919" s="3" t="s">
        <v>79</v>
      </c>
      <c r="B5919" s="3" t="s">
        <v>78</v>
      </c>
      <c r="C5919" s="4">
        <v>43405</v>
      </c>
      <c r="D5919" s="4">
        <v>43434</v>
      </c>
      <c r="E5919" s="3" t="s">
        <v>302</v>
      </c>
      <c r="F5919" s="3" t="s">
        <v>315</v>
      </c>
      <c r="G5919" s="5">
        <v>0</v>
      </c>
      <c r="H5919" s="6" t="s">
        <v>87</v>
      </c>
      <c r="I5919" s="3" t="s">
        <v>45</v>
      </c>
    </row>
    <row r="5920" spans="1:9" ht="48" customHeight="1">
      <c r="A5920" s="3" t="s">
        <v>79</v>
      </c>
      <c r="B5920" s="3" t="s">
        <v>78</v>
      </c>
      <c r="C5920" s="4">
        <v>43405</v>
      </c>
      <c r="D5920" s="4">
        <v>43434</v>
      </c>
      <c r="E5920" s="3" t="s">
        <v>302</v>
      </c>
      <c r="F5920" s="3" t="s">
        <v>318</v>
      </c>
      <c r="G5920" s="5">
        <v>0</v>
      </c>
      <c r="H5920" s="6" t="s">
        <v>87</v>
      </c>
      <c r="I5920" s="3" t="s">
        <v>45</v>
      </c>
    </row>
    <row r="5921" spans="1:9" ht="48" customHeight="1">
      <c r="A5921" s="3" t="s">
        <v>79</v>
      </c>
      <c r="B5921" s="3" t="s">
        <v>78</v>
      </c>
      <c r="C5921" s="4">
        <v>43405</v>
      </c>
      <c r="D5921" s="4">
        <v>43434</v>
      </c>
      <c r="E5921" s="3" t="s">
        <v>302</v>
      </c>
      <c r="F5921" s="3" t="s">
        <v>319</v>
      </c>
      <c r="G5921" s="5">
        <v>0</v>
      </c>
      <c r="H5921" s="6" t="s">
        <v>87</v>
      </c>
      <c r="I5921" s="3" t="s">
        <v>45</v>
      </c>
    </row>
    <row r="5922" spans="1:9" ht="48" customHeight="1">
      <c r="A5922" s="3" t="s">
        <v>79</v>
      </c>
      <c r="B5922" s="3" t="s">
        <v>78</v>
      </c>
      <c r="C5922" s="4">
        <v>43405</v>
      </c>
      <c r="D5922" s="4">
        <v>43434</v>
      </c>
      <c r="E5922" s="3" t="s">
        <v>302</v>
      </c>
      <c r="F5922" s="3" t="s">
        <v>320</v>
      </c>
      <c r="G5922" s="5">
        <v>0</v>
      </c>
      <c r="H5922" s="6" t="s">
        <v>87</v>
      </c>
      <c r="I5922" s="3" t="s">
        <v>45</v>
      </c>
    </row>
    <row r="5923" spans="1:9" ht="48" customHeight="1">
      <c r="A5923" s="3" t="s">
        <v>79</v>
      </c>
      <c r="B5923" s="3" t="s">
        <v>78</v>
      </c>
      <c r="C5923" s="4">
        <v>43405</v>
      </c>
      <c r="D5923" s="4">
        <v>43434</v>
      </c>
      <c r="E5923" s="3" t="s">
        <v>302</v>
      </c>
      <c r="F5923" s="3" t="s">
        <v>321</v>
      </c>
      <c r="G5923" s="5">
        <v>0</v>
      </c>
      <c r="H5923" s="6" t="s">
        <v>87</v>
      </c>
      <c r="I5923" s="3" t="s">
        <v>45</v>
      </c>
    </row>
    <row r="5924" spans="1:9" ht="48" customHeight="1">
      <c r="A5924" s="3" t="s">
        <v>79</v>
      </c>
      <c r="B5924" s="3" t="s">
        <v>78</v>
      </c>
      <c r="C5924" s="4">
        <v>43405</v>
      </c>
      <c r="D5924" s="4">
        <v>43434</v>
      </c>
      <c r="E5924" s="3" t="s">
        <v>205</v>
      </c>
      <c r="F5924" s="3" t="s">
        <v>220</v>
      </c>
      <c r="G5924" s="5">
        <v>2E-3</v>
      </c>
      <c r="H5924" s="6" t="s">
        <v>87</v>
      </c>
      <c r="I5924" s="3" t="s">
        <v>45</v>
      </c>
    </row>
    <row r="5925" spans="1:9" ht="48" customHeight="1">
      <c r="A5925" s="3" t="s">
        <v>79</v>
      </c>
      <c r="B5925" s="3" t="s">
        <v>78</v>
      </c>
      <c r="C5925" s="4">
        <v>43405</v>
      </c>
      <c r="D5925" s="4">
        <v>43434</v>
      </c>
      <c r="E5925" s="3" t="s">
        <v>205</v>
      </c>
      <c r="F5925" s="3" t="s">
        <v>207</v>
      </c>
      <c r="G5925" s="5">
        <v>2E-3</v>
      </c>
      <c r="H5925" s="6" t="s">
        <v>87</v>
      </c>
      <c r="I5925" s="3" t="s">
        <v>45</v>
      </c>
    </row>
    <row r="5926" spans="1:9" ht="48" customHeight="1">
      <c r="A5926" s="3" t="s">
        <v>79</v>
      </c>
      <c r="B5926" s="3" t="s">
        <v>78</v>
      </c>
      <c r="C5926" s="4">
        <v>43405</v>
      </c>
      <c r="D5926" s="4">
        <v>43434</v>
      </c>
      <c r="E5926" s="3" t="s">
        <v>205</v>
      </c>
      <c r="F5926" s="3" t="s">
        <v>206</v>
      </c>
      <c r="G5926" s="5">
        <v>2E-3</v>
      </c>
      <c r="H5926" s="6" t="s">
        <v>87</v>
      </c>
      <c r="I5926" s="3" t="s">
        <v>45</v>
      </c>
    </row>
    <row r="5927" spans="1:9" ht="48" customHeight="1">
      <c r="A5927" s="3" t="s">
        <v>79</v>
      </c>
      <c r="B5927" s="3" t="s">
        <v>78</v>
      </c>
      <c r="C5927" s="4">
        <v>43405</v>
      </c>
      <c r="D5927" s="4">
        <v>43434</v>
      </c>
      <c r="E5927" s="3" t="s">
        <v>205</v>
      </c>
      <c r="F5927" s="3" t="s">
        <v>215</v>
      </c>
      <c r="G5927" s="5">
        <v>2E-3</v>
      </c>
      <c r="H5927" s="6" t="s">
        <v>87</v>
      </c>
      <c r="I5927" s="3" t="s">
        <v>45</v>
      </c>
    </row>
    <row r="5928" spans="1:9" ht="48" customHeight="1">
      <c r="A5928" s="3" t="s">
        <v>79</v>
      </c>
      <c r="B5928" s="3" t="s">
        <v>78</v>
      </c>
      <c r="C5928" s="4">
        <v>43405</v>
      </c>
      <c r="D5928" s="4">
        <v>43434</v>
      </c>
      <c r="E5928" s="3" t="s">
        <v>205</v>
      </c>
      <c r="F5928" s="3" t="s">
        <v>209</v>
      </c>
      <c r="G5928" s="5">
        <v>2E-3</v>
      </c>
      <c r="H5928" s="6" t="s">
        <v>87</v>
      </c>
      <c r="I5928" s="3" t="s">
        <v>45</v>
      </c>
    </row>
    <row r="5929" spans="1:9" ht="48" customHeight="1">
      <c r="A5929" s="3" t="s">
        <v>79</v>
      </c>
      <c r="B5929" s="3" t="s">
        <v>78</v>
      </c>
      <c r="C5929" s="4">
        <v>43405</v>
      </c>
      <c r="D5929" s="4">
        <v>43434</v>
      </c>
      <c r="E5929" s="3" t="s">
        <v>205</v>
      </c>
      <c r="F5929" s="3" t="s">
        <v>210</v>
      </c>
      <c r="G5929" s="5">
        <v>2E-3</v>
      </c>
      <c r="H5929" s="6" t="s">
        <v>87</v>
      </c>
      <c r="I5929" s="3" t="s">
        <v>45</v>
      </c>
    </row>
    <row r="5930" spans="1:9" ht="48" customHeight="1">
      <c r="A5930" s="3" t="s">
        <v>79</v>
      </c>
      <c r="B5930" s="3" t="s">
        <v>78</v>
      </c>
      <c r="C5930" s="4">
        <v>43405</v>
      </c>
      <c r="D5930" s="4">
        <v>43434</v>
      </c>
      <c r="E5930" s="3" t="s">
        <v>205</v>
      </c>
      <c r="F5930" s="3" t="s">
        <v>216</v>
      </c>
      <c r="G5930" s="5">
        <v>2E-3</v>
      </c>
      <c r="H5930" s="6" t="s">
        <v>87</v>
      </c>
      <c r="I5930" s="3" t="s">
        <v>45</v>
      </c>
    </row>
    <row r="5931" spans="1:9" ht="48" customHeight="1">
      <c r="A5931" s="3" t="s">
        <v>79</v>
      </c>
      <c r="B5931" s="3" t="s">
        <v>78</v>
      </c>
      <c r="C5931" s="4">
        <v>43405</v>
      </c>
      <c r="D5931" s="4">
        <v>43434</v>
      </c>
      <c r="E5931" s="3" t="s">
        <v>205</v>
      </c>
      <c r="F5931" s="3" t="s">
        <v>229</v>
      </c>
      <c r="G5931" s="5">
        <v>1E-3</v>
      </c>
      <c r="H5931" s="6" t="s">
        <v>87</v>
      </c>
      <c r="I5931" s="3" t="s">
        <v>45</v>
      </c>
    </row>
    <row r="5932" spans="1:9" ht="48" customHeight="1">
      <c r="A5932" s="3" t="s">
        <v>79</v>
      </c>
      <c r="B5932" s="3" t="s">
        <v>78</v>
      </c>
      <c r="C5932" s="4">
        <v>43405</v>
      </c>
      <c r="D5932" s="4">
        <v>43434</v>
      </c>
      <c r="E5932" s="3" t="s">
        <v>205</v>
      </c>
      <c r="F5932" s="3" t="s">
        <v>223</v>
      </c>
      <c r="G5932" s="5">
        <v>1E-3</v>
      </c>
      <c r="H5932" s="6" t="s">
        <v>87</v>
      </c>
      <c r="I5932" s="3" t="s">
        <v>45</v>
      </c>
    </row>
    <row r="5933" spans="1:9" ht="48" customHeight="1">
      <c r="A5933" s="3" t="s">
        <v>79</v>
      </c>
      <c r="B5933" s="3" t="s">
        <v>78</v>
      </c>
      <c r="C5933" s="4">
        <v>43405</v>
      </c>
      <c r="D5933" s="4">
        <v>43434</v>
      </c>
      <c r="E5933" s="3" t="s">
        <v>205</v>
      </c>
      <c r="F5933" s="3" t="s">
        <v>224</v>
      </c>
      <c r="G5933" s="5">
        <v>1E-3</v>
      </c>
      <c r="H5933" s="6" t="s">
        <v>87</v>
      </c>
      <c r="I5933" s="3" t="s">
        <v>45</v>
      </c>
    </row>
    <row r="5934" spans="1:9" ht="48" customHeight="1">
      <c r="A5934" s="3" t="s">
        <v>79</v>
      </c>
      <c r="B5934" s="3" t="s">
        <v>78</v>
      </c>
      <c r="C5934" s="4">
        <v>43405</v>
      </c>
      <c r="D5934" s="4">
        <v>43434</v>
      </c>
      <c r="E5934" s="3" t="s">
        <v>205</v>
      </c>
      <c r="F5934" s="3" t="s">
        <v>217</v>
      </c>
      <c r="G5934" s="5">
        <v>1E-3</v>
      </c>
      <c r="H5934" s="6" t="s">
        <v>87</v>
      </c>
      <c r="I5934" s="3" t="s">
        <v>45</v>
      </c>
    </row>
    <row r="5935" spans="1:9" ht="48" customHeight="1">
      <c r="A5935" s="3" t="s">
        <v>79</v>
      </c>
      <c r="B5935" s="3" t="s">
        <v>78</v>
      </c>
      <c r="C5935" s="4">
        <v>43405</v>
      </c>
      <c r="D5935" s="4">
        <v>43434</v>
      </c>
      <c r="E5935" s="3" t="s">
        <v>205</v>
      </c>
      <c r="F5935" s="3" t="s">
        <v>218</v>
      </c>
      <c r="G5935" s="5">
        <v>1E-3</v>
      </c>
      <c r="H5935" s="6" t="s">
        <v>87</v>
      </c>
      <c r="I5935" s="3" t="s">
        <v>45</v>
      </c>
    </row>
    <row r="5936" spans="1:9" ht="48" customHeight="1">
      <c r="A5936" s="3" t="s">
        <v>79</v>
      </c>
      <c r="B5936" s="3" t="s">
        <v>78</v>
      </c>
      <c r="C5936" s="4">
        <v>43405</v>
      </c>
      <c r="D5936" s="4">
        <v>43434</v>
      </c>
      <c r="E5936" s="3" t="s">
        <v>205</v>
      </c>
      <c r="F5936" s="3" t="s">
        <v>225</v>
      </c>
      <c r="G5936" s="5">
        <v>1E-3</v>
      </c>
      <c r="H5936" s="6" t="s">
        <v>87</v>
      </c>
      <c r="I5936" s="3" t="s">
        <v>45</v>
      </c>
    </row>
    <row r="5937" spans="1:9" ht="48" customHeight="1">
      <c r="A5937" s="3" t="s">
        <v>79</v>
      </c>
      <c r="B5937" s="3" t="s">
        <v>78</v>
      </c>
      <c r="C5937" s="4">
        <v>43405</v>
      </c>
      <c r="D5937" s="4">
        <v>43434</v>
      </c>
      <c r="E5937" s="3" t="s">
        <v>205</v>
      </c>
      <c r="F5937" s="3" t="s">
        <v>219</v>
      </c>
      <c r="G5937" s="5">
        <v>1E-3</v>
      </c>
      <c r="H5937" s="6" t="s">
        <v>87</v>
      </c>
      <c r="I5937" s="3" t="s">
        <v>45</v>
      </c>
    </row>
    <row r="5938" spans="1:9" ht="48" customHeight="1">
      <c r="A5938" s="3" t="s">
        <v>79</v>
      </c>
      <c r="B5938" s="3" t="s">
        <v>78</v>
      </c>
      <c r="C5938" s="4">
        <v>43405</v>
      </c>
      <c r="D5938" s="4">
        <v>43434</v>
      </c>
      <c r="E5938" s="3" t="s">
        <v>205</v>
      </c>
      <c r="F5938" s="3" t="s">
        <v>226</v>
      </c>
      <c r="G5938" s="5">
        <v>1E-3</v>
      </c>
      <c r="H5938" s="6" t="s">
        <v>87</v>
      </c>
      <c r="I5938" s="3" t="s">
        <v>45</v>
      </c>
    </row>
    <row r="5939" spans="1:9" ht="48" customHeight="1">
      <c r="A5939" s="3" t="s">
        <v>79</v>
      </c>
      <c r="B5939" s="3" t="s">
        <v>78</v>
      </c>
      <c r="C5939" s="4">
        <v>43405</v>
      </c>
      <c r="D5939" s="4">
        <v>43434</v>
      </c>
      <c r="E5939" s="3" t="s">
        <v>205</v>
      </c>
      <c r="F5939" s="3" t="s">
        <v>227</v>
      </c>
      <c r="G5939" s="5">
        <v>1E-3</v>
      </c>
      <c r="H5939" s="6" t="s">
        <v>87</v>
      </c>
      <c r="I5939" s="3" t="s">
        <v>45</v>
      </c>
    </row>
    <row r="5940" spans="1:9" ht="48" customHeight="1">
      <c r="A5940" s="3" t="s">
        <v>79</v>
      </c>
      <c r="B5940" s="3" t="s">
        <v>78</v>
      </c>
      <c r="C5940" s="4">
        <v>43405</v>
      </c>
      <c r="D5940" s="4">
        <v>43434</v>
      </c>
      <c r="E5940" s="3" t="s">
        <v>205</v>
      </c>
      <c r="F5940" s="3" t="s">
        <v>211</v>
      </c>
      <c r="G5940" s="5">
        <v>1E-3</v>
      </c>
      <c r="H5940" s="6" t="s">
        <v>87</v>
      </c>
      <c r="I5940" s="3" t="s">
        <v>45</v>
      </c>
    </row>
    <row r="5941" spans="1:9" ht="48" customHeight="1">
      <c r="A5941" s="3" t="s">
        <v>79</v>
      </c>
      <c r="B5941" s="3" t="s">
        <v>78</v>
      </c>
      <c r="C5941" s="4">
        <v>43405</v>
      </c>
      <c r="D5941" s="4">
        <v>43434</v>
      </c>
      <c r="E5941" s="3" t="s">
        <v>205</v>
      </c>
      <c r="F5941" s="3" t="s">
        <v>221</v>
      </c>
      <c r="G5941" s="5">
        <v>1E-3</v>
      </c>
      <c r="H5941" s="6" t="s">
        <v>87</v>
      </c>
      <c r="I5941" s="3" t="s">
        <v>45</v>
      </c>
    </row>
    <row r="5942" spans="1:9" ht="48" customHeight="1">
      <c r="A5942" s="3" t="s">
        <v>79</v>
      </c>
      <c r="B5942" s="3" t="s">
        <v>78</v>
      </c>
      <c r="C5942" s="4">
        <v>43405</v>
      </c>
      <c r="D5942" s="4">
        <v>43434</v>
      </c>
      <c r="E5942" s="3" t="s">
        <v>205</v>
      </c>
      <c r="F5942" s="3" t="s">
        <v>222</v>
      </c>
      <c r="G5942" s="5">
        <v>1E-3</v>
      </c>
      <c r="H5942" s="6" t="s">
        <v>87</v>
      </c>
      <c r="I5942" s="3" t="s">
        <v>45</v>
      </c>
    </row>
    <row r="5943" spans="1:9" ht="48" customHeight="1">
      <c r="A5943" s="3" t="s">
        <v>79</v>
      </c>
      <c r="B5943" s="3" t="s">
        <v>78</v>
      </c>
      <c r="C5943" s="4">
        <v>43405</v>
      </c>
      <c r="D5943" s="4">
        <v>43434</v>
      </c>
      <c r="E5943" s="3" t="s">
        <v>205</v>
      </c>
      <c r="F5943" s="3" t="s">
        <v>212</v>
      </c>
      <c r="G5943" s="5">
        <v>1E-3</v>
      </c>
      <c r="H5943" s="6" t="s">
        <v>87</v>
      </c>
      <c r="I5943" s="3" t="s">
        <v>45</v>
      </c>
    </row>
    <row r="5944" spans="1:9" ht="48" customHeight="1">
      <c r="A5944" s="3" t="s">
        <v>79</v>
      </c>
      <c r="B5944" s="3" t="s">
        <v>78</v>
      </c>
      <c r="C5944" s="4">
        <v>43405</v>
      </c>
      <c r="D5944" s="4">
        <v>43434</v>
      </c>
      <c r="E5944" s="3" t="s">
        <v>205</v>
      </c>
      <c r="F5944" s="3" t="s">
        <v>208</v>
      </c>
      <c r="G5944" s="5">
        <v>1E-3</v>
      </c>
      <c r="H5944" s="6" t="s">
        <v>87</v>
      </c>
      <c r="I5944" s="3" t="s">
        <v>45</v>
      </c>
    </row>
    <row r="5945" spans="1:9" ht="48" customHeight="1">
      <c r="A5945" s="3" t="s">
        <v>79</v>
      </c>
      <c r="B5945" s="3" t="s">
        <v>78</v>
      </c>
      <c r="C5945" s="4">
        <v>43405</v>
      </c>
      <c r="D5945" s="4">
        <v>43434</v>
      </c>
      <c r="E5945" s="3" t="s">
        <v>205</v>
      </c>
      <c r="F5945" s="3" t="s">
        <v>228</v>
      </c>
      <c r="G5945" s="5">
        <v>1E-3</v>
      </c>
      <c r="H5945" s="6" t="s">
        <v>87</v>
      </c>
      <c r="I5945" s="3" t="s">
        <v>45</v>
      </c>
    </row>
    <row r="5946" spans="1:9" ht="48" customHeight="1">
      <c r="A5946" s="3" t="s">
        <v>79</v>
      </c>
      <c r="B5946" s="3" t="s">
        <v>78</v>
      </c>
      <c r="C5946" s="4">
        <v>43405</v>
      </c>
      <c r="D5946" s="4">
        <v>43434</v>
      </c>
      <c r="E5946" s="3" t="s">
        <v>205</v>
      </c>
      <c r="F5946" s="3" t="s">
        <v>213</v>
      </c>
      <c r="G5946" s="5">
        <v>1E-3</v>
      </c>
      <c r="H5946" s="6" t="s">
        <v>87</v>
      </c>
      <c r="I5946" s="3" t="s">
        <v>45</v>
      </c>
    </row>
    <row r="5947" spans="1:9" ht="48" customHeight="1">
      <c r="A5947" s="3" t="s">
        <v>79</v>
      </c>
      <c r="B5947" s="3" t="s">
        <v>78</v>
      </c>
      <c r="C5947" s="4">
        <v>43405</v>
      </c>
      <c r="D5947" s="4">
        <v>43434</v>
      </c>
      <c r="E5947" s="3" t="s">
        <v>205</v>
      </c>
      <c r="F5947" s="3" t="s">
        <v>214</v>
      </c>
      <c r="G5947" s="5">
        <v>1E-3</v>
      </c>
      <c r="H5947" s="6" t="s">
        <v>87</v>
      </c>
      <c r="I5947" s="3" t="s">
        <v>45</v>
      </c>
    </row>
    <row r="5948" spans="1:9" ht="48" customHeight="1">
      <c r="A5948" s="3" t="s">
        <v>79</v>
      </c>
      <c r="B5948" s="3" t="s">
        <v>78</v>
      </c>
      <c r="C5948" s="4">
        <v>43405</v>
      </c>
      <c r="D5948" s="4">
        <v>43434</v>
      </c>
      <c r="E5948" s="3" t="s">
        <v>205</v>
      </c>
      <c r="F5948" s="3" t="s">
        <v>230</v>
      </c>
      <c r="G5948" s="5">
        <v>0</v>
      </c>
      <c r="H5948" s="6" t="s">
        <v>87</v>
      </c>
      <c r="I5948" s="3" t="s">
        <v>45</v>
      </c>
    </row>
    <row r="5949" spans="1:9" ht="48" customHeight="1">
      <c r="A5949" s="3" t="s">
        <v>79</v>
      </c>
      <c r="B5949" s="3" t="s">
        <v>78</v>
      </c>
      <c r="C5949" s="4">
        <v>43405</v>
      </c>
      <c r="D5949" s="4">
        <v>43434</v>
      </c>
      <c r="E5949" s="3" t="s">
        <v>286</v>
      </c>
      <c r="F5949" s="3" t="s">
        <v>291</v>
      </c>
      <c r="G5949" s="5">
        <v>3.0000000000000001E-3</v>
      </c>
      <c r="H5949" s="6" t="s">
        <v>87</v>
      </c>
      <c r="I5949" s="3" t="s">
        <v>45</v>
      </c>
    </row>
    <row r="5950" spans="1:9" ht="48" customHeight="1">
      <c r="A5950" s="3" t="s">
        <v>79</v>
      </c>
      <c r="B5950" s="3" t="s">
        <v>78</v>
      </c>
      <c r="C5950" s="4">
        <v>43405</v>
      </c>
      <c r="D5950" s="4">
        <v>43434</v>
      </c>
      <c r="E5950" s="3" t="s">
        <v>286</v>
      </c>
      <c r="F5950" s="3" t="s">
        <v>293</v>
      </c>
      <c r="G5950" s="5">
        <v>3.0000000000000001E-3</v>
      </c>
      <c r="H5950" s="6" t="s">
        <v>87</v>
      </c>
      <c r="I5950" s="3" t="s">
        <v>45</v>
      </c>
    </row>
    <row r="5951" spans="1:9" ht="48" customHeight="1">
      <c r="A5951" s="3" t="s">
        <v>79</v>
      </c>
      <c r="B5951" s="3" t="s">
        <v>78</v>
      </c>
      <c r="C5951" s="4">
        <v>43405</v>
      </c>
      <c r="D5951" s="4">
        <v>43434</v>
      </c>
      <c r="E5951" s="3" t="s">
        <v>286</v>
      </c>
      <c r="F5951" s="3" t="s">
        <v>290</v>
      </c>
      <c r="G5951" s="5">
        <v>2E-3</v>
      </c>
      <c r="H5951" s="6" t="s">
        <v>87</v>
      </c>
      <c r="I5951" s="3" t="s">
        <v>45</v>
      </c>
    </row>
    <row r="5952" spans="1:9" ht="48" customHeight="1">
      <c r="A5952" s="3" t="s">
        <v>79</v>
      </c>
      <c r="B5952" s="3" t="s">
        <v>78</v>
      </c>
      <c r="C5952" s="4">
        <v>43405</v>
      </c>
      <c r="D5952" s="4">
        <v>43434</v>
      </c>
      <c r="E5952" s="3" t="s">
        <v>286</v>
      </c>
      <c r="F5952" s="3" t="s">
        <v>288</v>
      </c>
      <c r="G5952" s="5">
        <v>2E-3</v>
      </c>
      <c r="H5952" s="6" t="s">
        <v>87</v>
      </c>
      <c r="I5952" s="3" t="s">
        <v>45</v>
      </c>
    </row>
    <row r="5953" spans="1:9" ht="48" customHeight="1">
      <c r="A5953" s="3" t="s">
        <v>79</v>
      </c>
      <c r="B5953" s="3" t="s">
        <v>78</v>
      </c>
      <c r="C5953" s="4">
        <v>43405</v>
      </c>
      <c r="D5953" s="4">
        <v>43434</v>
      </c>
      <c r="E5953" s="3" t="s">
        <v>286</v>
      </c>
      <c r="F5953" s="3" t="s">
        <v>287</v>
      </c>
      <c r="G5953" s="5">
        <v>2E-3</v>
      </c>
      <c r="H5953" s="6" t="s">
        <v>87</v>
      </c>
      <c r="I5953" s="3" t="s">
        <v>45</v>
      </c>
    </row>
    <row r="5954" spans="1:9" ht="48" customHeight="1">
      <c r="A5954" s="3" t="s">
        <v>79</v>
      </c>
      <c r="B5954" s="3" t="s">
        <v>78</v>
      </c>
      <c r="C5954" s="4">
        <v>43405</v>
      </c>
      <c r="D5954" s="4">
        <v>43434</v>
      </c>
      <c r="E5954" s="3" t="s">
        <v>286</v>
      </c>
      <c r="F5954" s="3" t="s">
        <v>289</v>
      </c>
      <c r="G5954" s="5">
        <v>2E-3</v>
      </c>
      <c r="H5954" s="6" t="s">
        <v>87</v>
      </c>
      <c r="I5954" s="3" t="s">
        <v>45</v>
      </c>
    </row>
    <row r="5955" spans="1:9" ht="48" customHeight="1">
      <c r="A5955" s="3" t="s">
        <v>79</v>
      </c>
      <c r="B5955" s="3" t="s">
        <v>78</v>
      </c>
      <c r="C5955" s="4">
        <v>43405</v>
      </c>
      <c r="D5955" s="4">
        <v>43434</v>
      </c>
      <c r="E5955" s="3" t="s">
        <v>286</v>
      </c>
      <c r="F5955" s="3" t="s">
        <v>297</v>
      </c>
      <c r="G5955" s="5">
        <v>1E-3</v>
      </c>
      <c r="H5955" s="6" t="s">
        <v>87</v>
      </c>
      <c r="I5955" s="3" t="s">
        <v>45</v>
      </c>
    </row>
    <row r="5956" spans="1:9" ht="48" customHeight="1">
      <c r="A5956" s="3" t="s">
        <v>79</v>
      </c>
      <c r="B5956" s="3" t="s">
        <v>78</v>
      </c>
      <c r="C5956" s="4">
        <v>43405</v>
      </c>
      <c r="D5956" s="4">
        <v>43434</v>
      </c>
      <c r="E5956" s="3" t="s">
        <v>286</v>
      </c>
      <c r="F5956" s="3" t="s">
        <v>292</v>
      </c>
      <c r="G5956" s="5">
        <v>1E-3</v>
      </c>
      <c r="H5956" s="6" t="s">
        <v>87</v>
      </c>
      <c r="I5956" s="3" t="s">
        <v>45</v>
      </c>
    </row>
    <row r="5957" spans="1:9" ht="48" customHeight="1">
      <c r="A5957" s="3" t="s">
        <v>79</v>
      </c>
      <c r="B5957" s="3" t="s">
        <v>78</v>
      </c>
      <c r="C5957" s="4">
        <v>43405</v>
      </c>
      <c r="D5957" s="4">
        <v>43434</v>
      </c>
      <c r="E5957" s="3" t="s">
        <v>286</v>
      </c>
      <c r="F5957" s="3" t="s">
        <v>300</v>
      </c>
      <c r="G5957" s="5">
        <v>1E-3</v>
      </c>
      <c r="H5957" s="6" t="s">
        <v>87</v>
      </c>
      <c r="I5957" s="3" t="s">
        <v>45</v>
      </c>
    </row>
    <row r="5958" spans="1:9" ht="48" customHeight="1">
      <c r="A5958" s="3" t="s">
        <v>79</v>
      </c>
      <c r="B5958" s="3" t="s">
        <v>78</v>
      </c>
      <c r="C5958" s="4">
        <v>43405</v>
      </c>
      <c r="D5958" s="4">
        <v>43434</v>
      </c>
      <c r="E5958" s="3" t="s">
        <v>286</v>
      </c>
      <c r="F5958" s="3" t="s">
        <v>294</v>
      </c>
      <c r="G5958" s="5">
        <v>0</v>
      </c>
      <c r="H5958" s="6" t="s">
        <v>87</v>
      </c>
      <c r="I5958" s="3" t="s">
        <v>45</v>
      </c>
    </row>
    <row r="5959" spans="1:9" ht="48" customHeight="1">
      <c r="A5959" s="3" t="s">
        <v>79</v>
      </c>
      <c r="B5959" s="3" t="s">
        <v>78</v>
      </c>
      <c r="C5959" s="4">
        <v>43405</v>
      </c>
      <c r="D5959" s="4">
        <v>43434</v>
      </c>
      <c r="E5959" s="3" t="s">
        <v>286</v>
      </c>
      <c r="F5959" s="3" t="s">
        <v>295</v>
      </c>
      <c r="G5959" s="5">
        <v>0</v>
      </c>
      <c r="H5959" s="6" t="s">
        <v>87</v>
      </c>
      <c r="I5959" s="3" t="s">
        <v>45</v>
      </c>
    </row>
    <row r="5960" spans="1:9" ht="48" customHeight="1">
      <c r="A5960" s="3" t="s">
        <v>79</v>
      </c>
      <c r="B5960" s="3" t="s">
        <v>78</v>
      </c>
      <c r="C5960" s="4">
        <v>43405</v>
      </c>
      <c r="D5960" s="4">
        <v>43434</v>
      </c>
      <c r="E5960" s="3" t="s">
        <v>286</v>
      </c>
      <c r="F5960" s="3" t="s">
        <v>296</v>
      </c>
      <c r="G5960" s="5">
        <v>0</v>
      </c>
      <c r="H5960" s="6" t="s">
        <v>87</v>
      </c>
      <c r="I5960" s="3" t="s">
        <v>45</v>
      </c>
    </row>
    <row r="5961" spans="1:9" ht="48" customHeight="1">
      <c r="A5961" s="3" t="s">
        <v>79</v>
      </c>
      <c r="B5961" s="3" t="s">
        <v>78</v>
      </c>
      <c r="C5961" s="4">
        <v>43405</v>
      </c>
      <c r="D5961" s="4">
        <v>43434</v>
      </c>
      <c r="E5961" s="3" t="s">
        <v>286</v>
      </c>
      <c r="F5961" s="3" t="s">
        <v>298</v>
      </c>
      <c r="G5961" s="5">
        <v>0</v>
      </c>
      <c r="H5961" s="6" t="s">
        <v>87</v>
      </c>
      <c r="I5961" s="3" t="s">
        <v>45</v>
      </c>
    </row>
    <row r="5962" spans="1:9" ht="48" customHeight="1">
      <c r="A5962" s="3" t="s">
        <v>79</v>
      </c>
      <c r="B5962" s="3" t="s">
        <v>78</v>
      </c>
      <c r="C5962" s="4">
        <v>43405</v>
      </c>
      <c r="D5962" s="4">
        <v>43434</v>
      </c>
      <c r="E5962" s="3" t="s">
        <v>286</v>
      </c>
      <c r="F5962" s="3" t="s">
        <v>299</v>
      </c>
      <c r="G5962" s="5">
        <v>0</v>
      </c>
      <c r="H5962" s="6" t="s">
        <v>87</v>
      </c>
      <c r="I5962" s="3" t="s">
        <v>45</v>
      </c>
    </row>
    <row r="5963" spans="1:9" ht="48" customHeight="1">
      <c r="A5963" s="3" t="s">
        <v>79</v>
      </c>
      <c r="B5963" s="3" t="s">
        <v>78</v>
      </c>
      <c r="C5963" s="4">
        <v>43405</v>
      </c>
      <c r="D5963" s="4">
        <v>43434</v>
      </c>
      <c r="E5963" s="3" t="s">
        <v>47</v>
      </c>
      <c r="F5963" s="3" t="s">
        <v>348</v>
      </c>
      <c r="G5963" s="5">
        <v>5.0000000000000001E-3</v>
      </c>
      <c r="H5963" s="6" t="s">
        <v>87</v>
      </c>
      <c r="I5963" s="3" t="s">
        <v>45</v>
      </c>
    </row>
    <row r="5964" spans="1:9" ht="48" customHeight="1">
      <c r="A5964" s="3" t="s">
        <v>79</v>
      </c>
      <c r="B5964" s="3" t="s">
        <v>78</v>
      </c>
      <c r="C5964" s="4">
        <v>43405</v>
      </c>
      <c r="D5964" s="4">
        <v>43434</v>
      </c>
      <c r="E5964" s="3" t="s">
        <v>47</v>
      </c>
      <c r="F5964" s="3" t="s">
        <v>349</v>
      </c>
      <c r="G5964" s="5">
        <v>2E-3</v>
      </c>
      <c r="H5964" s="6" t="s">
        <v>87</v>
      </c>
      <c r="I5964" s="3" t="s">
        <v>45</v>
      </c>
    </row>
    <row r="5965" spans="1:9" ht="48" customHeight="1">
      <c r="A5965" s="3" t="s">
        <v>79</v>
      </c>
      <c r="B5965" s="3" t="s">
        <v>78</v>
      </c>
      <c r="C5965" s="4">
        <v>43405</v>
      </c>
      <c r="D5965" s="4">
        <v>43434</v>
      </c>
      <c r="E5965" s="3" t="s">
        <v>47</v>
      </c>
      <c r="F5965" s="3" t="s">
        <v>352</v>
      </c>
      <c r="G5965" s="5">
        <v>2E-3</v>
      </c>
      <c r="H5965" s="6" t="s">
        <v>87</v>
      </c>
      <c r="I5965" s="3" t="s">
        <v>45</v>
      </c>
    </row>
    <row r="5966" spans="1:9" ht="48" customHeight="1">
      <c r="A5966" s="3" t="s">
        <v>79</v>
      </c>
      <c r="B5966" s="3" t="s">
        <v>78</v>
      </c>
      <c r="C5966" s="4">
        <v>43405</v>
      </c>
      <c r="D5966" s="4">
        <v>43434</v>
      </c>
      <c r="E5966" s="3" t="s">
        <v>47</v>
      </c>
      <c r="F5966" s="3" t="s">
        <v>350</v>
      </c>
      <c r="G5966" s="5">
        <v>1E-3</v>
      </c>
      <c r="H5966" s="6" t="s">
        <v>87</v>
      </c>
      <c r="I5966" s="3" t="s">
        <v>45</v>
      </c>
    </row>
    <row r="5967" spans="1:9" ht="48" customHeight="1">
      <c r="A5967" s="3" t="s">
        <v>79</v>
      </c>
      <c r="B5967" s="3" t="s">
        <v>78</v>
      </c>
      <c r="C5967" s="4">
        <v>43405</v>
      </c>
      <c r="D5967" s="4">
        <v>43434</v>
      </c>
      <c r="E5967" s="3" t="s">
        <v>47</v>
      </c>
      <c r="F5967" s="3" t="s">
        <v>351</v>
      </c>
      <c r="G5967" s="5">
        <v>1E-3</v>
      </c>
      <c r="H5967" s="6" t="s">
        <v>87</v>
      </c>
      <c r="I5967" s="3" t="s">
        <v>45</v>
      </c>
    </row>
    <row r="5968" spans="1:9" ht="48" customHeight="1">
      <c r="A5968" s="3" t="s">
        <v>79</v>
      </c>
      <c r="B5968" s="3" t="s">
        <v>78</v>
      </c>
      <c r="C5968" s="4">
        <v>43405</v>
      </c>
      <c r="D5968" s="4">
        <v>43434</v>
      </c>
      <c r="E5968" s="3" t="s">
        <v>47</v>
      </c>
      <c r="F5968" s="3" t="s">
        <v>353</v>
      </c>
      <c r="G5968" s="5">
        <v>1E-3</v>
      </c>
      <c r="H5968" s="6" t="s">
        <v>87</v>
      </c>
      <c r="I5968" s="3" t="s">
        <v>45</v>
      </c>
    </row>
    <row r="5969" spans="1:9" ht="48" customHeight="1">
      <c r="A5969" s="3" t="s">
        <v>79</v>
      </c>
      <c r="B5969" s="3" t="s">
        <v>78</v>
      </c>
      <c r="C5969" s="4">
        <v>43405</v>
      </c>
      <c r="D5969" s="4">
        <v>43434</v>
      </c>
      <c r="E5969" s="3" t="s">
        <v>47</v>
      </c>
      <c r="F5969" s="3" t="s">
        <v>354</v>
      </c>
      <c r="G5969" s="5">
        <v>1E-3</v>
      </c>
      <c r="H5969" s="6" t="s">
        <v>87</v>
      </c>
      <c r="I5969" s="3" t="s">
        <v>45</v>
      </c>
    </row>
    <row r="5970" spans="1:9" ht="48" customHeight="1">
      <c r="A5970" s="3" t="s">
        <v>79</v>
      </c>
      <c r="B5970" s="3" t="s">
        <v>78</v>
      </c>
      <c r="C5970" s="4">
        <v>43405</v>
      </c>
      <c r="D5970" s="4">
        <v>43434</v>
      </c>
      <c r="E5970" s="3" t="s">
        <v>47</v>
      </c>
      <c r="F5970" s="3" t="s">
        <v>355</v>
      </c>
      <c r="G5970" s="5">
        <v>1E-3</v>
      </c>
      <c r="H5970" s="6" t="s">
        <v>87</v>
      </c>
      <c r="I5970" s="3" t="s">
        <v>45</v>
      </c>
    </row>
    <row r="5971" spans="1:9" ht="48" customHeight="1">
      <c r="A5971" s="3" t="s">
        <v>79</v>
      </c>
      <c r="B5971" s="3" t="s">
        <v>78</v>
      </c>
      <c r="C5971" s="4">
        <v>43405</v>
      </c>
      <c r="D5971" s="4">
        <v>43434</v>
      </c>
      <c r="E5971" s="3" t="s">
        <v>47</v>
      </c>
      <c r="F5971" s="3" t="s">
        <v>356</v>
      </c>
      <c r="G5971" s="5">
        <v>1E-3</v>
      </c>
      <c r="H5971" s="6" t="s">
        <v>87</v>
      </c>
      <c r="I5971" s="3" t="s">
        <v>45</v>
      </c>
    </row>
    <row r="5972" spans="1:9" ht="48" customHeight="1">
      <c r="A5972" s="3" t="s">
        <v>79</v>
      </c>
      <c r="B5972" s="3" t="s">
        <v>78</v>
      </c>
      <c r="C5972" s="4">
        <v>43405</v>
      </c>
      <c r="D5972" s="4">
        <v>43434</v>
      </c>
      <c r="E5972" s="3" t="s">
        <v>47</v>
      </c>
      <c r="F5972" s="3" t="s">
        <v>358</v>
      </c>
      <c r="G5972" s="5">
        <v>1E-3</v>
      </c>
      <c r="H5972" s="6" t="s">
        <v>87</v>
      </c>
      <c r="I5972" s="3" t="s">
        <v>45</v>
      </c>
    </row>
    <row r="5973" spans="1:9" ht="48" customHeight="1">
      <c r="A5973" s="3" t="s">
        <v>79</v>
      </c>
      <c r="B5973" s="3" t="s">
        <v>78</v>
      </c>
      <c r="C5973" s="4">
        <v>43405</v>
      </c>
      <c r="D5973" s="4">
        <v>43434</v>
      </c>
      <c r="E5973" s="3" t="s">
        <v>47</v>
      </c>
      <c r="F5973" s="3" t="s">
        <v>40</v>
      </c>
      <c r="G5973" s="5">
        <v>0</v>
      </c>
      <c r="H5973" s="6" t="s">
        <v>87</v>
      </c>
      <c r="I5973" s="3" t="s">
        <v>45</v>
      </c>
    </row>
    <row r="5974" spans="1:9" ht="48" customHeight="1">
      <c r="A5974" s="3" t="s">
        <v>79</v>
      </c>
      <c r="B5974" s="3" t="s">
        <v>78</v>
      </c>
      <c r="C5974" s="4">
        <v>43405</v>
      </c>
      <c r="D5974" s="4">
        <v>43434</v>
      </c>
      <c r="E5974" s="3" t="s">
        <v>47</v>
      </c>
      <c r="F5974" s="3" t="s">
        <v>357</v>
      </c>
      <c r="G5974" s="5">
        <v>0</v>
      </c>
      <c r="H5974" s="6" t="s">
        <v>87</v>
      </c>
      <c r="I5974" s="3" t="s">
        <v>45</v>
      </c>
    </row>
    <row r="5975" spans="1:9" ht="48" customHeight="1">
      <c r="A5975" s="3" t="s">
        <v>79</v>
      </c>
      <c r="B5975" s="3" t="s">
        <v>78</v>
      </c>
      <c r="C5975" s="4">
        <v>43405</v>
      </c>
      <c r="D5975" s="4">
        <v>43434</v>
      </c>
      <c r="E5975" s="3" t="s">
        <v>47</v>
      </c>
      <c r="F5975" s="3" t="s">
        <v>359</v>
      </c>
      <c r="G5975" s="5">
        <v>0</v>
      </c>
      <c r="H5975" s="6" t="s">
        <v>87</v>
      </c>
      <c r="I5975" s="3" t="s">
        <v>45</v>
      </c>
    </row>
    <row r="5976" spans="1:9" ht="48" customHeight="1">
      <c r="A5976" s="3" t="s">
        <v>79</v>
      </c>
      <c r="B5976" s="3" t="s">
        <v>78</v>
      </c>
      <c r="C5976" s="4">
        <v>43405</v>
      </c>
      <c r="D5976" s="4">
        <v>43434</v>
      </c>
      <c r="E5976" s="3" t="s">
        <v>47</v>
      </c>
      <c r="F5976" s="3" t="s">
        <v>360</v>
      </c>
      <c r="G5976" s="5">
        <v>0</v>
      </c>
      <c r="H5976" s="6" t="s">
        <v>87</v>
      </c>
      <c r="I5976" s="3" t="s">
        <v>45</v>
      </c>
    </row>
    <row r="5977" spans="1:9" ht="48" customHeight="1">
      <c r="A5977" s="3" t="s">
        <v>79</v>
      </c>
      <c r="B5977" s="3" t="s">
        <v>78</v>
      </c>
      <c r="C5977" s="4">
        <v>43405</v>
      </c>
      <c r="D5977" s="4">
        <v>43434</v>
      </c>
      <c r="E5977" s="3" t="s">
        <v>47</v>
      </c>
      <c r="F5977" s="3" t="s">
        <v>361</v>
      </c>
      <c r="G5977" s="5">
        <v>0</v>
      </c>
      <c r="H5977" s="6" t="s">
        <v>87</v>
      </c>
      <c r="I5977" s="3" t="s">
        <v>45</v>
      </c>
    </row>
    <row r="5978" spans="1:9" ht="48" customHeight="1">
      <c r="A5978" s="3" t="s">
        <v>79</v>
      </c>
      <c r="B5978" s="3" t="s">
        <v>78</v>
      </c>
      <c r="C5978" s="4">
        <v>43405</v>
      </c>
      <c r="D5978" s="4">
        <v>43434</v>
      </c>
      <c r="E5978" s="3" t="s">
        <v>47</v>
      </c>
      <c r="F5978" s="3" t="s">
        <v>362</v>
      </c>
      <c r="G5978" s="5">
        <v>0</v>
      </c>
      <c r="H5978" s="6" t="s">
        <v>87</v>
      </c>
      <c r="I5978" s="3" t="s">
        <v>45</v>
      </c>
    </row>
    <row r="5979" spans="1:9" ht="48" customHeight="1">
      <c r="A5979" s="3" t="s">
        <v>79</v>
      </c>
      <c r="B5979" s="3" t="s">
        <v>78</v>
      </c>
      <c r="C5979" s="4">
        <v>43405</v>
      </c>
      <c r="D5979" s="4">
        <v>43434</v>
      </c>
      <c r="E5979" s="3" t="s">
        <v>47</v>
      </c>
      <c r="F5979" s="3" t="s">
        <v>318</v>
      </c>
      <c r="G5979" s="5">
        <v>0</v>
      </c>
      <c r="H5979" s="6" t="s">
        <v>87</v>
      </c>
      <c r="I5979" s="3" t="s">
        <v>45</v>
      </c>
    </row>
    <row r="5980" spans="1:9" ht="48" customHeight="1">
      <c r="A5980" s="3" t="s">
        <v>79</v>
      </c>
      <c r="B5980" s="3" t="s">
        <v>78</v>
      </c>
      <c r="C5980" s="4">
        <v>43405</v>
      </c>
      <c r="D5980" s="4">
        <v>43434</v>
      </c>
      <c r="E5980" s="3" t="s">
        <v>47</v>
      </c>
      <c r="F5980" s="3" t="s">
        <v>363</v>
      </c>
      <c r="G5980" s="5">
        <v>0</v>
      </c>
      <c r="H5980" s="6" t="s">
        <v>87</v>
      </c>
      <c r="I5980" s="3" t="s">
        <v>45</v>
      </c>
    </row>
    <row r="5981" spans="1:9" ht="48" customHeight="1">
      <c r="A5981" s="3" t="s">
        <v>79</v>
      </c>
      <c r="B5981" s="3" t="s">
        <v>78</v>
      </c>
      <c r="C5981" s="4">
        <v>43405</v>
      </c>
      <c r="D5981" s="4">
        <v>43434</v>
      </c>
      <c r="E5981" s="3" t="s">
        <v>68</v>
      </c>
      <c r="F5981" s="3" t="s">
        <v>150</v>
      </c>
      <c r="G5981" s="5">
        <v>3.0000000000000001E-3</v>
      </c>
      <c r="H5981" s="6" t="s">
        <v>87</v>
      </c>
      <c r="I5981" s="3" t="s">
        <v>45</v>
      </c>
    </row>
    <row r="5982" spans="1:9" ht="48" customHeight="1">
      <c r="A5982" s="3" t="s">
        <v>79</v>
      </c>
      <c r="B5982" s="3" t="s">
        <v>78</v>
      </c>
      <c r="C5982" s="4">
        <v>43405</v>
      </c>
      <c r="D5982" s="4">
        <v>43434</v>
      </c>
      <c r="E5982" s="3" t="s">
        <v>68</v>
      </c>
      <c r="F5982" s="3" t="s">
        <v>151</v>
      </c>
      <c r="G5982" s="5">
        <v>2E-3</v>
      </c>
      <c r="H5982" s="6" t="s">
        <v>87</v>
      </c>
      <c r="I5982" s="3" t="s">
        <v>45</v>
      </c>
    </row>
    <row r="5983" spans="1:9" ht="48" customHeight="1">
      <c r="A5983" s="3" t="s">
        <v>79</v>
      </c>
      <c r="B5983" s="3" t="s">
        <v>78</v>
      </c>
      <c r="C5983" s="4">
        <v>43405</v>
      </c>
      <c r="D5983" s="4">
        <v>43434</v>
      </c>
      <c r="E5983" s="3" t="s">
        <v>68</v>
      </c>
      <c r="F5983" s="3" t="s">
        <v>147</v>
      </c>
      <c r="G5983" s="5">
        <v>2E-3</v>
      </c>
      <c r="H5983" s="6" t="s">
        <v>87</v>
      </c>
      <c r="I5983" s="3" t="s">
        <v>45</v>
      </c>
    </row>
    <row r="5984" spans="1:9" ht="48" customHeight="1">
      <c r="A5984" s="3" t="s">
        <v>79</v>
      </c>
      <c r="B5984" s="3" t="s">
        <v>78</v>
      </c>
      <c r="C5984" s="4">
        <v>43405</v>
      </c>
      <c r="D5984" s="4">
        <v>43434</v>
      </c>
      <c r="E5984" s="3" t="s">
        <v>68</v>
      </c>
      <c r="F5984" s="3" t="s">
        <v>149</v>
      </c>
      <c r="G5984" s="5">
        <v>1E-3</v>
      </c>
      <c r="H5984" s="6" t="s">
        <v>87</v>
      </c>
      <c r="I5984" s="3" t="s">
        <v>45</v>
      </c>
    </row>
    <row r="5985" spans="1:9" ht="48" customHeight="1">
      <c r="A5985" s="3" t="s">
        <v>79</v>
      </c>
      <c r="B5985" s="3" t="s">
        <v>78</v>
      </c>
      <c r="C5985" s="4">
        <v>43405</v>
      </c>
      <c r="D5985" s="4">
        <v>43434</v>
      </c>
      <c r="E5985" s="3" t="s">
        <v>68</v>
      </c>
      <c r="F5985" s="3" t="s">
        <v>148</v>
      </c>
      <c r="G5985" s="5">
        <v>1E-3</v>
      </c>
      <c r="H5985" s="6" t="s">
        <v>87</v>
      </c>
      <c r="I5985" s="3" t="s">
        <v>45</v>
      </c>
    </row>
    <row r="5986" spans="1:9" ht="48" customHeight="1">
      <c r="A5986" s="3" t="s">
        <v>79</v>
      </c>
      <c r="B5986" s="3" t="s">
        <v>78</v>
      </c>
      <c r="C5986" s="4">
        <v>43405</v>
      </c>
      <c r="D5986" s="4">
        <v>43434</v>
      </c>
      <c r="E5986" s="3" t="s">
        <v>68</v>
      </c>
      <c r="F5986" s="3" t="s">
        <v>155</v>
      </c>
      <c r="G5986" s="5">
        <v>0</v>
      </c>
      <c r="H5986" s="6" t="s">
        <v>87</v>
      </c>
      <c r="I5986" s="3" t="s">
        <v>45</v>
      </c>
    </row>
    <row r="5987" spans="1:9" ht="48" customHeight="1">
      <c r="A5987" s="3" t="s">
        <v>79</v>
      </c>
      <c r="B5987" s="3" t="s">
        <v>78</v>
      </c>
      <c r="C5987" s="4">
        <v>43405</v>
      </c>
      <c r="D5987" s="4">
        <v>43434</v>
      </c>
      <c r="E5987" s="3" t="s">
        <v>68</v>
      </c>
      <c r="F5987" s="3" t="s">
        <v>152</v>
      </c>
      <c r="G5987" s="5">
        <v>0</v>
      </c>
      <c r="H5987" s="6" t="s">
        <v>87</v>
      </c>
      <c r="I5987" s="3" t="s">
        <v>45</v>
      </c>
    </row>
    <row r="5988" spans="1:9" ht="48" customHeight="1">
      <c r="A5988" s="3" t="s">
        <v>79</v>
      </c>
      <c r="B5988" s="3" t="s">
        <v>78</v>
      </c>
      <c r="C5988" s="4">
        <v>43405</v>
      </c>
      <c r="D5988" s="4">
        <v>43434</v>
      </c>
      <c r="E5988" s="3" t="s">
        <v>68</v>
      </c>
      <c r="F5988" s="3" t="s">
        <v>157</v>
      </c>
      <c r="G5988" s="5">
        <v>0</v>
      </c>
      <c r="H5988" s="6" t="s">
        <v>87</v>
      </c>
      <c r="I5988" s="3" t="s">
        <v>45</v>
      </c>
    </row>
    <row r="5989" spans="1:9" ht="48" customHeight="1">
      <c r="A5989" s="3" t="s">
        <v>79</v>
      </c>
      <c r="B5989" s="3" t="s">
        <v>78</v>
      </c>
      <c r="C5989" s="4">
        <v>43405</v>
      </c>
      <c r="D5989" s="4">
        <v>43434</v>
      </c>
      <c r="E5989" s="3" t="s">
        <v>68</v>
      </c>
      <c r="F5989" s="3" t="s">
        <v>159</v>
      </c>
      <c r="G5989" s="5">
        <v>0</v>
      </c>
      <c r="H5989" s="6" t="s">
        <v>87</v>
      </c>
      <c r="I5989" s="3" t="s">
        <v>45</v>
      </c>
    </row>
    <row r="5990" spans="1:9" ht="48" customHeight="1">
      <c r="A5990" s="3" t="s">
        <v>79</v>
      </c>
      <c r="B5990" s="3" t="s">
        <v>78</v>
      </c>
      <c r="C5990" s="4">
        <v>43405</v>
      </c>
      <c r="D5990" s="4">
        <v>43434</v>
      </c>
      <c r="E5990" s="3" t="s">
        <v>68</v>
      </c>
      <c r="F5990" s="3" t="s">
        <v>160</v>
      </c>
      <c r="G5990" s="5">
        <v>0</v>
      </c>
      <c r="H5990" s="6" t="s">
        <v>87</v>
      </c>
      <c r="I5990" s="3" t="s">
        <v>45</v>
      </c>
    </row>
    <row r="5991" spans="1:9" ht="48" customHeight="1">
      <c r="A5991" s="3" t="s">
        <v>79</v>
      </c>
      <c r="B5991" s="3" t="s">
        <v>78</v>
      </c>
      <c r="C5991" s="4">
        <v>43405</v>
      </c>
      <c r="D5991" s="4">
        <v>43434</v>
      </c>
      <c r="E5991" s="3" t="s">
        <v>68</v>
      </c>
      <c r="F5991" s="3" t="s">
        <v>156</v>
      </c>
      <c r="G5991" s="5">
        <v>0</v>
      </c>
      <c r="H5991" s="6" t="s">
        <v>87</v>
      </c>
      <c r="I5991" s="3" t="s">
        <v>45</v>
      </c>
    </row>
    <row r="5992" spans="1:9" ht="48" customHeight="1">
      <c r="A5992" s="3" t="s">
        <v>79</v>
      </c>
      <c r="B5992" s="3" t="s">
        <v>78</v>
      </c>
      <c r="C5992" s="4">
        <v>43405</v>
      </c>
      <c r="D5992" s="4">
        <v>43434</v>
      </c>
      <c r="E5992" s="3" t="s">
        <v>68</v>
      </c>
      <c r="F5992" s="3" t="s">
        <v>158</v>
      </c>
      <c r="G5992" s="5">
        <v>0</v>
      </c>
      <c r="H5992" s="6" t="s">
        <v>87</v>
      </c>
      <c r="I5992" s="3" t="s">
        <v>45</v>
      </c>
    </row>
    <row r="5993" spans="1:9" ht="48" customHeight="1">
      <c r="A5993" s="3" t="s">
        <v>79</v>
      </c>
      <c r="B5993" s="3" t="s">
        <v>78</v>
      </c>
      <c r="C5993" s="4">
        <v>43405</v>
      </c>
      <c r="D5993" s="4">
        <v>43434</v>
      </c>
      <c r="E5993" s="3" t="s">
        <v>68</v>
      </c>
      <c r="F5993" s="3" t="s">
        <v>153</v>
      </c>
      <c r="G5993" s="5">
        <v>0</v>
      </c>
      <c r="H5993" s="6" t="s">
        <v>87</v>
      </c>
      <c r="I5993" s="3" t="s">
        <v>45</v>
      </c>
    </row>
    <row r="5994" spans="1:9" ht="48" customHeight="1">
      <c r="A5994" s="3" t="s">
        <v>79</v>
      </c>
      <c r="B5994" s="3" t="s">
        <v>78</v>
      </c>
      <c r="C5994" s="4">
        <v>43405</v>
      </c>
      <c r="D5994" s="4">
        <v>43434</v>
      </c>
      <c r="E5994" s="3" t="s">
        <v>68</v>
      </c>
      <c r="F5994" s="3" t="s">
        <v>146</v>
      </c>
      <c r="G5994" s="5">
        <v>0</v>
      </c>
      <c r="H5994" s="6" t="s">
        <v>87</v>
      </c>
      <c r="I5994" s="3" t="s">
        <v>45</v>
      </c>
    </row>
    <row r="5995" spans="1:9" ht="48" customHeight="1">
      <c r="A5995" s="3" t="s">
        <v>79</v>
      </c>
      <c r="B5995" s="3" t="s">
        <v>78</v>
      </c>
      <c r="C5995" s="4">
        <v>43405</v>
      </c>
      <c r="D5995" s="4">
        <v>43434</v>
      </c>
      <c r="E5995" s="3" t="s">
        <v>68</v>
      </c>
      <c r="F5995" s="3" t="s">
        <v>66</v>
      </c>
      <c r="G5995" s="5">
        <v>0</v>
      </c>
      <c r="H5995" s="6" t="s">
        <v>87</v>
      </c>
      <c r="I5995" s="3" t="s">
        <v>45</v>
      </c>
    </row>
    <row r="5996" spans="1:9" ht="48" customHeight="1">
      <c r="A5996" s="3" t="s">
        <v>79</v>
      </c>
      <c r="B5996" s="3" t="s">
        <v>78</v>
      </c>
      <c r="C5996" s="4">
        <v>43405</v>
      </c>
      <c r="D5996" s="4">
        <v>43434</v>
      </c>
      <c r="E5996" s="3" t="s">
        <v>68</v>
      </c>
      <c r="F5996" s="3" t="s">
        <v>154</v>
      </c>
      <c r="G5996" s="5">
        <v>0</v>
      </c>
      <c r="H5996" s="6" t="s">
        <v>87</v>
      </c>
      <c r="I5996" s="3" t="s">
        <v>45</v>
      </c>
    </row>
    <row r="5997" spans="1:9" ht="48" customHeight="1">
      <c r="A5997" s="3" t="s">
        <v>79</v>
      </c>
      <c r="B5997" s="3" t="s">
        <v>78</v>
      </c>
      <c r="C5997" s="4">
        <v>43405</v>
      </c>
      <c r="D5997" s="4">
        <v>43434</v>
      </c>
      <c r="E5997" s="3" t="s">
        <v>236</v>
      </c>
      <c r="F5997" s="3" t="s">
        <v>238</v>
      </c>
      <c r="G5997" s="5">
        <v>2E-3</v>
      </c>
      <c r="H5997" s="6" t="s">
        <v>87</v>
      </c>
      <c r="I5997" s="3" t="s">
        <v>45</v>
      </c>
    </row>
    <row r="5998" spans="1:9" ht="48" customHeight="1">
      <c r="A5998" s="3" t="s">
        <v>79</v>
      </c>
      <c r="B5998" s="3" t="s">
        <v>78</v>
      </c>
      <c r="C5998" s="4">
        <v>43405</v>
      </c>
      <c r="D5998" s="4">
        <v>43434</v>
      </c>
      <c r="E5998" s="3" t="s">
        <v>236</v>
      </c>
      <c r="F5998" s="3" t="s">
        <v>239</v>
      </c>
      <c r="G5998" s="5">
        <v>2E-3</v>
      </c>
      <c r="H5998" s="6" t="s">
        <v>87</v>
      </c>
      <c r="I5998" s="3" t="s">
        <v>45</v>
      </c>
    </row>
    <row r="5999" spans="1:9" ht="48" customHeight="1">
      <c r="A5999" s="3" t="s">
        <v>79</v>
      </c>
      <c r="B5999" s="3" t="s">
        <v>78</v>
      </c>
      <c r="C5999" s="4">
        <v>43405</v>
      </c>
      <c r="D5999" s="4">
        <v>43434</v>
      </c>
      <c r="E5999" s="3" t="s">
        <v>236</v>
      </c>
      <c r="F5999" s="3" t="s">
        <v>232</v>
      </c>
      <c r="G5999" s="5">
        <v>2E-3</v>
      </c>
      <c r="H5999" s="6" t="s">
        <v>87</v>
      </c>
      <c r="I5999" s="3" t="s">
        <v>45</v>
      </c>
    </row>
    <row r="6000" spans="1:9" ht="48" customHeight="1">
      <c r="A6000" s="3" t="s">
        <v>79</v>
      </c>
      <c r="B6000" s="3" t="s">
        <v>78</v>
      </c>
      <c r="C6000" s="4">
        <v>43405</v>
      </c>
      <c r="D6000" s="4">
        <v>43434</v>
      </c>
      <c r="E6000" s="3" t="s">
        <v>236</v>
      </c>
      <c r="F6000" s="3" t="s">
        <v>230</v>
      </c>
      <c r="G6000" s="5">
        <v>1E-3</v>
      </c>
      <c r="H6000" s="6" t="s">
        <v>87</v>
      </c>
      <c r="I6000" s="3" t="s">
        <v>45</v>
      </c>
    </row>
    <row r="6001" spans="1:9" ht="48" customHeight="1">
      <c r="A6001" s="3" t="s">
        <v>79</v>
      </c>
      <c r="B6001" s="3" t="s">
        <v>78</v>
      </c>
      <c r="C6001" s="4">
        <v>43405</v>
      </c>
      <c r="D6001" s="4">
        <v>43434</v>
      </c>
      <c r="E6001" s="3" t="s">
        <v>236</v>
      </c>
      <c r="F6001" s="3" t="s">
        <v>240</v>
      </c>
      <c r="G6001" s="5">
        <v>1E-3</v>
      </c>
      <c r="H6001" s="6" t="s">
        <v>87</v>
      </c>
      <c r="I6001" s="3" t="s">
        <v>45</v>
      </c>
    </row>
    <row r="6002" spans="1:9" ht="48" customHeight="1">
      <c r="A6002" s="3" t="s">
        <v>79</v>
      </c>
      <c r="B6002" s="3" t="s">
        <v>78</v>
      </c>
      <c r="C6002" s="4">
        <v>43405</v>
      </c>
      <c r="D6002" s="4">
        <v>43434</v>
      </c>
      <c r="E6002" s="3" t="s">
        <v>236</v>
      </c>
      <c r="F6002" s="3" t="s">
        <v>237</v>
      </c>
      <c r="G6002" s="5">
        <v>1E-3</v>
      </c>
      <c r="H6002" s="6" t="s">
        <v>87</v>
      </c>
      <c r="I6002" s="3" t="s">
        <v>45</v>
      </c>
    </row>
    <row r="6003" spans="1:9" ht="48" customHeight="1">
      <c r="A6003" s="3" t="s">
        <v>79</v>
      </c>
      <c r="B6003" s="3" t="s">
        <v>78</v>
      </c>
      <c r="C6003" s="4">
        <v>43405</v>
      </c>
      <c r="D6003" s="4">
        <v>43434</v>
      </c>
      <c r="E6003" s="3" t="s">
        <v>236</v>
      </c>
      <c r="F6003" s="3" t="s">
        <v>241</v>
      </c>
      <c r="G6003" s="5">
        <v>1E-3</v>
      </c>
      <c r="H6003" s="6" t="s">
        <v>87</v>
      </c>
      <c r="I6003" s="3" t="s">
        <v>45</v>
      </c>
    </row>
    <row r="6004" spans="1:9" ht="48" customHeight="1">
      <c r="A6004" s="3" t="s">
        <v>79</v>
      </c>
      <c r="B6004" s="3" t="s">
        <v>78</v>
      </c>
      <c r="C6004" s="4">
        <v>43405</v>
      </c>
      <c r="D6004" s="4">
        <v>43434</v>
      </c>
      <c r="E6004" s="3" t="s">
        <v>236</v>
      </c>
      <c r="F6004" s="3" t="s">
        <v>234</v>
      </c>
      <c r="G6004" s="5">
        <v>0</v>
      </c>
      <c r="H6004" s="6" t="s">
        <v>87</v>
      </c>
      <c r="I6004" s="3" t="s">
        <v>45</v>
      </c>
    </row>
    <row r="6005" spans="1:9" ht="48" customHeight="1">
      <c r="A6005" s="3" t="s">
        <v>79</v>
      </c>
      <c r="B6005" s="3" t="s">
        <v>78</v>
      </c>
      <c r="C6005" s="4">
        <v>43405</v>
      </c>
      <c r="D6005" s="4">
        <v>43434</v>
      </c>
      <c r="E6005" s="3" t="s">
        <v>236</v>
      </c>
      <c r="F6005" s="3" t="s">
        <v>242</v>
      </c>
      <c r="G6005" s="5">
        <v>0</v>
      </c>
      <c r="H6005" s="6" t="s">
        <v>87</v>
      </c>
      <c r="I6005" s="3" t="s">
        <v>45</v>
      </c>
    </row>
    <row r="6006" spans="1:9" ht="48" customHeight="1">
      <c r="A6006" s="3" t="s">
        <v>79</v>
      </c>
      <c r="B6006" s="3" t="s">
        <v>78</v>
      </c>
      <c r="C6006" s="4">
        <v>43405</v>
      </c>
      <c r="D6006" s="4">
        <v>43434</v>
      </c>
      <c r="E6006" s="3" t="s">
        <v>236</v>
      </c>
      <c r="F6006" s="3" t="s">
        <v>243</v>
      </c>
      <c r="G6006" s="5">
        <v>0</v>
      </c>
      <c r="H6006" s="6" t="s">
        <v>87</v>
      </c>
      <c r="I6006" s="3" t="s">
        <v>45</v>
      </c>
    </row>
    <row r="6007" spans="1:9" ht="48" customHeight="1">
      <c r="A6007" s="3" t="s">
        <v>79</v>
      </c>
      <c r="B6007" s="3" t="s">
        <v>78</v>
      </c>
      <c r="C6007" s="4">
        <v>43405</v>
      </c>
      <c r="D6007" s="4">
        <v>43434</v>
      </c>
      <c r="E6007" s="3" t="s">
        <v>260</v>
      </c>
      <c r="F6007" s="3" t="s">
        <v>232</v>
      </c>
      <c r="G6007" s="5">
        <v>1E-3</v>
      </c>
      <c r="H6007" s="6" t="s">
        <v>87</v>
      </c>
      <c r="I6007" s="3" t="s">
        <v>45</v>
      </c>
    </row>
    <row r="6008" spans="1:9" ht="48" customHeight="1">
      <c r="A6008" s="3" t="s">
        <v>79</v>
      </c>
      <c r="B6008" s="3" t="s">
        <v>78</v>
      </c>
      <c r="C6008" s="4">
        <v>43405</v>
      </c>
      <c r="D6008" s="4">
        <v>43434</v>
      </c>
      <c r="E6008" s="3" t="s">
        <v>260</v>
      </c>
      <c r="F6008" s="3" t="s">
        <v>262</v>
      </c>
      <c r="G6008" s="5">
        <v>1E-3</v>
      </c>
      <c r="H6008" s="6" t="s">
        <v>87</v>
      </c>
      <c r="I6008" s="3" t="s">
        <v>45</v>
      </c>
    </row>
    <row r="6009" spans="1:9" ht="48" customHeight="1">
      <c r="A6009" s="3" t="s">
        <v>79</v>
      </c>
      <c r="B6009" s="3" t="s">
        <v>78</v>
      </c>
      <c r="C6009" s="4">
        <v>43405</v>
      </c>
      <c r="D6009" s="4">
        <v>43434</v>
      </c>
      <c r="E6009" s="3" t="s">
        <v>260</v>
      </c>
      <c r="F6009" s="3" t="s">
        <v>261</v>
      </c>
      <c r="G6009" s="5">
        <v>1E-3</v>
      </c>
      <c r="H6009" s="6" t="s">
        <v>87</v>
      </c>
      <c r="I6009" s="3" t="s">
        <v>45</v>
      </c>
    </row>
    <row r="6010" spans="1:9" ht="48" customHeight="1">
      <c r="A6010" s="3" t="s">
        <v>79</v>
      </c>
      <c r="B6010" s="3" t="s">
        <v>78</v>
      </c>
      <c r="C6010" s="4">
        <v>43405</v>
      </c>
      <c r="D6010" s="4">
        <v>43434</v>
      </c>
      <c r="E6010" s="3" t="s">
        <v>260</v>
      </c>
      <c r="F6010" s="3" t="s">
        <v>266</v>
      </c>
      <c r="G6010" s="5">
        <v>1E-3</v>
      </c>
      <c r="H6010" s="6" t="s">
        <v>87</v>
      </c>
      <c r="I6010" s="3" t="s">
        <v>45</v>
      </c>
    </row>
    <row r="6011" spans="1:9" ht="48" customHeight="1">
      <c r="A6011" s="3" t="s">
        <v>79</v>
      </c>
      <c r="B6011" s="3" t="s">
        <v>78</v>
      </c>
      <c r="C6011" s="4">
        <v>43405</v>
      </c>
      <c r="D6011" s="4">
        <v>43434</v>
      </c>
      <c r="E6011" s="3" t="s">
        <v>260</v>
      </c>
      <c r="F6011" s="3" t="s">
        <v>264</v>
      </c>
      <c r="G6011" s="5">
        <v>1E-3</v>
      </c>
      <c r="H6011" s="6" t="s">
        <v>87</v>
      </c>
      <c r="I6011" s="3" t="s">
        <v>45</v>
      </c>
    </row>
    <row r="6012" spans="1:9" ht="48" customHeight="1">
      <c r="A6012" s="3" t="s">
        <v>79</v>
      </c>
      <c r="B6012" s="3" t="s">
        <v>78</v>
      </c>
      <c r="C6012" s="4">
        <v>43405</v>
      </c>
      <c r="D6012" s="4">
        <v>43434</v>
      </c>
      <c r="E6012" s="3" t="s">
        <v>260</v>
      </c>
      <c r="F6012" s="3" t="s">
        <v>268</v>
      </c>
      <c r="G6012" s="5">
        <v>1E-3</v>
      </c>
      <c r="H6012" s="6" t="s">
        <v>87</v>
      </c>
      <c r="I6012" s="3" t="s">
        <v>45</v>
      </c>
    </row>
    <row r="6013" spans="1:9" ht="48" customHeight="1">
      <c r="A6013" s="3" t="s">
        <v>79</v>
      </c>
      <c r="B6013" s="3" t="s">
        <v>78</v>
      </c>
      <c r="C6013" s="4">
        <v>43405</v>
      </c>
      <c r="D6013" s="4">
        <v>43434</v>
      </c>
      <c r="E6013" s="3" t="s">
        <v>260</v>
      </c>
      <c r="F6013" s="3" t="s">
        <v>234</v>
      </c>
      <c r="G6013" s="5">
        <v>0</v>
      </c>
      <c r="H6013" s="6" t="s">
        <v>87</v>
      </c>
      <c r="I6013" s="3" t="s">
        <v>45</v>
      </c>
    </row>
    <row r="6014" spans="1:9" ht="48" customHeight="1">
      <c r="A6014" s="3" t="s">
        <v>79</v>
      </c>
      <c r="B6014" s="3" t="s">
        <v>78</v>
      </c>
      <c r="C6014" s="4">
        <v>43405</v>
      </c>
      <c r="D6014" s="4">
        <v>43434</v>
      </c>
      <c r="E6014" s="3" t="s">
        <v>260</v>
      </c>
      <c r="F6014" s="3" t="s">
        <v>265</v>
      </c>
      <c r="G6014" s="5">
        <v>0</v>
      </c>
      <c r="H6014" s="6" t="s">
        <v>87</v>
      </c>
      <c r="I6014" s="3" t="s">
        <v>45</v>
      </c>
    </row>
    <row r="6015" spans="1:9" ht="48" customHeight="1">
      <c r="A6015" s="3" t="s">
        <v>79</v>
      </c>
      <c r="B6015" s="3" t="s">
        <v>78</v>
      </c>
      <c r="C6015" s="4">
        <v>43405</v>
      </c>
      <c r="D6015" s="4">
        <v>43434</v>
      </c>
      <c r="E6015" s="3" t="s">
        <v>260</v>
      </c>
      <c r="F6015" s="3" t="s">
        <v>263</v>
      </c>
      <c r="G6015" s="5">
        <v>0</v>
      </c>
      <c r="H6015" s="6" t="s">
        <v>87</v>
      </c>
      <c r="I6015" s="3" t="s">
        <v>45</v>
      </c>
    </row>
    <row r="6016" spans="1:9" ht="48" customHeight="1">
      <c r="A6016" s="3" t="s">
        <v>79</v>
      </c>
      <c r="B6016" s="3" t="s">
        <v>78</v>
      </c>
      <c r="C6016" s="4">
        <v>43405</v>
      </c>
      <c r="D6016" s="4">
        <v>43434</v>
      </c>
      <c r="E6016" s="3" t="s">
        <v>260</v>
      </c>
      <c r="F6016" s="3" t="s">
        <v>267</v>
      </c>
      <c r="G6016" s="5">
        <v>0</v>
      </c>
      <c r="H6016" s="6" t="s">
        <v>87</v>
      </c>
      <c r="I6016" s="3" t="s">
        <v>45</v>
      </c>
    </row>
    <row r="6017" spans="1:9" ht="48" customHeight="1">
      <c r="A6017" s="3" t="s">
        <v>79</v>
      </c>
      <c r="B6017" s="3" t="s">
        <v>78</v>
      </c>
      <c r="C6017" s="4">
        <v>43405</v>
      </c>
      <c r="D6017" s="4">
        <v>43434</v>
      </c>
      <c r="E6017" s="3" t="s">
        <v>260</v>
      </c>
      <c r="F6017" s="3" t="s">
        <v>273</v>
      </c>
      <c r="G6017" s="5">
        <v>0</v>
      </c>
      <c r="H6017" s="6" t="s">
        <v>87</v>
      </c>
      <c r="I6017" s="3" t="s">
        <v>45</v>
      </c>
    </row>
    <row r="6018" spans="1:9" ht="48" customHeight="1">
      <c r="A6018" s="3" t="s">
        <v>79</v>
      </c>
      <c r="B6018" s="3" t="s">
        <v>78</v>
      </c>
      <c r="C6018" s="4">
        <v>43405</v>
      </c>
      <c r="D6018" s="4">
        <v>43434</v>
      </c>
      <c r="E6018" s="3" t="s">
        <v>260</v>
      </c>
      <c r="F6018" s="3" t="s">
        <v>274</v>
      </c>
      <c r="G6018" s="5">
        <v>0</v>
      </c>
      <c r="H6018" s="6" t="s">
        <v>87</v>
      </c>
      <c r="I6018" s="3" t="s">
        <v>45</v>
      </c>
    </row>
    <row r="6019" spans="1:9" ht="48" customHeight="1">
      <c r="A6019" s="3" t="s">
        <v>79</v>
      </c>
      <c r="B6019" s="3" t="s">
        <v>78</v>
      </c>
      <c r="C6019" s="4">
        <v>43405</v>
      </c>
      <c r="D6019" s="4">
        <v>43434</v>
      </c>
      <c r="E6019" s="3" t="s">
        <v>260</v>
      </c>
      <c r="F6019" s="3" t="s">
        <v>275</v>
      </c>
      <c r="G6019" s="5">
        <v>0</v>
      </c>
      <c r="H6019" s="6" t="s">
        <v>87</v>
      </c>
      <c r="I6019" s="3" t="s">
        <v>45</v>
      </c>
    </row>
    <row r="6020" spans="1:9" ht="48" customHeight="1">
      <c r="A6020" s="3" t="s">
        <v>79</v>
      </c>
      <c r="B6020" s="3" t="s">
        <v>78</v>
      </c>
      <c r="C6020" s="4">
        <v>43405</v>
      </c>
      <c r="D6020" s="4">
        <v>43434</v>
      </c>
      <c r="E6020" s="3" t="s">
        <v>260</v>
      </c>
      <c r="F6020" s="3" t="s">
        <v>276</v>
      </c>
      <c r="G6020" s="5">
        <v>0</v>
      </c>
      <c r="H6020" s="6" t="s">
        <v>87</v>
      </c>
      <c r="I6020" s="3" t="s">
        <v>45</v>
      </c>
    </row>
    <row r="6021" spans="1:9" ht="48" customHeight="1">
      <c r="A6021" s="3" t="s">
        <v>79</v>
      </c>
      <c r="B6021" s="3" t="s">
        <v>78</v>
      </c>
      <c r="C6021" s="4">
        <v>43405</v>
      </c>
      <c r="D6021" s="4">
        <v>43434</v>
      </c>
      <c r="E6021" s="3" t="s">
        <v>260</v>
      </c>
      <c r="F6021" s="3" t="s">
        <v>277</v>
      </c>
      <c r="G6021" s="5">
        <v>0</v>
      </c>
      <c r="H6021" s="6" t="s">
        <v>87</v>
      </c>
      <c r="I6021" s="3" t="s">
        <v>45</v>
      </c>
    </row>
    <row r="6022" spans="1:9" ht="48" customHeight="1">
      <c r="A6022" s="3" t="s">
        <v>79</v>
      </c>
      <c r="B6022" s="3" t="s">
        <v>78</v>
      </c>
      <c r="C6022" s="4">
        <v>43405</v>
      </c>
      <c r="D6022" s="4">
        <v>43434</v>
      </c>
      <c r="E6022" s="3" t="s">
        <v>260</v>
      </c>
      <c r="F6022" s="3" t="s">
        <v>278</v>
      </c>
      <c r="G6022" s="5">
        <v>0</v>
      </c>
      <c r="H6022" s="6" t="s">
        <v>87</v>
      </c>
      <c r="I6022" s="3" t="s">
        <v>45</v>
      </c>
    </row>
    <row r="6023" spans="1:9" ht="48" customHeight="1">
      <c r="A6023" s="3" t="s">
        <v>79</v>
      </c>
      <c r="B6023" s="3" t="s">
        <v>78</v>
      </c>
      <c r="C6023" s="4">
        <v>43405</v>
      </c>
      <c r="D6023" s="4">
        <v>43434</v>
      </c>
      <c r="E6023" s="3" t="s">
        <v>260</v>
      </c>
      <c r="F6023" s="3" t="s">
        <v>269</v>
      </c>
      <c r="G6023" s="5">
        <v>0</v>
      </c>
      <c r="H6023" s="6" t="s">
        <v>87</v>
      </c>
      <c r="I6023" s="3" t="s">
        <v>45</v>
      </c>
    </row>
    <row r="6024" spans="1:9" ht="48" customHeight="1">
      <c r="A6024" s="3" t="s">
        <v>79</v>
      </c>
      <c r="B6024" s="3" t="s">
        <v>78</v>
      </c>
      <c r="C6024" s="4">
        <v>43405</v>
      </c>
      <c r="D6024" s="4">
        <v>43434</v>
      </c>
      <c r="E6024" s="3" t="s">
        <v>260</v>
      </c>
      <c r="F6024" s="3" t="s">
        <v>279</v>
      </c>
      <c r="G6024" s="5">
        <v>0</v>
      </c>
      <c r="H6024" s="6" t="s">
        <v>87</v>
      </c>
      <c r="I6024" s="3" t="s">
        <v>45</v>
      </c>
    </row>
    <row r="6025" spans="1:9" ht="48" customHeight="1">
      <c r="A6025" s="3" t="s">
        <v>79</v>
      </c>
      <c r="B6025" s="3" t="s">
        <v>78</v>
      </c>
      <c r="C6025" s="4">
        <v>43405</v>
      </c>
      <c r="D6025" s="4">
        <v>43434</v>
      </c>
      <c r="E6025" s="3" t="s">
        <v>260</v>
      </c>
      <c r="F6025" s="3" t="s">
        <v>270</v>
      </c>
      <c r="G6025" s="5">
        <v>0</v>
      </c>
      <c r="H6025" s="6" t="s">
        <v>87</v>
      </c>
      <c r="I6025" s="3" t="s">
        <v>45</v>
      </c>
    </row>
    <row r="6026" spans="1:9" ht="48" customHeight="1">
      <c r="A6026" s="3" t="s">
        <v>79</v>
      </c>
      <c r="B6026" s="3" t="s">
        <v>78</v>
      </c>
      <c r="C6026" s="4">
        <v>43405</v>
      </c>
      <c r="D6026" s="4">
        <v>43434</v>
      </c>
      <c r="E6026" s="3" t="s">
        <v>260</v>
      </c>
      <c r="F6026" s="3" t="s">
        <v>280</v>
      </c>
      <c r="G6026" s="5">
        <v>0</v>
      </c>
      <c r="H6026" s="6" t="s">
        <v>87</v>
      </c>
      <c r="I6026" s="3" t="s">
        <v>45</v>
      </c>
    </row>
    <row r="6027" spans="1:9" ht="48" customHeight="1">
      <c r="A6027" s="3" t="s">
        <v>79</v>
      </c>
      <c r="B6027" s="3" t="s">
        <v>78</v>
      </c>
      <c r="C6027" s="4">
        <v>43405</v>
      </c>
      <c r="D6027" s="4">
        <v>43434</v>
      </c>
      <c r="E6027" s="3" t="s">
        <v>260</v>
      </c>
      <c r="F6027" s="3" t="s">
        <v>271</v>
      </c>
      <c r="G6027" s="5">
        <v>0</v>
      </c>
      <c r="H6027" s="6" t="s">
        <v>87</v>
      </c>
      <c r="I6027" s="3" t="s">
        <v>45</v>
      </c>
    </row>
    <row r="6028" spans="1:9" ht="48" customHeight="1">
      <c r="A6028" s="3" t="s">
        <v>79</v>
      </c>
      <c r="B6028" s="3" t="s">
        <v>78</v>
      </c>
      <c r="C6028" s="4">
        <v>43405</v>
      </c>
      <c r="D6028" s="4">
        <v>43434</v>
      </c>
      <c r="E6028" s="3" t="s">
        <v>260</v>
      </c>
      <c r="F6028" s="3" t="s">
        <v>281</v>
      </c>
      <c r="G6028" s="5">
        <v>0</v>
      </c>
      <c r="H6028" s="6" t="s">
        <v>87</v>
      </c>
      <c r="I6028" s="3" t="s">
        <v>45</v>
      </c>
    </row>
    <row r="6029" spans="1:9" ht="48" customHeight="1">
      <c r="A6029" s="3" t="s">
        <v>79</v>
      </c>
      <c r="B6029" s="3" t="s">
        <v>78</v>
      </c>
      <c r="C6029" s="4">
        <v>43405</v>
      </c>
      <c r="D6029" s="4">
        <v>43434</v>
      </c>
      <c r="E6029" s="3" t="s">
        <v>260</v>
      </c>
      <c r="F6029" s="3" t="s">
        <v>272</v>
      </c>
      <c r="G6029" s="5">
        <v>0</v>
      </c>
      <c r="H6029" s="6" t="s">
        <v>87</v>
      </c>
      <c r="I6029" s="3" t="s">
        <v>45</v>
      </c>
    </row>
    <row r="6030" spans="1:9" ht="48" customHeight="1">
      <c r="A6030" s="3" t="s">
        <v>79</v>
      </c>
      <c r="B6030" s="3" t="s">
        <v>78</v>
      </c>
      <c r="C6030" s="4">
        <v>43405</v>
      </c>
      <c r="D6030" s="4">
        <v>43434</v>
      </c>
      <c r="E6030" s="3" t="s">
        <v>260</v>
      </c>
      <c r="F6030" s="3" t="s">
        <v>282</v>
      </c>
      <c r="G6030" s="5">
        <v>0</v>
      </c>
      <c r="H6030" s="6" t="s">
        <v>87</v>
      </c>
      <c r="I6030" s="3" t="s">
        <v>45</v>
      </c>
    </row>
    <row r="6031" spans="1:9" ht="48" customHeight="1">
      <c r="A6031" s="3" t="s">
        <v>79</v>
      </c>
      <c r="B6031" s="3" t="s">
        <v>78</v>
      </c>
      <c r="C6031" s="4">
        <v>43405</v>
      </c>
      <c r="D6031" s="4">
        <v>43434</v>
      </c>
      <c r="E6031" s="3" t="s">
        <v>260</v>
      </c>
      <c r="F6031" s="3" t="s">
        <v>283</v>
      </c>
      <c r="G6031" s="5">
        <v>0</v>
      </c>
      <c r="H6031" s="6" t="s">
        <v>87</v>
      </c>
      <c r="I6031" s="3" t="s">
        <v>45</v>
      </c>
    </row>
    <row r="6032" spans="1:9" ht="48" customHeight="1">
      <c r="A6032" s="3" t="s">
        <v>79</v>
      </c>
      <c r="B6032" s="3" t="s">
        <v>78</v>
      </c>
      <c r="C6032" s="4">
        <v>43405</v>
      </c>
      <c r="D6032" s="4">
        <v>43434</v>
      </c>
      <c r="E6032" s="3" t="s">
        <v>260</v>
      </c>
      <c r="F6032" s="3" t="s">
        <v>284</v>
      </c>
      <c r="G6032" s="5">
        <v>0</v>
      </c>
      <c r="H6032" s="6" t="s">
        <v>87</v>
      </c>
      <c r="I6032" s="3" t="s">
        <v>45</v>
      </c>
    </row>
    <row r="6033" spans="1:9" ht="48" customHeight="1">
      <c r="A6033" s="3" t="s">
        <v>79</v>
      </c>
      <c r="B6033" s="3" t="s">
        <v>78</v>
      </c>
      <c r="C6033" s="4">
        <v>43405</v>
      </c>
      <c r="D6033" s="4">
        <v>43434</v>
      </c>
      <c r="E6033" s="3" t="s">
        <v>260</v>
      </c>
      <c r="F6033" s="3" t="s">
        <v>285</v>
      </c>
      <c r="G6033" s="5">
        <v>0</v>
      </c>
      <c r="H6033" s="6" t="s">
        <v>87</v>
      </c>
      <c r="I6033" s="3" t="s">
        <v>45</v>
      </c>
    </row>
    <row r="6034" spans="1:9" ht="48" customHeight="1">
      <c r="A6034" s="3" t="s">
        <v>79</v>
      </c>
      <c r="B6034" s="3" t="s">
        <v>78</v>
      </c>
      <c r="C6034" s="4">
        <v>43405</v>
      </c>
      <c r="D6034" s="4">
        <v>43434</v>
      </c>
      <c r="E6034" s="3" t="s">
        <v>231</v>
      </c>
      <c r="F6034" s="3" t="s">
        <v>232</v>
      </c>
      <c r="G6034" s="5">
        <v>2E-3</v>
      </c>
      <c r="H6034" s="6" t="s">
        <v>87</v>
      </c>
      <c r="I6034" s="3" t="s">
        <v>45</v>
      </c>
    </row>
    <row r="6035" spans="1:9" ht="48" customHeight="1">
      <c r="A6035" s="3" t="s">
        <v>79</v>
      </c>
      <c r="B6035" s="3" t="s">
        <v>78</v>
      </c>
      <c r="C6035" s="4">
        <v>43405</v>
      </c>
      <c r="D6035" s="4">
        <v>43434</v>
      </c>
      <c r="E6035" s="3" t="s">
        <v>231</v>
      </c>
      <c r="F6035" s="3" t="s">
        <v>233</v>
      </c>
      <c r="G6035" s="5">
        <v>2E-3</v>
      </c>
      <c r="H6035" s="6" t="s">
        <v>87</v>
      </c>
      <c r="I6035" s="3" t="s">
        <v>45</v>
      </c>
    </row>
    <row r="6036" spans="1:9" ht="48" customHeight="1">
      <c r="A6036" s="3" t="s">
        <v>79</v>
      </c>
      <c r="B6036" s="3" t="s">
        <v>78</v>
      </c>
      <c r="C6036" s="4">
        <v>43405</v>
      </c>
      <c r="D6036" s="4">
        <v>43434</v>
      </c>
      <c r="E6036" s="3" t="s">
        <v>231</v>
      </c>
      <c r="F6036" s="3" t="s">
        <v>234</v>
      </c>
      <c r="G6036" s="5">
        <v>1E-3</v>
      </c>
      <c r="H6036" s="6" t="s">
        <v>87</v>
      </c>
      <c r="I6036" s="3" t="s">
        <v>45</v>
      </c>
    </row>
    <row r="6037" spans="1:9" ht="48" customHeight="1">
      <c r="A6037" s="3" t="s">
        <v>79</v>
      </c>
      <c r="B6037" s="3" t="s">
        <v>78</v>
      </c>
      <c r="C6037" s="4">
        <v>43405</v>
      </c>
      <c r="D6037" s="4">
        <v>43434</v>
      </c>
      <c r="E6037" s="3" t="s">
        <v>231</v>
      </c>
      <c r="F6037" s="3" t="s">
        <v>230</v>
      </c>
      <c r="G6037" s="5">
        <v>1E-3</v>
      </c>
      <c r="H6037" s="6" t="s">
        <v>87</v>
      </c>
      <c r="I6037" s="3" t="s">
        <v>45</v>
      </c>
    </row>
    <row r="6038" spans="1:9" ht="48" customHeight="1">
      <c r="A6038" s="3" t="s">
        <v>79</v>
      </c>
      <c r="B6038" s="3" t="s">
        <v>78</v>
      </c>
      <c r="C6038" s="4">
        <v>43405</v>
      </c>
      <c r="D6038" s="4">
        <v>43434</v>
      </c>
      <c r="E6038" s="3" t="s">
        <v>231</v>
      </c>
      <c r="F6038" s="3" t="s">
        <v>235</v>
      </c>
      <c r="G6038" s="5">
        <v>1E-3</v>
      </c>
      <c r="H6038" s="6" t="s">
        <v>87</v>
      </c>
      <c r="I6038" s="3" t="s">
        <v>45</v>
      </c>
    </row>
    <row r="6039" spans="1:9" ht="48" customHeight="1">
      <c r="A6039" s="3" t="s">
        <v>79</v>
      </c>
      <c r="B6039" s="3" t="s">
        <v>78</v>
      </c>
      <c r="C6039" s="4">
        <v>43405</v>
      </c>
      <c r="D6039" s="4">
        <v>43434</v>
      </c>
      <c r="E6039" s="3" t="s">
        <v>301</v>
      </c>
      <c r="F6039" s="3" t="s">
        <v>301</v>
      </c>
      <c r="G6039" s="5">
        <v>3.0000000000000001E-3</v>
      </c>
      <c r="H6039" s="6" t="s">
        <v>87</v>
      </c>
      <c r="I6039" s="3" t="s">
        <v>45</v>
      </c>
    </row>
    <row r="6040" spans="1:9" ht="48" customHeight="1">
      <c r="A6040" s="3" t="s">
        <v>79</v>
      </c>
      <c r="B6040" s="3" t="s">
        <v>78</v>
      </c>
      <c r="C6040" s="4">
        <v>43405</v>
      </c>
      <c r="D6040" s="4">
        <v>43434</v>
      </c>
      <c r="E6040" s="3" t="s">
        <v>244</v>
      </c>
      <c r="F6040" s="3" t="s">
        <v>245</v>
      </c>
      <c r="G6040" s="5">
        <v>1E-3</v>
      </c>
      <c r="H6040" s="6" t="s">
        <v>87</v>
      </c>
      <c r="I6040" s="3" t="s">
        <v>45</v>
      </c>
    </row>
    <row r="6041" spans="1:9" ht="48" customHeight="1">
      <c r="A6041" s="3" t="s">
        <v>79</v>
      </c>
      <c r="B6041" s="3" t="s">
        <v>78</v>
      </c>
      <c r="C6041" s="4">
        <v>43405</v>
      </c>
      <c r="D6041" s="4">
        <v>43434</v>
      </c>
      <c r="E6041" s="3" t="s">
        <v>244</v>
      </c>
      <c r="F6041" s="3" t="s">
        <v>246</v>
      </c>
      <c r="G6041" s="5">
        <v>1E-3</v>
      </c>
      <c r="H6041" s="6" t="s">
        <v>87</v>
      </c>
      <c r="I6041" s="3" t="s">
        <v>45</v>
      </c>
    </row>
    <row r="6042" spans="1:9" ht="48" customHeight="1">
      <c r="A6042" s="3" t="s">
        <v>79</v>
      </c>
      <c r="B6042" s="3" t="s">
        <v>78</v>
      </c>
      <c r="C6042" s="4">
        <v>43405</v>
      </c>
      <c r="D6042" s="4">
        <v>43434</v>
      </c>
      <c r="E6042" s="3" t="s">
        <v>244</v>
      </c>
      <c r="F6042" s="3" t="s">
        <v>248</v>
      </c>
      <c r="G6042" s="5">
        <v>0</v>
      </c>
      <c r="H6042" s="6" t="s">
        <v>87</v>
      </c>
      <c r="I6042" s="3" t="s">
        <v>45</v>
      </c>
    </row>
    <row r="6043" spans="1:9" ht="48" customHeight="1">
      <c r="A6043" s="3" t="s">
        <v>79</v>
      </c>
      <c r="B6043" s="3" t="s">
        <v>78</v>
      </c>
      <c r="C6043" s="4">
        <v>43405</v>
      </c>
      <c r="D6043" s="4">
        <v>43434</v>
      </c>
      <c r="E6043" s="3" t="s">
        <v>244</v>
      </c>
      <c r="F6043" s="3" t="s">
        <v>247</v>
      </c>
      <c r="G6043" s="5">
        <v>0</v>
      </c>
      <c r="H6043" s="6" t="s">
        <v>87</v>
      </c>
      <c r="I6043" s="3" t="s">
        <v>45</v>
      </c>
    </row>
    <row r="6044" spans="1:9" ht="48" customHeight="1">
      <c r="A6044" s="3" t="s">
        <v>79</v>
      </c>
      <c r="B6044" s="3" t="s">
        <v>78</v>
      </c>
      <c r="C6044" s="4">
        <v>43405</v>
      </c>
      <c r="D6044" s="4">
        <v>43434</v>
      </c>
      <c r="E6044" s="3" t="s">
        <v>244</v>
      </c>
      <c r="F6044" s="3" t="s">
        <v>250</v>
      </c>
      <c r="G6044" s="5">
        <v>0</v>
      </c>
      <c r="H6044" s="6" t="s">
        <v>87</v>
      </c>
      <c r="I6044" s="3" t="s">
        <v>45</v>
      </c>
    </row>
    <row r="6045" spans="1:9" ht="48" customHeight="1">
      <c r="A6045" s="3" t="s">
        <v>79</v>
      </c>
      <c r="B6045" s="3" t="s">
        <v>78</v>
      </c>
      <c r="C6045" s="4">
        <v>43405</v>
      </c>
      <c r="D6045" s="4">
        <v>43434</v>
      </c>
      <c r="E6045" s="3" t="s">
        <v>244</v>
      </c>
      <c r="F6045" s="3" t="s">
        <v>251</v>
      </c>
      <c r="G6045" s="5">
        <v>0</v>
      </c>
      <c r="H6045" s="6" t="s">
        <v>87</v>
      </c>
      <c r="I6045" s="3" t="s">
        <v>45</v>
      </c>
    </row>
    <row r="6046" spans="1:9" ht="48" customHeight="1">
      <c r="A6046" s="3" t="s">
        <v>79</v>
      </c>
      <c r="B6046" s="3" t="s">
        <v>78</v>
      </c>
      <c r="C6046" s="4">
        <v>43405</v>
      </c>
      <c r="D6046" s="4">
        <v>43434</v>
      </c>
      <c r="E6046" s="3" t="s">
        <v>244</v>
      </c>
      <c r="F6046" s="3" t="s">
        <v>252</v>
      </c>
      <c r="G6046" s="5">
        <v>0</v>
      </c>
      <c r="H6046" s="6" t="s">
        <v>87</v>
      </c>
      <c r="I6046" s="3" t="s">
        <v>45</v>
      </c>
    </row>
    <row r="6047" spans="1:9" ht="48" customHeight="1">
      <c r="A6047" s="3" t="s">
        <v>79</v>
      </c>
      <c r="B6047" s="3" t="s">
        <v>78</v>
      </c>
      <c r="C6047" s="4">
        <v>43405</v>
      </c>
      <c r="D6047" s="4">
        <v>43434</v>
      </c>
      <c r="E6047" s="3" t="s">
        <v>244</v>
      </c>
      <c r="F6047" s="3" t="s">
        <v>249</v>
      </c>
      <c r="G6047" s="5">
        <v>0</v>
      </c>
      <c r="H6047" s="6" t="s">
        <v>87</v>
      </c>
      <c r="I6047" s="3" t="s">
        <v>45</v>
      </c>
    </row>
    <row r="6048" spans="1:9" ht="48" customHeight="1">
      <c r="A6048" s="3" t="s">
        <v>79</v>
      </c>
      <c r="B6048" s="3" t="s">
        <v>78</v>
      </c>
      <c r="C6048" s="4">
        <v>43405</v>
      </c>
      <c r="D6048" s="4">
        <v>43434</v>
      </c>
      <c r="E6048" s="3" t="s">
        <v>244</v>
      </c>
      <c r="F6048" s="3" t="s">
        <v>255</v>
      </c>
      <c r="G6048" s="5">
        <v>0</v>
      </c>
      <c r="H6048" s="6" t="s">
        <v>87</v>
      </c>
      <c r="I6048" s="3" t="s">
        <v>45</v>
      </c>
    </row>
    <row r="6049" spans="1:9" ht="48" customHeight="1">
      <c r="A6049" s="3" t="s">
        <v>79</v>
      </c>
      <c r="B6049" s="3" t="s">
        <v>78</v>
      </c>
      <c r="C6049" s="4">
        <v>43405</v>
      </c>
      <c r="D6049" s="4">
        <v>43434</v>
      </c>
      <c r="E6049" s="3" t="s">
        <v>244</v>
      </c>
      <c r="F6049" s="3" t="s">
        <v>256</v>
      </c>
      <c r="G6049" s="5">
        <v>0</v>
      </c>
      <c r="H6049" s="6" t="s">
        <v>87</v>
      </c>
      <c r="I6049" s="3" t="s">
        <v>45</v>
      </c>
    </row>
    <row r="6050" spans="1:9" ht="48" customHeight="1">
      <c r="A6050" s="3" t="s">
        <v>79</v>
      </c>
      <c r="B6050" s="3" t="s">
        <v>78</v>
      </c>
      <c r="C6050" s="4">
        <v>43405</v>
      </c>
      <c r="D6050" s="4">
        <v>43434</v>
      </c>
      <c r="E6050" s="3" t="s">
        <v>244</v>
      </c>
      <c r="F6050" s="3" t="s">
        <v>257</v>
      </c>
      <c r="G6050" s="5">
        <v>0</v>
      </c>
      <c r="H6050" s="6" t="s">
        <v>87</v>
      </c>
      <c r="I6050" s="3" t="s">
        <v>45</v>
      </c>
    </row>
    <row r="6051" spans="1:9" ht="48" customHeight="1">
      <c r="A6051" s="3" t="s">
        <v>79</v>
      </c>
      <c r="B6051" s="3" t="s">
        <v>78</v>
      </c>
      <c r="C6051" s="4">
        <v>43405</v>
      </c>
      <c r="D6051" s="4">
        <v>43434</v>
      </c>
      <c r="E6051" s="3" t="s">
        <v>244</v>
      </c>
      <c r="F6051" s="3" t="s">
        <v>258</v>
      </c>
      <c r="G6051" s="5">
        <v>0</v>
      </c>
      <c r="H6051" s="6" t="s">
        <v>87</v>
      </c>
      <c r="I6051" s="3" t="s">
        <v>45</v>
      </c>
    </row>
    <row r="6052" spans="1:9" ht="48" customHeight="1">
      <c r="A6052" s="3" t="s">
        <v>79</v>
      </c>
      <c r="B6052" s="3" t="s">
        <v>78</v>
      </c>
      <c r="C6052" s="4">
        <v>43405</v>
      </c>
      <c r="D6052" s="4">
        <v>43434</v>
      </c>
      <c r="E6052" s="3" t="s">
        <v>244</v>
      </c>
      <c r="F6052" s="3" t="s">
        <v>259</v>
      </c>
      <c r="G6052" s="5">
        <v>0</v>
      </c>
      <c r="H6052" s="6" t="s">
        <v>87</v>
      </c>
      <c r="I6052" s="3" t="s">
        <v>45</v>
      </c>
    </row>
    <row r="6053" spans="1:9" ht="48" customHeight="1">
      <c r="A6053" s="3" t="s">
        <v>79</v>
      </c>
      <c r="B6053" s="3" t="s">
        <v>78</v>
      </c>
      <c r="C6053" s="4">
        <v>43405</v>
      </c>
      <c r="D6053" s="4">
        <v>43434</v>
      </c>
      <c r="E6053" s="3" t="s">
        <v>244</v>
      </c>
      <c r="F6053" s="3" t="s">
        <v>253</v>
      </c>
      <c r="G6053" s="5">
        <v>0</v>
      </c>
      <c r="H6053" s="6" t="s">
        <v>87</v>
      </c>
      <c r="I6053" s="3" t="s">
        <v>45</v>
      </c>
    </row>
    <row r="6054" spans="1:9" ht="48" customHeight="1">
      <c r="A6054" s="3" t="s">
        <v>79</v>
      </c>
      <c r="B6054" s="3" t="s">
        <v>78</v>
      </c>
      <c r="C6054" s="4">
        <v>43405</v>
      </c>
      <c r="D6054" s="4">
        <v>43434</v>
      </c>
      <c r="E6054" s="3" t="s">
        <v>244</v>
      </c>
      <c r="F6054" s="3" t="s">
        <v>254</v>
      </c>
      <c r="G6054" s="5">
        <v>0</v>
      </c>
      <c r="H6054" s="6" t="s">
        <v>87</v>
      </c>
      <c r="I6054" s="3" t="s">
        <v>45</v>
      </c>
    </row>
    <row r="6055" spans="1:9" ht="48" customHeight="1">
      <c r="A6055" s="3" t="s">
        <v>79</v>
      </c>
      <c r="B6055" s="3" t="s">
        <v>78</v>
      </c>
      <c r="C6055" s="4">
        <v>43405</v>
      </c>
      <c r="D6055" s="4">
        <v>43434</v>
      </c>
      <c r="E6055" s="3" t="s">
        <v>381</v>
      </c>
      <c r="F6055" s="3" t="s">
        <v>382</v>
      </c>
      <c r="G6055" s="5">
        <v>1E-3</v>
      </c>
      <c r="H6055" s="6" t="s">
        <v>87</v>
      </c>
      <c r="I6055" s="3" t="s">
        <v>45</v>
      </c>
    </row>
    <row r="6056" spans="1:9" ht="48" customHeight="1">
      <c r="A6056" s="3" t="s">
        <v>79</v>
      </c>
      <c r="B6056" s="3" t="s">
        <v>78</v>
      </c>
      <c r="C6056" s="4">
        <v>43405</v>
      </c>
      <c r="D6056" s="4">
        <v>43434</v>
      </c>
      <c r="E6056" s="3" t="s">
        <v>381</v>
      </c>
      <c r="F6056" s="3" t="s">
        <v>383</v>
      </c>
      <c r="G6056" s="5">
        <v>0</v>
      </c>
      <c r="H6056" s="6" t="s">
        <v>87</v>
      </c>
      <c r="I6056" s="3" t="s">
        <v>45</v>
      </c>
    </row>
    <row r="6057" spans="1:9" ht="48" customHeight="1">
      <c r="A6057" s="3" t="s">
        <v>79</v>
      </c>
      <c r="B6057" s="3" t="s">
        <v>78</v>
      </c>
      <c r="C6057" s="4">
        <v>43435</v>
      </c>
      <c r="D6057" s="4">
        <v>43465</v>
      </c>
      <c r="E6057" s="3" t="s">
        <v>364</v>
      </c>
      <c r="F6057" s="3" t="s">
        <v>262</v>
      </c>
      <c r="G6057" s="5">
        <v>0.113</v>
      </c>
      <c r="H6057" s="6" t="s">
        <v>88</v>
      </c>
      <c r="I6057" s="3" t="s">
        <v>45</v>
      </c>
    </row>
    <row r="6058" spans="1:9" ht="48" customHeight="1">
      <c r="A6058" s="3" t="s">
        <v>79</v>
      </c>
      <c r="B6058" s="3" t="s">
        <v>78</v>
      </c>
      <c r="C6058" s="4">
        <v>43435</v>
      </c>
      <c r="D6058" s="4">
        <v>43465</v>
      </c>
      <c r="E6058" s="3" t="s">
        <v>364</v>
      </c>
      <c r="F6058" s="3" t="s">
        <v>366</v>
      </c>
      <c r="G6058" s="5">
        <v>7.5999999999999998E-2</v>
      </c>
      <c r="H6058" s="6" t="s">
        <v>88</v>
      </c>
      <c r="I6058" s="3" t="s">
        <v>45</v>
      </c>
    </row>
    <row r="6059" spans="1:9" ht="48" customHeight="1">
      <c r="A6059" s="3" t="s">
        <v>79</v>
      </c>
      <c r="B6059" s="3" t="s">
        <v>78</v>
      </c>
      <c r="C6059" s="4">
        <v>43435</v>
      </c>
      <c r="D6059" s="4">
        <v>43465</v>
      </c>
      <c r="E6059" s="3" t="s">
        <v>364</v>
      </c>
      <c r="F6059" s="3" t="s">
        <v>365</v>
      </c>
      <c r="G6059" s="5">
        <v>5.2999999999999999E-2</v>
      </c>
      <c r="H6059" s="6" t="s">
        <v>88</v>
      </c>
      <c r="I6059" s="3" t="s">
        <v>45</v>
      </c>
    </row>
    <row r="6060" spans="1:9" ht="48" customHeight="1">
      <c r="A6060" s="3" t="s">
        <v>79</v>
      </c>
      <c r="B6060" s="3" t="s">
        <v>78</v>
      </c>
      <c r="C6060" s="4">
        <v>43435</v>
      </c>
      <c r="D6060" s="4">
        <v>43465</v>
      </c>
      <c r="E6060" s="3" t="s">
        <v>364</v>
      </c>
      <c r="F6060" s="3" t="s">
        <v>234</v>
      </c>
      <c r="G6060" s="5">
        <v>4.9000000000000002E-2</v>
      </c>
      <c r="H6060" s="6" t="s">
        <v>88</v>
      </c>
      <c r="I6060" s="3" t="s">
        <v>45</v>
      </c>
    </row>
    <row r="6061" spans="1:9" ht="48" customHeight="1">
      <c r="A6061" s="3" t="s">
        <v>79</v>
      </c>
      <c r="B6061" s="3" t="s">
        <v>78</v>
      </c>
      <c r="C6061" s="4">
        <v>43435</v>
      </c>
      <c r="D6061" s="4">
        <v>43465</v>
      </c>
      <c r="E6061" s="3" t="s">
        <v>364</v>
      </c>
      <c r="F6061" s="3" t="s">
        <v>367</v>
      </c>
      <c r="G6061" s="5">
        <v>2.8999999999999998E-2</v>
      </c>
      <c r="H6061" s="6" t="s">
        <v>88</v>
      </c>
      <c r="I6061" s="3" t="s">
        <v>45</v>
      </c>
    </row>
    <row r="6062" spans="1:9" ht="48" customHeight="1">
      <c r="A6062" s="3" t="s">
        <v>79</v>
      </c>
      <c r="B6062" s="3" t="s">
        <v>78</v>
      </c>
      <c r="C6062" s="4">
        <v>43435</v>
      </c>
      <c r="D6062" s="4">
        <v>43465</v>
      </c>
      <c r="E6062" s="3" t="s">
        <v>364</v>
      </c>
      <c r="F6062" s="3" t="s">
        <v>232</v>
      </c>
      <c r="G6062" s="5">
        <v>2.6000000000000002E-2</v>
      </c>
      <c r="H6062" s="6" t="s">
        <v>88</v>
      </c>
      <c r="I6062" s="3" t="s">
        <v>45</v>
      </c>
    </row>
    <row r="6063" spans="1:9" ht="48" customHeight="1">
      <c r="A6063" s="3" t="s">
        <v>79</v>
      </c>
      <c r="B6063" s="3" t="s">
        <v>78</v>
      </c>
      <c r="C6063" s="4">
        <v>43435</v>
      </c>
      <c r="D6063" s="4">
        <v>43465</v>
      </c>
      <c r="E6063" s="3" t="s">
        <v>364</v>
      </c>
      <c r="F6063" s="3" t="s">
        <v>265</v>
      </c>
      <c r="G6063" s="5">
        <v>1.6E-2</v>
      </c>
      <c r="H6063" s="6" t="s">
        <v>88</v>
      </c>
      <c r="I6063" s="3" t="s">
        <v>45</v>
      </c>
    </row>
    <row r="6064" spans="1:9" ht="48" customHeight="1">
      <c r="A6064" s="3" t="s">
        <v>79</v>
      </c>
      <c r="B6064" s="3" t="s">
        <v>78</v>
      </c>
      <c r="C6064" s="4">
        <v>43435</v>
      </c>
      <c r="D6064" s="4">
        <v>43465</v>
      </c>
      <c r="E6064" s="3" t="s">
        <v>364</v>
      </c>
      <c r="F6064" s="3" t="s">
        <v>230</v>
      </c>
      <c r="G6064" s="5">
        <v>1.1000000000000001E-2</v>
      </c>
      <c r="H6064" s="6" t="s">
        <v>88</v>
      </c>
      <c r="I6064" s="3" t="s">
        <v>45</v>
      </c>
    </row>
    <row r="6065" spans="1:9" ht="48" customHeight="1">
      <c r="A6065" s="3" t="s">
        <v>79</v>
      </c>
      <c r="B6065" s="3" t="s">
        <v>78</v>
      </c>
      <c r="C6065" s="4">
        <v>43435</v>
      </c>
      <c r="D6065" s="4">
        <v>43465</v>
      </c>
      <c r="E6065" s="3" t="s">
        <v>81</v>
      </c>
      <c r="F6065" s="3" t="s">
        <v>325</v>
      </c>
      <c r="G6065" s="5">
        <v>5.4000000000000006E-2</v>
      </c>
      <c r="H6065" s="6" t="s">
        <v>88</v>
      </c>
      <c r="I6065" s="3" t="s">
        <v>45</v>
      </c>
    </row>
    <row r="6066" spans="1:9" ht="48" customHeight="1">
      <c r="A6066" s="3" t="s">
        <v>79</v>
      </c>
      <c r="B6066" s="3" t="s">
        <v>78</v>
      </c>
      <c r="C6066" s="4">
        <v>43435</v>
      </c>
      <c r="D6066" s="4">
        <v>43465</v>
      </c>
      <c r="E6066" s="3" t="s">
        <v>81</v>
      </c>
      <c r="F6066" s="3" t="s">
        <v>336</v>
      </c>
      <c r="G6066" s="5">
        <v>4.4999999999999998E-2</v>
      </c>
      <c r="H6066" s="6" t="s">
        <v>88</v>
      </c>
      <c r="I6066" s="3" t="s">
        <v>45</v>
      </c>
    </row>
    <row r="6067" spans="1:9" ht="48" customHeight="1">
      <c r="A6067" s="3" t="s">
        <v>79</v>
      </c>
      <c r="B6067" s="3" t="s">
        <v>78</v>
      </c>
      <c r="C6067" s="4">
        <v>43435</v>
      </c>
      <c r="D6067" s="4">
        <v>43465</v>
      </c>
      <c r="E6067" s="3" t="s">
        <v>81</v>
      </c>
      <c r="F6067" s="3" t="s">
        <v>330</v>
      </c>
      <c r="G6067" s="5">
        <v>4.2000000000000003E-2</v>
      </c>
      <c r="H6067" s="6" t="s">
        <v>88</v>
      </c>
      <c r="I6067" s="3" t="s">
        <v>45</v>
      </c>
    </row>
    <row r="6068" spans="1:9" ht="48" customHeight="1">
      <c r="A6068" s="3" t="s">
        <v>79</v>
      </c>
      <c r="B6068" s="3" t="s">
        <v>78</v>
      </c>
      <c r="C6068" s="4">
        <v>43435</v>
      </c>
      <c r="D6068" s="4">
        <v>43465</v>
      </c>
      <c r="E6068" s="3" t="s">
        <v>81</v>
      </c>
      <c r="F6068" s="3" t="s">
        <v>332</v>
      </c>
      <c r="G6068" s="5">
        <v>3.1E-2</v>
      </c>
      <c r="H6068" s="6" t="s">
        <v>88</v>
      </c>
      <c r="I6068" s="3" t="s">
        <v>45</v>
      </c>
    </row>
    <row r="6069" spans="1:9" ht="48" customHeight="1">
      <c r="A6069" s="3" t="s">
        <v>79</v>
      </c>
      <c r="B6069" s="3" t="s">
        <v>78</v>
      </c>
      <c r="C6069" s="4">
        <v>43435</v>
      </c>
      <c r="D6069" s="4">
        <v>43465</v>
      </c>
      <c r="E6069" s="3" t="s">
        <v>81</v>
      </c>
      <c r="F6069" s="3" t="s">
        <v>343</v>
      </c>
      <c r="G6069" s="5">
        <v>1.9E-2</v>
      </c>
      <c r="H6069" s="6" t="s">
        <v>88</v>
      </c>
      <c r="I6069" s="3" t="s">
        <v>45</v>
      </c>
    </row>
    <row r="6070" spans="1:9" ht="48" customHeight="1">
      <c r="A6070" s="3" t="s">
        <v>79</v>
      </c>
      <c r="B6070" s="3" t="s">
        <v>78</v>
      </c>
      <c r="C6070" s="4">
        <v>43435</v>
      </c>
      <c r="D6070" s="4">
        <v>43465</v>
      </c>
      <c r="E6070" s="3" t="s">
        <v>81</v>
      </c>
      <c r="F6070" s="3" t="s">
        <v>333</v>
      </c>
      <c r="G6070" s="5">
        <v>1.8000000000000002E-2</v>
      </c>
      <c r="H6070" s="6" t="s">
        <v>88</v>
      </c>
      <c r="I6070" s="3" t="s">
        <v>45</v>
      </c>
    </row>
    <row r="6071" spans="1:9" ht="48" customHeight="1">
      <c r="A6071" s="3" t="s">
        <v>79</v>
      </c>
      <c r="B6071" s="3" t="s">
        <v>78</v>
      </c>
      <c r="C6071" s="4">
        <v>43435</v>
      </c>
      <c r="D6071" s="4">
        <v>43465</v>
      </c>
      <c r="E6071" s="3" t="s">
        <v>81</v>
      </c>
      <c r="F6071" s="3" t="s">
        <v>328</v>
      </c>
      <c r="G6071" s="5">
        <v>1.7000000000000001E-2</v>
      </c>
      <c r="H6071" s="6" t="s">
        <v>88</v>
      </c>
      <c r="I6071" s="3" t="s">
        <v>45</v>
      </c>
    </row>
    <row r="6072" spans="1:9" ht="48" customHeight="1">
      <c r="A6072" s="3" t="s">
        <v>79</v>
      </c>
      <c r="B6072" s="3" t="s">
        <v>78</v>
      </c>
      <c r="C6072" s="4">
        <v>43435</v>
      </c>
      <c r="D6072" s="4">
        <v>43465</v>
      </c>
      <c r="E6072" s="3" t="s">
        <v>81</v>
      </c>
      <c r="F6072" s="3" t="s">
        <v>334</v>
      </c>
      <c r="G6072" s="5">
        <v>1.6E-2</v>
      </c>
      <c r="H6072" s="6" t="s">
        <v>88</v>
      </c>
      <c r="I6072" s="3" t="s">
        <v>45</v>
      </c>
    </row>
    <row r="6073" spans="1:9" ht="48" customHeight="1">
      <c r="A6073" s="3" t="s">
        <v>79</v>
      </c>
      <c r="B6073" s="3" t="s">
        <v>78</v>
      </c>
      <c r="C6073" s="4">
        <v>43435</v>
      </c>
      <c r="D6073" s="4">
        <v>43465</v>
      </c>
      <c r="E6073" s="3" t="s">
        <v>81</v>
      </c>
      <c r="F6073" s="3" t="s">
        <v>327</v>
      </c>
      <c r="G6073" s="5">
        <v>1.3999999999999999E-2</v>
      </c>
      <c r="H6073" s="6" t="s">
        <v>88</v>
      </c>
      <c r="I6073" s="3" t="s">
        <v>45</v>
      </c>
    </row>
    <row r="6074" spans="1:9" ht="48" customHeight="1">
      <c r="A6074" s="3" t="s">
        <v>79</v>
      </c>
      <c r="B6074" s="3" t="s">
        <v>78</v>
      </c>
      <c r="C6074" s="4">
        <v>43435</v>
      </c>
      <c r="D6074" s="4">
        <v>43465</v>
      </c>
      <c r="E6074" s="3" t="s">
        <v>81</v>
      </c>
      <c r="F6074" s="3" t="s">
        <v>326</v>
      </c>
      <c r="G6074" s="5">
        <v>1.2E-2</v>
      </c>
      <c r="H6074" s="6" t="s">
        <v>88</v>
      </c>
      <c r="I6074" s="3" t="s">
        <v>45</v>
      </c>
    </row>
    <row r="6075" spans="1:9" ht="48" customHeight="1">
      <c r="A6075" s="3" t="s">
        <v>79</v>
      </c>
      <c r="B6075" s="3" t="s">
        <v>78</v>
      </c>
      <c r="C6075" s="4">
        <v>43435</v>
      </c>
      <c r="D6075" s="4">
        <v>43465</v>
      </c>
      <c r="E6075" s="3" t="s">
        <v>81</v>
      </c>
      <c r="F6075" s="3" t="s">
        <v>344</v>
      </c>
      <c r="G6075" s="5">
        <v>1.1000000000000001E-2</v>
      </c>
      <c r="H6075" s="6" t="s">
        <v>88</v>
      </c>
      <c r="I6075" s="3" t="s">
        <v>45</v>
      </c>
    </row>
    <row r="6076" spans="1:9" ht="48" customHeight="1">
      <c r="A6076" s="3" t="s">
        <v>79</v>
      </c>
      <c r="B6076" s="3" t="s">
        <v>78</v>
      </c>
      <c r="C6076" s="4">
        <v>43435</v>
      </c>
      <c r="D6076" s="4">
        <v>43465</v>
      </c>
      <c r="E6076" s="3" t="s">
        <v>81</v>
      </c>
      <c r="F6076" s="3" t="s">
        <v>331</v>
      </c>
      <c r="G6076" s="5">
        <v>6.0000000000000001E-3</v>
      </c>
      <c r="H6076" s="6" t="s">
        <v>88</v>
      </c>
      <c r="I6076" s="3" t="s">
        <v>45</v>
      </c>
    </row>
    <row r="6077" spans="1:9" ht="48" customHeight="1">
      <c r="A6077" s="3" t="s">
        <v>79</v>
      </c>
      <c r="B6077" s="3" t="s">
        <v>78</v>
      </c>
      <c r="C6077" s="4">
        <v>43435</v>
      </c>
      <c r="D6077" s="4">
        <v>43465</v>
      </c>
      <c r="E6077" s="3" t="s">
        <v>81</v>
      </c>
      <c r="F6077" s="3" t="s">
        <v>329</v>
      </c>
      <c r="G6077" s="5">
        <v>5.0000000000000001E-3</v>
      </c>
      <c r="H6077" s="6" t="s">
        <v>88</v>
      </c>
      <c r="I6077" s="3" t="s">
        <v>45</v>
      </c>
    </row>
    <row r="6078" spans="1:9" ht="48" customHeight="1">
      <c r="A6078" s="3" t="s">
        <v>79</v>
      </c>
      <c r="B6078" s="3" t="s">
        <v>78</v>
      </c>
      <c r="C6078" s="4">
        <v>43435</v>
      </c>
      <c r="D6078" s="4">
        <v>43465</v>
      </c>
      <c r="E6078" s="3" t="s">
        <v>81</v>
      </c>
      <c r="F6078" s="3" t="s">
        <v>337</v>
      </c>
      <c r="G6078" s="5">
        <v>5.0000000000000001E-3</v>
      </c>
      <c r="H6078" s="6" t="s">
        <v>88</v>
      </c>
      <c r="I6078" s="3" t="s">
        <v>45</v>
      </c>
    </row>
    <row r="6079" spans="1:9" ht="48" customHeight="1">
      <c r="A6079" s="3" t="s">
        <v>79</v>
      </c>
      <c r="B6079" s="3" t="s">
        <v>78</v>
      </c>
      <c r="C6079" s="4">
        <v>43435</v>
      </c>
      <c r="D6079" s="4">
        <v>43465</v>
      </c>
      <c r="E6079" s="3" t="s">
        <v>81</v>
      </c>
      <c r="F6079" s="3" t="s">
        <v>338</v>
      </c>
      <c r="G6079" s="5">
        <v>4.0000000000000001E-3</v>
      </c>
      <c r="H6079" s="6" t="s">
        <v>88</v>
      </c>
      <c r="I6079" s="3" t="s">
        <v>45</v>
      </c>
    </row>
    <row r="6080" spans="1:9" ht="48" customHeight="1">
      <c r="A6080" s="3" t="s">
        <v>79</v>
      </c>
      <c r="B6080" s="3" t="s">
        <v>78</v>
      </c>
      <c r="C6080" s="4">
        <v>43435</v>
      </c>
      <c r="D6080" s="4">
        <v>43465</v>
      </c>
      <c r="E6080" s="3" t="s">
        <v>81</v>
      </c>
      <c r="F6080" s="3" t="s">
        <v>345</v>
      </c>
      <c r="G6080" s="5">
        <v>4.0000000000000001E-3</v>
      </c>
      <c r="H6080" s="6" t="s">
        <v>88</v>
      </c>
      <c r="I6080" s="3" t="s">
        <v>45</v>
      </c>
    </row>
    <row r="6081" spans="1:9" ht="48" customHeight="1">
      <c r="A6081" s="3" t="s">
        <v>79</v>
      </c>
      <c r="B6081" s="3" t="s">
        <v>78</v>
      </c>
      <c r="C6081" s="4">
        <v>43435</v>
      </c>
      <c r="D6081" s="4">
        <v>43465</v>
      </c>
      <c r="E6081" s="3" t="s">
        <v>81</v>
      </c>
      <c r="F6081" s="3" t="s">
        <v>335</v>
      </c>
      <c r="G6081" s="5">
        <v>3.0000000000000001E-3</v>
      </c>
      <c r="H6081" s="6" t="s">
        <v>88</v>
      </c>
      <c r="I6081" s="3" t="s">
        <v>45</v>
      </c>
    </row>
    <row r="6082" spans="1:9" ht="48" customHeight="1">
      <c r="A6082" s="3" t="s">
        <v>79</v>
      </c>
      <c r="B6082" s="3" t="s">
        <v>78</v>
      </c>
      <c r="C6082" s="4">
        <v>43435</v>
      </c>
      <c r="D6082" s="4">
        <v>43465</v>
      </c>
      <c r="E6082" s="3" t="s">
        <v>81</v>
      </c>
      <c r="F6082" s="3" t="s">
        <v>339</v>
      </c>
      <c r="G6082" s="5">
        <v>3.0000000000000001E-3</v>
      </c>
      <c r="H6082" s="6" t="s">
        <v>88</v>
      </c>
      <c r="I6082" s="3" t="s">
        <v>45</v>
      </c>
    </row>
    <row r="6083" spans="1:9" ht="48" customHeight="1">
      <c r="A6083" s="3" t="s">
        <v>79</v>
      </c>
      <c r="B6083" s="3" t="s">
        <v>78</v>
      </c>
      <c r="C6083" s="4">
        <v>43435</v>
      </c>
      <c r="D6083" s="4">
        <v>43465</v>
      </c>
      <c r="E6083" s="3" t="s">
        <v>81</v>
      </c>
      <c r="F6083" s="3" t="s">
        <v>342</v>
      </c>
      <c r="G6083" s="5">
        <v>3.0000000000000001E-3</v>
      </c>
      <c r="H6083" s="6" t="s">
        <v>88</v>
      </c>
      <c r="I6083" s="3" t="s">
        <v>45</v>
      </c>
    </row>
    <row r="6084" spans="1:9" ht="48" customHeight="1">
      <c r="A6084" s="3" t="s">
        <v>79</v>
      </c>
      <c r="B6084" s="3" t="s">
        <v>78</v>
      </c>
      <c r="C6084" s="4">
        <v>43435</v>
      </c>
      <c r="D6084" s="4">
        <v>43465</v>
      </c>
      <c r="E6084" s="3" t="s">
        <v>81</v>
      </c>
      <c r="F6084" s="3" t="s">
        <v>340</v>
      </c>
      <c r="G6084" s="5">
        <v>2E-3</v>
      </c>
      <c r="H6084" s="6" t="s">
        <v>88</v>
      </c>
      <c r="I6084" s="3" t="s">
        <v>45</v>
      </c>
    </row>
    <row r="6085" spans="1:9" ht="48" customHeight="1">
      <c r="A6085" s="3" t="s">
        <v>79</v>
      </c>
      <c r="B6085" s="3" t="s">
        <v>78</v>
      </c>
      <c r="C6085" s="4">
        <v>43435</v>
      </c>
      <c r="D6085" s="4">
        <v>43465</v>
      </c>
      <c r="E6085" s="3" t="s">
        <v>81</v>
      </c>
      <c r="F6085" s="3" t="s">
        <v>341</v>
      </c>
      <c r="G6085" s="5">
        <v>2E-3</v>
      </c>
      <c r="H6085" s="6" t="s">
        <v>88</v>
      </c>
      <c r="I6085" s="3" t="s">
        <v>45</v>
      </c>
    </row>
    <row r="6086" spans="1:9" ht="48" customHeight="1">
      <c r="A6086" s="3" t="s">
        <v>79</v>
      </c>
      <c r="B6086" s="3" t="s">
        <v>78</v>
      </c>
      <c r="C6086" s="4">
        <v>43435</v>
      </c>
      <c r="D6086" s="4">
        <v>43465</v>
      </c>
      <c r="E6086" s="3" t="s">
        <v>81</v>
      </c>
      <c r="F6086" s="3" t="s">
        <v>346</v>
      </c>
      <c r="G6086" s="5">
        <v>2E-3</v>
      </c>
      <c r="H6086" s="6" t="s">
        <v>88</v>
      </c>
      <c r="I6086" s="3" t="s">
        <v>45</v>
      </c>
    </row>
    <row r="6087" spans="1:9" ht="48" customHeight="1">
      <c r="A6087" s="3" t="s">
        <v>79</v>
      </c>
      <c r="B6087" s="3" t="s">
        <v>78</v>
      </c>
      <c r="C6087" s="4">
        <v>43435</v>
      </c>
      <c r="D6087" s="4">
        <v>43465</v>
      </c>
      <c r="E6087" s="3" t="s">
        <v>81</v>
      </c>
      <c r="F6087" s="3" t="s">
        <v>347</v>
      </c>
      <c r="G6087" s="5">
        <v>0</v>
      </c>
      <c r="H6087" s="6" t="s">
        <v>88</v>
      </c>
      <c r="I6087" s="3" t="s">
        <v>45</v>
      </c>
    </row>
    <row r="6088" spans="1:9" ht="48" customHeight="1">
      <c r="A6088" s="3" t="s">
        <v>79</v>
      </c>
      <c r="B6088" s="3" t="s">
        <v>78</v>
      </c>
      <c r="C6088" s="4">
        <v>43435</v>
      </c>
      <c r="D6088" s="4">
        <v>43465</v>
      </c>
      <c r="E6088" s="3" t="s">
        <v>161</v>
      </c>
      <c r="F6088" s="3" t="s">
        <v>162</v>
      </c>
      <c r="G6088" s="5">
        <v>4.0000000000000001E-3</v>
      </c>
      <c r="H6088" s="6" t="s">
        <v>88</v>
      </c>
      <c r="I6088" s="3" t="s">
        <v>45</v>
      </c>
    </row>
    <row r="6089" spans="1:9" ht="48" customHeight="1">
      <c r="A6089" s="3" t="s">
        <v>79</v>
      </c>
      <c r="B6089" s="3" t="s">
        <v>78</v>
      </c>
      <c r="C6089" s="4">
        <v>43435</v>
      </c>
      <c r="D6089" s="4">
        <v>43465</v>
      </c>
      <c r="E6089" s="3" t="s">
        <v>161</v>
      </c>
      <c r="F6089" s="3" t="s">
        <v>172</v>
      </c>
      <c r="G6089" s="5">
        <v>4.0000000000000001E-3</v>
      </c>
      <c r="H6089" s="6" t="s">
        <v>88</v>
      </c>
      <c r="I6089" s="3" t="s">
        <v>45</v>
      </c>
    </row>
    <row r="6090" spans="1:9" ht="48" customHeight="1">
      <c r="A6090" s="3" t="s">
        <v>79</v>
      </c>
      <c r="B6090" s="3" t="s">
        <v>78</v>
      </c>
      <c r="C6090" s="4">
        <v>43435</v>
      </c>
      <c r="D6090" s="4">
        <v>43465</v>
      </c>
      <c r="E6090" s="3" t="s">
        <v>161</v>
      </c>
      <c r="F6090" s="3" t="s">
        <v>166</v>
      </c>
      <c r="G6090" s="5">
        <v>3.0000000000000001E-3</v>
      </c>
      <c r="H6090" s="6" t="s">
        <v>88</v>
      </c>
      <c r="I6090" s="3" t="s">
        <v>45</v>
      </c>
    </row>
    <row r="6091" spans="1:9" ht="48" customHeight="1">
      <c r="A6091" s="3" t="s">
        <v>79</v>
      </c>
      <c r="B6091" s="3" t="s">
        <v>78</v>
      </c>
      <c r="C6091" s="4">
        <v>43435</v>
      </c>
      <c r="D6091" s="4">
        <v>43465</v>
      </c>
      <c r="E6091" s="3" t="s">
        <v>161</v>
      </c>
      <c r="F6091" s="3" t="s">
        <v>184</v>
      </c>
      <c r="G6091" s="5">
        <v>3.0000000000000001E-3</v>
      </c>
      <c r="H6091" s="6" t="s">
        <v>88</v>
      </c>
      <c r="I6091" s="3" t="s">
        <v>45</v>
      </c>
    </row>
    <row r="6092" spans="1:9" ht="48" customHeight="1">
      <c r="A6092" s="3" t="s">
        <v>79</v>
      </c>
      <c r="B6092" s="3" t="s">
        <v>78</v>
      </c>
      <c r="C6092" s="4">
        <v>43435</v>
      </c>
      <c r="D6092" s="4">
        <v>43465</v>
      </c>
      <c r="E6092" s="3" t="s">
        <v>161</v>
      </c>
      <c r="F6092" s="3" t="s">
        <v>164</v>
      </c>
      <c r="G6092" s="5">
        <v>2E-3</v>
      </c>
      <c r="H6092" s="6" t="s">
        <v>88</v>
      </c>
      <c r="I6092" s="3" t="s">
        <v>45</v>
      </c>
    </row>
    <row r="6093" spans="1:9" ht="48" customHeight="1">
      <c r="A6093" s="3" t="s">
        <v>79</v>
      </c>
      <c r="B6093" s="3" t="s">
        <v>78</v>
      </c>
      <c r="C6093" s="4">
        <v>43435</v>
      </c>
      <c r="D6093" s="4">
        <v>43465</v>
      </c>
      <c r="E6093" s="3" t="s">
        <v>161</v>
      </c>
      <c r="F6093" s="3" t="s">
        <v>167</v>
      </c>
      <c r="G6093" s="5">
        <v>2E-3</v>
      </c>
      <c r="H6093" s="6" t="s">
        <v>88</v>
      </c>
      <c r="I6093" s="3" t="s">
        <v>45</v>
      </c>
    </row>
    <row r="6094" spans="1:9" ht="48" customHeight="1">
      <c r="A6094" s="3" t="s">
        <v>79</v>
      </c>
      <c r="B6094" s="3" t="s">
        <v>78</v>
      </c>
      <c r="C6094" s="4">
        <v>43435</v>
      </c>
      <c r="D6094" s="4">
        <v>43465</v>
      </c>
      <c r="E6094" s="3" t="s">
        <v>161</v>
      </c>
      <c r="F6094" s="3" t="s">
        <v>168</v>
      </c>
      <c r="G6094" s="5">
        <v>2E-3</v>
      </c>
      <c r="H6094" s="6" t="s">
        <v>88</v>
      </c>
      <c r="I6094" s="3" t="s">
        <v>45</v>
      </c>
    </row>
    <row r="6095" spans="1:9" ht="48" customHeight="1">
      <c r="A6095" s="3" t="s">
        <v>79</v>
      </c>
      <c r="B6095" s="3" t="s">
        <v>78</v>
      </c>
      <c r="C6095" s="4">
        <v>43435</v>
      </c>
      <c r="D6095" s="4">
        <v>43465</v>
      </c>
      <c r="E6095" s="3" t="s">
        <v>161</v>
      </c>
      <c r="F6095" s="3" t="s">
        <v>191</v>
      </c>
      <c r="G6095" s="5">
        <v>2E-3</v>
      </c>
      <c r="H6095" s="6" t="s">
        <v>88</v>
      </c>
      <c r="I6095" s="3" t="s">
        <v>45</v>
      </c>
    </row>
    <row r="6096" spans="1:9" ht="48" customHeight="1">
      <c r="A6096" s="3" t="s">
        <v>79</v>
      </c>
      <c r="B6096" s="3" t="s">
        <v>78</v>
      </c>
      <c r="C6096" s="4">
        <v>43435</v>
      </c>
      <c r="D6096" s="4">
        <v>43465</v>
      </c>
      <c r="E6096" s="3" t="s">
        <v>161</v>
      </c>
      <c r="F6096" s="3" t="s">
        <v>163</v>
      </c>
      <c r="G6096" s="5">
        <v>2E-3</v>
      </c>
      <c r="H6096" s="6" t="s">
        <v>88</v>
      </c>
      <c r="I6096" s="3" t="s">
        <v>45</v>
      </c>
    </row>
    <row r="6097" spans="1:9" ht="48" customHeight="1">
      <c r="A6097" s="3" t="s">
        <v>79</v>
      </c>
      <c r="B6097" s="3" t="s">
        <v>78</v>
      </c>
      <c r="C6097" s="4">
        <v>43435</v>
      </c>
      <c r="D6097" s="4">
        <v>43465</v>
      </c>
      <c r="E6097" s="3" t="s">
        <v>161</v>
      </c>
      <c r="F6097" s="3" t="s">
        <v>180</v>
      </c>
      <c r="G6097" s="5">
        <v>2E-3</v>
      </c>
      <c r="H6097" s="6" t="s">
        <v>88</v>
      </c>
      <c r="I6097" s="3" t="s">
        <v>45</v>
      </c>
    </row>
    <row r="6098" spans="1:9" ht="48" customHeight="1">
      <c r="A6098" s="3" t="s">
        <v>79</v>
      </c>
      <c r="B6098" s="3" t="s">
        <v>78</v>
      </c>
      <c r="C6098" s="4">
        <v>43435</v>
      </c>
      <c r="D6098" s="4">
        <v>43465</v>
      </c>
      <c r="E6098" s="3" t="s">
        <v>161</v>
      </c>
      <c r="F6098" s="3" t="s">
        <v>181</v>
      </c>
      <c r="G6098" s="5">
        <v>2E-3</v>
      </c>
      <c r="H6098" s="6" t="s">
        <v>88</v>
      </c>
      <c r="I6098" s="3" t="s">
        <v>45</v>
      </c>
    </row>
    <row r="6099" spans="1:9" ht="48" customHeight="1">
      <c r="A6099" s="3" t="s">
        <v>79</v>
      </c>
      <c r="B6099" s="3" t="s">
        <v>78</v>
      </c>
      <c r="C6099" s="4">
        <v>43435</v>
      </c>
      <c r="D6099" s="4">
        <v>43465</v>
      </c>
      <c r="E6099" s="3" t="s">
        <v>161</v>
      </c>
      <c r="F6099" s="3" t="s">
        <v>182</v>
      </c>
      <c r="G6099" s="5">
        <v>2E-3</v>
      </c>
      <c r="H6099" s="6" t="s">
        <v>88</v>
      </c>
      <c r="I6099" s="3" t="s">
        <v>45</v>
      </c>
    </row>
    <row r="6100" spans="1:9" ht="48" customHeight="1">
      <c r="A6100" s="3" t="s">
        <v>79</v>
      </c>
      <c r="B6100" s="3" t="s">
        <v>78</v>
      </c>
      <c r="C6100" s="4">
        <v>43435</v>
      </c>
      <c r="D6100" s="4">
        <v>43465</v>
      </c>
      <c r="E6100" s="3" t="s">
        <v>161</v>
      </c>
      <c r="F6100" s="3" t="s">
        <v>195</v>
      </c>
      <c r="G6100" s="5">
        <v>2E-3</v>
      </c>
      <c r="H6100" s="6" t="s">
        <v>88</v>
      </c>
      <c r="I6100" s="3" t="s">
        <v>45</v>
      </c>
    </row>
    <row r="6101" spans="1:9" ht="48" customHeight="1">
      <c r="A6101" s="3" t="s">
        <v>79</v>
      </c>
      <c r="B6101" s="3" t="s">
        <v>78</v>
      </c>
      <c r="C6101" s="4">
        <v>43435</v>
      </c>
      <c r="D6101" s="4">
        <v>43465</v>
      </c>
      <c r="E6101" s="3" t="s">
        <v>161</v>
      </c>
      <c r="F6101" s="3" t="s">
        <v>173</v>
      </c>
      <c r="G6101" s="5">
        <v>2E-3</v>
      </c>
      <c r="H6101" s="6" t="s">
        <v>88</v>
      </c>
      <c r="I6101" s="3" t="s">
        <v>45</v>
      </c>
    </row>
    <row r="6102" spans="1:9" ht="48" customHeight="1">
      <c r="A6102" s="3" t="s">
        <v>79</v>
      </c>
      <c r="B6102" s="3" t="s">
        <v>78</v>
      </c>
      <c r="C6102" s="4">
        <v>43435</v>
      </c>
      <c r="D6102" s="4">
        <v>43465</v>
      </c>
      <c r="E6102" s="3" t="s">
        <v>161</v>
      </c>
      <c r="F6102" s="3" t="s">
        <v>174</v>
      </c>
      <c r="G6102" s="5">
        <v>1E-3</v>
      </c>
      <c r="H6102" s="6" t="s">
        <v>88</v>
      </c>
      <c r="I6102" s="3" t="s">
        <v>45</v>
      </c>
    </row>
    <row r="6103" spans="1:9" ht="48" customHeight="1">
      <c r="A6103" s="3" t="s">
        <v>79</v>
      </c>
      <c r="B6103" s="3" t="s">
        <v>78</v>
      </c>
      <c r="C6103" s="4">
        <v>43435</v>
      </c>
      <c r="D6103" s="4">
        <v>43465</v>
      </c>
      <c r="E6103" s="3" t="s">
        <v>161</v>
      </c>
      <c r="F6103" s="3" t="s">
        <v>175</v>
      </c>
      <c r="G6103" s="5">
        <v>1E-3</v>
      </c>
      <c r="H6103" s="6" t="s">
        <v>88</v>
      </c>
      <c r="I6103" s="3" t="s">
        <v>45</v>
      </c>
    </row>
    <row r="6104" spans="1:9" ht="48" customHeight="1">
      <c r="A6104" s="3" t="s">
        <v>79</v>
      </c>
      <c r="B6104" s="3" t="s">
        <v>78</v>
      </c>
      <c r="C6104" s="4">
        <v>43435</v>
      </c>
      <c r="D6104" s="4">
        <v>43465</v>
      </c>
      <c r="E6104" s="3" t="s">
        <v>161</v>
      </c>
      <c r="F6104" s="3" t="s">
        <v>189</v>
      </c>
      <c r="G6104" s="5">
        <v>1E-3</v>
      </c>
      <c r="H6104" s="6" t="s">
        <v>88</v>
      </c>
      <c r="I6104" s="3" t="s">
        <v>45</v>
      </c>
    </row>
    <row r="6105" spans="1:9" ht="48" customHeight="1">
      <c r="A6105" s="3" t="s">
        <v>79</v>
      </c>
      <c r="B6105" s="3" t="s">
        <v>78</v>
      </c>
      <c r="C6105" s="4">
        <v>43435</v>
      </c>
      <c r="D6105" s="4">
        <v>43465</v>
      </c>
      <c r="E6105" s="3" t="s">
        <v>161</v>
      </c>
      <c r="F6105" s="3" t="s">
        <v>190</v>
      </c>
      <c r="G6105" s="5">
        <v>1E-3</v>
      </c>
      <c r="H6105" s="6" t="s">
        <v>88</v>
      </c>
      <c r="I6105" s="3" t="s">
        <v>45</v>
      </c>
    </row>
    <row r="6106" spans="1:9" ht="48" customHeight="1">
      <c r="A6106" s="3" t="s">
        <v>79</v>
      </c>
      <c r="B6106" s="3" t="s">
        <v>78</v>
      </c>
      <c r="C6106" s="4">
        <v>43435</v>
      </c>
      <c r="D6106" s="4">
        <v>43465</v>
      </c>
      <c r="E6106" s="3" t="s">
        <v>161</v>
      </c>
      <c r="F6106" s="3" t="s">
        <v>176</v>
      </c>
      <c r="G6106" s="5">
        <v>1E-3</v>
      </c>
      <c r="H6106" s="6" t="s">
        <v>88</v>
      </c>
      <c r="I6106" s="3" t="s">
        <v>45</v>
      </c>
    </row>
    <row r="6107" spans="1:9" ht="48" customHeight="1">
      <c r="A6107" s="3" t="s">
        <v>79</v>
      </c>
      <c r="B6107" s="3" t="s">
        <v>78</v>
      </c>
      <c r="C6107" s="4">
        <v>43435</v>
      </c>
      <c r="D6107" s="4">
        <v>43465</v>
      </c>
      <c r="E6107" s="3" t="s">
        <v>161</v>
      </c>
      <c r="F6107" s="3" t="s">
        <v>169</v>
      </c>
      <c r="G6107" s="5">
        <v>1E-3</v>
      </c>
      <c r="H6107" s="6" t="s">
        <v>88</v>
      </c>
      <c r="I6107" s="3" t="s">
        <v>45</v>
      </c>
    </row>
    <row r="6108" spans="1:9" ht="48" customHeight="1">
      <c r="A6108" s="3" t="s">
        <v>79</v>
      </c>
      <c r="B6108" s="3" t="s">
        <v>78</v>
      </c>
      <c r="C6108" s="4">
        <v>43435</v>
      </c>
      <c r="D6108" s="4">
        <v>43465</v>
      </c>
      <c r="E6108" s="3" t="s">
        <v>161</v>
      </c>
      <c r="F6108" s="3" t="s">
        <v>186</v>
      </c>
      <c r="G6108" s="5">
        <v>1E-3</v>
      </c>
      <c r="H6108" s="6" t="s">
        <v>88</v>
      </c>
      <c r="I6108" s="3" t="s">
        <v>45</v>
      </c>
    </row>
    <row r="6109" spans="1:9" ht="48" customHeight="1">
      <c r="A6109" s="3" t="s">
        <v>79</v>
      </c>
      <c r="B6109" s="3" t="s">
        <v>78</v>
      </c>
      <c r="C6109" s="4">
        <v>43435</v>
      </c>
      <c r="D6109" s="4">
        <v>43465</v>
      </c>
      <c r="E6109" s="3" t="s">
        <v>161</v>
      </c>
      <c r="F6109" s="3" t="s">
        <v>170</v>
      </c>
      <c r="G6109" s="5">
        <v>1E-3</v>
      </c>
      <c r="H6109" s="6" t="s">
        <v>88</v>
      </c>
      <c r="I6109" s="3" t="s">
        <v>45</v>
      </c>
    </row>
    <row r="6110" spans="1:9" ht="48" customHeight="1">
      <c r="A6110" s="3" t="s">
        <v>79</v>
      </c>
      <c r="B6110" s="3" t="s">
        <v>78</v>
      </c>
      <c r="C6110" s="4">
        <v>43435</v>
      </c>
      <c r="D6110" s="4">
        <v>43465</v>
      </c>
      <c r="E6110" s="3" t="s">
        <v>161</v>
      </c>
      <c r="F6110" s="3" t="s">
        <v>171</v>
      </c>
      <c r="G6110" s="5">
        <v>1E-3</v>
      </c>
      <c r="H6110" s="6" t="s">
        <v>88</v>
      </c>
      <c r="I6110" s="3" t="s">
        <v>45</v>
      </c>
    </row>
    <row r="6111" spans="1:9" ht="48" customHeight="1">
      <c r="A6111" s="3" t="s">
        <v>79</v>
      </c>
      <c r="B6111" s="3" t="s">
        <v>78</v>
      </c>
      <c r="C6111" s="4">
        <v>43435</v>
      </c>
      <c r="D6111" s="4">
        <v>43465</v>
      </c>
      <c r="E6111" s="3" t="s">
        <v>161</v>
      </c>
      <c r="F6111" s="3" t="s">
        <v>177</v>
      </c>
      <c r="G6111" s="5">
        <v>1E-3</v>
      </c>
      <c r="H6111" s="6" t="s">
        <v>88</v>
      </c>
      <c r="I6111" s="3" t="s">
        <v>45</v>
      </c>
    </row>
    <row r="6112" spans="1:9" ht="48" customHeight="1">
      <c r="A6112" s="3" t="s">
        <v>79</v>
      </c>
      <c r="B6112" s="3" t="s">
        <v>78</v>
      </c>
      <c r="C6112" s="4">
        <v>43435</v>
      </c>
      <c r="D6112" s="4">
        <v>43465</v>
      </c>
      <c r="E6112" s="3" t="s">
        <v>161</v>
      </c>
      <c r="F6112" s="3" t="s">
        <v>187</v>
      </c>
      <c r="G6112" s="5">
        <v>1E-3</v>
      </c>
      <c r="H6112" s="6" t="s">
        <v>88</v>
      </c>
      <c r="I6112" s="3" t="s">
        <v>45</v>
      </c>
    </row>
    <row r="6113" spans="1:9" ht="48" customHeight="1">
      <c r="A6113" s="3" t="s">
        <v>79</v>
      </c>
      <c r="B6113" s="3" t="s">
        <v>78</v>
      </c>
      <c r="C6113" s="4">
        <v>43435</v>
      </c>
      <c r="D6113" s="4">
        <v>43465</v>
      </c>
      <c r="E6113" s="3" t="s">
        <v>161</v>
      </c>
      <c r="F6113" s="3" t="s">
        <v>192</v>
      </c>
      <c r="G6113" s="5">
        <v>1E-3</v>
      </c>
      <c r="H6113" s="6" t="s">
        <v>88</v>
      </c>
      <c r="I6113" s="3" t="s">
        <v>45</v>
      </c>
    </row>
    <row r="6114" spans="1:9" ht="48" customHeight="1">
      <c r="A6114" s="3" t="s">
        <v>79</v>
      </c>
      <c r="B6114" s="3" t="s">
        <v>78</v>
      </c>
      <c r="C6114" s="4">
        <v>43435</v>
      </c>
      <c r="D6114" s="4">
        <v>43465</v>
      </c>
      <c r="E6114" s="3" t="s">
        <v>161</v>
      </c>
      <c r="F6114" s="3" t="s">
        <v>193</v>
      </c>
      <c r="G6114" s="5">
        <v>1E-3</v>
      </c>
      <c r="H6114" s="6" t="s">
        <v>88</v>
      </c>
      <c r="I6114" s="3" t="s">
        <v>45</v>
      </c>
    </row>
    <row r="6115" spans="1:9" ht="48" customHeight="1">
      <c r="A6115" s="3" t="s">
        <v>79</v>
      </c>
      <c r="B6115" s="3" t="s">
        <v>78</v>
      </c>
      <c r="C6115" s="4">
        <v>43435</v>
      </c>
      <c r="D6115" s="4">
        <v>43465</v>
      </c>
      <c r="E6115" s="3" t="s">
        <v>161</v>
      </c>
      <c r="F6115" s="3" t="s">
        <v>178</v>
      </c>
      <c r="G6115" s="5">
        <v>1E-3</v>
      </c>
      <c r="H6115" s="6" t="s">
        <v>88</v>
      </c>
      <c r="I6115" s="3" t="s">
        <v>45</v>
      </c>
    </row>
    <row r="6116" spans="1:9" ht="48" customHeight="1">
      <c r="A6116" s="3" t="s">
        <v>79</v>
      </c>
      <c r="B6116" s="3" t="s">
        <v>78</v>
      </c>
      <c r="C6116" s="4">
        <v>43435</v>
      </c>
      <c r="D6116" s="4">
        <v>43465</v>
      </c>
      <c r="E6116" s="3" t="s">
        <v>161</v>
      </c>
      <c r="F6116" s="3" t="s">
        <v>179</v>
      </c>
      <c r="G6116" s="5">
        <v>1E-3</v>
      </c>
      <c r="H6116" s="6" t="s">
        <v>88</v>
      </c>
      <c r="I6116" s="3" t="s">
        <v>45</v>
      </c>
    </row>
    <row r="6117" spans="1:9" ht="48" customHeight="1">
      <c r="A6117" s="3" t="s">
        <v>79</v>
      </c>
      <c r="B6117" s="3" t="s">
        <v>78</v>
      </c>
      <c r="C6117" s="4">
        <v>43435</v>
      </c>
      <c r="D6117" s="4">
        <v>43465</v>
      </c>
      <c r="E6117" s="3" t="s">
        <v>161</v>
      </c>
      <c r="F6117" s="3" t="s">
        <v>194</v>
      </c>
      <c r="G6117" s="5">
        <v>1E-3</v>
      </c>
      <c r="H6117" s="6" t="s">
        <v>88</v>
      </c>
      <c r="I6117" s="3" t="s">
        <v>45</v>
      </c>
    </row>
    <row r="6118" spans="1:9" ht="48" customHeight="1">
      <c r="A6118" s="3" t="s">
        <v>79</v>
      </c>
      <c r="B6118" s="3" t="s">
        <v>78</v>
      </c>
      <c r="C6118" s="4">
        <v>43435</v>
      </c>
      <c r="D6118" s="4">
        <v>43465</v>
      </c>
      <c r="E6118" s="3" t="s">
        <v>161</v>
      </c>
      <c r="F6118" s="3" t="s">
        <v>188</v>
      </c>
      <c r="G6118" s="5">
        <v>1E-3</v>
      </c>
      <c r="H6118" s="6" t="s">
        <v>88</v>
      </c>
      <c r="I6118" s="3" t="s">
        <v>45</v>
      </c>
    </row>
    <row r="6119" spans="1:9" ht="48" customHeight="1">
      <c r="A6119" s="3" t="s">
        <v>79</v>
      </c>
      <c r="B6119" s="3" t="s">
        <v>78</v>
      </c>
      <c r="C6119" s="4">
        <v>43435</v>
      </c>
      <c r="D6119" s="4">
        <v>43465</v>
      </c>
      <c r="E6119" s="3" t="s">
        <v>161</v>
      </c>
      <c r="F6119" s="3" t="s">
        <v>183</v>
      </c>
      <c r="G6119" s="5">
        <v>1E-3</v>
      </c>
      <c r="H6119" s="6" t="s">
        <v>88</v>
      </c>
      <c r="I6119" s="3" t="s">
        <v>45</v>
      </c>
    </row>
    <row r="6120" spans="1:9" ht="48" customHeight="1">
      <c r="A6120" s="3" t="s">
        <v>79</v>
      </c>
      <c r="B6120" s="3" t="s">
        <v>78</v>
      </c>
      <c r="C6120" s="4">
        <v>43435</v>
      </c>
      <c r="D6120" s="4">
        <v>43465</v>
      </c>
      <c r="E6120" s="3" t="s">
        <v>161</v>
      </c>
      <c r="F6120" s="3" t="s">
        <v>196</v>
      </c>
      <c r="G6120" s="5">
        <v>1E-3</v>
      </c>
      <c r="H6120" s="6" t="s">
        <v>88</v>
      </c>
      <c r="I6120" s="3" t="s">
        <v>45</v>
      </c>
    </row>
    <row r="6121" spans="1:9" ht="48" customHeight="1">
      <c r="A6121" s="3" t="s">
        <v>79</v>
      </c>
      <c r="B6121" s="3" t="s">
        <v>78</v>
      </c>
      <c r="C6121" s="4">
        <v>43435</v>
      </c>
      <c r="D6121" s="4">
        <v>43465</v>
      </c>
      <c r="E6121" s="3" t="s">
        <v>161</v>
      </c>
      <c r="F6121" s="3" t="s">
        <v>199</v>
      </c>
      <c r="G6121" s="5">
        <v>1E-3</v>
      </c>
      <c r="H6121" s="6" t="s">
        <v>88</v>
      </c>
      <c r="I6121" s="3" t="s">
        <v>45</v>
      </c>
    </row>
    <row r="6122" spans="1:9" ht="48" customHeight="1">
      <c r="A6122" s="3" t="s">
        <v>79</v>
      </c>
      <c r="B6122" s="3" t="s">
        <v>78</v>
      </c>
      <c r="C6122" s="4">
        <v>43435</v>
      </c>
      <c r="D6122" s="4">
        <v>43465</v>
      </c>
      <c r="E6122" s="3" t="s">
        <v>161</v>
      </c>
      <c r="F6122" s="3" t="s">
        <v>200</v>
      </c>
      <c r="G6122" s="5">
        <v>1E-3</v>
      </c>
      <c r="H6122" s="6" t="s">
        <v>88</v>
      </c>
      <c r="I6122" s="3" t="s">
        <v>45</v>
      </c>
    </row>
    <row r="6123" spans="1:9" ht="48" customHeight="1">
      <c r="A6123" s="3" t="s">
        <v>79</v>
      </c>
      <c r="B6123" s="3" t="s">
        <v>78</v>
      </c>
      <c r="C6123" s="4">
        <v>43435</v>
      </c>
      <c r="D6123" s="4">
        <v>43465</v>
      </c>
      <c r="E6123" s="3" t="s">
        <v>161</v>
      </c>
      <c r="F6123" s="3" t="s">
        <v>201</v>
      </c>
      <c r="G6123" s="5">
        <v>1E-3</v>
      </c>
      <c r="H6123" s="6" t="s">
        <v>88</v>
      </c>
      <c r="I6123" s="3" t="s">
        <v>45</v>
      </c>
    </row>
    <row r="6124" spans="1:9" ht="48" customHeight="1">
      <c r="A6124" s="3" t="s">
        <v>79</v>
      </c>
      <c r="B6124" s="3" t="s">
        <v>78</v>
      </c>
      <c r="C6124" s="4">
        <v>43435</v>
      </c>
      <c r="D6124" s="4">
        <v>43465</v>
      </c>
      <c r="E6124" s="3" t="s">
        <v>161</v>
      </c>
      <c r="F6124" s="3" t="s">
        <v>202</v>
      </c>
      <c r="G6124" s="5">
        <v>0</v>
      </c>
      <c r="H6124" s="6" t="s">
        <v>88</v>
      </c>
      <c r="I6124" s="3" t="s">
        <v>45</v>
      </c>
    </row>
    <row r="6125" spans="1:9" ht="48" customHeight="1">
      <c r="A6125" s="3" t="s">
        <v>79</v>
      </c>
      <c r="B6125" s="3" t="s">
        <v>78</v>
      </c>
      <c r="C6125" s="4">
        <v>43435</v>
      </c>
      <c r="D6125" s="4">
        <v>43465</v>
      </c>
      <c r="E6125" s="3" t="s">
        <v>161</v>
      </c>
      <c r="F6125" s="3" t="s">
        <v>198</v>
      </c>
      <c r="G6125" s="5">
        <v>0</v>
      </c>
      <c r="H6125" s="6" t="s">
        <v>88</v>
      </c>
      <c r="I6125" s="3" t="s">
        <v>45</v>
      </c>
    </row>
    <row r="6126" spans="1:9" ht="48" customHeight="1">
      <c r="A6126" s="3" t="s">
        <v>79</v>
      </c>
      <c r="B6126" s="3" t="s">
        <v>78</v>
      </c>
      <c r="C6126" s="4">
        <v>43435</v>
      </c>
      <c r="D6126" s="4">
        <v>43465</v>
      </c>
      <c r="E6126" s="3" t="s">
        <v>161</v>
      </c>
      <c r="F6126" s="3" t="s">
        <v>203</v>
      </c>
      <c r="G6126" s="5">
        <v>0</v>
      </c>
      <c r="H6126" s="6" t="s">
        <v>88</v>
      </c>
      <c r="I6126" s="3" t="s">
        <v>45</v>
      </c>
    </row>
    <row r="6127" spans="1:9" ht="48" customHeight="1">
      <c r="A6127" s="3" t="s">
        <v>79</v>
      </c>
      <c r="B6127" s="3" t="s">
        <v>78</v>
      </c>
      <c r="C6127" s="4">
        <v>43435</v>
      </c>
      <c r="D6127" s="4">
        <v>43465</v>
      </c>
      <c r="E6127" s="3" t="s">
        <v>161</v>
      </c>
      <c r="F6127" s="3" t="s">
        <v>204</v>
      </c>
      <c r="G6127" s="5">
        <v>0</v>
      </c>
      <c r="H6127" s="6" t="s">
        <v>88</v>
      </c>
      <c r="I6127" s="3" t="s">
        <v>45</v>
      </c>
    </row>
    <row r="6128" spans="1:9" ht="48" customHeight="1">
      <c r="A6128" s="3" t="s">
        <v>79</v>
      </c>
      <c r="B6128" s="3" t="s">
        <v>78</v>
      </c>
      <c r="C6128" s="4">
        <v>43435</v>
      </c>
      <c r="D6128" s="4">
        <v>43465</v>
      </c>
      <c r="E6128" s="3" t="s">
        <v>368</v>
      </c>
      <c r="F6128" s="3" t="s">
        <v>370</v>
      </c>
      <c r="G6128" s="5">
        <v>8.0000000000000002E-3</v>
      </c>
      <c r="H6128" s="6" t="s">
        <v>88</v>
      </c>
      <c r="I6128" s="3" t="s">
        <v>45</v>
      </c>
    </row>
    <row r="6129" spans="1:9" ht="48" customHeight="1">
      <c r="A6129" s="3" t="s">
        <v>79</v>
      </c>
      <c r="B6129" s="3" t="s">
        <v>78</v>
      </c>
      <c r="C6129" s="4">
        <v>43435</v>
      </c>
      <c r="D6129" s="4">
        <v>43465</v>
      </c>
      <c r="E6129" s="3" t="s">
        <v>368</v>
      </c>
      <c r="F6129" s="3" t="s">
        <v>374</v>
      </c>
      <c r="G6129" s="5">
        <v>5.0000000000000001E-3</v>
      </c>
      <c r="H6129" s="6" t="s">
        <v>88</v>
      </c>
      <c r="I6129" s="3" t="s">
        <v>45</v>
      </c>
    </row>
    <row r="6130" spans="1:9" ht="48" customHeight="1">
      <c r="A6130" s="3" t="s">
        <v>79</v>
      </c>
      <c r="B6130" s="3" t="s">
        <v>78</v>
      </c>
      <c r="C6130" s="4">
        <v>43435</v>
      </c>
      <c r="D6130" s="4">
        <v>43465</v>
      </c>
      <c r="E6130" s="3" t="s">
        <v>368</v>
      </c>
      <c r="F6130" s="3" t="s">
        <v>373</v>
      </c>
      <c r="G6130" s="5">
        <v>4.0000000000000001E-3</v>
      </c>
      <c r="H6130" s="6" t="s">
        <v>88</v>
      </c>
      <c r="I6130" s="3" t="s">
        <v>45</v>
      </c>
    </row>
    <row r="6131" spans="1:9" ht="48" customHeight="1">
      <c r="A6131" s="3" t="s">
        <v>79</v>
      </c>
      <c r="B6131" s="3" t="s">
        <v>78</v>
      </c>
      <c r="C6131" s="4">
        <v>43435</v>
      </c>
      <c r="D6131" s="4">
        <v>43465</v>
      </c>
      <c r="E6131" s="3" t="s">
        <v>368</v>
      </c>
      <c r="F6131" s="3" t="s">
        <v>265</v>
      </c>
      <c r="G6131" s="5">
        <v>4.0000000000000001E-3</v>
      </c>
      <c r="H6131" s="6" t="s">
        <v>88</v>
      </c>
      <c r="I6131" s="3" t="s">
        <v>45</v>
      </c>
    </row>
    <row r="6132" spans="1:9" ht="48" customHeight="1">
      <c r="A6132" s="3" t="s">
        <v>79</v>
      </c>
      <c r="B6132" s="3" t="s">
        <v>78</v>
      </c>
      <c r="C6132" s="4">
        <v>43435</v>
      </c>
      <c r="D6132" s="4">
        <v>43465</v>
      </c>
      <c r="E6132" s="3" t="s">
        <v>368</v>
      </c>
      <c r="F6132" s="3" t="s">
        <v>378</v>
      </c>
      <c r="G6132" s="5">
        <v>4.0000000000000001E-3</v>
      </c>
      <c r="H6132" s="6" t="s">
        <v>88</v>
      </c>
      <c r="I6132" s="3" t="s">
        <v>45</v>
      </c>
    </row>
    <row r="6133" spans="1:9" ht="48" customHeight="1">
      <c r="A6133" s="3" t="s">
        <v>79</v>
      </c>
      <c r="B6133" s="3" t="s">
        <v>78</v>
      </c>
      <c r="C6133" s="4">
        <v>43435</v>
      </c>
      <c r="D6133" s="4">
        <v>43465</v>
      </c>
      <c r="E6133" s="3" t="s">
        <v>368</v>
      </c>
      <c r="F6133" s="3" t="s">
        <v>369</v>
      </c>
      <c r="G6133" s="5">
        <v>3.0000000000000001E-3</v>
      </c>
      <c r="H6133" s="6" t="s">
        <v>88</v>
      </c>
      <c r="I6133" s="3" t="s">
        <v>45</v>
      </c>
    </row>
    <row r="6134" spans="1:9" ht="48" customHeight="1">
      <c r="A6134" s="3" t="s">
        <v>79</v>
      </c>
      <c r="B6134" s="3" t="s">
        <v>78</v>
      </c>
      <c r="C6134" s="4">
        <v>43435</v>
      </c>
      <c r="D6134" s="4">
        <v>43465</v>
      </c>
      <c r="E6134" s="3" t="s">
        <v>368</v>
      </c>
      <c r="F6134" s="3" t="s">
        <v>262</v>
      </c>
      <c r="G6134" s="5">
        <v>3.0000000000000001E-3</v>
      </c>
      <c r="H6134" s="6" t="s">
        <v>88</v>
      </c>
      <c r="I6134" s="3" t="s">
        <v>45</v>
      </c>
    </row>
    <row r="6135" spans="1:9" ht="48" customHeight="1">
      <c r="A6135" s="3" t="s">
        <v>79</v>
      </c>
      <c r="B6135" s="3" t="s">
        <v>78</v>
      </c>
      <c r="C6135" s="4">
        <v>43435</v>
      </c>
      <c r="D6135" s="4">
        <v>43465</v>
      </c>
      <c r="E6135" s="3" t="s">
        <v>368</v>
      </c>
      <c r="F6135" s="3" t="s">
        <v>371</v>
      </c>
      <c r="G6135" s="5">
        <v>3.0000000000000001E-3</v>
      </c>
      <c r="H6135" s="6" t="s">
        <v>88</v>
      </c>
      <c r="I6135" s="3" t="s">
        <v>45</v>
      </c>
    </row>
    <row r="6136" spans="1:9" ht="48" customHeight="1">
      <c r="A6136" s="3" t="s">
        <v>79</v>
      </c>
      <c r="B6136" s="3" t="s">
        <v>78</v>
      </c>
      <c r="C6136" s="4">
        <v>43435</v>
      </c>
      <c r="D6136" s="4">
        <v>43465</v>
      </c>
      <c r="E6136" s="3" t="s">
        <v>368</v>
      </c>
      <c r="F6136" s="3" t="s">
        <v>375</v>
      </c>
      <c r="G6136" s="5">
        <v>3.0000000000000001E-3</v>
      </c>
      <c r="H6136" s="6" t="s">
        <v>88</v>
      </c>
      <c r="I6136" s="3" t="s">
        <v>45</v>
      </c>
    </row>
    <row r="6137" spans="1:9" ht="48" customHeight="1">
      <c r="A6137" s="3" t="s">
        <v>79</v>
      </c>
      <c r="B6137" s="3" t="s">
        <v>78</v>
      </c>
      <c r="C6137" s="4">
        <v>43435</v>
      </c>
      <c r="D6137" s="4">
        <v>43465</v>
      </c>
      <c r="E6137" s="3" t="s">
        <v>368</v>
      </c>
      <c r="F6137" s="3" t="s">
        <v>376</v>
      </c>
      <c r="G6137" s="5">
        <v>3.0000000000000001E-3</v>
      </c>
      <c r="H6137" s="6" t="s">
        <v>88</v>
      </c>
      <c r="I6137" s="3" t="s">
        <v>45</v>
      </c>
    </row>
    <row r="6138" spans="1:9" ht="48" customHeight="1">
      <c r="A6138" s="3" t="s">
        <v>79</v>
      </c>
      <c r="B6138" s="3" t="s">
        <v>78</v>
      </c>
      <c r="C6138" s="4">
        <v>43435</v>
      </c>
      <c r="D6138" s="4">
        <v>43465</v>
      </c>
      <c r="E6138" s="3" t="s">
        <v>368</v>
      </c>
      <c r="F6138" s="3" t="s">
        <v>377</v>
      </c>
      <c r="G6138" s="5">
        <v>2E-3</v>
      </c>
      <c r="H6138" s="6" t="s">
        <v>88</v>
      </c>
      <c r="I6138" s="3" t="s">
        <v>45</v>
      </c>
    </row>
    <row r="6139" spans="1:9" ht="48" customHeight="1">
      <c r="A6139" s="3" t="s">
        <v>79</v>
      </c>
      <c r="B6139" s="3" t="s">
        <v>78</v>
      </c>
      <c r="C6139" s="4">
        <v>43435</v>
      </c>
      <c r="D6139" s="4">
        <v>43465</v>
      </c>
      <c r="E6139" s="3" t="s">
        <v>368</v>
      </c>
      <c r="F6139" s="3" t="s">
        <v>232</v>
      </c>
      <c r="G6139" s="5">
        <v>1E-3</v>
      </c>
      <c r="H6139" s="6" t="s">
        <v>88</v>
      </c>
      <c r="I6139" s="3" t="s">
        <v>45</v>
      </c>
    </row>
    <row r="6140" spans="1:9" ht="48" customHeight="1">
      <c r="A6140" s="3" t="s">
        <v>79</v>
      </c>
      <c r="B6140" s="3" t="s">
        <v>78</v>
      </c>
      <c r="C6140" s="4">
        <v>43435</v>
      </c>
      <c r="D6140" s="4">
        <v>43465</v>
      </c>
      <c r="E6140" s="3" t="s">
        <v>368</v>
      </c>
      <c r="F6140" s="3" t="s">
        <v>372</v>
      </c>
      <c r="G6140" s="5">
        <v>1E-3</v>
      </c>
      <c r="H6140" s="6" t="s">
        <v>88</v>
      </c>
      <c r="I6140" s="3" t="s">
        <v>45</v>
      </c>
    </row>
    <row r="6141" spans="1:9" ht="48" customHeight="1">
      <c r="A6141" s="3" t="s">
        <v>79</v>
      </c>
      <c r="B6141" s="3" t="s">
        <v>78</v>
      </c>
      <c r="C6141" s="4">
        <v>43435</v>
      </c>
      <c r="D6141" s="4">
        <v>43465</v>
      </c>
      <c r="E6141" s="3" t="s">
        <v>368</v>
      </c>
      <c r="F6141" s="3" t="s">
        <v>207</v>
      </c>
      <c r="G6141" s="5">
        <v>1E-3</v>
      </c>
      <c r="H6141" s="6" t="s">
        <v>88</v>
      </c>
      <c r="I6141" s="3" t="s">
        <v>45</v>
      </c>
    </row>
    <row r="6142" spans="1:9" ht="48" customHeight="1">
      <c r="A6142" s="3" t="s">
        <v>79</v>
      </c>
      <c r="B6142" s="3" t="s">
        <v>78</v>
      </c>
      <c r="C6142" s="4">
        <v>43435</v>
      </c>
      <c r="D6142" s="4">
        <v>43465</v>
      </c>
      <c r="E6142" s="3" t="s">
        <v>368</v>
      </c>
      <c r="F6142" s="3" t="s">
        <v>230</v>
      </c>
      <c r="G6142" s="5">
        <v>0</v>
      </c>
      <c r="H6142" s="6" t="s">
        <v>88</v>
      </c>
      <c r="I6142" s="3" t="s">
        <v>45</v>
      </c>
    </row>
    <row r="6143" spans="1:9" ht="48" customHeight="1">
      <c r="A6143" s="3" t="s">
        <v>79</v>
      </c>
      <c r="B6143" s="3" t="s">
        <v>78</v>
      </c>
      <c r="C6143" s="4">
        <v>43435</v>
      </c>
      <c r="D6143" s="4">
        <v>43465</v>
      </c>
      <c r="E6143" s="3" t="s">
        <v>368</v>
      </c>
      <c r="F6143" s="3" t="s">
        <v>234</v>
      </c>
      <c r="G6143" s="5">
        <v>0</v>
      </c>
      <c r="H6143" s="6" t="s">
        <v>88</v>
      </c>
      <c r="I6143" s="3" t="s">
        <v>45</v>
      </c>
    </row>
    <row r="6144" spans="1:9" ht="48" customHeight="1">
      <c r="A6144" s="3" t="s">
        <v>79</v>
      </c>
      <c r="B6144" s="3" t="s">
        <v>78</v>
      </c>
      <c r="C6144" s="4">
        <v>43435</v>
      </c>
      <c r="D6144" s="4">
        <v>43465</v>
      </c>
      <c r="E6144" s="3" t="s">
        <v>379</v>
      </c>
      <c r="F6144" s="3" t="s">
        <v>265</v>
      </c>
      <c r="G6144" s="5">
        <v>1.2E-2</v>
      </c>
      <c r="H6144" s="6" t="s">
        <v>88</v>
      </c>
      <c r="I6144" s="3" t="s">
        <v>45</v>
      </c>
    </row>
    <row r="6145" spans="1:9" ht="48" customHeight="1">
      <c r="A6145" s="3" t="s">
        <v>79</v>
      </c>
      <c r="B6145" s="3" t="s">
        <v>78</v>
      </c>
      <c r="C6145" s="4">
        <v>43435</v>
      </c>
      <c r="D6145" s="4">
        <v>43465</v>
      </c>
      <c r="E6145" s="3" t="s">
        <v>379</v>
      </c>
      <c r="F6145" s="3" t="s">
        <v>262</v>
      </c>
      <c r="G6145" s="5">
        <v>9.0000000000000011E-3</v>
      </c>
      <c r="H6145" s="6" t="s">
        <v>88</v>
      </c>
      <c r="I6145" s="3" t="s">
        <v>45</v>
      </c>
    </row>
    <row r="6146" spans="1:9" ht="48" customHeight="1">
      <c r="A6146" s="3" t="s">
        <v>79</v>
      </c>
      <c r="B6146" s="3" t="s">
        <v>78</v>
      </c>
      <c r="C6146" s="4">
        <v>43435</v>
      </c>
      <c r="D6146" s="4">
        <v>43465</v>
      </c>
      <c r="E6146" s="3" t="s">
        <v>379</v>
      </c>
      <c r="F6146" s="3" t="s">
        <v>380</v>
      </c>
      <c r="G6146" s="5">
        <v>9.0000000000000011E-3</v>
      </c>
      <c r="H6146" s="6" t="s">
        <v>88</v>
      </c>
      <c r="I6146" s="3" t="s">
        <v>45</v>
      </c>
    </row>
    <row r="6147" spans="1:9" ht="48" customHeight="1">
      <c r="A6147" s="3" t="s">
        <v>79</v>
      </c>
      <c r="B6147" s="3" t="s">
        <v>78</v>
      </c>
      <c r="C6147" s="4">
        <v>43435</v>
      </c>
      <c r="D6147" s="4">
        <v>43465</v>
      </c>
      <c r="E6147" s="3" t="s">
        <v>379</v>
      </c>
      <c r="F6147" s="3" t="s">
        <v>230</v>
      </c>
      <c r="G6147" s="5">
        <v>8.0000000000000002E-3</v>
      </c>
      <c r="H6147" s="6" t="s">
        <v>88</v>
      </c>
      <c r="I6147" s="3" t="s">
        <v>45</v>
      </c>
    </row>
    <row r="6148" spans="1:9" ht="48" customHeight="1">
      <c r="A6148" s="3" t="s">
        <v>79</v>
      </c>
      <c r="B6148" s="3" t="s">
        <v>78</v>
      </c>
      <c r="C6148" s="4">
        <v>43435</v>
      </c>
      <c r="D6148" s="4">
        <v>43465</v>
      </c>
      <c r="E6148" s="3" t="s">
        <v>379</v>
      </c>
      <c r="F6148" s="3" t="s">
        <v>234</v>
      </c>
      <c r="G6148" s="5">
        <v>6.9999999999999993E-3</v>
      </c>
      <c r="H6148" s="6" t="s">
        <v>88</v>
      </c>
      <c r="I6148" s="3" t="s">
        <v>45</v>
      </c>
    </row>
    <row r="6149" spans="1:9" ht="48" customHeight="1">
      <c r="A6149" s="3" t="s">
        <v>79</v>
      </c>
      <c r="B6149" s="3" t="s">
        <v>78</v>
      </c>
      <c r="C6149" s="4">
        <v>43435</v>
      </c>
      <c r="D6149" s="4">
        <v>43465</v>
      </c>
      <c r="E6149" s="3" t="s">
        <v>205</v>
      </c>
      <c r="F6149" s="3" t="s">
        <v>206</v>
      </c>
      <c r="G6149" s="5">
        <v>3.0000000000000001E-3</v>
      </c>
      <c r="H6149" s="6" t="s">
        <v>88</v>
      </c>
      <c r="I6149" s="3" t="s">
        <v>45</v>
      </c>
    </row>
    <row r="6150" spans="1:9" ht="48" customHeight="1">
      <c r="A6150" s="3" t="s">
        <v>79</v>
      </c>
      <c r="B6150" s="3" t="s">
        <v>78</v>
      </c>
      <c r="C6150" s="4">
        <v>43435</v>
      </c>
      <c r="D6150" s="4">
        <v>43465</v>
      </c>
      <c r="E6150" s="3" t="s">
        <v>205</v>
      </c>
      <c r="F6150" s="3" t="s">
        <v>209</v>
      </c>
      <c r="G6150" s="5">
        <v>3.0000000000000001E-3</v>
      </c>
      <c r="H6150" s="6" t="s">
        <v>88</v>
      </c>
      <c r="I6150" s="3" t="s">
        <v>45</v>
      </c>
    </row>
    <row r="6151" spans="1:9" ht="48" customHeight="1">
      <c r="A6151" s="3" t="s">
        <v>79</v>
      </c>
      <c r="B6151" s="3" t="s">
        <v>78</v>
      </c>
      <c r="C6151" s="4">
        <v>43435</v>
      </c>
      <c r="D6151" s="4">
        <v>43465</v>
      </c>
      <c r="E6151" s="3" t="s">
        <v>205</v>
      </c>
      <c r="F6151" s="3" t="s">
        <v>210</v>
      </c>
      <c r="G6151" s="5">
        <v>3.0000000000000001E-3</v>
      </c>
      <c r="H6151" s="6" t="s">
        <v>88</v>
      </c>
      <c r="I6151" s="3" t="s">
        <v>45</v>
      </c>
    </row>
    <row r="6152" spans="1:9" ht="48" customHeight="1">
      <c r="A6152" s="3" t="s">
        <v>79</v>
      </c>
      <c r="B6152" s="3" t="s">
        <v>78</v>
      </c>
      <c r="C6152" s="4">
        <v>43435</v>
      </c>
      <c r="D6152" s="4">
        <v>43465</v>
      </c>
      <c r="E6152" s="3" t="s">
        <v>205</v>
      </c>
      <c r="F6152" s="3" t="s">
        <v>219</v>
      </c>
      <c r="G6152" s="5">
        <v>2E-3</v>
      </c>
      <c r="H6152" s="6" t="s">
        <v>88</v>
      </c>
      <c r="I6152" s="3" t="s">
        <v>45</v>
      </c>
    </row>
    <row r="6153" spans="1:9" ht="48" customHeight="1">
      <c r="A6153" s="3" t="s">
        <v>79</v>
      </c>
      <c r="B6153" s="3" t="s">
        <v>78</v>
      </c>
      <c r="C6153" s="4">
        <v>43435</v>
      </c>
      <c r="D6153" s="4">
        <v>43465</v>
      </c>
      <c r="E6153" s="3" t="s">
        <v>205</v>
      </c>
      <c r="F6153" s="3" t="s">
        <v>220</v>
      </c>
      <c r="G6153" s="5">
        <v>2E-3</v>
      </c>
      <c r="H6153" s="6" t="s">
        <v>88</v>
      </c>
      <c r="I6153" s="3" t="s">
        <v>45</v>
      </c>
    </row>
    <row r="6154" spans="1:9" ht="48" customHeight="1">
      <c r="A6154" s="3" t="s">
        <v>79</v>
      </c>
      <c r="B6154" s="3" t="s">
        <v>78</v>
      </c>
      <c r="C6154" s="4">
        <v>43435</v>
      </c>
      <c r="D6154" s="4">
        <v>43465</v>
      </c>
      <c r="E6154" s="3" t="s">
        <v>205</v>
      </c>
      <c r="F6154" s="3" t="s">
        <v>207</v>
      </c>
      <c r="G6154" s="5">
        <v>2E-3</v>
      </c>
      <c r="H6154" s="6" t="s">
        <v>88</v>
      </c>
      <c r="I6154" s="3" t="s">
        <v>45</v>
      </c>
    </row>
    <row r="6155" spans="1:9" ht="48" customHeight="1">
      <c r="A6155" s="3" t="s">
        <v>79</v>
      </c>
      <c r="B6155" s="3" t="s">
        <v>78</v>
      </c>
      <c r="C6155" s="4">
        <v>43435</v>
      </c>
      <c r="D6155" s="4">
        <v>43465</v>
      </c>
      <c r="E6155" s="3" t="s">
        <v>205</v>
      </c>
      <c r="F6155" s="3" t="s">
        <v>208</v>
      </c>
      <c r="G6155" s="5">
        <v>2E-3</v>
      </c>
      <c r="H6155" s="6" t="s">
        <v>88</v>
      </c>
      <c r="I6155" s="3" t="s">
        <v>45</v>
      </c>
    </row>
    <row r="6156" spans="1:9" ht="48" customHeight="1">
      <c r="A6156" s="3" t="s">
        <v>79</v>
      </c>
      <c r="B6156" s="3" t="s">
        <v>78</v>
      </c>
      <c r="C6156" s="4">
        <v>43435</v>
      </c>
      <c r="D6156" s="4">
        <v>43465</v>
      </c>
      <c r="E6156" s="3" t="s">
        <v>205</v>
      </c>
      <c r="F6156" s="3" t="s">
        <v>213</v>
      </c>
      <c r="G6156" s="5">
        <v>2E-3</v>
      </c>
      <c r="H6156" s="6" t="s">
        <v>88</v>
      </c>
      <c r="I6156" s="3" t="s">
        <v>45</v>
      </c>
    </row>
    <row r="6157" spans="1:9" ht="48" customHeight="1">
      <c r="A6157" s="3" t="s">
        <v>79</v>
      </c>
      <c r="B6157" s="3" t="s">
        <v>78</v>
      </c>
      <c r="C6157" s="4">
        <v>43435</v>
      </c>
      <c r="D6157" s="4">
        <v>43465</v>
      </c>
      <c r="E6157" s="3" t="s">
        <v>205</v>
      </c>
      <c r="F6157" s="3" t="s">
        <v>214</v>
      </c>
      <c r="G6157" s="5">
        <v>2E-3</v>
      </c>
      <c r="H6157" s="6" t="s">
        <v>88</v>
      </c>
      <c r="I6157" s="3" t="s">
        <v>45</v>
      </c>
    </row>
    <row r="6158" spans="1:9" ht="48" customHeight="1">
      <c r="A6158" s="3" t="s">
        <v>79</v>
      </c>
      <c r="B6158" s="3" t="s">
        <v>78</v>
      </c>
      <c r="C6158" s="4">
        <v>43435</v>
      </c>
      <c r="D6158" s="4">
        <v>43465</v>
      </c>
      <c r="E6158" s="3" t="s">
        <v>205</v>
      </c>
      <c r="F6158" s="3" t="s">
        <v>215</v>
      </c>
      <c r="G6158" s="5">
        <v>2E-3</v>
      </c>
      <c r="H6158" s="6" t="s">
        <v>88</v>
      </c>
      <c r="I6158" s="3" t="s">
        <v>45</v>
      </c>
    </row>
    <row r="6159" spans="1:9" ht="48" customHeight="1">
      <c r="A6159" s="3" t="s">
        <v>79</v>
      </c>
      <c r="B6159" s="3" t="s">
        <v>78</v>
      </c>
      <c r="C6159" s="4">
        <v>43435</v>
      </c>
      <c r="D6159" s="4">
        <v>43465</v>
      </c>
      <c r="E6159" s="3" t="s">
        <v>205</v>
      </c>
      <c r="F6159" s="3" t="s">
        <v>216</v>
      </c>
      <c r="G6159" s="5">
        <v>2E-3</v>
      </c>
      <c r="H6159" s="6" t="s">
        <v>88</v>
      </c>
      <c r="I6159" s="3" t="s">
        <v>45</v>
      </c>
    </row>
    <row r="6160" spans="1:9" ht="48" customHeight="1">
      <c r="A6160" s="3" t="s">
        <v>79</v>
      </c>
      <c r="B6160" s="3" t="s">
        <v>78</v>
      </c>
      <c r="C6160" s="4">
        <v>43435</v>
      </c>
      <c r="D6160" s="4">
        <v>43465</v>
      </c>
      <c r="E6160" s="3" t="s">
        <v>205</v>
      </c>
      <c r="F6160" s="3" t="s">
        <v>229</v>
      </c>
      <c r="G6160" s="5">
        <v>1E-3</v>
      </c>
      <c r="H6160" s="6" t="s">
        <v>88</v>
      </c>
      <c r="I6160" s="3" t="s">
        <v>45</v>
      </c>
    </row>
    <row r="6161" spans="1:9" ht="48" customHeight="1">
      <c r="A6161" s="3" t="s">
        <v>79</v>
      </c>
      <c r="B6161" s="3" t="s">
        <v>78</v>
      </c>
      <c r="C6161" s="4">
        <v>43435</v>
      </c>
      <c r="D6161" s="4">
        <v>43465</v>
      </c>
      <c r="E6161" s="3" t="s">
        <v>205</v>
      </c>
      <c r="F6161" s="3" t="s">
        <v>230</v>
      </c>
      <c r="G6161" s="5">
        <v>1E-3</v>
      </c>
      <c r="H6161" s="6" t="s">
        <v>88</v>
      </c>
      <c r="I6161" s="3" t="s">
        <v>45</v>
      </c>
    </row>
    <row r="6162" spans="1:9" ht="48" customHeight="1">
      <c r="A6162" s="3" t="s">
        <v>79</v>
      </c>
      <c r="B6162" s="3" t="s">
        <v>78</v>
      </c>
      <c r="C6162" s="4">
        <v>43435</v>
      </c>
      <c r="D6162" s="4">
        <v>43465</v>
      </c>
      <c r="E6162" s="3" t="s">
        <v>205</v>
      </c>
      <c r="F6162" s="3" t="s">
        <v>223</v>
      </c>
      <c r="G6162" s="5">
        <v>1E-3</v>
      </c>
      <c r="H6162" s="6" t="s">
        <v>88</v>
      </c>
      <c r="I6162" s="3" t="s">
        <v>45</v>
      </c>
    </row>
    <row r="6163" spans="1:9" ht="48" customHeight="1">
      <c r="A6163" s="3" t="s">
        <v>79</v>
      </c>
      <c r="B6163" s="3" t="s">
        <v>78</v>
      </c>
      <c r="C6163" s="4">
        <v>43435</v>
      </c>
      <c r="D6163" s="4">
        <v>43465</v>
      </c>
      <c r="E6163" s="3" t="s">
        <v>205</v>
      </c>
      <c r="F6163" s="3" t="s">
        <v>224</v>
      </c>
      <c r="G6163" s="5">
        <v>1E-3</v>
      </c>
      <c r="H6163" s="6" t="s">
        <v>88</v>
      </c>
      <c r="I6163" s="3" t="s">
        <v>45</v>
      </c>
    </row>
    <row r="6164" spans="1:9" ht="48" customHeight="1">
      <c r="A6164" s="3" t="s">
        <v>79</v>
      </c>
      <c r="B6164" s="3" t="s">
        <v>78</v>
      </c>
      <c r="C6164" s="4">
        <v>43435</v>
      </c>
      <c r="D6164" s="4">
        <v>43465</v>
      </c>
      <c r="E6164" s="3" t="s">
        <v>205</v>
      </c>
      <c r="F6164" s="3" t="s">
        <v>217</v>
      </c>
      <c r="G6164" s="5">
        <v>1E-3</v>
      </c>
      <c r="H6164" s="6" t="s">
        <v>88</v>
      </c>
      <c r="I6164" s="3" t="s">
        <v>45</v>
      </c>
    </row>
    <row r="6165" spans="1:9" ht="48" customHeight="1">
      <c r="A6165" s="3" t="s">
        <v>79</v>
      </c>
      <c r="B6165" s="3" t="s">
        <v>78</v>
      </c>
      <c r="C6165" s="4">
        <v>43435</v>
      </c>
      <c r="D6165" s="4">
        <v>43465</v>
      </c>
      <c r="E6165" s="3" t="s">
        <v>205</v>
      </c>
      <c r="F6165" s="3" t="s">
        <v>218</v>
      </c>
      <c r="G6165" s="5">
        <v>1E-3</v>
      </c>
      <c r="H6165" s="6" t="s">
        <v>88</v>
      </c>
      <c r="I6165" s="3" t="s">
        <v>45</v>
      </c>
    </row>
    <row r="6166" spans="1:9" ht="48" customHeight="1">
      <c r="A6166" s="3" t="s">
        <v>79</v>
      </c>
      <c r="B6166" s="3" t="s">
        <v>78</v>
      </c>
      <c r="C6166" s="4">
        <v>43435</v>
      </c>
      <c r="D6166" s="4">
        <v>43465</v>
      </c>
      <c r="E6166" s="3" t="s">
        <v>205</v>
      </c>
      <c r="F6166" s="3" t="s">
        <v>225</v>
      </c>
      <c r="G6166" s="5">
        <v>1E-3</v>
      </c>
      <c r="H6166" s="6" t="s">
        <v>88</v>
      </c>
      <c r="I6166" s="3" t="s">
        <v>45</v>
      </c>
    </row>
    <row r="6167" spans="1:9" ht="48" customHeight="1">
      <c r="A6167" s="3" t="s">
        <v>79</v>
      </c>
      <c r="B6167" s="3" t="s">
        <v>78</v>
      </c>
      <c r="C6167" s="4">
        <v>43435</v>
      </c>
      <c r="D6167" s="4">
        <v>43465</v>
      </c>
      <c r="E6167" s="3" t="s">
        <v>205</v>
      </c>
      <c r="F6167" s="3" t="s">
        <v>226</v>
      </c>
      <c r="G6167" s="5">
        <v>1E-3</v>
      </c>
      <c r="H6167" s="6" t="s">
        <v>88</v>
      </c>
      <c r="I6167" s="3" t="s">
        <v>45</v>
      </c>
    </row>
    <row r="6168" spans="1:9" ht="48" customHeight="1">
      <c r="A6168" s="3" t="s">
        <v>79</v>
      </c>
      <c r="B6168" s="3" t="s">
        <v>78</v>
      </c>
      <c r="C6168" s="4">
        <v>43435</v>
      </c>
      <c r="D6168" s="4">
        <v>43465</v>
      </c>
      <c r="E6168" s="3" t="s">
        <v>205</v>
      </c>
      <c r="F6168" s="3" t="s">
        <v>227</v>
      </c>
      <c r="G6168" s="5">
        <v>1E-3</v>
      </c>
      <c r="H6168" s="6" t="s">
        <v>88</v>
      </c>
      <c r="I6168" s="3" t="s">
        <v>45</v>
      </c>
    </row>
    <row r="6169" spans="1:9" ht="48" customHeight="1">
      <c r="A6169" s="3" t="s">
        <v>79</v>
      </c>
      <c r="B6169" s="3" t="s">
        <v>78</v>
      </c>
      <c r="C6169" s="4">
        <v>43435</v>
      </c>
      <c r="D6169" s="4">
        <v>43465</v>
      </c>
      <c r="E6169" s="3" t="s">
        <v>205</v>
      </c>
      <c r="F6169" s="3" t="s">
        <v>211</v>
      </c>
      <c r="G6169" s="5">
        <v>1E-3</v>
      </c>
      <c r="H6169" s="6" t="s">
        <v>88</v>
      </c>
      <c r="I6169" s="3" t="s">
        <v>45</v>
      </c>
    </row>
    <row r="6170" spans="1:9" ht="48" customHeight="1">
      <c r="A6170" s="3" t="s">
        <v>79</v>
      </c>
      <c r="B6170" s="3" t="s">
        <v>78</v>
      </c>
      <c r="C6170" s="4">
        <v>43435</v>
      </c>
      <c r="D6170" s="4">
        <v>43465</v>
      </c>
      <c r="E6170" s="3" t="s">
        <v>205</v>
      </c>
      <c r="F6170" s="3" t="s">
        <v>221</v>
      </c>
      <c r="G6170" s="5">
        <v>1E-3</v>
      </c>
      <c r="H6170" s="6" t="s">
        <v>88</v>
      </c>
      <c r="I6170" s="3" t="s">
        <v>45</v>
      </c>
    </row>
    <row r="6171" spans="1:9" ht="48" customHeight="1">
      <c r="A6171" s="3" t="s">
        <v>79</v>
      </c>
      <c r="B6171" s="3" t="s">
        <v>78</v>
      </c>
      <c r="C6171" s="4">
        <v>43435</v>
      </c>
      <c r="D6171" s="4">
        <v>43465</v>
      </c>
      <c r="E6171" s="3" t="s">
        <v>205</v>
      </c>
      <c r="F6171" s="3" t="s">
        <v>222</v>
      </c>
      <c r="G6171" s="5">
        <v>1E-3</v>
      </c>
      <c r="H6171" s="6" t="s">
        <v>88</v>
      </c>
      <c r="I6171" s="3" t="s">
        <v>45</v>
      </c>
    </row>
    <row r="6172" spans="1:9" ht="48" customHeight="1">
      <c r="A6172" s="3" t="s">
        <v>79</v>
      </c>
      <c r="B6172" s="3" t="s">
        <v>78</v>
      </c>
      <c r="C6172" s="4">
        <v>43435</v>
      </c>
      <c r="D6172" s="4">
        <v>43465</v>
      </c>
      <c r="E6172" s="3" t="s">
        <v>205</v>
      </c>
      <c r="F6172" s="3" t="s">
        <v>212</v>
      </c>
      <c r="G6172" s="5">
        <v>1E-3</v>
      </c>
      <c r="H6172" s="6" t="s">
        <v>88</v>
      </c>
      <c r="I6172" s="3" t="s">
        <v>45</v>
      </c>
    </row>
    <row r="6173" spans="1:9" ht="48" customHeight="1">
      <c r="A6173" s="3" t="s">
        <v>79</v>
      </c>
      <c r="B6173" s="3" t="s">
        <v>78</v>
      </c>
      <c r="C6173" s="4">
        <v>43435</v>
      </c>
      <c r="D6173" s="4">
        <v>43465</v>
      </c>
      <c r="E6173" s="3" t="s">
        <v>205</v>
      </c>
      <c r="F6173" s="3" t="s">
        <v>228</v>
      </c>
      <c r="G6173" s="5">
        <v>1E-3</v>
      </c>
      <c r="H6173" s="6" t="s">
        <v>88</v>
      </c>
      <c r="I6173" s="3" t="s">
        <v>45</v>
      </c>
    </row>
    <row r="6174" spans="1:9" ht="48" customHeight="1">
      <c r="A6174" s="3" t="s">
        <v>79</v>
      </c>
      <c r="B6174" s="3" t="s">
        <v>78</v>
      </c>
      <c r="C6174" s="4">
        <v>43435</v>
      </c>
      <c r="D6174" s="4">
        <v>43465</v>
      </c>
      <c r="E6174" s="3" t="s">
        <v>302</v>
      </c>
      <c r="F6174" s="3" t="s">
        <v>309</v>
      </c>
      <c r="G6174" s="5">
        <v>8.0000000000000002E-3</v>
      </c>
      <c r="H6174" s="6" t="s">
        <v>88</v>
      </c>
      <c r="I6174" s="3" t="s">
        <v>45</v>
      </c>
    </row>
    <row r="6175" spans="1:9" ht="48" customHeight="1">
      <c r="A6175" s="3" t="s">
        <v>79</v>
      </c>
      <c r="B6175" s="3" t="s">
        <v>78</v>
      </c>
      <c r="C6175" s="4">
        <v>43435</v>
      </c>
      <c r="D6175" s="4">
        <v>43465</v>
      </c>
      <c r="E6175" s="3" t="s">
        <v>302</v>
      </c>
      <c r="F6175" s="3" t="s">
        <v>307</v>
      </c>
      <c r="G6175" s="5">
        <v>5.0000000000000001E-3</v>
      </c>
      <c r="H6175" s="6" t="s">
        <v>88</v>
      </c>
      <c r="I6175" s="3" t="s">
        <v>45</v>
      </c>
    </row>
    <row r="6176" spans="1:9" ht="48" customHeight="1">
      <c r="A6176" s="3" t="s">
        <v>79</v>
      </c>
      <c r="B6176" s="3" t="s">
        <v>78</v>
      </c>
      <c r="C6176" s="4">
        <v>43435</v>
      </c>
      <c r="D6176" s="4">
        <v>43465</v>
      </c>
      <c r="E6176" s="3" t="s">
        <v>302</v>
      </c>
      <c r="F6176" s="3" t="s">
        <v>303</v>
      </c>
      <c r="G6176" s="5">
        <v>3.0000000000000001E-3</v>
      </c>
      <c r="H6176" s="6" t="s">
        <v>88</v>
      </c>
      <c r="I6176" s="3" t="s">
        <v>45</v>
      </c>
    </row>
    <row r="6177" spans="1:9" ht="48" customHeight="1">
      <c r="A6177" s="3" t="s">
        <v>79</v>
      </c>
      <c r="B6177" s="3" t="s">
        <v>78</v>
      </c>
      <c r="C6177" s="4">
        <v>43435</v>
      </c>
      <c r="D6177" s="4">
        <v>43465</v>
      </c>
      <c r="E6177" s="3" t="s">
        <v>302</v>
      </c>
      <c r="F6177" s="3" t="s">
        <v>306</v>
      </c>
      <c r="G6177" s="5">
        <v>3.0000000000000001E-3</v>
      </c>
      <c r="H6177" s="6" t="s">
        <v>88</v>
      </c>
      <c r="I6177" s="3" t="s">
        <v>45</v>
      </c>
    </row>
    <row r="6178" spans="1:9" ht="48" customHeight="1">
      <c r="A6178" s="3" t="s">
        <v>79</v>
      </c>
      <c r="B6178" s="3" t="s">
        <v>78</v>
      </c>
      <c r="C6178" s="4">
        <v>43435</v>
      </c>
      <c r="D6178" s="4">
        <v>43465</v>
      </c>
      <c r="E6178" s="3" t="s">
        <v>302</v>
      </c>
      <c r="F6178" s="3" t="s">
        <v>308</v>
      </c>
      <c r="G6178" s="5">
        <v>3.0000000000000001E-3</v>
      </c>
      <c r="H6178" s="6" t="s">
        <v>88</v>
      </c>
      <c r="I6178" s="3" t="s">
        <v>45</v>
      </c>
    </row>
    <row r="6179" spans="1:9" ht="48" customHeight="1">
      <c r="A6179" s="3" t="s">
        <v>79</v>
      </c>
      <c r="B6179" s="3" t="s">
        <v>78</v>
      </c>
      <c r="C6179" s="4">
        <v>43435</v>
      </c>
      <c r="D6179" s="4">
        <v>43465</v>
      </c>
      <c r="E6179" s="3" t="s">
        <v>302</v>
      </c>
      <c r="F6179" s="3" t="s">
        <v>304</v>
      </c>
      <c r="G6179" s="5">
        <v>2E-3</v>
      </c>
      <c r="H6179" s="6" t="s">
        <v>88</v>
      </c>
      <c r="I6179" s="3" t="s">
        <v>45</v>
      </c>
    </row>
    <row r="6180" spans="1:9" ht="48" customHeight="1">
      <c r="A6180" s="3" t="s">
        <v>79</v>
      </c>
      <c r="B6180" s="3" t="s">
        <v>78</v>
      </c>
      <c r="C6180" s="4">
        <v>43435</v>
      </c>
      <c r="D6180" s="4">
        <v>43465</v>
      </c>
      <c r="E6180" s="3" t="s">
        <v>302</v>
      </c>
      <c r="F6180" s="3" t="s">
        <v>311</v>
      </c>
      <c r="G6180" s="5">
        <v>2E-3</v>
      </c>
      <c r="H6180" s="6" t="s">
        <v>88</v>
      </c>
      <c r="I6180" s="3" t="s">
        <v>45</v>
      </c>
    </row>
    <row r="6181" spans="1:9" ht="48" customHeight="1">
      <c r="A6181" s="3" t="s">
        <v>79</v>
      </c>
      <c r="B6181" s="3" t="s">
        <v>78</v>
      </c>
      <c r="C6181" s="4">
        <v>43435</v>
      </c>
      <c r="D6181" s="4">
        <v>43465</v>
      </c>
      <c r="E6181" s="3" t="s">
        <v>302</v>
      </c>
      <c r="F6181" s="3" t="s">
        <v>305</v>
      </c>
      <c r="G6181" s="5">
        <v>2E-3</v>
      </c>
      <c r="H6181" s="6" t="s">
        <v>88</v>
      </c>
      <c r="I6181" s="3" t="s">
        <v>45</v>
      </c>
    </row>
    <row r="6182" spans="1:9" ht="48" customHeight="1">
      <c r="A6182" s="3" t="s">
        <v>79</v>
      </c>
      <c r="B6182" s="3" t="s">
        <v>78</v>
      </c>
      <c r="C6182" s="4">
        <v>43435</v>
      </c>
      <c r="D6182" s="4">
        <v>43465</v>
      </c>
      <c r="E6182" s="3" t="s">
        <v>302</v>
      </c>
      <c r="F6182" s="3" t="s">
        <v>310</v>
      </c>
      <c r="G6182" s="5">
        <v>1E-3</v>
      </c>
      <c r="H6182" s="6" t="s">
        <v>88</v>
      </c>
      <c r="I6182" s="3" t="s">
        <v>45</v>
      </c>
    </row>
    <row r="6183" spans="1:9" ht="48" customHeight="1">
      <c r="A6183" s="3" t="s">
        <v>79</v>
      </c>
      <c r="B6183" s="3" t="s">
        <v>78</v>
      </c>
      <c r="C6183" s="4">
        <v>43435</v>
      </c>
      <c r="D6183" s="4">
        <v>43465</v>
      </c>
      <c r="E6183" s="3" t="s">
        <v>302</v>
      </c>
      <c r="F6183" s="3" t="s">
        <v>313</v>
      </c>
      <c r="G6183" s="5">
        <v>1E-3</v>
      </c>
      <c r="H6183" s="6" t="s">
        <v>88</v>
      </c>
      <c r="I6183" s="3" t="s">
        <v>45</v>
      </c>
    </row>
    <row r="6184" spans="1:9" ht="48" customHeight="1">
      <c r="A6184" s="3" t="s">
        <v>79</v>
      </c>
      <c r="B6184" s="3" t="s">
        <v>78</v>
      </c>
      <c r="C6184" s="4">
        <v>43435</v>
      </c>
      <c r="D6184" s="4">
        <v>43465</v>
      </c>
      <c r="E6184" s="3" t="s">
        <v>302</v>
      </c>
      <c r="F6184" s="3" t="s">
        <v>314</v>
      </c>
      <c r="G6184" s="5">
        <v>1E-3</v>
      </c>
      <c r="H6184" s="6" t="s">
        <v>88</v>
      </c>
      <c r="I6184" s="3" t="s">
        <v>45</v>
      </c>
    </row>
    <row r="6185" spans="1:9" ht="48" customHeight="1">
      <c r="A6185" s="3" t="s">
        <v>79</v>
      </c>
      <c r="B6185" s="3" t="s">
        <v>78</v>
      </c>
      <c r="C6185" s="4">
        <v>43435</v>
      </c>
      <c r="D6185" s="4">
        <v>43465</v>
      </c>
      <c r="E6185" s="3" t="s">
        <v>302</v>
      </c>
      <c r="F6185" s="3" t="s">
        <v>316</v>
      </c>
      <c r="G6185" s="5">
        <v>1E-3</v>
      </c>
      <c r="H6185" s="6" t="s">
        <v>88</v>
      </c>
      <c r="I6185" s="3" t="s">
        <v>45</v>
      </c>
    </row>
    <row r="6186" spans="1:9" ht="48" customHeight="1">
      <c r="A6186" s="3" t="s">
        <v>79</v>
      </c>
      <c r="B6186" s="3" t="s">
        <v>78</v>
      </c>
      <c r="C6186" s="4">
        <v>43435</v>
      </c>
      <c r="D6186" s="4">
        <v>43465</v>
      </c>
      <c r="E6186" s="3" t="s">
        <v>302</v>
      </c>
      <c r="F6186" s="3" t="s">
        <v>317</v>
      </c>
      <c r="G6186" s="5">
        <v>1E-3</v>
      </c>
      <c r="H6186" s="6" t="s">
        <v>88</v>
      </c>
      <c r="I6186" s="3" t="s">
        <v>45</v>
      </c>
    </row>
    <row r="6187" spans="1:9" ht="48" customHeight="1">
      <c r="A6187" s="3" t="s">
        <v>79</v>
      </c>
      <c r="B6187" s="3" t="s">
        <v>78</v>
      </c>
      <c r="C6187" s="4">
        <v>43435</v>
      </c>
      <c r="D6187" s="4">
        <v>43465</v>
      </c>
      <c r="E6187" s="3" t="s">
        <v>302</v>
      </c>
      <c r="F6187" s="3" t="s">
        <v>323</v>
      </c>
      <c r="G6187" s="5">
        <v>1E-3</v>
      </c>
      <c r="H6187" s="6" t="s">
        <v>88</v>
      </c>
      <c r="I6187" s="3" t="s">
        <v>45</v>
      </c>
    </row>
    <row r="6188" spans="1:9" ht="48" customHeight="1">
      <c r="A6188" s="3" t="s">
        <v>79</v>
      </c>
      <c r="B6188" s="3" t="s">
        <v>78</v>
      </c>
      <c r="C6188" s="4">
        <v>43435</v>
      </c>
      <c r="D6188" s="4">
        <v>43465</v>
      </c>
      <c r="E6188" s="3" t="s">
        <v>302</v>
      </c>
      <c r="F6188" s="3" t="s">
        <v>324</v>
      </c>
      <c r="G6188" s="5">
        <v>1E-3</v>
      </c>
      <c r="H6188" s="6" t="s">
        <v>88</v>
      </c>
      <c r="I6188" s="3" t="s">
        <v>45</v>
      </c>
    </row>
    <row r="6189" spans="1:9" ht="48" customHeight="1">
      <c r="A6189" s="3" t="s">
        <v>79</v>
      </c>
      <c r="B6189" s="3" t="s">
        <v>78</v>
      </c>
      <c r="C6189" s="4">
        <v>43435</v>
      </c>
      <c r="D6189" s="4">
        <v>43465</v>
      </c>
      <c r="E6189" s="3" t="s">
        <v>302</v>
      </c>
      <c r="F6189" s="3" t="s">
        <v>312</v>
      </c>
      <c r="G6189" s="5">
        <v>0</v>
      </c>
      <c r="H6189" s="6" t="s">
        <v>88</v>
      </c>
      <c r="I6189" s="3" t="s">
        <v>45</v>
      </c>
    </row>
    <row r="6190" spans="1:9" ht="48" customHeight="1">
      <c r="A6190" s="3" t="s">
        <v>79</v>
      </c>
      <c r="B6190" s="3" t="s">
        <v>78</v>
      </c>
      <c r="C6190" s="4">
        <v>43435</v>
      </c>
      <c r="D6190" s="4">
        <v>43465</v>
      </c>
      <c r="E6190" s="3" t="s">
        <v>302</v>
      </c>
      <c r="F6190" s="3" t="s">
        <v>315</v>
      </c>
      <c r="G6190" s="5">
        <v>0</v>
      </c>
      <c r="H6190" s="6" t="s">
        <v>88</v>
      </c>
      <c r="I6190" s="3" t="s">
        <v>45</v>
      </c>
    </row>
    <row r="6191" spans="1:9" ht="48" customHeight="1">
      <c r="A6191" s="3" t="s">
        <v>79</v>
      </c>
      <c r="B6191" s="3" t="s">
        <v>78</v>
      </c>
      <c r="C6191" s="4">
        <v>43435</v>
      </c>
      <c r="D6191" s="4">
        <v>43465</v>
      </c>
      <c r="E6191" s="3" t="s">
        <v>302</v>
      </c>
      <c r="F6191" s="3" t="s">
        <v>318</v>
      </c>
      <c r="G6191" s="5">
        <v>0</v>
      </c>
      <c r="H6191" s="6" t="s">
        <v>88</v>
      </c>
      <c r="I6191" s="3" t="s">
        <v>45</v>
      </c>
    </row>
    <row r="6192" spans="1:9" ht="48" customHeight="1">
      <c r="A6192" s="3" t="s">
        <v>79</v>
      </c>
      <c r="B6192" s="3" t="s">
        <v>78</v>
      </c>
      <c r="C6192" s="4">
        <v>43435</v>
      </c>
      <c r="D6192" s="4">
        <v>43465</v>
      </c>
      <c r="E6192" s="3" t="s">
        <v>302</v>
      </c>
      <c r="F6192" s="3" t="s">
        <v>319</v>
      </c>
      <c r="G6192" s="5">
        <v>0</v>
      </c>
      <c r="H6192" s="6" t="s">
        <v>88</v>
      </c>
      <c r="I6192" s="3" t="s">
        <v>45</v>
      </c>
    </row>
    <row r="6193" spans="1:9" ht="48" customHeight="1">
      <c r="A6193" s="3" t="s">
        <v>79</v>
      </c>
      <c r="B6193" s="3" t="s">
        <v>78</v>
      </c>
      <c r="C6193" s="4">
        <v>43435</v>
      </c>
      <c r="D6193" s="4">
        <v>43465</v>
      </c>
      <c r="E6193" s="3" t="s">
        <v>302</v>
      </c>
      <c r="F6193" s="3" t="s">
        <v>320</v>
      </c>
      <c r="G6193" s="5">
        <v>0</v>
      </c>
      <c r="H6193" s="6" t="s">
        <v>88</v>
      </c>
      <c r="I6193" s="3" t="s">
        <v>45</v>
      </c>
    </row>
    <row r="6194" spans="1:9" ht="48" customHeight="1">
      <c r="A6194" s="3" t="s">
        <v>79</v>
      </c>
      <c r="B6194" s="3" t="s">
        <v>78</v>
      </c>
      <c r="C6194" s="4">
        <v>43435</v>
      </c>
      <c r="D6194" s="4">
        <v>43465</v>
      </c>
      <c r="E6194" s="3" t="s">
        <v>302</v>
      </c>
      <c r="F6194" s="3" t="s">
        <v>321</v>
      </c>
      <c r="G6194" s="5">
        <v>0</v>
      </c>
      <c r="H6194" s="6" t="s">
        <v>88</v>
      </c>
      <c r="I6194" s="3" t="s">
        <v>45</v>
      </c>
    </row>
    <row r="6195" spans="1:9" ht="48" customHeight="1">
      <c r="A6195" s="3" t="s">
        <v>79</v>
      </c>
      <c r="B6195" s="3" t="s">
        <v>78</v>
      </c>
      <c r="C6195" s="4">
        <v>43435</v>
      </c>
      <c r="D6195" s="4">
        <v>43465</v>
      </c>
      <c r="E6195" s="3" t="s">
        <v>302</v>
      </c>
      <c r="F6195" s="3" t="s">
        <v>322</v>
      </c>
      <c r="G6195" s="5">
        <v>0</v>
      </c>
      <c r="H6195" s="6" t="s">
        <v>88</v>
      </c>
      <c r="I6195" s="3" t="s">
        <v>45</v>
      </c>
    </row>
    <row r="6196" spans="1:9" ht="48" customHeight="1">
      <c r="A6196" s="3" t="s">
        <v>79</v>
      </c>
      <c r="B6196" s="3" t="s">
        <v>78</v>
      </c>
      <c r="C6196" s="4">
        <v>43435</v>
      </c>
      <c r="D6196" s="4">
        <v>43465</v>
      </c>
      <c r="E6196" s="3" t="s">
        <v>47</v>
      </c>
      <c r="F6196" s="3" t="s">
        <v>348</v>
      </c>
      <c r="G6196" s="5">
        <v>8.0000000000000002E-3</v>
      </c>
      <c r="H6196" s="6" t="s">
        <v>88</v>
      </c>
      <c r="I6196" s="3" t="s">
        <v>45</v>
      </c>
    </row>
    <row r="6197" spans="1:9" ht="48" customHeight="1">
      <c r="A6197" s="3" t="s">
        <v>79</v>
      </c>
      <c r="B6197" s="3" t="s">
        <v>78</v>
      </c>
      <c r="C6197" s="4">
        <v>43435</v>
      </c>
      <c r="D6197" s="4">
        <v>43465</v>
      </c>
      <c r="E6197" s="3" t="s">
        <v>47</v>
      </c>
      <c r="F6197" s="3" t="s">
        <v>349</v>
      </c>
      <c r="G6197" s="5">
        <v>3.0000000000000001E-3</v>
      </c>
      <c r="H6197" s="6" t="s">
        <v>88</v>
      </c>
      <c r="I6197" s="3" t="s">
        <v>45</v>
      </c>
    </row>
    <row r="6198" spans="1:9" ht="48" customHeight="1">
      <c r="A6198" s="3" t="s">
        <v>79</v>
      </c>
      <c r="B6198" s="3" t="s">
        <v>78</v>
      </c>
      <c r="C6198" s="4">
        <v>43435</v>
      </c>
      <c r="D6198" s="4">
        <v>43465</v>
      </c>
      <c r="E6198" s="3" t="s">
        <v>47</v>
      </c>
      <c r="F6198" s="3" t="s">
        <v>350</v>
      </c>
      <c r="G6198" s="5">
        <v>2E-3</v>
      </c>
      <c r="H6198" s="6" t="s">
        <v>88</v>
      </c>
      <c r="I6198" s="3" t="s">
        <v>45</v>
      </c>
    </row>
    <row r="6199" spans="1:9" ht="48" customHeight="1">
      <c r="A6199" s="3" t="s">
        <v>79</v>
      </c>
      <c r="B6199" s="3" t="s">
        <v>78</v>
      </c>
      <c r="C6199" s="4">
        <v>43435</v>
      </c>
      <c r="D6199" s="4">
        <v>43465</v>
      </c>
      <c r="E6199" s="3" t="s">
        <v>47</v>
      </c>
      <c r="F6199" s="3" t="s">
        <v>352</v>
      </c>
      <c r="G6199" s="5">
        <v>2E-3</v>
      </c>
      <c r="H6199" s="6" t="s">
        <v>88</v>
      </c>
      <c r="I6199" s="3" t="s">
        <v>45</v>
      </c>
    </row>
    <row r="6200" spans="1:9" ht="48" customHeight="1">
      <c r="A6200" s="3" t="s">
        <v>79</v>
      </c>
      <c r="B6200" s="3" t="s">
        <v>78</v>
      </c>
      <c r="C6200" s="4">
        <v>43435</v>
      </c>
      <c r="D6200" s="4">
        <v>43465</v>
      </c>
      <c r="E6200" s="3" t="s">
        <v>47</v>
      </c>
      <c r="F6200" s="3" t="s">
        <v>351</v>
      </c>
      <c r="G6200" s="5">
        <v>1E-3</v>
      </c>
      <c r="H6200" s="6" t="s">
        <v>88</v>
      </c>
      <c r="I6200" s="3" t="s">
        <v>45</v>
      </c>
    </row>
    <row r="6201" spans="1:9" ht="48" customHeight="1">
      <c r="A6201" s="3" t="s">
        <v>79</v>
      </c>
      <c r="B6201" s="3" t="s">
        <v>78</v>
      </c>
      <c r="C6201" s="4">
        <v>43435</v>
      </c>
      <c r="D6201" s="4">
        <v>43465</v>
      </c>
      <c r="E6201" s="3" t="s">
        <v>47</v>
      </c>
      <c r="F6201" s="3" t="s">
        <v>354</v>
      </c>
      <c r="G6201" s="5">
        <v>1E-3</v>
      </c>
      <c r="H6201" s="6" t="s">
        <v>88</v>
      </c>
      <c r="I6201" s="3" t="s">
        <v>45</v>
      </c>
    </row>
    <row r="6202" spans="1:9" ht="48" customHeight="1">
      <c r="A6202" s="3" t="s">
        <v>79</v>
      </c>
      <c r="B6202" s="3" t="s">
        <v>78</v>
      </c>
      <c r="C6202" s="4">
        <v>43435</v>
      </c>
      <c r="D6202" s="4">
        <v>43465</v>
      </c>
      <c r="E6202" s="3" t="s">
        <v>47</v>
      </c>
      <c r="F6202" s="3" t="s">
        <v>355</v>
      </c>
      <c r="G6202" s="5">
        <v>1E-3</v>
      </c>
      <c r="H6202" s="6" t="s">
        <v>88</v>
      </c>
      <c r="I6202" s="3" t="s">
        <v>45</v>
      </c>
    </row>
    <row r="6203" spans="1:9" ht="48" customHeight="1">
      <c r="A6203" s="3" t="s">
        <v>79</v>
      </c>
      <c r="B6203" s="3" t="s">
        <v>78</v>
      </c>
      <c r="C6203" s="4">
        <v>43435</v>
      </c>
      <c r="D6203" s="4">
        <v>43465</v>
      </c>
      <c r="E6203" s="3" t="s">
        <v>47</v>
      </c>
      <c r="F6203" s="3" t="s">
        <v>356</v>
      </c>
      <c r="G6203" s="5">
        <v>1E-3</v>
      </c>
      <c r="H6203" s="6" t="s">
        <v>88</v>
      </c>
      <c r="I6203" s="3" t="s">
        <v>45</v>
      </c>
    </row>
    <row r="6204" spans="1:9" ht="48" customHeight="1">
      <c r="A6204" s="3" t="s">
        <v>79</v>
      </c>
      <c r="B6204" s="3" t="s">
        <v>78</v>
      </c>
      <c r="C6204" s="4">
        <v>43435</v>
      </c>
      <c r="D6204" s="4">
        <v>43465</v>
      </c>
      <c r="E6204" s="3" t="s">
        <v>47</v>
      </c>
      <c r="F6204" s="3" t="s">
        <v>40</v>
      </c>
      <c r="G6204" s="5">
        <v>1E-3</v>
      </c>
      <c r="H6204" s="6" t="s">
        <v>88</v>
      </c>
      <c r="I6204" s="3" t="s">
        <v>45</v>
      </c>
    </row>
    <row r="6205" spans="1:9" ht="48" customHeight="1">
      <c r="A6205" s="3" t="s">
        <v>79</v>
      </c>
      <c r="B6205" s="3" t="s">
        <v>78</v>
      </c>
      <c r="C6205" s="4">
        <v>43435</v>
      </c>
      <c r="D6205" s="4">
        <v>43465</v>
      </c>
      <c r="E6205" s="3" t="s">
        <v>47</v>
      </c>
      <c r="F6205" s="3" t="s">
        <v>357</v>
      </c>
      <c r="G6205" s="5">
        <v>1E-3</v>
      </c>
      <c r="H6205" s="6" t="s">
        <v>88</v>
      </c>
      <c r="I6205" s="3" t="s">
        <v>45</v>
      </c>
    </row>
    <row r="6206" spans="1:9" ht="48" customHeight="1">
      <c r="A6206" s="3" t="s">
        <v>79</v>
      </c>
      <c r="B6206" s="3" t="s">
        <v>78</v>
      </c>
      <c r="C6206" s="4">
        <v>43435</v>
      </c>
      <c r="D6206" s="4">
        <v>43465</v>
      </c>
      <c r="E6206" s="3" t="s">
        <v>47</v>
      </c>
      <c r="F6206" s="3" t="s">
        <v>358</v>
      </c>
      <c r="G6206" s="5">
        <v>1E-3</v>
      </c>
      <c r="H6206" s="6" t="s">
        <v>88</v>
      </c>
      <c r="I6206" s="3" t="s">
        <v>45</v>
      </c>
    </row>
    <row r="6207" spans="1:9" ht="48" customHeight="1">
      <c r="A6207" s="3" t="s">
        <v>79</v>
      </c>
      <c r="B6207" s="3" t="s">
        <v>78</v>
      </c>
      <c r="C6207" s="4">
        <v>43435</v>
      </c>
      <c r="D6207" s="4">
        <v>43465</v>
      </c>
      <c r="E6207" s="3" t="s">
        <v>47</v>
      </c>
      <c r="F6207" s="3" t="s">
        <v>362</v>
      </c>
      <c r="G6207" s="5">
        <v>1E-3</v>
      </c>
      <c r="H6207" s="6" t="s">
        <v>88</v>
      </c>
      <c r="I6207" s="3" t="s">
        <v>45</v>
      </c>
    </row>
    <row r="6208" spans="1:9" ht="48" customHeight="1">
      <c r="A6208" s="3" t="s">
        <v>79</v>
      </c>
      <c r="B6208" s="3" t="s">
        <v>78</v>
      </c>
      <c r="C6208" s="4">
        <v>43435</v>
      </c>
      <c r="D6208" s="4">
        <v>43465</v>
      </c>
      <c r="E6208" s="3" t="s">
        <v>47</v>
      </c>
      <c r="F6208" s="3" t="s">
        <v>353</v>
      </c>
      <c r="G6208" s="5">
        <v>0</v>
      </c>
      <c r="H6208" s="6" t="s">
        <v>88</v>
      </c>
      <c r="I6208" s="3" t="s">
        <v>45</v>
      </c>
    </row>
    <row r="6209" spans="1:9" ht="48" customHeight="1">
      <c r="A6209" s="3" t="s">
        <v>79</v>
      </c>
      <c r="B6209" s="3" t="s">
        <v>78</v>
      </c>
      <c r="C6209" s="4">
        <v>43435</v>
      </c>
      <c r="D6209" s="4">
        <v>43465</v>
      </c>
      <c r="E6209" s="3" t="s">
        <v>47</v>
      </c>
      <c r="F6209" s="3" t="s">
        <v>359</v>
      </c>
      <c r="G6209" s="5">
        <v>0</v>
      </c>
      <c r="H6209" s="6" t="s">
        <v>88</v>
      </c>
      <c r="I6209" s="3" t="s">
        <v>45</v>
      </c>
    </row>
    <row r="6210" spans="1:9" ht="48" customHeight="1">
      <c r="A6210" s="3" t="s">
        <v>79</v>
      </c>
      <c r="B6210" s="3" t="s">
        <v>78</v>
      </c>
      <c r="C6210" s="4">
        <v>43435</v>
      </c>
      <c r="D6210" s="4">
        <v>43465</v>
      </c>
      <c r="E6210" s="3" t="s">
        <v>47</v>
      </c>
      <c r="F6210" s="3" t="s">
        <v>360</v>
      </c>
      <c r="G6210" s="5">
        <v>0</v>
      </c>
      <c r="H6210" s="6" t="s">
        <v>88</v>
      </c>
      <c r="I6210" s="3" t="s">
        <v>45</v>
      </c>
    </row>
    <row r="6211" spans="1:9" ht="48" customHeight="1">
      <c r="A6211" s="3" t="s">
        <v>79</v>
      </c>
      <c r="B6211" s="3" t="s">
        <v>78</v>
      </c>
      <c r="C6211" s="4">
        <v>43435</v>
      </c>
      <c r="D6211" s="4">
        <v>43465</v>
      </c>
      <c r="E6211" s="3" t="s">
        <v>47</v>
      </c>
      <c r="F6211" s="3" t="s">
        <v>361</v>
      </c>
      <c r="G6211" s="5">
        <v>0</v>
      </c>
      <c r="H6211" s="6" t="s">
        <v>88</v>
      </c>
      <c r="I6211" s="3" t="s">
        <v>45</v>
      </c>
    </row>
    <row r="6212" spans="1:9" ht="48" customHeight="1">
      <c r="A6212" s="3" t="s">
        <v>79</v>
      </c>
      <c r="B6212" s="3" t="s">
        <v>78</v>
      </c>
      <c r="C6212" s="4">
        <v>43435</v>
      </c>
      <c r="D6212" s="4">
        <v>43465</v>
      </c>
      <c r="E6212" s="3" t="s">
        <v>47</v>
      </c>
      <c r="F6212" s="3" t="s">
        <v>318</v>
      </c>
      <c r="G6212" s="5">
        <v>0</v>
      </c>
      <c r="H6212" s="6" t="s">
        <v>88</v>
      </c>
      <c r="I6212" s="3" t="s">
        <v>45</v>
      </c>
    </row>
    <row r="6213" spans="1:9" ht="48" customHeight="1">
      <c r="A6213" s="3" t="s">
        <v>79</v>
      </c>
      <c r="B6213" s="3" t="s">
        <v>78</v>
      </c>
      <c r="C6213" s="4">
        <v>43435</v>
      </c>
      <c r="D6213" s="4">
        <v>43465</v>
      </c>
      <c r="E6213" s="3" t="s">
        <v>47</v>
      </c>
      <c r="F6213" s="3" t="s">
        <v>363</v>
      </c>
      <c r="G6213" s="5">
        <v>0</v>
      </c>
      <c r="H6213" s="6" t="s">
        <v>88</v>
      </c>
      <c r="I6213" s="3" t="s">
        <v>45</v>
      </c>
    </row>
    <row r="6214" spans="1:9" ht="48" customHeight="1">
      <c r="A6214" s="3" t="s">
        <v>79</v>
      </c>
      <c r="B6214" s="3" t="s">
        <v>78</v>
      </c>
      <c r="C6214" s="4">
        <v>43435</v>
      </c>
      <c r="D6214" s="4">
        <v>43465</v>
      </c>
      <c r="E6214" s="3" t="s">
        <v>286</v>
      </c>
      <c r="F6214" s="3" t="s">
        <v>293</v>
      </c>
      <c r="G6214" s="5">
        <v>4.0000000000000001E-3</v>
      </c>
      <c r="H6214" s="6" t="s">
        <v>88</v>
      </c>
      <c r="I6214" s="3" t="s">
        <v>45</v>
      </c>
    </row>
    <row r="6215" spans="1:9" ht="48" customHeight="1">
      <c r="A6215" s="3" t="s">
        <v>79</v>
      </c>
      <c r="B6215" s="3" t="s">
        <v>78</v>
      </c>
      <c r="C6215" s="4">
        <v>43435</v>
      </c>
      <c r="D6215" s="4">
        <v>43465</v>
      </c>
      <c r="E6215" s="3" t="s">
        <v>286</v>
      </c>
      <c r="F6215" s="3" t="s">
        <v>291</v>
      </c>
      <c r="G6215" s="5">
        <v>3.0000000000000001E-3</v>
      </c>
      <c r="H6215" s="6" t="s">
        <v>88</v>
      </c>
      <c r="I6215" s="3" t="s">
        <v>45</v>
      </c>
    </row>
    <row r="6216" spans="1:9" ht="48" customHeight="1">
      <c r="A6216" s="3" t="s">
        <v>79</v>
      </c>
      <c r="B6216" s="3" t="s">
        <v>78</v>
      </c>
      <c r="C6216" s="4">
        <v>43435</v>
      </c>
      <c r="D6216" s="4">
        <v>43465</v>
      </c>
      <c r="E6216" s="3" t="s">
        <v>286</v>
      </c>
      <c r="F6216" s="3" t="s">
        <v>290</v>
      </c>
      <c r="G6216" s="5">
        <v>2E-3</v>
      </c>
      <c r="H6216" s="6" t="s">
        <v>88</v>
      </c>
      <c r="I6216" s="3" t="s">
        <v>45</v>
      </c>
    </row>
    <row r="6217" spans="1:9" ht="48" customHeight="1">
      <c r="A6217" s="3" t="s">
        <v>79</v>
      </c>
      <c r="B6217" s="3" t="s">
        <v>78</v>
      </c>
      <c r="C6217" s="4">
        <v>43435</v>
      </c>
      <c r="D6217" s="4">
        <v>43465</v>
      </c>
      <c r="E6217" s="3" t="s">
        <v>286</v>
      </c>
      <c r="F6217" s="3" t="s">
        <v>288</v>
      </c>
      <c r="G6217" s="5">
        <v>2E-3</v>
      </c>
      <c r="H6217" s="6" t="s">
        <v>88</v>
      </c>
      <c r="I6217" s="3" t="s">
        <v>45</v>
      </c>
    </row>
    <row r="6218" spans="1:9" ht="48" customHeight="1">
      <c r="A6218" s="3" t="s">
        <v>79</v>
      </c>
      <c r="B6218" s="3" t="s">
        <v>78</v>
      </c>
      <c r="C6218" s="4">
        <v>43435</v>
      </c>
      <c r="D6218" s="4">
        <v>43465</v>
      </c>
      <c r="E6218" s="3" t="s">
        <v>286</v>
      </c>
      <c r="F6218" s="3" t="s">
        <v>287</v>
      </c>
      <c r="G6218" s="5">
        <v>2E-3</v>
      </c>
      <c r="H6218" s="6" t="s">
        <v>88</v>
      </c>
      <c r="I6218" s="3" t="s">
        <v>45</v>
      </c>
    </row>
    <row r="6219" spans="1:9" ht="48" customHeight="1">
      <c r="A6219" s="3" t="s">
        <v>79</v>
      </c>
      <c r="B6219" s="3" t="s">
        <v>78</v>
      </c>
      <c r="C6219" s="4">
        <v>43435</v>
      </c>
      <c r="D6219" s="4">
        <v>43465</v>
      </c>
      <c r="E6219" s="3" t="s">
        <v>286</v>
      </c>
      <c r="F6219" s="3" t="s">
        <v>289</v>
      </c>
      <c r="G6219" s="5">
        <v>2E-3</v>
      </c>
      <c r="H6219" s="6" t="s">
        <v>88</v>
      </c>
      <c r="I6219" s="3" t="s">
        <v>45</v>
      </c>
    </row>
    <row r="6220" spans="1:9" ht="48" customHeight="1">
      <c r="A6220" s="3" t="s">
        <v>79</v>
      </c>
      <c r="B6220" s="3" t="s">
        <v>78</v>
      </c>
      <c r="C6220" s="4">
        <v>43435</v>
      </c>
      <c r="D6220" s="4">
        <v>43465</v>
      </c>
      <c r="E6220" s="3" t="s">
        <v>286</v>
      </c>
      <c r="F6220" s="3" t="s">
        <v>298</v>
      </c>
      <c r="G6220" s="5">
        <v>1E-3</v>
      </c>
      <c r="H6220" s="6" t="s">
        <v>88</v>
      </c>
      <c r="I6220" s="3" t="s">
        <v>45</v>
      </c>
    </row>
    <row r="6221" spans="1:9" ht="48" customHeight="1">
      <c r="A6221" s="3" t="s">
        <v>79</v>
      </c>
      <c r="B6221" s="3" t="s">
        <v>78</v>
      </c>
      <c r="C6221" s="4">
        <v>43435</v>
      </c>
      <c r="D6221" s="4">
        <v>43465</v>
      </c>
      <c r="E6221" s="3" t="s">
        <v>286</v>
      </c>
      <c r="F6221" s="3" t="s">
        <v>297</v>
      </c>
      <c r="G6221" s="5">
        <v>1E-3</v>
      </c>
      <c r="H6221" s="6" t="s">
        <v>88</v>
      </c>
      <c r="I6221" s="3" t="s">
        <v>45</v>
      </c>
    </row>
    <row r="6222" spans="1:9" ht="48" customHeight="1">
      <c r="A6222" s="3" t="s">
        <v>79</v>
      </c>
      <c r="B6222" s="3" t="s">
        <v>78</v>
      </c>
      <c r="C6222" s="4">
        <v>43435</v>
      </c>
      <c r="D6222" s="4">
        <v>43465</v>
      </c>
      <c r="E6222" s="3" t="s">
        <v>286</v>
      </c>
      <c r="F6222" s="3" t="s">
        <v>292</v>
      </c>
      <c r="G6222" s="5">
        <v>1E-3</v>
      </c>
      <c r="H6222" s="6" t="s">
        <v>88</v>
      </c>
      <c r="I6222" s="3" t="s">
        <v>45</v>
      </c>
    </row>
    <row r="6223" spans="1:9" ht="48" customHeight="1">
      <c r="A6223" s="3" t="s">
        <v>79</v>
      </c>
      <c r="B6223" s="3" t="s">
        <v>78</v>
      </c>
      <c r="C6223" s="4">
        <v>43435</v>
      </c>
      <c r="D6223" s="4">
        <v>43465</v>
      </c>
      <c r="E6223" s="3" t="s">
        <v>286</v>
      </c>
      <c r="F6223" s="3" t="s">
        <v>300</v>
      </c>
      <c r="G6223" s="5">
        <v>1E-3</v>
      </c>
      <c r="H6223" s="6" t="s">
        <v>88</v>
      </c>
      <c r="I6223" s="3" t="s">
        <v>45</v>
      </c>
    </row>
    <row r="6224" spans="1:9" ht="48" customHeight="1">
      <c r="A6224" s="3" t="s">
        <v>79</v>
      </c>
      <c r="B6224" s="3" t="s">
        <v>78</v>
      </c>
      <c r="C6224" s="4">
        <v>43435</v>
      </c>
      <c r="D6224" s="4">
        <v>43465</v>
      </c>
      <c r="E6224" s="3" t="s">
        <v>286</v>
      </c>
      <c r="F6224" s="3" t="s">
        <v>294</v>
      </c>
      <c r="G6224" s="5">
        <v>0</v>
      </c>
      <c r="H6224" s="6" t="s">
        <v>88</v>
      </c>
      <c r="I6224" s="3" t="s">
        <v>45</v>
      </c>
    </row>
    <row r="6225" spans="1:9" ht="48" customHeight="1">
      <c r="A6225" s="3" t="s">
        <v>79</v>
      </c>
      <c r="B6225" s="3" t="s">
        <v>78</v>
      </c>
      <c r="C6225" s="4">
        <v>43435</v>
      </c>
      <c r="D6225" s="4">
        <v>43465</v>
      </c>
      <c r="E6225" s="3" t="s">
        <v>286</v>
      </c>
      <c r="F6225" s="3" t="s">
        <v>295</v>
      </c>
      <c r="G6225" s="5">
        <v>0</v>
      </c>
      <c r="H6225" s="6" t="s">
        <v>88</v>
      </c>
      <c r="I6225" s="3" t="s">
        <v>45</v>
      </c>
    </row>
    <row r="6226" spans="1:9" ht="48" customHeight="1">
      <c r="A6226" s="3" t="s">
        <v>79</v>
      </c>
      <c r="B6226" s="3" t="s">
        <v>78</v>
      </c>
      <c r="C6226" s="4">
        <v>43435</v>
      </c>
      <c r="D6226" s="4">
        <v>43465</v>
      </c>
      <c r="E6226" s="3" t="s">
        <v>286</v>
      </c>
      <c r="F6226" s="3" t="s">
        <v>296</v>
      </c>
      <c r="G6226" s="5">
        <v>0</v>
      </c>
      <c r="H6226" s="6" t="s">
        <v>88</v>
      </c>
      <c r="I6226" s="3" t="s">
        <v>45</v>
      </c>
    </row>
    <row r="6227" spans="1:9" ht="48" customHeight="1">
      <c r="A6227" s="3" t="s">
        <v>79</v>
      </c>
      <c r="B6227" s="3" t="s">
        <v>78</v>
      </c>
      <c r="C6227" s="4">
        <v>43435</v>
      </c>
      <c r="D6227" s="4">
        <v>43465</v>
      </c>
      <c r="E6227" s="3" t="s">
        <v>286</v>
      </c>
      <c r="F6227" s="3" t="s">
        <v>299</v>
      </c>
      <c r="G6227" s="5">
        <v>0</v>
      </c>
      <c r="H6227" s="6" t="s">
        <v>88</v>
      </c>
      <c r="I6227" s="3" t="s">
        <v>45</v>
      </c>
    </row>
    <row r="6228" spans="1:9" ht="48" customHeight="1">
      <c r="A6228" s="3" t="s">
        <v>79</v>
      </c>
      <c r="B6228" s="3" t="s">
        <v>78</v>
      </c>
      <c r="C6228" s="4">
        <v>43435</v>
      </c>
      <c r="D6228" s="4">
        <v>43465</v>
      </c>
      <c r="E6228" s="3" t="s">
        <v>68</v>
      </c>
      <c r="F6228" s="3" t="s">
        <v>150</v>
      </c>
      <c r="G6228" s="5">
        <v>3.0000000000000001E-3</v>
      </c>
      <c r="H6228" s="6" t="s">
        <v>88</v>
      </c>
      <c r="I6228" s="3" t="s">
        <v>45</v>
      </c>
    </row>
    <row r="6229" spans="1:9" ht="48" customHeight="1">
      <c r="A6229" s="3" t="s">
        <v>79</v>
      </c>
      <c r="B6229" s="3" t="s">
        <v>78</v>
      </c>
      <c r="C6229" s="4">
        <v>43435</v>
      </c>
      <c r="D6229" s="4">
        <v>43465</v>
      </c>
      <c r="E6229" s="3" t="s">
        <v>68</v>
      </c>
      <c r="F6229" s="3" t="s">
        <v>147</v>
      </c>
      <c r="G6229" s="5">
        <v>3.0000000000000001E-3</v>
      </c>
      <c r="H6229" s="6" t="s">
        <v>88</v>
      </c>
      <c r="I6229" s="3" t="s">
        <v>45</v>
      </c>
    </row>
    <row r="6230" spans="1:9" ht="48" customHeight="1">
      <c r="A6230" s="3" t="s">
        <v>79</v>
      </c>
      <c r="B6230" s="3" t="s">
        <v>78</v>
      </c>
      <c r="C6230" s="4">
        <v>43435</v>
      </c>
      <c r="D6230" s="4">
        <v>43465</v>
      </c>
      <c r="E6230" s="3" t="s">
        <v>68</v>
      </c>
      <c r="F6230" s="3" t="s">
        <v>151</v>
      </c>
      <c r="G6230" s="5">
        <v>2E-3</v>
      </c>
      <c r="H6230" s="6" t="s">
        <v>88</v>
      </c>
      <c r="I6230" s="3" t="s">
        <v>45</v>
      </c>
    </row>
    <row r="6231" spans="1:9" ht="48" customHeight="1">
      <c r="A6231" s="3" t="s">
        <v>79</v>
      </c>
      <c r="B6231" s="3" t="s">
        <v>78</v>
      </c>
      <c r="C6231" s="4">
        <v>43435</v>
      </c>
      <c r="D6231" s="4">
        <v>43465</v>
      </c>
      <c r="E6231" s="3" t="s">
        <v>68</v>
      </c>
      <c r="F6231" s="3" t="s">
        <v>149</v>
      </c>
      <c r="G6231" s="5">
        <v>1E-3</v>
      </c>
      <c r="H6231" s="6" t="s">
        <v>88</v>
      </c>
      <c r="I6231" s="3" t="s">
        <v>45</v>
      </c>
    </row>
    <row r="6232" spans="1:9" ht="48" customHeight="1">
      <c r="A6232" s="3" t="s">
        <v>79</v>
      </c>
      <c r="B6232" s="3" t="s">
        <v>78</v>
      </c>
      <c r="C6232" s="4">
        <v>43435</v>
      </c>
      <c r="D6232" s="4">
        <v>43465</v>
      </c>
      <c r="E6232" s="3" t="s">
        <v>68</v>
      </c>
      <c r="F6232" s="3" t="s">
        <v>148</v>
      </c>
      <c r="G6232" s="5">
        <v>1E-3</v>
      </c>
      <c r="H6232" s="6" t="s">
        <v>88</v>
      </c>
      <c r="I6232" s="3" t="s">
        <v>45</v>
      </c>
    </row>
    <row r="6233" spans="1:9" ht="48" customHeight="1">
      <c r="A6233" s="3" t="s">
        <v>79</v>
      </c>
      <c r="B6233" s="3" t="s">
        <v>78</v>
      </c>
      <c r="C6233" s="4">
        <v>43435</v>
      </c>
      <c r="D6233" s="4">
        <v>43465</v>
      </c>
      <c r="E6233" s="3" t="s">
        <v>68</v>
      </c>
      <c r="F6233" s="3" t="s">
        <v>66</v>
      </c>
      <c r="G6233" s="5">
        <v>1E-3</v>
      </c>
      <c r="H6233" s="6" t="s">
        <v>88</v>
      </c>
      <c r="I6233" s="3" t="s">
        <v>45</v>
      </c>
    </row>
    <row r="6234" spans="1:9" ht="48" customHeight="1">
      <c r="A6234" s="3" t="s">
        <v>79</v>
      </c>
      <c r="B6234" s="3" t="s">
        <v>78</v>
      </c>
      <c r="C6234" s="4">
        <v>43435</v>
      </c>
      <c r="D6234" s="4">
        <v>43465</v>
      </c>
      <c r="E6234" s="3" t="s">
        <v>68</v>
      </c>
      <c r="F6234" s="3" t="s">
        <v>155</v>
      </c>
      <c r="G6234" s="5">
        <v>0</v>
      </c>
      <c r="H6234" s="6" t="s">
        <v>88</v>
      </c>
      <c r="I6234" s="3" t="s">
        <v>45</v>
      </c>
    </row>
    <row r="6235" spans="1:9" ht="48" customHeight="1">
      <c r="A6235" s="3" t="s">
        <v>79</v>
      </c>
      <c r="B6235" s="3" t="s">
        <v>78</v>
      </c>
      <c r="C6235" s="4">
        <v>43435</v>
      </c>
      <c r="D6235" s="4">
        <v>43465</v>
      </c>
      <c r="E6235" s="3" t="s">
        <v>68</v>
      </c>
      <c r="F6235" s="3" t="s">
        <v>152</v>
      </c>
      <c r="G6235" s="5">
        <v>0</v>
      </c>
      <c r="H6235" s="6" t="s">
        <v>88</v>
      </c>
      <c r="I6235" s="3" t="s">
        <v>45</v>
      </c>
    </row>
    <row r="6236" spans="1:9" ht="48" customHeight="1">
      <c r="A6236" s="3" t="s">
        <v>79</v>
      </c>
      <c r="B6236" s="3" t="s">
        <v>78</v>
      </c>
      <c r="C6236" s="4">
        <v>43435</v>
      </c>
      <c r="D6236" s="4">
        <v>43465</v>
      </c>
      <c r="E6236" s="3" t="s">
        <v>68</v>
      </c>
      <c r="F6236" s="3" t="s">
        <v>157</v>
      </c>
      <c r="G6236" s="5">
        <v>0</v>
      </c>
      <c r="H6236" s="6" t="s">
        <v>88</v>
      </c>
      <c r="I6236" s="3" t="s">
        <v>45</v>
      </c>
    </row>
    <row r="6237" spans="1:9" ht="48" customHeight="1">
      <c r="A6237" s="3" t="s">
        <v>79</v>
      </c>
      <c r="B6237" s="3" t="s">
        <v>78</v>
      </c>
      <c r="C6237" s="4">
        <v>43435</v>
      </c>
      <c r="D6237" s="4">
        <v>43465</v>
      </c>
      <c r="E6237" s="3" t="s">
        <v>68</v>
      </c>
      <c r="F6237" s="3" t="s">
        <v>159</v>
      </c>
      <c r="G6237" s="5">
        <v>0</v>
      </c>
      <c r="H6237" s="6" t="s">
        <v>88</v>
      </c>
      <c r="I6237" s="3" t="s">
        <v>45</v>
      </c>
    </row>
    <row r="6238" spans="1:9" ht="48" customHeight="1">
      <c r="A6238" s="3" t="s">
        <v>79</v>
      </c>
      <c r="B6238" s="3" t="s">
        <v>78</v>
      </c>
      <c r="C6238" s="4">
        <v>43435</v>
      </c>
      <c r="D6238" s="4">
        <v>43465</v>
      </c>
      <c r="E6238" s="3" t="s">
        <v>68</v>
      </c>
      <c r="F6238" s="3" t="s">
        <v>160</v>
      </c>
      <c r="G6238" s="5">
        <v>0</v>
      </c>
      <c r="H6238" s="6" t="s">
        <v>88</v>
      </c>
      <c r="I6238" s="3" t="s">
        <v>45</v>
      </c>
    </row>
    <row r="6239" spans="1:9" ht="48" customHeight="1">
      <c r="A6239" s="3" t="s">
        <v>79</v>
      </c>
      <c r="B6239" s="3" t="s">
        <v>78</v>
      </c>
      <c r="C6239" s="4">
        <v>43435</v>
      </c>
      <c r="D6239" s="4">
        <v>43465</v>
      </c>
      <c r="E6239" s="3" t="s">
        <v>68</v>
      </c>
      <c r="F6239" s="3" t="s">
        <v>156</v>
      </c>
      <c r="G6239" s="5">
        <v>0</v>
      </c>
      <c r="H6239" s="6" t="s">
        <v>88</v>
      </c>
      <c r="I6239" s="3" t="s">
        <v>45</v>
      </c>
    </row>
    <row r="6240" spans="1:9" ht="48" customHeight="1">
      <c r="A6240" s="3" t="s">
        <v>79</v>
      </c>
      <c r="B6240" s="3" t="s">
        <v>78</v>
      </c>
      <c r="C6240" s="4">
        <v>43435</v>
      </c>
      <c r="D6240" s="4">
        <v>43465</v>
      </c>
      <c r="E6240" s="3" t="s">
        <v>68</v>
      </c>
      <c r="F6240" s="3" t="s">
        <v>158</v>
      </c>
      <c r="G6240" s="5">
        <v>0</v>
      </c>
      <c r="H6240" s="6" t="s">
        <v>88</v>
      </c>
      <c r="I6240" s="3" t="s">
        <v>45</v>
      </c>
    </row>
    <row r="6241" spans="1:9" ht="48" customHeight="1">
      <c r="A6241" s="3" t="s">
        <v>79</v>
      </c>
      <c r="B6241" s="3" t="s">
        <v>78</v>
      </c>
      <c r="C6241" s="4">
        <v>43435</v>
      </c>
      <c r="D6241" s="4">
        <v>43465</v>
      </c>
      <c r="E6241" s="3" t="s">
        <v>68</v>
      </c>
      <c r="F6241" s="3" t="s">
        <v>153</v>
      </c>
      <c r="G6241" s="5">
        <v>0</v>
      </c>
      <c r="H6241" s="6" t="s">
        <v>88</v>
      </c>
      <c r="I6241" s="3" t="s">
        <v>45</v>
      </c>
    </row>
    <row r="6242" spans="1:9" ht="48" customHeight="1">
      <c r="A6242" s="3" t="s">
        <v>79</v>
      </c>
      <c r="B6242" s="3" t="s">
        <v>78</v>
      </c>
      <c r="C6242" s="4">
        <v>43435</v>
      </c>
      <c r="D6242" s="4">
        <v>43465</v>
      </c>
      <c r="E6242" s="3" t="s">
        <v>68</v>
      </c>
      <c r="F6242" s="3" t="s">
        <v>146</v>
      </c>
      <c r="G6242" s="5">
        <v>0</v>
      </c>
      <c r="H6242" s="6" t="s">
        <v>88</v>
      </c>
      <c r="I6242" s="3" t="s">
        <v>45</v>
      </c>
    </row>
    <row r="6243" spans="1:9" ht="48" customHeight="1">
      <c r="A6243" s="3" t="s">
        <v>79</v>
      </c>
      <c r="B6243" s="3" t="s">
        <v>78</v>
      </c>
      <c r="C6243" s="4">
        <v>43435</v>
      </c>
      <c r="D6243" s="4">
        <v>43465</v>
      </c>
      <c r="E6243" s="3" t="s">
        <v>68</v>
      </c>
      <c r="F6243" s="3" t="s">
        <v>154</v>
      </c>
      <c r="G6243" s="5">
        <v>0</v>
      </c>
      <c r="H6243" s="6" t="s">
        <v>88</v>
      </c>
      <c r="I6243" s="3" t="s">
        <v>45</v>
      </c>
    </row>
    <row r="6244" spans="1:9" ht="48" customHeight="1">
      <c r="A6244" s="3" t="s">
        <v>79</v>
      </c>
      <c r="B6244" s="3" t="s">
        <v>78</v>
      </c>
      <c r="C6244" s="4">
        <v>43435</v>
      </c>
      <c r="D6244" s="4">
        <v>43465</v>
      </c>
      <c r="E6244" s="3" t="s">
        <v>236</v>
      </c>
      <c r="F6244" s="3" t="s">
        <v>239</v>
      </c>
      <c r="G6244" s="5">
        <v>2E-3</v>
      </c>
      <c r="H6244" s="6" t="s">
        <v>88</v>
      </c>
      <c r="I6244" s="3" t="s">
        <v>45</v>
      </c>
    </row>
    <row r="6245" spans="1:9" ht="48" customHeight="1">
      <c r="A6245" s="3" t="s">
        <v>79</v>
      </c>
      <c r="B6245" s="3" t="s">
        <v>78</v>
      </c>
      <c r="C6245" s="4">
        <v>43435</v>
      </c>
      <c r="D6245" s="4">
        <v>43465</v>
      </c>
      <c r="E6245" s="3" t="s">
        <v>236</v>
      </c>
      <c r="F6245" s="3" t="s">
        <v>232</v>
      </c>
      <c r="G6245" s="5">
        <v>2E-3</v>
      </c>
      <c r="H6245" s="6" t="s">
        <v>88</v>
      </c>
      <c r="I6245" s="3" t="s">
        <v>45</v>
      </c>
    </row>
    <row r="6246" spans="1:9" ht="48" customHeight="1">
      <c r="A6246" s="3" t="s">
        <v>79</v>
      </c>
      <c r="B6246" s="3" t="s">
        <v>78</v>
      </c>
      <c r="C6246" s="4">
        <v>43435</v>
      </c>
      <c r="D6246" s="4">
        <v>43465</v>
      </c>
      <c r="E6246" s="3" t="s">
        <v>236</v>
      </c>
      <c r="F6246" s="3" t="s">
        <v>230</v>
      </c>
      <c r="G6246" s="5">
        <v>1E-3</v>
      </c>
      <c r="H6246" s="6" t="s">
        <v>88</v>
      </c>
      <c r="I6246" s="3" t="s">
        <v>45</v>
      </c>
    </row>
    <row r="6247" spans="1:9" ht="48" customHeight="1">
      <c r="A6247" s="3" t="s">
        <v>79</v>
      </c>
      <c r="B6247" s="3" t="s">
        <v>78</v>
      </c>
      <c r="C6247" s="4">
        <v>43435</v>
      </c>
      <c r="D6247" s="4">
        <v>43465</v>
      </c>
      <c r="E6247" s="3" t="s">
        <v>236</v>
      </c>
      <c r="F6247" s="3" t="s">
        <v>240</v>
      </c>
      <c r="G6247" s="5">
        <v>1E-3</v>
      </c>
      <c r="H6247" s="6" t="s">
        <v>88</v>
      </c>
      <c r="I6247" s="3" t="s">
        <v>45</v>
      </c>
    </row>
    <row r="6248" spans="1:9" ht="48" customHeight="1">
      <c r="A6248" s="3" t="s">
        <v>79</v>
      </c>
      <c r="B6248" s="3" t="s">
        <v>78</v>
      </c>
      <c r="C6248" s="4">
        <v>43435</v>
      </c>
      <c r="D6248" s="4">
        <v>43465</v>
      </c>
      <c r="E6248" s="3" t="s">
        <v>236</v>
      </c>
      <c r="F6248" s="3" t="s">
        <v>237</v>
      </c>
      <c r="G6248" s="5">
        <v>1E-3</v>
      </c>
      <c r="H6248" s="6" t="s">
        <v>88</v>
      </c>
      <c r="I6248" s="3" t="s">
        <v>45</v>
      </c>
    </row>
    <row r="6249" spans="1:9" ht="48" customHeight="1">
      <c r="A6249" s="3" t="s">
        <v>79</v>
      </c>
      <c r="B6249" s="3" t="s">
        <v>78</v>
      </c>
      <c r="C6249" s="4">
        <v>43435</v>
      </c>
      <c r="D6249" s="4">
        <v>43465</v>
      </c>
      <c r="E6249" s="3" t="s">
        <v>236</v>
      </c>
      <c r="F6249" s="3" t="s">
        <v>238</v>
      </c>
      <c r="G6249" s="5">
        <v>1E-3</v>
      </c>
      <c r="H6249" s="6" t="s">
        <v>88</v>
      </c>
      <c r="I6249" s="3" t="s">
        <v>45</v>
      </c>
    </row>
    <row r="6250" spans="1:9" ht="48" customHeight="1">
      <c r="A6250" s="3" t="s">
        <v>79</v>
      </c>
      <c r="B6250" s="3" t="s">
        <v>78</v>
      </c>
      <c r="C6250" s="4">
        <v>43435</v>
      </c>
      <c r="D6250" s="4">
        <v>43465</v>
      </c>
      <c r="E6250" s="3" t="s">
        <v>236</v>
      </c>
      <c r="F6250" s="3" t="s">
        <v>241</v>
      </c>
      <c r="G6250" s="5">
        <v>1E-3</v>
      </c>
      <c r="H6250" s="6" t="s">
        <v>88</v>
      </c>
      <c r="I6250" s="3" t="s">
        <v>45</v>
      </c>
    </row>
    <row r="6251" spans="1:9" ht="48" customHeight="1">
      <c r="A6251" s="3" t="s">
        <v>79</v>
      </c>
      <c r="B6251" s="3" t="s">
        <v>78</v>
      </c>
      <c r="C6251" s="4">
        <v>43435</v>
      </c>
      <c r="D6251" s="4">
        <v>43465</v>
      </c>
      <c r="E6251" s="3" t="s">
        <v>236</v>
      </c>
      <c r="F6251" s="3" t="s">
        <v>234</v>
      </c>
      <c r="G6251" s="5">
        <v>0</v>
      </c>
      <c r="H6251" s="6" t="s">
        <v>88</v>
      </c>
      <c r="I6251" s="3" t="s">
        <v>45</v>
      </c>
    </row>
    <row r="6252" spans="1:9" ht="48" customHeight="1">
      <c r="A6252" s="3" t="s">
        <v>79</v>
      </c>
      <c r="B6252" s="3" t="s">
        <v>78</v>
      </c>
      <c r="C6252" s="4">
        <v>43435</v>
      </c>
      <c r="D6252" s="4">
        <v>43465</v>
      </c>
      <c r="E6252" s="3" t="s">
        <v>236</v>
      </c>
      <c r="F6252" s="3" t="s">
        <v>242</v>
      </c>
      <c r="G6252" s="5">
        <v>0</v>
      </c>
      <c r="H6252" s="6" t="s">
        <v>88</v>
      </c>
      <c r="I6252" s="3" t="s">
        <v>45</v>
      </c>
    </row>
    <row r="6253" spans="1:9" ht="48" customHeight="1">
      <c r="A6253" s="3" t="s">
        <v>79</v>
      </c>
      <c r="B6253" s="3" t="s">
        <v>78</v>
      </c>
      <c r="C6253" s="4">
        <v>43435</v>
      </c>
      <c r="D6253" s="4">
        <v>43465</v>
      </c>
      <c r="E6253" s="3" t="s">
        <v>236</v>
      </c>
      <c r="F6253" s="3" t="s">
        <v>243</v>
      </c>
      <c r="G6253" s="5">
        <v>0</v>
      </c>
      <c r="H6253" s="6" t="s">
        <v>88</v>
      </c>
      <c r="I6253" s="3" t="s">
        <v>45</v>
      </c>
    </row>
    <row r="6254" spans="1:9" ht="48" customHeight="1">
      <c r="A6254" s="3" t="s">
        <v>79</v>
      </c>
      <c r="B6254" s="3" t="s">
        <v>78</v>
      </c>
      <c r="C6254" s="4">
        <v>43435</v>
      </c>
      <c r="D6254" s="4">
        <v>43465</v>
      </c>
      <c r="E6254" s="3" t="s">
        <v>260</v>
      </c>
      <c r="F6254" s="3" t="s">
        <v>262</v>
      </c>
      <c r="G6254" s="5">
        <v>1E-3</v>
      </c>
      <c r="H6254" s="6" t="s">
        <v>88</v>
      </c>
      <c r="I6254" s="3" t="s">
        <v>45</v>
      </c>
    </row>
    <row r="6255" spans="1:9" ht="48" customHeight="1">
      <c r="A6255" s="3" t="s">
        <v>79</v>
      </c>
      <c r="B6255" s="3" t="s">
        <v>78</v>
      </c>
      <c r="C6255" s="4">
        <v>43435</v>
      </c>
      <c r="D6255" s="4">
        <v>43465</v>
      </c>
      <c r="E6255" s="3" t="s">
        <v>260</v>
      </c>
      <c r="F6255" s="3" t="s">
        <v>261</v>
      </c>
      <c r="G6255" s="5">
        <v>1E-3</v>
      </c>
      <c r="H6255" s="6" t="s">
        <v>88</v>
      </c>
      <c r="I6255" s="3" t="s">
        <v>45</v>
      </c>
    </row>
    <row r="6256" spans="1:9" ht="48" customHeight="1">
      <c r="A6256" s="3" t="s">
        <v>79</v>
      </c>
      <c r="B6256" s="3" t="s">
        <v>78</v>
      </c>
      <c r="C6256" s="4">
        <v>43435</v>
      </c>
      <c r="D6256" s="4">
        <v>43465</v>
      </c>
      <c r="E6256" s="3" t="s">
        <v>260</v>
      </c>
      <c r="F6256" s="3" t="s">
        <v>266</v>
      </c>
      <c r="G6256" s="5">
        <v>1E-3</v>
      </c>
      <c r="H6256" s="6" t="s">
        <v>88</v>
      </c>
      <c r="I6256" s="3" t="s">
        <v>45</v>
      </c>
    </row>
    <row r="6257" spans="1:9" ht="48" customHeight="1">
      <c r="A6257" s="3" t="s">
        <v>79</v>
      </c>
      <c r="B6257" s="3" t="s">
        <v>78</v>
      </c>
      <c r="C6257" s="4">
        <v>43435</v>
      </c>
      <c r="D6257" s="4">
        <v>43465</v>
      </c>
      <c r="E6257" s="3" t="s">
        <v>260</v>
      </c>
      <c r="F6257" s="3" t="s">
        <v>264</v>
      </c>
      <c r="G6257" s="5">
        <v>1E-3</v>
      </c>
      <c r="H6257" s="6" t="s">
        <v>88</v>
      </c>
      <c r="I6257" s="3" t="s">
        <v>45</v>
      </c>
    </row>
    <row r="6258" spans="1:9" ht="48" customHeight="1">
      <c r="A6258" s="3" t="s">
        <v>79</v>
      </c>
      <c r="B6258" s="3" t="s">
        <v>78</v>
      </c>
      <c r="C6258" s="4">
        <v>43435</v>
      </c>
      <c r="D6258" s="4">
        <v>43465</v>
      </c>
      <c r="E6258" s="3" t="s">
        <v>260</v>
      </c>
      <c r="F6258" s="3" t="s">
        <v>268</v>
      </c>
      <c r="G6258" s="5">
        <v>1E-3</v>
      </c>
      <c r="H6258" s="6" t="s">
        <v>88</v>
      </c>
      <c r="I6258" s="3" t="s">
        <v>45</v>
      </c>
    </row>
    <row r="6259" spans="1:9" ht="48" customHeight="1">
      <c r="A6259" s="3" t="s">
        <v>79</v>
      </c>
      <c r="B6259" s="3" t="s">
        <v>78</v>
      </c>
      <c r="C6259" s="4">
        <v>43435</v>
      </c>
      <c r="D6259" s="4">
        <v>43465</v>
      </c>
      <c r="E6259" s="3" t="s">
        <v>260</v>
      </c>
      <c r="F6259" s="3" t="s">
        <v>234</v>
      </c>
      <c r="G6259" s="5">
        <v>0</v>
      </c>
      <c r="H6259" s="6" t="s">
        <v>88</v>
      </c>
      <c r="I6259" s="3" t="s">
        <v>45</v>
      </c>
    </row>
    <row r="6260" spans="1:9" ht="48" customHeight="1">
      <c r="A6260" s="3" t="s">
        <v>79</v>
      </c>
      <c r="B6260" s="3" t="s">
        <v>78</v>
      </c>
      <c r="C6260" s="4">
        <v>43435</v>
      </c>
      <c r="D6260" s="4">
        <v>43465</v>
      </c>
      <c r="E6260" s="3" t="s">
        <v>260</v>
      </c>
      <c r="F6260" s="3" t="s">
        <v>232</v>
      </c>
      <c r="G6260" s="5">
        <v>0</v>
      </c>
      <c r="H6260" s="6" t="s">
        <v>88</v>
      </c>
      <c r="I6260" s="3" t="s">
        <v>45</v>
      </c>
    </row>
    <row r="6261" spans="1:9" ht="48" customHeight="1">
      <c r="A6261" s="3" t="s">
        <v>79</v>
      </c>
      <c r="B6261" s="3" t="s">
        <v>78</v>
      </c>
      <c r="C6261" s="4">
        <v>43435</v>
      </c>
      <c r="D6261" s="4">
        <v>43465</v>
      </c>
      <c r="E6261" s="3" t="s">
        <v>260</v>
      </c>
      <c r="F6261" s="3" t="s">
        <v>265</v>
      </c>
      <c r="G6261" s="5">
        <v>0</v>
      </c>
      <c r="H6261" s="6" t="s">
        <v>88</v>
      </c>
      <c r="I6261" s="3" t="s">
        <v>45</v>
      </c>
    </row>
    <row r="6262" spans="1:9" ht="48" customHeight="1">
      <c r="A6262" s="3" t="s">
        <v>79</v>
      </c>
      <c r="B6262" s="3" t="s">
        <v>78</v>
      </c>
      <c r="C6262" s="4">
        <v>43435</v>
      </c>
      <c r="D6262" s="4">
        <v>43465</v>
      </c>
      <c r="E6262" s="3" t="s">
        <v>260</v>
      </c>
      <c r="F6262" s="3" t="s">
        <v>263</v>
      </c>
      <c r="G6262" s="5">
        <v>0</v>
      </c>
      <c r="H6262" s="6" t="s">
        <v>88</v>
      </c>
      <c r="I6262" s="3" t="s">
        <v>45</v>
      </c>
    </row>
    <row r="6263" spans="1:9" ht="48" customHeight="1">
      <c r="A6263" s="3" t="s">
        <v>79</v>
      </c>
      <c r="B6263" s="3" t="s">
        <v>78</v>
      </c>
      <c r="C6263" s="4">
        <v>43435</v>
      </c>
      <c r="D6263" s="4">
        <v>43465</v>
      </c>
      <c r="E6263" s="3" t="s">
        <v>260</v>
      </c>
      <c r="F6263" s="3" t="s">
        <v>267</v>
      </c>
      <c r="G6263" s="5">
        <v>0</v>
      </c>
      <c r="H6263" s="6" t="s">
        <v>88</v>
      </c>
      <c r="I6263" s="3" t="s">
        <v>45</v>
      </c>
    </row>
    <row r="6264" spans="1:9" ht="48" customHeight="1">
      <c r="A6264" s="3" t="s">
        <v>79</v>
      </c>
      <c r="B6264" s="3" t="s">
        <v>78</v>
      </c>
      <c r="C6264" s="4">
        <v>43435</v>
      </c>
      <c r="D6264" s="4">
        <v>43465</v>
      </c>
      <c r="E6264" s="3" t="s">
        <v>260</v>
      </c>
      <c r="F6264" s="3" t="s">
        <v>273</v>
      </c>
      <c r="G6264" s="5">
        <v>0</v>
      </c>
      <c r="H6264" s="6" t="s">
        <v>88</v>
      </c>
      <c r="I6264" s="3" t="s">
        <v>45</v>
      </c>
    </row>
    <row r="6265" spans="1:9" ht="48" customHeight="1">
      <c r="A6265" s="3" t="s">
        <v>79</v>
      </c>
      <c r="B6265" s="3" t="s">
        <v>78</v>
      </c>
      <c r="C6265" s="4">
        <v>43435</v>
      </c>
      <c r="D6265" s="4">
        <v>43465</v>
      </c>
      <c r="E6265" s="3" t="s">
        <v>260</v>
      </c>
      <c r="F6265" s="3" t="s">
        <v>274</v>
      </c>
      <c r="G6265" s="5">
        <v>0</v>
      </c>
      <c r="H6265" s="6" t="s">
        <v>88</v>
      </c>
      <c r="I6265" s="3" t="s">
        <v>45</v>
      </c>
    </row>
    <row r="6266" spans="1:9" ht="48" customHeight="1">
      <c r="A6266" s="3" t="s">
        <v>79</v>
      </c>
      <c r="B6266" s="3" t="s">
        <v>78</v>
      </c>
      <c r="C6266" s="4">
        <v>43435</v>
      </c>
      <c r="D6266" s="4">
        <v>43465</v>
      </c>
      <c r="E6266" s="3" t="s">
        <v>260</v>
      </c>
      <c r="F6266" s="3" t="s">
        <v>275</v>
      </c>
      <c r="G6266" s="5">
        <v>0</v>
      </c>
      <c r="H6266" s="6" t="s">
        <v>88</v>
      </c>
      <c r="I6266" s="3" t="s">
        <v>45</v>
      </c>
    </row>
    <row r="6267" spans="1:9" ht="48" customHeight="1">
      <c r="A6267" s="3" t="s">
        <v>79</v>
      </c>
      <c r="B6267" s="3" t="s">
        <v>78</v>
      </c>
      <c r="C6267" s="4">
        <v>43435</v>
      </c>
      <c r="D6267" s="4">
        <v>43465</v>
      </c>
      <c r="E6267" s="3" t="s">
        <v>260</v>
      </c>
      <c r="F6267" s="3" t="s">
        <v>276</v>
      </c>
      <c r="G6267" s="5">
        <v>0</v>
      </c>
      <c r="H6267" s="6" t="s">
        <v>88</v>
      </c>
      <c r="I6267" s="3" t="s">
        <v>45</v>
      </c>
    </row>
    <row r="6268" spans="1:9" ht="48" customHeight="1">
      <c r="A6268" s="3" t="s">
        <v>79</v>
      </c>
      <c r="B6268" s="3" t="s">
        <v>78</v>
      </c>
      <c r="C6268" s="4">
        <v>43435</v>
      </c>
      <c r="D6268" s="4">
        <v>43465</v>
      </c>
      <c r="E6268" s="3" t="s">
        <v>260</v>
      </c>
      <c r="F6268" s="3" t="s">
        <v>277</v>
      </c>
      <c r="G6268" s="5">
        <v>0</v>
      </c>
      <c r="H6268" s="6" t="s">
        <v>88</v>
      </c>
      <c r="I6268" s="3" t="s">
        <v>45</v>
      </c>
    </row>
    <row r="6269" spans="1:9" ht="48" customHeight="1">
      <c r="A6269" s="3" t="s">
        <v>79</v>
      </c>
      <c r="B6269" s="3" t="s">
        <v>78</v>
      </c>
      <c r="C6269" s="4">
        <v>43435</v>
      </c>
      <c r="D6269" s="4">
        <v>43465</v>
      </c>
      <c r="E6269" s="3" t="s">
        <v>260</v>
      </c>
      <c r="F6269" s="3" t="s">
        <v>278</v>
      </c>
      <c r="G6269" s="5">
        <v>0</v>
      </c>
      <c r="H6269" s="6" t="s">
        <v>88</v>
      </c>
      <c r="I6269" s="3" t="s">
        <v>45</v>
      </c>
    </row>
    <row r="6270" spans="1:9" ht="48" customHeight="1">
      <c r="A6270" s="3" t="s">
        <v>79</v>
      </c>
      <c r="B6270" s="3" t="s">
        <v>78</v>
      </c>
      <c r="C6270" s="4">
        <v>43435</v>
      </c>
      <c r="D6270" s="4">
        <v>43465</v>
      </c>
      <c r="E6270" s="3" t="s">
        <v>260</v>
      </c>
      <c r="F6270" s="3" t="s">
        <v>269</v>
      </c>
      <c r="G6270" s="5">
        <v>0</v>
      </c>
      <c r="H6270" s="6" t="s">
        <v>88</v>
      </c>
      <c r="I6270" s="3" t="s">
        <v>45</v>
      </c>
    </row>
    <row r="6271" spans="1:9" ht="48" customHeight="1">
      <c r="A6271" s="3" t="s">
        <v>79</v>
      </c>
      <c r="B6271" s="3" t="s">
        <v>78</v>
      </c>
      <c r="C6271" s="4">
        <v>43435</v>
      </c>
      <c r="D6271" s="4">
        <v>43465</v>
      </c>
      <c r="E6271" s="3" t="s">
        <v>260</v>
      </c>
      <c r="F6271" s="3" t="s">
        <v>279</v>
      </c>
      <c r="G6271" s="5">
        <v>0</v>
      </c>
      <c r="H6271" s="6" t="s">
        <v>88</v>
      </c>
      <c r="I6271" s="3" t="s">
        <v>45</v>
      </c>
    </row>
    <row r="6272" spans="1:9" ht="48" customHeight="1">
      <c r="A6272" s="3" t="s">
        <v>79</v>
      </c>
      <c r="B6272" s="3" t="s">
        <v>78</v>
      </c>
      <c r="C6272" s="4">
        <v>43435</v>
      </c>
      <c r="D6272" s="4">
        <v>43465</v>
      </c>
      <c r="E6272" s="3" t="s">
        <v>260</v>
      </c>
      <c r="F6272" s="3" t="s">
        <v>270</v>
      </c>
      <c r="G6272" s="5">
        <v>0</v>
      </c>
      <c r="H6272" s="6" t="s">
        <v>88</v>
      </c>
      <c r="I6272" s="3" t="s">
        <v>45</v>
      </c>
    </row>
    <row r="6273" spans="1:9" ht="48" customHeight="1">
      <c r="A6273" s="3" t="s">
        <v>79</v>
      </c>
      <c r="B6273" s="3" t="s">
        <v>78</v>
      </c>
      <c r="C6273" s="4">
        <v>43435</v>
      </c>
      <c r="D6273" s="4">
        <v>43465</v>
      </c>
      <c r="E6273" s="3" t="s">
        <v>260</v>
      </c>
      <c r="F6273" s="3" t="s">
        <v>280</v>
      </c>
      <c r="G6273" s="5">
        <v>0</v>
      </c>
      <c r="H6273" s="6" t="s">
        <v>88</v>
      </c>
      <c r="I6273" s="3" t="s">
        <v>45</v>
      </c>
    </row>
    <row r="6274" spans="1:9" ht="48" customHeight="1">
      <c r="A6274" s="3" t="s">
        <v>79</v>
      </c>
      <c r="B6274" s="3" t="s">
        <v>78</v>
      </c>
      <c r="C6274" s="4">
        <v>43435</v>
      </c>
      <c r="D6274" s="4">
        <v>43465</v>
      </c>
      <c r="E6274" s="3" t="s">
        <v>260</v>
      </c>
      <c r="F6274" s="3" t="s">
        <v>271</v>
      </c>
      <c r="G6274" s="5">
        <v>0</v>
      </c>
      <c r="H6274" s="6" t="s">
        <v>88</v>
      </c>
      <c r="I6274" s="3" t="s">
        <v>45</v>
      </c>
    </row>
    <row r="6275" spans="1:9" ht="48" customHeight="1">
      <c r="A6275" s="3" t="s">
        <v>79</v>
      </c>
      <c r="B6275" s="3" t="s">
        <v>78</v>
      </c>
      <c r="C6275" s="4">
        <v>43435</v>
      </c>
      <c r="D6275" s="4">
        <v>43465</v>
      </c>
      <c r="E6275" s="3" t="s">
        <v>260</v>
      </c>
      <c r="F6275" s="3" t="s">
        <v>281</v>
      </c>
      <c r="G6275" s="5">
        <v>0</v>
      </c>
      <c r="H6275" s="6" t="s">
        <v>88</v>
      </c>
      <c r="I6275" s="3" t="s">
        <v>45</v>
      </c>
    </row>
    <row r="6276" spans="1:9" ht="48" customHeight="1">
      <c r="A6276" s="3" t="s">
        <v>79</v>
      </c>
      <c r="B6276" s="3" t="s">
        <v>78</v>
      </c>
      <c r="C6276" s="4">
        <v>43435</v>
      </c>
      <c r="D6276" s="4">
        <v>43465</v>
      </c>
      <c r="E6276" s="3" t="s">
        <v>260</v>
      </c>
      <c r="F6276" s="3" t="s">
        <v>272</v>
      </c>
      <c r="G6276" s="5">
        <v>0</v>
      </c>
      <c r="H6276" s="6" t="s">
        <v>88</v>
      </c>
      <c r="I6276" s="3" t="s">
        <v>45</v>
      </c>
    </row>
    <row r="6277" spans="1:9" ht="48" customHeight="1">
      <c r="A6277" s="3" t="s">
        <v>79</v>
      </c>
      <c r="B6277" s="3" t="s">
        <v>78</v>
      </c>
      <c r="C6277" s="4">
        <v>43435</v>
      </c>
      <c r="D6277" s="4">
        <v>43465</v>
      </c>
      <c r="E6277" s="3" t="s">
        <v>260</v>
      </c>
      <c r="F6277" s="3" t="s">
        <v>282</v>
      </c>
      <c r="G6277" s="5">
        <v>0</v>
      </c>
      <c r="H6277" s="6" t="s">
        <v>88</v>
      </c>
      <c r="I6277" s="3" t="s">
        <v>45</v>
      </c>
    </row>
    <row r="6278" spans="1:9" ht="48" customHeight="1">
      <c r="A6278" s="3" t="s">
        <v>79</v>
      </c>
      <c r="B6278" s="3" t="s">
        <v>78</v>
      </c>
      <c r="C6278" s="4">
        <v>43435</v>
      </c>
      <c r="D6278" s="4">
        <v>43465</v>
      </c>
      <c r="E6278" s="3" t="s">
        <v>260</v>
      </c>
      <c r="F6278" s="3" t="s">
        <v>283</v>
      </c>
      <c r="G6278" s="5">
        <v>0</v>
      </c>
      <c r="H6278" s="6" t="s">
        <v>88</v>
      </c>
      <c r="I6278" s="3" t="s">
        <v>45</v>
      </c>
    </row>
    <row r="6279" spans="1:9" ht="48" customHeight="1">
      <c r="A6279" s="3" t="s">
        <v>79</v>
      </c>
      <c r="B6279" s="3" t="s">
        <v>78</v>
      </c>
      <c r="C6279" s="4">
        <v>43435</v>
      </c>
      <c r="D6279" s="4">
        <v>43465</v>
      </c>
      <c r="E6279" s="3" t="s">
        <v>260</v>
      </c>
      <c r="F6279" s="3" t="s">
        <v>284</v>
      </c>
      <c r="G6279" s="5">
        <v>0</v>
      </c>
      <c r="H6279" s="6" t="s">
        <v>88</v>
      </c>
      <c r="I6279" s="3" t="s">
        <v>45</v>
      </c>
    </row>
    <row r="6280" spans="1:9" ht="48" customHeight="1">
      <c r="A6280" s="3" t="s">
        <v>79</v>
      </c>
      <c r="B6280" s="3" t="s">
        <v>78</v>
      </c>
      <c r="C6280" s="4">
        <v>43435</v>
      </c>
      <c r="D6280" s="4">
        <v>43465</v>
      </c>
      <c r="E6280" s="3" t="s">
        <v>260</v>
      </c>
      <c r="F6280" s="3" t="s">
        <v>285</v>
      </c>
      <c r="G6280" s="5">
        <v>0</v>
      </c>
      <c r="H6280" s="6" t="s">
        <v>88</v>
      </c>
      <c r="I6280" s="3" t="s">
        <v>45</v>
      </c>
    </row>
    <row r="6281" spans="1:9" ht="48" customHeight="1">
      <c r="A6281" s="3" t="s">
        <v>79</v>
      </c>
      <c r="B6281" s="3" t="s">
        <v>78</v>
      </c>
      <c r="C6281" s="4">
        <v>43435</v>
      </c>
      <c r="D6281" s="4">
        <v>43465</v>
      </c>
      <c r="E6281" s="3" t="s">
        <v>231</v>
      </c>
      <c r="F6281" s="3" t="s">
        <v>232</v>
      </c>
      <c r="G6281" s="5">
        <v>2E-3</v>
      </c>
      <c r="H6281" s="6" t="s">
        <v>88</v>
      </c>
      <c r="I6281" s="3" t="s">
        <v>45</v>
      </c>
    </row>
    <row r="6282" spans="1:9" ht="48" customHeight="1">
      <c r="A6282" s="3" t="s">
        <v>79</v>
      </c>
      <c r="B6282" s="3" t="s">
        <v>78</v>
      </c>
      <c r="C6282" s="4">
        <v>43435</v>
      </c>
      <c r="D6282" s="4">
        <v>43465</v>
      </c>
      <c r="E6282" s="3" t="s">
        <v>231</v>
      </c>
      <c r="F6282" s="3" t="s">
        <v>233</v>
      </c>
      <c r="G6282" s="5">
        <v>2E-3</v>
      </c>
      <c r="H6282" s="6" t="s">
        <v>88</v>
      </c>
      <c r="I6282" s="3" t="s">
        <v>45</v>
      </c>
    </row>
    <row r="6283" spans="1:9" ht="48" customHeight="1">
      <c r="A6283" s="3" t="s">
        <v>79</v>
      </c>
      <c r="B6283" s="3" t="s">
        <v>78</v>
      </c>
      <c r="C6283" s="4">
        <v>43435</v>
      </c>
      <c r="D6283" s="4">
        <v>43465</v>
      </c>
      <c r="E6283" s="3" t="s">
        <v>231</v>
      </c>
      <c r="F6283" s="3" t="s">
        <v>234</v>
      </c>
      <c r="G6283" s="5">
        <v>1E-3</v>
      </c>
      <c r="H6283" s="6" t="s">
        <v>88</v>
      </c>
      <c r="I6283" s="3" t="s">
        <v>45</v>
      </c>
    </row>
    <row r="6284" spans="1:9" ht="48" customHeight="1">
      <c r="A6284" s="3" t="s">
        <v>79</v>
      </c>
      <c r="B6284" s="3" t="s">
        <v>78</v>
      </c>
      <c r="C6284" s="4">
        <v>43435</v>
      </c>
      <c r="D6284" s="4">
        <v>43465</v>
      </c>
      <c r="E6284" s="3" t="s">
        <v>231</v>
      </c>
      <c r="F6284" s="3" t="s">
        <v>230</v>
      </c>
      <c r="G6284" s="5">
        <v>1E-3</v>
      </c>
      <c r="H6284" s="6" t="s">
        <v>88</v>
      </c>
      <c r="I6284" s="3" t="s">
        <v>45</v>
      </c>
    </row>
    <row r="6285" spans="1:9" ht="48" customHeight="1">
      <c r="A6285" s="3" t="s">
        <v>79</v>
      </c>
      <c r="B6285" s="3" t="s">
        <v>78</v>
      </c>
      <c r="C6285" s="4">
        <v>43435</v>
      </c>
      <c r="D6285" s="4">
        <v>43465</v>
      </c>
      <c r="E6285" s="3" t="s">
        <v>231</v>
      </c>
      <c r="F6285" s="3" t="s">
        <v>235</v>
      </c>
      <c r="G6285" s="5">
        <v>1E-3</v>
      </c>
      <c r="H6285" s="6" t="s">
        <v>88</v>
      </c>
      <c r="I6285" s="3" t="s">
        <v>45</v>
      </c>
    </row>
    <row r="6286" spans="1:9" ht="48" customHeight="1">
      <c r="A6286" s="3" t="s">
        <v>79</v>
      </c>
      <c r="B6286" s="3" t="s">
        <v>78</v>
      </c>
      <c r="C6286" s="4">
        <v>43435</v>
      </c>
      <c r="D6286" s="4">
        <v>43465</v>
      </c>
      <c r="E6286" s="3" t="s">
        <v>301</v>
      </c>
      <c r="F6286" s="3" t="s">
        <v>301</v>
      </c>
      <c r="G6286" s="5">
        <v>3.0000000000000001E-3</v>
      </c>
      <c r="H6286" s="6" t="s">
        <v>88</v>
      </c>
      <c r="I6286" s="3" t="s">
        <v>45</v>
      </c>
    </row>
    <row r="6287" spans="1:9" ht="48" customHeight="1">
      <c r="A6287" s="3" t="s">
        <v>79</v>
      </c>
      <c r="B6287" s="3" t="s">
        <v>78</v>
      </c>
      <c r="C6287" s="4">
        <v>43435</v>
      </c>
      <c r="D6287" s="4">
        <v>43465</v>
      </c>
      <c r="E6287" s="3" t="s">
        <v>244</v>
      </c>
      <c r="F6287" s="3" t="s">
        <v>247</v>
      </c>
      <c r="G6287" s="5">
        <v>1E-3</v>
      </c>
      <c r="H6287" s="6" t="s">
        <v>88</v>
      </c>
      <c r="I6287" s="3" t="s">
        <v>45</v>
      </c>
    </row>
    <row r="6288" spans="1:9" ht="48" customHeight="1">
      <c r="A6288" s="3" t="s">
        <v>79</v>
      </c>
      <c r="B6288" s="3" t="s">
        <v>78</v>
      </c>
      <c r="C6288" s="4">
        <v>43435</v>
      </c>
      <c r="D6288" s="4">
        <v>43465</v>
      </c>
      <c r="E6288" s="3" t="s">
        <v>244</v>
      </c>
      <c r="F6288" s="3" t="s">
        <v>246</v>
      </c>
      <c r="G6288" s="5">
        <v>1E-3</v>
      </c>
      <c r="H6288" s="6" t="s">
        <v>88</v>
      </c>
      <c r="I6288" s="3" t="s">
        <v>45</v>
      </c>
    </row>
    <row r="6289" spans="1:9" ht="48" customHeight="1">
      <c r="A6289" s="3" t="s">
        <v>79</v>
      </c>
      <c r="B6289" s="3" t="s">
        <v>78</v>
      </c>
      <c r="C6289" s="4">
        <v>43435</v>
      </c>
      <c r="D6289" s="4">
        <v>43465</v>
      </c>
      <c r="E6289" s="3" t="s">
        <v>244</v>
      </c>
      <c r="F6289" s="3" t="s">
        <v>248</v>
      </c>
      <c r="G6289" s="5">
        <v>0</v>
      </c>
      <c r="H6289" s="6" t="s">
        <v>88</v>
      </c>
      <c r="I6289" s="3" t="s">
        <v>45</v>
      </c>
    </row>
    <row r="6290" spans="1:9" ht="48" customHeight="1">
      <c r="A6290" s="3" t="s">
        <v>79</v>
      </c>
      <c r="B6290" s="3" t="s">
        <v>78</v>
      </c>
      <c r="C6290" s="4">
        <v>43435</v>
      </c>
      <c r="D6290" s="4">
        <v>43465</v>
      </c>
      <c r="E6290" s="3" t="s">
        <v>244</v>
      </c>
      <c r="F6290" s="3" t="s">
        <v>245</v>
      </c>
      <c r="G6290" s="5">
        <v>0</v>
      </c>
      <c r="H6290" s="6" t="s">
        <v>88</v>
      </c>
      <c r="I6290" s="3" t="s">
        <v>45</v>
      </c>
    </row>
    <row r="6291" spans="1:9" ht="48" customHeight="1">
      <c r="A6291" s="3" t="s">
        <v>79</v>
      </c>
      <c r="B6291" s="3" t="s">
        <v>78</v>
      </c>
      <c r="C6291" s="4">
        <v>43435</v>
      </c>
      <c r="D6291" s="4">
        <v>43465</v>
      </c>
      <c r="E6291" s="3" t="s">
        <v>244</v>
      </c>
      <c r="F6291" s="3" t="s">
        <v>250</v>
      </c>
      <c r="G6291" s="5">
        <v>0</v>
      </c>
      <c r="H6291" s="6" t="s">
        <v>88</v>
      </c>
      <c r="I6291" s="3" t="s">
        <v>45</v>
      </c>
    </row>
    <row r="6292" spans="1:9" ht="48" customHeight="1">
      <c r="A6292" s="3" t="s">
        <v>79</v>
      </c>
      <c r="B6292" s="3" t="s">
        <v>78</v>
      </c>
      <c r="C6292" s="4">
        <v>43435</v>
      </c>
      <c r="D6292" s="4">
        <v>43465</v>
      </c>
      <c r="E6292" s="3" t="s">
        <v>244</v>
      </c>
      <c r="F6292" s="3" t="s">
        <v>251</v>
      </c>
      <c r="G6292" s="5">
        <v>0</v>
      </c>
      <c r="H6292" s="6" t="s">
        <v>88</v>
      </c>
      <c r="I6292" s="3" t="s">
        <v>45</v>
      </c>
    </row>
    <row r="6293" spans="1:9" ht="48" customHeight="1">
      <c r="A6293" s="3" t="s">
        <v>79</v>
      </c>
      <c r="B6293" s="3" t="s">
        <v>78</v>
      </c>
      <c r="C6293" s="4">
        <v>43435</v>
      </c>
      <c r="D6293" s="4">
        <v>43465</v>
      </c>
      <c r="E6293" s="3" t="s">
        <v>244</v>
      </c>
      <c r="F6293" s="3" t="s">
        <v>252</v>
      </c>
      <c r="G6293" s="5">
        <v>0</v>
      </c>
      <c r="H6293" s="6" t="s">
        <v>88</v>
      </c>
      <c r="I6293" s="3" t="s">
        <v>45</v>
      </c>
    </row>
    <row r="6294" spans="1:9" ht="48" customHeight="1">
      <c r="A6294" s="3" t="s">
        <v>79</v>
      </c>
      <c r="B6294" s="3" t="s">
        <v>78</v>
      </c>
      <c r="C6294" s="4">
        <v>43435</v>
      </c>
      <c r="D6294" s="4">
        <v>43465</v>
      </c>
      <c r="E6294" s="3" t="s">
        <v>244</v>
      </c>
      <c r="F6294" s="3" t="s">
        <v>249</v>
      </c>
      <c r="G6294" s="5">
        <v>0</v>
      </c>
      <c r="H6294" s="6" t="s">
        <v>88</v>
      </c>
      <c r="I6294" s="3" t="s">
        <v>45</v>
      </c>
    </row>
    <row r="6295" spans="1:9" ht="48" customHeight="1">
      <c r="A6295" s="3" t="s">
        <v>79</v>
      </c>
      <c r="B6295" s="3" t="s">
        <v>78</v>
      </c>
      <c r="C6295" s="4">
        <v>43435</v>
      </c>
      <c r="D6295" s="4">
        <v>43465</v>
      </c>
      <c r="E6295" s="3" t="s">
        <v>244</v>
      </c>
      <c r="F6295" s="3" t="s">
        <v>255</v>
      </c>
      <c r="G6295" s="5">
        <v>0</v>
      </c>
      <c r="H6295" s="6" t="s">
        <v>88</v>
      </c>
      <c r="I6295" s="3" t="s">
        <v>45</v>
      </c>
    </row>
    <row r="6296" spans="1:9" ht="48" customHeight="1">
      <c r="A6296" s="3" t="s">
        <v>79</v>
      </c>
      <c r="B6296" s="3" t="s">
        <v>78</v>
      </c>
      <c r="C6296" s="4">
        <v>43435</v>
      </c>
      <c r="D6296" s="4">
        <v>43465</v>
      </c>
      <c r="E6296" s="3" t="s">
        <v>244</v>
      </c>
      <c r="F6296" s="3" t="s">
        <v>256</v>
      </c>
      <c r="G6296" s="5">
        <v>0</v>
      </c>
      <c r="H6296" s="6" t="s">
        <v>88</v>
      </c>
      <c r="I6296" s="3" t="s">
        <v>45</v>
      </c>
    </row>
    <row r="6297" spans="1:9" ht="48" customHeight="1">
      <c r="A6297" s="3" t="s">
        <v>79</v>
      </c>
      <c r="B6297" s="3" t="s">
        <v>78</v>
      </c>
      <c r="C6297" s="4">
        <v>43435</v>
      </c>
      <c r="D6297" s="4">
        <v>43465</v>
      </c>
      <c r="E6297" s="3" t="s">
        <v>244</v>
      </c>
      <c r="F6297" s="3" t="s">
        <v>257</v>
      </c>
      <c r="G6297" s="5">
        <v>0</v>
      </c>
      <c r="H6297" s="6" t="s">
        <v>88</v>
      </c>
      <c r="I6297" s="3" t="s">
        <v>45</v>
      </c>
    </row>
    <row r="6298" spans="1:9" ht="48" customHeight="1">
      <c r="A6298" s="3" t="s">
        <v>79</v>
      </c>
      <c r="B6298" s="3" t="s">
        <v>78</v>
      </c>
      <c r="C6298" s="4">
        <v>43435</v>
      </c>
      <c r="D6298" s="4">
        <v>43465</v>
      </c>
      <c r="E6298" s="3" t="s">
        <v>244</v>
      </c>
      <c r="F6298" s="3" t="s">
        <v>258</v>
      </c>
      <c r="G6298" s="5">
        <v>0</v>
      </c>
      <c r="H6298" s="6" t="s">
        <v>88</v>
      </c>
      <c r="I6298" s="3" t="s">
        <v>45</v>
      </c>
    </row>
    <row r="6299" spans="1:9" ht="48" customHeight="1">
      <c r="A6299" s="3" t="s">
        <v>79</v>
      </c>
      <c r="B6299" s="3" t="s">
        <v>78</v>
      </c>
      <c r="C6299" s="4">
        <v>43435</v>
      </c>
      <c r="D6299" s="4">
        <v>43465</v>
      </c>
      <c r="E6299" s="3" t="s">
        <v>244</v>
      </c>
      <c r="F6299" s="3" t="s">
        <v>259</v>
      </c>
      <c r="G6299" s="5">
        <v>0</v>
      </c>
      <c r="H6299" s="6" t="s">
        <v>88</v>
      </c>
      <c r="I6299" s="3" t="s">
        <v>45</v>
      </c>
    </row>
    <row r="6300" spans="1:9" ht="48" customHeight="1">
      <c r="A6300" s="3" t="s">
        <v>79</v>
      </c>
      <c r="B6300" s="3" t="s">
        <v>78</v>
      </c>
      <c r="C6300" s="4">
        <v>43435</v>
      </c>
      <c r="D6300" s="4">
        <v>43465</v>
      </c>
      <c r="E6300" s="3" t="s">
        <v>244</v>
      </c>
      <c r="F6300" s="3" t="s">
        <v>253</v>
      </c>
      <c r="G6300" s="5">
        <v>0</v>
      </c>
      <c r="H6300" s="6" t="s">
        <v>88</v>
      </c>
      <c r="I6300" s="3" t="s">
        <v>45</v>
      </c>
    </row>
    <row r="6301" spans="1:9" ht="48" customHeight="1">
      <c r="A6301" s="3" t="s">
        <v>79</v>
      </c>
      <c r="B6301" s="3" t="s">
        <v>78</v>
      </c>
      <c r="C6301" s="4">
        <v>43435</v>
      </c>
      <c r="D6301" s="4">
        <v>43465</v>
      </c>
      <c r="E6301" s="3" t="s">
        <v>244</v>
      </c>
      <c r="F6301" s="3" t="s">
        <v>254</v>
      </c>
      <c r="G6301" s="5">
        <v>0</v>
      </c>
      <c r="H6301" s="6" t="s">
        <v>88</v>
      </c>
      <c r="I6301" s="3" t="s">
        <v>45</v>
      </c>
    </row>
    <row r="6302" spans="1:9" ht="48" customHeight="1">
      <c r="A6302" s="3" t="s">
        <v>79</v>
      </c>
      <c r="B6302" s="3" t="s">
        <v>78</v>
      </c>
      <c r="C6302" s="4">
        <v>43435</v>
      </c>
      <c r="D6302" s="4">
        <v>43465</v>
      </c>
      <c r="E6302" s="3" t="s">
        <v>381</v>
      </c>
      <c r="F6302" s="3" t="s">
        <v>382</v>
      </c>
      <c r="G6302" s="5">
        <v>1E-3</v>
      </c>
      <c r="H6302" s="6" t="s">
        <v>88</v>
      </c>
      <c r="I6302" s="3" t="s">
        <v>45</v>
      </c>
    </row>
    <row r="6303" spans="1:9" ht="48" customHeight="1">
      <c r="A6303" s="3" t="s">
        <v>79</v>
      </c>
      <c r="B6303" s="3" t="s">
        <v>78</v>
      </c>
      <c r="C6303" s="4">
        <v>43435</v>
      </c>
      <c r="D6303" s="4">
        <v>43465</v>
      </c>
      <c r="E6303" s="3" t="s">
        <v>381</v>
      </c>
      <c r="F6303" s="3" t="s">
        <v>383</v>
      </c>
      <c r="G6303" s="5">
        <v>1E-3</v>
      </c>
      <c r="H6303" s="6" t="s">
        <v>88</v>
      </c>
      <c r="I6303" s="3" t="s">
        <v>45</v>
      </c>
    </row>
    <row r="6304" spans="1:9" ht="48" customHeight="1">
      <c r="A6304" s="3" t="s">
        <v>79</v>
      </c>
      <c r="B6304" s="3" t="s">
        <v>78</v>
      </c>
      <c r="C6304" s="4">
        <v>43466</v>
      </c>
      <c r="D6304" s="4">
        <v>43496</v>
      </c>
      <c r="E6304" s="3" t="s">
        <v>364</v>
      </c>
      <c r="F6304" s="3" t="s">
        <v>262</v>
      </c>
      <c r="G6304" s="5">
        <v>0.12</v>
      </c>
      <c r="H6304" s="6" t="s">
        <v>89</v>
      </c>
      <c r="I6304" s="3" t="s">
        <v>45</v>
      </c>
    </row>
    <row r="6305" spans="1:9" ht="48" customHeight="1">
      <c r="A6305" s="3" t="s">
        <v>79</v>
      </c>
      <c r="B6305" s="3" t="s">
        <v>78</v>
      </c>
      <c r="C6305" s="4">
        <v>43466</v>
      </c>
      <c r="D6305" s="4">
        <v>43496</v>
      </c>
      <c r="E6305" s="3" t="s">
        <v>364</v>
      </c>
      <c r="F6305" s="3" t="s">
        <v>366</v>
      </c>
      <c r="G6305" s="5">
        <v>7.6999999999999999E-2</v>
      </c>
      <c r="H6305" s="6" t="s">
        <v>89</v>
      </c>
      <c r="I6305" s="3" t="s">
        <v>45</v>
      </c>
    </row>
    <row r="6306" spans="1:9" ht="48" customHeight="1">
      <c r="A6306" s="3" t="s">
        <v>79</v>
      </c>
      <c r="B6306" s="3" t="s">
        <v>78</v>
      </c>
      <c r="C6306" s="4">
        <v>43466</v>
      </c>
      <c r="D6306" s="4">
        <v>43496</v>
      </c>
      <c r="E6306" s="3" t="s">
        <v>364</v>
      </c>
      <c r="F6306" s="3" t="s">
        <v>365</v>
      </c>
      <c r="G6306" s="5">
        <v>5.2999999999999999E-2</v>
      </c>
      <c r="H6306" s="6" t="s">
        <v>89</v>
      </c>
      <c r="I6306" s="3" t="s">
        <v>45</v>
      </c>
    </row>
    <row r="6307" spans="1:9" ht="48" customHeight="1">
      <c r="A6307" s="3" t="s">
        <v>79</v>
      </c>
      <c r="B6307" s="3" t="s">
        <v>78</v>
      </c>
      <c r="C6307" s="4">
        <v>43466</v>
      </c>
      <c r="D6307" s="4">
        <v>43496</v>
      </c>
      <c r="E6307" s="3" t="s">
        <v>364</v>
      </c>
      <c r="F6307" s="3" t="s">
        <v>234</v>
      </c>
      <c r="G6307" s="5">
        <v>0.05</v>
      </c>
      <c r="H6307" s="6" t="s">
        <v>89</v>
      </c>
      <c r="I6307" s="3" t="s">
        <v>45</v>
      </c>
    </row>
    <row r="6308" spans="1:9" ht="48" customHeight="1">
      <c r="A6308" s="3" t="s">
        <v>79</v>
      </c>
      <c r="B6308" s="3" t="s">
        <v>78</v>
      </c>
      <c r="C6308" s="4">
        <v>43466</v>
      </c>
      <c r="D6308" s="4">
        <v>43496</v>
      </c>
      <c r="E6308" s="3" t="s">
        <v>364</v>
      </c>
      <c r="F6308" s="3" t="s">
        <v>367</v>
      </c>
      <c r="G6308" s="5">
        <v>2.7999999999999997E-2</v>
      </c>
      <c r="H6308" s="6" t="s">
        <v>89</v>
      </c>
      <c r="I6308" s="3" t="s">
        <v>45</v>
      </c>
    </row>
    <row r="6309" spans="1:9" ht="48" customHeight="1">
      <c r="A6309" s="3" t="s">
        <v>79</v>
      </c>
      <c r="B6309" s="3" t="s">
        <v>78</v>
      </c>
      <c r="C6309" s="4">
        <v>43466</v>
      </c>
      <c r="D6309" s="4">
        <v>43496</v>
      </c>
      <c r="E6309" s="3" t="s">
        <v>364</v>
      </c>
      <c r="F6309" s="3" t="s">
        <v>232</v>
      </c>
      <c r="G6309" s="5">
        <v>2.6000000000000002E-2</v>
      </c>
      <c r="H6309" s="6" t="s">
        <v>89</v>
      </c>
      <c r="I6309" s="3" t="s">
        <v>45</v>
      </c>
    </row>
    <row r="6310" spans="1:9" ht="48" customHeight="1">
      <c r="A6310" s="3" t="s">
        <v>79</v>
      </c>
      <c r="B6310" s="3" t="s">
        <v>78</v>
      </c>
      <c r="C6310" s="4">
        <v>43466</v>
      </c>
      <c r="D6310" s="4">
        <v>43496</v>
      </c>
      <c r="E6310" s="3" t="s">
        <v>364</v>
      </c>
      <c r="F6310" s="3" t="s">
        <v>265</v>
      </c>
      <c r="G6310" s="5">
        <v>1.4999999999999999E-2</v>
      </c>
      <c r="H6310" s="6" t="s">
        <v>89</v>
      </c>
      <c r="I6310" s="3" t="s">
        <v>45</v>
      </c>
    </row>
    <row r="6311" spans="1:9" ht="48" customHeight="1">
      <c r="A6311" s="3" t="s">
        <v>79</v>
      </c>
      <c r="B6311" s="3" t="s">
        <v>78</v>
      </c>
      <c r="C6311" s="4">
        <v>43466</v>
      </c>
      <c r="D6311" s="4">
        <v>43496</v>
      </c>
      <c r="E6311" s="3" t="s">
        <v>364</v>
      </c>
      <c r="F6311" s="3" t="s">
        <v>230</v>
      </c>
      <c r="G6311" s="5">
        <v>1.1000000000000001E-2</v>
      </c>
      <c r="H6311" s="6" t="s">
        <v>89</v>
      </c>
      <c r="I6311" s="3" t="s">
        <v>45</v>
      </c>
    </row>
    <row r="6312" spans="1:9" ht="48" customHeight="1">
      <c r="A6312" s="3" t="s">
        <v>79</v>
      </c>
      <c r="B6312" s="3" t="s">
        <v>78</v>
      </c>
      <c r="C6312" s="4">
        <v>43466</v>
      </c>
      <c r="D6312" s="4">
        <v>43496</v>
      </c>
      <c r="E6312" s="3" t="s">
        <v>81</v>
      </c>
      <c r="F6312" s="3" t="s">
        <v>325</v>
      </c>
      <c r="G6312" s="5">
        <v>0.06</v>
      </c>
      <c r="H6312" s="6" t="s">
        <v>89</v>
      </c>
      <c r="I6312" s="3" t="s">
        <v>45</v>
      </c>
    </row>
    <row r="6313" spans="1:9" ht="48" customHeight="1">
      <c r="A6313" s="3" t="s">
        <v>79</v>
      </c>
      <c r="B6313" s="3" t="s">
        <v>78</v>
      </c>
      <c r="C6313" s="4">
        <v>43466</v>
      </c>
      <c r="D6313" s="4">
        <v>43496</v>
      </c>
      <c r="E6313" s="3" t="s">
        <v>81</v>
      </c>
      <c r="F6313" s="3" t="s">
        <v>336</v>
      </c>
      <c r="G6313" s="5">
        <v>5.2999999999999999E-2</v>
      </c>
      <c r="H6313" s="6" t="s">
        <v>89</v>
      </c>
      <c r="I6313" s="3" t="s">
        <v>45</v>
      </c>
    </row>
    <row r="6314" spans="1:9" ht="48" customHeight="1">
      <c r="A6314" s="3" t="s">
        <v>79</v>
      </c>
      <c r="B6314" s="3" t="s">
        <v>78</v>
      </c>
      <c r="C6314" s="4">
        <v>43466</v>
      </c>
      <c r="D6314" s="4">
        <v>43496</v>
      </c>
      <c r="E6314" s="3" t="s">
        <v>81</v>
      </c>
      <c r="F6314" s="3" t="s">
        <v>330</v>
      </c>
      <c r="G6314" s="5">
        <v>3.5000000000000003E-2</v>
      </c>
      <c r="H6314" s="6" t="s">
        <v>89</v>
      </c>
      <c r="I6314" s="3" t="s">
        <v>45</v>
      </c>
    </row>
    <row r="6315" spans="1:9" ht="48" customHeight="1">
      <c r="A6315" s="3" t="s">
        <v>79</v>
      </c>
      <c r="B6315" s="3" t="s">
        <v>78</v>
      </c>
      <c r="C6315" s="4">
        <v>43466</v>
      </c>
      <c r="D6315" s="4">
        <v>43496</v>
      </c>
      <c r="E6315" s="3" t="s">
        <v>81</v>
      </c>
      <c r="F6315" s="3" t="s">
        <v>332</v>
      </c>
      <c r="G6315" s="5">
        <v>0.03</v>
      </c>
      <c r="H6315" s="6" t="s">
        <v>89</v>
      </c>
      <c r="I6315" s="3" t="s">
        <v>45</v>
      </c>
    </row>
    <row r="6316" spans="1:9" ht="48" customHeight="1">
      <c r="A6316" s="3" t="s">
        <v>79</v>
      </c>
      <c r="B6316" s="3" t="s">
        <v>78</v>
      </c>
      <c r="C6316" s="4">
        <v>43466</v>
      </c>
      <c r="D6316" s="4">
        <v>43496</v>
      </c>
      <c r="E6316" s="3" t="s">
        <v>81</v>
      </c>
      <c r="F6316" s="3" t="s">
        <v>343</v>
      </c>
      <c r="G6316" s="5">
        <v>2.2000000000000002E-2</v>
      </c>
      <c r="H6316" s="6" t="s">
        <v>89</v>
      </c>
      <c r="I6316" s="3" t="s">
        <v>45</v>
      </c>
    </row>
    <row r="6317" spans="1:9" ht="48" customHeight="1">
      <c r="A6317" s="3" t="s">
        <v>79</v>
      </c>
      <c r="B6317" s="3" t="s">
        <v>78</v>
      </c>
      <c r="C6317" s="4">
        <v>43466</v>
      </c>
      <c r="D6317" s="4">
        <v>43496</v>
      </c>
      <c r="E6317" s="3" t="s">
        <v>81</v>
      </c>
      <c r="F6317" s="3" t="s">
        <v>334</v>
      </c>
      <c r="G6317" s="5">
        <v>1.9E-2</v>
      </c>
      <c r="H6317" s="6" t="s">
        <v>89</v>
      </c>
      <c r="I6317" s="3" t="s">
        <v>45</v>
      </c>
    </row>
    <row r="6318" spans="1:9" ht="48" customHeight="1">
      <c r="A6318" s="3" t="s">
        <v>79</v>
      </c>
      <c r="B6318" s="3" t="s">
        <v>78</v>
      </c>
      <c r="C6318" s="4">
        <v>43466</v>
      </c>
      <c r="D6318" s="4">
        <v>43496</v>
      </c>
      <c r="E6318" s="3" t="s">
        <v>81</v>
      </c>
      <c r="F6318" s="3" t="s">
        <v>328</v>
      </c>
      <c r="G6318" s="5">
        <v>1.8000000000000002E-2</v>
      </c>
      <c r="H6318" s="6" t="s">
        <v>89</v>
      </c>
      <c r="I6318" s="3" t="s">
        <v>45</v>
      </c>
    </row>
    <row r="6319" spans="1:9" ht="48" customHeight="1">
      <c r="A6319" s="3" t="s">
        <v>79</v>
      </c>
      <c r="B6319" s="3" t="s">
        <v>78</v>
      </c>
      <c r="C6319" s="4">
        <v>43466</v>
      </c>
      <c r="D6319" s="4">
        <v>43496</v>
      </c>
      <c r="E6319" s="3" t="s">
        <v>81</v>
      </c>
      <c r="F6319" s="3" t="s">
        <v>327</v>
      </c>
      <c r="G6319" s="5">
        <v>1.3999999999999999E-2</v>
      </c>
      <c r="H6319" s="6" t="s">
        <v>89</v>
      </c>
      <c r="I6319" s="3" t="s">
        <v>45</v>
      </c>
    </row>
    <row r="6320" spans="1:9" ht="48" customHeight="1">
      <c r="A6320" s="3" t="s">
        <v>79</v>
      </c>
      <c r="B6320" s="3" t="s">
        <v>78</v>
      </c>
      <c r="C6320" s="4">
        <v>43466</v>
      </c>
      <c r="D6320" s="4">
        <v>43496</v>
      </c>
      <c r="E6320" s="3" t="s">
        <v>81</v>
      </c>
      <c r="F6320" s="3" t="s">
        <v>333</v>
      </c>
      <c r="G6320" s="5">
        <v>1.3999999999999999E-2</v>
      </c>
      <c r="H6320" s="6" t="s">
        <v>89</v>
      </c>
      <c r="I6320" s="3" t="s">
        <v>45</v>
      </c>
    </row>
    <row r="6321" spans="1:9" ht="48" customHeight="1">
      <c r="A6321" s="3" t="s">
        <v>79</v>
      </c>
      <c r="B6321" s="3" t="s">
        <v>78</v>
      </c>
      <c r="C6321" s="4">
        <v>43466</v>
      </c>
      <c r="D6321" s="4">
        <v>43496</v>
      </c>
      <c r="E6321" s="3" t="s">
        <v>81</v>
      </c>
      <c r="F6321" s="3" t="s">
        <v>326</v>
      </c>
      <c r="G6321" s="5">
        <v>1.2E-2</v>
      </c>
      <c r="H6321" s="6" t="s">
        <v>89</v>
      </c>
      <c r="I6321" s="3" t="s">
        <v>45</v>
      </c>
    </row>
    <row r="6322" spans="1:9" ht="48" customHeight="1">
      <c r="A6322" s="3" t="s">
        <v>79</v>
      </c>
      <c r="B6322" s="3" t="s">
        <v>78</v>
      </c>
      <c r="C6322" s="4">
        <v>43466</v>
      </c>
      <c r="D6322" s="4">
        <v>43496</v>
      </c>
      <c r="E6322" s="3" t="s">
        <v>81</v>
      </c>
      <c r="F6322" s="3" t="s">
        <v>344</v>
      </c>
      <c r="G6322" s="5">
        <v>9.0000000000000011E-3</v>
      </c>
      <c r="H6322" s="6" t="s">
        <v>89</v>
      </c>
      <c r="I6322" s="3" t="s">
        <v>45</v>
      </c>
    </row>
    <row r="6323" spans="1:9" ht="48" customHeight="1">
      <c r="A6323" s="3" t="s">
        <v>79</v>
      </c>
      <c r="B6323" s="3" t="s">
        <v>78</v>
      </c>
      <c r="C6323" s="4">
        <v>43466</v>
      </c>
      <c r="D6323" s="4">
        <v>43496</v>
      </c>
      <c r="E6323" s="3" t="s">
        <v>81</v>
      </c>
      <c r="F6323" s="3" t="s">
        <v>331</v>
      </c>
      <c r="G6323" s="5">
        <v>6.0000000000000001E-3</v>
      </c>
      <c r="H6323" s="6" t="s">
        <v>89</v>
      </c>
      <c r="I6323" s="3" t="s">
        <v>45</v>
      </c>
    </row>
    <row r="6324" spans="1:9" ht="48" customHeight="1">
      <c r="A6324" s="3" t="s">
        <v>79</v>
      </c>
      <c r="B6324" s="3" t="s">
        <v>78</v>
      </c>
      <c r="C6324" s="4">
        <v>43466</v>
      </c>
      <c r="D6324" s="4">
        <v>43496</v>
      </c>
      <c r="E6324" s="3" t="s">
        <v>81</v>
      </c>
      <c r="F6324" s="3" t="s">
        <v>329</v>
      </c>
      <c r="G6324" s="5">
        <v>5.0000000000000001E-3</v>
      </c>
      <c r="H6324" s="6" t="s">
        <v>89</v>
      </c>
      <c r="I6324" s="3" t="s">
        <v>45</v>
      </c>
    </row>
    <row r="6325" spans="1:9" ht="48" customHeight="1">
      <c r="A6325" s="3" t="s">
        <v>79</v>
      </c>
      <c r="B6325" s="3" t="s">
        <v>78</v>
      </c>
      <c r="C6325" s="4">
        <v>43466</v>
      </c>
      <c r="D6325" s="4">
        <v>43496</v>
      </c>
      <c r="E6325" s="3" t="s">
        <v>81</v>
      </c>
      <c r="F6325" s="3" t="s">
        <v>337</v>
      </c>
      <c r="G6325" s="5">
        <v>4.0000000000000001E-3</v>
      </c>
      <c r="H6325" s="6" t="s">
        <v>89</v>
      </c>
      <c r="I6325" s="3" t="s">
        <v>45</v>
      </c>
    </row>
    <row r="6326" spans="1:9" ht="48" customHeight="1">
      <c r="A6326" s="3" t="s">
        <v>79</v>
      </c>
      <c r="B6326" s="3" t="s">
        <v>78</v>
      </c>
      <c r="C6326" s="4">
        <v>43466</v>
      </c>
      <c r="D6326" s="4">
        <v>43496</v>
      </c>
      <c r="E6326" s="3" t="s">
        <v>81</v>
      </c>
      <c r="F6326" s="3" t="s">
        <v>335</v>
      </c>
      <c r="G6326" s="5">
        <v>3.0000000000000001E-3</v>
      </c>
      <c r="H6326" s="6" t="s">
        <v>89</v>
      </c>
      <c r="I6326" s="3" t="s">
        <v>45</v>
      </c>
    </row>
    <row r="6327" spans="1:9" ht="48" customHeight="1">
      <c r="A6327" s="3" t="s">
        <v>79</v>
      </c>
      <c r="B6327" s="3" t="s">
        <v>78</v>
      </c>
      <c r="C6327" s="4">
        <v>43466</v>
      </c>
      <c r="D6327" s="4">
        <v>43496</v>
      </c>
      <c r="E6327" s="3" t="s">
        <v>81</v>
      </c>
      <c r="F6327" s="3" t="s">
        <v>338</v>
      </c>
      <c r="G6327" s="5">
        <v>3.0000000000000001E-3</v>
      </c>
      <c r="H6327" s="6" t="s">
        <v>89</v>
      </c>
      <c r="I6327" s="3" t="s">
        <v>45</v>
      </c>
    </row>
    <row r="6328" spans="1:9" ht="48" customHeight="1">
      <c r="A6328" s="3" t="s">
        <v>79</v>
      </c>
      <c r="B6328" s="3" t="s">
        <v>78</v>
      </c>
      <c r="C6328" s="4">
        <v>43466</v>
      </c>
      <c r="D6328" s="4">
        <v>43496</v>
      </c>
      <c r="E6328" s="3" t="s">
        <v>81</v>
      </c>
      <c r="F6328" s="3" t="s">
        <v>342</v>
      </c>
      <c r="G6328" s="5">
        <v>3.0000000000000001E-3</v>
      </c>
      <c r="H6328" s="6" t="s">
        <v>89</v>
      </c>
      <c r="I6328" s="3" t="s">
        <v>45</v>
      </c>
    </row>
    <row r="6329" spans="1:9" ht="48" customHeight="1">
      <c r="A6329" s="3" t="s">
        <v>79</v>
      </c>
      <c r="B6329" s="3" t="s">
        <v>78</v>
      </c>
      <c r="C6329" s="4">
        <v>43466</v>
      </c>
      <c r="D6329" s="4">
        <v>43496</v>
      </c>
      <c r="E6329" s="3" t="s">
        <v>81</v>
      </c>
      <c r="F6329" s="3" t="s">
        <v>345</v>
      </c>
      <c r="G6329" s="5">
        <v>3.0000000000000001E-3</v>
      </c>
      <c r="H6329" s="6" t="s">
        <v>89</v>
      </c>
      <c r="I6329" s="3" t="s">
        <v>45</v>
      </c>
    </row>
    <row r="6330" spans="1:9" ht="48" customHeight="1">
      <c r="A6330" s="3" t="s">
        <v>79</v>
      </c>
      <c r="B6330" s="3" t="s">
        <v>78</v>
      </c>
      <c r="C6330" s="4">
        <v>43466</v>
      </c>
      <c r="D6330" s="4">
        <v>43496</v>
      </c>
      <c r="E6330" s="3" t="s">
        <v>81</v>
      </c>
      <c r="F6330" s="3" t="s">
        <v>339</v>
      </c>
      <c r="G6330" s="5">
        <v>2E-3</v>
      </c>
      <c r="H6330" s="6" t="s">
        <v>89</v>
      </c>
      <c r="I6330" s="3" t="s">
        <v>45</v>
      </c>
    </row>
    <row r="6331" spans="1:9" ht="48" customHeight="1">
      <c r="A6331" s="3" t="s">
        <v>79</v>
      </c>
      <c r="B6331" s="3" t="s">
        <v>78</v>
      </c>
      <c r="C6331" s="4">
        <v>43466</v>
      </c>
      <c r="D6331" s="4">
        <v>43496</v>
      </c>
      <c r="E6331" s="3" t="s">
        <v>81</v>
      </c>
      <c r="F6331" s="3" t="s">
        <v>340</v>
      </c>
      <c r="G6331" s="5">
        <v>2E-3</v>
      </c>
      <c r="H6331" s="6" t="s">
        <v>89</v>
      </c>
      <c r="I6331" s="3" t="s">
        <v>45</v>
      </c>
    </row>
    <row r="6332" spans="1:9" ht="48" customHeight="1">
      <c r="A6332" s="3" t="s">
        <v>79</v>
      </c>
      <c r="B6332" s="3" t="s">
        <v>78</v>
      </c>
      <c r="C6332" s="4">
        <v>43466</v>
      </c>
      <c r="D6332" s="4">
        <v>43496</v>
      </c>
      <c r="E6332" s="3" t="s">
        <v>81</v>
      </c>
      <c r="F6332" s="3" t="s">
        <v>341</v>
      </c>
      <c r="G6332" s="5">
        <v>2E-3</v>
      </c>
      <c r="H6332" s="6" t="s">
        <v>89</v>
      </c>
      <c r="I6332" s="3" t="s">
        <v>45</v>
      </c>
    </row>
    <row r="6333" spans="1:9" ht="48" customHeight="1">
      <c r="A6333" s="3" t="s">
        <v>79</v>
      </c>
      <c r="B6333" s="3" t="s">
        <v>78</v>
      </c>
      <c r="C6333" s="4">
        <v>43466</v>
      </c>
      <c r="D6333" s="4">
        <v>43496</v>
      </c>
      <c r="E6333" s="3" t="s">
        <v>81</v>
      </c>
      <c r="F6333" s="3" t="s">
        <v>346</v>
      </c>
      <c r="G6333" s="5">
        <v>2E-3</v>
      </c>
      <c r="H6333" s="6" t="s">
        <v>89</v>
      </c>
      <c r="I6333" s="3" t="s">
        <v>45</v>
      </c>
    </row>
    <row r="6334" spans="1:9" ht="48" customHeight="1">
      <c r="A6334" s="3" t="s">
        <v>79</v>
      </c>
      <c r="B6334" s="3" t="s">
        <v>78</v>
      </c>
      <c r="C6334" s="4">
        <v>43466</v>
      </c>
      <c r="D6334" s="4">
        <v>43496</v>
      </c>
      <c r="E6334" s="3" t="s">
        <v>81</v>
      </c>
      <c r="F6334" s="3" t="s">
        <v>347</v>
      </c>
      <c r="G6334" s="5">
        <v>0</v>
      </c>
      <c r="H6334" s="6" t="s">
        <v>89</v>
      </c>
      <c r="I6334" s="3" t="s">
        <v>45</v>
      </c>
    </row>
    <row r="6335" spans="1:9" ht="48" customHeight="1">
      <c r="A6335" s="3" t="s">
        <v>79</v>
      </c>
      <c r="B6335" s="3" t="s">
        <v>78</v>
      </c>
      <c r="C6335" s="4">
        <v>43466</v>
      </c>
      <c r="D6335" s="4">
        <v>43496</v>
      </c>
      <c r="E6335" s="3" t="s">
        <v>161</v>
      </c>
      <c r="F6335" s="3" t="s">
        <v>162</v>
      </c>
      <c r="G6335" s="5">
        <v>4.0000000000000001E-3</v>
      </c>
      <c r="H6335" s="6" t="s">
        <v>89</v>
      </c>
      <c r="I6335" s="3" t="s">
        <v>45</v>
      </c>
    </row>
    <row r="6336" spans="1:9" ht="48" customHeight="1">
      <c r="A6336" s="3" t="s">
        <v>79</v>
      </c>
      <c r="B6336" s="3" t="s">
        <v>78</v>
      </c>
      <c r="C6336" s="4">
        <v>43466</v>
      </c>
      <c r="D6336" s="4">
        <v>43496</v>
      </c>
      <c r="E6336" s="3" t="s">
        <v>161</v>
      </c>
      <c r="F6336" s="3" t="s">
        <v>172</v>
      </c>
      <c r="G6336" s="5">
        <v>3.0000000000000001E-3</v>
      </c>
      <c r="H6336" s="6" t="s">
        <v>89</v>
      </c>
      <c r="I6336" s="3" t="s">
        <v>45</v>
      </c>
    </row>
    <row r="6337" spans="1:9" ht="48" customHeight="1">
      <c r="A6337" s="3" t="s">
        <v>79</v>
      </c>
      <c r="B6337" s="3" t="s">
        <v>78</v>
      </c>
      <c r="C6337" s="4">
        <v>43466</v>
      </c>
      <c r="D6337" s="4">
        <v>43496</v>
      </c>
      <c r="E6337" s="3" t="s">
        <v>161</v>
      </c>
      <c r="F6337" s="3" t="s">
        <v>166</v>
      </c>
      <c r="G6337" s="5">
        <v>3.0000000000000001E-3</v>
      </c>
      <c r="H6337" s="6" t="s">
        <v>89</v>
      </c>
      <c r="I6337" s="3" t="s">
        <v>45</v>
      </c>
    </row>
    <row r="6338" spans="1:9" ht="48" customHeight="1">
      <c r="A6338" s="3" t="s">
        <v>79</v>
      </c>
      <c r="B6338" s="3" t="s">
        <v>78</v>
      </c>
      <c r="C6338" s="4">
        <v>43466</v>
      </c>
      <c r="D6338" s="4">
        <v>43496</v>
      </c>
      <c r="E6338" s="3" t="s">
        <v>161</v>
      </c>
      <c r="F6338" s="3" t="s">
        <v>167</v>
      </c>
      <c r="G6338" s="5">
        <v>2E-3</v>
      </c>
      <c r="H6338" s="6" t="s">
        <v>89</v>
      </c>
      <c r="I6338" s="3" t="s">
        <v>45</v>
      </c>
    </row>
    <row r="6339" spans="1:9" ht="48" customHeight="1">
      <c r="A6339" s="3" t="s">
        <v>79</v>
      </c>
      <c r="B6339" s="3" t="s">
        <v>78</v>
      </c>
      <c r="C6339" s="4">
        <v>43466</v>
      </c>
      <c r="D6339" s="4">
        <v>43496</v>
      </c>
      <c r="E6339" s="3" t="s">
        <v>161</v>
      </c>
      <c r="F6339" s="3" t="s">
        <v>168</v>
      </c>
      <c r="G6339" s="5">
        <v>2E-3</v>
      </c>
      <c r="H6339" s="6" t="s">
        <v>89</v>
      </c>
      <c r="I6339" s="3" t="s">
        <v>45</v>
      </c>
    </row>
    <row r="6340" spans="1:9" ht="48" customHeight="1">
      <c r="A6340" s="3" t="s">
        <v>79</v>
      </c>
      <c r="B6340" s="3" t="s">
        <v>78</v>
      </c>
      <c r="C6340" s="4">
        <v>43466</v>
      </c>
      <c r="D6340" s="4">
        <v>43496</v>
      </c>
      <c r="E6340" s="3" t="s">
        <v>161</v>
      </c>
      <c r="F6340" s="3" t="s">
        <v>191</v>
      </c>
      <c r="G6340" s="5">
        <v>2E-3</v>
      </c>
      <c r="H6340" s="6" t="s">
        <v>89</v>
      </c>
      <c r="I6340" s="3" t="s">
        <v>45</v>
      </c>
    </row>
    <row r="6341" spans="1:9" ht="48" customHeight="1">
      <c r="A6341" s="3" t="s">
        <v>79</v>
      </c>
      <c r="B6341" s="3" t="s">
        <v>78</v>
      </c>
      <c r="C6341" s="4">
        <v>43466</v>
      </c>
      <c r="D6341" s="4">
        <v>43496</v>
      </c>
      <c r="E6341" s="3" t="s">
        <v>161</v>
      </c>
      <c r="F6341" s="3" t="s">
        <v>169</v>
      </c>
      <c r="G6341" s="5">
        <v>2E-3</v>
      </c>
      <c r="H6341" s="6" t="s">
        <v>89</v>
      </c>
      <c r="I6341" s="3" t="s">
        <v>45</v>
      </c>
    </row>
    <row r="6342" spans="1:9" ht="48" customHeight="1">
      <c r="A6342" s="3" t="s">
        <v>79</v>
      </c>
      <c r="B6342" s="3" t="s">
        <v>78</v>
      </c>
      <c r="C6342" s="4">
        <v>43466</v>
      </c>
      <c r="D6342" s="4">
        <v>43496</v>
      </c>
      <c r="E6342" s="3" t="s">
        <v>161</v>
      </c>
      <c r="F6342" s="3" t="s">
        <v>170</v>
      </c>
      <c r="G6342" s="5">
        <v>2E-3</v>
      </c>
      <c r="H6342" s="6" t="s">
        <v>89</v>
      </c>
      <c r="I6342" s="3" t="s">
        <v>45</v>
      </c>
    </row>
    <row r="6343" spans="1:9" ht="48" customHeight="1">
      <c r="A6343" s="3" t="s">
        <v>79</v>
      </c>
      <c r="B6343" s="3" t="s">
        <v>78</v>
      </c>
      <c r="C6343" s="4">
        <v>43466</v>
      </c>
      <c r="D6343" s="4">
        <v>43496</v>
      </c>
      <c r="E6343" s="3" t="s">
        <v>161</v>
      </c>
      <c r="F6343" s="3" t="s">
        <v>163</v>
      </c>
      <c r="G6343" s="5">
        <v>2E-3</v>
      </c>
      <c r="H6343" s="6" t="s">
        <v>89</v>
      </c>
      <c r="I6343" s="3" t="s">
        <v>45</v>
      </c>
    </row>
    <row r="6344" spans="1:9" ht="48" customHeight="1">
      <c r="A6344" s="3" t="s">
        <v>79</v>
      </c>
      <c r="B6344" s="3" t="s">
        <v>78</v>
      </c>
      <c r="C6344" s="4">
        <v>43466</v>
      </c>
      <c r="D6344" s="4">
        <v>43496</v>
      </c>
      <c r="E6344" s="3" t="s">
        <v>161</v>
      </c>
      <c r="F6344" s="3" t="s">
        <v>180</v>
      </c>
      <c r="G6344" s="5">
        <v>2E-3</v>
      </c>
      <c r="H6344" s="6" t="s">
        <v>89</v>
      </c>
      <c r="I6344" s="3" t="s">
        <v>45</v>
      </c>
    </row>
    <row r="6345" spans="1:9" ht="48" customHeight="1">
      <c r="A6345" s="3" t="s">
        <v>79</v>
      </c>
      <c r="B6345" s="3" t="s">
        <v>78</v>
      </c>
      <c r="C6345" s="4">
        <v>43466</v>
      </c>
      <c r="D6345" s="4">
        <v>43496</v>
      </c>
      <c r="E6345" s="3" t="s">
        <v>161</v>
      </c>
      <c r="F6345" s="3" t="s">
        <v>181</v>
      </c>
      <c r="G6345" s="5">
        <v>2E-3</v>
      </c>
      <c r="H6345" s="6" t="s">
        <v>89</v>
      </c>
      <c r="I6345" s="3" t="s">
        <v>45</v>
      </c>
    </row>
    <row r="6346" spans="1:9" ht="48" customHeight="1">
      <c r="A6346" s="3" t="s">
        <v>79</v>
      </c>
      <c r="B6346" s="3" t="s">
        <v>78</v>
      </c>
      <c r="C6346" s="4">
        <v>43466</v>
      </c>
      <c r="D6346" s="4">
        <v>43496</v>
      </c>
      <c r="E6346" s="3" t="s">
        <v>161</v>
      </c>
      <c r="F6346" s="3" t="s">
        <v>182</v>
      </c>
      <c r="G6346" s="5">
        <v>2E-3</v>
      </c>
      <c r="H6346" s="6" t="s">
        <v>89</v>
      </c>
      <c r="I6346" s="3" t="s">
        <v>45</v>
      </c>
    </row>
    <row r="6347" spans="1:9" ht="48" customHeight="1">
      <c r="A6347" s="3" t="s">
        <v>79</v>
      </c>
      <c r="B6347" s="3" t="s">
        <v>78</v>
      </c>
      <c r="C6347" s="4">
        <v>43466</v>
      </c>
      <c r="D6347" s="4">
        <v>43496</v>
      </c>
      <c r="E6347" s="3" t="s">
        <v>161</v>
      </c>
      <c r="F6347" s="3" t="s">
        <v>195</v>
      </c>
      <c r="G6347" s="5">
        <v>2E-3</v>
      </c>
      <c r="H6347" s="6" t="s">
        <v>89</v>
      </c>
      <c r="I6347" s="3" t="s">
        <v>45</v>
      </c>
    </row>
    <row r="6348" spans="1:9" ht="48" customHeight="1">
      <c r="A6348" s="3" t="s">
        <v>79</v>
      </c>
      <c r="B6348" s="3" t="s">
        <v>78</v>
      </c>
      <c r="C6348" s="4">
        <v>43466</v>
      </c>
      <c r="D6348" s="4">
        <v>43496</v>
      </c>
      <c r="E6348" s="3" t="s">
        <v>161</v>
      </c>
      <c r="F6348" s="3" t="s">
        <v>184</v>
      </c>
      <c r="G6348" s="5">
        <v>2E-3</v>
      </c>
      <c r="H6348" s="6" t="s">
        <v>89</v>
      </c>
      <c r="I6348" s="3" t="s">
        <v>45</v>
      </c>
    </row>
    <row r="6349" spans="1:9" ht="48" customHeight="1">
      <c r="A6349" s="3" t="s">
        <v>79</v>
      </c>
      <c r="B6349" s="3" t="s">
        <v>78</v>
      </c>
      <c r="C6349" s="4">
        <v>43466</v>
      </c>
      <c r="D6349" s="4">
        <v>43496</v>
      </c>
      <c r="E6349" s="3" t="s">
        <v>161</v>
      </c>
      <c r="F6349" s="3" t="s">
        <v>174</v>
      </c>
      <c r="G6349" s="5">
        <v>1E-3</v>
      </c>
      <c r="H6349" s="6" t="s">
        <v>89</v>
      </c>
      <c r="I6349" s="3" t="s">
        <v>45</v>
      </c>
    </row>
    <row r="6350" spans="1:9" ht="48" customHeight="1">
      <c r="A6350" s="3" t="s">
        <v>79</v>
      </c>
      <c r="B6350" s="3" t="s">
        <v>78</v>
      </c>
      <c r="C6350" s="4">
        <v>43466</v>
      </c>
      <c r="D6350" s="4">
        <v>43496</v>
      </c>
      <c r="E6350" s="3" t="s">
        <v>161</v>
      </c>
      <c r="F6350" s="3" t="s">
        <v>164</v>
      </c>
      <c r="G6350" s="5">
        <v>1E-3</v>
      </c>
      <c r="H6350" s="6" t="s">
        <v>89</v>
      </c>
      <c r="I6350" s="3" t="s">
        <v>45</v>
      </c>
    </row>
    <row r="6351" spans="1:9" ht="48" customHeight="1">
      <c r="A6351" s="3" t="s">
        <v>79</v>
      </c>
      <c r="B6351" s="3" t="s">
        <v>78</v>
      </c>
      <c r="C6351" s="4">
        <v>43466</v>
      </c>
      <c r="D6351" s="4">
        <v>43496</v>
      </c>
      <c r="E6351" s="3" t="s">
        <v>161</v>
      </c>
      <c r="F6351" s="3" t="s">
        <v>175</v>
      </c>
      <c r="G6351" s="5">
        <v>1E-3</v>
      </c>
      <c r="H6351" s="6" t="s">
        <v>89</v>
      </c>
      <c r="I6351" s="3" t="s">
        <v>45</v>
      </c>
    </row>
    <row r="6352" spans="1:9" ht="48" customHeight="1">
      <c r="A6352" s="3" t="s">
        <v>79</v>
      </c>
      <c r="B6352" s="3" t="s">
        <v>78</v>
      </c>
      <c r="C6352" s="4">
        <v>43466</v>
      </c>
      <c r="D6352" s="4">
        <v>43496</v>
      </c>
      <c r="E6352" s="3" t="s">
        <v>161</v>
      </c>
      <c r="F6352" s="3" t="s">
        <v>189</v>
      </c>
      <c r="G6352" s="5">
        <v>1E-3</v>
      </c>
      <c r="H6352" s="6" t="s">
        <v>89</v>
      </c>
      <c r="I6352" s="3" t="s">
        <v>45</v>
      </c>
    </row>
    <row r="6353" spans="1:9" ht="48" customHeight="1">
      <c r="A6353" s="3" t="s">
        <v>79</v>
      </c>
      <c r="B6353" s="3" t="s">
        <v>78</v>
      </c>
      <c r="C6353" s="4">
        <v>43466</v>
      </c>
      <c r="D6353" s="4">
        <v>43496</v>
      </c>
      <c r="E6353" s="3" t="s">
        <v>161</v>
      </c>
      <c r="F6353" s="3" t="s">
        <v>190</v>
      </c>
      <c r="G6353" s="5">
        <v>1E-3</v>
      </c>
      <c r="H6353" s="6" t="s">
        <v>89</v>
      </c>
      <c r="I6353" s="3" t="s">
        <v>45</v>
      </c>
    </row>
    <row r="6354" spans="1:9" ht="48" customHeight="1">
      <c r="A6354" s="3" t="s">
        <v>79</v>
      </c>
      <c r="B6354" s="3" t="s">
        <v>78</v>
      </c>
      <c r="C6354" s="4">
        <v>43466</v>
      </c>
      <c r="D6354" s="4">
        <v>43496</v>
      </c>
      <c r="E6354" s="3" t="s">
        <v>161</v>
      </c>
      <c r="F6354" s="3" t="s">
        <v>176</v>
      </c>
      <c r="G6354" s="5">
        <v>1E-3</v>
      </c>
      <c r="H6354" s="6" t="s">
        <v>89</v>
      </c>
      <c r="I6354" s="3" t="s">
        <v>45</v>
      </c>
    </row>
    <row r="6355" spans="1:9" ht="48" customHeight="1">
      <c r="A6355" s="3" t="s">
        <v>79</v>
      </c>
      <c r="B6355" s="3" t="s">
        <v>78</v>
      </c>
      <c r="C6355" s="4">
        <v>43466</v>
      </c>
      <c r="D6355" s="4">
        <v>43496</v>
      </c>
      <c r="E6355" s="3" t="s">
        <v>161</v>
      </c>
      <c r="F6355" s="3" t="s">
        <v>186</v>
      </c>
      <c r="G6355" s="5">
        <v>1E-3</v>
      </c>
      <c r="H6355" s="6" t="s">
        <v>89</v>
      </c>
      <c r="I6355" s="3" t="s">
        <v>45</v>
      </c>
    </row>
    <row r="6356" spans="1:9" ht="48" customHeight="1">
      <c r="A6356" s="3" t="s">
        <v>79</v>
      </c>
      <c r="B6356" s="3" t="s">
        <v>78</v>
      </c>
      <c r="C6356" s="4">
        <v>43466</v>
      </c>
      <c r="D6356" s="4">
        <v>43496</v>
      </c>
      <c r="E6356" s="3" t="s">
        <v>161</v>
      </c>
      <c r="F6356" s="3" t="s">
        <v>171</v>
      </c>
      <c r="G6356" s="5">
        <v>1E-3</v>
      </c>
      <c r="H6356" s="6" t="s">
        <v>89</v>
      </c>
      <c r="I6356" s="3" t="s">
        <v>45</v>
      </c>
    </row>
    <row r="6357" spans="1:9" ht="48" customHeight="1">
      <c r="A6357" s="3" t="s">
        <v>79</v>
      </c>
      <c r="B6357" s="3" t="s">
        <v>78</v>
      </c>
      <c r="C6357" s="4">
        <v>43466</v>
      </c>
      <c r="D6357" s="4">
        <v>43496</v>
      </c>
      <c r="E6357" s="3" t="s">
        <v>161</v>
      </c>
      <c r="F6357" s="3" t="s">
        <v>177</v>
      </c>
      <c r="G6357" s="5">
        <v>1E-3</v>
      </c>
      <c r="H6357" s="6" t="s">
        <v>89</v>
      </c>
      <c r="I6357" s="3" t="s">
        <v>45</v>
      </c>
    </row>
    <row r="6358" spans="1:9" ht="48" customHeight="1">
      <c r="A6358" s="3" t="s">
        <v>79</v>
      </c>
      <c r="B6358" s="3" t="s">
        <v>78</v>
      </c>
      <c r="C6358" s="4">
        <v>43466</v>
      </c>
      <c r="D6358" s="4">
        <v>43496</v>
      </c>
      <c r="E6358" s="3" t="s">
        <v>161</v>
      </c>
      <c r="F6358" s="3" t="s">
        <v>187</v>
      </c>
      <c r="G6358" s="5">
        <v>1E-3</v>
      </c>
      <c r="H6358" s="6" t="s">
        <v>89</v>
      </c>
      <c r="I6358" s="3" t="s">
        <v>45</v>
      </c>
    </row>
    <row r="6359" spans="1:9" ht="48" customHeight="1">
      <c r="A6359" s="3" t="s">
        <v>79</v>
      </c>
      <c r="B6359" s="3" t="s">
        <v>78</v>
      </c>
      <c r="C6359" s="4">
        <v>43466</v>
      </c>
      <c r="D6359" s="4">
        <v>43496</v>
      </c>
      <c r="E6359" s="3" t="s">
        <v>161</v>
      </c>
      <c r="F6359" s="3" t="s">
        <v>192</v>
      </c>
      <c r="G6359" s="5">
        <v>1E-3</v>
      </c>
      <c r="H6359" s="6" t="s">
        <v>89</v>
      </c>
      <c r="I6359" s="3" t="s">
        <v>45</v>
      </c>
    </row>
    <row r="6360" spans="1:9" ht="48" customHeight="1">
      <c r="A6360" s="3" t="s">
        <v>79</v>
      </c>
      <c r="B6360" s="3" t="s">
        <v>78</v>
      </c>
      <c r="C6360" s="4">
        <v>43466</v>
      </c>
      <c r="D6360" s="4">
        <v>43496</v>
      </c>
      <c r="E6360" s="3" t="s">
        <v>161</v>
      </c>
      <c r="F6360" s="3" t="s">
        <v>193</v>
      </c>
      <c r="G6360" s="5">
        <v>1E-3</v>
      </c>
      <c r="H6360" s="6" t="s">
        <v>89</v>
      </c>
      <c r="I6360" s="3" t="s">
        <v>45</v>
      </c>
    </row>
    <row r="6361" spans="1:9" ht="48" customHeight="1">
      <c r="A6361" s="3" t="s">
        <v>79</v>
      </c>
      <c r="B6361" s="3" t="s">
        <v>78</v>
      </c>
      <c r="C6361" s="4">
        <v>43466</v>
      </c>
      <c r="D6361" s="4">
        <v>43496</v>
      </c>
      <c r="E6361" s="3" t="s">
        <v>161</v>
      </c>
      <c r="F6361" s="3" t="s">
        <v>178</v>
      </c>
      <c r="G6361" s="5">
        <v>1E-3</v>
      </c>
      <c r="H6361" s="6" t="s">
        <v>89</v>
      </c>
      <c r="I6361" s="3" t="s">
        <v>45</v>
      </c>
    </row>
    <row r="6362" spans="1:9" ht="48" customHeight="1">
      <c r="A6362" s="3" t="s">
        <v>79</v>
      </c>
      <c r="B6362" s="3" t="s">
        <v>78</v>
      </c>
      <c r="C6362" s="4">
        <v>43466</v>
      </c>
      <c r="D6362" s="4">
        <v>43496</v>
      </c>
      <c r="E6362" s="3" t="s">
        <v>161</v>
      </c>
      <c r="F6362" s="3" t="s">
        <v>179</v>
      </c>
      <c r="G6362" s="5">
        <v>1E-3</v>
      </c>
      <c r="H6362" s="6" t="s">
        <v>89</v>
      </c>
      <c r="I6362" s="3" t="s">
        <v>45</v>
      </c>
    </row>
    <row r="6363" spans="1:9" ht="48" customHeight="1">
      <c r="A6363" s="3" t="s">
        <v>79</v>
      </c>
      <c r="B6363" s="3" t="s">
        <v>78</v>
      </c>
      <c r="C6363" s="4">
        <v>43466</v>
      </c>
      <c r="D6363" s="4">
        <v>43496</v>
      </c>
      <c r="E6363" s="3" t="s">
        <v>161</v>
      </c>
      <c r="F6363" s="3" t="s">
        <v>188</v>
      </c>
      <c r="G6363" s="5">
        <v>1E-3</v>
      </c>
      <c r="H6363" s="6" t="s">
        <v>89</v>
      </c>
      <c r="I6363" s="3" t="s">
        <v>45</v>
      </c>
    </row>
    <row r="6364" spans="1:9" ht="48" customHeight="1">
      <c r="A6364" s="3" t="s">
        <v>79</v>
      </c>
      <c r="B6364" s="3" t="s">
        <v>78</v>
      </c>
      <c r="C6364" s="4">
        <v>43466</v>
      </c>
      <c r="D6364" s="4">
        <v>43496</v>
      </c>
      <c r="E6364" s="3" t="s">
        <v>161</v>
      </c>
      <c r="F6364" s="3" t="s">
        <v>183</v>
      </c>
      <c r="G6364" s="5">
        <v>1E-3</v>
      </c>
      <c r="H6364" s="6" t="s">
        <v>89</v>
      </c>
      <c r="I6364" s="3" t="s">
        <v>45</v>
      </c>
    </row>
    <row r="6365" spans="1:9" ht="48" customHeight="1">
      <c r="A6365" s="3" t="s">
        <v>79</v>
      </c>
      <c r="B6365" s="3" t="s">
        <v>78</v>
      </c>
      <c r="C6365" s="4">
        <v>43466</v>
      </c>
      <c r="D6365" s="4">
        <v>43496</v>
      </c>
      <c r="E6365" s="3" t="s">
        <v>161</v>
      </c>
      <c r="F6365" s="3" t="s">
        <v>173</v>
      </c>
      <c r="G6365" s="5">
        <v>1E-3</v>
      </c>
      <c r="H6365" s="6" t="s">
        <v>89</v>
      </c>
      <c r="I6365" s="3" t="s">
        <v>45</v>
      </c>
    </row>
    <row r="6366" spans="1:9" ht="48" customHeight="1">
      <c r="A6366" s="3" t="s">
        <v>79</v>
      </c>
      <c r="B6366" s="3" t="s">
        <v>78</v>
      </c>
      <c r="C6366" s="4">
        <v>43466</v>
      </c>
      <c r="D6366" s="4">
        <v>43496</v>
      </c>
      <c r="E6366" s="3" t="s">
        <v>161</v>
      </c>
      <c r="F6366" s="3" t="s">
        <v>196</v>
      </c>
      <c r="G6366" s="5">
        <v>1E-3</v>
      </c>
      <c r="H6366" s="6" t="s">
        <v>89</v>
      </c>
      <c r="I6366" s="3" t="s">
        <v>45</v>
      </c>
    </row>
    <row r="6367" spans="1:9" ht="48" customHeight="1">
      <c r="A6367" s="3" t="s">
        <v>79</v>
      </c>
      <c r="B6367" s="3" t="s">
        <v>78</v>
      </c>
      <c r="C6367" s="4">
        <v>43466</v>
      </c>
      <c r="D6367" s="4">
        <v>43496</v>
      </c>
      <c r="E6367" s="3" t="s">
        <v>161</v>
      </c>
      <c r="F6367" s="3" t="s">
        <v>199</v>
      </c>
      <c r="G6367" s="5">
        <v>1E-3</v>
      </c>
      <c r="H6367" s="6" t="s">
        <v>89</v>
      </c>
      <c r="I6367" s="3" t="s">
        <v>45</v>
      </c>
    </row>
    <row r="6368" spans="1:9" ht="48" customHeight="1">
      <c r="A6368" s="3" t="s">
        <v>79</v>
      </c>
      <c r="B6368" s="3" t="s">
        <v>78</v>
      </c>
      <c r="C6368" s="4">
        <v>43466</v>
      </c>
      <c r="D6368" s="4">
        <v>43496</v>
      </c>
      <c r="E6368" s="3" t="s">
        <v>161</v>
      </c>
      <c r="F6368" s="3" t="s">
        <v>200</v>
      </c>
      <c r="G6368" s="5">
        <v>1E-3</v>
      </c>
      <c r="H6368" s="6" t="s">
        <v>89</v>
      </c>
      <c r="I6368" s="3" t="s">
        <v>45</v>
      </c>
    </row>
    <row r="6369" spans="1:9" ht="48" customHeight="1">
      <c r="A6369" s="3" t="s">
        <v>79</v>
      </c>
      <c r="B6369" s="3" t="s">
        <v>78</v>
      </c>
      <c r="C6369" s="4">
        <v>43466</v>
      </c>
      <c r="D6369" s="4">
        <v>43496</v>
      </c>
      <c r="E6369" s="3" t="s">
        <v>161</v>
      </c>
      <c r="F6369" s="3" t="s">
        <v>201</v>
      </c>
      <c r="G6369" s="5">
        <v>1E-3</v>
      </c>
      <c r="H6369" s="6" t="s">
        <v>89</v>
      </c>
      <c r="I6369" s="3" t="s">
        <v>45</v>
      </c>
    </row>
    <row r="6370" spans="1:9" ht="48" customHeight="1">
      <c r="A6370" s="3" t="s">
        <v>79</v>
      </c>
      <c r="B6370" s="3" t="s">
        <v>78</v>
      </c>
      <c r="C6370" s="4">
        <v>43466</v>
      </c>
      <c r="D6370" s="4">
        <v>43496</v>
      </c>
      <c r="E6370" s="3" t="s">
        <v>161</v>
      </c>
      <c r="F6370" s="3" t="s">
        <v>202</v>
      </c>
      <c r="G6370" s="5">
        <v>0</v>
      </c>
      <c r="H6370" s="6" t="s">
        <v>89</v>
      </c>
      <c r="I6370" s="3" t="s">
        <v>45</v>
      </c>
    </row>
    <row r="6371" spans="1:9" ht="48" customHeight="1">
      <c r="A6371" s="3" t="s">
        <v>79</v>
      </c>
      <c r="B6371" s="3" t="s">
        <v>78</v>
      </c>
      <c r="C6371" s="4">
        <v>43466</v>
      </c>
      <c r="D6371" s="4">
        <v>43496</v>
      </c>
      <c r="E6371" s="3" t="s">
        <v>161</v>
      </c>
      <c r="F6371" s="3" t="s">
        <v>198</v>
      </c>
      <c r="G6371" s="5">
        <v>0</v>
      </c>
      <c r="H6371" s="6" t="s">
        <v>89</v>
      </c>
      <c r="I6371" s="3" t="s">
        <v>45</v>
      </c>
    </row>
    <row r="6372" spans="1:9" ht="48" customHeight="1">
      <c r="A6372" s="3" t="s">
        <v>79</v>
      </c>
      <c r="B6372" s="3" t="s">
        <v>78</v>
      </c>
      <c r="C6372" s="4">
        <v>43466</v>
      </c>
      <c r="D6372" s="4">
        <v>43496</v>
      </c>
      <c r="E6372" s="3" t="s">
        <v>161</v>
      </c>
      <c r="F6372" s="3" t="s">
        <v>194</v>
      </c>
      <c r="G6372" s="5">
        <v>0</v>
      </c>
      <c r="H6372" s="6" t="s">
        <v>89</v>
      </c>
      <c r="I6372" s="3" t="s">
        <v>45</v>
      </c>
    </row>
    <row r="6373" spans="1:9" ht="48" customHeight="1">
      <c r="A6373" s="3" t="s">
        <v>79</v>
      </c>
      <c r="B6373" s="3" t="s">
        <v>78</v>
      </c>
      <c r="C6373" s="4">
        <v>43466</v>
      </c>
      <c r="D6373" s="4">
        <v>43496</v>
      </c>
      <c r="E6373" s="3" t="s">
        <v>161</v>
      </c>
      <c r="F6373" s="3" t="s">
        <v>203</v>
      </c>
      <c r="G6373" s="5">
        <v>0</v>
      </c>
      <c r="H6373" s="6" t="s">
        <v>89</v>
      </c>
      <c r="I6373" s="3" t="s">
        <v>45</v>
      </c>
    </row>
    <row r="6374" spans="1:9" ht="48" customHeight="1">
      <c r="A6374" s="3" t="s">
        <v>79</v>
      </c>
      <c r="B6374" s="3" t="s">
        <v>78</v>
      </c>
      <c r="C6374" s="4">
        <v>43466</v>
      </c>
      <c r="D6374" s="4">
        <v>43496</v>
      </c>
      <c r="E6374" s="3" t="s">
        <v>161</v>
      </c>
      <c r="F6374" s="3" t="s">
        <v>204</v>
      </c>
      <c r="G6374" s="5">
        <v>0</v>
      </c>
      <c r="H6374" s="6" t="s">
        <v>89</v>
      </c>
      <c r="I6374" s="3" t="s">
        <v>45</v>
      </c>
    </row>
    <row r="6375" spans="1:9" ht="48" customHeight="1">
      <c r="A6375" s="3" t="s">
        <v>79</v>
      </c>
      <c r="B6375" s="3" t="s">
        <v>78</v>
      </c>
      <c r="C6375" s="4">
        <v>43466</v>
      </c>
      <c r="D6375" s="4">
        <v>43496</v>
      </c>
      <c r="E6375" s="3" t="s">
        <v>368</v>
      </c>
      <c r="F6375" s="3" t="s">
        <v>370</v>
      </c>
      <c r="G6375" s="5">
        <v>0.01</v>
      </c>
      <c r="H6375" s="6" t="s">
        <v>89</v>
      </c>
      <c r="I6375" s="3" t="s">
        <v>45</v>
      </c>
    </row>
    <row r="6376" spans="1:9" ht="48" customHeight="1">
      <c r="A6376" s="3" t="s">
        <v>79</v>
      </c>
      <c r="B6376" s="3" t="s">
        <v>78</v>
      </c>
      <c r="C6376" s="4">
        <v>43466</v>
      </c>
      <c r="D6376" s="4">
        <v>43496</v>
      </c>
      <c r="E6376" s="3" t="s">
        <v>368</v>
      </c>
      <c r="F6376" s="3" t="s">
        <v>265</v>
      </c>
      <c r="G6376" s="5">
        <v>5.0000000000000001E-3</v>
      </c>
      <c r="H6376" s="6" t="s">
        <v>89</v>
      </c>
      <c r="I6376" s="3" t="s">
        <v>45</v>
      </c>
    </row>
    <row r="6377" spans="1:9" ht="48" customHeight="1">
      <c r="A6377" s="3" t="s">
        <v>79</v>
      </c>
      <c r="B6377" s="3" t="s">
        <v>78</v>
      </c>
      <c r="C6377" s="4">
        <v>43466</v>
      </c>
      <c r="D6377" s="4">
        <v>43496</v>
      </c>
      <c r="E6377" s="3" t="s">
        <v>368</v>
      </c>
      <c r="F6377" s="3" t="s">
        <v>374</v>
      </c>
      <c r="G6377" s="5">
        <v>5.0000000000000001E-3</v>
      </c>
      <c r="H6377" s="6" t="s">
        <v>89</v>
      </c>
      <c r="I6377" s="3" t="s">
        <v>45</v>
      </c>
    </row>
    <row r="6378" spans="1:9" ht="48" customHeight="1">
      <c r="A6378" s="3" t="s">
        <v>79</v>
      </c>
      <c r="B6378" s="3" t="s">
        <v>78</v>
      </c>
      <c r="C6378" s="4">
        <v>43466</v>
      </c>
      <c r="D6378" s="4">
        <v>43496</v>
      </c>
      <c r="E6378" s="3" t="s">
        <v>368</v>
      </c>
      <c r="F6378" s="3" t="s">
        <v>369</v>
      </c>
      <c r="G6378" s="5">
        <v>4.0000000000000001E-3</v>
      </c>
      <c r="H6378" s="6" t="s">
        <v>89</v>
      </c>
      <c r="I6378" s="3" t="s">
        <v>45</v>
      </c>
    </row>
    <row r="6379" spans="1:9" ht="48" customHeight="1">
      <c r="A6379" s="3" t="s">
        <v>79</v>
      </c>
      <c r="B6379" s="3" t="s">
        <v>78</v>
      </c>
      <c r="C6379" s="4">
        <v>43466</v>
      </c>
      <c r="D6379" s="4">
        <v>43496</v>
      </c>
      <c r="E6379" s="3" t="s">
        <v>368</v>
      </c>
      <c r="F6379" s="3" t="s">
        <v>373</v>
      </c>
      <c r="G6379" s="5">
        <v>4.0000000000000001E-3</v>
      </c>
      <c r="H6379" s="6" t="s">
        <v>89</v>
      </c>
      <c r="I6379" s="3" t="s">
        <v>45</v>
      </c>
    </row>
    <row r="6380" spans="1:9" ht="48" customHeight="1">
      <c r="A6380" s="3" t="s">
        <v>79</v>
      </c>
      <c r="B6380" s="3" t="s">
        <v>78</v>
      </c>
      <c r="C6380" s="4">
        <v>43466</v>
      </c>
      <c r="D6380" s="4">
        <v>43496</v>
      </c>
      <c r="E6380" s="3" t="s">
        <v>368</v>
      </c>
      <c r="F6380" s="3" t="s">
        <v>378</v>
      </c>
      <c r="G6380" s="5">
        <v>4.0000000000000001E-3</v>
      </c>
      <c r="H6380" s="6" t="s">
        <v>89</v>
      </c>
      <c r="I6380" s="3" t="s">
        <v>45</v>
      </c>
    </row>
    <row r="6381" spans="1:9" ht="48" customHeight="1">
      <c r="A6381" s="3" t="s">
        <v>79</v>
      </c>
      <c r="B6381" s="3" t="s">
        <v>78</v>
      </c>
      <c r="C6381" s="4">
        <v>43466</v>
      </c>
      <c r="D6381" s="4">
        <v>43496</v>
      </c>
      <c r="E6381" s="3" t="s">
        <v>368</v>
      </c>
      <c r="F6381" s="3" t="s">
        <v>262</v>
      </c>
      <c r="G6381" s="5">
        <v>3.0000000000000001E-3</v>
      </c>
      <c r="H6381" s="6" t="s">
        <v>89</v>
      </c>
      <c r="I6381" s="3" t="s">
        <v>45</v>
      </c>
    </row>
    <row r="6382" spans="1:9" ht="48" customHeight="1">
      <c r="A6382" s="3" t="s">
        <v>79</v>
      </c>
      <c r="B6382" s="3" t="s">
        <v>78</v>
      </c>
      <c r="C6382" s="4">
        <v>43466</v>
      </c>
      <c r="D6382" s="4">
        <v>43496</v>
      </c>
      <c r="E6382" s="3" t="s">
        <v>368</v>
      </c>
      <c r="F6382" s="3" t="s">
        <v>371</v>
      </c>
      <c r="G6382" s="5">
        <v>3.0000000000000001E-3</v>
      </c>
      <c r="H6382" s="6" t="s">
        <v>89</v>
      </c>
      <c r="I6382" s="3" t="s">
        <v>45</v>
      </c>
    </row>
    <row r="6383" spans="1:9" ht="48" customHeight="1">
      <c r="A6383" s="3" t="s">
        <v>79</v>
      </c>
      <c r="B6383" s="3" t="s">
        <v>78</v>
      </c>
      <c r="C6383" s="4">
        <v>43466</v>
      </c>
      <c r="D6383" s="4">
        <v>43496</v>
      </c>
      <c r="E6383" s="3" t="s">
        <v>368</v>
      </c>
      <c r="F6383" s="3" t="s">
        <v>375</v>
      </c>
      <c r="G6383" s="5">
        <v>3.0000000000000001E-3</v>
      </c>
      <c r="H6383" s="6" t="s">
        <v>89</v>
      </c>
      <c r="I6383" s="3" t="s">
        <v>45</v>
      </c>
    </row>
    <row r="6384" spans="1:9" ht="48" customHeight="1">
      <c r="A6384" s="3" t="s">
        <v>79</v>
      </c>
      <c r="B6384" s="3" t="s">
        <v>78</v>
      </c>
      <c r="C6384" s="4">
        <v>43466</v>
      </c>
      <c r="D6384" s="4">
        <v>43496</v>
      </c>
      <c r="E6384" s="3" t="s">
        <v>368</v>
      </c>
      <c r="F6384" s="3" t="s">
        <v>376</v>
      </c>
      <c r="G6384" s="5">
        <v>3.0000000000000001E-3</v>
      </c>
      <c r="H6384" s="6" t="s">
        <v>89</v>
      </c>
      <c r="I6384" s="3" t="s">
        <v>45</v>
      </c>
    </row>
    <row r="6385" spans="1:9" ht="48" customHeight="1">
      <c r="A6385" s="3" t="s">
        <v>79</v>
      </c>
      <c r="B6385" s="3" t="s">
        <v>78</v>
      </c>
      <c r="C6385" s="4">
        <v>43466</v>
      </c>
      <c r="D6385" s="4">
        <v>43496</v>
      </c>
      <c r="E6385" s="3" t="s">
        <v>368</v>
      </c>
      <c r="F6385" s="3" t="s">
        <v>377</v>
      </c>
      <c r="G6385" s="5">
        <v>2E-3</v>
      </c>
      <c r="H6385" s="6" t="s">
        <v>89</v>
      </c>
      <c r="I6385" s="3" t="s">
        <v>45</v>
      </c>
    </row>
    <row r="6386" spans="1:9" ht="48" customHeight="1">
      <c r="A6386" s="3" t="s">
        <v>79</v>
      </c>
      <c r="B6386" s="3" t="s">
        <v>78</v>
      </c>
      <c r="C6386" s="4">
        <v>43466</v>
      </c>
      <c r="D6386" s="4">
        <v>43496</v>
      </c>
      <c r="E6386" s="3" t="s">
        <v>368</v>
      </c>
      <c r="F6386" s="3" t="s">
        <v>232</v>
      </c>
      <c r="G6386" s="5">
        <v>1E-3</v>
      </c>
      <c r="H6386" s="6" t="s">
        <v>89</v>
      </c>
      <c r="I6386" s="3" t="s">
        <v>45</v>
      </c>
    </row>
    <row r="6387" spans="1:9" ht="48" customHeight="1">
      <c r="A6387" s="3" t="s">
        <v>79</v>
      </c>
      <c r="B6387" s="3" t="s">
        <v>78</v>
      </c>
      <c r="C6387" s="4">
        <v>43466</v>
      </c>
      <c r="D6387" s="4">
        <v>43496</v>
      </c>
      <c r="E6387" s="3" t="s">
        <v>368</v>
      </c>
      <c r="F6387" s="3" t="s">
        <v>234</v>
      </c>
      <c r="G6387" s="5">
        <v>1E-3</v>
      </c>
      <c r="H6387" s="6" t="s">
        <v>89</v>
      </c>
      <c r="I6387" s="3" t="s">
        <v>45</v>
      </c>
    </row>
    <row r="6388" spans="1:9" ht="48" customHeight="1">
      <c r="A6388" s="3" t="s">
        <v>79</v>
      </c>
      <c r="B6388" s="3" t="s">
        <v>78</v>
      </c>
      <c r="C6388" s="4">
        <v>43466</v>
      </c>
      <c r="D6388" s="4">
        <v>43496</v>
      </c>
      <c r="E6388" s="3" t="s">
        <v>368</v>
      </c>
      <c r="F6388" s="3" t="s">
        <v>372</v>
      </c>
      <c r="G6388" s="5">
        <v>1E-3</v>
      </c>
      <c r="H6388" s="6" t="s">
        <v>89</v>
      </c>
      <c r="I6388" s="3" t="s">
        <v>45</v>
      </c>
    </row>
    <row r="6389" spans="1:9" ht="48" customHeight="1">
      <c r="A6389" s="3" t="s">
        <v>79</v>
      </c>
      <c r="B6389" s="3" t="s">
        <v>78</v>
      </c>
      <c r="C6389" s="4">
        <v>43466</v>
      </c>
      <c r="D6389" s="4">
        <v>43496</v>
      </c>
      <c r="E6389" s="3" t="s">
        <v>368</v>
      </c>
      <c r="F6389" s="3" t="s">
        <v>207</v>
      </c>
      <c r="G6389" s="5">
        <v>1E-3</v>
      </c>
      <c r="H6389" s="6" t="s">
        <v>89</v>
      </c>
      <c r="I6389" s="3" t="s">
        <v>45</v>
      </c>
    </row>
    <row r="6390" spans="1:9" ht="48" customHeight="1">
      <c r="A6390" s="3" t="s">
        <v>79</v>
      </c>
      <c r="B6390" s="3" t="s">
        <v>78</v>
      </c>
      <c r="C6390" s="4">
        <v>43466</v>
      </c>
      <c r="D6390" s="4">
        <v>43496</v>
      </c>
      <c r="E6390" s="3" t="s">
        <v>368</v>
      </c>
      <c r="F6390" s="3" t="s">
        <v>230</v>
      </c>
      <c r="G6390" s="5">
        <v>0</v>
      </c>
      <c r="H6390" s="6" t="s">
        <v>89</v>
      </c>
      <c r="I6390" s="3" t="s">
        <v>45</v>
      </c>
    </row>
    <row r="6391" spans="1:9" ht="48" customHeight="1">
      <c r="A6391" s="3" t="s">
        <v>79</v>
      </c>
      <c r="B6391" s="3" t="s">
        <v>78</v>
      </c>
      <c r="C6391" s="4">
        <v>43466</v>
      </c>
      <c r="D6391" s="4">
        <v>43496</v>
      </c>
      <c r="E6391" s="3" t="s">
        <v>379</v>
      </c>
      <c r="F6391" s="3" t="s">
        <v>265</v>
      </c>
      <c r="G6391" s="5">
        <v>1.2E-2</v>
      </c>
      <c r="H6391" s="6" t="s">
        <v>89</v>
      </c>
      <c r="I6391" s="3" t="s">
        <v>45</v>
      </c>
    </row>
    <row r="6392" spans="1:9" ht="48" customHeight="1">
      <c r="A6392" s="3" t="s">
        <v>79</v>
      </c>
      <c r="B6392" s="3" t="s">
        <v>78</v>
      </c>
      <c r="C6392" s="4">
        <v>43466</v>
      </c>
      <c r="D6392" s="4">
        <v>43496</v>
      </c>
      <c r="E6392" s="3" t="s">
        <v>379</v>
      </c>
      <c r="F6392" s="3" t="s">
        <v>262</v>
      </c>
      <c r="G6392" s="5">
        <v>0.01</v>
      </c>
      <c r="H6392" s="6" t="s">
        <v>89</v>
      </c>
      <c r="I6392" s="3" t="s">
        <v>45</v>
      </c>
    </row>
    <row r="6393" spans="1:9" ht="48" customHeight="1">
      <c r="A6393" s="3" t="s">
        <v>79</v>
      </c>
      <c r="B6393" s="3" t="s">
        <v>78</v>
      </c>
      <c r="C6393" s="4">
        <v>43466</v>
      </c>
      <c r="D6393" s="4">
        <v>43496</v>
      </c>
      <c r="E6393" s="3" t="s">
        <v>379</v>
      </c>
      <c r="F6393" s="3" t="s">
        <v>380</v>
      </c>
      <c r="G6393" s="5">
        <v>9.0000000000000011E-3</v>
      </c>
      <c r="H6393" s="6" t="s">
        <v>89</v>
      </c>
      <c r="I6393" s="3" t="s">
        <v>45</v>
      </c>
    </row>
    <row r="6394" spans="1:9" ht="48" customHeight="1">
      <c r="A6394" s="3" t="s">
        <v>79</v>
      </c>
      <c r="B6394" s="3" t="s">
        <v>78</v>
      </c>
      <c r="C6394" s="4">
        <v>43466</v>
      </c>
      <c r="D6394" s="4">
        <v>43496</v>
      </c>
      <c r="E6394" s="3" t="s">
        <v>379</v>
      </c>
      <c r="F6394" s="3" t="s">
        <v>230</v>
      </c>
      <c r="G6394" s="5">
        <v>8.0000000000000002E-3</v>
      </c>
      <c r="H6394" s="6" t="s">
        <v>89</v>
      </c>
      <c r="I6394" s="3" t="s">
        <v>45</v>
      </c>
    </row>
    <row r="6395" spans="1:9" ht="48" customHeight="1">
      <c r="A6395" s="3" t="s">
        <v>79</v>
      </c>
      <c r="B6395" s="3" t="s">
        <v>78</v>
      </c>
      <c r="C6395" s="4">
        <v>43466</v>
      </c>
      <c r="D6395" s="4">
        <v>43496</v>
      </c>
      <c r="E6395" s="3" t="s">
        <v>379</v>
      </c>
      <c r="F6395" s="3" t="s">
        <v>234</v>
      </c>
      <c r="G6395" s="5">
        <v>6.9999999999999993E-3</v>
      </c>
      <c r="H6395" s="6" t="s">
        <v>89</v>
      </c>
      <c r="I6395" s="3" t="s">
        <v>45</v>
      </c>
    </row>
    <row r="6396" spans="1:9" ht="48" customHeight="1">
      <c r="A6396" s="3" t="s">
        <v>79</v>
      </c>
      <c r="B6396" s="3" t="s">
        <v>78</v>
      </c>
      <c r="C6396" s="4">
        <v>43466</v>
      </c>
      <c r="D6396" s="4">
        <v>43496</v>
      </c>
      <c r="E6396" s="3" t="s">
        <v>205</v>
      </c>
      <c r="F6396" s="3" t="s">
        <v>210</v>
      </c>
      <c r="G6396" s="5">
        <v>3.0000000000000001E-3</v>
      </c>
      <c r="H6396" s="6" t="s">
        <v>89</v>
      </c>
      <c r="I6396" s="3" t="s">
        <v>45</v>
      </c>
    </row>
    <row r="6397" spans="1:9" ht="48" customHeight="1">
      <c r="A6397" s="3" t="s">
        <v>79</v>
      </c>
      <c r="B6397" s="3" t="s">
        <v>78</v>
      </c>
      <c r="C6397" s="4">
        <v>43466</v>
      </c>
      <c r="D6397" s="4">
        <v>43496</v>
      </c>
      <c r="E6397" s="3" t="s">
        <v>205</v>
      </c>
      <c r="F6397" s="3" t="s">
        <v>220</v>
      </c>
      <c r="G6397" s="5">
        <v>2E-3</v>
      </c>
      <c r="H6397" s="6" t="s">
        <v>89</v>
      </c>
      <c r="I6397" s="3" t="s">
        <v>45</v>
      </c>
    </row>
    <row r="6398" spans="1:9" ht="48" customHeight="1">
      <c r="A6398" s="3" t="s">
        <v>79</v>
      </c>
      <c r="B6398" s="3" t="s">
        <v>78</v>
      </c>
      <c r="C6398" s="4">
        <v>43466</v>
      </c>
      <c r="D6398" s="4">
        <v>43496</v>
      </c>
      <c r="E6398" s="3" t="s">
        <v>205</v>
      </c>
      <c r="F6398" s="3" t="s">
        <v>212</v>
      </c>
      <c r="G6398" s="5">
        <v>2E-3</v>
      </c>
      <c r="H6398" s="6" t="s">
        <v>89</v>
      </c>
      <c r="I6398" s="3" t="s">
        <v>45</v>
      </c>
    </row>
    <row r="6399" spans="1:9" ht="48" customHeight="1">
      <c r="A6399" s="3" t="s">
        <v>79</v>
      </c>
      <c r="B6399" s="3" t="s">
        <v>78</v>
      </c>
      <c r="C6399" s="4">
        <v>43466</v>
      </c>
      <c r="D6399" s="4">
        <v>43496</v>
      </c>
      <c r="E6399" s="3" t="s">
        <v>205</v>
      </c>
      <c r="F6399" s="3" t="s">
        <v>207</v>
      </c>
      <c r="G6399" s="5">
        <v>2E-3</v>
      </c>
      <c r="H6399" s="6" t="s">
        <v>89</v>
      </c>
      <c r="I6399" s="3" t="s">
        <v>45</v>
      </c>
    </row>
    <row r="6400" spans="1:9" ht="48" customHeight="1">
      <c r="A6400" s="3" t="s">
        <v>79</v>
      </c>
      <c r="B6400" s="3" t="s">
        <v>78</v>
      </c>
      <c r="C6400" s="4">
        <v>43466</v>
      </c>
      <c r="D6400" s="4">
        <v>43496</v>
      </c>
      <c r="E6400" s="3" t="s">
        <v>205</v>
      </c>
      <c r="F6400" s="3" t="s">
        <v>208</v>
      </c>
      <c r="G6400" s="5">
        <v>2E-3</v>
      </c>
      <c r="H6400" s="6" t="s">
        <v>89</v>
      </c>
      <c r="I6400" s="3" t="s">
        <v>45</v>
      </c>
    </row>
    <row r="6401" spans="1:9" ht="48" customHeight="1">
      <c r="A6401" s="3" t="s">
        <v>79</v>
      </c>
      <c r="B6401" s="3" t="s">
        <v>78</v>
      </c>
      <c r="C6401" s="4">
        <v>43466</v>
      </c>
      <c r="D6401" s="4">
        <v>43496</v>
      </c>
      <c r="E6401" s="3" t="s">
        <v>205</v>
      </c>
      <c r="F6401" s="3" t="s">
        <v>213</v>
      </c>
      <c r="G6401" s="5">
        <v>2E-3</v>
      </c>
      <c r="H6401" s="6" t="s">
        <v>89</v>
      </c>
      <c r="I6401" s="3" t="s">
        <v>45</v>
      </c>
    </row>
    <row r="6402" spans="1:9" ht="48" customHeight="1">
      <c r="A6402" s="3" t="s">
        <v>79</v>
      </c>
      <c r="B6402" s="3" t="s">
        <v>78</v>
      </c>
      <c r="C6402" s="4">
        <v>43466</v>
      </c>
      <c r="D6402" s="4">
        <v>43496</v>
      </c>
      <c r="E6402" s="3" t="s">
        <v>205</v>
      </c>
      <c r="F6402" s="3" t="s">
        <v>206</v>
      </c>
      <c r="G6402" s="5">
        <v>2E-3</v>
      </c>
      <c r="H6402" s="6" t="s">
        <v>89</v>
      </c>
      <c r="I6402" s="3" t="s">
        <v>45</v>
      </c>
    </row>
    <row r="6403" spans="1:9" ht="48" customHeight="1">
      <c r="A6403" s="3" t="s">
        <v>79</v>
      </c>
      <c r="B6403" s="3" t="s">
        <v>78</v>
      </c>
      <c r="C6403" s="4">
        <v>43466</v>
      </c>
      <c r="D6403" s="4">
        <v>43496</v>
      </c>
      <c r="E6403" s="3" t="s">
        <v>205</v>
      </c>
      <c r="F6403" s="3" t="s">
        <v>215</v>
      </c>
      <c r="G6403" s="5">
        <v>2E-3</v>
      </c>
      <c r="H6403" s="6" t="s">
        <v>89</v>
      </c>
      <c r="I6403" s="3" t="s">
        <v>45</v>
      </c>
    </row>
    <row r="6404" spans="1:9" ht="48" customHeight="1">
      <c r="A6404" s="3" t="s">
        <v>79</v>
      </c>
      <c r="B6404" s="3" t="s">
        <v>78</v>
      </c>
      <c r="C6404" s="4">
        <v>43466</v>
      </c>
      <c r="D6404" s="4">
        <v>43496</v>
      </c>
      <c r="E6404" s="3" t="s">
        <v>205</v>
      </c>
      <c r="F6404" s="3" t="s">
        <v>209</v>
      </c>
      <c r="G6404" s="5">
        <v>2E-3</v>
      </c>
      <c r="H6404" s="6" t="s">
        <v>89</v>
      </c>
      <c r="I6404" s="3" t="s">
        <v>45</v>
      </c>
    </row>
    <row r="6405" spans="1:9" ht="48" customHeight="1">
      <c r="A6405" s="3" t="s">
        <v>79</v>
      </c>
      <c r="B6405" s="3" t="s">
        <v>78</v>
      </c>
      <c r="C6405" s="4">
        <v>43466</v>
      </c>
      <c r="D6405" s="4">
        <v>43496</v>
      </c>
      <c r="E6405" s="3" t="s">
        <v>205</v>
      </c>
      <c r="F6405" s="3" t="s">
        <v>216</v>
      </c>
      <c r="G6405" s="5">
        <v>2E-3</v>
      </c>
      <c r="H6405" s="6" t="s">
        <v>89</v>
      </c>
      <c r="I6405" s="3" t="s">
        <v>45</v>
      </c>
    </row>
    <row r="6406" spans="1:9" ht="48" customHeight="1">
      <c r="A6406" s="3" t="s">
        <v>79</v>
      </c>
      <c r="B6406" s="3" t="s">
        <v>78</v>
      </c>
      <c r="C6406" s="4">
        <v>43466</v>
      </c>
      <c r="D6406" s="4">
        <v>43496</v>
      </c>
      <c r="E6406" s="3" t="s">
        <v>205</v>
      </c>
      <c r="F6406" s="3" t="s">
        <v>229</v>
      </c>
      <c r="G6406" s="5">
        <v>1E-3</v>
      </c>
      <c r="H6406" s="6" t="s">
        <v>89</v>
      </c>
      <c r="I6406" s="3" t="s">
        <v>45</v>
      </c>
    </row>
    <row r="6407" spans="1:9" ht="48" customHeight="1">
      <c r="A6407" s="3" t="s">
        <v>79</v>
      </c>
      <c r="B6407" s="3" t="s">
        <v>78</v>
      </c>
      <c r="C6407" s="4">
        <v>43466</v>
      </c>
      <c r="D6407" s="4">
        <v>43496</v>
      </c>
      <c r="E6407" s="3" t="s">
        <v>205</v>
      </c>
      <c r="F6407" s="3" t="s">
        <v>223</v>
      </c>
      <c r="G6407" s="5">
        <v>1E-3</v>
      </c>
      <c r="H6407" s="6" t="s">
        <v>89</v>
      </c>
      <c r="I6407" s="3" t="s">
        <v>45</v>
      </c>
    </row>
    <row r="6408" spans="1:9" ht="48" customHeight="1">
      <c r="A6408" s="3" t="s">
        <v>79</v>
      </c>
      <c r="B6408" s="3" t="s">
        <v>78</v>
      </c>
      <c r="C6408" s="4">
        <v>43466</v>
      </c>
      <c r="D6408" s="4">
        <v>43496</v>
      </c>
      <c r="E6408" s="3" t="s">
        <v>205</v>
      </c>
      <c r="F6408" s="3" t="s">
        <v>224</v>
      </c>
      <c r="G6408" s="5">
        <v>1E-3</v>
      </c>
      <c r="H6408" s="6" t="s">
        <v>89</v>
      </c>
      <c r="I6408" s="3" t="s">
        <v>45</v>
      </c>
    </row>
    <row r="6409" spans="1:9" ht="48" customHeight="1">
      <c r="A6409" s="3" t="s">
        <v>79</v>
      </c>
      <c r="B6409" s="3" t="s">
        <v>78</v>
      </c>
      <c r="C6409" s="4">
        <v>43466</v>
      </c>
      <c r="D6409" s="4">
        <v>43496</v>
      </c>
      <c r="E6409" s="3" t="s">
        <v>205</v>
      </c>
      <c r="F6409" s="3" t="s">
        <v>217</v>
      </c>
      <c r="G6409" s="5">
        <v>1E-3</v>
      </c>
      <c r="H6409" s="6" t="s">
        <v>89</v>
      </c>
      <c r="I6409" s="3" t="s">
        <v>45</v>
      </c>
    </row>
    <row r="6410" spans="1:9" ht="48" customHeight="1">
      <c r="A6410" s="3" t="s">
        <v>79</v>
      </c>
      <c r="B6410" s="3" t="s">
        <v>78</v>
      </c>
      <c r="C6410" s="4">
        <v>43466</v>
      </c>
      <c r="D6410" s="4">
        <v>43496</v>
      </c>
      <c r="E6410" s="3" t="s">
        <v>205</v>
      </c>
      <c r="F6410" s="3" t="s">
        <v>218</v>
      </c>
      <c r="G6410" s="5">
        <v>1E-3</v>
      </c>
      <c r="H6410" s="6" t="s">
        <v>89</v>
      </c>
      <c r="I6410" s="3" t="s">
        <v>45</v>
      </c>
    </row>
    <row r="6411" spans="1:9" ht="48" customHeight="1">
      <c r="A6411" s="3" t="s">
        <v>79</v>
      </c>
      <c r="B6411" s="3" t="s">
        <v>78</v>
      </c>
      <c r="C6411" s="4">
        <v>43466</v>
      </c>
      <c r="D6411" s="4">
        <v>43496</v>
      </c>
      <c r="E6411" s="3" t="s">
        <v>205</v>
      </c>
      <c r="F6411" s="3" t="s">
        <v>225</v>
      </c>
      <c r="G6411" s="5">
        <v>1E-3</v>
      </c>
      <c r="H6411" s="6" t="s">
        <v>89</v>
      </c>
      <c r="I6411" s="3" t="s">
        <v>45</v>
      </c>
    </row>
    <row r="6412" spans="1:9" ht="48" customHeight="1">
      <c r="A6412" s="3" t="s">
        <v>79</v>
      </c>
      <c r="B6412" s="3" t="s">
        <v>78</v>
      </c>
      <c r="C6412" s="4">
        <v>43466</v>
      </c>
      <c r="D6412" s="4">
        <v>43496</v>
      </c>
      <c r="E6412" s="3" t="s">
        <v>205</v>
      </c>
      <c r="F6412" s="3" t="s">
        <v>219</v>
      </c>
      <c r="G6412" s="5">
        <v>1E-3</v>
      </c>
      <c r="H6412" s="6" t="s">
        <v>89</v>
      </c>
      <c r="I6412" s="3" t="s">
        <v>45</v>
      </c>
    </row>
    <row r="6413" spans="1:9" ht="48" customHeight="1">
      <c r="A6413" s="3" t="s">
        <v>79</v>
      </c>
      <c r="B6413" s="3" t="s">
        <v>78</v>
      </c>
      <c r="C6413" s="4">
        <v>43466</v>
      </c>
      <c r="D6413" s="4">
        <v>43496</v>
      </c>
      <c r="E6413" s="3" t="s">
        <v>205</v>
      </c>
      <c r="F6413" s="3" t="s">
        <v>226</v>
      </c>
      <c r="G6413" s="5">
        <v>1E-3</v>
      </c>
      <c r="H6413" s="6" t="s">
        <v>89</v>
      </c>
      <c r="I6413" s="3" t="s">
        <v>45</v>
      </c>
    </row>
    <row r="6414" spans="1:9" ht="48" customHeight="1">
      <c r="A6414" s="3" t="s">
        <v>79</v>
      </c>
      <c r="B6414" s="3" t="s">
        <v>78</v>
      </c>
      <c r="C6414" s="4">
        <v>43466</v>
      </c>
      <c r="D6414" s="4">
        <v>43496</v>
      </c>
      <c r="E6414" s="3" t="s">
        <v>205</v>
      </c>
      <c r="F6414" s="3" t="s">
        <v>227</v>
      </c>
      <c r="G6414" s="5">
        <v>1E-3</v>
      </c>
      <c r="H6414" s="6" t="s">
        <v>89</v>
      </c>
      <c r="I6414" s="3" t="s">
        <v>45</v>
      </c>
    </row>
    <row r="6415" spans="1:9" ht="48" customHeight="1">
      <c r="A6415" s="3" t="s">
        <v>79</v>
      </c>
      <c r="B6415" s="3" t="s">
        <v>78</v>
      </c>
      <c r="C6415" s="4">
        <v>43466</v>
      </c>
      <c r="D6415" s="4">
        <v>43496</v>
      </c>
      <c r="E6415" s="3" t="s">
        <v>205</v>
      </c>
      <c r="F6415" s="3" t="s">
        <v>211</v>
      </c>
      <c r="G6415" s="5">
        <v>1E-3</v>
      </c>
      <c r="H6415" s="6" t="s">
        <v>89</v>
      </c>
      <c r="I6415" s="3" t="s">
        <v>45</v>
      </c>
    </row>
    <row r="6416" spans="1:9" ht="48" customHeight="1">
      <c r="A6416" s="3" t="s">
        <v>79</v>
      </c>
      <c r="B6416" s="3" t="s">
        <v>78</v>
      </c>
      <c r="C6416" s="4">
        <v>43466</v>
      </c>
      <c r="D6416" s="4">
        <v>43496</v>
      </c>
      <c r="E6416" s="3" t="s">
        <v>205</v>
      </c>
      <c r="F6416" s="3" t="s">
        <v>221</v>
      </c>
      <c r="G6416" s="5">
        <v>1E-3</v>
      </c>
      <c r="H6416" s="6" t="s">
        <v>89</v>
      </c>
      <c r="I6416" s="3" t="s">
        <v>45</v>
      </c>
    </row>
    <row r="6417" spans="1:9" ht="48" customHeight="1">
      <c r="A6417" s="3" t="s">
        <v>79</v>
      </c>
      <c r="B6417" s="3" t="s">
        <v>78</v>
      </c>
      <c r="C6417" s="4">
        <v>43466</v>
      </c>
      <c r="D6417" s="4">
        <v>43496</v>
      </c>
      <c r="E6417" s="3" t="s">
        <v>205</v>
      </c>
      <c r="F6417" s="3" t="s">
        <v>222</v>
      </c>
      <c r="G6417" s="5">
        <v>1E-3</v>
      </c>
      <c r="H6417" s="6" t="s">
        <v>89</v>
      </c>
      <c r="I6417" s="3" t="s">
        <v>45</v>
      </c>
    </row>
    <row r="6418" spans="1:9" ht="48" customHeight="1">
      <c r="A6418" s="3" t="s">
        <v>79</v>
      </c>
      <c r="B6418" s="3" t="s">
        <v>78</v>
      </c>
      <c r="C6418" s="4">
        <v>43466</v>
      </c>
      <c r="D6418" s="4">
        <v>43496</v>
      </c>
      <c r="E6418" s="3" t="s">
        <v>205</v>
      </c>
      <c r="F6418" s="3" t="s">
        <v>228</v>
      </c>
      <c r="G6418" s="5">
        <v>1E-3</v>
      </c>
      <c r="H6418" s="6" t="s">
        <v>89</v>
      </c>
      <c r="I6418" s="3" t="s">
        <v>45</v>
      </c>
    </row>
    <row r="6419" spans="1:9" ht="48" customHeight="1">
      <c r="A6419" s="3" t="s">
        <v>79</v>
      </c>
      <c r="B6419" s="3" t="s">
        <v>78</v>
      </c>
      <c r="C6419" s="4">
        <v>43466</v>
      </c>
      <c r="D6419" s="4">
        <v>43496</v>
      </c>
      <c r="E6419" s="3" t="s">
        <v>205</v>
      </c>
      <c r="F6419" s="3" t="s">
        <v>214</v>
      </c>
      <c r="G6419" s="5">
        <v>1E-3</v>
      </c>
      <c r="H6419" s="6" t="s">
        <v>89</v>
      </c>
      <c r="I6419" s="3" t="s">
        <v>45</v>
      </c>
    </row>
    <row r="6420" spans="1:9" ht="48" customHeight="1">
      <c r="A6420" s="3" t="s">
        <v>79</v>
      </c>
      <c r="B6420" s="3" t="s">
        <v>78</v>
      </c>
      <c r="C6420" s="4">
        <v>43466</v>
      </c>
      <c r="D6420" s="4">
        <v>43496</v>
      </c>
      <c r="E6420" s="3" t="s">
        <v>205</v>
      </c>
      <c r="F6420" s="3" t="s">
        <v>230</v>
      </c>
      <c r="G6420" s="5">
        <v>0</v>
      </c>
      <c r="H6420" s="6" t="s">
        <v>89</v>
      </c>
      <c r="I6420" s="3" t="s">
        <v>45</v>
      </c>
    </row>
    <row r="6421" spans="1:9" ht="48" customHeight="1">
      <c r="A6421" s="3" t="s">
        <v>79</v>
      </c>
      <c r="B6421" s="3" t="s">
        <v>78</v>
      </c>
      <c r="C6421" s="4">
        <v>43466</v>
      </c>
      <c r="D6421" s="4">
        <v>43496</v>
      </c>
      <c r="E6421" s="3" t="s">
        <v>302</v>
      </c>
      <c r="F6421" s="3" t="s">
        <v>309</v>
      </c>
      <c r="G6421" s="5">
        <v>9.0000000000000011E-3</v>
      </c>
      <c r="H6421" s="6" t="s">
        <v>89</v>
      </c>
      <c r="I6421" s="3" t="s">
        <v>45</v>
      </c>
    </row>
    <row r="6422" spans="1:9" ht="48" customHeight="1">
      <c r="A6422" s="3" t="s">
        <v>79</v>
      </c>
      <c r="B6422" s="3" t="s">
        <v>78</v>
      </c>
      <c r="C6422" s="4">
        <v>43466</v>
      </c>
      <c r="D6422" s="4">
        <v>43496</v>
      </c>
      <c r="E6422" s="3" t="s">
        <v>302</v>
      </c>
      <c r="F6422" s="3" t="s">
        <v>307</v>
      </c>
      <c r="G6422" s="5">
        <v>5.0000000000000001E-3</v>
      </c>
      <c r="H6422" s="6" t="s">
        <v>89</v>
      </c>
      <c r="I6422" s="3" t="s">
        <v>45</v>
      </c>
    </row>
    <row r="6423" spans="1:9" ht="48" customHeight="1">
      <c r="A6423" s="3" t="s">
        <v>79</v>
      </c>
      <c r="B6423" s="3" t="s">
        <v>78</v>
      </c>
      <c r="C6423" s="4">
        <v>43466</v>
      </c>
      <c r="D6423" s="4">
        <v>43496</v>
      </c>
      <c r="E6423" s="3" t="s">
        <v>302</v>
      </c>
      <c r="F6423" s="3" t="s">
        <v>303</v>
      </c>
      <c r="G6423" s="5">
        <v>2E-3</v>
      </c>
      <c r="H6423" s="6" t="s">
        <v>89</v>
      </c>
      <c r="I6423" s="3" t="s">
        <v>45</v>
      </c>
    </row>
    <row r="6424" spans="1:9" ht="48" customHeight="1">
      <c r="A6424" s="3" t="s">
        <v>79</v>
      </c>
      <c r="B6424" s="3" t="s">
        <v>78</v>
      </c>
      <c r="C6424" s="4">
        <v>43466</v>
      </c>
      <c r="D6424" s="4">
        <v>43496</v>
      </c>
      <c r="E6424" s="3" t="s">
        <v>302</v>
      </c>
      <c r="F6424" s="3" t="s">
        <v>304</v>
      </c>
      <c r="G6424" s="5">
        <v>2E-3</v>
      </c>
      <c r="H6424" s="6" t="s">
        <v>89</v>
      </c>
      <c r="I6424" s="3" t="s">
        <v>45</v>
      </c>
    </row>
    <row r="6425" spans="1:9" ht="48" customHeight="1">
      <c r="A6425" s="3" t="s">
        <v>79</v>
      </c>
      <c r="B6425" s="3" t="s">
        <v>78</v>
      </c>
      <c r="C6425" s="4">
        <v>43466</v>
      </c>
      <c r="D6425" s="4">
        <v>43496</v>
      </c>
      <c r="E6425" s="3" t="s">
        <v>302</v>
      </c>
      <c r="F6425" s="3" t="s">
        <v>311</v>
      </c>
      <c r="G6425" s="5">
        <v>2E-3</v>
      </c>
      <c r="H6425" s="6" t="s">
        <v>89</v>
      </c>
      <c r="I6425" s="3" t="s">
        <v>45</v>
      </c>
    </row>
    <row r="6426" spans="1:9" ht="48" customHeight="1">
      <c r="A6426" s="3" t="s">
        <v>79</v>
      </c>
      <c r="B6426" s="3" t="s">
        <v>78</v>
      </c>
      <c r="C6426" s="4">
        <v>43466</v>
      </c>
      <c r="D6426" s="4">
        <v>43496</v>
      </c>
      <c r="E6426" s="3" t="s">
        <v>302</v>
      </c>
      <c r="F6426" s="3" t="s">
        <v>305</v>
      </c>
      <c r="G6426" s="5">
        <v>2E-3</v>
      </c>
      <c r="H6426" s="6" t="s">
        <v>89</v>
      </c>
      <c r="I6426" s="3" t="s">
        <v>45</v>
      </c>
    </row>
    <row r="6427" spans="1:9" ht="48" customHeight="1">
      <c r="A6427" s="3" t="s">
        <v>79</v>
      </c>
      <c r="B6427" s="3" t="s">
        <v>78</v>
      </c>
      <c r="C6427" s="4">
        <v>43466</v>
      </c>
      <c r="D6427" s="4">
        <v>43496</v>
      </c>
      <c r="E6427" s="3" t="s">
        <v>302</v>
      </c>
      <c r="F6427" s="3" t="s">
        <v>306</v>
      </c>
      <c r="G6427" s="5">
        <v>2E-3</v>
      </c>
      <c r="H6427" s="6" t="s">
        <v>89</v>
      </c>
      <c r="I6427" s="3" t="s">
        <v>45</v>
      </c>
    </row>
    <row r="6428" spans="1:9" ht="48" customHeight="1">
      <c r="A6428" s="3" t="s">
        <v>79</v>
      </c>
      <c r="B6428" s="3" t="s">
        <v>78</v>
      </c>
      <c r="C6428" s="4">
        <v>43466</v>
      </c>
      <c r="D6428" s="4">
        <v>43496</v>
      </c>
      <c r="E6428" s="3" t="s">
        <v>302</v>
      </c>
      <c r="F6428" s="3" t="s">
        <v>308</v>
      </c>
      <c r="G6428" s="5">
        <v>2E-3</v>
      </c>
      <c r="H6428" s="6" t="s">
        <v>89</v>
      </c>
      <c r="I6428" s="3" t="s">
        <v>45</v>
      </c>
    </row>
    <row r="6429" spans="1:9" ht="48" customHeight="1">
      <c r="A6429" s="3" t="s">
        <v>79</v>
      </c>
      <c r="B6429" s="3" t="s">
        <v>78</v>
      </c>
      <c r="C6429" s="4">
        <v>43466</v>
      </c>
      <c r="D6429" s="4">
        <v>43496</v>
      </c>
      <c r="E6429" s="3" t="s">
        <v>302</v>
      </c>
      <c r="F6429" s="3" t="s">
        <v>310</v>
      </c>
      <c r="G6429" s="5">
        <v>1E-3</v>
      </c>
      <c r="H6429" s="6" t="s">
        <v>89</v>
      </c>
      <c r="I6429" s="3" t="s">
        <v>45</v>
      </c>
    </row>
    <row r="6430" spans="1:9" ht="48" customHeight="1">
      <c r="A6430" s="3" t="s">
        <v>79</v>
      </c>
      <c r="B6430" s="3" t="s">
        <v>78</v>
      </c>
      <c r="C6430" s="4">
        <v>43466</v>
      </c>
      <c r="D6430" s="4">
        <v>43496</v>
      </c>
      <c r="E6430" s="3" t="s">
        <v>302</v>
      </c>
      <c r="F6430" s="3" t="s">
        <v>313</v>
      </c>
      <c r="G6430" s="5">
        <v>1E-3</v>
      </c>
      <c r="H6430" s="6" t="s">
        <v>89</v>
      </c>
      <c r="I6430" s="3" t="s">
        <v>45</v>
      </c>
    </row>
    <row r="6431" spans="1:9" ht="48" customHeight="1">
      <c r="A6431" s="3" t="s">
        <v>79</v>
      </c>
      <c r="B6431" s="3" t="s">
        <v>78</v>
      </c>
      <c r="C6431" s="4">
        <v>43466</v>
      </c>
      <c r="D6431" s="4">
        <v>43496</v>
      </c>
      <c r="E6431" s="3" t="s">
        <v>302</v>
      </c>
      <c r="F6431" s="3" t="s">
        <v>314</v>
      </c>
      <c r="G6431" s="5">
        <v>1E-3</v>
      </c>
      <c r="H6431" s="6" t="s">
        <v>89</v>
      </c>
      <c r="I6431" s="3" t="s">
        <v>45</v>
      </c>
    </row>
    <row r="6432" spans="1:9" ht="48" customHeight="1">
      <c r="A6432" s="3" t="s">
        <v>79</v>
      </c>
      <c r="B6432" s="3" t="s">
        <v>78</v>
      </c>
      <c r="C6432" s="4">
        <v>43466</v>
      </c>
      <c r="D6432" s="4">
        <v>43496</v>
      </c>
      <c r="E6432" s="3" t="s">
        <v>302</v>
      </c>
      <c r="F6432" s="3" t="s">
        <v>316</v>
      </c>
      <c r="G6432" s="5">
        <v>1E-3</v>
      </c>
      <c r="H6432" s="6" t="s">
        <v>89</v>
      </c>
      <c r="I6432" s="3" t="s">
        <v>45</v>
      </c>
    </row>
    <row r="6433" spans="1:9" ht="48" customHeight="1">
      <c r="A6433" s="3" t="s">
        <v>79</v>
      </c>
      <c r="B6433" s="3" t="s">
        <v>78</v>
      </c>
      <c r="C6433" s="4">
        <v>43466</v>
      </c>
      <c r="D6433" s="4">
        <v>43496</v>
      </c>
      <c r="E6433" s="3" t="s">
        <v>302</v>
      </c>
      <c r="F6433" s="3" t="s">
        <v>317</v>
      </c>
      <c r="G6433" s="5">
        <v>1E-3</v>
      </c>
      <c r="H6433" s="6" t="s">
        <v>89</v>
      </c>
      <c r="I6433" s="3" t="s">
        <v>45</v>
      </c>
    </row>
    <row r="6434" spans="1:9" ht="48" customHeight="1">
      <c r="A6434" s="3" t="s">
        <v>79</v>
      </c>
      <c r="B6434" s="3" t="s">
        <v>78</v>
      </c>
      <c r="C6434" s="4">
        <v>43466</v>
      </c>
      <c r="D6434" s="4">
        <v>43496</v>
      </c>
      <c r="E6434" s="3" t="s">
        <v>302</v>
      </c>
      <c r="F6434" s="3" t="s">
        <v>323</v>
      </c>
      <c r="G6434" s="5">
        <v>1E-3</v>
      </c>
      <c r="H6434" s="6" t="s">
        <v>89</v>
      </c>
      <c r="I6434" s="3" t="s">
        <v>45</v>
      </c>
    </row>
    <row r="6435" spans="1:9" ht="48" customHeight="1">
      <c r="A6435" s="3" t="s">
        <v>79</v>
      </c>
      <c r="B6435" s="3" t="s">
        <v>78</v>
      </c>
      <c r="C6435" s="4">
        <v>43466</v>
      </c>
      <c r="D6435" s="4">
        <v>43496</v>
      </c>
      <c r="E6435" s="3" t="s">
        <v>302</v>
      </c>
      <c r="F6435" s="3" t="s">
        <v>324</v>
      </c>
      <c r="G6435" s="5">
        <v>1E-3</v>
      </c>
      <c r="H6435" s="6" t="s">
        <v>89</v>
      </c>
      <c r="I6435" s="3" t="s">
        <v>45</v>
      </c>
    </row>
    <row r="6436" spans="1:9" ht="48" customHeight="1">
      <c r="A6436" s="3" t="s">
        <v>79</v>
      </c>
      <c r="B6436" s="3" t="s">
        <v>78</v>
      </c>
      <c r="C6436" s="4">
        <v>43466</v>
      </c>
      <c r="D6436" s="4">
        <v>43496</v>
      </c>
      <c r="E6436" s="3" t="s">
        <v>302</v>
      </c>
      <c r="F6436" s="3" t="s">
        <v>312</v>
      </c>
      <c r="G6436" s="5">
        <v>0</v>
      </c>
      <c r="H6436" s="6" t="s">
        <v>89</v>
      </c>
      <c r="I6436" s="3" t="s">
        <v>45</v>
      </c>
    </row>
    <row r="6437" spans="1:9" ht="48" customHeight="1">
      <c r="A6437" s="3" t="s">
        <v>79</v>
      </c>
      <c r="B6437" s="3" t="s">
        <v>78</v>
      </c>
      <c r="C6437" s="4">
        <v>43466</v>
      </c>
      <c r="D6437" s="4">
        <v>43496</v>
      </c>
      <c r="E6437" s="3" t="s">
        <v>302</v>
      </c>
      <c r="F6437" s="3" t="s">
        <v>315</v>
      </c>
      <c r="G6437" s="5">
        <v>0</v>
      </c>
      <c r="H6437" s="6" t="s">
        <v>89</v>
      </c>
      <c r="I6437" s="3" t="s">
        <v>45</v>
      </c>
    </row>
    <row r="6438" spans="1:9" ht="48" customHeight="1">
      <c r="A6438" s="3" t="s">
        <v>79</v>
      </c>
      <c r="B6438" s="3" t="s">
        <v>78</v>
      </c>
      <c r="C6438" s="4">
        <v>43466</v>
      </c>
      <c r="D6438" s="4">
        <v>43496</v>
      </c>
      <c r="E6438" s="3" t="s">
        <v>302</v>
      </c>
      <c r="F6438" s="3" t="s">
        <v>318</v>
      </c>
      <c r="G6438" s="5">
        <v>0</v>
      </c>
      <c r="H6438" s="6" t="s">
        <v>89</v>
      </c>
      <c r="I6438" s="3" t="s">
        <v>45</v>
      </c>
    </row>
    <row r="6439" spans="1:9" ht="48" customHeight="1">
      <c r="A6439" s="3" t="s">
        <v>79</v>
      </c>
      <c r="B6439" s="3" t="s">
        <v>78</v>
      </c>
      <c r="C6439" s="4">
        <v>43466</v>
      </c>
      <c r="D6439" s="4">
        <v>43496</v>
      </c>
      <c r="E6439" s="3" t="s">
        <v>302</v>
      </c>
      <c r="F6439" s="3" t="s">
        <v>319</v>
      </c>
      <c r="G6439" s="5">
        <v>0</v>
      </c>
      <c r="H6439" s="6" t="s">
        <v>89</v>
      </c>
      <c r="I6439" s="3" t="s">
        <v>45</v>
      </c>
    </row>
    <row r="6440" spans="1:9" ht="48" customHeight="1">
      <c r="A6440" s="3" t="s">
        <v>79</v>
      </c>
      <c r="B6440" s="3" t="s">
        <v>78</v>
      </c>
      <c r="C6440" s="4">
        <v>43466</v>
      </c>
      <c r="D6440" s="4">
        <v>43496</v>
      </c>
      <c r="E6440" s="3" t="s">
        <v>302</v>
      </c>
      <c r="F6440" s="3" t="s">
        <v>320</v>
      </c>
      <c r="G6440" s="5">
        <v>0</v>
      </c>
      <c r="H6440" s="6" t="s">
        <v>89</v>
      </c>
      <c r="I6440" s="3" t="s">
        <v>45</v>
      </c>
    </row>
    <row r="6441" spans="1:9" ht="48" customHeight="1">
      <c r="A6441" s="3" t="s">
        <v>79</v>
      </c>
      <c r="B6441" s="3" t="s">
        <v>78</v>
      </c>
      <c r="C6441" s="4">
        <v>43466</v>
      </c>
      <c r="D6441" s="4">
        <v>43496</v>
      </c>
      <c r="E6441" s="3" t="s">
        <v>302</v>
      </c>
      <c r="F6441" s="3" t="s">
        <v>321</v>
      </c>
      <c r="G6441" s="5">
        <v>0</v>
      </c>
      <c r="H6441" s="6" t="s">
        <v>89</v>
      </c>
      <c r="I6441" s="3" t="s">
        <v>45</v>
      </c>
    </row>
    <row r="6442" spans="1:9" ht="48" customHeight="1">
      <c r="A6442" s="3" t="s">
        <v>79</v>
      </c>
      <c r="B6442" s="3" t="s">
        <v>78</v>
      </c>
      <c r="C6442" s="4">
        <v>43466</v>
      </c>
      <c r="D6442" s="4">
        <v>43496</v>
      </c>
      <c r="E6442" s="3" t="s">
        <v>302</v>
      </c>
      <c r="F6442" s="3" t="s">
        <v>322</v>
      </c>
      <c r="G6442" s="5">
        <v>0</v>
      </c>
      <c r="H6442" s="6" t="s">
        <v>89</v>
      </c>
      <c r="I6442" s="3" t="s">
        <v>45</v>
      </c>
    </row>
    <row r="6443" spans="1:9" ht="48" customHeight="1">
      <c r="A6443" s="3" t="s">
        <v>79</v>
      </c>
      <c r="B6443" s="3" t="s">
        <v>78</v>
      </c>
      <c r="C6443" s="4">
        <v>43466</v>
      </c>
      <c r="D6443" s="4">
        <v>43496</v>
      </c>
      <c r="E6443" s="3" t="s">
        <v>286</v>
      </c>
      <c r="F6443" s="3" t="s">
        <v>287</v>
      </c>
      <c r="G6443" s="5">
        <v>3.0000000000000001E-3</v>
      </c>
      <c r="H6443" s="6" t="s">
        <v>89</v>
      </c>
      <c r="I6443" s="3" t="s">
        <v>45</v>
      </c>
    </row>
    <row r="6444" spans="1:9" ht="48" customHeight="1">
      <c r="A6444" s="3" t="s">
        <v>79</v>
      </c>
      <c r="B6444" s="3" t="s">
        <v>78</v>
      </c>
      <c r="C6444" s="4">
        <v>43466</v>
      </c>
      <c r="D6444" s="4">
        <v>43496</v>
      </c>
      <c r="E6444" s="3" t="s">
        <v>286</v>
      </c>
      <c r="F6444" s="3" t="s">
        <v>291</v>
      </c>
      <c r="G6444" s="5">
        <v>3.0000000000000001E-3</v>
      </c>
      <c r="H6444" s="6" t="s">
        <v>89</v>
      </c>
      <c r="I6444" s="3" t="s">
        <v>45</v>
      </c>
    </row>
    <row r="6445" spans="1:9" ht="48" customHeight="1">
      <c r="A6445" s="3" t="s">
        <v>79</v>
      </c>
      <c r="B6445" s="3" t="s">
        <v>78</v>
      </c>
      <c r="C6445" s="4">
        <v>43466</v>
      </c>
      <c r="D6445" s="4">
        <v>43496</v>
      </c>
      <c r="E6445" s="3" t="s">
        <v>286</v>
      </c>
      <c r="F6445" s="3" t="s">
        <v>290</v>
      </c>
      <c r="G6445" s="5">
        <v>2E-3</v>
      </c>
      <c r="H6445" s="6" t="s">
        <v>89</v>
      </c>
      <c r="I6445" s="3" t="s">
        <v>45</v>
      </c>
    </row>
    <row r="6446" spans="1:9" ht="48" customHeight="1">
      <c r="A6446" s="3" t="s">
        <v>79</v>
      </c>
      <c r="B6446" s="3" t="s">
        <v>78</v>
      </c>
      <c r="C6446" s="4">
        <v>43466</v>
      </c>
      <c r="D6446" s="4">
        <v>43496</v>
      </c>
      <c r="E6446" s="3" t="s">
        <v>286</v>
      </c>
      <c r="F6446" s="3" t="s">
        <v>288</v>
      </c>
      <c r="G6446" s="5">
        <v>2E-3</v>
      </c>
      <c r="H6446" s="6" t="s">
        <v>89</v>
      </c>
      <c r="I6446" s="3" t="s">
        <v>45</v>
      </c>
    </row>
    <row r="6447" spans="1:9" ht="48" customHeight="1">
      <c r="A6447" s="3" t="s">
        <v>79</v>
      </c>
      <c r="B6447" s="3" t="s">
        <v>78</v>
      </c>
      <c r="C6447" s="4">
        <v>43466</v>
      </c>
      <c r="D6447" s="4">
        <v>43496</v>
      </c>
      <c r="E6447" s="3" t="s">
        <v>286</v>
      </c>
      <c r="F6447" s="3" t="s">
        <v>289</v>
      </c>
      <c r="G6447" s="5">
        <v>2E-3</v>
      </c>
      <c r="H6447" s="6" t="s">
        <v>89</v>
      </c>
      <c r="I6447" s="3" t="s">
        <v>45</v>
      </c>
    </row>
    <row r="6448" spans="1:9" ht="48" customHeight="1">
      <c r="A6448" s="3" t="s">
        <v>79</v>
      </c>
      <c r="B6448" s="3" t="s">
        <v>78</v>
      </c>
      <c r="C6448" s="4">
        <v>43466</v>
      </c>
      <c r="D6448" s="4">
        <v>43496</v>
      </c>
      <c r="E6448" s="3" t="s">
        <v>286</v>
      </c>
      <c r="F6448" s="3" t="s">
        <v>293</v>
      </c>
      <c r="G6448" s="5">
        <v>2E-3</v>
      </c>
      <c r="H6448" s="6" t="s">
        <v>89</v>
      </c>
      <c r="I6448" s="3" t="s">
        <v>45</v>
      </c>
    </row>
    <row r="6449" spans="1:9" ht="48" customHeight="1">
      <c r="A6449" s="3" t="s">
        <v>79</v>
      </c>
      <c r="B6449" s="3" t="s">
        <v>78</v>
      </c>
      <c r="C6449" s="4">
        <v>43466</v>
      </c>
      <c r="D6449" s="4">
        <v>43496</v>
      </c>
      <c r="E6449" s="3" t="s">
        <v>286</v>
      </c>
      <c r="F6449" s="3" t="s">
        <v>298</v>
      </c>
      <c r="G6449" s="5">
        <v>1E-3</v>
      </c>
      <c r="H6449" s="6" t="s">
        <v>89</v>
      </c>
      <c r="I6449" s="3" t="s">
        <v>45</v>
      </c>
    </row>
    <row r="6450" spans="1:9" ht="48" customHeight="1">
      <c r="A6450" s="3" t="s">
        <v>79</v>
      </c>
      <c r="B6450" s="3" t="s">
        <v>78</v>
      </c>
      <c r="C6450" s="4">
        <v>43466</v>
      </c>
      <c r="D6450" s="4">
        <v>43496</v>
      </c>
      <c r="E6450" s="3" t="s">
        <v>286</v>
      </c>
      <c r="F6450" s="3" t="s">
        <v>297</v>
      </c>
      <c r="G6450" s="5">
        <v>1E-3</v>
      </c>
      <c r="H6450" s="6" t="s">
        <v>89</v>
      </c>
      <c r="I6450" s="3" t="s">
        <v>45</v>
      </c>
    </row>
    <row r="6451" spans="1:9" ht="48" customHeight="1">
      <c r="A6451" s="3" t="s">
        <v>79</v>
      </c>
      <c r="B6451" s="3" t="s">
        <v>78</v>
      </c>
      <c r="C6451" s="4">
        <v>43466</v>
      </c>
      <c r="D6451" s="4">
        <v>43496</v>
      </c>
      <c r="E6451" s="3" t="s">
        <v>286</v>
      </c>
      <c r="F6451" s="3" t="s">
        <v>292</v>
      </c>
      <c r="G6451" s="5">
        <v>1E-3</v>
      </c>
      <c r="H6451" s="6" t="s">
        <v>89</v>
      </c>
      <c r="I6451" s="3" t="s">
        <v>45</v>
      </c>
    </row>
    <row r="6452" spans="1:9" ht="48" customHeight="1">
      <c r="A6452" s="3" t="s">
        <v>79</v>
      </c>
      <c r="B6452" s="3" t="s">
        <v>78</v>
      </c>
      <c r="C6452" s="4">
        <v>43466</v>
      </c>
      <c r="D6452" s="4">
        <v>43496</v>
      </c>
      <c r="E6452" s="3" t="s">
        <v>286</v>
      </c>
      <c r="F6452" s="3" t="s">
        <v>300</v>
      </c>
      <c r="G6452" s="5">
        <v>1E-3</v>
      </c>
      <c r="H6452" s="6" t="s">
        <v>89</v>
      </c>
      <c r="I6452" s="3" t="s">
        <v>45</v>
      </c>
    </row>
    <row r="6453" spans="1:9" ht="48" customHeight="1">
      <c r="A6453" s="3" t="s">
        <v>79</v>
      </c>
      <c r="B6453" s="3" t="s">
        <v>78</v>
      </c>
      <c r="C6453" s="4">
        <v>43466</v>
      </c>
      <c r="D6453" s="4">
        <v>43496</v>
      </c>
      <c r="E6453" s="3" t="s">
        <v>286</v>
      </c>
      <c r="F6453" s="3" t="s">
        <v>294</v>
      </c>
      <c r="G6453" s="5">
        <v>0</v>
      </c>
      <c r="H6453" s="6" t="s">
        <v>89</v>
      </c>
      <c r="I6453" s="3" t="s">
        <v>45</v>
      </c>
    </row>
    <row r="6454" spans="1:9" ht="48" customHeight="1">
      <c r="A6454" s="3" t="s">
        <v>79</v>
      </c>
      <c r="B6454" s="3" t="s">
        <v>78</v>
      </c>
      <c r="C6454" s="4">
        <v>43466</v>
      </c>
      <c r="D6454" s="4">
        <v>43496</v>
      </c>
      <c r="E6454" s="3" t="s">
        <v>286</v>
      </c>
      <c r="F6454" s="3" t="s">
        <v>295</v>
      </c>
      <c r="G6454" s="5">
        <v>0</v>
      </c>
      <c r="H6454" s="6" t="s">
        <v>89</v>
      </c>
      <c r="I6454" s="3" t="s">
        <v>45</v>
      </c>
    </row>
    <row r="6455" spans="1:9" ht="48" customHeight="1">
      <c r="A6455" s="3" t="s">
        <v>79</v>
      </c>
      <c r="B6455" s="3" t="s">
        <v>78</v>
      </c>
      <c r="C6455" s="4">
        <v>43466</v>
      </c>
      <c r="D6455" s="4">
        <v>43496</v>
      </c>
      <c r="E6455" s="3" t="s">
        <v>286</v>
      </c>
      <c r="F6455" s="3" t="s">
        <v>296</v>
      </c>
      <c r="G6455" s="5">
        <v>0</v>
      </c>
      <c r="H6455" s="6" t="s">
        <v>89</v>
      </c>
      <c r="I6455" s="3" t="s">
        <v>45</v>
      </c>
    </row>
    <row r="6456" spans="1:9" ht="48" customHeight="1">
      <c r="A6456" s="3" t="s">
        <v>79</v>
      </c>
      <c r="B6456" s="3" t="s">
        <v>78</v>
      </c>
      <c r="C6456" s="4">
        <v>43466</v>
      </c>
      <c r="D6456" s="4">
        <v>43496</v>
      </c>
      <c r="E6456" s="3" t="s">
        <v>286</v>
      </c>
      <c r="F6456" s="3" t="s">
        <v>299</v>
      </c>
      <c r="G6456" s="5">
        <v>0</v>
      </c>
      <c r="H6456" s="6" t="s">
        <v>89</v>
      </c>
      <c r="I6456" s="3" t="s">
        <v>45</v>
      </c>
    </row>
    <row r="6457" spans="1:9" ht="48" customHeight="1">
      <c r="A6457" s="3" t="s">
        <v>79</v>
      </c>
      <c r="B6457" s="3" t="s">
        <v>78</v>
      </c>
      <c r="C6457" s="4">
        <v>43466</v>
      </c>
      <c r="D6457" s="4">
        <v>43496</v>
      </c>
      <c r="E6457" s="3" t="s">
        <v>47</v>
      </c>
      <c r="F6457" s="3" t="s">
        <v>348</v>
      </c>
      <c r="G6457" s="5">
        <v>6.0000000000000001E-3</v>
      </c>
      <c r="H6457" s="6" t="s">
        <v>89</v>
      </c>
      <c r="I6457" s="3" t="s">
        <v>45</v>
      </c>
    </row>
    <row r="6458" spans="1:9" ht="48" customHeight="1">
      <c r="A6458" s="3" t="s">
        <v>79</v>
      </c>
      <c r="B6458" s="3" t="s">
        <v>78</v>
      </c>
      <c r="C6458" s="4">
        <v>43466</v>
      </c>
      <c r="D6458" s="4">
        <v>43496</v>
      </c>
      <c r="E6458" s="3" t="s">
        <v>47</v>
      </c>
      <c r="F6458" s="3" t="s">
        <v>349</v>
      </c>
      <c r="G6458" s="5">
        <v>3.0000000000000001E-3</v>
      </c>
      <c r="H6458" s="6" t="s">
        <v>89</v>
      </c>
      <c r="I6458" s="3" t="s">
        <v>45</v>
      </c>
    </row>
    <row r="6459" spans="1:9" ht="48" customHeight="1">
      <c r="A6459" s="3" t="s">
        <v>79</v>
      </c>
      <c r="B6459" s="3" t="s">
        <v>78</v>
      </c>
      <c r="C6459" s="4">
        <v>43466</v>
      </c>
      <c r="D6459" s="4">
        <v>43496</v>
      </c>
      <c r="E6459" s="3" t="s">
        <v>47</v>
      </c>
      <c r="F6459" s="3" t="s">
        <v>350</v>
      </c>
      <c r="G6459" s="5">
        <v>1E-3</v>
      </c>
      <c r="H6459" s="6" t="s">
        <v>89</v>
      </c>
      <c r="I6459" s="3" t="s">
        <v>45</v>
      </c>
    </row>
    <row r="6460" spans="1:9" ht="48" customHeight="1">
      <c r="A6460" s="3" t="s">
        <v>79</v>
      </c>
      <c r="B6460" s="3" t="s">
        <v>78</v>
      </c>
      <c r="C6460" s="4">
        <v>43466</v>
      </c>
      <c r="D6460" s="4">
        <v>43496</v>
      </c>
      <c r="E6460" s="3" t="s">
        <v>47</v>
      </c>
      <c r="F6460" s="3" t="s">
        <v>351</v>
      </c>
      <c r="G6460" s="5">
        <v>1E-3</v>
      </c>
      <c r="H6460" s="6" t="s">
        <v>89</v>
      </c>
      <c r="I6460" s="3" t="s">
        <v>45</v>
      </c>
    </row>
    <row r="6461" spans="1:9" ht="48" customHeight="1">
      <c r="A6461" s="3" t="s">
        <v>79</v>
      </c>
      <c r="B6461" s="3" t="s">
        <v>78</v>
      </c>
      <c r="C6461" s="4">
        <v>43466</v>
      </c>
      <c r="D6461" s="4">
        <v>43496</v>
      </c>
      <c r="E6461" s="3" t="s">
        <v>47</v>
      </c>
      <c r="F6461" s="3" t="s">
        <v>352</v>
      </c>
      <c r="G6461" s="5">
        <v>1E-3</v>
      </c>
      <c r="H6461" s="6" t="s">
        <v>89</v>
      </c>
      <c r="I6461" s="3" t="s">
        <v>45</v>
      </c>
    </row>
    <row r="6462" spans="1:9" ht="48" customHeight="1">
      <c r="A6462" s="3" t="s">
        <v>79</v>
      </c>
      <c r="B6462" s="3" t="s">
        <v>78</v>
      </c>
      <c r="C6462" s="4">
        <v>43466</v>
      </c>
      <c r="D6462" s="4">
        <v>43496</v>
      </c>
      <c r="E6462" s="3" t="s">
        <v>47</v>
      </c>
      <c r="F6462" s="3" t="s">
        <v>355</v>
      </c>
      <c r="G6462" s="5">
        <v>1E-3</v>
      </c>
      <c r="H6462" s="6" t="s">
        <v>89</v>
      </c>
      <c r="I6462" s="3" t="s">
        <v>45</v>
      </c>
    </row>
    <row r="6463" spans="1:9" ht="48" customHeight="1">
      <c r="A6463" s="3" t="s">
        <v>79</v>
      </c>
      <c r="B6463" s="3" t="s">
        <v>78</v>
      </c>
      <c r="C6463" s="4">
        <v>43466</v>
      </c>
      <c r="D6463" s="4">
        <v>43496</v>
      </c>
      <c r="E6463" s="3" t="s">
        <v>47</v>
      </c>
      <c r="F6463" s="3" t="s">
        <v>40</v>
      </c>
      <c r="G6463" s="5">
        <v>1E-3</v>
      </c>
      <c r="H6463" s="6" t="s">
        <v>89</v>
      </c>
      <c r="I6463" s="3" t="s">
        <v>45</v>
      </c>
    </row>
    <row r="6464" spans="1:9" ht="48" customHeight="1">
      <c r="A6464" s="3" t="s">
        <v>79</v>
      </c>
      <c r="B6464" s="3" t="s">
        <v>78</v>
      </c>
      <c r="C6464" s="4">
        <v>43466</v>
      </c>
      <c r="D6464" s="4">
        <v>43496</v>
      </c>
      <c r="E6464" s="3" t="s">
        <v>47</v>
      </c>
      <c r="F6464" s="3" t="s">
        <v>357</v>
      </c>
      <c r="G6464" s="5">
        <v>1E-3</v>
      </c>
      <c r="H6464" s="6" t="s">
        <v>89</v>
      </c>
      <c r="I6464" s="3" t="s">
        <v>45</v>
      </c>
    </row>
    <row r="6465" spans="1:9" ht="48" customHeight="1">
      <c r="A6465" s="3" t="s">
        <v>79</v>
      </c>
      <c r="B6465" s="3" t="s">
        <v>78</v>
      </c>
      <c r="C6465" s="4">
        <v>43466</v>
      </c>
      <c r="D6465" s="4">
        <v>43496</v>
      </c>
      <c r="E6465" s="3" t="s">
        <v>47</v>
      </c>
      <c r="F6465" s="3" t="s">
        <v>358</v>
      </c>
      <c r="G6465" s="5">
        <v>1E-3</v>
      </c>
      <c r="H6465" s="6" t="s">
        <v>89</v>
      </c>
      <c r="I6465" s="3" t="s">
        <v>45</v>
      </c>
    </row>
    <row r="6466" spans="1:9" ht="48" customHeight="1">
      <c r="A6466" s="3" t="s">
        <v>79</v>
      </c>
      <c r="B6466" s="3" t="s">
        <v>78</v>
      </c>
      <c r="C6466" s="4">
        <v>43466</v>
      </c>
      <c r="D6466" s="4">
        <v>43496</v>
      </c>
      <c r="E6466" s="3" t="s">
        <v>47</v>
      </c>
      <c r="F6466" s="3" t="s">
        <v>362</v>
      </c>
      <c r="G6466" s="5">
        <v>1E-3</v>
      </c>
      <c r="H6466" s="6" t="s">
        <v>89</v>
      </c>
      <c r="I6466" s="3" t="s">
        <v>45</v>
      </c>
    </row>
    <row r="6467" spans="1:9" ht="48" customHeight="1">
      <c r="A6467" s="3" t="s">
        <v>79</v>
      </c>
      <c r="B6467" s="3" t="s">
        <v>78</v>
      </c>
      <c r="C6467" s="4">
        <v>43466</v>
      </c>
      <c r="D6467" s="4">
        <v>43496</v>
      </c>
      <c r="E6467" s="3" t="s">
        <v>47</v>
      </c>
      <c r="F6467" s="3" t="s">
        <v>353</v>
      </c>
      <c r="G6467" s="5">
        <v>0</v>
      </c>
      <c r="H6467" s="6" t="s">
        <v>89</v>
      </c>
      <c r="I6467" s="3" t="s">
        <v>45</v>
      </c>
    </row>
    <row r="6468" spans="1:9" ht="48" customHeight="1">
      <c r="A6468" s="3" t="s">
        <v>79</v>
      </c>
      <c r="B6468" s="3" t="s">
        <v>78</v>
      </c>
      <c r="C6468" s="4">
        <v>43466</v>
      </c>
      <c r="D6468" s="4">
        <v>43496</v>
      </c>
      <c r="E6468" s="3" t="s">
        <v>47</v>
      </c>
      <c r="F6468" s="3" t="s">
        <v>354</v>
      </c>
      <c r="G6468" s="5">
        <v>0</v>
      </c>
      <c r="H6468" s="6" t="s">
        <v>89</v>
      </c>
      <c r="I6468" s="3" t="s">
        <v>45</v>
      </c>
    </row>
    <row r="6469" spans="1:9" ht="48" customHeight="1">
      <c r="A6469" s="3" t="s">
        <v>79</v>
      </c>
      <c r="B6469" s="3" t="s">
        <v>78</v>
      </c>
      <c r="C6469" s="4">
        <v>43466</v>
      </c>
      <c r="D6469" s="4">
        <v>43496</v>
      </c>
      <c r="E6469" s="3" t="s">
        <v>47</v>
      </c>
      <c r="F6469" s="3" t="s">
        <v>356</v>
      </c>
      <c r="G6469" s="5">
        <v>0</v>
      </c>
      <c r="H6469" s="6" t="s">
        <v>89</v>
      </c>
      <c r="I6469" s="3" t="s">
        <v>45</v>
      </c>
    </row>
    <row r="6470" spans="1:9" ht="48" customHeight="1">
      <c r="A6470" s="3" t="s">
        <v>79</v>
      </c>
      <c r="B6470" s="3" t="s">
        <v>78</v>
      </c>
      <c r="C6470" s="4">
        <v>43466</v>
      </c>
      <c r="D6470" s="4">
        <v>43496</v>
      </c>
      <c r="E6470" s="3" t="s">
        <v>47</v>
      </c>
      <c r="F6470" s="3" t="s">
        <v>359</v>
      </c>
      <c r="G6470" s="5">
        <v>0</v>
      </c>
      <c r="H6470" s="6" t="s">
        <v>89</v>
      </c>
      <c r="I6470" s="3" t="s">
        <v>45</v>
      </c>
    </row>
    <row r="6471" spans="1:9" ht="48" customHeight="1">
      <c r="A6471" s="3" t="s">
        <v>79</v>
      </c>
      <c r="B6471" s="3" t="s">
        <v>78</v>
      </c>
      <c r="C6471" s="4">
        <v>43466</v>
      </c>
      <c r="D6471" s="4">
        <v>43496</v>
      </c>
      <c r="E6471" s="3" t="s">
        <v>47</v>
      </c>
      <c r="F6471" s="3" t="s">
        <v>360</v>
      </c>
      <c r="G6471" s="5">
        <v>0</v>
      </c>
      <c r="H6471" s="6" t="s">
        <v>89</v>
      </c>
      <c r="I6471" s="3" t="s">
        <v>45</v>
      </c>
    </row>
    <row r="6472" spans="1:9" ht="48" customHeight="1">
      <c r="A6472" s="3" t="s">
        <v>79</v>
      </c>
      <c r="B6472" s="3" t="s">
        <v>78</v>
      </c>
      <c r="C6472" s="4">
        <v>43466</v>
      </c>
      <c r="D6472" s="4">
        <v>43496</v>
      </c>
      <c r="E6472" s="3" t="s">
        <v>47</v>
      </c>
      <c r="F6472" s="3" t="s">
        <v>361</v>
      </c>
      <c r="G6472" s="5">
        <v>0</v>
      </c>
      <c r="H6472" s="6" t="s">
        <v>89</v>
      </c>
      <c r="I6472" s="3" t="s">
        <v>45</v>
      </c>
    </row>
    <row r="6473" spans="1:9" ht="48" customHeight="1">
      <c r="A6473" s="3" t="s">
        <v>79</v>
      </c>
      <c r="B6473" s="3" t="s">
        <v>78</v>
      </c>
      <c r="C6473" s="4">
        <v>43466</v>
      </c>
      <c r="D6473" s="4">
        <v>43496</v>
      </c>
      <c r="E6473" s="3" t="s">
        <v>47</v>
      </c>
      <c r="F6473" s="3" t="s">
        <v>318</v>
      </c>
      <c r="G6473" s="5">
        <v>0</v>
      </c>
      <c r="H6473" s="6" t="s">
        <v>89</v>
      </c>
      <c r="I6473" s="3" t="s">
        <v>45</v>
      </c>
    </row>
    <row r="6474" spans="1:9" ht="48" customHeight="1">
      <c r="A6474" s="3" t="s">
        <v>79</v>
      </c>
      <c r="B6474" s="3" t="s">
        <v>78</v>
      </c>
      <c r="C6474" s="4">
        <v>43466</v>
      </c>
      <c r="D6474" s="4">
        <v>43496</v>
      </c>
      <c r="E6474" s="3" t="s">
        <v>47</v>
      </c>
      <c r="F6474" s="3" t="s">
        <v>363</v>
      </c>
      <c r="G6474" s="5">
        <v>0</v>
      </c>
      <c r="H6474" s="6" t="s">
        <v>89</v>
      </c>
      <c r="I6474" s="3" t="s">
        <v>45</v>
      </c>
    </row>
    <row r="6475" spans="1:9" ht="48" customHeight="1">
      <c r="A6475" s="3" t="s">
        <v>79</v>
      </c>
      <c r="B6475" s="3" t="s">
        <v>78</v>
      </c>
      <c r="C6475" s="4">
        <v>43466</v>
      </c>
      <c r="D6475" s="4">
        <v>43496</v>
      </c>
      <c r="E6475" s="3" t="s">
        <v>68</v>
      </c>
      <c r="F6475" s="3" t="s">
        <v>150</v>
      </c>
      <c r="G6475" s="5">
        <v>3.0000000000000001E-3</v>
      </c>
      <c r="H6475" s="6" t="s">
        <v>89</v>
      </c>
      <c r="I6475" s="3" t="s">
        <v>45</v>
      </c>
    </row>
    <row r="6476" spans="1:9" ht="48" customHeight="1">
      <c r="A6476" s="3" t="s">
        <v>79</v>
      </c>
      <c r="B6476" s="3" t="s">
        <v>78</v>
      </c>
      <c r="C6476" s="4">
        <v>43466</v>
      </c>
      <c r="D6476" s="4">
        <v>43496</v>
      </c>
      <c r="E6476" s="3" t="s">
        <v>68</v>
      </c>
      <c r="F6476" s="3" t="s">
        <v>147</v>
      </c>
      <c r="G6476" s="5">
        <v>3.0000000000000001E-3</v>
      </c>
      <c r="H6476" s="6" t="s">
        <v>89</v>
      </c>
      <c r="I6476" s="3" t="s">
        <v>45</v>
      </c>
    </row>
    <row r="6477" spans="1:9" ht="48" customHeight="1">
      <c r="A6477" s="3" t="s">
        <v>79</v>
      </c>
      <c r="B6477" s="3" t="s">
        <v>78</v>
      </c>
      <c r="C6477" s="4">
        <v>43466</v>
      </c>
      <c r="D6477" s="4">
        <v>43496</v>
      </c>
      <c r="E6477" s="3" t="s">
        <v>68</v>
      </c>
      <c r="F6477" s="3" t="s">
        <v>151</v>
      </c>
      <c r="G6477" s="5">
        <v>2E-3</v>
      </c>
      <c r="H6477" s="6" t="s">
        <v>89</v>
      </c>
      <c r="I6477" s="3" t="s">
        <v>45</v>
      </c>
    </row>
    <row r="6478" spans="1:9" ht="48" customHeight="1">
      <c r="A6478" s="3" t="s">
        <v>79</v>
      </c>
      <c r="B6478" s="3" t="s">
        <v>78</v>
      </c>
      <c r="C6478" s="4">
        <v>43466</v>
      </c>
      <c r="D6478" s="4">
        <v>43496</v>
      </c>
      <c r="E6478" s="3" t="s">
        <v>68</v>
      </c>
      <c r="F6478" s="3" t="s">
        <v>149</v>
      </c>
      <c r="G6478" s="5">
        <v>1E-3</v>
      </c>
      <c r="H6478" s="6" t="s">
        <v>89</v>
      </c>
      <c r="I6478" s="3" t="s">
        <v>45</v>
      </c>
    </row>
    <row r="6479" spans="1:9" ht="48" customHeight="1">
      <c r="A6479" s="3" t="s">
        <v>79</v>
      </c>
      <c r="B6479" s="3" t="s">
        <v>78</v>
      </c>
      <c r="C6479" s="4">
        <v>43466</v>
      </c>
      <c r="D6479" s="4">
        <v>43496</v>
      </c>
      <c r="E6479" s="3" t="s">
        <v>68</v>
      </c>
      <c r="F6479" s="3" t="s">
        <v>157</v>
      </c>
      <c r="G6479" s="5">
        <v>1E-3</v>
      </c>
      <c r="H6479" s="6" t="s">
        <v>89</v>
      </c>
      <c r="I6479" s="3" t="s">
        <v>45</v>
      </c>
    </row>
    <row r="6480" spans="1:9" ht="48" customHeight="1">
      <c r="A6480" s="3" t="s">
        <v>79</v>
      </c>
      <c r="B6480" s="3" t="s">
        <v>78</v>
      </c>
      <c r="C6480" s="4">
        <v>43466</v>
      </c>
      <c r="D6480" s="4">
        <v>43496</v>
      </c>
      <c r="E6480" s="3" t="s">
        <v>68</v>
      </c>
      <c r="F6480" s="3" t="s">
        <v>148</v>
      </c>
      <c r="G6480" s="5">
        <v>1E-3</v>
      </c>
      <c r="H6480" s="6" t="s">
        <v>89</v>
      </c>
      <c r="I6480" s="3" t="s">
        <v>45</v>
      </c>
    </row>
    <row r="6481" spans="1:9" ht="48" customHeight="1">
      <c r="A6481" s="3" t="s">
        <v>79</v>
      </c>
      <c r="B6481" s="3" t="s">
        <v>78</v>
      </c>
      <c r="C6481" s="4">
        <v>43466</v>
      </c>
      <c r="D6481" s="4">
        <v>43496</v>
      </c>
      <c r="E6481" s="3" t="s">
        <v>68</v>
      </c>
      <c r="F6481" s="3" t="s">
        <v>146</v>
      </c>
      <c r="G6481" s="5">
        <v>1E-3</v>
      </c>
      <c r="H6481" s="6" t="s">
        <v>89</v>
      </c>
      <c r="I6481" s="3" t="s">
        <v>45</v>
      </c>
    </row>
    <row r="6482" spans="1:9" ht="48" customHeight="1">
      <c r="A6482" s="3" t="s">
        <v>79</v>
      </c>
      <c r="B6482" s="3" t="s">
        <v>78</v>
      </c>
      <c r="C6482" s="4">
        <v>43466</v>
      </c>
      <c r="D6482" s="4">
        <v>43496</v>
      </c>
      <c r="E6482" s="3" t="s">
        <v>68</v>
      </c>
      <c r="F6482" s="3" t="s">
        <v>155</v>
      </c>
      <c r="G6482" s="5">
        <v>0</v>
      </c>
      <c r="H6482" s="6" t="s">
        <v>89</v>
      </c>
      <c r="I6482" s="3" t="s">
        <v>45</v>
      </c>
    </row>
    <row r="6483" spans="1:9" ht="48" customHeight="1">
      <c r="A6483" s="3" t="s">
        <v>79</v>
      </c>
      <c r="B6483" s="3" t="s">
        <v>78</v>
      </c>
      <c r="C6483" s="4">
        <v>43466</v>
      </c>
      <c r="D6483" s="4">
        <v>43496</v>
      </c>
      <c r="E6483" s="3" t="s">
        <v>68</v>
      </c>
      <c r="F6483" s="3" t="s">
        <v>152</v>
      </c>
      <c r="G6483" s="5">
        <v>0</v>
      </c>
      <c r="H6483" s="6" t="s">
        <v>89</v>
      </c>
      <c r="I6483" s="3" t="s">
        <v>45</v>
      </c>
    </row>
    <row r="6484" spans="1:9" ht="48" customHeight="1">
      <c r="A6484" s="3" t="s">
        <v>79</v>
      </c>
      <c r="B6484" s="3" t="s">
        <v>78</v>
      </c>
      <c r="C6484" s="4">
        <v>43466</v>
      </c>
      <c r="D6484" s="4">
        <v>43496</v>
      </c>
      <c r="E6484" s="3" t="s">
        <v>68</v>
      </c>
      <c r="F6484" s="3" t="s">
        <v>159</v>
      </c>
      <c r="G6484" s="5">
        <v>0</v>
      </c>
      <c r="H6484" s="6" t="s">
        <v>89</v>
      </c>
      <c r="I6484" s="3" t="s">
        <v>45</v>
      </c>
    </row>
    <row r="6485" spans="1:9" ht="48" customHeight="1">
      <c r="A6485" s="3" t="s">
        <v>79</v>
      </c>
      <c r="B6485" s="3" t="s">
        <v>78</v>
      </c>
      <c r="C6485" s="4">
        <v>43466</v>
      </c>
      <c r="D6485" s="4">
        <v>43496</v>
      </c>
      <c r="E6485" s="3" t="s">
        <v>68</v>
      </c>
      <c r="F6485" s="3" t="s">
        <v>160</v>
      </c>
      <c r="G6485" s="5">
        <v>0</v>
      </c>
      <c r="H6485" s="6" t="s">
        <v>89</v>
      </c>
      <c r="I6485" s="3" t="s">
        <v>45</v>
      </c>
    </row>
    <row r="6486" spans="1:9" ht="48" customHeight="1">
      <c r="A6486" s="3" t="s">
        <v>79</v>
      </c>
      <c r="B6486" s="3" t="s">
        <v>78</v>
      </c>
      <c r="C6486" s="4">
        <v>43466</v>
      </c>
      <c r="D6486" s="4">
        <v>43496</v>
      </c>
      <c r="E6486" s="3" t="s">
        <v>68</v>
      </c>
      <c r="F6486" s="3" t="s">
        <v>156</v>
      </c>
      <c r="G6486" s="5">
        <v>0</v>
      </c>
      <c r="H6486" s="6" t="s">
        <v>89</v>
      </c>
      <c r="I6486" s="3" t="s">
        <v>45</v>
      </c>
    </row>
    <row r="6487" spans="1:9" ht="48" customHeight="1">
      <c r="A6487" s="3" t="s">
        <v>79</v>
      </c>
      <c r="B6487" s="3" t="s">
        <v>78</v>
      </c>
      <c r="C6487" s="4">
        <v>43466</v>
      </c>
      <c r="D6487" s="4">
        <v>43496</v>
      </c>
      <c r="E6487" s="3" t="s">
        <v>68</v>
      </c>
      <c r="F6487" s="3" t="s">
        <v>158</v>
      </c>
      <c r="G6487" s="5">
        <v>0</v>
      </c>
      <c r="H6487" s="6" t="s">
        <v>89</v>
      </c>
      <c r="I6487" s="3" t="s">
        <v>45</v>
      </c>
    </row>
    <row r="6488" spans="1:9" ht="48" customHeight="1">
      <c r="A6488" s="3" t="s">
        <v>79</v>
      </c>
      <c r="B6488" s="3" t="s">
        <v>78</v>
      </c>
      <c r="C6488" s="4">
        <v>43466</v>
      </c>
      <c r="D6488" s="4">
        <v>43496</v>
      </c>
      <c r="E6488" s="3" t="s">
        <v>68</v>
      </c>
      <c r="F6488" s="3" t="s">
        <v>153</v>
      </c>
      <c r="G6488" s="5">
        <v>0</v>
      </c>
      <c r="H6488" s="6" t="s">
        <v>89</v>
      </c>
      <c r="I6488" s="3" t="s">
        <v>45</v>
      </c>
    </row>
    <row r="6489" spans="1:9" ht="48" customHeight="1">
      <c r="A6489" s="3" t="s">
        <v>79</v>
      </c>
      <c r="B6489" s="3" t="s">
        <v>78</v>
      </c>
      <c r="C6489" s="4">
        <v>43466</v>
      </c>
      <c r="D6489" s="4">
        <v>43496</v>
      </c>
      <c r="E6489" s="3" t="s">
        <v>68</v>
      </c>
      <c r="F6489" s="3" t="s">
        <v>66</v>
      </c>
      <c r="G6489" s="5">
        <v>0</v>
      </c>
      <c r="H6489" s="6" t="s">
        <v>89</v>
      </c>
      <c r="I6489" s="3" t="s">
        <v>45</v>
      </c>
    </row>
    <row r="6490" spans="1:9" ht="48" customHeight="1">
      <c r="A6490" s="3" t="s">
        <v>79</v>
      </c>
      <c r="B6490" s="3" t="s">
        <v>78</v>
      </c>
      <c r="C6490" s="4">
        <v>43466</v>
      </c>
      <c r="D6490" s="4">
        <v>43496</v>
      </c>
      <c r="E6490" s="3" t="s">
        <v>68</v>
      </c>
      <c r="F6490" s="3" t="s">
        <v>154</v>
      </c>
      <c r="G6490" s="5">
        <v>0</v>
      </c>
      <c r="H6490" s="6" t="s">
        <v>89</v>
      </c>
      <c r="I6490" s="3" t="s">
        <v>45</v>
      </c>
    </row>
    <row r="6491" spans="1:9" ht="48" customHeight="1">
      <c r="A6491" s="3" t="s">
        <v>79</v>
      </c>
      <c r="B6491" s="3" t="s">
        <v>78</v>
      </c>
      <c r="C6491" s="4">
        <v>43466</v>
      </c>
      <c r="D6491" s="4">
        <v>43496</v>
      </c>
      <c r="E6491" s="3" t="s">
        <v>236</v>
      </c>
      <c r="F6491" s="3" t="s">
        <v>239</v>
      </c>
      <c r="G6491" s="5">
        <v>2E-3</v>
      </c>
      <c r="H6491" s="6" t="s">
        <v>89</v>
      </c>
      <c r="I6491" s="3" t="s">
        <v>45</v>
      </c>
    </row>
    <row r="6492" spans="1:9" ht="48" customHeight="1">
      <c r="A6492" s="3" t="s">
        <v>79</v>
      </c>
      <c r="B6492" s="3" t="s">
        <v>78</v>
      </c>
      <c r="C6492" s="4">
        <v>43466</v>
      </c>
      <c r="D6492" s="4">
        <v>43496</v>
      </c>
      <c r="E6492" s="3" t="s">
        <v>236</v>
      </c>
      <c r="F6492" s="3" t="s">
        <v>232</v>
      </c>
      <c r="G6492" s="5">
        <v>2E-3</v>
      </c>
      <c r="H6492" s="6" t="s">
        <v>89</v>
      </c>
      <c r="I6492" s="3" t="s">
        <v>45</v>
      </c>
    </row>
    <row r="6493" spans="1:9" ht="48" customHeight="1">
      <c r="A6493" s="3" t="s">
        <v>79</v>
      </c>
      <c r="B6493" s="3" t="s">
        <v>78</v>
      </c>
      <c r="C6493" s="4">
        <v>43466</v>
      </c>
      <c r="D6493" s="4">
        <v>43496</v>
      </c>
      <c r="E6493" s="3" t="s">
        <v>236</v>
      </c>
      <c r="F6493" s="3" t="s">
        <v>240</v>
      </c>
      <c r="G6493" s="5">
        <v>1E-3</v>
      </c>
      <c r="H6493" s="6" t="s">
        <v>89</v>
      </c>
      <c r="I6493" s="3" t="s">
        <v>45</v>
      </c>
    </row>
    <row r="6494" spans="1:9" ht="48" customHeight="1">
      <c r="A6494" s="3" t="s">
        <v>79</v>
      </c>
      <c r="B6494" s="3" t="s">
        <v>78</v>
      </c>
      <c r="C6494" s="4">
        <v>43466</v>
      </c>
      <c r="D6494" s="4">
        <v>43496</v>
      </c>
      <c r="E6494" s="3" t="s">
        <v>236</v>
      </c>
      <c r="F6494" s="3" t="s">
        <v>237</v>
      </c>
      <c r="G6494" s="5">
        <v>1E-3</v>
      </c>
      <c r="H6494" s="6" t="s">
        <v>89</v>
      </c>
      <c r="I6494" s="3" t="s">
        <v>45</v>
      </c>
    </row>
    <row r="6495" spans="1:9" ht="48" customHeight="1">
      <c r="A6495" s="3" t="s">
        <v>79</v>
      </c>
      <c r="B6495" s="3" t="s">
        <v>78</v>
      </c>
      <c r="C6495" s="4">
        <v>43466</v>
      </c>
      <c r="D6495" s="4">
        <v>43496</v>
      </c>
      <c r="E6495" s="3" t="s">
        <v>236</v>
      </c>
      <c r="F6495" s="3" t="s">
        <v>238</v>
      </c>
      <c r="G6495" s="5">
        <v>1E-3</v>
      </c>
      <c r="H6495" s="6" t="s">
        <v>89</v>
      </c>
      <c r="I6495" s="3" t="s">
        <v>45</v>
      </c>
    </row>
    <row r="6496" spans="1:9" ht="48" customHeight="1">
      <c r="A6496" s="3" t="s">
        <v>79</v>
      </c>
      <c r="B6496" s="3" t="s">
        <v>78</v>
      </c>
      <c r="C6496" s="4">
        <v>43466</v>
      </c>
      <c r="D6496" s="4">
        <v>43496</v>
      </c>
      <c r="E6496" s="3" t="s">
        <v>236</v>
      </c>
      <c r="F6496" s="3" t="s">
        <v>241</v>
      </c>
      <c r="G6496" s="5">
        <v>1E-3</v>
      </c>
      <c r="H6496" s="6" t="s">
        <v>89</v>
      </c>
      <c r="I6496" s="3" t="s">
        <v>45</v>
      </c>
    </row>
    <row r="6497" spans="1:9" ht="48" customHeight="1">
      <c r="A6497" s="3" t="s">
        <v>79</v>
      </c>
      <c r="B6497" s="3" t="s">
        <v>78</v>
      </c>
      <c r="C6497" s="4">
        <v>43466</v>
      </c>
      <c r="D6497" s="4">
        <v>43496</v>
      </c>
      <c r="E6497" s="3" t="s">
        <v>236</v>
      </c>
      <c r="F6497" s="3" t="s">
        <v>230</v>
      </c>
      <c r="G6497" s="5">
        <v>0</v>
      </c>
      <c r="H6497" s="6" t="s">
        <v>89</v>
      </c>
      <c r="I6497" s="3" t="s">
        <v>45</v>
      </c>
    </row>
    <row r="6498" spans="1:9" ht="48" customHeight="1">
      <c r="A6498" s="3" t="s">
        <v>79</v>
      </c>
      <c r="B6498" s="3" t="s">
        <v>78</v>
      </c>
      <c r="C6498" s="4">
        <v>43466</v>
      </c>
      <c r="D6498" s="4">
        <v>43496</v>
      </c>
      <c r="E6498" s="3" t="s">
        <v>236</v>
      </c>
      <c r="F6498" s="3" t="s">
        <v>234</v>
      </c>
      <c r="G6498" s="5">
        <v>0</v>
      </c>
      <c r="H6498" s="6" t="s">
        <v>89</v>
      </c>
      <c r="I6498" s="3" t="s">
        <v>45</v>
      </c>
    </row>
    <row r="6499" spans="1:9" ht="48" customHeight="1">
      <c r="A6499" s="3" t="s">
        <v>79</v>
      </c>
      <c r="B6499" s="3" t="s">
        <v>78</v>
      </c>
      <c r="C6499" s="4">
        <v>43466</v>
      </c>
      <c r="D6499" s="4">
        <v>43496</v>
      </c>
      <c r="E6499" s="3" t="s">
        <v>236</v>
      </c>
      <c r="F6499" s="3" t="s">
        <v>242</v>
      </c>
      <c r="G6499" s="5">
        <v>0</v>
      </c>
      <c r="H6499" s="6" t="s">
        <v>89</v>
      </c>
      <c r="I6499" s="3" t="s">
        <v>45</v>
      </c>
    </row>
    <row r="6500" spans="1:9" ht="48" customHeight="1">
      <c r="A6500" s="3" t="s">
        <v>79</v>
      </c>
      <c r="B6500" s="3" t="s">
        <v>78</v>
      </c>
      <c r="C6500" s="4">
        <v>43466</v>
      </c>
      <c r="D6500" s="4">
        <v>43496</v>
      </c>
      <c r="E6500" s="3" t="s">
        <v>236</v>
      </c>
      <c r="F6500" s="3" t="s">
        <v>243</v>
      </c>
      <c r="G6500" s="5">
        <v>0</v>
      </c>
      <c r="H6500" s="6" t="s">
        <v>89</v>
      </c>
      <c r="I6500" s="3" t="s">
        <v>45</v>
      </c>
    </row>
    <row r="6501" spans="1:9" ht="48" customHeight="1">
      <c r="A6501" s="3" t="s">
        <v>79</v>
      </c>
      <c r="B6501" s="3" t="s">
        <v>78</v>
      </c>
      <c r="C6501" s="4">
        <v>43466</v>
      </c>
      <c r="D6501" s="4">
        <v>43496</v>
      </c>
      <c r="E6501" s="3" t="s">
        <v>231</v>
      </c>
      <c r="F6501" s="3" t="s">
        <v>232</v>
      </c>
      <c r="G6501" s="5">
        <v>2E-3</v>
      </c>
      <c r="H6501" s="6" t="s">
        <v>89</v>
      </c>
      <c r="I6501" s="3" t="s">
        <v>45</v>
      </c>
    </row>
    <row r="6502" spans="1:9" ht="48" customHeight="1">
      <c r="A6502" s="3" t="s">
        <v>79</v>
      </c>
      <c r="B6502" s="3" t="s">
        <v>78</v>
      </c>
      <c r="C6502" s="4">
        <v>43466</v>
      </c>
      <c r="D6502" s="4">
        <v>43496</v>
      </c>
      <c r="E6502" s="3" t="s">
        <v>231</v>
      </c>
      <c r="F6502" s="3" t="s">
        <v>233</v>
      </c>
      <c r="G6502" s="5">
        <v>2E-3</v>
      </c>
      <c r="H6502" s="6" t="s">
        <v>89</v>
      </c>
      <c r="I6502" s="3" t="s">
        <v>45</v>
      </c>
    </row>
    <row r="6503" spans="1:9" ht="48" customHeight="1">
      <c r="A6503" s="3" t="s">
        <v>79</v>
      </c>
      <c r="B6503" s="3" t="s">
        <v>78</v>
      </c>
      <c r="C6503" s="4">
        <v>43466</v>
      </c>
      <c r="D6503" s="4">
        <v>43496</v>
      </c>
      <c r="E6503" s="3" t="s">
        <v>231</v>
      </c>
      <c r="F6503" s="3" t="s">
        <v>234</v>
      </c>
      <c r="G6503" s="5">
        <v>1E-3</v>
      </c>
      <c r="H6503" s="6" t="s">
        <v>89</v>
      </c>
      <c r="I6503" s="3" t="s">
        <v>45</v>
      </c>
    </row>
    <row r="6504" spans="1:9" ht="48" customHeight="1">
      <c r="A6504" s="3" t="s">
        <v>79</v>
      </c>
      <c r="B6504" s="3" t="s">
        <v>78</v>
      </c>
      <c r="C6504" s="4">
        <v>43466</v>
      </c>
      <c r="D6504" s="4">
        <v>43496</v>
      </c>
      <c r="E6504" s="3" t="s">
        <v>231</v>
      </c>
      <c r="F6504" s="3" t="s">
        <v>230</v>
      </c>
      <c r="G6504" s="5">
        <v>1E-3</v>
      </c>
      <c r="H6504" s="6" t="s">
        <v>89</v>
      </c>
      <c r="I6504" s="3" t="s">
        <v>45</v>
      </c>
    </row>
    <row r="6505" spans="1:9" ht="48" customHeight="1">
      <c r="A6505" s="3" t="s">
        <v>79</v>
      </c>
      <c r="B6505" s="3" t="s">
        <v>78</v>
      </c>
      <c r="C6505" s="4">
        <v>43466</v>
      </c>
      <c r="D6505" s="4">
        <v>43496</v>
      </c>
      <c r="E6505" s="3" t="s">
        <v>231</v>
      </c>
      <c r="F6505" s="3" t="s">
        <v>235</v>
      </c>
      <c r="G6505" s="5">
        <v>1E-3</v>
      </c>
      <c r="H6505" s="6" t="s">
        <v>89</v>
      </c>
      <c r="I6505" s="3" t="s">
        <v>45</v>
      </c>
    </row>
    <row r="6506" spans="1:9" ht="48" customHeight="1">
      <c r="A6506" s="3" t="s">
        <v>79</v>
      </c>
      <c r="B6506" s="3" t="s">
        <v>78</v>
      </c>
      <c r="C6506" s="4">
        <v>43466</v>
      </c>
      <c r="D6506" s="4">
        <v>43496</v>
      </c>
      <c r="E6506" s="3" t="s">
        <v>260</v>
      </c>
      <c r="F6506" s="3" t="s">
        <v>232</v>
      </c>
      <c r="G6506" s="5">
        <v>1E-3</v>
      </c>
      <c r="H6506" s="6" t="s">
        <v>89</v>
      </c>
      <c r="I6506" s="3" t="s">
        <v>45</v>
      </c>
    </row>
    <row r="6507" spans="1:9" ht="48" customHeight="1">
      <c r="A6507" s="3" t="s">
        <v>79</v>
      </c>
      <c r="B6507" s="3" t="s">
        <v>78</v>
      </c>
      <c r="C6507" s="4">
        <v>43466</v>
      </c>
      <c r="D6507" s="4">
        <v>43496</v>
      </c>
      <c r="E6507" s="3" t="s">
        <v>260</v>
      </c>
      <c r="F6507" s="3" t="s">
        <v>262</v>
      </c>
      <c r="G6507" s="5">
        <v>1E-3</v>
      </c>
      <c r="H6507" s="6" t="s">
        <v>89</v>
      </c>
      <c r="I6507" s="3" t="s">
        <v>45</v>
      </c>
    </row>
    <row r="6508" spans="1:9" ht="48" customHeight="1">
      <c r="A6508" s="3" t="s">
        <v>79</v>
      </c>
      <c r="B6508" s="3" t="s">
        <v>78</v>
      </c>
      <c r="C6508" s="4">
        <v>43466</v>
      </c>
      <c r="D6508" s="4">
        <v>43496</v>
      </c>
      <c r="E6508" s="3" t="s">
        <v>260</v>
      </c>
      <c r="F6508" s="3" t="s">
        <v>261</v>
      </c>
      <c r="G6508" s="5">
        <v>1E-3</v>
      </c>
      <c r="H6508" s="6" t="s">
        <v>89</v>
      </c>
      <c r="I6508" s="3" t="s">
        <v>45</v>
      </c>
    </row>
    <row r="6509" spans="1:9" ht="48" customHeight="1">
      <c r="A6509" s="3" t="s">
        <v>79</v>
      </c>
      <c r="B6509" s="3" t="s">
        <v>78</v>
      </c>
      <c r="C6509" s="4">
        <v>43466</v>
      </c>
      <c r="D6509" s="4">
        <v>43496</v>
      </c>
      <c r="E6509" s="3" t="s">
        <v>260</v>
      </c>
      <c r="F6509" s="3" t="s">
        <v>263</v>
      </c>
      <c r="G6509" s="5">
        <v>1E-3</v>
      </c>
      <c r="H6509" s="6" t="s">
        <v>89</v>
      </c>
      <c r="I6509" s="3" t="s">
        <v>45</v>
      </c>
    </row>
    <row r="6510" spans="1:9" ht="48" customHeight="1">
      <c r="A6510" s="3" t="s">
        <v>79</v>
      </c>
      <c r="B6510" s="3" t="s">
        <v>78</v>
      </c>
      <c r="C6510" s="4">
        <v>43466</v>
      </c>
      <c r="D6510" s="4">
        <v>43496</v>
      </c>
      <c r="E6510" s="3" t="s">
        <v>260</v>
      </c>
      <c r="F6510" s="3" t="s">
        <v>266</v>
      </c>
      <c r="G6510" s="5">
        <v>1E-3</v>
      </c>
      <c r="H6510" s="6" t="s">
        <v>89</v>
      </c>
      <c r="I6510" s="3" t="s">
        <v>45</v>
      </c>
    </row>
    <row r="6511" spans="1:9" ht="48" customHeight="1">
      <c r="A6511" s="3" t="s">
        <v>79</v>
      </c>
      <c r="B6511" s="3" t="s">
        <v>78</v>
      </c>
      <c r="C6511" s="4">
        <v>43466</v>
      </c>
      <c r="D6511" s="4">
        <v>43496</v>
      </c>
      <c r="E6511" s="3" t="s">
        <v>260</v>
      </c>
      <c r="F6511" s="3" t="s">
        <v>264</v>
      </c>
      <c r="G6511" s="5">
        <v>1E-3</v>
      </c>
      <c r="H6511" s="6" t="s">
        <v>89</v>
      </c>
      <c r="I6511" s="3" t="s">
        <v>45</v>
      </c>
    </row>
    <row r="6512" spans="1:9" ht="48" customHeight="1">
      <c r="A6512" s="3" t="s">
        <v>79</v>
      </c>
      <c r="B6512" s="3" t="s">
        <v>78</v>
      </c>
      <c r="C6512" s="4">
        <v>43466</v>
      </c>
      <c r="D6512" s="4">
        <v>43496</v>
      </c>
      <c r="E6512" s="3" t="s">
        <v>260</v>
      </c>
      <c r="F6512" s="3" t="s">
        <v>268</v>
      </c>
      <c r="G6512" s="5">
        <v>1E-3</v>
      </c>
      <c r="H6512" s="6" t="s">
        <v>89</v>
      </c>
      <c r="I6512" s="3" t="s">
        <v>45</v>
      </c>
    </row>
    <row r="6513" spans="1:9" ht="48" customHeight="1">
      <c r="A6513" s="3" t="s">
        <v>79</v>
      </c>
      <c r="B6513" s="3" t="s">
        <v>78</v>
      </c>
      <c r="C6513" s="4">
        <v>43466</v>
      </c>
      <c r="D6513" s="4">
        <v>43496</v>
      </c>
      <c r="E6513" s="3" t="s">
        <v>260</v>
      </c>
      <c r="F6513" s="3" t="s">
        <v>234</v>
      </c>
      <c r="G6513" s="5">
        <v>0</v>
      </c>
      <c r="H6513" s="6" t="s">
        <v>89</v>
      </c>
      <c r="I6513" s="3" t="s">
        <v>45</v>
      </c>
    </row>
    <row r="6514" spans="1:9" ht="48" customHeight="1">
      <c r="A6514" s="3" t="s">
        <v>79</v>
      </c>
      <c r="B6514" s="3" t="s">
        <v>78</v>
      </c>
      <c r="C6514" s="4">
        <v>43466</v>
      </c>
      <c r="D6514" s="4">
        <v>43496</v>
      </c>
      <c r="E6514" s="3" t="s">
        <v>260</v>
      </c>
      <c r="F6514" s="3" t="s">
        <v>265</v>
      </c>
      <c r="G6514" s="5">
        <v>0</v>
      </c>
      <c r="H6514" s="6" t="s">
        <v>89</v>
      </c>
      <c r="I6514" s="3" t="s">
        <v>45</v>
      </c>
    </row>
    <row r="6515" spans="1:9" ht="48" customHeight="1">
      <c r="A6515" s="3" t="s">
        <v>79</v>
      </c>
      <c r="B6515" s="3" t="s">
        <v>78</v>
      </c>
      <c r="C6515" s="4">
        <v>43466</v>
      </c>
      <c r="D6515" s="4">
        <v>43496</v>
      </c>
      <c r="E6515" s="3" t="s">
        <v>260</v>
      </c>
      <c r="F6515" s="3" t="s">
        <v>267</v>
      </c>
      <c r="G6515" s="5">
        <v>0</v>
      </c>
      <c r="H6515" s="6" t="s">
        <v>89</v>
      </c>
      <c r="I6515" s="3" t="s">
        <v>45</v>
      </c>
    </row>
    <row r="6516" spans="1:9" ht="48" customHeight="1">
      <c r="A6516" s="3" t="s">
        <v>79</v>
      </c>
      <c r="B6516" s="3" t="s">
        <v>78</v>
      </c>
      <c r="C6516" s="4">
        <v>43466</v>
      </c>
      <c r="D6516" s="4">
        <v>43496</v>
      </c>
      <c r="E6516" s="3" t="s">
        <v>260</v>
      </c>
      <c r="F6516" s="3" t="s">
        <v>273</v>
      </c>
      <c r="G6516" s="5">
        <v>0</v>
      </c>
      <c r="H6516" s="6" t="s">
        <v>89</v>
      </c>
      <c r="I6516" s="3" t="s">
        <v>45</v>
      </c>
    </row>
    <row r="6517" spans="1:9" ht="48" customHeight="1">
      <c r="A6517" s="3" t="s">
        <v>79</v>
      </c>
      <c r="B6517" s="3" t="s">
        <v>78</v>
      </c>
      <c r="C6517" s="4">
        <v>43466</v>
      </c>
      <c r="D6517" s="4">
        <v>43496</v>
      </c>
      <c r="E6517" s="3" t="s">
        <v>260</v>
      </c>
      <c r="F6517" s="3" t="s">
        <v>274</v>
      </c>
      <c r="G6517" s="5">
        <v>0</v>
      </c>
      <c r="H6517" s="6" t="s">
        <v>89</v>
      </c>
      <c r="I6517" s="3" t="s">
        <v>45</v>
      </c>
    </row>
    <row r="6518" spans="1:9" ht="48" customHeight="1">
      <c r="A6518" s="3" t="s">
        <v>79</v>
      </c>
      <c r="B6518" s="3" t="s">
        <v>78</v>
      </c>
      <c r="C6518" s="4">
        <v>43466</v>
      </c>
      <c r="D6518" s="4">
        <v>43496</v>
      </c>
      <c r="E6518" s="3" t="s">
        <v>260</v>
      </c>
      <c r="F6518" s="3" t="s">
        <v>275</v>
      </c>
      <c r="G6518" s="5">
        <v>0</v>
      </c>
      <c r="H6518" s="6" t="s">
        <v>89</v>
      </c>
      <c r="I6518" s="3" t="s">
        <v>45</v>
      </c>
    </row>
    <row r="6519" spans="1:9" ht="48" customHeight="1">
      <c r="A6519" s="3" t="s">
        <v>79</v>
      </c>
      <c r="B6519" s="3" t="s">
        <v>78</v>
      </c>
      <c r="C6519" s="4">
        <v>43466</v>
      </c>
      <c r="D6519" s="4">
        <v>43496</v>
      </c>
      <c r="E6519" s="3" t="s">
        <v>260</v>
      </c>
      <c r="F6519" s="3" t="s">
        <v>276</v>
      </c>
      <c r="G6519" s="5">
        <v>0</v>
      </c>
      <c r="H6519" s="6" t="s">
        <v>89</v>
      </c>
      <c r="I6519" s="3" t="s">
        <v>45</v>
      </c>
    </row>
    <row r="6520" spans="1:9" ht="48" customHeight="1">
      <c r="A6520" s="3" t="s">
        <v>79</v>
      </c>
      <c r="B6520" s="3" t="s">
        <v>78</v>
      </c>
      <c r="C6520" s="4">
        <v>43466</v>
      </c>
      <c r="D6520" s="4">
        <v>43496</v>
      </c>
      <c r="E6520" s="3" t="s">
        <v>260</v>
      </c>
      <c r="F6520" s="3" t="s">
        <v>277</v>
      </c>
      <c r="G6520" s="5">
        <v>0</v>
      </c>
      <c r="H6520" s="6" t="s">
        <v>89</v>
      </c>
      <c r="I6520" s="3" t="s">
        <v>45</v>
      </c>
    </row>
    <row r="6521" spans="1:9" ht="48" customHeight="1">
      <c r="A6521" s="3" t="s">
        <v>79</v>
      </c>
      <c r="B6521" s="3" t="s">
        <v>78</v>
      </c>
      <c r="C6521" s="4">
        <v>43466</v>
      </c>
      <c r="D6521" s="4">
        <v>43496</v>
      </c>
      <c r="E6521" s="3" t="s">
        <v>260</v>
      </c>
      <c r="F6521" s="3" t="s">
        <v>278</v>
      </c>
      <c r="G6521" s="5">
        <v>0</v>
      </c>
      <c r="H6521" s="6" t="s">
        <v>89</v>
      </c>
      <c r="I6521" s="3" t="s">
        <v>45</v>
      </c>
    </row>
    <row r="6522" spans="1:9" ht="48" customHeight="1">
      <c r="A6522" s="3" t="s">
        <v>79</v>
      </c>
      <c r="B6522" s="3" t="s">
        <v>78</v>
      </c>
      <c r="C6522" s="4">
        <v>43466</v>
      </c>
      <c r="D6522" s="4">
        <v>43496</v>
      </c>
      <c r="E6522" s="3" t="s">
        <v>260</v>
      </c>
      <c r="F6522" s="3" t="s">
        <v>269</v>
      </c>
      <c r="G6522" s="5">
        <v>0</v>
      </c>
      <c r="H6522" s="6" t="s">
        <v>89</v>
      </c>
      <c r="I6522" s="3" t="s">
        <v>45</v>
      </c>
    </row>
    <row r="6523" spans="1:9" ht="48" customHeight="1">
      <c r="A6523" s="3" t="s">
        <v>79</v>
      </c>
      <c r="B6523" s="3" t="s">
        <v>78</v>
      </c>
      <c r="C6523" s="4">
        <v>43466</v>
      </c>
      <c r="D6523" s="4">
        <v>43496</v>
      </c>
      <c r="E6523" s="3" t="s">
        <v>260</v>
      </c>
      <c r="F6523" s="3" t="s">
        <v>279</v>
      </c>
      <c r="G6523" s="5">
        <v>0</v>
      </c>
      <c r="H6523" s="6" t="s">
        <v>89</v>
      </c>
      <c r="I6523" s="3" t="s">
        <v>45</v>
      </c>
    </row>
    <row r="6524" spans="1:9" ht="48" customHeight="1">
      <c r="A6524" s="3" t="s">
        <v>79</v>
      </c>
      <c r="B6524" s="3" t="s">
        <v>78</v>
      </c>
      <c r="C6524" s="4">
        <v>43466</v>
      </c>
      <c r="D6524" s="4">
        <v>43496</v>
      </c>
      <c r="E6524" s="3" t="s">
        <v>260</v>
      </c>
      <c r="F6524" s="3" t="s">
        <v>270</v>
      </c>
      <c r="G6524" s="5">
        <v>0</v>
      </c>
      <c r="H6524" s="6" t="s">
        <v>89</v>
      </c>
      <c r="I6524" s="3" t="s">
        <v>45</v>
      </c>
    </row>
    <row r="6525" spans="1:9" ht="48" customHeight="1">
      <c r="A6525" s="3" t="s">
        <v>79</v>
      </c>
      <c r="B6525" s="3" t="s">
        <v>78</v>
      </c>
      <c r="C6525" s="4">
        <v>43466</v>
      </c>
      <c r="D6525" s="4">
        <v>43496</v>
      </c>
      <c r="E6525" s="3" t="s">
        <v>260</v>
      </c>
      <c r="F6525" s="3" t="s">
        <v>280</v>
      </c>
      <c r="G6525" s="5">
        <v>0</v>
      </c>
      <c r="H6525" s="6" t="s">
        <v>89</v>
      </c>
      <c r="I6525" s="3" t="s">
        <v>45</v>
      </c>
    </row>
    <row r="6526" spans="1:9" ht="48" customHeight="1">
      <c r="A6526" s="3" t="s">
        <v>79</v>
      </c>
      <c r="B6526" s="3" t="s">
        <v>78</v>
      </c>
      <c r="C6526" s="4">
        <v>43466</v>
      </c>
      <c r="D6526" s="4">
        <v>43496</v>
      </c>
      <c r="E6526" s="3" t="s">
        <v>260</v>
      </c>
      <c r="F6526" s="3" t="s">
        <v>271</v>
      </c>
      <c r="G6526" s="5">
        <v>0</v>
      </c>
      <c r="H6526" s="6" t="s">
        <v>89</v>
      </c>
      <c r="I6526" s="3" t="s">
        <v>45</v>
      </c>
    </row>
    <row r="6527" spans="1:9" ht="48" customHeight="1">
      <c r="A6527" s="3" t="s">
        <v>79</v>
      </c>
      <c r="B6527" s="3" t="s">
        <v>78</v>
      </c>
      <c r="C6527" s="4">
        <v>43466</v>
      </c>
      <c r="D6527" s="4">
        <v>43496</v>
      </c>
      <c r="E6527" s="3" t="s">
        <v>260</v>
      </c>
      <c r="F6527" s="3" t="s">
        <v>281</v>
      </c>
      <c r="G6527" s="5">
        <v>0</v>
      </c>
      <c r="H6527" s="6" t="s">
        <v>89</v>
      </c>
      <c r="I6527" s="3" t="s">
        <v>45</v>
      </c>
    </row>
    <row r="6528" spans="1:9" ht="48" customHeight="1">
      <c r="A6528" s="3" t="s">
        <v>79</v>
      </c>
      <c r="B6528" s="3" t="s">
        <v>78</v>
      </c>
      <c r="C6528" s="4">
        <v>43466</v>
      </c>
      <c r="D6528" s="4">
        <v>43496</v>
      </c>
      <c r="E6528" s="3" t="s">
        <v>260</v>
      </c>
      <c r="F6528" s="3" t="s">
        <v>272</v>
      </c>
      <c r="G6528" s="5">
        <v>0</v>
      </c>
      <c r="H6528" s="6" t="s">
        <v>89</v>
      </c>
      <c r="I6528" s="3" t="s">
        <v>45</v>
      </c>
    </row>
    <row r="6529" spans="1:9" ht="48" customHeight="1">
      <c r="A6529" s="3" t="s">
        <v>79</v>
      </c>
      <c r="B6529" s="3" t="s">
        <v>78</v>
      </c>
      <c r="C6529" s="4">
        <v>43466</v>
      </c>
      <c r="D6529" s="4">
        <v>43496</v>
      </c>
      <c r="E6529" s="3" t="s">
        <v>260</v>
      </c>
      <c r="F6529" s="3" t="s">
        <v>282</v>
      </c>
      <c r="G6529" s="5">
        <v>0</v>
      </c>
      <c r="H6529" s="6" t="s">
        <v>89</v>
      </c>
      <c r="I6529" s="3" t="s">
        <v>45</v>
      </c>
    </row>
    <row r="6530" spans="1:9" ht="48" customHeight="1">
      <c r="A6530" s="3" t="s">
        <v>79</v>
      </c>
      <c r="B6530" s="3" t="s">
        <v>78</v>
      </c>
      <c r="C6530" s="4">
        <v>43466</v>
      </c>
      <c r="D6530" s="4">
        <v>43496</v>
      </c>
      <c r="E6530" s="3" t="s">
        <v>260</v>
      </c>
      <c r="F6530" s="3" t="s">
        <v>283</v>
      </c>
      <c r="G6530" s="5">
        <v>0</v>
      </c>
      <c r="H6530" s="6" t="s">
        <v>89</v>
      </c>
      <c r="I6530" s="3" t="s">
        <v>45</v>
      </c>
    </row>
    <row r="6531" spans="1:9" ht="48" customHeight="1">
      <c r="A6531" s="3" t="s">
        <v>79</v>
      </c>
      <c r="B6531" s="3" t="s">
        <v>78</v>
      </c>
      <c r="C6531" s="4">
        <v>43466</v>
      </c>
      <c r="D6531" s="4">
        <v>43496</v>
      </c>
      <c r="E6531" s="3" t="s">
        <v>260</v>
      </c>
      <c r="F6531" s="3" t="s">
        <v>284</v>
      </c>
      <c r="G6531" s="5">
        <v>0</v>
      </c>
      <c r="H6531" s="6" t="s">
        <v>89</v>
      </c>
      <c r="I6531" s="3" t="s">
        <v>45</v>
      </c>
    </row>
    <row r="6532" spans="1:9" ht="48" customHeight="1">
      <c r="A6532" s="3" t="s">
        <v>79</v>
      </c>
      <c r="B6532" s="3" t="s">
        <v>78</v>
      </c>
      <c r="C6532" s="4">
        <v>43466</v>
      </c>
      <c r="D6532" s="4">
        <v>43496</v>
      </c>
      <c r="E6532" s="3" t="s">
        <v>260</v>
      </c>
      <c r="F6532" s="3" t="s">
        <v>285</v>
      </c>
      <c r="G6532" s="5">
        <v>0</v>
      </c>
      <c r="H6532" s="6" t="s">
        <v>89</v>
      </c>
      <c r="I6532" s="3" t="s">
        <v>45</v>
      </c>
    </row>
    <row r="6533" spans="1:9" ht="48" customHeight="1">
      <c r="A6533" s="3" t="s">
        <v>79</v>
      </c>
      <c r="B6533" s="3" t="s">
        <v>78</v>
      </c>
      <c r="C6533" s="4">
        <v>43466</v>
      </c>
      <c r="D6533" s="4">
        <v>43496</v>
      </c>
      <c r="E6533" s="3" t="s">
        <v>301</v>
      </c>
      <c r="F6533" s="3" t="s">
        <v>301</v>
      </c>
      <c r="G6533" s="5">
        <v>3.0000000000000001E-3</v>
      </c>
      <c r="H6533" s="6" t="s">
        <v>89</v>
      </c>
      <c r="I6533" s="3" t="s">
        <v>45</v>
      </c>
    </row>
    <row r="6534" spans="1:9" ht="48" customHeight="1">
      <c r="A6534" s="3" t="s">
        <v>79</v>
      </c>
      <c r="B6534" s="3" t="s">
        <v>78</v>
      </c>
      <c r="C6534" s="4">
        <v>43466</v>
      </c>
      <c r="D6534" s="4">
        <v>43496</v>
      </c>
      <c r="E6534" s="3" t="s">
        <v>244</v>
      </c>
      <c r="F6534" s="3" t="s">
        <v>246</v>
      </c>
      <c r="G6534" s="5">
        <v>1E-3</v>
      </c>
      <c r="H6534" s="6" t="s">
        <v>89</v>
      </c>
      <c r="I6534" s="3" t="s">
        <v>45</v>
      </c>
    </row>
    <row r="6535" spans="1:9" ht="48" customHeight="1">
      <c r="A6535" s="3" t="s">
        <v>79</v>
      </c>
      <c r="B6535" s="3" t="s">
        <v>78</v>
      </c>
      <c r="C6535" s="4">
        <v>43466</v>
      </c>
      <c r="D6535" s="4">
        <v>43496</v>
      </c>
      <c r="E6535" s="3" t="s">
        <v>244</v>
      </c>
      <c r="F6535" s="3" t="s">
        <v>248</v>
      </c>
      <c r="G6535" s="5">
        <v>0</v>
      </c>
      <c r="H6535" s="6" t="s">
        <v>89</v>
      </c>
      <c r="I6535" s="3" t="s">
        <v>45</v>
      </c>
    </row>
    <row r="6536" spans="1:9" ht="48" customHeight="1">
      <c r="A6536" s="3" t="s">
        <v>79</v>
      </c>
      <c r="B6536" s="3" t="s">
        <v>78</v>
      </c>
      <c r="C6536" s="4">
        <v>43466</v>
      </c>
      <c r="D6536" s="4">
        <v>43496</v>
      </c>
      <c r="E6536" s="3" t="s">
        <v>244</v>
      </c>
      <c r="F6536" s="3" t="s">
        <v>247</v>
      </c>
      <c r="G6536" s="5">
        <v>0</v>
      </c>
      <c r="H6536" s="6" t="s">
        <v>89</v>
      </c>
      <c r="I6536" s="3" t="s">
        <v>45</v>
      </c>
    </row>
    <row r="6537" spans="1:9" ht="48" customHeight="1">
      <c r="A6537" s="3" t="s">
        <v>79</v>
      </c>
      <c r="B6537" s="3" t="s">
        <v>78</v>
      </c>
      <c r="C6537" s="4">
        <v>43466</v>
      </c>
      <c r="D6537" s="4">
        <v>43496</v>
      </c>
      <c r="E6537" s="3" t="s">
        <v>244</v>
      </c>
      <c r="F6537" s="3" t="s">
        <v>245</v>
      </c>
      <c r="G6537" s="5">
        <v>0</v>
      </c>
      <c r="H6537" s="6" t="s">
        <v>89</v>
      </c>
      <c r="I6537" s="3" t="s">
        <v>45</v>
      </c>
    </row>
    <row r="6538" spans="1:9" ht="48" customHeight="1">
      <c r="A6538" s="3" t="s">
        <v>79</v>
      </c>
      <c r="B6538" s="3" t="s">
        <v>78</v>
      </c>
      <c r="C6538" s="4">
        <v>43466</v>
      </c>
      <c r="D6538" s="4">
        <v>43496</v>
      </c>
      <c r="E6538" s="3" t="s">
        <v>244</v>
      </c>
      <c r="F6538" s="3" t="s">
        <v>250</v>
      </c>
      <c r="G6538" s="5">
        <v>0</v>
      </c>
      <c r="H6538" s="6" t="s">
        <v>89</v>
      </c>
      <c r="I6538" s="3" t="s">
        <v>45</v>
      </c>
    </row>
    <row r="6539" spans="1:9" ht="48" customHeight="1">
      <c r="A6539" s="3" t="s">
        <v>79</v>
      </c>
      <c r="B6539" s="3" t="s">
        <v>78</v>
      </c>
      <c r="C6539" s="4">
        <v>43466</v>
      </c>
      <c r="D6539" s="4">
        <v>43496</v>
      </c>
      <c r="E6539" s="3" t="s">
        <v>244</v>
      </c>
      <c r="F6539" s="3" t="s">
        <v>251</v>
      </c>
      <c r="G6539" s="5">
        <v>0</v>
      </c>
      <c r="H6539" s="6" t="s">
        <v>89</v>
      </c>
      <c r="I6539" s="3" t="s">
        <v>45</v>
      </c>
    </row>
    <row r="6540" spans="1:9" ht="48" customHeight="1">
      <c r="A6540" s="3" t="s">
        <v>79</v>
      </c>
      <c r="B6540" s="3" t="s">
        <v>78</v>
      </c>
      <c r="C6540" s="4">
        <v>43466</v>
      </c>
      <c r="D6540" s="4">
        <v>43496</v>
      </c>
      <c r="E6540" s="3" t="s">
        <v>244</v>
      </c>
      <c r="F6540" s="3" t="s">
        <v>252</v>
      </c>
      <c r="G6540" s="5">
        <v>0</v>
      </c>
      <c r="H6540" s="6" t="s">
        <v>89</v>
      </c>
      <c r="I6540" s="3" t="s">
        <v>45</v>
      </c>
    </row>
    <row r="6541" spans="1:9" ht="48" customHeight="1">
      <c r="A6541" s="3" t="s">
        <v>79</v>
      </c>
      <c r="B6541" s="3" t="s">
        <v>78</v>
      </c>
      <c r="C6541" s="4">
        <v>43466</v>
      </c>
      <c r="D6541" s="4">
        <v>43496</v>
      </c>
      <c r="E6541" s="3" t="s">
        <v>244</v>
      </c>
      <c r="F6541" s="3" t="s">
        <v>249</v>
      </c>
      <c r="G6541" s="5">
        <v>0</v>
      </c>
      <c r="H6541" s="6" t="s">
        <v>89</v>
      </c>
      <c r="I6541" s="3" t="s">
        <v>45</v>
      </c>
    </row>
    <row r="6542" spans="1:9" ht="48" customHeight="1">
      <c r="A6542" s="3" t="s">
        <v>79</v>
      </c>
      <c r="B6542" s="3" t="s">
        <v>78</v>
      </c>
      <c r="C6542" s="4">
        <v>43466</v>
      </c>
      <c r="D6542" s="4">
        <v>43496</v>
      </c>
      <c r="E6542" s="3" t="s">
        <v>244</v>
      </c>
      <c r="F6542" s="3" t="s">
        <v>255</v>
      </c>
      <c r="G6542" s="5">
        <v>0</v>
      </c>
      <c r="H6542" s="6" t="s">
        <v>89</v>
      </c>
      <c r="I6542" s="3" t="s">
        <v>45</v>
      </c>
    </row>
    <row r="6543" spans="1:9" ht="48" customHeight="1">
      <c r="A6543" s="3" t="s">
        <v>79</v>
      </c>
      <c r="B6543" s="3" t="s">
        <v>78</v>
      </c>
      <c r="C6543" s="4">
        <v>43466</v>
      </c>
      <c r="D6543" s="4">
        <v>43496</v>
      </c>
      <c r="E6543" s="3" t="s">
        <v>244</v>
      </c>
      <c r="F6543" s="3" t="s">
        <v>256</v>
      </c>
      <c r="G6543" s="5">
        <v>0</v>
      </c>
      <c r="H6543" s="6" t="s">
        <v>89</v>
      </c>
      <c r="I6543" s="3" t="s">
        <v>45</v>
      </c>
    </row>
    <row r="6544" spans="1:9" ht="48" customHeight="1">
      <c r="A6544" s="3" t="s">
        <v>79</v>
      </c>
      <c r="B6544" s="3" t="s">
        <v>78</v>
      </c>
      <c r="C6544" s="4">
        <v>43466</v>
      </c>
      <c r="D6544" s="4">
        <v>43496</v>
      </c>
      <c r="E6544" s="3" t="s">
        <v>244</v>
      </c>
      <c r="F6544" s="3" t="s">
        <v>257</v>
      </c>
      <c r="G6544" s="5">
        <v>0</v>
      </c>
      <c r="H6544" s="6" t="s">
        <v>89</v>
      </c>
      <c r="I6544" s="3" t="s">
        <v>45</v>
      </c>
    </row>
    <row r="6545" spans="1:9" ht="48" customHeight="1">
      <c r="A6545" s="3" t="s">
        <v>79</v>
      </c>
      <c r="B6545" s="3" t="s">
        <v>78</v>
      </c>
      <c r="C6545" s="4">
        <v>43466</v>
      </c>
      <c r="D6545" s="4">
        <v>43496</v>
      </c>
      <c r="E6545" s="3" t="s">
        <v>244</v>
      </c>
      <c r="F6545" s="3" t="s">
        <v>258</v>
      </c>
      <c r="G6545" s="5">
        <v>0</v>
      </c>
      <c r="H6545" s="6" t="s">
        <v>89</v>
      </c>
      <c r="I6545" s="3" t="s">
        <v>45</v>
      </c>
    </row>
    <row r="6546" spans="1:9" ht="48" customHeight="1">
      <c r="A6546" s="3" t="s">
        <v>79</v>
      </c>
      <c r="B6546" s="3" t="s">
        <v>78</v>
      </c>
      <c r="C6546" s="4">
        <v>43466</v>
      </c>
      <c r="D6546" s="4">
        <v>43496</v>
      </c>
      <c r="E6546" s="3" t="s">
        <v>244</v>
      </c>
      <c r="F6546" s="3" t="s">
        <v>259</v>
      </c>
      <c r="G6546" s="5">
        <v>0</v>
      </c>
      <c r="H6546" s="6" t="s">
        <v>89</v>
      </c>
      <c r="I6546" s="3" t="s">
        <v>45</v>
      </c>
    </row>
    <row r="6547" spans="1:9" ht="48" customHeight="1">
      <c r="A6547" s="3" t="s">
        <v>79</v>
      </c>
      <c r="B6547" s="3" t="s">
        <v>78</v>
      </c>
      <c r="C6547" s="4">
        <v>43466</v>
      </c>
      <c r="D6547" s="4">
        <v>43496</v>
      </c>
      <c r="E6547" s="3" t="s">
        <v>244</v>
      </c>
      <c r="F6547" s="3" t="s">
        <v>253</v>
      </c>
      <c r="G6547" s="5">
        <v>0</v>
      </c>
      <c r="H6547" s="6" t="s">
        <v>89</v>
      </c>
      <c r="I6547" s="3" t="s">
        <v>45</v>
      </c>
    </row>
    <row r="6548" spans="1:9" ht="48" customHeight="1">
      <c r="A6548" s="3" t="s">
        <v>79</v>
      </c>
      <c r="B6548" s="3" t="s">
        <v>78</v>
      </c>
      <c r="C6548" s="4">
        <v>43466</v>
      </c>
      <c r="D6548" s="4">
        <v>43496</v>
      </c>
      <c r="E6548" s="3" t="s">
        <v>244</v>
      </c>
      <c r="F6548" s="3" t="s">
        <v>254</v>
      </c>
      <c r="G6548" s="5">
        <v>0</v>
      </c>
      <c r="H6548" s="6" t="s">
        <v>89</v>
      </c>
      <c r="I6548" s="3" t="s">
        <v>45</v>
      </c>
    </row>
    <row r="6549" spans="1:9" ht="48" customHeight="1">
      <c r="A6549" s="3" t="s">
        <v>79</v>
      </c>
      <c r="B6549" s="3" t="s">
        <v>78</v>
      </c>
      <c r="C6549" s="4">
        <v>43466</v>
      </c>
      <c r="D6549" s="4">
        <v>43496</v>
      </c>
      <c r="E6549" s="3" t="s">
        <v>381</v>
      </c>
      <c r="F6549" s="3" t="s">
        <v>382</v>
      </c>
      <c r="G6549" s="5">
        <v>1E-3</v>
      </c>
      <c r="H6549" s="6" t="s">
        <v>89</v>
      </c>
      <c r="I6549" s="3" t="s">
        <v>45</v>
      </c>
    </row>
    <row r="6550" spans="1:9" ht="48" customHeight="1">
      <c r="A6550" s="3" t="s">
        <v>79</v>
      </c>
      <c r="B6550" s="3" t="s">
        <v>78</v>
      </c>
      <c r="C6550" s="4">
        <v>43466</v>
      </c>
      <c r="D6550" s="4">
        <v>43496</v>
      </c>
      <c r="E6550" s="3" t="s">
        <v>381</v>
      </c>
      <c r="F6550" s="3" t="s">
        <v>383</v>
      </c>
      <c r="G6550" s="5">
        <v>0</v>
      </c>
      <c r="H6550" s="6" t="s">
        <v>89</v>
      </c>
      <c r="I6550" s="3" t="s">
        <v>45</v>
      </c>
    </row>
    <row r="6551" spans="1:9" ht="48" customHeight="1">
      <c r="A6551" s="3" t="s">
        <v>79</v>
      </c>
      <c r="B6551" s="3" t="s">
        <v>78</v>
      </c>
      <c r="C6551" s="4">
        <v>43497</v>
      </c>
      <c r="D6551" s="4">
        <v>43524</v>
      </c>
      <c r="E6551" s="3" t="s">
        <v>364</v>
      </c>
      <c r="F6551" s="3" t="s">
        <v>262</v>
      </c>
      <c r="G6551" s="5">
        <v>0.11699999999999999</v>
      </c>
      <c r="H6551" s="6" t="s">
        <v>90</v>
      </c>
      <c r="I6551" s="3" t="s">
        <v>45</v>
      </c>
    </row>
    <row r="6552" spans="1:9" ht="48" customHeight="1">
      <c r="A6552" s="3" t="s">
        <v>79</v>
      </c>
      <c r="B6552" s="3" t="s">
        <v>78</v>
      </c>
      <c r="C6552" s="4">
        <v>43497</v>
      </c>
      <c r="D6552" s="4">
        <v>43524</v>
      </c>
      <c r="E6552" s="3" t="s">
        <v>364</v>
      </c>
      <c r="F6552" s="3" t="s">
        <v>366</v>
      </c>
      <c r="G6552" s="5">
        <v>7.400000000000001E-2</v>
      </c>
      <c r="H6552" s="6" t="s">
        <v>90</v>
      </c>
      <c r="I6552" s="3" t="s">
        <v>45</v>
      </c>
    </row>
    <row r="6553" spans="1:9" ht="48" customHeight="1">
      <c r="A6553" s="3" t="s">
        <v>79</v>
      </c>
      <c r="B6553" s="3" t="s">
        <v>78</v>
      </c>
      <c r="C6553" s="4">
        <v>43497</v>
      </c>
      <c r="D6553" s="4">
        <v>43524</v>
      </c>
      <c r="E6553" s="3" t="s">
        <v>364</v>
      </c>
      <c r="F6553" s="3" t="s">
        <v>365</v>
      </c>
      <c r="G6553" s="5">
        <v>5.2999999999999999E-2</v>
      </c>
      <c r="H6553" s="6" t="s">
        <v>90</v>
      </c>
      <c r="I6553" s="3" t="s">
        <v>45</v>
      </c>
    </row>
    <row r="6554" spans="1:9" ht="48" customHeight="1">
      <c r="A6554" s="3" t="s">
        <v>79</v>
      </c>
      <c r="B6554" s="3" t="s">
        <v>78</v>
      </c>
      <c r="C6554" s="4">
        <v>43497</v>
      </c>
      <c r="D6554" s="4">
        <v>43524</v>
      </c>
      <c r="E6554" s="3" t="s">
        <v>364</v>
      </c>
      <c r="F6554" s="3" t="s">
        <v>234</v>
      </c>
      <c r="G6554" s="5">
        <v>4.7E-2</v>
      </c>
      <c r="H6554" s="6" t="s">
        <v>90</v>
      </c>
      <c r="I6554" s="3" t="s">
        <v>45</v>
      </c>
    </row>
    <row r="6555" spans="1:9" ht="48" customHeight="1">
      <c r="A6555" s="3" t="s">
        <v>79</v>
      </c>
      <c r="B6555" s="3" t="s">
        <v>78</v>
      </c>
      <c r="C6555" s="4">
        <v>43497</v>
      </c>
      <c r="D6555" s="4">
        <v>43524</v>
      </c>
      <c r="E6555" s="3" t="s">
        <v>364</v>
      </c>
      <c r="F6555" s="3" t="s">
        <v>367</v>
      </c>
      <c r="G6555" s="5">
        <v>2.7000000000000003E-2</v>
      </c>
      <c r="H6555" s="6" t="s">
        <v>90</v>
      </c>
      <c r="I6555" s="3" t="s">
        <v>45</v>
      </c>
    </row>
    <row r="6556" spans="1:9" ht="48" customHeight="1">
      <c r="A6556" s="3" t="s">
        <v>79</v>
      </c>
      <c r="B6556" s="3" t="s">
        <v>78</v>
      </c>
      <c r="C6556" s="4">
        <v>43497</v>
      </c>
      <c r="D6556" s="4">
        <v>43524</v>
      </c>
      <c r="E6556" s="3" t="s">
        <v>364</v>
      </c>
      <c r="F6556" s="3" t="s">
        <v>232</v>
      </c>
      <c r="G6556" s="5">
        <v>2.6000000000000002E-2</v>
      </c>
      <c r="H6556" s="6" t="s">
        <v>90</v>
      </c>
      <c r="I6556" s="3" t="s">
        <v>45</v>
      </c>
    </row>
    <row r="6557" spans="1:9" ht="48" customHeight="1">
      <c r="A6557" s="3" t="s">
        <v>79</v>
      </c>
      <c r="B6557" s="3" t="s">
        <v>78</v>
      </c>
      <c r="C6557" s="4">
        <v>43497</v>
      </c>
      <c r="D6557" s="4">
        <v>43524</v>
      </c>
      <c r="E6557" s="3" t="s">
        <v>364</v>
      </c>
      <c r="F6557" s="3" t="s">
        <v>265</v>
      </c>
      <c r="G6557" s="5">
        <v>1.4999999999999999E-2</v>
      </c>
      <c r="H6557" s="6" t="s">
        <v>90</v>
      </c>
      <c r="I6557" s="3" t="s">
        <v>45</v>
      </c>
    </row>
    <row r="6558" spans="1:9" ht="48" customHeight="1">
      <c r="A6558" s="3" t="s">
        <v>79</v>
      </c>
      <c r="B6558" s="3" t="s">
        <v>78</v>
      </c>
      <c r="C6558" s="4">
        <v>43497</v>
      </c>
      <c r="D6558" s="4">
        <v>43524</v>
      </c>
      <c r="E6558" s="3" t="s">
        <v>364</v>
      </c>
      <c r="F6558" s="3" t="s">
        <v>230</v>
      </c>
      <c r="G6558" s="5">
        <v>1.1000000000000001E-2</v>
      </c>
      <c r="H6558" s="6" t="s">
        <v>90</v>
      </c>
      <c r="I6558" s="3" t="s">
        <v>45</v>
      </c>
    </row>
    <row r="6559" spans="1:9" ht="48" customHeight="1">
      <c r="A6559" s="3" t="s">
        <v>79</v>
      </c>
      <c r="B6559" s="3" t="s">
        <v>78</v>
      </c>
      <c r="C6559" s="4">
        <v>43497</v>
      </c>
      <c r="D6559" s="4">
        <v>43524</v>
      </c>
      <c r="E6559" s="3" t="s">
        <v>81</v>
      </c>
      <c r="F6559" s="3" t="s">
        <v>325</v>
      </c>
      <c r="G6559" s="5">
        <v>5.5E-2</v>
      </c>
      <c r="H6559" s="6" t="s">
        <v>90</v>
      </c>
      <c r="I6559" s="3" t="s">
        <v>45</v>
      </c>
    </row>
    <row r="6560" spans="1:9" ht="48" customHeight="1">
      <c r="A6560" s="3" t="s">
        <v>79</v>
      </c>
      <c r="B6560" s="3" t="s">
        <v>78</v>
      </c>
      <c r="C6560" s="4">
        <v>43497</v>
      </c>
      <c r="D6560" s="4">
        <v>43524</v>
      </c>
      <c r="E6560" s="3" t="s">
        <v>81</v>
      </c>
      <c r="F6560" s="3" t="s">
        <v>336</v>
      </c>
      <c r="G6560" s="5">
        <v>3.6000000000000004E-2</v>
      </c>
      <c r="H6560" s="6" t="s">
        <v>90</v>
      </c>
      <c r="I6560" s="3" t="s">
        <v>45</v>
      </c>
    </row>
    <row r="6561" spans="1:9" ht="48" customHeight="1">
      <c r="A6561" s="3" t="s">
        <v>79</v>
      </c>
      <c r="B6561" s="3" t="s">
        <v>78</v>
      </c>
      <c r="C6561" s="4">
        <v>43497</v>
      </c>
      <c r="D6561" s="4">
        <v>43524</v>
      </c>
      <c r="E6561" s="3" t="s">
        <v>81</v>
      </c>
      <c r="F6561" s="3" t="s">
        <v>332</v>
      </c>
      <c r="G6561" s="5">
        <v>0.03</v>
      </c>
      <c r="H6561" s="6" t="s">
        <v>90</v>
      </c>
      <c r="I6561" s="3" t="s">
        <v>45</v>
      </c>
    </row>
    <row r="6562" spans="1:9" ht="48" customHeight="1">
      <c r="A6562" s="3" t="s">
        <v>79</v>
      </c>
      <c r="B6562" s="3" t="s">
        <v>78</v>
      </c>
      <c r="C6562" s="4">
        <v>43497</v>
      </c>
      <c r="D6562" s="4">
        <v>43524</v>
      </c>
      <c r="E6562" s="3" t="s">
        <v>81</v>
      </c>
      <c r="F6562" s="3" t="s">
        <v>330</v>
      </c>
      <c r="G6562" s="5">
        <v>2.7000000000000003E-2</v>
      </c>
      <c r="H6562" s="6" t="s">
        <v>90</v>
      </c>
      <c r="I6562" s="3" t="s">
        <v>45</v>
      </c>
    </row>
    <row r="6563" spans="1:9" ht="48" customHeight="1">
      <c r="A6563" s="3" t="s">
        <v>79</v>
      </c>
      <c r="B6563" s="3" t="s">
        <v>78</v>
      </c>
      <c r="C6563" s="4">
        <v>43497</v>
      </c>
      <c r="D6563" s="4">
        <v>43524</v>
      </c>
      <c r="E6563" s="3" t="s">
        <v>81</v>
      </c>
      <c r="F6563" s="3" t="s">
        <v>343</v>
      </c>
      <c r="G6563" s="5">
        <v>1.9E-2</v>
      </c>
      <c r="H6563" s="6" t="s">
        <v>90</v>
      </c>
      <c r="I6563" s="3" t="s">
        <v>45</v>
      </c>
    </row>
    <row r="6564" spans="1:9" ht="48" customHeight="1">
      <c r="A6564" s="3" t="s">
        <v>79</v>
      </c>
      <c r="B6564" s="3" t="s">
        <v>78</v>
      </c>
      <c r="C6564" s="4">
        <v>43497</v>
      </c>
      <c r="D6564" s="4">
        <v>43524</v>
      </c>
      <c r="E6564" s="3" t="s">
        <v>81</v>
      </c>
      <c r="F6564" s="3" t="s">
        <v>328</v>
      </c>
      <c r="G6564" s="5">
        <v>1.7000000000000001E-2</v>
      </c>
      <c r="H6564" s="6" t="s">
        <v>90</v>
      </c>
      <c r="I6564" s="3" t="s">
        <v>45</v>
      </c>
    </row>
    <row r="6565" spans="1:9" ht="48" customHeight="1">
      <c r="A6565" s="3" t="s">
        <v>79</v>
      </c>
      <c r="B6565" s="3" t="s">
        <v>78</v>
      </c>
      <c r="C6565" s="4">
        <v>43497</v>
      </c>
      <c r="D6565" s="4">
        <v>43524</v>
      </c>
      <c r="E6565" s="3" t="s">
        <v>81</v>
      </c>
      <c r="F6565" s="3" t="s">
        <v>327</v>
      </c>
      <c r="G6565" s="5">
        <v>1.4999999999999999E-2</v>
      </c>
      <c r="H6565" s="6" t="s">
        <v>90</v>
      </c>
      <c r="I6565" s="3" t="s">
        <v>45</v>
      </c>
    </row>
    <row r="6566" spans="1:9" ht="48" customHeight="1">
      <c r="A6566" s="3" t="s">
        <v>79</v>
      </c>
      <c r="B6566" s="3" t="s">
        <v>78</v>
      </c>
      <c r="C6566" s="4">
        <v>43497</v>
      </c>
      <c r="D6566" s="4">
        <v>43524</v>
      </c>
      <c r="E6566" s="3" t="s">
        <v>81</v>
      </c>
      <c r="F6566" s="3" t="s">
        <v>334</v>
      </c>
      <c r="G6566" s="5">
        <v>1.4999999999999999E-2</v>
      </c>
      <c r="H6566" s="6" t="s">
        <v>90</v>
      </c>
      <c r="I6566" s="3" t="s">
        <v>45</v>
      </c>
    </row>
    <row r="6567" spans="1:9" ht="48" customHeight="1">
      <c r="A6567" s="3" t="s">
        <v>79</v>
      </c>
      <c r="B6567" s="3" t="s">
        <v>78</v>
      </c>
      <c r="C6567" s="4">
        <v>43497</v>
      </c>
      <c r="D6567" s="4">
        <v>43524</v>
      </c>
      <c r="E6567" s="3" t="s">
        <v>81</v>
      </c>
      <c r="F6567" s="3" t="s">
        <v>326</v>
      </c>
      <c r="G6567" s="5">
        <v>1.3999999999999999E-2</v>
      </c>
      <c r="H6567" s="6" t="s">
        <v>90</v>
      </c>
      <c r="I6567" s="3" t="s">
        <v>45</v>
      </c>
    </row>
    <row r="6568" spans="1:9" ht="48" customHeight="1">
      <c r="A6568" s="3" t="s">
        <v>79</v>
      </c>
      <c r="B6568" s="3" t="s">
        <v>78</v>
      </c>
      <c r="C6568" s="4">
        <v>43497</v>
      </c>
      <c r="D6568" s="4">
        <v>43524</v>
      </c>
      <c r="E6568" s="3" t="s">
        <v>81</v>
      </c>
      <c r="F6568" s="3" t="s">
        <v>333</v>
      </c>
      <c r="G6568" s="5">
        <v>1.1000000000000001E-2</v>
      </c>
      <c r="H6568" s="6" t="s">
        <v>90</v>
      </c>
      <c r="I6568" s="3" t="s">
        <v>45</v>
      </c>
    </row>
    <row r="6569" spans="1:9" ht="48" customHeight="1">
      <c r="A6569" s="3" t="s">
        <v>79</v>
      </c>
      <c r="B6569" s="3" t="s">
        <v>78</v>
      </c>
      <c r="C6569" s="4">
        <v>43497</v>
      </c>
      <c r="D6569" s="4">
        <v>43524</v>
      </c>
      <c r="E6569" s="3" t="s">
        <v>81</v>
      </c>
      <c r="F6569" s="3" t="s">
        <v>344</v>
      </c>
      <c r="G6569" s="5">
        <v>8.0000000000000002E-3</v>
      </c>
      <c r="H6569" s="6" t="s">
        <v>90</v>
      </c>
      <c r="I6569" s="3" t="s">
        <v>45</v>
      </c>
    </row>
    <row r="6570" spans="1:9" ht="48" customHeight="1">
      <c r="A6570" s="3" t="s">
        <v>79</v>
      </c>
      <c r="B6570" s="3" t="s">
        <v>78</v>
      </c>
      <c r="C6570" s="4">
        <v>43497</v>
      </c>
      <c r="D6570" s="4">
        <v>43524</v>
      </c>
      <c r="E6570" s="3" t="s">
        <v>81</v>
      </c>
      <c r="F6570" s="3" t="s">
        <v>331</v>
      </c>
      <c r="G6570" s="5">
        <v>6.0000000000000001E-3</v>
      </c>
      <c r="H6570" s="6" t="s">
        <v>90</v>
      </c>
      <c r="I6570" s="3" t="s">
        <v>45</v>
      </c>
    </row>
    <row r="6571" spans="1:9" ht="48" customHeight="1">
      <c r="A6571" s="3" t="s">
        <v>79</v>
      </c>
      <c r="B6571" s="3" t="s">
        <v>78</v>
      </c>
      <c r="C6571" s="4">
        <v>43497</v>
      </c>
      <c r="D6571" s="4">
        <v>43524</v>
      </c>
      <c r="E6571" s="3" t="s">
        <v>81</v>
      </c>
      <c r="F6571" s="3" t="s">
        <v>329</v>
      </c>
      <c r="G6571" s="5">
        <v>4.0000000000000001E-3</v>
      </c>
      <c r="H6571" s="6" t="s">
        <v>90</v>
      </c>
      <c r="I6571" s="3" t="s">
        <v>45</v>
      </c>
    </row>
    <row r="6572" spans="1:9" ht="48" customHeight="1">
      <c r="A6572" s="3" t="s">
        <v>79</v>
      </c>
      <c r="B6572" s="3" t="s">
        <v>78</v>
      </c>
      <c r="C6572" s="4">
        <v>43497</v>
      </c>
      <c r="D6572" s="4">
        <v>43524</v>
      </c>
      <c r="E6572" s="3" t="s">
        <v>81</v>
      </c>
      <c r="F6572" s="3" t="s">
        <v>335</v>
      </c>
      <c r="G6572" s="5">
        <v>3.0000000000000001E-3</v>
      </c>
      <c r="H6572" s="6" t="s">
        <v>90</v>
      </c>
      <c r="I6572" s="3" t="s">
        <v>45</v>
      </c>
    </row>
    <row r="6573" spans="1:9" ht="48" customHeight="1">
      <c r="A6573" s="3" t="s">
        <v>79</v>
      </c>
      <c r="B6573" s="3" t="s">
        <v>78</v>
      </c>
      <c r="C6573" s="4">
        <v>43497</v>
      </c>
      <c r="D6573" s="4">
        <v>43524</v>
      </c>
      <c r="E6573" s="3" t="s">
        <v>81</v>
      </c>
      <c r="F6573" s="3" t="s">
        <v>337</v>
      </c>
      <c r="G6573" s="5">
        <v>3.0000000000000001E-3</v>
      </c>
      <c r="H6573" s="6" t="s">
        <v>90</v>
      </c>
      <c r="I6573" s="3" t="s">
        <v>45</v>
      </c>
    </row>
    <row r="6574" spans="1:9" ht="48" customHeight="1">
      <c r="A6574" s="3" t="s">
        <v>79</v>
      </c>
      <c r="B6574" s="3" t="s">
        <v>78</v>
      </c>
      <c r="C6574" s="4">
        <v>43497</v>
      </c>
      <c r="D6574" s="4">
        <v>43524</v>
      </c>
      <c r="E6574" s="3" t="s">
        <v>81</v>
      </c>
      <c r="F6574" s="3" t="s">
        <v>345</v>
      </c>
      <c r="G6574" s="5">
        <v>3.0000000000000001E-3</v>
      </c>
      <c r="H6574" s="6" t="s">
        <v>90</v>
      </c>
      <c r="I6574" s="3" t="s">
        <v>45</v>
      </c>
    </row>
    <row r="6575" spans="1:9" ht="48" customHeight="1">
      <c r="A6575" s="3" t="s">
        <v>79</v>
      </c>
      <c r="B6575" s="3" t="s">
        <v>78</v>
      </c>
      <c r="C6575" s="4">
        <v>43497</v>
      </c>
      <c r="D6575" s="4">
        <v>43524</v>
      </c>
      <c r="E6575" s="3" t="s">
        <v>81</v>
      </c>
      <c r="F6575" s="3" t="s">
        <v>338</v>
      </c>
      <c r="G6575" s="5">
        <v>2E-3</v>
      </c>
      <c r="H6575" s="6" t="s">
        <v>90</v>
      </c>
      <c r="I6575" s="3" t="s">
        <v>45</v>
      </c>
    </row>
    <row r="6576" spans="1:9" ht="48" customHeight="1">
      <c r="A6576" s="3" t="s">
        <v>79</v>
      </c>
      <c r="B6576" s="3" t="s">
        <v>78</v>
      </c>
      <c r="C6576" s="4">
        <v>43497</v>
      </c>
      <c r="D6576" s="4">
        <v>43524</v>
      </c>
      <c r="E6576" s="3" t="s">
        <v>81</v>
      </c>
      <c r="F6576" s="3" t="s">
        <v>339</v>
      </c>
      <c r="G6576" s="5">
        <v>2E-3</v>
      </c>
      <c r="H6576" s="6" t="s">
        <v>90</v>
      </c>
      <c r="I6576" s="3" t="s">
        <v>45</v>
      </c>
    </row>
    <row r="6577" spans="1:9" ht="48" customHeight="1">
      <c r="A6577" s="3" t="s">
        <v>79</v>
      </c>
      <c r="B6577" s="3" t="s">
        <v>78</v>
      </c>
      <c r="C6577" s="4">
        <v>43497</v>
      </c>
      <c r="D6577" s="4">
        <v>43524</v>
      </c>
      <c r="E6577" s="3" t="s">
        <v>81</v>
      </c>
      <c r="F6577" s="3" t="s">
        <v>340</v>
      </c>
      <c r="G6577" s="5">
        <v>2E-3</v>
      </c>
      <c r="H6577" s="6" t="s">
        <v>90</v>
      </c>
      <c r="I6577" s="3" t="s">
        <v>45</v>
      </c>
    </row>
    <row r="6578" spans="1:9" ht="48" customHeight="1">
      <c r="A6578" s="3" t="s">
        <v>79</v>
      </c>
      <c r="B6578" s="3" t="s">
        <v>78</v>
      </c>
      <c r="C6578" s="4">
        <v>43497</v>
      </c>
      <c r="D6578" s="4">
        <v>43524</v>
      </c>
      <c r="E6578" s="3" t="s">
        <v>81</v>
      </c>
      <c r="F6578" s="3" t="s">
        <v>341</v>
      </c>
      <c r="G6578" s="5">
        <v>2E-3</v>
      </c>
      <c r="H6578" s="6" t="s">
        <v>90</v>
      </c>
      <c r="I6578" s="3" t="s">
        <v>45</v>
      </c>
    </row>
    <row r="6579" spans="1:9" ht="48" customHeight="1">
      <c r="A6579" s="3" t="s">
        <v>79</v>
      </c>
      <c r="B6579" s="3" t="s">
        <v>78</v>
      </c>
      <c r="C6579" s="4">
        <v>43497</v>
      </c>
      <c r="D6579" s="4">
        <v>43524</v>
      </c>
      <c r="E6579" s="3" t="s">
        <v>81</v>
      </c>
      <c r="F6579" s="3" t="s">
        <v>342</v>
      </c>
      <c r="G6579" s="5">
        <v>2E-3</v>
      </c>
      <c r="H6579" s="6" t="s">
        <v>90</v>
      </c>
      <c r="I6579" s="3" t="s">
        <v>45</v>
      </c>
    </row>
    <row r="6580" spans="1:9" ht="48" customHeight="1">
      <c r="A6580" s="3" t="s">
        <v>79</v>
      </c>
      <c r="B6580" s="3" t="s">
        <v>78</v>
      </c>
      <c r="C6580" s="4">
        <v>43497</v>
      </c>
      <c r="D6580" s="4">
        <v>43524</v>
      </c>
      <c r="E6580" s="3" t="s">
        <v>81</v>
      </c>
      <c r="F6580" s="3" t="s">
        <v>346</v>
      </c>
      <c r="G6580" s="5">
        <v>2E-3</v>
      </c>
      <c r="H6580" s="6" t="s">
        <v>90</v>
      </c>
      <c r="I6580" s="3" t="s">
        <v>45</v>
      </c>
    </row>
    <row r="6581" spans="1:9" ht="48" customHeight="1">
      <c r="A6581" s="3" t="s">
        <v>79</v>
      </c>
      <c r="B6581" s="3" t="s">
        <v>78</v>
      </c>
      <c r="C6581" s="4">
        <v>43497</v>
      </c>
      <c r="D6581" s="4">
        <v>43524</v>
      </c>
      <c r="E6581" s="3" t="s">
        <v>81</v>
      </c>
      <c r="F6581" s="3" t="s">
        <v>347</v>
      </c>
      <c r="G6581" s="5">
        <v>1E-3</v>
      </c>
      <c r="H6581" s="6" t="s">
        <v>90</v>
      </c>
      <c r="I6581" s="3" t="s">
        <v>45</v>
      </c>
    </row>
    <row r="6582" spans="1:9" ht="48" customHeight="1">
      <c r="A6582" s="3" t="s">
        <v>79</v>
      </c>
      <c r="B6582" s="3" t="s">
        <v>78</v>
      </c>
      <c r="C6582" s="4">
        <v>43497</v>
      </c>
      <c r="D6582" s="4">
        <v>43524</v>
      </c>
      <c r="E6582" s="3" t="s">
        <v>161</v>
      </c>
      <c r="F6582" s="3" t="s">
        <v>167</v>
      </c>
      <c r="G6582" s="5">
        <v>4.0000000000000001E-3</v>
      </c>
      <c r="H6582" s="6" t="s">
        <v>90</v>
      </c>
      <c r="I6582" s="3" t="s">
        <v>45</v>
      </c>
    </row>
    <row r="6583" spans="1:9" ht="48" customHeight="1">
      <c r="A6583" s="3" t="s">
        <v>79</v>
      </c>
      <c r="B6583" s="3" t="s">
        <v>78</v>
      </c>
      <c r="C6583" s="4">
        <v>43497</v>
      </c>
      <c r="D6583" s="4">
        <v>43524</v>
      </c>
      <c r="E6583" s="3" t="s">
        <v>161</v>
      </c>
      <c r="F6583" s="3" t="s">
        <v>168</v>
      </c>
      <c r="G6583" s="5">
        <v>4.0000000000000001E-3</v>
      </c>
      <c r="H6583" s="6" t="s">
        <v>90</v>
      </c>
      <c r="I6583" s="3" t="s">
        <v>45</v>
      </c>
    </row>
    <row r="6584" spans="1:9" ht="48" customHeight="1">
      <c r="A6584" s="3" t="s">
        <v>79</v>
      </c>
      <c r="B6584" s="3" t="s">
        <v>78</v>
      </c>
      <c r="C6584" s="4">
        <v>43497</v>
      </c>
      <c r="D6584" s="4">
        <v>43524</v>
      </c>
      <c r="E6584" s="3" t="s">
        <v>161</v>
      </c>
      <c r="F6584" s="3" t="s">
        <v>162</v>
      </c>
      <c r="G6584" s="5">
        <v>4.0000000000000001E-3</v>
      </c>
      <c r="H6584" s="6" t="s">
        <v>90</v>
      </c>
      <c r="I6584" s="3" t="s">
        <v>45</v>
      </c>
    </row>
    <row r="6585" spans="1:9" ht="48" customHeight="1">
      <c r="A6585" s="3" t="s">
        <v>79</v>
      </c>
      <c r="B6585" s="3" t="s">
        <v>78</v>
      </c>
      <c r="C6585" s="4">
        <v>43497</v>
      </c>
      <c r="D6585" s="4">
        <v>43524</v>
      </c>
      <c r="E6585" s="3" t="s">
        <v>161</v>
      </c>
      <c r="F6585" s="3" t="s">
        <v>172</v>
      </c>
      <c r="G6585" s="5">
        <v>4.0000000000000001E-3</v>
      </c>
      <c r="H6585" s="6" t="s">
        <v>90</v>
      </c>
      <c r="I6585" s="3" t="s">
        <v>45</v>
      </c>
    </row>
    <row r="6586" spans="1:9" ht="48" customHeight="1">
      <c r="A6586" s="3" t="s">
        <v>79</v>
      </c>
      <c r="B6586" s="3" t="s">
        <v>78</v>
      </c>
      <c r="C6586" s="4">
        <v>43497</v>
      </c>
      <c r="D6586" s="4">
        <v>43524</v>
      </c>
      <c r="E6586" s="3" t="s">
        <v>161</v>
      </c>
      <c r="F6586" s="3" t="s">
        <v>166</v>
      </c>
      <c r="G6586" s="5">
        <v>4.0000000000000001E-3</v>
      </c>
      <c r="H6586" s="6" t="s">
        <v>90</v>
      </c>
      <c r="I6586" s="3" t="s">
        <v>45</v>
      </c>
    </row>
    <row r="6587" spans="1:9" ht="48" customHeight="1">
      <c r="A6587" s="3" t="s">
        <v>79</v>
      </c>
      <c r="B6587" s="3" t="s">
        <v>78</v>
      </c>
      <c r="C6587" s="4">
        <v>43497</v>
      </c>
      <c r="D6587" s="4">
        <v>43524</v>
      </c>
      <c r="E6587" s="3" t="s">
        <v>161</v>
      </c>
      <c r="F6587" s="3" t="s">
        <v>180</v>
      </c>
      <c r="G6587" s="5">
        <v>3.0000000000000001E-3</v>
      </c>
      <c r="H6587" s="6" t="s">
        <v>90</v>
      </c>
      <c r="I6587" s="3" t="s">
        <v>45</v>
      </c>
    </row>
    <row r="6588" spans="1:9" ht="48" customHeight="1">
      <c r="A6588" s="3" t="s">
        <v>79</v>
      </c>
      <c r="B6588" s="3" t="s">
        <v>78</v>
      </c>
      <c r="C6588" s="4">
        <v>43497</v>
      </c>
      <c r="D6588" s="4">
        <v>43524</v>
      </c>
      <c r="E6588" s="3" t="s">
        <v>161</v>
      </c>
      <c r="F6588" s="3" t="s">
        <v>181</v>
      </c>
      <c r="G6588" s="5">
        <v>3.0000000000000001E-3</v>
      </c>
      <c r="H6588" s="6" t="s">
        <v>90</v>
      </c>
      <c r="I6588" s="3" t="s">
        <v>45</v>
      </c>
    </row>
    <row r="6589" spans="1:9" ht="48" customHeight="1">
      <c r="A6589" s="3" t="s">
        <v>79</v>
      </c>
      <c r="B6589" s="3" t="s">
        <v>78</v>
      </c>
      <c r="C6589" s="4">
        <v>43497</v>
      </c>
      <c r="D6589" s="4">
        <v>43524</v>
      </c>
      <c r="E6589" s="3" t="s">
        <v>161</v>
      </c>
      <c r="F6589" s="3" t="s">
        <v>173</v>
      </c>
      <c r="G6589" s="5">
        <v>3.0000000000000001E-3</v>
      </c>
      <c r="H6589" s="6" t="s">
        <v>90</v>
      </c>
      <c r="I6589" s="3" t="s">
        <v>45</v>
      </c>
    </row>
    <row r="6590" spans="1:9" ht="48" customHeight="1">
      <c r="A6590" s="3" t="s">
        <v>79</v>
      </c>
      <c r="B6590" s="3" t="s">
        <v>78</v>
      </c>
      <c r="C6590" s="4">
        <v>43497</v>
      </c>
      <c r="D6590" s="4">
        <v>43524</v>
      </c>
      <c r="E6590" s="3" t="s">
        <v>161</v>
      </c>
      <c r="F6590" s="3" t="s">
        <v>184</v>
      </c>
      <c r="G6590" s="5">
        <v>3.0000000000000001E-3</v>
      </c>
      <c r="H6590" s="6" t="s">
        <v>90</v>
      </c>
      <c r="I6590" s="3" t="s">
        <v>45</v>
      </c>
    </row>
    <row r="6591" spans="1:9" ht="48" customHeight="1">
      <c r="A6591" s="3" t="s">
        <v>79</v>
      </c>
      <c r="B6591" s="3" t="s">
        <v>78</v>
      </c>
      <c r="C6591" s="4">
        <v>43497</v>
      </c>
      <c r="D6591" s="4">
        <v>43524</v>
      </c>
      <c r="E6591" s="3" t="s">
        <v>161</v>
      </c>
      <c r="F6591" s="3" t="s">
        <v>174</v>
      </c>
      <c r="G6591" s="5">
        <v>2E-3</v>
      </c>
      <c r="H6591" s="6" t="s">
        <v>90</v>
      </c>
      <c r="I6591" s="3" t="s">
        <v>45</v>
      </c>
    </row>
    <row r="6592" spans="1:9" ht="48" customHeight="1">
      <c r="A6592" s="3" t="s">
        <v>79</v>
      </c>
      <c r="B6592" s="3" t="s">
        <v>78</v>
      </c>
      <c r="C6592" s="4">
        <v>43497</v>
      </c>
      <c r="D6592" s="4">
        <v>43524</v>
      </c>
      <c r="E6592" s="3" t="s">
        <v>161</v>
      </c>
      <c r="F6592" s="3" t="s">
        <v>164</v>
      </c>
      <c r="G6592" s="5">
        <v>2E-3</v>
      </c>
      <c r="H6592" s="6" t="s">
        <v>90</v>
      </c>
      <c r="I6592" s="3" t="s">
        <v>45</v>
      </c>
    </row>
    <row r="6593" spans="1:9" ht="48" customHeight="1">
      <c r="A6593" s="3" t="s">
        <v>79</v>
      </c>
      <c r="B6593" s="3" t="s">
        <v>78</v>
      </c>
      <c r="C6593" s="4">
        <v>43497</v>
      </c>
      <c r="D6593" s="4">
        <v>43524</v>
      </c>
      <c r="E6593" s="3" t="s">
        <v>161</v>
      </c>
      <c r="F6593" s="3" t="s">
        <v>189</v>
      </c>
      <c r="G6593" s="5">
        <v>2E-3</v>
      </c>
      <c r="H6593" s="6" t="s">
        <v>90</v>
      </c>
      <c r="I6593" s="3" t="s">
        <v>45</v>
      </c>
    </row>
    <row r="6594" spans="1:9" ht="48" customHeight="1">
      <c r="A6594" s="3" t="s">
        <v>79</v>
      </c>
      <c r="B6594" s="3" t="s">
        <v>78</v>
      </c>
      <c r="C6594" s="4">
        <v>43497</v>
      </c>
      <c r="D6594" s="4">
        <v>43524</v>
      </c>
      <c r="E6594" s="3" t="s">
        <v>161</v>
      </c>
      <c r="F6594" s="3" t="s">
        <v>191</v>
      </c>
      <c r="G6594" s="5">
        <v>2E-3</v>
      </c>
      <c r="H6594" s="6" t="s">
        <v>90</v>
      </c>
      <c r="I6594" s="3" t="s">
        <v>45</v>
      </c>
    </row>
    <row r="6595" spans="1:9" ht="48" customHeight="1">
      <c r="A6595" s="3" t="s">
        <v>79</v>
      </c>
      <c r="B6595" s="3" t="s">
        <v>78</v>
      </c>
      <c r="C6595" s="4">
        <v>43497</v>
      </c>
      <c r="D6595" s="4">
        <v>43524</v>
      </c>
      <c r="E6595" s="3" t="s">
        <v>161</v>
      </c>
      <c r="F6595" s="3" t="s">
        <v>169</v>
      </c>
      <c r="G6595" s="5">
        <v>2E-3</v>
      </c>
      <c r="H6595" s="6" t="s">
        <v>90</v>
      </c>
      <c r="I6595" s="3" t="s">
        <v>45</v>
      </c>
    </row>
    <row r="6596" spans="1:9" ht="48" customHeight="1">
      <c r="A6596" s="3" t="s">
        <v>79</v>
      </c>
      <c r="B6596" s="3" t="s">
        <v>78</v>
      </c>
      <c r="C6596" s="4">
        <v>43497</v>
      </c>
      <c r="D6596" s="4">
        <v>43524</v>
      </c>
      <c r="E6596" s="3" t="s">
        <v>161</v>
      </c>
      <c r="F6596" s="3" t="s">
        <v>186</v>
      </c>
      <c r="G6596" s="5">
        <v>2E-3</v>
      </c>
      <c r="H6596" s="6" t="s">
        <v>90</v>
      </c>
      <c r="I6596" s="3" t="s">
        <v>45</v>
      </c>
    </row>
    <row r="6597" spans="1:9" ht="48" customHeight="1">
      <c r="A6597" s="3" t="s">
        <v>79</v>
      </c>
      <c r="B6597" s="3" t="s">
        <v>78</v>
      </c>
      <c r="C6597" s="4">
        <v>43497</v>
      </c>
      <c r="D6597" s="4">
        <v>43524</v>
      </c>
      <c r="E6597" s="3" t="s">
        <v>161</v>
      </c>
      <c r="F6597" s="3" t="s">
        <v>170</v>
      </c>
      <c r="G6597" s="5">
        <v>2E-3</v>
      </c>
      <c r="H6597" s="6" t="s">
        <v>90</v>
      </c>
      <c r="I6597" s="3" t="s">
        <v>45</v>
      </c>
    </row>
    <row r="6598" spans="1:9" ht="48" customHeight="1">
      <c r="A6598" s="3" t="s">
        <v>79</v>
      </c>
      <c r="B6598" s="3" t="s">
        <v>78</v>
      </c>
      <c r="C6598" s="4">
        <v>43497</v>
      </c>
      <c r="D6598" s="4">
        <v>43524</v>
      </c>
      <c r="E6598" s="3" t="s">
        <v>161</v>
      </c>
      <c r="F6598" s="3" t="s">
        <v>171</v>
      </c>
      <c r="G6598" s="5">
        <v>2E-3</v>
      </c>
      <c r="H6598" s="6" t="s">
        <v>90</v>
      </c>
      <c r="I6598" s="3" t="s">
        <v>45</v>
      </c>
    </row>
    <row r="6599" spans="1:9" ht="48" customHeight="1">
      <c r="A6599" s="3" t="s">
        <v>79</v>
      </c>
      <c r="B6599" s="3" t="s">
        <v>78</v>
      </c>
      <c r="C6599" s="4">
        <v>43497</v>
      </c>
      <c r="D6599" s="4">
        <v>43524</v>
      </c>
      <c r="E6599" s="3" t="s">
        <v>161</v>
      </c>
      <c r="F6599" s="3" t="s">
        <v>177</v>
      </c>
      <c r="G6599" s="5">
        <v>2E-3</v>
      </c>
      <c r="H6599" s="6" t="s">
        <v>90</v>
      </c>
      <c r="I6599" s="3" t="s">
        <v>45</v>
      </c>
    </row>
    <row r="6600" spans="1:9" ht="48" customHeight="1">
      <c r="A6600" s="3" t="s">
        <v>79</v>
      </c>
      <c r="B6600" s="3" t="s">
        <v>78</v>
      </c>
      <c r="C6600" s="4">
        <v>43497</v>
      </c>
      <c r="D6600" s="4">
        <v>43524</v>
      </c>
      <c r="E6600" s="3" t="s">
        <v>161</v>
      </c>
      <c r="F6600" s="3" t="s">
        <v>187</v>
      </c>
      <c r="G6600" s="5">
        <v>2E-3</v>
      </c>
      <c r="H6600" s="6" t="s">
        <v>90</v>
      </c>
      <c r="I6600" s="3" t="s">
        <v>45</v>
      </c>
    </row>
    <row r="6601" spans="1:9" ht="48" customHeight="1">
      <c r="A6601" s="3" t="s">
        <v>79</v>
      </c>
      <c r="B6601" s="3" t="s">
        <v>78</v>
      </c>
      <c r="C6601" s="4">
        <v>43497</v>
      </c>
      <c r="D6601" s="4">
        <v>43524</v>
      </c>
      <c r="E6601" s="3" t="s">
        <v>161</v>
      </c>
      <c r="F6601" s="3" t="s">
        <v>193</v>
      </c>
      <c r="G6601" s="5">
        <v>2E-3</v>
      </c>
      <c r="H6601" s="6" t="s">
        <v>90</v>
      </c>
      <c r="I6601" s="3" t="s">
        <v>45</v>
      </c>
    </row>
    <row r="6602" spans="1:9" ht="48" customHeight="1">
      <c r="A6602" s="3" t="s">
        <v>79</v>
      </c>
      <c r="B6602" s="3" t="s">
        <v>78</v>
      </c>
      <c r="C6602" s="4">
        <v>43497</v>
      </c>
      <c r="D6602" s="4">
        <v>43524</v>
      </c>
      <c r="E6602" s="3" t="s">
        <v>161</v>
      </c>
      <c r="F6602" s="3" t="s">
        <v>178</v>
      </c>
      <c r="G6602" s="5">
        <v>2E-3</v>
      </c>
      <c r="H6602" s="6" t="s">
        <v>90</v>
      </c>
      <c r="I6602" s="3" t="s">
        <v>45</v>
      </c>
    </row>
    <row r="6603" spans="1:9" ht="48" customHeight="1">
      <c r="A6603" s="3" t="s">
        <v>79</v>
      </c>
      <c r="B6603" s="3" t="s">
        <v>78</v>
      </c>
      <c r="C6603" s="4">
        <v>43497</v>
      </c>
      <c r="D6603" s="4">
        <v>43524</v>
      </c>
      <c r="E6603" s="3" t="s">
        <v>161</v>
      </c>
      <c r="F6603" s="3" t="s">
        <v>163</v>
      </c>
      <c r="G6603" s="5">
        <v>2E-3</v>
      </c>
      <c r="H6603" s="6" t="s">
        <v>90</v>
      </c>
      <c r="I6603" s="3" t="s">
        <v>45</v>
      </c>
    </row>
    <row r="6604" spans="1:9" ht="48" customHeight="1">
      <c r="A6604" s="3" t="s">
        <v>79</v>
      </c>
      <c r="B6604" s="3" t="s">
        <v>78</v>
      </c>
      <c r="C6604" s="4">
        <v>43497</v>
      </c>
      <c r="D6604" s="4">
        <v>43524</v>
      </c>
      <c r="E6604" s="3" t="s">
        <v>161</v>
      </c>
      <c r="F6604" s="3" t="s">
        <v>179</v>
      </c>
      <c r="G6604" s="5">
        <v>2E-3</v>
      </c>
      <c r="H6604" s="6" t="s">
        <v>90</v>
      </c>
      <c r="I6604" s="3" t="s">
        <v>45</v>
      </c>
    </row>
    <row r="6605" spans="1:9" ht="48" customHeight="1">
      <c r="A6605" s="3" t="s">
        <v>79</v>
      </c>
      <c r="B6605" s="3" t="s">
        <v>78</v>
      </c>
      <c r="C6605" s="4">
        <v>43497</v>
      </c>
      <c r="D6605" s="4">
        <v>43524</v>
      </c>
      <c r="E6605" s="3" t="s">
        <v>161</v>
      </c>
      <c r="F6605" s="3" t="s">
        <v>188</v>
      </c>
      <c r="G6605" s="5">
        <v>2E-3</v>
      </c>
      <c r="H6605" s="6" t="s">
        <v>90</v>
      </c>
      <c r="I6605" s="3" t="s">
        <v>45</v>
      </c>
    </row>
    <row r="6606" spans="1:9" ht="48" customHeight="1">
      <c r="A6606" s="3" t="s">
        <v>79</v>
      </c>
      <c r="B6606" s="3" t="s">
        <v>78</v>
      </c>
      <c r="C6606" s="4">
        <v>43497</v>
      </c>
      <c r="D6606" s="4">
        <v>43524</v>
      </c>
      <c r="E6606" s="3" t="s">
        <v>161</v>
      </c>
      <c r="F6606" s="3" t="s">
        <v>182</v>
      </c>
      <c r="G6606" s="5">
        <v>2E-3</v>
      </c>
      <c r="H6606" s="6" t="s">
        <v>90</v>
      </c>
      <c r="I6606" s="3" t="s">
        <v>45</v>
      </c>
    </row>
    <row r="6607" spans="1:9" ht="48" customHeight="1">
      <c r="A6607" s="3" t="s">
        <v>79</v>
      </c>
      <c r="B6607" s="3" t="s">
        <v>78</v>
      </c>
      <c r="C6607" s="4">
        <v>43497</v>
      </c>
      <c r="D6607" s="4">
        <v>43524</v>
      </c>
      <c r="E6607" s="3" t="s">
        <v>161</v>
      </c>
      <c r="F6607" s="3" t="s">
        <v>175</v>
      </c>
      <c r="G6607" s="5">
        <v>1E-3</v>
      </c>
      <c r="H6607" s="6" t="s">
        <v>90</v>
      </c>
      <c r="I6607" s="3" t="s">
        <v>45</v>
      </c>
    </row>
    <row r="6608" spans="1:9" ht="48" customHeight="1">
      <c r="A6608" s="3" t="s">
        <v>79</v>
      </c>
      <c r="B6608" s="3" t="s">
        <v>78</v>
      </c>
      <c r="C6608" s="4">
        <v>43497</v>
      </c>
      <c r="D6608" s="4">
        <v>43524</v>
      </c>
      <c r="E6608" s="3" t="s">
        <v>161</v>
      </c>
      <c r="F6608" s="3" t="s">
        <v>190</v>
      </c>
      <c r="G6608" s="5">
        <v>1E-3</v>
      </c>
      <c r="H6608" s="6" t="s">
        <v>90</v>
      </c>
      <c r="I6608" s="3" t="s">
        <v>45</v>
      </c>
    </row>
    <row r="6609" spans="1:9" ht="48" customHeight="1">
      <c r="A6609" s="3" t="s">
        <v>79</v>
      </c>
      <c r="B6609" s="3" t="s">
        <v>78</v>
      </c>
      <c r="C6609" s="4">
        <v>43497</v>
      </c>
      <c r="D6609" s="4">
        <v>43524</v>
      </c>
      <c r="E6609" s="3" t="s">
        <v>161</v>
      </c>
      <c r="F6609" s="3" t="s">
        <v>176</v>
      </c>
      <c r="G6609" s="5">
        <v>1E-3</v>
      </c>
      <c r="H6609" s="6" t="s">
        <v>90</v>
      </c>
      <c r="I6609" s="3" t="s">
        <v>45</v>
      </c>
    </row>
    <row r="6610" spans="1:9" ht="48" customHeight="1">
      <c r="A6610" s="3" t="s">
        <v>79</v>
      </c>
      <c r="B6610" s="3" t="s">
        <v>78</v>
      </c>
      <c r="C6610" s="4">
        <v>43497</v>
      </c>
      <c r="D6610" s="4">
        <v>43524</v>
      </c>
      <c r="E6610" s="3" t="s">
        <v>161</v>
      </c>
      <c r="F6610" s="3" t="s">
        <v>192</v>
      </c>
      <c r="G6610" s="5">
        <v>1E-3</v>
      </c>
      <c r="H6610" s="6" t="s">
        <v>90</v>
      </c>
      <c r="I6610" s="3" t="s">
        <v>45</v>
      </c>
    </row>
    <row r="6611" spans="1:9" ht="48" customHeight="1">
      <c r="A6611" s="3" t="s">
        <v>79</v>
      </c>
      <c r="B6611" s="3" t="s">
        <v>78</v>
      </c>
      <c r="C6611" s="4">
        <v>43497</v>
      </c>
      <c r="D6611" s="4">
        <v>43524</v>
      </c>
      <c r="E6611" s="3" t="s">
        <v>161</v>
      </c>
      <c r="F6611" s="3" t="s">
        <v>194</v>
      </c>
      <c r="G6611" s="5">
        <v>1E-3</v>
      </c>
      <c r="H6611" s="6" t="s">
        <v>90</v>
      </c>
      <c r="I6611" s="3" t="s">
        <v>45</v>
      </c>
    </row>
    <row r="6612" spans="1:9" ht="48" customHeight="1">
      <c r="A6612" s="3" t="s">
        <v>79</v>
      </c>
      <c r="B6612" s="3" t="s">
        <v>78</v>
      </c>
      <c r="C6612" s="4">
        <v>43497</v>
      </c>
      <c r="D6612" s="4">
        <v>43524</v>
      </c>
      <c r="E6612" s="3" t="s">
        <v>161</v>
      </c>
      <c r="F6612" s="3" t="s">
        <v>195</v>
      </c>
      <c r="G6612" s="5">
        <v>1E-3</v>
      </c>
      <c r="H6612" s="6" t="s">
        <v>90</v>
      </c>
      <c r="I6612" s="3" t="s">
        <v>45</v>
      </c>
    </row>
    <row r="6613" spans="1:9" ht="48" customHeight="1">
      <c r="A6613" s="3" t="s">
        <v>79</v>
      </c>
      <c r="B6613" s="3" t="s">
        <v>78</v>
      </c>
      <c r="C6613" s="4">
        <v>43497</v>
      </c>
      <c r="D6613" s="4">
        <v>43524</v>
      </c>
      <c r="E6613" s="3" t="s">
        <v>161</v>
      </c>
      <c r="F6613" s="3" t="s">
        <v>183</v>
      </c>
      <c r="G6613" s="5">
        <v>1E-3</v>
      </c>
      <c r="H6613" s="6" t="s">
        <v>90</v>
      </c>
      <c r="I6613" s="3" t="s">
        <v>45</v>
      </c>
    </row>
    <row r="6614" spans="1:9" ht="48" customHeight="1">
      <c r="A6614" s="3" t="s">
        <v>79</v>
      </c>
      <c r="B6614" s="3" t="s">
        <v>78</v>
      </c>
      <c r="C6614" s="4">
        <v>43497</v>
      </c>
      <c r="D6614" s="4">
        <v>43524</v>
      </c>
      <c r="E6614" s="3" t="s">
        <v>161</v>
      </c>
      <c r="F6614" s="3" t="s">
        <v>196</v>
      </c>
      <c r="G6614" s="5">
        <v>1E-3</v>
      </c>
      <c r="H6614" s="6" t="s">
        <v>90</v>
      </c>
      <c r="I6614" s="3" t="s">
        <v>45</v>
      </c>
    </row>
    <row r="6615" spans="1:9" ht="48" customHeight="1">
      <c r="A6615" s="3" t="s">
        <v>79</v>
      </c>
      <c r="B6615" s="3" t="s">
        <v>78</v>
      </c>
      <c r="C6615" s="4">
        <v>43497</v>
      </c>
      <c r="D6615" s="4">
        <v>43524</v>
      </c>
      <c r="E6615" s="3" t="s">
        <v>161</v>
      </c>
      <c r="F6615" s="3" t="s">
        <v>199</v>
      </c>
      <c r="G6615" s="5">
        <v>1E-3</v>
      </c>
      <c r="H6615" s="6" t="s">
        <v>90</v>
      </c>
      <c r="I6615" s="3" t="s">
        <v>45</v>
      </c>
    </row>
    <row r="6616" spans="1:9" ht="48" customHeight="1">
      <c r="A6616" s="3" t="s">
        <v>79</v>
      </c>
      <c r="B6616" s="3" t="s">
        <v>78</v>
      </c>
      <c r="C6616" s="4">
        <v>43497</v>
      </c>
      <c r="D6616" s="4">
        <v>43524</v>
      </c>
      <c r="E6616" s="3" t="s">
        <v>161</v>
      </c>
      <c r="F6616" s="3" t="s">
        <v>200</v>
      </c>
      <c r="G6616" s="5">
        <v>1E-3</v>
      </c>
      <c r="H6616" s="6" t="s">
        <v>90</v>
      </c>
      <c r="I6616" s="3" t="s">
        <v>45</v>
      </c>
    </row>
    <row r="6617" spans="1:9" ht="48" customHeight="1">
      <c r="A6617" s="3" t="s">
        <v>79</v>
      </c>
      <c r="B6617" s="3" t="s">
        <v>78</v>
      </c>
      <c r="C6617" s="4">
        <v>43497</v>
      </c>
      <c r="D6617" s="4">
        <v>43524</v>
      </c>
      <c r="E6617" s="3" t="s">
        <v>161</v>
      </c>
      <c r="F6617" s="3" t="s">
        <v>201</v>
      </c>
      <c r="G6617" s="5">
        <v>1E-3</v>
      </c>
      <c r="H6617" s="6" t="s">
        <v>90</v>
      </c>
      <c r="I6617" s="3" t="s">
        <v>45</v>
      </c>
    </row>
    <row r="6618" spans="1:9" ht="48" customHeight="1">
      <c r="A6618" s="3" t="s">
        <v>79</v>
      </c>
      <c r="B6618" s="3" t="s">
        <v>78</v>
      </c>
      <c r="C6618" s="4">
        <v>43497</v>
      </c>
      <c r="D6618" s="4">
        <v>43524</v>
      </c>
      <c r="E6618" s="3" t="s">
        <v>161</v>
      </c>
      <c r="F6618" s="3" t="s">
        <v>202</v>
      </c>
      <c r="G6618" s="5">
        <v>0</v>
      </c>
      <c r="H6618" s="6" t="s">
        <v>90</v>
      </c>
      <c r="I6618" s="3" t="s">
        <v>45</v>
      </c>
    </row>
    <row r="6619" spans="1:9" ht="48" customHeight="1">
      <c r="A6619" s="3" t="s">
        <v>79</v>
      </c>
      <c r="B6619" s="3" t="s">
        <v>78</v>
      </c>
      <c r="C6619" s="4">
        <v>43497</v>
      </c>
      <c r="D6619" s="4">
        <v>43524</v>
      </c>
      <c r="E6619" s="3" t="s">
        <v>161</v>
      </c>
      <c r="F6619" s="3" t="s">
        <v>198</v>
      </c>
      <c r="G6619" s="5">
        <v>0</v>
      </c>
      <c r="H6619" s="6" t="s">
        <v>90</v>
      </c>
      <c r="I6619" s="3" t="s">
        <v>45</v>
      </c>
    </row>
    <row r="6620" spans="1:9" ht="48" customHeight="1">
      <c r="A6620" s="3" t="s">
        <v>79</v>
      </c>
      <c r="B6620" s="3" t="s">
        <v>78</v>
      </c>
      <c r="C6620" s="4">
        <v>43497</v>
      </c>
      <c r="D6620" s="4">
        <v>43524</v>
      </c>
      <c r="E6620" s="3" t="s">
        <v>161</v>
      </c>
      <c r="F6620" s="3" t="s">
        <v>203</v>
      </c>
      <c r="G6620" s="5">
        <v>0</v>
      </c>
      <c r="H6620" s="6" t="s">
        <v>90</v>
      </c>
      <c r="I6620" s="3" t="s">
        <v>45</v>
      </c>
    </row>
    <row r="6621" spans="1:9" ht="48" customHeight="1">
      <c r="A6621" s="3" t="s">
        <v>79</v>
      </c>
      <c r="B6621" s="3" t="s">
        <v>78</v>
      </c>
      <c r="C6621" s="4">
        <v>43497</v>
      </c>
      <c r="D6621" s="4">
        <v>43524</v>
      </c>
      <c r="E6621" s="3" t="s">
        <v>161</v>
      </c>
      <c r="F6621" s="3" t="s">
        <v>204</v>
      </c>
      <c r="G6621" s="5">
        <v>0</v>
      </c>
      <c r="H6621" s="6" t="s">
        <v>90</v>
      </c>
      <c r="I6621" s="3" t="s">
        <v>45</v>
      </c>
    </row>
    <row r="6622" spans="1:9" ht="48" customHeight="1">
      <c r="A6622" s="3" t="s">
        <v>79</v>
      </c>
      <c r="B6622" s="3" t="s">
        <v>78</v>
      </c>
      <c r="C6622" s="4">
        <v>43497</v>
      </c>
      <c r="D6622" s="4">
        <v>43524</v>
      </c>
      <c r="E6622" s="3" t="s">
        <v>205</v>
      </c>
      <c r="F6622" s="3" t="s">
        <v>206</v>
      </c>
      <c r="G6622" s="5">
        <v>4.0000000000000001E-3</v>
      </c>
      <c r="H6622" s="6" t="s">
        <v>90</v>
      </c>
      <c r="I6622" s="3" t="s">
        <v>45</v>
      </c>
    </row>
    <row r="6623" spans="1:9" ht="48" customHeight="1">
      <c r="A6623" s="3" t="s">
        <v>79</v>
      </c>
      <c r="B6623" s="3" t="s">
        <v>78</v>
      </c>
      <c r="C6623" s="4">
        <v>43497</v>
      </c>
      <c r="D6623" s="4">
        <v>43524</v>
      </c>
      <c r="E6623" s="3" t="s">
        <v>205</v>
      </c>
      <c r="F6623" s="3" t="s">
        <v>209</v>
      </c>
      <c r="G6623" s="5">
        <v>4.0000000000000001E-3</v>
      </c>
      <c r="H6623" s="6" t="s">
        <v>90</v>
      </c>
      <c r="I6623" s="3" t="s">
        <v>45</v>
      </c>
    </row>
    <row r="6624" spans="1:9" ht="48" customHeight="1">
      <c r="A6624" s="3" t="s">
        <v>79</v>
      </c>
      <c r="B6624" s="3" t="s">
        <v>78</v>
      </c>
      <c r="C6624" s="4">
        <v>43497</v>
      </c>
      <c r="D6624" s="4">
        <v>43524</v>
      </c>
      <c r="E6624" s="3" t="s">
        <v>205</v>
      </c>
      <c r="F6624" s="3" t="s">
        <v>210</v>
      </c>
      <c r="G6624" s="5">
        <v>4.0000000000000001E-3</v>
      </c>
      <c r="H6624" s="6" t="s">
        <v>90</v>
      </c>
      <c r="I6624" s="3" t="s">
        <v>45</v>
      </c>
    </row>
    <row r="6625" spans="1:9" ht="48" customHeight="1">
      <c r="A6625" s="3" t="s">
        <v>79</v>
      </c>
      <c r="B6625" s="3" t="s">
        <v>78</v>
      </c>
      <c r="C6625" s="4">
        <v>43497</v>
      </c>
      <c r="D6625" s="4">
        <v>43524</v>
      </c>
      <c r="E6625" s="3" t="s">
        <v>205</v>
      </c>
      <c r="F6625" s="3" t="s">
        <v>219</v>
      </c>
      <c r="G6625" s="5">
        <v>3.0000000000000001E-3</v>
      </c>
      <c r="H6625" s="6" t="s">
        <v>90</v>
      </c>
      <c r="I6625" s="3" t="s">
        <v>45</v>
      </c>
    </row>
    <row r="6626" spans="1:9" ht="48" customHeight="1">
      <c r="A6626" s="3" t="s">
        <v>79</v>
      </c>
      <c r="B6626" s="3" t="s">
        <v>78</v>
      </c>
      <c r="C6626" s="4">
        <v>43497</v>
      </c>
      <c r="D6626" s="4">
        <v>43524</v>
      </c>
      <c r="E6626" s="3" t="s">
        <v>205</v>
      </c>
      <c r="F6626" s="3" t="s">
        <v>220</v>
      </c>
      <c r="G6626" s="5">
        <v>3.0000000000000001E-3</v>
      </c>
      <c r="H6626" s="6" t="s">
        <v>90</v>
      </c>
      <c r="I6626" s="3" t="s">
        <v>45</v>
      </c>
    </row>
    <row r="6627" spans="1:9" ht="48" customHeight="1">
      <c r="A6627" s="3" t="s">
        <v>79</v>
      </c>
      <c r="B6627" s="3" t="s">
        <v>78</v>
      </c>
      <c r="C6627" s="4">
        <v>43497</v>
      </c>
      <c r="D6627" s="4">
        <v>43524</v>
      </c>
      <c r="E6627" s="3" t="s">
        <v>205</v>
      </c>
      <c r="F6627" s="3" t="s">
        <v>211</v>
      </c>
      <c r="G6627" s="5">
        <v>3.0000000000000001E-3</v>
      </c>
      <c r="H6627" s="6" t="s">
        <v>90</v>
      </c>
      <c r="I6627" s="3" t="s">
        <v>45</v>
      </c>
    </row>
    <row r="6628" spans="1:9" ht="48" customHeight="1">
      <c r="A6628" s="3" t="s">
        <v>79</v>
      </c>
      <c r="B6628" s="3" t="s">
        <v>78</v>
      </c>
      <c r="C6628" s="4">
        <v>43497</v>
      </c>
      <c r="D6628" s="4">
        <v>43524</v>
      </c>
      <c r="E6628" s="3" t="s">
        <v>205</v>
      </c>
      <c r="F6628" s="3" t="s">
        <v>222</v>
      </c>
      <c r="G6628" s="5">
        <v>3.0000000000000001E-3</v>
      </c>
      <c r="H6628" s="6" t="s">
        <v>90</v>
      </c>
      <c r="I6628" s="3" t="s">
        <v>45</v>
      </c>
    </row>
    <row r="6629" spans="1:9" ht="48" customHeight="1">
      <c r="A6629" s="3" t="s">
        <v>79</v>
      </c>
      <c r="B6629" s="3" t="s">
        <v>78</v>
      </c>
      <c r="C6629" s="4">
        <v>43497</v>
      </c>
      <c r="D6629" s="4">
        <v>43524</v>
      </c>
      <c r="E6629" s="3" t="s">
        <v>205</v>
      </c>
      <c r="F6629" s="3" t="s">
        <v>207</v>
      </c>
      <c r="G6629" s="5">
        <v>3.0000000000000001E-3</v>
      </c>
      <c r="H6629" s="6" t="s">
        <v>90</v>
      </c>
      <c r="I6629" s="3" t="s">
        <v>45</v>
      </c>
    </row>
    <row r="6630" spans="1:9" ht="48" customHeight="1">
      <c r="A6630" s="3" t="s">
        <v>79</v>
      </c>
      <c r="B6630" s="3" t="s">
        <v>78</v>
      </c>
      <c r="C6630" s="4">
        <v>43497</v>
      </c>
      <c r="D6630" s="4">
        <v>43524</v>
      </c>
      <c r="E6630" s="3" t="s">
        <v>205</v>
      </c>
      <c r="F6630" s="3" t="s">
        <v>214</v>
      </c>
      <c r="G6630" s="5">
        <v>3.0000000000000001E-3</v>
      </c>
      <c r="H6630" s="6" t="s">
        <v>90</v>
      </c>
      <c r="I6630" s="3" t="s">
        <v>45</v>
      </c>
    </row>
    <row r="6631" spans="1:9" ht="48" customHeight="1">
      <c r="A6631" s="3" t="s">
        <v>79</v>
      </c>
      <c r="B6631" s="3" t="s">
        <v>78</v>
      </c>
      <c r="C6631" s="4">
        <v>43497</v>
      </c>
      <c r="D6631" s="4">
        <v>43524</v>
      </c>
      <c r="E6631" s="3" t="s">
        <v>205</v>
      </c>
      <c r="F6631" s="3" t="s">
        <v>215</v>
      </c>
      <c r="G6631" s="5">
        <v>3.0000000000000001E-3</v>
      </c>
      <c r="H6631" s="6" t="s">
        <v>90</v>
      </c>
      <c r="I6631" s="3" t="s">
        <v>45</v>
      </c>
    </row>
    <row r="6632" spans="1:9" ht="48" customHeight="1">
      <c r="A6632" s="3" t="s">
        <v>79</v>
      </c>
      <c r="B6632" s="3" t="s">
        <v>78</v>
      </c>
      <c r="C6632" s="4">
        <v>43497</v>
      </c>
      <c r="D6632" s="4">
        <v>43524</v>
      </c>
      <c r="E6632" s="3" t="s">
        <v>205</v>
      </c>
      <c r="F6632" s="3" t="s">
        <v>216</v>
      </c>
      <c r="G6632" s="5">
        <v>3.0000000000000001E-3</v>
      </c>
      <c r="H6632" s="6" t="s">
        <v>90</v>
      </c>
      <c r="I6632" s="3" t="s">
        <v>45</v>
      </c>
    </row>
    <row r="6633" spans="1:9" ht="48" customHeight="1">
      <c r="A6633" s="3" t="s">
        <v>79</v>
      </c>
      <c r="B6633" s="3" t="s">
        <v>78</v>
      </c>
      <c r="C6633" s="4">
        <v>43497</v>
      </c>
      <c r="D6633" s="4">
        <v>43524</v>
      </c>
      <c r="E6633" s="3" t="s">
        <v>205</v>
      </c>
      <c r="F6633" s="3" t="s">
        <v>224</v>
      </c>
      <c r="G6633" s="5">
        <v>2E-3</v>
      </c>
      <c r="H6633" s="6" t="s">
        <v>90</v>
      </c>
      <c r="I6633" s="3" t="s">
        <v>45</v>
      </c>
    </row>
    <row r="6634" spans="1:9" ht="48" customHeight="1">
      <c r="A6634" s="3" t="s">
        <v>79</v>
      </c>
      <c r="B6634" s="3" t="s">
        <v>78</v>
      </c>
      <c r="C6634" s="4">
        <v>43497</v>
      </c>
      <c r="D6634" s="4">
        <v>43524</v>
      </c>
      <c r="E6634" s="3" t="s">
        <v>205</v>
      </c>
      <c r="F6634" s="3" t="s">
        <v>217</v>
      </c>
      <c r="G6634" s="5">
        <v>2E-3</v>
      </c>
      <c r="H6634" s="6" t="s">
        <v>90</v>
      </c>
      <c r="I6634" s="3" t="s">
        <v>45</v>
      </c>
    </row>
    <row r="6635" spans="1:9" ht="48" customHeight="1">
      <c r="A6635" s="3" t="s">
        <v>79</v>
      </c>
      <c r="B6635" s="3" t="s">
        <v>78</v>
      </c>
      <c r="C6635" s="4">
        <v>43497</v>
      </c>
      <c r="D6635" s="4">
        <v>43524</v>
      </c>
      <c r="E6635" s="3" t="s">
        <v>205</v>
      </c>
      <c r="F6635" s="3" t="s">
        <v>218</v>
      </c>
      <c r="G6635" s="5">
        <v>2E-3</v>
      </c>
      <c r="H6635" s="6" t="s">
        <v>90</v>
      </c>
      <c r="I6635" s="3" t="s">
        <v>45</v>
      </c>
    </row>
    <row r="6636" spans="1:9" ht="48" customHeight="1">
      <c r="A6636" s="3" t="s">
        <v>79</v>
      </c>
      <c r="B6636" s="3" t="s">
        <v>78</v>
      </c>
      <c r="C6636" s="4">
        <v>43497</v>
      </c>
      <c r="D6636" s="4">
        <v>43524</v>
      </c>
      <c r="E6636" s="3" t="s">
        <v>205</v>
      </c>
      <c r="F6636" s="3" t="s">
        <v>225</v>
      </c>
      <c r="G6636" s="5">
        <v>2E-3</v>
      </c>
      <c r="H6636" s="6" t="s">
        <v>90</v>
      </c>
      <c r="I6636" s="3" t="s">
        <v>45</v>
      </c>
    </row>
    <row r="6637" spans="1:9" ht="48" customHeight="1">
      <c r="A6637" s="3" t="s">
        <v>79</v>
      </c>
      <c r="B6637" s="3" t="s">
        <v>78</v>
      </c>
      <c r="C6637" s="4">
        <v>43497</v>
      </c>
      <c r="D6637" s="4">
        <v>43524</v>
      </c>
      <c r="E6637" s="3" t="s">
        <v>205</v>
      </c>
      <c r="F6637" s="3" t="s">
        <v>221</v>
      </c>
      <c r="G6637" s="5">
        <v>2E-3</v>
      </c>
      <c r="H6637" s="6" t="s">
        <v>90</v>
      </c>
      <c r="I6637" s="3" t="s">
        <v>45</v>
      </c>
    </row>
    <row r="6638" spans="1:9" ht="48" customHeight="1">
      <c r="A6638" s="3" t="s">
        <v>79</v>
      </c>
      <c r="B6638" s="3" t="s">
        <v>78</v>
      </c>
      <c r="C6638" s="4">
        <v>43497</v>
      </c>
      <c r="D6638" s="4">
        <v>43524</v>
      </c>
      <c r="E6638" s="3" t="s">
        <v>205</v>
      </c>
      <c r="F6638" s="3" t="s">
        <v>212</v>
      </c>
      <c r="G6638" s="5">
        <v>2E-3</v>
      </c>
      <c r="H6638" s="6" t="s">
        <v>90</v>
      </c>
      <c r="I6638" s="3" t="s">
        <v>45</v>
      </c>
    </row>
    <row r="6639" spans="1:9" ht="48" customHeight="1">
      <c r="A6639" s="3" t="s">
        <v>79</v>
      </c>
      <c r="B6639" s="3" t="s">
        <v>78</v>
      </c>
      <c r="C6639" s="4">
        <v>43497</v>
      </c>
      <c r="D6639" s="4">
        <v>43524</v>
      </c>
      <c r="E6639" s="3" t="s">
        <v>205</v>
      </c>
      <c r="F6639" s="3" t="s">
        <v>208</v>
      </c>
      <c r="G6639" s="5">
        <v>2E-3</v>
      </c>
      <c r="H6639" s="6" t="s">
        <v>90</v>
      </c>
      <c r="I6639" s="3" t="s">
        <v>45</v>
      </c>
    </row>
    <row r="6640" spans="1:9" ht="48" customHeight="1">
      <c r="A6640" s="3" t="s">
        <v>79</v>
      </c>
      <c r="B6640" s="3" t="s">
        <v>78</v>
      </c>
      <c r="C6640" s="4">
        <v>43497</v>
      </c>
      <c r="D6640" s="4">
        <v>43524</v>
      </c>
      <c r="E6640" s="3" t="s">
        <v>205</v>
      </c>
      <c r="F6640" s="3" t="s">
        <v>213</v>
      </c>
      <c r="G6640" s="5">
        <v>2E-3</v>
      </c>
      <c r="H6640" s="6" t="s">
        <v>90</v>
      </c>
      <c r="I6640" s="3" t="s">
        <v>45</v>
      </c>
    </row>
    <row r="6641" spans="1:9" ht="48" customHeight="1">
      <c r="A6641" s="3" t="s">
        <v>79</v>
      </c>
      <c r="B6641" s="3" t="s">
        <v>78</v>
      </c>
      <c r="C6641" s="4">
        <v>43497</v>
      </c>
      <c r="D6641" s="4">
        <v>43524</v>
      </c>
      <c r="E6641" s="3" t="s">
        <v>205</v>
      </c>
      <c r="F6641" s="3" t="s">
        <v>229</v>
      </c>
      <c r="G6641" s="5">
        <v>1E-3</v>
      </c>
      <c r="H6641" s="6" t="s">
        <v>90</v>
      </c>
      <c r="I6641" s="3" t="s">
        <v>45</v>
      </c>
    </row>
    <row r="6642" spans="1:9" ht="48" customHeight="1">
      <c r="A6642" s="3" t="s">
        <v>79</v>
      </c>
      <c r="B6642" s="3" t="s">
        <v>78</v>
      </c>
      <c r="C6642" s="4">
        <v>43497</v>
      </c>
      <c r="D6642" s="4">
        <v>43524</v>
      </c>
      <c r="E6642" s="3" t="s">
        <v>205</v>
      </c>
      <c r="F6642" s="3" t="s">
        <v>230</v>
      </c>
      <c r="G6642" s="5">
        <v>1E-3</v>
      </c>
      <c r="H6642" s="6" t="s">
        <v>90</v>
      </c>
      <c r="I6642" s="3" t="s">
        <v>45</v>
      </c>
    </row>
    <row r="6643" spans="1:9" ht="48" customHeight="1">
      <c r="A6643" s="3" t="s">
        <v>79</v>
      </c>
      <c r="B6643" s="3" t="s">
        <v>78</v>
      </c>
      <c r="C6643" s="4">
        <v>43497</v>
      </c>
      <c r="D6643" s="4">
        <v>43524</v>
      </c>
      <c r="E6643" s="3" t="s">
        <v>205</v>
      </c>
      <c r="F6643" s="3" t="s">
        <v>223</v>
      </c>
      <c r="G6643" s="5">
        <v>1E-3</v>
      </c>
      <c r="H6643" s="6" t="s">
        <v>90</v>
      </c>
      <c r="I6643" s="3" t="s">
        <v>45</v>
      </c>
    </row>
    <row r="6644" spans="1:9" ht="48" customHeight="1">
      <c r="A6644" s="3" t="s">
        <v>79</v>
      </c>
      <c r="B6644" s="3" t="s">
        <v>78</v>
      </c>
      <c r="C6644" s="4">
        <v>43497</v>
      </c>
      <c r="D6644" s="4">
        <v>43524</v>
      </c>
      <c r="E6644" s="3" t="s">
        <v>205</v>
      </c>
      <c r="F6644" s="3" t="s">
        <v>226</v>
      </c>
      <c r="G6644" s="5">
        <v>1E-3</v>
      </c>
      <c r="H6644" s="6" t="s">
        <v>90</v>
      </c>
      <c r="I6644" s="3" t="s">
        <v>45</v>
      </c>
    </row>
    <row r="6645" spans="1:9" ht="48" customHeight="1">
      <c r="A6645" s="3" t="s">
        <v>79</v>
      </c>
      <c r="B6645" s="3" t="s">
        <v>78</v>
      </c>
      <c r="C6645" s="4">
        <v>43497</v>
      </c>
      <c r="D6645" s="4">
        <v>43524</v>
      </c>
      <c r="E6645" s="3" t="s">
        <v>205</v>
      </c>
      <c r="F6645" s="3" t="s">
        <v>227</v>
      </c>
      <c r="G6645" s="5">
        <v>1E-3</v>
      </c>
      <c r="H6645" s="6" t="s">
        <v>90</v>
      </c>
      <c r="I6645" s="3" t="s">
        <v>45</v>
      </c>
    </row>
    <row r="6646" spans="1:9" ht="48" customHeight="1">
      <c r="A6646" s="3" t="s">
        <v>79</v>
      </c>
      <c r="B6646" s="3" t="s">
        <v>78</v>
      </c>
      <c r="C6646" s="4">
        <v>43497</v>
      </c>
      <c r="D6646" s="4">
        <v>43524</v>
      </c>
      <c r="E6646" s="3" t="s">
        <v>205</v>
      </c>
      <c r="F6646" s="3" t="s">
        <v>228</v>
      </c>
      <c r="G6646" s="5">
        <v>1E-3</v>
      </c>
      <c r="H6646" s="6" t="s">
        <v>90</v>
      </c>
      <c r="I6646" s="3" t="s">
        <v>45</v>
      </c>
    </row>
    <row r="6647" spans="1:9" ht="48" customHeight="1">
      <c r="A6647" s="3" t="s">
        <v>79</v>
      </c>
      <c r="B6647" s="3" t="s">
        <v>78</v>
      </c>
      <c r="C6647" s="4">
        <v>43497</v>
      </c>
      <c r="D6647" s="4">
        <v>43524</v>
      </c>
      <c r="E6647" s="3" t="s">
        <v>379</v>
      </c>
      <c r="F6647" s="3" t="s">
        <v>265</v>
      </c>
      <c r="G6647" s="5">
        <v>1.2E-2</v>
      </c>
      <c r="H6647" s="6" t="s">
        <v>90</v>
      </c>
      <c r="I6647" s="3" t="s">
        <v>45</v>
      </c>
    </row>
    <row r="6648" spans="1:9" ht="48" customHeight="1">
      <c r="A6648" s="3" t="s">
        <v>79</v>
      </c>
      <c r="B6648" s="3" t="s">
        <v>78</v>
      </c>
      <c r="C6648" s="4">
        <v>43497</v>
      </c>
      <c r="D6648" s="4">
        <v>43524</v>
      </c>
      <c r="E6648" s="3" t="s">
        <v>379</v>
      </c>
      <c r="F6648" s="3" t="s">
        <v>262</v>
      </c>
      <c r="G6648" s="5">
        <v>1.2E-2</v>
      </c>
      <c r="H6648" s="6" t="s">
        <v>90</v>
      </c>
      <c r="I6648" s="3" t="s">
        <v>45</v>
      </c>
    </row>
    <row r="6649" spans="1:9" ht="48" customHeight="1">
      <c r="A6649" s="3" t="s">
        <v>79</v>
      </c>
      <c r="B6649" s="3" t="s">
        <v>78</v>
      </c>
      <c r="C6649" s="4">
        <v>43497</v>
      </c>
      <c r="D6649" s="4">
        <v>43524</v>
      </c>
      <c r="E6649" s="3" t="s">
        <v>379</v>
      </c>
      <c r="F6649" s="3" t="s">
        <v>230</v>
      </c>
      <c r="G6649" s="5">
        <v>0.01</v>
      </c>
      <c r="H6649" s="6" t="s">
        <v>90</v>
      </c>
      <c r="I6649" s="3" t="s">
        <v>45</v>
      </c>
    </row>
    <row r="6650" spans="1:9" ht="48" customHeight="1">
      <c r="A6650" s="3" t="s">
        <v>79</v>
      </c>
      <c r="B6650" s="3" t="s">
        <v>78</v>
      </c>
      <c r="C6650" s="4">
        <v>43497</v>
      </c>
      <c r="D6650" s="4">
        <v>43524</v>
      </c>
      <c r="E6650" s="3" t="s">
        <v>379</v>
      </c>
      <c r="F6650" s="3" t="s">
        <v>380</v>
      </c>
      <c r="G6650" s="5">
        <v>9.0000000000000011E-3</v>
      </c>
      <c r="H6650" s="6" t="s">
        <v>90</v>
      </c>
      <c r="I6650" s="3" t="s">
        <v>45</v>
      </c>
    </row>
    <row r="6651" spans="1:9" ht="48" customHeight="1">
      <c r="A6651" s="3" t="s">
        <v>79</v>
      </c>
      <c r="B6651" s="3" t="s">
        <v>78</v>
      </c>
      <c r="C6651" s="4">
        <v>43497</v>
      </c>
      <c r="D6651" s="4">
        <v>43524</v>
      </c>
      <c r="E6651" s="3" t="s">
        <v>379</v>
      </c>
      <c r="F6651" s="3" t="s">
        <v>234</v>
      </c>
      <c r="G6651" s="5">
        <v>8.0000000000000002E-3</v>
      </c>
      <c r="H6651" s="6" t="s">
        <v>90</v>
      </c>
      <c r="I6651" s="3" t="s">
        <v>45</v>
      </c>
    </row>
    <row r="6652" spans="1:9" ht="48" customHeight="1">
      <c r="A6652" s="3" t="s">
        <v>79</v>
      </c>
      <c r="B6652" s="3" t="s">
        <v>78</v>
      </c>
      <c r="C6652" s="4">
        <v>43497</v>
      </c>
      <c r="D6652" s="4">
        <v>43524</v>
      </c>
      <c r="E6652" s="3" t="s">
        <v>368</v>
      </c>
      <c r="F6652" s="3" t="s">
        <v>370</v>
      </c>
      <c r="G6652" s="5">
        <v>9.0000000000000011E-3</v>
      </c>
      <c r="H6652" s="6" t="s">
        <v>90</v>
      </c>
      <c r="I6652" s="3" t="s">
        <v>45</v>
      </c>
    </row>
    <row r="6653" spans="1:9" ht="48" customHeight="1">
      <c r="A6653" s="3" t="s">
        <v>79</v>
      </c>
      <c r="B6653" s="3" t="s">
        <v>78</v>
      </c>
      <c r="C6653" s="4">
        <v>43497</v>
      </c>
      <c r="D6653" s="4">
        <v>43524</v>
      </c>
      <c r="E6653" s="3" t="s">
        <v>368</v>
      </c>
      <c r="F6653" s="3" t="s">
        <v>265</v>
      </c>
      <c r="G6653" s="5">
        <v>5.0000000000000001E-3</v>
      </c>
      <c r="H6653" s="6" t="s">
        <v>90</v>
      </c>
      <c r="I6653" s="3" t="s">
        <v>45</v>
      </c>
    </row>
    <row r="6654" spans="1:9" ht="48" customHeight="1">
      <c r="A6654" s="3" t="s">
        <v>79</v>
      </c>
      <c r="B6654" s="3" t="s">
        <v>78</v>
      </c>
      <c r="C6654" s="4">
        <v>43497</v>
      </c>
      <c r="D6654" s="4">
        <v>43524</v>
      </c>
      <c r="E6654" s="3" t="s">
        <v>368</v>
      </c>
      <c r="F6654" s="3" t="s">
        <v>374</v>
      </c>
      <c r="G6654" s="5">
        <v>5.0000000000000001E-3</v>
      </c>
      <c r="H6654" s="6" t="s">
        <v>90</v>
      </c>
      <c r="I6654" s="3" t="s">
        <v>45</v>
      </c>
    </row>
    <row r="6655" spans="1:9" ht="48" customHeight="1">
      <c r="A6655" s="3" t="s">
        <v>79</v>
      </c>
      <c r="B6655" s="3" t="s">
        <v>78</v>
      </c>
      <c r="C6655" s="4">
        <v>43497</v>
      </c>
      <c r="D6655" s="4">
        <v>43524</v>
      </c>
      <c r="E6655" s="3" t="s">
        <v>368</v>
      </c>
      <c r="F6655" s="3" t="s">
        <v>369</v>
      </c>
      <c r="G6655" s="5">
        <v>4.0000000000000001E-3</v>
      </c>
      <c r="H6655" s="6" t="s">
        <v>90</v>
      </c>
      <c r="I6655" s="3" t="s">
        <v>45</v>
      </c>
    </row>
    <row r="6656" spans="1:9" ht="48" customHeight="1">
      <c r="A6656" s="3" t="s">
        <v>79</v>
      </c>
      <c r="B6656" s="3" t="s">
        <v>78</v>
      </c>
      <c r="C6656" s="4">
        <v>43497</v>
      </c>
      <c r="D6656" s="4">
        <v>43524</v>
      </c>
      <c r="E6656" s="3" t="s">
        <v>368</v>
      </c>
      <c r="F6656" s="3" t="s">
        <v>373</v>
      </c>
      <c r="G6656" s="5">
        <v>4.0000000000000001E-3</v>
      </c>
      <c r="H6656" s="6" t="s">
        <v>90</v>
      </c>
      <c r="I6656" s="3" t="s">
        <v>45</v>
      </c>
    </row>
    <row r="6657" spans="1:9" ht="48" customHeight="1">
      <c r="A6657" s="3" t="s">
        <v>79</v>
      </c>
      <c r="B6657" s="3" t="s">
        <v>78</v>
      </c>
      <c r="C6657" s="4">
        <v>43497</v>
      </c>
      <c r="D6657" s="4">
        <v>43524</v>
      </c>
      <c r="E6657" s="3" t="s">
        <v>368</v>
      </c>
      <c r="F6657" s="3" t="s">
        <v>378</v>
      </c>
      <c r="G6657" s="5">
        <v>4.0000000000000001E-3</v>
      </c>
      <c r="H6657" s="6" t="s">
        <v>90</v>
      </c>
      <c r="I6657" s="3" t="s">
        <v>45</v>
      </c>
    </row>
    <row r="6658" spans="1:9" ht="48" customHeight="1">
      <c r="A6658" s="3" t="s">
        <v>79</v>
      </c>
      <c r="B6658" s="3" t="s">
        <v>78</v>
      </c>
      <c r="C6658" s="4">
        <v>43497</v>
      </c>
      <c r="D6658" s="4">
        <v>43524</v>
      </c>
      <c r="E6658" s="3" t="s">
        <v>368</v>
      </c>
      <c r="F6658" s="3" t="s">
        <v>262</v>
      </c>
      <c r="G6658" s="5">
        <v>3.0000000000000001E-3</v>
      </c>
      <c r="H6658" s="6" t="s">
        <v>90</v>
      </c>
      <c r="I6658" s="3" t="s">
        <v>45</v>
      </c>
    </row>
    <row r="6659" spans="1:9" ht="48" customHeight="1">
      <c r="A6659" s="3" t="s">
        <v>79</v>
      </c>
      <c r="B6659" s="3" t="s">
        <v>78</v>
      </c>
      <c r="C6659" s="4">
        <v>43497</v>
      </c>
      <c r="D6659" s="4">
        <v>43524</v>
      </c>
      <c r="E6659" s="3" t="s">
        <v>368</v>
      </c>
      <c r="F6659" s="3" t="s">
        <v>371</v>
      </c>
      <c r="G6659" s="5">
        <v>3.0000000000000001E-3</v>
      </c>
      <c r="H6659" s="6" t="s">
        <v>90</v>
      </c>
      <c r="I6659" s="3" t="s">
        <v>45</v>
      </c>
    </row>
    <row r="6660" spans="1:9" ht="48" customHeight="1">
      <c r="A6660" s="3" t="s">
        <v>79</v>
      </c>
      <c r="B6660" s="3" t="s">
        <v>78</v>
      </c>
      <c r="C6660" s="4">
        <v>43497</v>
      </c>
      <c r="D6660" s="4">
        <v>43524</v>
      </c>
      <c r="E6660" s="3" t="s">
        <v>368</v>
      </c>
      <c r="F6660" s="3" t="s">
        <v>375</v>
      </c>
      <c r="G6660" s="5">
        <v>3.0000000000000001E-3</v>
      </c>
      <c r="H6660" s="6" t="s">
        <v>90</v>
      </c>
      <c r="I6660" s="3" t="s">
        <v>45</v>
      </c>
    </row>
    <row r="6661" spans="1:9" ht="48" customHeight="1">
      <c r="A6661" s="3" t="s">
        <v>79</v>
      </c>
      <c r="B6661" s="3" t="s">
        <v>78</v>
      </c>
      <c r="C6661" s="4">
        <v>43497</v>
      </c>
      <c r="D6661" s="4">
        <v>43524</v>
      </c>
      <c r="E6661" s="3" t="s">
        <v>368</v>
      </c>
      <c r="F6661" s="3" t="s">
        <v>376</v>
      </c>
      <c r="G6661" s="5">
        <v>3.0000000000000001E-3</v>
      </c>
      <c r="H6661" s="6" t="s">
        <v>90</v>
      </c>
      <c r="I6661" s="3" t="s">
        <v>45</v>
      </c>
    </row>
    <row r="6662" spans="1:9" ht="48" customHeight="1">
      <c r="A6662" s="3" t="s">
        <v>79</v>
      </c>
      <c r="B6662" s="3" t="s">
        <v>78</v>
      </c>
      <c r="C6662" s="4">
        <v>43497</v>
      </c>
      <c r="D6662" s="4">
        <v>43524</v>
      </c>
      <c r="E6662" s="3" t="s">
        <v>368</v>
      </c>
      <c r="F6662" s="3" t="s">
        <v>377</v>
      </c>
      <c r="G6662" s="5">
        <v>2E-3</v>
      </c>
      <c r="H6662" s="6" t="s">
        <v>90</v>
      </c>
      <c r="I6662" s="3" t="s">
        <v>45</v>
      </c>
    </row>
    <row r="6663" spans="1:9" ht="48" customHeight="1">
      <c r="A6663" s="3" t="s">
        <v>79</v>
      </c>
      <c r="B6663" s="3" t="s">
        <v>78</v>
      </c>
      <c r="C6663" s="4">
        <v>43497</v>
      </c>
      <c r="D6663" s="4">
        <v>43524</v>
      </c>
      <c r="E6663" s="3" t="s">
        <v>368</v>
      </c>
      <c r="F6663" s="3" t="s">
        <v>232</v>
      </c>
      <c r="G6663" s="5">
        <v>1E-3</v>
      </c>
      <c r="H6663" s="6" t="s">
        <v>90</v>
      </c>
      <c r="I6663" s="3" t="s">
        <v>45</v>
      </c>
    </row>
    <row r="6664" spans="1:9" ht="48" customHeight="1">
      <c r="A6664" s="3" t="s">
        <v>79</v>
      </c>
      <c r="B6664" s="3" t="s">
        <v>78</v>
      </c>
      <c r="C6664" s="4">
        <v>43497</v>
      </c>
      <c r="D6664" s="4">
        <v>43524</v>
      </c>
      <c r="E6664" s="3" t="s">
        <v>368</v>
      </c>
      <c r="F6664" s="3" t="s">
        <v>234</v>
      </c>
      <c r="G6664" s="5">
        <v>1E-3</v>
      </c>
      <c r="H6664" s="6" t="s">
        <v>90</v>
      </c>
      <c r="I6664" s="3" t="s">
        <v>45</v>
      </c>
    </row>
    <row r="6665" spans="1:9" ht="48" customHeight="1">
      <c r="A6665" s="3" t="s">
        <v>79</v>
      </c>
      <c r="B6665" s="3" t="s">
        <v>78</v>
      </c>
      <c r="C6665" s="4">
        <v>43497</v>
      </c>
      <c r="D6665" s="4">
        <v>43524</v>
      </c>
      <c r="E6665" s="3" t="s">
        <v>368</v>
      </c>
      <c r="F6665" s="3" t="s">
        <v>372</v>
      </c>
      <c r="G6665" s="5">
        <v>1E-3</v>
      </c>
      <c r="H6665" s="6" t="s">
        <v>90</v>
      </c>
      <c r="I6665" s="3" t="s">
        <v>45</v>
      </c>
    </row>
    <row r="6666" spans="1:9" ht="48" customHeight="1">
      <c r="A6666" s="3" t="s">
        <v>79</v>
      </c>
      <c r="B6666" s="3" t="s">
        <v>78</v>
      </c>
      <c r="C6666" s="4">
        <v>43497</v>
      </c>
      <c r="D6666" s="4">
        <v>43524</v>
      </c>
      <c r="E6666" s="3" t="s">
        <v>368</v>
      </c>
      <c r="F6666" s="3" t="s">
        <v>207</v>
      </c>
      <c r="G6666" s="5">
        <v>1E-3</v>
      </c>
      <c r="H6666" s="6" t="s">
        <v>90</v>
      </c>
      <c r="I6666" s="3" t="s">
        <v>45</v>
      </c>
    </row>
    <row r="6667" spans="1:9" ht="48" customHeight="1">
      <c r="A6667" s="3" t="s">
        <v>79</v>
      </c>
      <c r="B6667" s="3" t="s">
        <v>78</v>
      </c>
      <c r="C6667" s="4">
        <v>43497</v>
      </c>
      <c r="D6667" s="4">
        <v>43524</v>
      </c>
      <c r="E6667" s="3" t="s">
        <v>368</v>
      </c>
      <c r="F6667" s="3" t="s">
        <v>230</v>
      </c>
      <c r="G6667" s="5">
        <v>0</v>
      </c>
      <c r="H6667" s="6" t="s">
        <v>90</v>
      </c>
      <c r="I6667" s="3" t="s">
        <v>45</v>
      </c>
    </row>
    <row r="6668" spans="1:9" ht="48" customHeight="1">
      <c r="A6668" s="3" t="s">
        <v>79</v>
      </c>
      <c r="B6668" s="3" t="s">
        <v>78</v>
      </c>
      <c r="C6668" s="4">
        <v>43497</v>
      </c>
      <c r="D6668" s="4">
        <v>43524</v>
      </c>
      <c r="E6668" s="3" t="s">
        <v>302</v>
      </c>
      <c r="F6668" s="3" t="s">
        <v>309</v>
      </c>
      <c r="G6668" s="5">
        <v>8.0000000000000002E-3</v>
      </c>
      <c r="H6668" s="6" t="s">
        <v>90</v>
      </c>
      <c r="I6668" s="3" t="s">
        <v>45</v>
      </c>
    </row>
    <row r="6669" spans="1:9" ht="48" customHeight="1">
      <c r="A6669" s="3" t="s">
        <v>79</v>
      </c>
      <c r="B6669" s="3" t="s">
        <v>78</v>
      </c>
      <c r="C6669" s="4">
        <v>43497</v>
      </c>
      <c r="D6669" s="4">
        <v>43524</v>
      </c>
      <c r="E6669" s="3" t="s">
        <v>302</v>
      </c>
      <c r="F6669" s="3" t="s">
        <v>307</v>
      </c>
      <c r="G6669" s="5">
        <v>4.0000000000000001E-3</v>
      </c>
      <c r="H6669" s="6" t="s">
        <v>90</v>
      </c>
      <c r="I6669" s="3" t="s">
        <v>45</v>
      </c>
    </row>
    <row r="6670" spans="1:9" ht="48" customHeight="1">
      <c r="A6670" s="3" t="s">
        <v>79</v>
      </c>
      <c r="B6670" s="3" t="s">
        <v>78</v>
      </c>
      <c r="C6670" s="4">
        <v>43497</v>
      </c>
      <c r="D6670" s="4">
        <v>43524</v>
      </c>
      <c r="E6670" s="3" t="s">
        <v>302</v>
      </c>
      <c r="F6670" s="3" t="s">
        <v>303</v>
      </c>
      <c r="G6670" s="5">
        <v>3.0000000000000001E-3</v>
      </c>
      <c r="H6670" s="6" t="s">
        <v>90</v>
      </c>
      <c r="I6670" s="3" t="s">
        <v>45</v>
      </c>
    </row>
    <row r="6671" spans="1:9" ht="48" customHeight="1">
      <c r="A6671" s="3" t="s">
        <v>79</v>
      </c>
      <c r="B6671" s="3" t="s">
        <v>78</v>
      </c>
      <c r="C6671" s="4">
        <v>43497</v>
      </c>
      <c r="D6671" s="4">
        <v>43524</v>
      </c>
      <c r="E6671" s="3" t="s">
        <v>302</v>
      </c>
      <c r="F6671" s="3" t="s">
        <v>308</v>
      </c>
      <c r="G6671" s="5">
        <v>3.0000000000000001E-3</v>
      </c>
      <c r="H6671" s="6" t="s">
        <v>90</v>
      </c>
      <c r="I6671" s="3" t="s">
        <v>45</v>
      </c>
    </row>
    <row r="6672" spans="1:9" ht="48" customHeight="1">
      <c r="A6672" s="3" t="s">
        <v>79</v>
      </c>
      <c r="B6672" s="3" t="s">
        <v>78</v>
      </c>
      <c r="C6672" s="4">
        <v>43497</v>
      </c>
      <c r="D6672" s="4">
        <v>43524</v>
      </c>
      <c r="E6672" s="3" t="s">
        <v>302</v>
      </c>
      <c r="F6672" s="3" t="s">
        <v>304</v>
      </c>
      <c r="G6672" s="5">
        <v>2E-3</v>
      </c>
      <c r="H6672" s="6" t="s">
        <v>90</v>
      </c>
      <c r="I6672" s="3" t="s">
        <v>45</v>
      </c>
    </row>
    <row r="6673" spans="1:9" ht="48" customHeight="1">
      <c r="A6673" s="3" t="s">
        <v>79</v>
      </c>
      <c r="B6673" s="3" t="s">
        <v>78</v>
      </c>
      <c r="C6673" s="4">
        <v>43497</v>
      </c>
      <c r="D6673" s="4">
        <v>43524</v>
      </c>
      <c r="E6673" s="3" t="s">
        <v>302</v>
      </c>
      <c r="F6673" s="3" t="s">
        <v>306</v>
      </c>
      <c r="G6673" s="5">
        <v>2E-3</v>
      </c>
      <c r="H6673" s="6" t="s">
        <v>90</v>
      </c>
      <c r="I6673" s="3" t="s">
        <v>45</v>
      </c>
    </row>
    <row r="6674" spans="1:9" ht="48" customHeight="1">
      <c r="A6674" s="3" t="s">
        <v>79</v>
      </c>
      <c r="B6674" s="3" t="s">
        <v>78</v>
      </c>
      <c r="C6674" s="4">
        <v>43497</v>
      </c>
      <c r="D6674" s="4">
        <v>43524</v>
      </c>
      <c r="E6674" s="3" t="s">
        <v>302</v>
      </c>
      <c r="F6674" s="3" t="s">
        <v>310</v>
      </c>
      <c r="G6674" s="5">
        <v>1E-3</v>
      </c>
      <c r="H6674" s="6" t="s">
        <v>90</v>
      </c>
      <c r="I6674" s="3" t="s">
        <v>45</v>
      </c>
    </row>
    <row r="6675" spans="1:9" ht="48" customHeight="1">
      <c r="A6675" s="3" t="s">
        <v>79</v>
      </c>
      <c r="B6675" s="3" t="s">
        <v>78</v>
      </c>
      <c r="C6675" s="4">
        <v>43497</v>
      </c>
      <c r="D6675" s="4">
        <v>43524</v>
      </c>
      <c r="E6675" s="3" t="s">
        <v>302</v>
      </c>
      <c r="F6675" s="3" t="s">
        <v>311</v>
      </c>
      <c r="G6675" s="5">
        <v>1E-3</v>
      </c>
      <c r="H6675" s="6" t="s">
        <v>90</v>
      </c>
      <c r="I6675" s="3" t="s">
        <v>45</v>
      </c>
    </row>
    <row r="6676" spans="1:9" ht="48" customHeight="1">
      <c r="A6676" s="3" t="s">
        <v>79</v>
      </c>
      <c r="B6676" s="3" t="s">
        <v>78</v>
      </c>
      <c r="C6676" s="4">
        <v>43497</v>
      </c>
      <c r="D6676" s="4">
        <v>43524</v>
      </c>
      <c r="E6676" s="3" t="s">
        <v>302</v>
      </c>
      <c r="F6676" s="3" t="s">
        <v>305</v>
      </c>
      <c r="G6676" s="5">
        <v>1E-3</v>
      </c>
      <c r="H6676" s="6" t="s">
        <v>90</v>
      </c>
      <c r="I6676" s="3" t="s">
        <v>45</v>
      </c>
    </row>
    <row r="6677" spans="1:9" ht="48" customHeight="1">
      <c r="A6677" s="3" t="s">
        <v>79</v>
      </c>
      <c r="B6677" s="3" t="s">
        <v>78</v>
      </c>
      <c r="C6677" s="4">
        <v>43497</v>
      </c>
      <c r="D6677" s="4">
        <v>43524</v>
      </c>
      <c r="E6677" s="3" t="s">
        <v>302</v>
      </c>
      <c r="F6677" s="3" t="s">
        <v>312</v>
      </c>
      <c r="G6677" s="5">
        <v>1E-3</v>
      </c>
      <c r="H6677" s="6" t="s">
        <v>90</v>
      </c>
      <c r="I6677" s="3" t="s">
        <v>45</v>
      </c>
    </row>
    <row r="6678" spans="1:9" ht="48" customHeight="1">
      <c r="A6678" s="3" t="s">
        <v>79</v>
      </c>
      <c r="B6678" s="3" t="s">
        <v>78</v>
      </c>
      <c r="C6678" s="4">
        <v>43497</v>
      </c>
      <c r="D6678" s="4">
        <v>43524</v>
      </c>
      <c r="E6678" s="3" t="s">
        <v>302</v>
      </c>
      <c r="F6678" s="3" t="s">
        <v>313</v>
      </c>
      <c r="G6678" s="5">
        <v>1E-3</v>
      </c>
      <c r="H6678" s="6" t="s">
        <v>90</v>
      </c>
      <c r="I6678" s="3" t="s">
        <v>45</v>
      </c>
    </row>
    <row r="6679" spans="1:9" ht="48" customHeight="1">
      <c r="A6679" s="3" t="s">
        <v>79</v>
      </c>
      <c r="B6679" s="3" t="s">
        <v>78</v>
      </c>
      <c r="C6679" s="4">
        <v>43497</v>
      </c>
      <c r="D6679" s="4">
        <v>43524</v>
      </c>
      <c r="E6679" s="3" t="s">
        <v>302</v>
      </c>
      <c r="F6679" s="3" t="s">
        <v>314</v>
      </c>
      <c r="G6679" s="5">
        <v>1E-3</v>
      </c>
      <c r="H6679" s="6" t="s">
        <v>90</v>
      </c>
      <c r="I6679" s="3" t="s">
        <v>45</v>
      </c>
    </row>
    <row r="6680" spans="1:9" ht="48" customHeight="1">
      <c r="A6680" s="3" t="s">
        <v>79</v>
      </c>
      <c r="B6680" s="3" t="s">
        <v>78</v>
      </c>
      <c r="C6680" s="4">
        <v>43497</v>
      </c>
      <c r="D6680" s="4">
        <v>43524</v>
      </c>
      <c r="E6680" s="3" t="s">
        <v>302</v>
      </c>
      <c r="F6680" s="3" t="s">
        <v>316</v>
      </c>
      <c r="G6680" s="5">
        <v>1E-3</v>
      </c>
      <c r="H6680" s="6" t="s">
        <v>90</v>
      </c>
      <c r="I6680" s="3" t="s">
        <v>45</v>
      </c>
    </row>
    <row r="6681" spans="1:9" ht="48" customHeight="1">
      <c r="A6681" s="3" t="s">
        <v>79</v>
      </c>
      <c r="B6681" s="3" t="s">
        <v>78</v>
      </c>
      <c r="C6681" s="4">
        <v>43497</v>
      </c>
      <c r="D6681" s="4">
        <v>43524</v>
      </c>
      <c r="E6681" s="3" t="s">
        <v>302</v>
      </c>
      <c r="F6681" s="3" t="s">
        <v>317</v>
      </c>
      <c r="G6681" s="5">
        <v>1E-3</v>
      </c>
      <c r="H6681" s="6" t="s">
        <v>90</v>
      </c>
      <c r="I6681" s="3" t="s">
        <v>45</v>
      </c>
    </row>
    <row r="6682" spans="1:9" ht="48" customHeight="1">
      <c r="A6682" s="3" t="s">
        <v>79</v>
      </c>
      <c r="B6682" s="3" t="s">
        <v>78</v>
      </c>
      <c r="C6682" s="4">
        <v>43497</v>
      </c>
      <c r="D6682" s="4">
        <v>43524</v>
      </c>
      <c r="E6682" s="3" t="s">
        <v>302</v>
      </c>
      <c r="F6682" s="3" t="s">
        <v>323</v>
      </c>
      <c r="G6682" s="5">
        <v>1E-3</v>
      </c>
      <c r="H6682" s="6" t="s">
        <v>90</v>
      </c>
      <c r="I6682" s="3" t="s">
        <v>45</v>
      </c>
    </row>
    <row r="6683" spans="1:9" ht="48" customHeight="1">
      <c r="A6683" s="3" t="s">
        <v>79</v>
      </c>
      <c r="B6683" s="3" t="s">
        <v>78</v>
      </c>
      <c r="C6683" s="4">
        <v>43497</v>
      </c>
      <c r="D6683" s="4">
        <v>43524</v>
      </c>
      <c r="E6683" s="3" t="s">
        <v>302</v>
      </c>
      <c r="F6683" s="3" t="s">
        <v>315</v>
      </c>
      <c r="G6683" s="5">
        <v>0</v>
      </c>
      <c r="H6683" s="6" t="s">
        <v>90</v>
      </c>
      <c r="I6683" s="3" t="s">
        <v>45</v>
      </c>
    </row>
    <row r="6684" spans="1:9" ht="48" customHeight="1">
      <c r="A6684" s="3" t="s">
        <v>79</v>
      </c>
      <c r="B6684" s="3" t="s">
        <v>78</v>
      </c>
      <c r="C6684" s="4">
        <v>43497</v>
      </c>
      <c r="D6684" s="4">
        <v>43524</v>
      </c>
      <c r="E6684" s="3" t="s">
        <v>302</v>
      </c>
      <c r="F6684" s="3" t="s">
        <v>318</v>
      </c>
      <c r="G6684" s="5">
        <v>0</v>
      </c>
      <c r="H6684" s="6" t="s">
        <v>90</v>
      </c>
      <c r="I6684" s="3" t="s">
        <v>45</v>
      </c>
    </row>
    <row r="6685" spans="1:9" ht="48" customHeight="1">
      <c r="A6685" s="3" t="s">
        <v>79</v>
      </c>
      <c r="B6685" s="3" t="s">
        <v>78</v>
      </c>
      <c r="C6685" s="4">
        <v>43497</v>
      </c>
      <c r="D6685" s="4">
        <v>43524</v>
      </c>
      <c r="E6685" s="3" t="s">
        <v>302</v>
      </c>
      <c r="F6685" s="3" t="s">
        <v>319</v>
      </c>
      <c r="G6685" s="5">
        <v>0</v>
      </c>
      <c r="H6685" s="6" t="s">
        <v>90</v>
      </c>
      <c r="I6685" s="3" t="s">
        <v>45</v>
      </c>
    </row>
    <row r="6686" spans="1:9" ht="48" customHeight="1">
      <c r="A6686" s="3" t="s">
        <v>79</v>
      </c>
      <c r="B6686" s="3" t="s">
        <v>78</v>
      </c>
      <c r="C6686" s="4">
        <v>43497</v>
      </c>
      <c r="D6686" s="4">
        <v>43524</v>
      </c>
      <c r="E6686" s="3" t="s">
        <v>302</v>
      </c>
      <c r="F6686" s="3" t="s">
        <v>320</v>
      </c>
      <c r="G6686" s="5">
        <v>0</v>
      </c>
      <c r="H6686" s="6" t="s">
        <v>90</v>
      </c>
      <c r="I6686" s="3" t="s">
        <v>45</v>
      </c>
    </row>
    <row r="6687" spans="1:9" ht="48" customHeight="1">
      <c r="A6687" s="3" t="s">
        <v>79</v>
      </c>
      <c r="B6687" s="3" t="s">
        <v>78</v>
      </c>
      <c r="C6687" s="4">
        <v>43497</v>
      </c>
      <c r="D6687" s="4">
        <v>43524</v>
      </c>
      <c r="E6687" s="3" t="s">
        <v>302</v>
      </c>
      <c r="F6687" s="3" t="s">
        <v>321</v>
      </c>
      <c r="G6687" s="5">
        <v>0</v>
      </c>
      <c r="H6687" s="6" t="s">
        <v>90</v>
      </c>
      <c r="I6687" s="3" t="s">
        <v>45</v>
      </c>
    </row>
    <row r="6688" spans="1:9" ht="48" customHeight="1">
      <c r="A6688" s="3" t="s">
        <v>79</v>
      </c>
      <c r="B6688" s="3" t="s">
        <v>78</v>
      </c>
      <c r="C6688" s="4">
        <v>43497</v>
      </c>
      <c r="D6688" s="4">
        <v>43524</v>
      </c>
      <c r="E6688" s="3" t="s">
        <v>302</v>
      </c>
      <c r="F6688" s="3" t="s">
        <v>322</v>
      </c>
      <c r="G6688" s="5">
        <v>0</v>
      </c>
      <c r="H6688" s="6" t="s">
        <v>90</v>
      </c>
      <c r="I6688" s="3" t="s">
        <v>45</v>
      </c>
    </row>
    <row r="6689" spans="1:9" ht="48" customHeight="1">
      <c r="A6689" s="3" t="s">
        <v>79</v>
      </c>
      <c r="B6689" s="3" t="s">
        <v>78</v>
      </c>
      <c r="C6689" s="4">
        <v>43497</v>
      </c>
      <c r="D6689" s="4">
        <v>43524</v>
      </c>
      <c r="E6689" s="3" t="s">
        <v>302</v>
      </c>
      <c r="F6689" s="3" t="s">
        <v>324</v>
      </c>
      <c r="G6689" s="5">
        <v>0</v>
      </c>
      <c r="H6689" s="6" t="s">
        <v>90</v>
      </c>
      <c r="I6689" s="3" t="s">
        <v>45</v>
      </c>
    </row>
    <row r="6690" spans="1:9" ht="48" customHeight="1">
      <c r="A6690" s="3" t="s">
        <v>79</v>
      </c>
      <c r="B6690" s="3" t="s">
        <v>78</v>
      </c>
      <c r="C6690" s="4">
        <v>43497</v>
      </c>
      <c r="D6690" s="4">
        <v>43524</v>
      </c>
      <c r="E6690" s="3" t="s">
        <v>286</v>
      </c>
      <c r="F6690" s="3" t="s">
        <v>287</v>
      </c>
      <c r="G6690" s="5">
        <v>3.0000000000000001E-3</v>
      </c>
      <c r="H6690" s="6" t="s">
        <v>90</v>
      </c>
      <c r="I6690" s="3" t="s">
        <v>45</v>
      </c>
    </row>
    <row r="6691" spans="1:9" ht="48" customHeight="1">
      <c r="A6691" s="3" t="s">
        <v>79</v>
      </c>
      <c r="B6691" s="3" t="s">
        <v>78</v>
      </c>
      <c r="C6691" s="4">
        <v>43497</v>
      </c>
      <c r="D6691" s="4">
        <v>43524</v>
      </c>
      <c r="E6691" s="3" t="s">
        <v>286</v>
      </c>
      <c r="F6691" s="3" t="s">
        <v>291</v>
      </c>
      <c r="G6691" s="5">
        <v>3.0000000000000001E-3</v>
      </c>
      <c r="H6691" s="6" t="s">
        <v>90</v>
      </c>
      <c r="I6691" s="3" t="s">
        <v>45</v>
      </c>
    </row>
    <row r="6692" spans="1:9" ht="48" customHeight="1">
      <c r="A6692" s="3" t="s">
        <v>79</v>
      </c>
      <c r="B6692" s="3" t="s">
        <v>78</v>
      </c>
      <c r="C6692" s="4">
        <v>43497</v>
      </c>
      <c r="D6692" s="4">
        <v>43524</v>
      </c>
      <c r="E6692" s="3" t="s">
        <v>286</v>
      </c>
      <c r="F6692" s="3" t="s">
        <v>290</v>
      </c>
      <c r="G6692" s="5">
        <v>2E-3</v>
      </c>
      <c r="H6692" s="6" t="s">
        <v>90</v>
      </c>
      <c r="I6692" s="3" t="s">
        <v>45</v>
      </c>
    </row>
    <row r="6693" spans="1:9" ht="48" customHeight="1">
      <c r="A6693" s="3" t="s">
        <v>79</v>
      </c>
      <c r="B6693" s="3" t="s">
        <v>78</v>
      </c>
      <c r="C6693" s="4">
        <v>43497</v>
      </c>
      <c r="D6693" s="4">
        <v>43524</v>
      </c>
      <c r="E6693" s="3" t="s">
        <v>286</v>
      </c>
      <c r="F6693" s="3" t="s">
        <v>288</v>
      </c>
      <c r="G6693" s="5">
        <v>2E-3</v>
      </c>
      <c r="H6693" s="6" t="s">
        <v>90</v>
      </c>
      <c r="I6693" s="3" t="s">
        <v>45</v>
      </c>
    </row>
    <row r="6694" spans="1:9" ht="48" customHeight="1">
      <c r="A6694" s="3" t="s">
        <v>79</v>
      </c>
      <c r="B6694" s="3" t="s">
        <v>78</v>
      </c>
      <c r="C6694" s="4">
        <v>43497</v>
      </c>
      <c r="D6694" s="4">
        <v>43524</v>
      </c>
      <c r="E6694" s="3" t="s">
        <v>286</v>
      </c>
      <c r="F6694" s="3" t="s">
        <v>289</v>
      </c>
      <c r="G6694" s="5">
        <v>2E-3</v>
      </c>
      <c r="H6694" s="6" t="s">
        <v>90</v>
      </c>
      <c r="I6694" s="3" t="s">
        <v>45</v>
      </c>
    </row>
    <row r="6695" spans="1:9" ht="48" customHeight="1">
      <c r="A6695" s="3" t="s">
        <v>79</v>
      </c>
      <c r="B6695" s="3" t="s">
        <v>78</v>
      </c>
      <c r="C6695" s="4">
        <v>43497</v>
      </c>
      <c r="D6695" s="4">
        <v>43524</v>
      </c>
      <c r="E6695" s="3" t="s">
        <v>286</v>
      </c>
      <c r="F6695" s="3" t="s">
        <v>293</v>
      </c>
      <c r="G6695" s="5">
        <v>2E-3</v>
      </c>
      <c r="H6695" s="6" t="s">
        <v>90</v>
      </c>
      <c r="I6695" s="3" t="s">
        <v>45</v>
      </c>
    </row>
    <row r="6696" spans="1:9" ht="48" customHeight="1">
      <c r="A6696" s="3" t="s">
        <v>79</v>
      </c>
      <c r="B6696" s="3" t="s">
        <v>78</v>
      </c>
      <c r="C6696" s="4">
        <v>43497</v>
      </c>
      <c r="D6696" s="4">
        <v>43524</v>
      </c>
      <c r="E6696" s="3" t="s">
        <v>286</v>
      </c>
      <c r="F6696" s="3" t="s">
        <v>292</v>
      </c>
      <c r="G6696" s="5">
        <v>2E-3</v>
      </c>
      <c r="H6696" s="6" t="s">
        <v>90</v>
      </c>
      <c r="I6696" s="3" t="s">
        <v>45</v>
      </c>
    </row>
    <row r="6697" spans="1:9" ht="48" customHeight="1">
      <c r="A6697" s="3" t="s">
        <v>79</v>
      </c>
      <c r="B6697" s="3" t="s">
        <v>78</v>
      </c>
      <c r="C6697" s="4">
        <v>43497</v>
      </c>
      <c r="D6697" s="4">
        <v>43524</v>
      </c>
      <c r="E6697" s="3" t="s">
        <v>286</v>
      </c>
      <c r="F6697" s="3" t="s">
        <v>298</v>
      </c>
      <c r="G6697" s="5">
        <v>1E-3</v>
      </c>
      <c r="H6697" s="6" t="s">
        <v>90</v>
      </c>
      <c r="I6697" s="3" t="s">
        <v>45</v>
      </c>
    </row>
    <row r="6698" spans="1:9" ht="48" customHeight="1">
      <c r="A6698" s="3" t="s">
        <v>79</v>
      </c>
      <c r="B6698" s="3" t="s">
        <v>78</v>
      </c>
      <c r="C6698" s="4">
        <v>43497</v>
      </c>
      <c r="D6698" s="4">
        <v>43524</v>
      </c>
      <c r="E6698" s="3" t="s">
        <v>286</v>
      </c>
      <c r="F6698" s="3" t="s">
        <v>297</v>
      </c>
      <c r="G6698" s="5">
        <v>1E-3</v>
      </c>
      <c r="H6698" s="6" t="s">
        <v>90</v>
      </c>
      <c r="I6698" s="3" t="s">
        <v>45</v>
      </c>
    </row>
    <row r="6699" spans="1:9" ht="48" customHeight="1">
      <c r="A6699" s="3" t="s">
        <v>79</v>
      </c>
      <c r="B6699" s="3" t="s">
        <v>78</v>
      </c>
      <c r="C6699" s="4">
        <v>43497</v>
      </c>
      <c r="D6699" s="4">
        <v>43524</v>
      </c>
      <c r="E6699" s="3" t="s">
        <v>286</v>
      </c>
      <c r="F6699" s="3" t="s">
        <v>300</v>
      </c>
      <c r="G6699" s="5">
        <v>1E-3</v>
      </c>
      <c r="H6699" s="6" t="s">
        <v>90</v>
      </c>
      <c r="I6699" s="3" t="s">
        <v>45</v>
      </c>
    </row>
    <row r="6700" spans="1:9" ht="48" customHeight="1">
      <c r="A6700" s="3" t="s">
        <v>79</v>
      </c>
      <c r="B6700" s="3" t="s">
        <v>78</v>
      </c>
      <c r="C6700" s="4">
        <v>43497</v>
      </c>
      <c r="D6700" s="4">
        <v>43524</v>
      </c>
      <c r="E6700" s="3" t="s">
        <v>286</v>
      </c>
      <c r="F6700" s="3" t="s">
        <v>294</v>
      </c>
      <c r="G6700" s="5">
        <v>0</v>
      </c>
      <c r="H6700" s="6" t="s">
        <v>90</v>
      </c>
      <c r="I6700" s="3" t="s">
        <v>45</v>
      </c>
    </row>
    <row r="6701" spans="1:9" ht="48" customHeight="1">
      <c r="A6701" s="3" t="s">
        <v>79</v>
      </c>
      <c r="B6701" s="3" t="s">
        <v>78</v>
      </c>
      <c r="C6701" s="4">
        <v>43497</v>
      </c>
      <c r="D6701" s="4">
        <v>43524</v>
      </c>
      <c r="E6701" s="3" t="s">
        <v>286</v>
      </c>
      <c r="F6701" s="3" t="s">
        <v>295</v>
      </c>
      <c r="G6701" s="5">
        <v>0</v>
      </c>
      <c r="H6701" s="6" t="s">
        <v>90</v>
      </c>
      <c r="I6701" s="3" t="s">
        <v>45</v>
      </c>
    </row>
    <row r="6702" spans="1:9" ht="48" customHeight="1">
      <c r="A6702" s="3" t="s">
        <v>79</v>
      </c>
      <c r="B6702" s="3" t="s">
        <v>78</v>
      </c>
      <c r="C6702" s="4">
        <v>43497</v>
      </c>
      <c r="D6702" s="4">
        <v>43524</v>
      </c>
      <c r="E6702" s="3" t="s">
        <v>286</v>
      </c>
      <c r="F6702" s="3" t="s">
        <v>296</v>
      </c>
      <c r="G6702" s="5">
        <v>0</v>
      </c>
      <c r="H6702" s="6" t="s">
        <v>90</v>
      </c>
      <c r="I6702" s="3" t="s">
        <v>45</v>
      </c>
    </row>
    <row r="6703" spans="1:9" ht="48" customHeight="1">
      <c r="A6703" s="3" t="s">
        <v>79</v>
      </c>
      <c r="B6703" s="3" t="s">
        <v>78</v>
      </c>
      <c r="C6703" s="4">
        <v>43497</v>
      </c>
      <c r="D6703" s="4">
        <v>43524</v>
      </c>
      <c r="E6703" s="3" t="s">
        <v>286</v>
      </c>
      <c r="F6703" s="3" t="s">
        <v>299</v>
      </c>
      <c r="G6703" s="5">
        <v>0</v>
      </c>
      <c r="H6703" s="6" t="s">
        <v>90</v>
      </c>
      <c r="I6703" s="3" t="s">
        <v>45</v>
      </c>
    </row>
    <row r="6704" spans="1:9" ht="48" customHeight="1">
      <c r="A6704" s="3" t="s">
        <v>79</v>
      </c>
      <c r="B6704" s="3" t="s">
        <v>78</v>
      </c>
      <c r="C6704" s="4">
        <v>43497</v>
      </c>
      <c r="D6704" s="4">
        <v>43524</v>
      </c>
      <c r="E6704" s="3" t="s">
        <v>47</v>
      </c>
      <c r="F6704" s="3" t="s">
        <v>348</v>
      </c>
      <c r="G6704" s="5">
        <v>5.0000000000000001E-3</v>
      </c>
      <c r="H6704" s="6" t="s">
        <v>90</v>
      </c>
      <c r="I6704" s="3" t="s">
        <v>45</v>
      </c>
    </row>
    <row r="6705" spans="1:9" ht="48" customHeight="1">
      <c r="A6705" s="3" t="s">
        <v>79</v>
      </c>
      <c r="B6705" s="3" t="s">
        <v>78</v>
      </c>
      <c r="C6705" s="4">
        <v>43497</v>
      </c>
      <c r="D6705" s="4">
        <v>43524</v>
      </c>
      <c r="E6705" s="3" t="s">
        <v>47</v>
      </c>
      <c r="F6705" s="3" t="s">
        <v>349</v>
      </c>
      <c r="G6705" s="5">
        <v>3.0000000000000001E-3</v>
      </c>
      <c r="H6705" s="6" t="s">
        <v>90</v>
      </c>
      <c r="I6705" s="3" t="s">
        <v>45</v>
      </c>
    </row>
    <row r="6706" spans="1:9" ht="48" customHeight="1">
      <c r="A6706" s="3" t="s">
        <v>79</v>
      </c>
      <c r="B6706" s="3" t="s">
        <v>78</v>
      </c>
      <c r="C6706" s="4">
        <v>43497</v>
      </c>
      <c r="D6706" s="4">
        <v>43524</v>
      </c>
      <c r="E6706" s="3" t="s">
        <v>47</v>
      </c>
      <c r="F6706" s="3" t="s">
        <v>352</v>
      </c>
      <c r="G6706" s="5">
        <v>2E-3</v>
      </c>
      <c r="H6706" s="6" t="s">
        <v>90</v>
      </c>
      <c r="I6706" s="3" t="s">
        <v>45</v>
      </c>
    </row>
    <row r="6707" spans="1:9" ht="48" customHeight="1">
      <c r="A6707" s="3" t="s">
        <v>79</v>
      </c>
      <c r="B6707" s="3" t="s">
        <v>78</v>
      </c>
      <c r="C6707" s="4">
        <v>43497</v>
      </c>
      <c r="D6707" s="4">
        <v>43524</v>
      </c>
      <c r="E6707" s="3" t="s">
        <v>47</v>
      </c>
      <c r="F6707" s="3" t="s">
        <v>350</v>
      </c>
      <c r="G6707" s="5">
        <v>1E-3</v>
      </c>
      <c r="H6707" s="6" t="s">
        <v>90</v>
      </c>
      <c r="I6707" s="3" t="s">
        <v>45</v>
      </c>
    </row>
    <row r="6708" spans="1:9" ht="48" customHeight="1">
      <c r="A6708" s="3" t="s">
        <v>79</v>
      </c>
      <c r="B6708" s="3" t="s">
        <v>78</v>
      </c>
      <c r="C6708" s="4">
        <v>43497</v>
      </c>
      <c r="D6708" s="4">
        <v>43524</v>
      </c>
      <c r="E6708" s="3" t="s">
        <v>47</v>
      </c>
      <c r="F6708" s="3" t="s">
        <v>351</v>
      </c>
      <c r="G6708" s="5">
        <v>1E-3</v>
      </c>
      <c r="H6708" s="6" t="s">
        <v>90</v>
      </c>
      <c r="I6708" s="3" t="s">
        <v>45</v>
      </c>
    </row>
    <row r="6709" spans="1:9" ht="48" customHeight="1">
      <c r="A6709" s="3" t="s">
        <v>79</v>
      </c>
      <c r="B6709" s="3" t="s">
        <v>78</v>
      </c>
      <c r="C6709" s="4">
        <v>43497</v>
      </c>
      <c r="D6709" s="4">
        <v>43524</v>
      </c>
      <c r="E6709" s="3" t="s">
        <v>47</v>
      </c>
      <c r="F6709" s="3" t="s">
        <v>355</v>
      </c>
      <c r="G6709" s="5">
        <v>1E-3</v>
      </c>
      <c r="H6709" s="6" t="s">
        <v>90</v>
      </c>
      <c r="I6709" s="3" t="s">
        <v>45</v>
      </c>
    </row>
    <row r="6710" spans="1:9" ht="48" customHeight="1">
      <c r="A6710" s="3" t="s">
        <v>79</v>
      </c>
      <c r="B6710" s="3" t="s">
        <v>78</v>
      </c>
      <c r="C6710" s="4">
        <v>43497</v>
      </c>
      <c r="D6710" s="4">
        <v>43524</v>
      </c>
      <c r="E6710" s="3" t="s">
        <v>47</v>
      </c>
      <c r="F6710" s="3" t="s">
        <v>40</v>
      </c>
      <c r="G6710" s="5">
        <v>1E-3</v>
      </c>
      <c r="H6710" s="6" t="s">
        <v>90</v>
      </c>
      <c r="I6710" s="3" t="s">
        <v>45</v>
      </c>
    </row>
    <row r="6711" spans="1:9" ht="48" customHeight="1">
      <c r="A6711" s="3" t="s">
        <v>79</v>
      </c>
      <c r="B6711" s="3" t="s">
        <v>78</v>
      </c>
      <c r="C6711" s="4">
        <v>43497</v>
      </c>
      <c r="D6711" s="4">
        <v>43524</v>
      </c>
      <c r="E6711" s="3" t="s">
        <v>47</v>
      </c>
      <c r="F6711" s="3" t="s">
        <v>357</v>
      </c>
      <c r="G6711" s="5">
        <v>1E-3</v>
      </c>
      <c r="H6711" s="6" t="s">
        <v>90</v>
      </c>
      <c r="I6711" s="3" t="s">
        <v>45</v>
      </c>
    </row>
    <row r="6712" spans="1:9" ht="48" customHeight="1">
      <c r="A6712" s="3" t="s">
        <v>79</v>
      </c>
      <c r="B6712" s="3" t="s">
        <v>78</v>
      </c>
      <c r="C6712" s="4">
        <v>43497</v>
      </c>
      <c r="D6712" s="4">
        <v>43524</v>
      </c>
      <c r="E6712" s="3" t="s">
        <v>47</v>
      </c>
      <c r="F6712" s="3" t="s">
        <v>358</v>
      </c>
      <c r="G6712" s="5">
        <v>1E-3</v>
      </c>
      <c r="H6712" s="6" t="s">
        <v>90</v>
      </c>
      <c r="I6712" s="3" t="s">
        <v>45</v>
      </c>
    </row>
    <row r="6713" spans="1:9" ht="48" customHeight="1">
      <c r="A6713" s="3" t="s">
        <v>79</v>
      </c>
      <c r="B6713" s="3" t="s">
        <v>78</v>
      </c>
      <c r="C6713" s="4">
        <v>43497</v>
      </c>
      <c r="D6713" s="4">
        <v>43524</v>
      </c>
      <c r="E6713" s="3" t="s">
        <v>47</v>
      </c>
      <c r="F6713" s="3" t="s">
        <v>362</v>
      </c>
      <c r="G6713" s="5">
        <v>1E-3</v>
      </c>
      <c r="H6713" s="6" t="s">
        <v>90</v>
      </c>
      <c r="I6713" s="3" t="s">
        <v>45</v>
      </c>
    </row>
    <row r="6714" spans="1:9" ht="48" customHeight="1">
      <c r="A6714" s="3" t="s">
        <v>79</v>
      </c>
      <c r="B6714" s="3" t="s">
        <v>78</v>
      </c>
      <c r="C6714" s="4">
        <v>43497</v>
      </c>
      <c r="D6714" s="4">
        <v>43524</v>
      </c>
      <c r="E6714" s="3" t="s">
        <v>47</v>
      </c>
      <c r="F6714" s="3" t="s">
        <v>353</v>
      </c>
      <c r="G6714" s="5">
        <v>0</v>
      </c>
      <c r="H6714" s="6" t="s">
        <v>90</v>
      </c>
      <c r="I6714" s="3" t="s">
        <v>45</v>
      </c>
    </row>
    <row r="6715" spans="1:9" ht="48" customHeight="1">
      <c r="A6715" s="3" t="s">
        <v>79</v>
      </c>
      <c r="B6715" s="3" t="s">
        <v>78</v>
      </c>
      <c r="C6715" s="4">
        <v>43497</v>
      </c>
      <c r="D6715" s="4">
        <v>43524</v>
      </c>
      <c r="E6715" s="3" t="s">
        <v>47</v>
      </c>
      <c r="F6715" s="3" t="s">
        <v>354</v>
      </c>
      <c r="G6715" s="5">
        <v>0</v>
      </c>
      <c r="H6715" s="6" t="s">
        <v>90</v>
      </c>
      <c r="I6715" s="3" t="s">
        <v>45</v>
      </c>
    </row>
    <row r="6716" spans="1:9" ht="48" customHeight="1">
      <c r="A6716" s="3" t="s">
        <v>79</v>
      </c>
      <c r="B6716" s="3" t="s">
        <v>78</v>
      </c>
      <c r="C6716" s="4">
        <v>43497</v>
      </c>
      <c r="D6716" s="4">
        <v>43524</v>
      </c>
      <c r="E6716" s="3" t="s">
        <v>47</v>
      </c>
      <c r="F6716" s="3" t="s">
        <v>356</v>
      </c>
      <c r="G6716" s="5">
        <v>0</v>
      </c>
      <c r="H6716" s="6" t="s">
        <v>90</v>
      </c>
      <c r="I6716" s="3" t="s">
        <v>45</v>
      </c>
    </row>
    <row r="6717" spans="1:9" ht="48" customHeight="1">
      <c r="A6717" s="3" t="s">
        <v>79</v>
      </c>
      <c r="B6717" s="3" t="s">
        <v>78</v>
      </c>
      <c r="C6717" s="4">
        <v>43497</v>
      </c>
      <c r="D6717" s="4">
        <v>43524</v>
      </c>
      <c r="E6717" s="3" t="s">
        <v>47</v>
      </c>
      <c r="F6717" s="3" t="s">
        <v>359</v>
      </c>
      <c r="G6717" s="5">
        <v>0</v>
      </c>
      <c r="H6717" s="6" t="s">
        <v>90</v>
      </c>
      <c r="I6717" s="3" t="s">
        <v>45</v>
      </c>
    </row>
    <row r="6718" spans="1:9" ht="48" customHeight="1">
      <c r="A6718" s="3" t="s">
        <v>79</v>
      </c>
      <c r="B6718" s="3" t="s">
        <v>78</v>
      </c>
      <c r="C6718" s="4">
        <v>43497</v>
      </c>
      <c r="D6718" s="4">
        <v>43524</v>
      </c>
      <c r="E6718" s="3" t="s">
        <v>47</v>
      </c>
      <c r="F6718" s="3" t="s">
        <v>360</v>
      </c>
      <c r="G6718" s="5">
        <v>0</v>
      </c>
      <c r="H6718" s="6" t="s">
        <v>90</v>
      </c>
      <c r="I6718" s="3" t="s">
        <v>45</v>
      </c>
    </row>
    <row r="6719" spans="1:9" ht="48" customHeight="1">
      <c r="A6719" s="3" t="s">
        <v>79</v>
      </c>
      <c r="B6719" s="3" t="s">
        <v>78</v>
      </c>
      <c r="C6719" s="4">
        <v>43497</v>
      </c>
      <c r="D6719" s="4">
        <v>43524</v>
      </c>
      <c r="E6719" s="3" t="s">
        <v>47</v>
      </c>
      <c r="F6719" s="3" t="s">
        <v>361</v>
      </c>
      <c r="G6719" s="5">
        <v>0</v>
      </c>
      <c r="H6719" s="6" t="s">
        <v>90</v>
      </c>
      <c r="I6719" s="3" t="s">
        <v>45</v>
      </c>
    </row>
    <row r="6720" spans="1:9" ht="48" customHeight="1">
      <c r="A6720" s="3" t="s">
        <v>79</v>
      </c>
      <c r="B6720" s="3" t="s">
        <v>78</v>
      </c>
      <c r="C6720" s="4">
        <v>43497</v>
      </c>
      <c r="D6720" s="4">
        <v>43524</v>
      </c>
      <c r="E6720" s="3" t="s">
        <v>47</v>
      </c>
      <c r="F6720" s="3" t="s">
        <v>318</v>
      </c>
      <c r="G6720" s="5">
        <v>0</v>
      </c>
      <c r="H6720" s="6" t="s">
        <v>90</v>
      </c>
      <c r="I6720" s="3" t="s">
        <v>45</v>
      </c>
    </row>
    <row r="6721" spans="1:9" ht="48" customHeight="1">
      <c r="A6721" s="3" t="s">
        <v>79</v>
      </c>
      <c r="B6721" s="3" t="s">
        <v>78</v>
      </c>
      <c r="C6721" s="4">
        <v>43497</v>
      </c>
      <c r="D6721" s="4">
        <v>43524</v>
      </c>
      <c r="E6721" s="3" t="s">
        <v>47</v>
      </c>
      <c r="F6721" s="3" t="s">
        <v>363</v>
      </c>
      <c r="G6721" s="5">
        <v>0</v>
      </c>
      <c r="H6721" s="6" t="s">
        <v>90</v>
      </c>
      <c r="I6721" s="3" t="s">
        <v>45</v>
      </c>
    </row>
    <row r="6722" spans="1:9" ht="48" customHeight="1">
      <c r="A6722" s="3" t="s">
        <v>79</v>
      </c>
      <c r="B6722" s="3" t="s">
        <v>78</v>
      </c>
      <c r="C6722" s="4">
        <v>43497</v>
      </c>
      <c r="D6722" s="4">
        <v>43524</v>
      </c>
      <c r="E6722" s="3" t="s">
        <v>68</v>
      </c>
      <c r="F6722" s="3" t="s">
        <v>150</v>
      </c>
      <c r="G6722" s="5">
        <v>3.0000000000000001E-3</v>
      </c>
      <c r="H6722" s="6" t="s">
        <v>90</v>
      </c>
      <c r="I6722" s="3" t="s">
        <v>45</v>
      </c>
    </row>
    <row r="6723" spans="1:9" ht="48" customHeight="1">
      <c r="A6723" s="3" t="s">
        <v>79</v>
      </c>
      <c r="B6723" s="3" t="s">
        <v>78</v>
      </c>
      <c r="C6723" s="4">
        <v>43497</v>
      </c>
      <c r="D6723" s="4">
        <v>43524</v>
      </c>
      <c r="E6723" s="3" t="s">
        <v>68</v>
      </c>
      <c r="F6723" s="3" t="s">
        <v>147</v>
      </c>
      <c r="G6723" s="5">
        <v>3.0000000000000001E-3</v>
      </c>
      <c r="H6723" s="6" t="s">
        <v>90</v>
      </c>
      <c r="I6723" s="3" t="s">
        <v>45</v>
      </c>
    </row>
    <row r="6724" spans="1:9" ht="48" customHeight="1">
      <c r="A6724" s="3" t="s">
        <v>79</v>
      </c>
      <c r="B6724" s="3" t="s">
        <v>78</v>
      </c>
      <c r="C6724" s="4">
        <v>43497</v>
      </c>
      <c r="D6724" s="4">
        <v>43524</v>
      </c>
      <c r="E6724" s="3" t="s">
        <v>68</v>
      </c>
      <c r="F6724" s="3" t="s">
        <v>151</v>
      </c>
      <c r="G6724" s="5">
        <v>2E-3</v>
      </c>
      <c r="H6724" s="6" t="s">
        <v>90</v>
      </c>
      <c r="I6724" s="3" t="s">
        <v>45</v>
      </c>
    </row>
    <row r="6725" spans="1:9" ht="48" customHeight="1">
      <c r="A6725" s="3" t="s">
        <v>79</v>
      </c>
      <c r="B6725" s="3" t="s">
        <v>78</v>
      </c>
      <c r="C6725" s="4">
        <v>43497</v>
      </c>
      <c r="D6725" s="4">
        <v>43524</v>
      </c>
      <c r="E6725" s="3" t="s">
        <v>68</v>
      </c>
      <c r="F6725" s="3" t="s">
        <v>149</v>
      </c>
      <c r="G6725" s="5">
        <v>1E-3</v>
      </c>
      <c r="H6725" s="6" t="s">
        <v>90</v>
      </c>
      <c r="I6725" s="3" t="s">
        <v>45</v>
      </c>
    </row>
    <row r="6726" spans="1:9" ht="48" customHeight="1">
      <c r="A6726" s="3" t="s">
        <v>79</v>
      </c>
      <c r="B6726" s="3" t="s">
        <v>78</v>
      </c>
      <c r="C6726" s="4">
        <v>43497</v>
      </c>
      <c r="D6726" s="4">
        <v>43524</v>
      </c>
      <c r="E6726" s="3" t="s">
        <v>68</v>
      </c>
      <c r="F6726" s="3" t="s">
        <v>148</v>
      </c>
      <c r="G6726" s="5">
        <v>1E-3</v>
      </c>
      <c r="H6726" s="6" t="s">
        <v>90</v>
      </c>
      <c r="I6726" s="3" t="s">
        <v>45</v>
      </c>
    </row>
    <row r="6727" spans="1:9" ht="48" customHeight="1">
      <c r="A6727" s="3" t="s">
        <v>79</v>
      </c>
      <c r="B6727" s="3" t="s">
        <v>78</v>
      </c>
      <c r="C6727" s="4">
        <v>43497</v>
      </c>
      <c r="D6727" s="4">
        <v>43524</v>
      </c>
      <c r="E6727" s="3" t="s">
        <v>68</v>
      </c>
      <c r="F6727" s="3" t="s">
        <v>155</v>
      </c>
      <c r="G6727" s="5">
        <v>0</v>
      </c>
      <c r="H6727" s="6" t="s">
        <v>90</v>
      </c>
      <c r="I6727" s="3" t="s">
        <v>45</v>
      </c>
    </row>
    <row r="6728" spans="1:9" ht="48" customHeight="1">
      <c r="A6728" s="3" t="s">
        <v>79</v>
      </c>
      <c r="B6728" s="3" t="s">
        <v>78</v>
      </c>
      <c r="C6728" s="4">
        <v>43497</v>
      </c>
      <c r="D6728" s="4">
        <v>43524</v>
      </c>
      <c r="E6728" s="3" t="s">
        <v>68</v>
      </c>
      <c r="F6728" s="3" t="s">
        <v>152</v>
      </c>
      <c r="G6728" s="5">
        <v>0</v>
      </c>
      <c r="H6728" s="6" t="s">
        <v>90</v>
      </c>
      <c r="I6728" s="3" t="s">
        <v>45</v>
      </c>
    </row>
    <row r="6729" spans="1:9" ht="48" customHeight="1">
      <c r="A6729" s="3" t="s">
        <v>79</v>
      </c>
      <c r="B6729" s="3" t="s">
        <v>78</v>
      </c>
      <c r="C6729" s="4">
        <v>43497</v>
      </c>
      <c r="D6729" s="4">
        <v>43524</v>
      </c>
      <c r="E6729" s="3" t="s">
        <v>68</v>
      </c>
      <c r="F6729" s="3" t="s">
        <v>157</v>
      </c>
      <c r="G6729" s="5">
        <v>0</v>
      </c>
      <c r="H6729" s="6" t="s">
        <v>90</v>
      </c>
      <c r="I6729" s="3" t="s">
        <v>45</v>
      </c>
    </row>
    <row r="6730" spans="1:9" ht="48" customHeight="1">
      <c r="A6730" s="3" t="s">
        <v>79</v>
      </c>
      <c r="B6730" s="3" t="s">
        <v>78</v>
      </c>
      <c r="C6730" s="4">
        <v>43497</v>
      </c>
      <c r="D6730" s="4">
        <v>43524</v>
      </c>
      <c r="E6730" s="3" t="s">
        <v>68</v>
      </c>
      <c r="F6730" s="3" t="s">
        <v>159</v>
      </c>
      <c r="G6730" s="5">
        <v>0</v>
      </c>
      <c r="H6730" s="6" t="s">
        <v>90</v>
      </c>
      <c r="I6730" s="3" t="s">
        <v>45</v>
      </c>
    </row>
    <row r="6731" spans="1:9" ht="48" customHeight="1">
      <c r="A6731" s="3" t="s">
        <v>79</v>
      </c>
      <c r="B6731" s="3" t="s">
        <v>78</v>
      </c>
      <c r="C6731" s="4">
        <v>43497</v>
      </c>
      <c r="D6731" s="4">
        <v>43524</v>
      </c>
      <c r="E6731" s="3" t="s">
        <v>68</v>
      </c>
      <c r="F6731" s="3" t="s">
        <v>160</v>
      </c>
      <c r="G6731" s="5">
        <v>0</v>
      </c>
      <c r="H6731" s="6" t="s">
        <v>90</v>
      </c>
      <c r="I6731" s="3" t="s">
        <v>45</v>
      </c>
    </row>
    <row r="6732" spans="1:9" ht="48" customHeight="1">
      <c r="A6732" s="3" t="s">
        <v>79</v>
      </c>
      <c r="B6732" s="3" t="s">
        <v>78</v>
      </c>
      <c r="C6732" s="4">
        <v>43497</v>
      </c>
      <c r="D6732" s="4">
        <v>43524</v>
      </c>
      <c r="E6732" s="3" t="s">
        <v>68</v>
      </c>
      <c r="F6732" s="3" t="s">
        <v>156</v>
      </c>
      <c r="G6732" s="5">
        <v>0</v>
      </c>
      <c r="H6732" s="6" t="s">
        <v>90</v>
      </c>
      <c r="I6732" s="3" t="s">
        <v>45</v>
      </c>
    </row>
    <row r="6733" spans="1:9" ht="48" customHeight="1">
      <c r="A6733" s="3" t="s">
        <v>79</v>
      </c>
      <c r="B6733" s="3" t="s">
        <v>78</v>
      </c>
      <c r="C6733" s="4">
        <v>43497</v>
      </c>
      <c r="D6733" s="4">
        <v>43524</v>
      </c>
      <c r="E6733" s="3" t="s">
        <v>68</v>
      </c>
      <c r="F6733" s="3" t="s">
        <v>158</v>
      </c>
      <c r="G6733" s="5">
        <v>0</v>
      </c>
      <c r="H6733" s="6" t="s">
        <v>90</v>
      </c>
      <c r="I6733" s="3" t="s">
        <v>45</v>
      </c>
    </row>
    <row r="6734" spans="1:9" ht="48" customHeight="1">
      <c r="A6734" s="3" t="s">
        <v>79</v>
      </c>
      <c r="B6734" s="3" t="s">
        <v>78</v>
      </c>
      <c r="C6734" s="4">
        <v>43497</v>
      </c>
      <c r="D6734" s="4">
        <v>43524</v>
      </c>
      <c r="E6734" s="3" t="s">
        <v>68</v>
      </c>
      <c r="F6734" s="3" t="s">
        <v>153</v>
      </c>
      <c r="G6734" s="5">
        <v>0</v>
      </c>
      <c r="H6734" s="6" t="s">
        <v>90</v>
      </c>
      <c r="I6734" s="3" t="s">
        <v>45</v>
      </c>
    </row>
    <row r="6735" spans="1:9" ht="48" customHeight="1">
      <c r="A6735" s="3" t="s">
        <v>79</v>
      </c>
      <c r="B6735" s="3" t="s">
        <v>78</v>
      </c>
      <c r="C6735" s="4">
        <v>43497</v>
      </c>
      <c r="D6735" s="4">
        <v>43524</v>
      </c>
      <c r="E6735" s="3" t="s">
        <v>68</v>
      </c>
      <c r="F6735" s="3" t="s">
        <v>146</v>
      </c>
      <c r="G6735" s="5">
        <v>0</v>
      </c>
      <c r="H6735" s="6" t="s">
        <v>90</v>
      </c>
      <c r="I6735" s="3" t="s">
        <v>45</v>
      </c>
    </row>
    <row r="6736" spans="1:9" ht="48" customHeight="1">
      <c r="A6736" s="3" t="s">
        <v>79</v>
      </c>
      <c r="B6736" s="3" t="s">
        <v>78</v>
      </c>
      <c r="C6736" s="4">
        <v>43497</v>
      </c>
      <c r="D6736" s="4">
        <v>43524</v>
      </c>
      <c r="E6736" s="3" t="s">
        <v>68</v>
      </c>
      <c r="F6736" s="3" t="s">
        <v>66</v>
      </c>
      <c r="G6736" s="5">
        <v>0</v>
      </c>
      <c r="H6736" s="6" t="s">
        <v>90</v>
      </c>
      <c r="I6736" s="3" t="s">
        <v>45</v>
      </c>
    </row>
    <row r="6737" spans="1:9" ht="48" customHeight="1">
      <c r="A6737" s="3" t="s">
        <v>79</v>
      </c>
      <c r="B6737" s="3" t="s">
        <v>78</v>
      </c>
      <c r="C6737" s="4">
        <v>43497</v>
      </c>
      <c r="D6737" s="4">
        <v>43524</v>
      </c>
      <c r="E6737" s="3" t="s">
        <v>68</v>
      </c>
      <c r="F6737" s="3" t="s">
        <v>154</v>
      </c>
      <c r="G6737" s="5">
        <v>0</v>
      </c>
      <c r="H6737" s="6" t="s">
        <v>90</v>
      </c>
      <c r="I6737" s="3" t="s">
        <v>45</v>
      </c>
    </row>
    <row r="6738" spans="1:9" ht="48" customHeight="1">
      <c r="A6738" s="3" t="s">
        <v>79</v>
      </c>
      <c r="B6738" s="3" t="s">
        <v>78</v>
      </c>
      <c r="C6738" s="4">
        <v>43497</v>
      </c>
      <c r="D6738" s="4">
        <v>43524</v>
      </c>
      <c r="E6738" s="3" t="s">
        <v>236</v>
      </c>
      <c r="F6738" s="3" t="s">
        <v>232</v>
      </c>
      <c r="G6738" s="5">
        <v>3.0000000000000001E-3</v>
      </c>
      <c r="H6738" s="6" t="s">
        <v>90</v>
      </c>
      <c r="I6738" s="3" t="s">
        <v>45</v>
      </c>
    </row>
    <row r="6739" spans="1:9" ht="48" customHeight="1">
      <c r="A6739" s="3" t="s">
        <v>79</v>
      </c>
      <c r="B6739" s="3" t="s">
        <v>78</v>
      </c>
      <c r="C6739" s="4">
        <v>43497</v>
      </c>
      <c r="D6739" s="4">
        <v>43524</v>
      </c>
      <c r="E6739" s="3" t="s">
        <v>236</v>
      </c>
      <c r="F6739" s="3" t="s">
        <v>237</v>
      </c>
      <c r="G6739" s="5">
        <v>2E-3</v>
      </c>
      <c r="H6739" s="6" t="s">
        <v>90</v>
      </c>
      <c r="I6739" s="3" t="s">
        <v>45</v>
      </c>
    </row>
    <row r="6740" spans="1:9" ht="48" customHeight="1">
      <c r="A6740" s="3" t="s">
        <v>79</v>
      </c>
      <c r="B6740" s="3" t="s">
        <v>78</v>
      </c>
      <c r="C6740" s="4">
        <v>43497</v>
      </c>
      <c r="D6740" s="4">
        <v>43524</v>
      </c>
      <c r="E6740" s="3" t="s">
        <v>236</v>
      </c>
      <c r="F6740" s="3" t="s">
        <v>238</v>
      </c>
      <c r="G6740" s="5">
        <v>2E-3</v>
      </c>
      <c r="H6740" s="6" t="s">
        <v>90</v>
      </c>
      <c r="I6740" s="3" t="s">
        <v>45</v>
      </c>
    </row>
    <row r="6741" spans="1:9" ht="48" customHeight="1">
      <c r="A6741" s="3" t="s">
        <v>79</v>
      </c>
      <c r="B6741" s="3" t="s">
        <v>78</v>
      </c>
      <c r="C6741" s="4">
        <v>43497</v>
      </c>
      <c r="D6741" s="4">
        <v>43524</v>
      </c>
      <c r="E6741" s="3" t="s">
        <v>236</v>
      </c>
      <c r="F6741" s="3" t="s">
        <v>239</v>
      </c>
      <c r="G6741" s="5">
        <v>2E-3</v>
      </c>
      <c r="H6741" s="6" t="s">
        <v>90</v>
      </c>
      <c r="I6741" s="3" t="s">
        <v>45</v>
      </c>
    </row>
    <row r="6742" spans="1:9" ht="48" customHeight="1">
      <c r="A6742" s="3" t="s">
        <v>79</v>
      </c>
      <c r="B6742" s="3" t="s">
        <v>78</v>
      </c>
      <c r="C6742" s="4">
        <v>43497</v>
      </c>
      <c r="D6742" s="4">
        <v>43524</v>
      </c>
      <c r="E6742" s="3" t="s">
        <v>236</v>
      </c>
      <c r="F6742" s="3" t="s">
        <v>230</v>
      </c>
      <c r="G6742" s="5">
        <v>1E-3</v>
      </c>
      <c r="H6742" s="6" t="s">
        <v>90</v>
      </c>
      <c r="I6742" s="3" t="s">
        <v>45</v>
      </c>
    </row>
    <row r="6743" spans="1:9" ht="48" customHeight="1">
      <c r="A6743" s="3" t="s">
        <v>79</v>
      </c>
      <c r="B6743" s="3" t="s">
        <v>78</v>
      </c>
      <c r="C6743" s="4">
        <v>43497</v>
      </c>
      <c r="D6743" s="4">
        <v>43524</v>
      </c>
      <c r="E6743" s="3" t="s">
        <v>236</v>
      </c>
      <c r="F6743" s="3" t="s">
        <v>240</v>
      </c>
      <c r="G6743" s="5">
        <v>1E-3</v>
      </c>
      <c r="H6743" s="6" t="s">
        <v>90</v>
      </c>
      <c r="I6743" s="3" t="s">
        <v>45</v>
      </c>
    </row>
    <row r="6744" spans="1:9" ht="48" customHeight="1">
      <c r="A6744" s="3" t="s">
        <v>79</v>
      </c>
      <c r="B6744" s="3" t="s">
        <v>78</v>
      </c>
      <c r="C6744" s="4">
        <v>43497</v>
      </c>
      <c r="D6744" s="4">
        <v>43524</v>
      </c>
      <c r="E6744" s="3" t="s">
        <v>236</v>
      </c>
      <c r="F6744" s="3" t="s">
        <v>241</v>
      </c>
      <c r="G6744" s="5">
        <v>1E-3</v>
      </c>
      <c r="H6744" s="6" t="s">
        <v>90</v>
      </c>
      <c r="I6744" s="3" t="s">
        <v>45</v>
      </c>
    </row>
    <row r="6745" spans="1:9" ht="48" customHeight="1">
      <c r="A6745" s="3" t="s">
        <v>79</v>
      </c>
      <c r="B6745" s="3" t="s">
        <v>78</v>
      </c>
      <c r="C6745" s="4">
        <v>43497</v>
      </c>
      <c r="D6745" s="4">
        <v>43524</v>
      </c>
      <c r="E6745" s="3" t="s">
        <v>236</v>
      </c>
      <c r="F6745" s="3" t="s">
        <v>234</v>
      </c>
      <c r="G6745" s="5">
        <v>0</v>
      </c>
      <c r="H6745" s="6" t="s">
        <v>90</v>
      </c>
      <c r="I6745" s="3" t="s">
        <v>45</v>
      </c>
    </row>
    <row r="6746" spans="1:9" ht="48" customHeight="1">
      <c r="A6746" s="3" t="s">
        <v>79</v>
      </c>
      <c r="B6746" s="3" t="s">
        <v>78</v>
      </c>
      <c r="C6746" s="4">
        <v>43497</v>
      </c>
      <c r="D6746" s="4">
        <v>43524</v>
      </c>
      <c r="E6746" s="3" t="s">
        <v>236</v>
      </c>
      <c r="F6746" s="3" t="s">
        <v>242</v>
      </c>
      <c r="G6746" s="5">
        <v>0</v>
      </c>
      <c r="H6746" s="6" t="s">
        <v>90</v>
      </c>
      <c r="I6746" s="3" t="s">
        <v>45</v>
      </c>
    </row>
    <row r="6747" spans="1:9" ht="48" customHeight="1">
      <c r="A6747" s="3" t="s">
        <v>79</v>
      </c>
      <c r="B6747" s="3" t="s">
        <v>78</v>
      </c>
      <c r="C6747" s="4">
        <v>43497</v>
      </c>
      <c r="D6747" s="4">
        <v>43524</v>
      </c>
      <c r="E6747" s="3" t="s">
        <v>236</v>
      </c>
      <c r="F6747" s="3" t="s">
        <v>243</v>
      </c>
      <c r="G6747" s="5">
        <v>0</v>
      </c>
      <c r="H6747" s="6" t="s">
        <v>90</v>
      </c>
      <c r="I6747" s="3" t="s">
        <v>45</v>
      </c>
    </row>
    <row r="6748" spans="1:9" ht="48" customHeight="1">
      <c r="A6748" s="3" t="s">
        <v>79</v>
      </c>
      <c r="B6748" s="3" t="s">
        <v>78</v>
      </c>
      <c r="C6748" s="4">
        <v>43497</v>
      </c>
      <c r="D6748" s="4">
        <v>43524</v>
      </c>
      <c r="E6748" s="3" t="s">
        <v>231</v>
      </c>
      <c r="F6748" s="3" t="s">
        <v>232</v>
      </c>
      <c r="G6748" s="5">
        <v>2E-3</v>
      </c>
      <c r="H6748" s="6" t="s">
        <v>90</v>
      </c>
      <c r="I6748" s="3" t="s">
        <v>45</v>
      </c>
    </row>
    <row r="6749" spans="1:9" ht="48" customHeight="1">
      <c r="A6749" s="3" t="s">
        <v>79</v>
      </c>
      <c r="B6749" s="3" t="s">
        <v>78</v>
      </c>
      <c r="C6749" s="4">
        <v>43497</v>
      </c>
      <c r="D6749" s="4">
        <v>43524</v>
      </c>
      <c r="E6749" s="3" t="s">
        <v>231</v>
      </c>
      <c r="F6749" s="3" t="s">
        <v>233</v>
      </c>
      <c r="G6749" s="5">
        <v>2E-3</v>
      </c>
      <c r="H6749" s="6" t="s">
        <v>90</v>
      </c>
      <c r="I6749" s="3" t="s">
        <v>45</v>
      </c>
    </row>
    <row r="6750" spans="1:9" ht="48" customHeight="1">
      <c r="A6750" s="3" t="s">
        <v>79</v>
      </c>
      <c r="B6750" s="3" t="s">
        <v>78</v>
      </c>
      <c r="C6750" s="4">
        <v>43497</v>
      </c>
      <c r="D6750" s="4">
        <v>43524</v>
      </c>
      <c r="E6750" s="3" t="s">
        <v>231</v>
      </c>
      <c r="F6750" s="3" t="s">
        <v>234</v>
      </c>
      <c r="G6750" s="5">
        <v>1E-3</v>
      </c>
      <c r="H6750" s="6" t="s">
        <v>90</v>
      </c>
      <c r="I6750" s="3" t="s">
        <v>45</v>
      </c>
    </row>
    <row r="6751" spans="1:9" ht="48" customHeight="1">
      <c r="A6751" s="3" t="s">
        <v>79</v>
      </c>
      <c r="B6751" s="3" t="s">
        <v>78</v>
      </c>
      <c r="C6751" s="4">
        <v>43497</v>
      </c>
      <c r="D6751" s="4">
        <v>43524</v>
      </c>
      <c r="E6751" s="3" t="s">
        <v>231</v>
      </c>
      <c r="F6751" s="3" t="s">
        <v>230</v>
      </c>
      <c r="G6751" s="5">
        <v>1E-3</v>
      </c>
      <c r="H6751" s="6" t="s">
        <v>90</v>
      </c>
      <c r="I6751" s="3" t="s">
        <v>45</v>
      </c>
    </row>
    <row r="6752" spans="1:9" ht="48" customHeight="1">
      <c r="A6752" s="3" t="s">
        <v>79</v>
      </c>
      <c r="B6752" s="3" t="s">
        <v>78</v>
      </c>
      <c r="C6752" s="4">
        <v>43497</v>
      </c>
      <c r="D6752" s="4">
        <v>43524</v>
      </c>
      <c r="E6752" s="3" t="s">
        <v>231</v>
      </c>
      <c r="F6752" s="3" t="s">
        <v>235</v>
      </c>
      <c r="G6752" s="5">
        <v>1E-3</v>
      </c>
      <c r="H6752" s="6" t="s">
        <v>90</v>
      </c>
      <c r="I6752" s="3" t="s">
        <v>45</v>
      </c>
    </row>
    <row r="6753" spans="1:9" ht="48" customHeight="1">
      <c r="A6753" s="3" t="s">
        <v>79</v>
      </c>
      <c r="B6753" s="3" t="s">
        <v>78</v>
      </c>
      <c r="C6753" s="4">
        <v>43497</v>
      </c>
      <c r="D6753" s="4">
        <v>43524</v>
      </c>
      <c r="E6753" s="3" t="s">
        <v>260</v>
      </c>
      <c r="F6753" s="3" t="s">
        <v>262</v>
      </c>
      <c r="G6753" s="5">
        <v>1E-3</v>
      </c>
      <c r="H6753" s="6" t="s">
        <v>90</v>
      </c>
      <c r="I6753" s="3" t="s">
        <v>45</v>
      </c>
    </row>
    <row r="6754" spans="1:9" ht="48" customHeight="1">
      <c r="A6754" s="3" t="s">
        <v>79</v>
      </c>
      <c r="B6754" s="3" t="s">
        <v>78</v>
      </c>
      <c r="C6754" s="4">
        <v>43497</v>
      </c>
      <c r="D6754" s="4">
        <v>43524</v>
      </c>
      <c r="E6754" s="3" t="s">
        <v>260</v>
      </c>
      <c r="F6754" s="3" t="s">
        <v>261</v>
      </c>
      <c r="G6754" s="5">
        <v>1E-3</v>
      </c>
      <c r="H6754" s="6" t="s">
        <v>90</v>
      </c>
      <c r="I6754" s="3" t="s">
        <v>45</v>
      </c>
    </row>
    <row r="6755" spans="1:9" ht="48" customHeight="1">
      <c r="A6755" s="3" t="s">
        <v>79</v>
      </c>
      <c r="B6755" s="3" t="s">
        <v>78</v>
      </c>
      <c r="C6755" s="4">
        <v>43497</v>
      </c>
      <c r="D6755" s="4">
        <v>43524</v>
      </c>
      <c r="E6755" s="3" t="s">
        <v>260</v>
      </c>
      <c r="F6755" s="3" t="s">
        <v>264</v>
      </c>
      <c r="G6755" s="5">
        <v>1E-3</v>
      </c>
      <c r="H6755" s="6" t="s">
        <v>90</v>
      </c>
      <c r="I6755" s="3" t="s">
        <v>45</v>
      </c>
    </row>
    <row r="6756" spans="1:9" ht="48" customHeight="1">
      <c r="A6756" s="3" t="s">
        <v>79</v>
      </c>
      <c r="B6756" s="3" t="s">
        <v>78</v>
      </c>
      <c r="C6756" s="4">
        <v>43497</v>
      </c>
      <c r="D6756" s="4">
        <v>43524</v>
      </c>
      <c r="E6756" s="3" t="s">
        <v>260</v>
      </c>
      <c r="F6756" s="3" t="s">
        <v>234</v>
      </c>
      <c r="G6756" s="5">
        <v>0</v>
      </c>
      <c r="H6756" s="6" t="s">
        <v>90</v>
      </c>
      <c r="I6756" s="3" t="s">
        <v>45</v>
      </c>
    </row>
    <row r="6757" spans="1:9" ht="48" customHeight="1">
      <c r="A6757" s="3" t="s">
        <v>79</v>
      </c>
      <c r="B6757" s="3" t="s">
        <v>78</v>
      </c>
      <c r="C6757" s="4">
        <v>43497</v>
      </c>
      <c r="D6757" s="4">
        <v>43524</v>
      </c>
      <c r="E6757" s="3" t="s">
        <v>260</v>
      </c>
      <c r="F6757" s="3" t="s">
        <v>232</v>
      </c>
      <c r="G6757" s="5">
        <v>0</v>
      </c>
      <c r="H6757" s="6" t="s">
        <v>90</v>
      </c>
      <c r="I6757" s="3" t="s">
        <v>45</v>
      </c>
    </row>
    <row r="6758" spans="1:9" ht="48" customHeight="1">
      <c r="A6758" s="3" t="s">
        <v>79</v>
      </c>
      <c r="B6758" s="3" t="s">
        <v>78</v>
      </c>
      <c r="C6758" s="4">
        <v>43497</v>
      </c>
      <c r="D6758" s="4">
        <v>43524</v>
      </c>
      <c r="E6758" s="3" t="s">
        <v>260</v>
      </c>
      <c r="F6758" s="3" t="s">
        <v>265</v>
      </c>
      <c r="G6758" s="5">
        <v>0</v>
      </c>
      <c r="H6758" s="6" t="s">
        <v>90</v>
      </c>
      <c r="I6758" s="3" t="s">
        <v>45</v>
      </c>
    </row>
    <row r="6759" spans="1:9" ht="48" customHeight="1">
      <c r="A6759" s="3" t="s">
        <v>79</v>
      </c>
      <c r="B6759" s="3" t="s">
        <v>78</v>
      </c>
      <c r="C6759" s="4">
        <v>43497</v>
      </c>
      <c r="D6759" s="4">
        <v>43524</v>
      </c>
      <c r="E6759" s="3" t="s">
        <v>260</v>
      </c>
      <c r="F6759" s="3" t="s">
        <v>263</v>
      </c>
      <c r="G6759" s="5">
        <v>0</v>
      </c>
      <c r="H6759" s="6" t="s">
        <v>90</v>
      </c>
      <c r="I6759" s="3" t="s">
        <v>45</v>
      </c>
    </row>
    <row r="6760" spans="1:9" ht="48" customHeight="1">
      <c r="A6760" s="3" t="s">
        <v>79</v>
      </c>
      <c r="B6760" s="3" t="s">
        <v>78</v>
      </c>
      <c r="C6760" s="4">
        <v>43497</v>
      </c>
      <c r="D6760" s="4">
        <v>43524</v>
      </c>
      <c r="E6760" s="3" t="s">
        <v>260</v>
      </c>
      <c r="F6760" s="3" t="s">
        <v>266</v>
      </c>
      <c r="G6760" s="5">
        <v>0</v>
      </c>
      <c r="H6760" s="6" t="s">
        <v>90</v>
      </c>
      <c r="I6760" s="3" t="s">
        <v>45</v>
      </c>
    </row>
    <row r="6761" spans="1:9" ht="48" customHeight="1">
      <c r="A6761" s="3" t="s">
        <v>79</v>
      </c>
      <c r="B6761" s="3" t="s">
        <v>78</v>
      </c>
      <c r="C6761" s="4">
        <v>43497</v>
      </c>
      <c r="D6761" s="4">
        <v>43524</v>
      </c>
      <c r="E6761" s="3" t="s">
        <v>260</v>
      </c>
      <c r="F6761" s="3" t="s">
        <v>267</v>
      </c>
      <c r="G6761" s="5">
        <v>0</v>
      </c>
      <c r="H6761" s="6" t="s">
        <v>90</v>
      </c>
      <c r="I6761" s="3" t="s">
        <v>45</v>
      </c>
    </row>
    <row r="6762" spans="1:9" ht="48" customHeight="1">
      <c r="A6762" s="3" t="s">
        <v>79</v>
      </c>
      <c r="B6762" s="3" t="s">
        <v>78</v>
      </c>
      <c r="C6762" s="4">
        <v>43497</v>
      </c>
      <c r="D6762" s="4">
        <v>43524</v>
      </c>
      <c r="E6762" s="3" t="s">
        <v>260</v>
      </c>
      <c r="F6762" s="3" t="s">
        <v>268</v>
      </c>
      <c r="G6762" s="5">
        <v>0</v>
      </c>
      <c r="H6762" s="6" t="s">
        <v>90</v>
      </c>
      <c r="I6762" s="3" t="s">
        <v>45</v>
      </c>
    </row>
    <row r="6763" spans="1:9" ht="48" customHeight="1">
      <c r="A6763" s="3" t="s">
        <v>79</v>
      </c>
      <c r="B6763" s="3" t="s">
        <v>78</v>
      </c>
      <c r="C6763" s="4">
        <v>43497</v>
      </c>
      <c r="D6763" s="4">
        <v>43524</v>
      </c>
      <c r="E6763" s="3" t="s">
        <v>260</v>
      </c>
      <c r="F6763" s="3" t="s">
        <v>273</v>
      </c>
      <c r="G6763" s="5">
        <v>0</v>
      </c>
      <c r="H6763" s="6" t="s">
        <v>90</v>
      </c>
      <c r="I6763" s="3" t="s">
        <v>45</v>
      </c>
    </row>
    <row r="6764" spans="1:9" ht="48" customHeight="1">
      <c r="A6764" s="3" t="s">
        <v>79</v>
      </c>
      <c r="B6764" s="3" t="s">
        <v>78</v>
      </c>
      <c r="C6764" s="4">
        <v>43497</v>
      </c>
      <c r="D6764" s="4">
        <v>43524</v>
      </c>
      <c r="E6764" s="3" t="s">
        <v>260</v>
      </c>
      <c r="F6764" s="3" t="s">
        <v>274</v>
      </c>
      <c r="G6764" s="5">
        <v>0</v>
      </c>
      <c r="H6764" s="6" t="s">
        <v>90</v>
      </c>
      <c r="I6764" s="3" t="s">
        <v>45</v>
      </c>
    </row>
    <row r="6765" spans="1:9" ht="48" customHeight="1">
      <c r="A6765" s="3" t="s">
        <v>79</v>
      </c>
      <c r="B6765" s="3" t="s">
        <v>78</v>
      </c>
      <c r="C6765" s="4">
        <v>43497</v>
      </c>
      <c r="D6765" s="4">
        <v>43524</v>
      </c>
      <c r="E6765" s="3" t="s">
        <v>260</v>
      </c>
      <c r="F6765" s="3" t="s">
        <v>275</v>
      </c>
      <c r="G6765" s="5">
        <v>0</v>
      </c>
      <c r="H6765" s="6" t="s">
        <v>90</v>
      </c>
      <c r="I6765" s="3" t="s">
        <v>45</v>
      </c>
    </row>
    <row r="6766" spans="1:9" ht="48" customHeight="1">
      <c r="A6766" s="3" t="s">
        <v>79</v>
      </c>
      <c r="B6766" s="3" t="s">
        <v>78</v>
      </c>
      <c r="C6766" s="4">
        <v>43497</v>
      </c>
      <c r="D6766" s="4">
        <v>43524</v>
      </c>
      <c r="E6766" s="3" t="s">
        <v>260</v>
      </c>
      <c r="F6766" s="3" t="s">
        <v>276</v>
      </c>
      <c r="G6766" s="5">
        <v>0</v>
      </c>
      <c r="H6766" s="6" t="s">
        <v>90</v>
      </c>
      <c r="I6766" s="3" t="s">
        <v>45</v>
      </c>
    </row>
    <row r="6767" spans="1:9" ht="48" customHeight="1">
      <c r="A6767" s="3" t="s">
        <v>79</v>
      </c>
      <c r="B6767" s="3" t="s">
        <v>78</v>
      </c>
      <c r="C6767" s="4">
        <v>43497</v>
      </c>
      <c r="D6767" s="4">
        <v>43524</v>
      </c>
      <c r="E6767" s="3" t="s">
        <v>260</v>
      </c>
      <c r="F6767" s="3" t="s">
        <v>277</v>
      </c>
      <c r="G6767" s="5">
        <v>0</v>
      </c>
      <c r="H6767" s="6" t="s">
        <v>90</v>
      </c>
      <c r="I6767" s="3" t="s">
        <v>45</v>
      </c>
    </row>
    <row r="6768" spans="1:9" ht="48" customHeight="1">
      <c r="A6768" s="3" t="s">
        <v>79</v>
      </c>
      <c r="B6768" s="3" t="s">
        <v>78</v>
      </c>
      <c r="C6768" s="4">
        <v>43497</v>
      </c>
      <c r="D6768" s="4">
        <v>43524</v>
      </c>
      <c r="E6768" s="3" t="s">
        <v>260</v>
      </c>
      <c r="F6768" s="3" t="s">
        <v>278</v>
      </c>
      <c r="G6768" s="5">
        <v>0</v>
      </c>
      <c r="H6768" s="6" t="s">
        <v>90</v>
      </c>
      <c r="I6768" s="3" t="s">
        <v>45</v>
      </c>
    </row>
    <row r="6769" spans="1:9" ht="48" customHeight="1">
      <c r="A6769" s="3" t="s">
        <v>79</v>
      </c>
      <c r="B6769" s="3" t="s">
        <v>78</v>
      </c>
      <c r="C6769" s="4">
        <v>43497</v>
      </c>
      <c r="D6769" s="4">
        <v>43524</v>
      </c>
      <c r="E6769" s="3" t="s">
        <v>260</v>
      </c>
      <c r="F6769" s="3" t="s">
        <v>269</v>
      </c>
      <c r="G6769" s="5">
        <v>0</v>
      </c>
      <c r="H6769" s="6" t="s">
        <v>90</v>
      </c>
      <c r="I6769" s="3" t="s">
        <v>45</v>
      </c>
    </row>
    <row r="6770" spans="1:9" ht="48" customHeight="1">
      <c r="A6770" s="3" t="s">
        <v>79</v>
      </c>
      <c r="B6770" s="3" t="s">
        <v>78</v>
      </c>
      <c r="C6770" s="4">
        <v>43497</v>
      </c>
      <c r="D6770" s="4">
        <v>43524</v>
      </c>
      <c r="E6770" s="3" t="s">
        <v>260</v>
      </c>
      <c r="F6770" s="3" t="s">
        <v>279</v>
      </c>
      <c r="G6770" s="5">
        <v>0</v>
      </c>
      <c r="H6770" s="6" t="s">
        <v>90</v>
      </c>
      <c r="I6770" s="3" t="s">
        <v>45</v>
      </c>
    </row>
    <row r="6771" spans="1:9" ht="48" customHeight="1">
      <c r="A6771" s="3" t="s">
        <v>79</v>
      </c>
      <c r="B6771" s="3" t="s">
        <v>78</v>
      </c>
      <c r="C6771" s="4">
        <v>43497</v>
      </c>
      <c r="D6771" s="4">
        <v>43524</v>
      </c>
      <c r="E6771" s="3" t="s">
        <v>260</v>
      </c>
      <c r="F6771" s="3" t="s">
        <v>270</v>
      </c>
      <c r="G6771" s="5">
        <v>0</v>
      </c>
      <c r="H6771" s="6" t="s">
        <v>90</v>
      </c>
      <c r="I6771" s="3" t="s">
        <v>45</v>
      </c>
    </row>
    <row r="6772" spans="1:9" ht="48" customHeight="1">
      <c r="A6772" s="3" t="s">
        <v>79</v>
      </c>
      <c r="B6772" s="3" t="s">
        <v>78</v>
      </c>
      <c r="C6772" s="4">
        <v>43497</v>
      </c>
      <c r="D6772" s="4">
        <v>43524</v>
      </c>
      <c r="E6772" s="3" t="s">
        <v>260</v>
      </c>
      <c r="F6772" s="3" t="s">
        <v>280</v>
      </c>
      <c r="G6772" s="5">
        <v>0</v>
      </c>
      <c r="H6772" s="6" t="s">
        <v>90</v>
      </c>
      <c r="I6772" s="3" t="s">
        <v>45</v>
      </c>
    </row>
    <row r="6773" spans="1:9" ht="48" customHeight="1">
      <c r="A6773" s="3" t="s">
        <v>79</v>
      </c>
      <c r="B6773" s="3" t="s">
        <v>78</v>
      </c>
      <c r="C6773" s="4">
        <v>43497</v>
      </c>
      <c r="D6773" s="4">
        <v>43524</v>
      </c>
      <c r="E6773" s="3" t="s">
        <v>260</v>
      </c>
      <c r="F6773" s="3" t="s">
        <v>271</v>
      </c>
      <c r="G6773" s="5">
        <v>0</v>
      </c>
      <c r="H6773" s="6" t="s">
        <v>90</v>
      </c>
      <c r="I6773" s="3" t="s">
        <v>45</v>
      </c>
    </row>
    <row r="6774" spans="1:9" ht="48" customHeight="1">
      <c r="A6774" s="3" t="s">
        <v>79</v>
      </c>
      <c r="B6774" s="3" t="s">
        <v>78</v>
      </c>
      <c r="C6774" s="4">
        <v>43497</v>
      </c>
      <c r="D6774" s="4">
        <v>43524</v>
      </c>
      <c r="E6774" s="3" t="s">
        <v>260</v>
      </c>
      <c r="F6774" s="3" t="s">
        <v>281</v>
      </c>
      <c r="G6774" s="5">
        <v>0</v>
      </c>
      <c r="H6774" s="6" t="s">
        <v>90</v>
      </c>
      <c r="I6774" s="3" t="s">
        <v>45</v>
      </c>
    </row>
    <row r="6775" spans="1:9" ht="48" customHeight="1">
      <c r="A6775" s="3" t="s">
        <v>79</v>
      </c>
      <c r="B6775" s="3" t="s">
        <v>78</v>
      </c>
      <c r="C6775" s="4">
        <v>43497</v>
      </c>
      <c r="D6775" s="4">
        <v>43524</v>
      </c>
      <c r="E6775" s="3" t="s">
        <v>260</v>
      </c>
      <c r="F6775" s="3" t="s">
        <v>272</v>
      </c>
      <c r="G6775" s="5">
        <v>0</v>
      </c>
      <c r="H6775" s="6" t="s">
        <v>90</v>
      </c>
      <c r="I6775" s="3" t="s">
        <v>45</v>
      </c>
    </row>
    <row r="6776" spans="1:9" ht="48" customHeight="1">
      <c r="A6776" s="3" t="s">
        <v>79</v>
      </c>
      <c r="B6776" s="3" t="s">
        <v>78</v>
      </c>
      <c r="C6776" s="4">
        <v>43497</v>
      </c>
      <c r="D6776" s="4">
        <v>43524</v>
      </c>
      <c r="E6776" s="3" t="s">
        <v>260</v>
      </c>
      <c r="F6776" s="3" t="s">
        <v>282</v>
      </c>
      <c r="G6776" s="5">
        <v>0</v>
      </c>
      <c r="H6776" s="6" t="s">
        <v>90</v>
      </c>
      <c r="I6776" s="3" t="s">
        <v>45</v>
      </c>
    </row>
    <row r="6777" spans="1:9" ht="48" customHeight="1">
      <c r="A6777" s="3" t="s">
        <v>79</v>
      </c>
      <c r="B6777" s="3" t="s">
        <v>78</v>
      </c>
      <c r="C6777" s="4">
        <v>43497</v>
      </c>
      <c r="D6777" s="4">
        <v>43524</v>
      </c>
      <c r="E6777" s="3" t="s">
        <v>260</v>
      </c>
      <c r="F6777" s="3" t="s">
        <v>283</v>
      </c>
      <c r="G6777" s="5">
        <v>0</v>
      </c>
      <c r="H6777" s="6" t="s">
        <v>90</v>
      </c>
      <c r="I6777" s="3" t="s">
        <v>45</v>
      </c>
    </row>
    <row r="6778" spans="1:9" ht="48" customHeight="1">
      <c r="A6778" s="3" t="s">
        <v>79</v>
      </c>
      <c r="B6778" s="3" t="s">
        <v>78</v>
      </c>
      <c r="C6778" s="4">
        <v>43497</v>
      </c>
      <c r="D6778" s="4">
        <v>43524</v>
      </c>
      <c r="E6778" s="3" t="s">
        <v>260</v>
      </c>
      <c r="F6778" s="3" t="s">
        <v>284</v>
      </c>
      <c r="G6778" s="5">
        <v>0</v>
      </c>
      <c r="H6778" s="6" t="s">
        <v>90</v>
      </c>
      <c r="I6778" s="3" t="s">
        <v>45</v>
      </c>
    </row>
    <row r="6779" spans="1:9" ht="48" customHeight="1">
      <c r="A6779" s="3" t="s">
        <v>79</v>
      </c>
      <c r="B6779" s="3" t="s">
        <v>78</v>
      </c>
      <c r="C6779" s="4">
        <v>43497</v>
      </c>
      <c r="D6779" s="4">
        <v>43524</v>
      </c>
      <c r="E6779" s="3" t="s">
        <v>301</v>
      </c>
      <c r="F6779" s="3" t="s">
        <v>301</v>
      </c>
      <c r="G6779" s="5">
        <v>4.0000000000000001E-3</v>
      </c>
      <c r="H6779" s="6" t="s">
        <v>90</v>
      </c>
      <c r="I6779" s="3" t="s">
        <v>45</v>
      </c>
    </row>
    <row r="6780" spans="1:9" ht="48" customHeight="1">
      <c r="A6780" s="3" t="s">
        <v>79</v>
      </c>
      <c r="B6780" s="3" t="s">
        <v>78</v>
      </c>
      <c r="C6780" s="4">
        <v>43497</v>
      </c>
      <c r="D6780" s="4">
        <v>43524</v>
      </c>
      <c r="E6780" s="3" t="s">
        <v>244</v>
      </c>
      <c r="F6780" s="3" t="s">
        <v>248</v>
      </c>
      <c r="G6780" s="5">
        <v>0</v>
      </c>
      <c r="H6780" s="6" t="s">
        <v>90</v>
      </c>
      <c r="I6780" s="3" t="s">
        <v>45</v>
      </c>
    </row>
    <row r="6781" spans="1:9" ht="48" customHeight="1">
      <c r="A6781" s="3" t="s">
        <v>79</v>
      </c>
      <c r="B6781" s="3" t="s">
        <v>78</v>
      </c>
      <c r="C6781" s="4">
        <v>43497</v>
      </c>
      <c r="D6781" s="4">
        <v>43524</v>
      </c>
      <c r="E6781" s="3" t="s">
        <v>244</v>
      </c>
      <c r="F6781" s="3" t="s">
        <v>247</v>
      </c>
      <c r="G6781" s="5">
        <v>0</v>
      </c>
      <c r="H6781" s="6" t="s">
        <v>90</v>
      </c>
      <c r="I6781" s="3" t="s">
        <v>45</v>
      </c>
    </row>
    <row r="6782" spans="1:9" ht="48" customHeight="1">
      <c r="A6782" s="3" t="s">
        <v>79</v>
      </c>
      <c r="B6782" s="3" t="s">
        <v>78</v>
      </c>
      <c r="C6782" s="4">
        <v>43497</v>
      </c>
      <c r="D6782" s="4">
        <v>43524</v>
      </c>
      <c r="E6782" s="3" t="s">
        <v>244</v>
      </c>
      <c r="F6782" s="3" t="s">
        <v>245</v>
      </c>
      <c r="G6782" s="5">
        <v>0</v>
      </c>
      <c r="H6782" s="6" t="s">
        <v>90</v>
      </c>
      <c r="I6782" s="3" t="s">
        <v>45</v>
      </c>
    </row>
    <row r="6783" spans="1:9" ht="48" customHeight="1">
      <c r="A6783" s="3" t="s">
        <v>79</v>
      </c>
      <c r="B6783" s="3" t="s">
        <v>78</v>
      </c>
      <c r="C6783" s="4">
        <v>43497</v>
      </c>
      <c r="D6783" s="4">
        <v>43524</v>
      </c>
      <c r="E6783" s="3" t="s">
        <v>244</v>
      </c>
      <c r="F6783" s="3" t="s">
        <v>246</v>
      </c>
      <c r="G6783" s="5">
        <v>0</v>
      </c>
      <c r="H6783" s="6" t="s">
        <v>90</v>
      </c>
      <c r="I6783" s="3" t="s">
        <v>45</v>
      </c>
    </row>
    <row r="6784" spans="1:9" ht="48" customHeight="1">
      <c r="A6784" s="3" t="s">
        <v>79</v>
      </c>
      <c r="B6784" s="3" t="s">
        <v>78</v>
      </c>
      <c r="C6784" s="4">
        <v>43497</v>
      </c>
      <c r="D6784" s="4">
        <v>43524</v>
      </c>
      <c r="E6784" s="3" t="s">
        <v>244</v>
      </c>
      <c r="F6784" s="3" t="s">
        <v>250</v>
      </c>
      <c r="G6784" s="5">
        <v>0</v>
      </c>
      <c r="H6784" s="6" t="s">
        <v>90</v>
      </c>
      <c r="I6784" s="3" t="s">
        <v>45</v>
      </c>
    </row>
    <row r="6785" spans="1:9" ht="48" customHeight="1">
      <c r="A6785" s="3" t="s">
        <v>79</v>
      </c>
      <c r="B6785" s="3" t="s">
        <v>78</v>
      </c>
      <c r="C6785" s="4">
        <v>43497</v>
      </c>
      <c r="D6785" s="4">
        <v>43524</v>
      </c>
      <c r="E6785" s="3" t="s">
        <v>244</v>
      </c>
      <c r="F6785" s="3" t="s">
        <v>251</v>
      </c>
      <c r="G6785" s="5">
        <v>0</v>
      </c>
      <c r="H6785" s="6" t="s">
        <v>90</v>
      </c>
      <c r="I6785" s="3" t="s">
        <v>45</v>
      </c>
    </row>
    <row r="6786" spans="1:9" ht="48" customHeight="1">
      <c r="A6786" s="3" t="s">
        <v>79</v>
      </c>
      <c r="B6786" s="3" t="s">
        <v>78</v>
      </c>
      <c r="C6786" s="4">
        <v>43497</v>
      </c>
      <c r="D6786" s="4">
        <v>43524</v>
      </c>
      <c r="E6786" s="3" t="s">
        <v>244</v>
      </c>
      <c r="F6786" s="3" t="s">
        <v>252</v>
      </c>
      <c r="G6786" s="5">
        <v>0</v>
      </c>
      <c r="H6786" s="6" t="s">
        <v>90</v>
      </c>
      <c r="I6786" s="3" t="s">
        <v>45</v>
      </c>
    </row>
    <row r="6787" spans="1:9" ht="48" customHeight="1">
      <c r="A6787" s="3" t="s">
        <v>79</v>
      </c>
      <c r="B6787" s="3" t="s">
        <v>78</v>
      </c>
      <c r="C6787" s="4">
        <v>43497</v>
      </c>
      <c r="D6787" s="4">
        <v>43524</v>
      </c>
      <c r="E6787" s="3" t="s">
        <v>244</v>
      </c>
      <c r="F6787" s="3" t="s">
        <v>249</v>
      </c>
      <c r="G6787" s="5">
        <v>0</v>
      </c>
      <c r="H6787" s="6" t="s">
        <v>90</v>
      </c>
      <c r="I6787" s="3" t="s">
        <v>45</v>
      </c>
    </row>
    <row r="6788" spans="1:9" ht="48" customHeight="1">
      <c r="A6788" s="3" t="s">
        <v>79</v>
      </c>
      <c r="B6788" s="3" t="s">
        <v>78</v>
      </c>
      <c r="C6788" s="4">
        <v>43497</v>
      </c>
      <c r="D6788" s="4">
        <v>43524</v>
      </c>
      <c r="E6788" s="3" t="s">
        <v>244</v>
      </c>
      <c r="F6788" s="3" t="s">
        <v>255</v>
      </c>
      <c r="G6788" s="5">
        <v>0</v>
      </c>
      <c r="H6788" s="6" t="s">
        <v>90</v>
      </c>
      <c r="I6788" s="3" t="s">
        <v>45</v>
      </c>
    </row>
    <row r="6789" spans="1:9" ht="48" customHeight="1">
      <c r="A6789" s="3" t="s">
        <v>79</v>
      </c>
      <c r="B6789" s="3" t="s">
        <v>78</v>
      </c>
      <c r="C6789" s="4">
        <v>43497</v>
      </c>
      <c r="D6789" s="4">
        <v>43524</v>
      </c>
      <c r="E6789" s="3" t="s">
        <v>244</v>
      </c>
      <c r="F6789" s="3" t="s">
        <v>256</v>
      </c>
      <c r="G6789" s="5">
        <v>0</v>
      </c>
      <c r="H6789" s="6" t="s">
        <v>90</v>
      </c>
      <c r="I6789" s="3" t="s">
        <v>45</v>
      </c>
    </row>
    <row r="6790" spans="1:9" ht="48" customHeight="1">
      <c r="A6790" s="3" t="s">
        <v>79</v>
      </c>
      <c r="B6790" s="3" t="s">
        <v>78</v>
      </c>
      <c r="C6790" s="4">
        <v>43497</v>
      </c>
      <c r="D6790" s="4">
        <v>43524</v>
      </c>
      <c r="E6790" s="3" t="s">
        <v>244</v>
      </c>
      <c r="F6790" s="3" t="s">
        <v>257</v>
      </c>
      <c r="G6790" s="5">
        <v>0</v>
      </c>
      <c r="H6790" s="6" t="s">
        <v>90</v>
      </c>
      <c r="I6790" s="3" t="s">
        <v>45</v>
      </c>
    </row>
    <row r="6791" spans="1:9" ht="48" customHeight="1">
      <c r="A6791" s="3" t="s">
        <v>79</v>
      </c>
      <c r="B6791" s="3" t="s">
        <v>78</v>
      </c>
      <c r="C6791" s="4">
        <v>43497</v>
      </c>
      <c r="D6791" s="4">
        <v>43524</v>
      </c>
      <c r="E6791" s="3" t="s">
        <v>244</v>
      </c>
      <c r="F6791" s="3" t="s">
        <v>258</v>
      </c>
      <c r="G6791" s="5">
        <v>0</v>
      </c>
      <c r="H6791" s="6" t="s">
        <v>90</v>
      </c>
      <c r="I6791" s="3" t="s">
        <v>45</v>
      </c>
    </row>
    <row r="6792" spans="1:9" ht="48" customHeight="1">
      <c r="A6792" s="3" t="s">
        <v>79</v>
      </c>
      <c r="B6792" s="3" t="s">
        <v>78</v>
      </c>
      <c r="C6792" s="4">
        <v>43497</v>
      </c>
      <c r="D6792" s="4">
        <v>43524</v>
      </c>
      <c r="E6792" s="3" t="s">
        <v>244</v>
      </c>
      <c r="F6792" s="3" t="s">
        <v>259</v>
      </c>
      <c r="G6792" s="5">
        <v>0</v>
      </c>
      <c r="H6792" s="6" t="s">
        <v>90</v>
      </c>
      <c r="I6792" s="3" t="s">
        <v>45</v>
      </c>
    </row>
    <row r="6793" spans="1:9" ht="48" customHeight="1">
      <c r="A6793" s="3" t="s">
        <v>79</v>
      </c>
      <c r="B6793" s="3" t="s">
        <v>78</v>
      </c>
      <c r="C6793" s="4">
        <v>43497</v>
      </c>
      <c r="D6793" s="4">
        <v>43524</v>
      </c>
      <c r="E6793" s="3" t="s">
        <v>244</v>
      </c>
      <c r="F6793" s="3" t="s">
        <v>253</v>
      </c>
      <c r="G6793" s="5">
        <v>0</v>
      </c>
      <c r="H6793" s="6" t="s">
        <v>90</v>
      </c>
      <c r="I6793" s="3" t="s">
        <v>45</v>
      </c>
    </row>
    <row r="6794" spans="1:9" ht="48" customHeight="1">
      <c r="A6794" s="3" t="s">
        <v>79</v>
      </c>
      <c r="B6794" s="3" t="s">
        <v>78</v>
      </c>
      <c r="C6794" s="4">
        <v>43497</v>
      </c>
      <c r="D6794" s="4">
        <v>43524</v>
      </c>
      <c r="E6794" s="3" t="s">
        <v>244</v>
      </c>
      <c r="F6794" s="3" t="s">
        <v>254</v>
      </c>
      <c r="G6794" s="5">
        <v>0</v>
      </c>
      <c r="H6794" s="6" t="s">
        <v>90</v>
      </c>
      <c r="I6794" s="3" t="s">
        <v>45</v>
      </c>
    </row>
    <row r="6795" spans="1:9" ht="48" customHeight="1">
      <c r="A6795" s="3" t="s">
        <v>79</v>
      </c>
      <c r="B6795" s="3" t="s">
        <v>78</v>
      </c>
      <c r="C6795" s="4">
        <v>43497</v>
      </c>
      <c r="D6795" s="4">
        <v>43524</v>
      </c>
      <c r="E6795" s="3" t="s">
        <v>381</v>
      </c>
      <c r="F6795" s="3" t="s">
        <v>382</v>
      </c>
      <c r="G6795" s="5">
        <v>2E-3</v>
      </c>
      <c r="H6795" s="6" t="s">
        <v>90</v>
      </c>
      <c r="I6795" s="3" t="s">
        <v>45</v>
      </c>
    </row>
    <row r="6796" spans="1:9" ht="48" customHeight="1">
      <c r="A6796" s="3" t="s">
        <v>79</v>
      </c>
      <c r="B6796" s="3" t="s">
        <v>78</v>
      </c>
      <c r="C6796" s="4">
        <v>43497</v>
      </c>
      <c r="D6796" s="4">
        <v>43524</v>
      </c>
      <c r="E6796" s="3" t="s">
        <v>381</v>
      </c>
      <c r="F6796" s="3" t="s">
        <v>383</v>
      </c>
      <c r="G6796" s="5">
        <v>1E-3</v>
      </c>
      <c r="H6796" s="6" t="s">
        <v>90</v>
      </c>
      <c r="I6796" s="3" t="s">
        <v>45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5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2" customWidth="1"/>
    <col min="2" max="2" width="95" style="2" customWidth="1"/>
    <col min="3" max="3" width="18" style="2" customWidth="1"/>
    <col min="4" max="4" width="60" style="2" customWidth="1"/>
    <col min="5" max="5" width="9" style="2" customWidth="1"/>
    <col min="6" max="6" width="18" style="2" customWidth="1"/>
    <col min="7" max="7" width="88" style="2" customWidth="1"/>
    <col min="8" max="16384" width="9" style="2"/>
  </cols>
  <sheetData>
    <row r="1" spans="1:7" ht="36" customHeight="1">
      <c r="A1" s="1" t="s">
        <v>392</v>
      </c>
      <c r="B1" s="1" t="s">
        <v>393</v>
      </c>
      <c r="C1" s="1"/>
      <c r="D1" s="1"/>
      <c r="E1" s="1"/>
      <c r="F1" s="1" t="s">
        <v>394</v>
      </c>
      <c r="G1" s="1" t="s">
        <v>80</v>
      </c>
    </row>
    <row r="2" spans="1:7" ht="21" customHeight="1">
      <c r="A2" s="3" t="s">
        <v>394</v>
      </c>
      <c r="B2" s="3" t="s">
        <v>44</v>
      </c>
      <c r="C2" s="3"/>
      <c r="D2" s="3"/>
      <c r="E2" s="3"/>
      <c r="F2" s="3" t="s">
        <v>1</v>
      </c>
      <c r="G2" s="3" t="s">
        <v>78</v>
      </c>
    </row>
    <row r="3" spans="1:7" ht="21" customHeight="1">
      <c r="A3" s="3" t="s">
        <v>395</v>
      </c>
      <c r="B3" s="3" t="s">
        <v>396</v>
      </c>
      <c r="C3" s="3"/>
      <c r="D3" s="3"/>
      <c r="E3" s="3"/>
      <c r="F3" s="3" t="s">
        <v>34</v>
      </c>
      <c r="G3" s="3" t="s">
        <v>45</v>
      </c>
    </row>
    <row r="4" spans="1:7" ht="21" customHeight="1">
      <c r="A4" s="3" t="s">
        <v>397</v>
      </c>
      <c r="B4" s="3" t="s">
        <v>398</v>
      </c>
      <c r="C4" s="3"/>
      <c r="D4" s="3"/>
      <c r="E4" s="3"/>
      <c r="F4" s="3" t="s">
        <v>399</v>
      </c>
      <c r="G4" s="3" t="s">
        <v>400</v>
      </c>
    </row>
    <row r="5" spans="1:7" ht="21" customHeight="1">
      <c r="A5" s="3" t="s">
        <v>401</v>
      </c>
      <c r="B5" s="3" t="s">
        <v>402</v>
      </c>
      <c r="C5" s="3"/>
      <c r="D5" s="3"/>
      <c r="E5" s="3"/>
      <c r="F5" s="3" t="s">
        <v>397</v>
      </c>
      <c r="G5" s="3" t="s">
        <v>398</v>
      </c>
    </row>
    <row r="6" spans="1:7" ht="21" customHeight="1">
      <c r="A6" s="3" t="s">
        <v>403</v>
      </c>
      <c r="B6" s="3" t="s">
        <v>404</v>
      </c>
      <c r="C6" s="3"/>
      <c r="D6" s="3"/>
      <c r="E6" s="3"/>
      <c r="F6" s="3" t="s">
        <v>401</v>
      </c>
      <c r="G6" s="3" t="s">
        <v>402</v>
      </c>
    </row>
    <row r="7" spans="1:7" ht="21" customHeight="1">
      <c r="A7" s="3" t="s">
        <v>405</v>
      </c>
      <c r="B7" s="3" t="s">
        <v>406</v>
      </c>
      <c r="C7" s="3"/>
      <c r="D7" s="3"/>
      <c r="E7" s="3"/>
      <c r="F7" s="3" t="s">
        <v>403</v>
      </c>
      <c r="G7" s="3" t="s">
        <v>407</v>
      </c>
    </row>
    <row r="8" spans="1:7" ht="21" customHeight="1">
      <c r="A8" s="3" t="s">
        <v>408</v>
      </c>
      <c r="B8" s="3" t="s">
        <v>97</v>
      </c>
      <c r="C8" s="3"/>
      <c r="D8" s="3"/>
      <c r="E8" s="3"/>
      <c r="F8" s="3" t="s">
        <v>405</v>
      </c>
      <c r="G8" s="3" t="s">
        <v>406</v>
      </c>
    </row>
    <row r="9" spans="1:7" ht="21" customHeight="1">
      <c r="A9" s="3"/>
      <c r="B9" s="3"/>
      <c r="C9" s="3"/>
      <c r="D9" s="3"/>
      <c r="E9" s="3"/>
      <c r="F9" s="3" t="s">
        <v>408</v>
      </c>
      <c r="G9" s="3" t="s">
        <v>97</v>
      </c>
    </row>
    <row r="10" spans="1:7" ht="21" customHeight="1">
      <c r="A10" s="3" t="s">
        <v>409</v>
      </c>
      <c r="B10" s="3" t="s">
        <v>410</v>
      </c>
      <c r="C10" s="3" t="s">
        <v>411</v>
      </c>
      <c r="D10" s="3" t="s">
        <v>412</v>
      </c>
      <c r="E10" s="3"/>
      <c r="F10" s="3" t="s">
        <v>0</v>
      </c>
      <c r="G10" s="3" t="s">
        <v>82</v>
      </c>
    </row>
    <row r="11" spans="1:7" ht="21" customHeight="1">
      <c r="A11" s="4">
        <v>45962</v>
      </c>
      <c r="B11" s="3">
        <v>1.6820000000000002E-2</v>
      </c>
      <c r="C11" s="4">
        <v>45962</v>
      </c>
      <c r="D11" s="3">
        <v>0.10602</v>
      </c>
      <c r="E11" s="3"/>
      <c r="F11" s="3" t="s">
        <v>413</v>
      </c>
      <c r="G11" s="3" t="s">
        <v>414</v>
      </c>
    </row>
    <row r="12" spans="1:7" ht="21" customHeight="1">
      <c r="A12" s="4">
        <v>45963</v>
      </c>
      <c r="B12" s="3">
        <v>1.653E-2</v>
      </c>
      <c r="C12" s="4">
        <v>45963</v>
      </c>
      <c r="D12" s="3">
        <v>9.5269999999999994E-2</v>
      </c>
      <c r="E12" s="3"/>
      <c r="F12" s="3" t="s">
        <v>415</v>
      </c>
      <c r="G12" s="3" t="s">
        <v>416</v>
      </c>
    </row>
    <row r="13" spans="1:7" ht="21" customHeight="1">
      <c r="A13" s="4">
        <v>45964</v>
      </c>
      <c r="B13" s="3">
        <v>2.777E-2</v>
      </c>
      <c r="C13" s="4">
        <v>45964</v>
      </c>
      <c r="D13" s="3">
        <v>9.3789999999999998E-2</v>
      </c>
      <c r="E13" s="3"/>
      <c r="F13" s="3" t="s">
        <v>417</v>
      </c>
      <c r="G13" s="3" t="s">
        <v>418</v>
      </c>
    </row>
    <row r="14" spans="1:7" ht="21" customHeight="1">
      <c r="A14" s="4">
        <v>45965</v>
      </c>
      <c r="B14" s="3">
        <v>1.9359999999999999E-2</v>
      </c>
      <c r="C14" s="4">
        <v>45965</v>
      </c>
      <c r="D14" s="3">
        <v>9.153E-2</v>
      </c>
      <c r="E14" s="3"/>
      <c r="F14" s="3" t="s">
        <v>419</v>
      </c>
      <c r="G14" s="3" t="s">
        <v>420</v>
      </c>
    </row>
    <row r="15" spans="1:7" ht="21" customHeight="1">
      <c r="A15" s="4">
        <v>45966</v>
      </c>
      <c r="B15" s="3">
        <v>2.4660000000000001E-2</v>
      </c>
      <c r="C15" s="4">
        <v>45966</v>
      </c>
      <c r="D15" s="3">
        <v>8.3330000000000001E-2</v>
      </c>
      <c r="E15" s="3"/>
      <c r="F15" s="3" t="s">
        <v>421</v>
      </c>
      <c r="G15" s="3" t="s">
        <v>422</v>
      </c>
    </row>
    <row r="16" spans="1:7" ht="21" customHeight="1">
      <c r="A16" s="4">
        <v>45967</v>
      </c>
      <c r="B16" s="3">
        <v>1.5689999999999999E-2</v>
      </c>
      <c r="C16" s="4">
        <v>45967</v>
      </c>
      <c r="D16" s="3">
        <v>8.7069999999999995E-2</v>
      </c>
      <c r="E16" s="3"/>
      <c r="F16" s="3" t="s">
        <v>423</v>
      </c>
      <c r="G16" s="3" t="s">
        <v>424</v>
      </c>
    </row>
    <row r="17" spans="1:7" ht="21" customHeight="1">
      <c r="A17" s="4">
        <v>45968</v>
      </c>
      <c r="B17" s="3">
        <v>2.5090000000000001E-2</v>
      </c>
      <c r="C17" s="4">
        <v>45968</v>
      </c>
      <c r="D17" s="3">
        <v>9.3789999999999998E-2</v>
      </c>
      <c r="E17" s="3"/>
      <c r="F17" s="3" t="s">
        <v>425</v>
      </c>
      <c r="G17" s="3" t="s">
        <v>426</v>
      </c>
    </row>
    <row r="18" spans="1:7" ht="21" customHeight="1">
      <c r="A18" s="4">
        <v>45969</v>
      </c>
      <c r="B18" s="3">
        <v>2.1760000000000002E-2</v>
      </c>
      <c r="C18" s="4">
        <v>45969</v>
      </c>
      <c r="D18" s="3">
        <v>9.6970000000000001E-2</v>
      </c>
      <c r="E18" s="3"/>
      <c r="F18" s="3" t="s">
        <v>427</v>
      </c>
      <c r="G18" s="3" t="s">
        <v>428</v>
      </c>
    </row>
    <row r="19" spans="1:7" ht="21" customHeight="1">
      <c r="A19" s="4">
        <v>45970</v>
      </c>
      <c r="B19" s="3">
        <v>2.3890000000000002E-2</v>
      </c>
      <c r="C19" s="4">
        <v>45970</v>
      </c>
      <c r="D19" s="3">
        <v>0.10828</v>
      </c>
      <c r="E19" s="3"/>
      <c r="F19" s="3" t="s">
        <v>429</v>
      </c>
      <c r="G19" s="3" t="s">
        <v>430</v>
      </c>
    </row>
    <row r="20" spans="1:7" ht="21" customHeight="1">
      <c r="A20" s="4">
        <v>45971</v>
      </c>
      <c r="B20" s="3">
        <v>1.9359999999999999E-2</v>
      </c>
      <c r="C20" s="4">
        <v>45971</v>
      </c>
      <c r="D20" s="3">
        <v>8.1420000000000006E-2</v>
      </c>
      <c r="E20" s="3"/>
      <c r="F20" s="3" t="s">
        <v>431</v>
      </c>
      <c r="G20" s="3" t="s">
        <v>432</v>
      </c>
    </row>
    <row r="21" spans="1:7" ht="21" customHeight="1">
      <c r="A21" s="4">
        <v>45972</v>
      </c>
      <c r="B21" s="3">
        <v>1.357E-2</v>
      </c>
      <c r="C21" s="4">
        <v>45972</v>
      </c>
      <c r="D21" s="3">
        <v>7.8380000000000005E-2</v>
      </c>
      <c r="E21" s="3"/>
      <c r="F21" s="3" t="s">
        <v>433</v>
      </c>
      <c r="G21" s="3" t="s">
        <v>434</v>
      </c>
    </row>
    <row r="22" spans="1:7" ht="21" customHeight="1">
      <c r="A22" s="4">
        <v>45973</v>
      </c>
      <c r="B22" s="3">
        <v>1.661E-2</v>
      </c>
      <c r="C22" s="4">
        <v>45973</v>
      </c>
      <c r="D22" s="3">
        <v>8.2619999999999999E-2</v>
      </c>
      <c r="E22" s="3"/>
      <c r="F22" s="3" t="s">
        <v>435</v>
      </c>
      <c r="G22" s="3" t="s">
        <v>436</v>
      </c>
    </row>
    <row r="23" spans="1:7" ht="21" customHeight="1">
      <c r="A23" s="4">
        <v>45974</v>
      </c>
      <c r="B23" s="3">
        <v>1.5900000000000001E-2</v>
      </c>
      <c r="C23" s="4">
        <v>45974</v>
      </c>
      <c r="D23" s="3">
        <v>8.0920000000000006E-2</v>
      </c>
      <c r="E23" s="3"/>
      <c r="F23" s="3" t="s">
        <v>437</v>
      </c>
      <c r="G23" s="3" t="s">
        <v>438</v>
      </c>
    </row>
    <row r="24" spans="1:7" ht="21" customHeight="1">
      <c r="A24" s="4">
        <v>45975</v>
      </c>
      <c r="B24" s="3">
        <v>1.7100000000000001E-2</v>
      </c>
      <c r="C24" s="4">
        <v>45975</v>
      </c>
      <c r="D24" s="3">
        <v>7.8950000000000006E-2</v>
      </c>
      <c r="E24" s="3"/>
      <c r="F24" s="3" t="s">
        <v>439</v>
      </c>
      <c r="G24" s="3" t="s">
        <v>440</v>
      </c>
    </row>
    <row r="25" spans="1:7" ht="21" customHeight="1">
      <c r="A25" s="4">
        <v>45976</v>
      </c>
      <c r="B25" s="3">
        <v>2.0070000000000001E-2</v>
      </c>
      <c r="C25" s="4">
        <v>45976</v>
      </c>
      <c r="D25" s="3">
        <v>8.8840000000000002E-2</v>
      </c>
      <c r="E25" s="3"/>
      <c r="F25" s="3" t="s">
        <v>441</v>
      </c>
      <c r="G25" s="3" t="s">
        <v>442</v>
      </c>
    </row>
    <row r="26" spans="1:7" ht="21" customHeight="1">
      <c r="A26" s="4">
        <v>45977</v>
      </c>
      <c r="B26" s="3">
        <v>2.12E-2</v>
      </c>
      <c r="C26" s="4">
        <v>45977</v>
      </c>
      <c r="D26" s="3">
        <v>8.6370000000000002E-2</v>
      </c>
      <c r="E26" s="3"/>
      <c r="F26" s="3" t="s">
        <v>443</v>
      </c>
      <c r="G26" s="3" t="s">
        <v>436</v>
      </c>
    </row>
    <row r="27" spans="1:7" ht="21" customHeight="1">
      <c r="A27" s="4">
        <v>45978</v>
      </c>
      <c r="B27" s="3">
        <v>1.6389999999999998E-2</v>
      </c>
      <c r="C27" s="4">
        <v>45978</v>
      </c>
      <c r="D27" s="3">
        <v>7.3219999999999993E-2</v>
      </c>
      <c r="E27" s="3"/>
      <c r="F27" s="3" t="s">
        <v>444</v>
      </c>
      <c r="G27" s="3" t="s">
        <v>445</v>
      </c>
    </row>
    <row r="28" spans="1:7" ht="21" customHeight="1">
      <c r="A28" s="4">
        <v>45979</v>
      </c>
      <c r="B28" s="3">
        <v>1.512E-2</v>
      </c>
      <c r="C28" s="4">
        <v>45979</v>
      </c>
      <c r="D28" s="3">
        <v>6.9970000000000004E-2</v>
      </c>
      <c r="E28" s="3"/>
      <c r="F28" s="3" t="s">
        <v>446</v>
      </c>
      <c r="G28" s="3" t="s">
        <v>447</v>
      </c>
    </row>
    <row r="29" spans="1:7" ht="21" customHeight="1">
      <c r="A29" s="4">
        <v>45980</v>
      </c>
      <c r="B29" s="3">
        <v>1.406E-2</v>
      </c>
      <c r="C29" s="4">
        <v>45980</v>
      </c>
      <c r="D29" s="3">
        <v>6.7919999999999994E-2</v>
      </c>
      <c r="E29" s="3"/>
      <c r="F29" s="3" t="s">
        <v>448</v>
      </c>
      <c r="G29" s="3" t="s">
        <v>449</v>
      </c>
    </row>
    <row r="30" spans="1:7" ht="21" customHeight="1">
      <c r="A30" s="4">
        <v>45981</v>
      </c>
      <c r="B30" s="3">
        <v>1.342E-2</v>
      </c>
      <c r="C30" s="4">
        <v>45981</v>
      </c>
      <c r="D30" s="3">
        <v>6.7000000000000004E-2</v>
      </c>
      <c r="E30" s="3"/>
      <c r="F30" s="3" t="s">
        <v>450</v>
      </c>
      <c r="G30" s="3" t="s">
        <v>451</v>
      </c>
    </row>
    <row r="31" spans="1:7" ht="21" customHeight="1">
      <c r="A31" s="4">
        <v>45982</v>
      </c>
      <c r="B31" s="3">
        <v>1.6889999999999999E-2</v>
      </c>
      <c r="C31" s="4">
        <v>45982</v>
      </c>
      <c r="D31" s="3">
        <v>7.1669999999999998E-2</v>
      </c>
      <c r="E31" s="3"/>
      <c r="F31" s="3" t="s">
        <v>452</v>
      </c>
      <c r="G31" s="3" t="s">
        <v>453</v>
      </c>
    </row>
    <row r="32" spans="1:7" ht="21" customHeight="1">
      <c r="A32" s="4">
        <v>45983</v>
      </c>
      <c r="B32" s="3">
        <v>2.1690000000000001E-2</v>
      </c>
      <c r="C32" s="4">
        <v>45983</v>
      </c>
      <c r="D32" s="3">
        <v>7.4279999999999999E-2</v>
      </c>
      <c r="E32" s="3"/>
      <c r="F32" s="3" t="s">
        <v>454</v>
      </c>
      <c r="G32" s="3" t="s">
        <v>455</v>
      </c>
    </row>
    <row r="33" spans="1:7" ht="21" customHeight="1">
      <c r="A33" s="4">
        <v>45984</v>
      </c>
      <c r="B33" s="3">
        <v>2.1129999999999999E-2</v>
      </c>
      <c r="C33" s="4">
        <v>45984</v>
      </c>
      <c r="D33" s="3">
        <v>7.1309999999999998E-2</v>
      </c>
      <c r="E33" s="3"/>
      <c r="F33" s="3" t="s">
        <v>456</v>
      </c>
      <c r="G33" s="3" t="s">
        <v>457</v>
      </c>
    </row>
    <row r="34" spans="1:7" ht="21" customHeight="1">
      <c r="A34" s="4">
        <v>45985</v>
      </c>
      <c r="B34" s="3">
        <v>1.7309999999999999E-2</v>
      </c>
      <c r="C34" s="4">
        <v>45985</v>
      </c>
      <c r="D34" s="3">
        <v>6.898E-2</v>
      </c>
      <c r="E34" s="3"/>
      <c r="F34" s="3" t="s">
        <v>458</v>
      </c>
      <c r="G34" s="3" t="s">
        <v>459</v>
      </c>
    </row>
    <row r="35" spans="1:7" ht="21" customHeight="1">
      <c r="A35" s="4">
        <v>45986</v>
      </c>
      <c r="B35" s="3">
        <v>1.512E-2</v>
      </c>
      <c r="C35" s="4">
        <v>45986</v>
      </c>
      <c r="D35" s="3">
        <v>6.5869999999999998E-2</v>
      </c>
      <c r="E35" s="3"/>
      <c r="F35" s="3" t="s">
        <v>460</v>
      </c>
      <c r="G35" s="3" t="s">
        <v>461</v>
      </c>
    </row>
    <row r="36" spans="1:7" ht="21" customHeight="1">
      <c r="A36" s="4">
        <v>45987</v>
      </c>
      <c r="B36" s="3">
        <v>1.583E-2</v>
      </c>
      <c r="C36" s="4">
        <v>45987</v>
      </c>
      <c r="D36" s="3">
        <v>6.3820000000000002E-2</v>
      </c>
      <c r="E36" s="3"/>
      <c r="F36" s="3" t="s">
        <v>462</v>
      </c>
      <c r="G36" s="3" t="s">
        <v>463</v>
      </c>
    </row>
    <row r="37" spans="1:7" ht="21" customHeight="1">
      <c r="A37" s="4">
        <v>45988</v>
      </c>
      <c r="B37" s="3">
        <v>1.5469999999999999E-2</v>
      </c>
      <c r="C37" s="4">
        <v>45988</v>
      </c>
      <c r="D37" s="3">
        <v>6.191E-2</v>
      </c>
      <c r="E37" s="3"/>
      <c r="F37" s="3" t="s">
        <v>464</v>
      </c>
      <c r="G37" s="3" t="s">
        <v>465</v>
      </c>
    </row>
    <row r="38" spans="1:7" ht="21" customHeight="1">
      <c r="A38" s="4">
        <v>45989</v>
      </c>
      <c r="B38" s="3">
        <v>1.4409999999999999E-2</v>
      </c>
      <c r="C38" s="4">
        <v>45989</v>
      </c>
      <c r="D38" s="3">
        <v>6.3250000000000001E-2</v>
      </c>
      <c r="E38" s="3"/>
      <c r="F38" s="3" t="s">
        <v>466</v>
      </c>
      <c r="G38" s="3" t="s">
        <v>467</v>
      </c>
    </row>
    <row r="39" spans="1:7" ht="21" customHeight="1">
      <c r="A39" s="4">
        <v>45990</v>
      </c>
      <c r="B39" s="3">
        <v>1.7520000000000001E-2</v>
      </c>
      <c r="C39" s="4">
        <v>45990</v>
      </c>
      <c r="D39" s="3">
        <v>5.9229999999999998E-2</v>
      </c>
      <c r="E39" s="3"/>
      <c r="F39" s="3" t="s">
        <v>468</v>
      </c>
      <c r="G39" s="3" t="s">
        <v>469</v>
      </c>
    </row>
    <row r="40" spans="1:7" ht="21" customHeight="1">
      <c r="A40" s="4">
        <v>45991</v>
      </c>
      <c r="B40" s="3">
        <v>1.6889999999999999E-2</v>
      </c>
      <c r="C40" s="4">
        <v>45991</v>
      </c>
      <c r="D40" s="3">
        <v>6.0290000000000003E-2</v>
      </c>
      <c r="E40" s="3"/>
      <c r="F40" s="3" t="s">
        <v>470</v>
      </c>
      <c r="G40" s="3" t="s">
        <v>471</v>
      </c>
    </row>
    <row r="41" spans="1:7" ht="21" customHeight="1">
      <c r="A41" s="4">
        <v>45992</v>
      </c>
      <c r="B41" s="3">
        <v>1.533E-2</v>
      </c>
      <c r="C41" s="4">
        <v>45992</v>
      </c>
      <c r="D41" s="3">
        <v>6.8269999999999997E-2</v>
      </c>
      <c r="E41" s="3"/>
      <c r="F41" s="3" t="s">
        <v>472</v>
      </c>
      <c r="G41" s="3" t="s">
        <v>473</v>
      </c>
    </row>
    <row r="42" spans="1:7" ht="21" customHeight="1">
      <c r="A42" s="4">
        <v>45993</v>
      </c>
      <c r="B42" s="3">
        <v>1.321E-2</v>
      </c>
      <c r="C42" s="4">
        <v>45993</v>
      </c>
      <c r="D42" s="3">
        <v>5.8939999999999999E-2</v>
      </c>
      <c r="E42" s="3"/>
      <c r="F42" s="3" t="s">
        <v>474</v>
      </c>
      <c r="G42" s="3" t="s">
        <v>475</v>
      </c>
    </row>
    <row r="43" spans="1:7" ht="21" customHeight="1">
      <c r="A43" s="4">
        <v>45994</v>
      </c>
      <c r="B43" s="3">
        <v>1.3780000000000001E-2</v>
      </c>
      <c r="C43" s="4">
        <v>45994</v>
      </c>
      <c r="D43" s="3">
        <v>6.0429999999999998E-2</v>
      </c>
      <c r="E43" s="3"/>
      <c r="F43" s="3" t="s">
        <v>476</v>
      </c>
      <c r="G43" s="3" t="s">
        <v>477</v>
      </c>
    </row>
    <row r="44" spans="1:7" ht="21" customHeight="1">
      <c r="A44" s="4">
        <v>45995</v>
      </c>
      <c r="B44" s="3">
        <v>1.2930000000000001E-2</v>
      </c>
      <c r="C44" s="4">
        <v>45995</v>
      </c>
      <c r="D44" s="3">
        <v>6.4949999999999994E-2</v>
      </c>
      <c r="E44" s="3"/>
      <c r="F44" s="3" t="s">
        <v>478</v>
      </c>
      <c r="G44" s="3" t="s">
        <v>479</v>
      </c>
    </row>
    <row r="45" spans="1:7" ht="21" customHeight="1">
      <c r="A45" s="4">
        <v>45996</v>
      </c>
      <c r="B45" s="3">
        <v>1.328E-2</v>
      </c>
      <c r="C45" s="4">
        <v>45996</v>
      </c>
      <c r="D45" s="3">
        <v>5.8310000000000001E-2</v>
      </c>
      <c r="E45" s="3"/>
      <c r="F45" s="3" t="s">
        <v>480</v>
      </c>
      <c r="G45" s="3" t="s">
        <v>481</v>
      </c>
    </row>
    <row r="46" spans="1:7" ht="21" customHeight="1">
      <c r="A46" s="4">
        <v>45997</v>
      </c>
      <c r="B46" s="3">
        <v>1.554E-2</v>
      </c>
      <c r="C46" s="4">
        <v>45997</v>
      </c>
      <c r="D46" s="3">
        <v>5.357E-2</v>
      </c>
      <c r="E46" s="3"/>
      <c r="F46" s="3" t="s">
        <v>482</v>
      </c>
      <c r="G46" s="3" t="s">
        <v>483</v>
      </c>
    </row>
    <row r="47" spans="1:7" ht="21" customHeight="1">
      <c r="A47" s="4">
        <v>45998</v>
      </c>
      <c r="B47" s="3">
        <v>1.8870000000000001E-2</v>
      </c>
      <c r="C47" s="4">
        <v>45998</v>
      </c>
      <c r="D47" s="3">
        <v>5.11E-2</v>
      </c>
      <c r="E47" s="3"/>
      <c r="F47" s="3" t="s">
        <v>484</v>
      </c>
      <c r="G47" s="3" t="s">
        <v>485</v>
      </c>
    </row>
    <row r="48" spans="1:7" ht="21" customHeight="1">
      <c r="A48" s="4">
        <v>45999</v>
      </c>
      <c r="B48" s="3">
        <v>2.2190000000000001E-2</v>
      </c>
      <c r="C48" s="4">
        <v>45999</v>
      </c>
      <c r="D48" s="3">
        <v>5.9299999999999999E-2</v>
      </c>
      <c r="E48" s="3"/>
      <c r="F48" s="3" t="s">
        <v>486</v>
      </c>
      <c r="G48" s="3" t="s">
        <v>487</v>
      </c>
    </row>
    <row r="49" spans="1:7" ht="21" customHeight="1">
      <c r="A49" s="4">
        <v>46000</v>
      </c>
      <c r="B49" s="3">
        <v>1.498E-2</v>
      </c>
      <c r="C49" s="4">
        <v>46000</v>
      </c>
      <c r="D49" s="3">
        <v>5.8590000000000003E-2</v>
      </c>
      <c r="E49" s="3"/>
      <c r="F49" s="3" t="s">
        <v>488</v>
      </c>
      <c r="G49" s="3" t="s">
        <v>489</v>
      </c>
    </row>
    <row r="50" spans="1:7" ht="21" customHeight="1">
      <c r="A50" s="4">
        <v>46001</v>
      </c>
      <c r="B50" s="3">
        <v>1.583E-2</v>
      </c>
      <c r="C50" s="4">
        <v>46001</v>
      </c>
      <c r="D50" s="3">
        <v>5.534E-2</v>
      </c>
      <c r="E50" s="3"/>
      <c r="F50" s="3" t="s">
        <v>490</v>
      </c>
      <c r="G50" s="3" t="s">
        <v>455</v>
      </c>
    </row>
    <row r="51" spans="1:7" ht="21" customHeight="1">
      <c r="A51" s="4">
        <v>46002</v>
      </c>
      <c r="B51" s="3">
        <v>2.0559999999999998E-2</v>
      </c>
      <c r="C51" s="4">
        <v>46002</v>
      </c>
      <c r="D51" s="3">
        <v>8.4879999999999997E-2</v>
      </c>
      <c r="E51" s="3"/>
      <c r="F51" s="3" t="s">
        <v>491</v>
      </c>
      <c r="G51" s="3" t="s">
        <v>492</v>
      </c>
    </row>
    <row r="52" spans="1:7" ht="21" customHeight="1">
      <c r="A52" s="4">
        <v>46003</v>
      </c>
      <c r="B52" s="3">
        <v>1.9720000000000001E-2</v>
      </c>
      <c r="C52" s="4">
        <v>46003</v>
      </c>
      <c r="D52" s="3">
        <v>0.52076999999999996</v>
      </c>
      <c r="E52" s="3"/>
      <c r="F52" s="3" t="s">
        <v>493</v>
      </c>
      <c r="G52" s="3" t="s">
        <v>494</v>
      </c>
    </row>
    <row r="53" spans="1:7" ht="21" customHeight="1">
      <c r="A53" s="4">
        <v>46004</v>
      </c>
      <c r="B53" s="3">
        <v>4.5229999999999999E-2</v>
      </c>
      <c r="C53" s="4">
        <v>46004</v>
      </c>
      <c r="D53" s="3">
        <v>0.55449000000000004</v>
      </c>
      <c r="E53" s="3"/>
      <c r="F53" s="3" t="s">
        <v>495</v>
      </c>
      <c r="G53" s="3" t="s">
        <v>496</v>
      </c>
    </row>
    <row r="54" spans="1:7" ht="21" customHeight="1">
      <c r="A54" s="4">
        <v>46005</v>
      </c>
      <c r="B54" s="3">
        <v>3.2300000000000002E-2</v>
      </c>
      <c r="C54" s="4">
        <v>46005</v>
      </c>
      <c r="D54" s="3">
        <v>0.48770000000000002</v>
      </c>
      <c r="E54" s="3"/>
      <c r="F54" s="3" t="s">
        <v>497</v>
      </c>
      <c r="G54" s="3" t="s">
        <v>498</v>
      </c>
    </row>
    <row r="55" spans="1:7" ht="21" customHeight="1">
      <c r="A55" s="4">
        <v>46006</v>
      </c>
      <c r="B55" s="3">
        <v>2.155E-2</v>
      </c>
      <c r="C55" s="4">
        <v>46006</v>
      </c>
      <c r="D55" s="3">
        <v>0.4496</v>
      </c>
      <c r="E55" s="3"/>
      <c r="F55" s="3" t="s">
        <v>499</v>
      </c>
      <c r="G55" s="3" t="s">
        <v>500</v>
      </c>
    </row>
    <row r="56" spans="1:7" ht="21" customHeight="1">
      <c r="A56" s="4">
        <v>46007</v>
      </c>
      <c r="B56" s="3">
        <v>2.3959999999999999E-2</v>
      </c>
      <c r="C56" s="4">
        <v>46007</v>
      </c>
      <c r="D56" s="3">
        <v>0.38394</v>
      </c>
      <c r="E56" s="3"/>
      <c r="F56" s="3" t="s">
        <v>501</v>
      </c>
      <c r="G56" s="3" t="s">
        <v>502</v>
      </c>
    </row>
    <row r="57" spans="1:7" ht="21" customHeight="1">
      <c r="A57" s="4">
        <v>46008</v>
      </c>
      <c r="B57" s="3">
        <v>1.6389999999999998E-2</v>
      </c>
      <c r="C57" s="4">
        <v>46008</v>
      </c>
      <c r="D57" s="3">
        <v>0.30901000000000001</v>
      </c>
      <c r="E57" s="3"/>
      <c r="F57" s="3" t="s">
        <v>503</v>
      </c>
      <c r="G57" s="3" t="s">
        <v>504</v>
      </c>
    </row>
    <row r="58" spans="1:7" ht="21" customHeight="1">
      <c r="A58" s="4">
        <v>46009</v>
      </c>
      <c r="B58" s="3">
        <v>1.491E-2</v>
      </c>
      <c r="C58" s="4">
        <v>46009</v>
      </c>
      <c r="D58" s="3">
        <v>0.26279000000000002</v>
      </c>
      <c r="E58" s="3"/>
      <c r="F58" s="3" t="s">
        <v>505</v>
      </c>
      <c r="G58" s="3" t="s">
        <v>506</v>
      </c>
    </row>
    <row r="59" spans="1:7" ht="21" customHeight="1">
      <c r="A59" s="4">
        <v>46010</v>
      </c>
      <c r="B59" s="3">
        <v>1.427E-2</v>
      </c>
      <c r="C59" s="4">
        <v>46010</v>
      </c>
      <c r="D59" s="3">
        <v>0.81686000000000003</v>
      </c>
      <c r="E59" s="3"/>
      <c r="F59" s="3" t="s">
        <v>507</v>
      </c>
      <c r="G59" s="3" t="s">
        <v>508</v>
      </c>
    </row>
    <row r="60" spans="1:7" ht="21" customHeight="1">
      <c r="A60" s="4">
        <v>46011</v>
      </c>
      <c r="B60" s="3">
        <v>1.583E-2</v>
      </c>
      <c r="C60" s="4">
        <v>46011</v>
      </c>
      <c r="D60" s="3">
        <v>0.56403000000000003</v>
      </c>
      <c r="E60" s="3"/>
      <c r="F60" s="3" t="s">
        <v>509</v>
      </c>
      <c r="G60" s="3" t="s">
        <v>510</v>
      </c>
    </row>
    <row r="61" spans="1:7" ht="21" customHeight="1">
      <c r="A61" s="4">
        <v>46012</v>
      </c>
      <c r="B61" s="3">
        <v>1.512E-2</v>
      </c>
      <c r="C61" s="4">
        <v>46012</v>
      </c>
      <c r="D61" s="3">
        <v>0.32236999999999999</v>
      </c>
      <c r="E61" s="3"/>
      <c r="F61" s="3" t="s">
        <v>511</v>
      </c>
      <c r="G61" s="3" t="s">
        <v>512</v>
      </c>
    </row>
    <row r="62" spans="1:7" ht="21" customHeight="1">
      <c r="A62" s="4">
        <v>46013</v>
      </c>
      <c r="B62" s="3">
        <v>1.166E-2</v>
      </c>
      <c r="C62" s="4">
        <v>46013</v>
      </c>
      <c r="D62" s="3">
        <v>0.35609000000000002</v>
      </c>
      <c r="E62" s="3"/>
      <c r="F62" s="3" t="s">
        <v>513</v>
      </c>
      <c r="G62" s="3" t="s">
        <v>514</v>
      </c>
    </row>
    <row r="63" spans="1:7" ht="21" customHeight="1">
      <c r="A63" s="4">
        <v>46014</v>
      </c>
      <c r="B63" s="3">
        <v>1.3849999999999999E-2</v>
      </c>
      <c r="C63" s="4">
        <v>46014</v>
      </c>
      <c r="D63" s="3">
        <v>0.28809000000000001</v>
      </c>
      <c r="E63" s="3"/>
      <c r="F63" s="3" t="s">
        <v>515</v>
      </c>
      <c r="G63" s="3" t="s">
        <v>516</v>
      </c>
    </row>
    <row r="64" spans="1:7" ht="21" customHeight="1">
      <c r="A64" s="4">
        <v>46015</v>
      </c>
      <c r="B64" s="3">
        <v>1.491E-2</v>
      </c>
      <c r="C64" s="4">
        <v>46015</v>
      </c>
      <c r="D64" s="3">
        <v>0.26321</v>
      </c>
      <c r="E64" s="3"/>
      <c r="F64" s="3" t="s">
        <v>517</v>
      </c>
      <c r="G64" s="3" t="s">
        <v>518</v>
      </c>
    </row>
    <row r="65" spans="1:7" ht="21" customHeight="1">
      <c r="A65" s="4">
        <v>46016</v>
      </c>
      <c r="B65" s="3">
        <v>1.2999999999999999E-2</v>
      </c>
      <c r="C65" s="4">
        <v>46016</v>
      </c>
      <c r="D65" s="3">
        <v>0.22165000000000001</v>
      </c>
      <c r="E65" s="3"/>
      <c r="F65" s="3" t="s">
        <v>519</v>
      </c>
      <c r="G65" s="3" t="s">
        <v>520</v>
      </c>
    </row>
    <row r="66" spans="1:7" ht="21" customHeight="1">
      <c r="A66" s="4">
        <v>46017</v>
      </c>
      <c r="B66" s="3">
        <v>1.159E-2</v>
      </c>
      <c r="C66" s="4">
        <v>46017</v>
      </c>
      <c r="D66" s="3">
        <v>0.21897</v>
      </c>
      <c r="E66" s="3"/>
      <c r="F66" s="3" t="s">
        <v>521</v>
      </c>
      <c r="G66" s="3" t="s">
        <v>522</v>
      </c>
    </row>
    <row r="67" spans="1:7" ht="21" customHeight="1">
      <c r="A67" s="4">
        <v>46018</v>
      </c>
      <c r="B67" s="3">
        <v>1.8159999999999999E-2</v>
      </c>
      <c r="C67" s="4">
        <v>46018</v>
      </c>
      <c r="D67" s="3">
        <v>0.22639000000000001</v>
      </c>
      <c r="E67" s="3"/>
      <c r="F67" s="3" t="s">
        <v>523</v>
      </c>
      <c r="G67" s="3" t="s">
        <v>524</v>
      </c>
    </row>
    <row r="68" spans="1:7" ht="21" customHeight="1">
      <c r="A68" s="4">
        <v>46019</v>
      </c>
      <c r="B68" s="3">
        <v>1.7739999999999999E-2</v>
      </c>
      <c r="C68" s="4">
        <v>46019</v>
      </c>
      <c r="D68" s="3">
        <v>0.22475999999999999</v>
      </c>
      <c r="E68" s="3"/>
      <c r="F68" s="3" t="s">
        <v>525</v>
      </c>
      <c r="G68" s="3" t="s">
        <v>526</v>
      </c>
    </row>
    <row r="69" spans="1:7" ht="21" customHeight="1">
      <c r="A69" s="4">
        <v>46020</v>
      </c>
      <c r="B69" s="3">
        <v>1.993E-2</v>
      </c>
      <c r="C69" s="4">
        <v>46020</v>
      </c>
      <c r="D69" s="3">
        <v>0.28250999999999998</v>
      </c>
      <c r="E69" s="3"/>
      <c r="F69" s="3" t="s">
        <v>527</v>
      </c>
      <c r="G69" s="3" t="s">
        <v>528</v>
      </c>
    </row>
    <row r="70" spans="1:7" ht="21" customHeight="1">
      <c r="A70" s="4">
        <v>46021</v>
      </c>
      <c r="B70" s="3">
        <v>1.7520000000000001E-2</v>
      </c>
      <c r="C70" s="4">
        <v>46021</v>
      </c>
      <c r="D70" s="3">
        <v>0.20363000000000001</v>
      </c>
      <c r="E70" s="3"/>
      <c r="F70" s="3" t="s">
        <v>529</v>
      </c>
      <c r="G70" s="3" t="s">
        <v>530</v>
      </c>
    </row>
    <row r="71" spans="1:7" ht="21" customHeight="1">
      <c r="A71" s="4">
        <v>46022</v>
      </c>
      <c r="B71" s="3">
        <v>2.0209999999999999E-2</v>
      </c>
      <c r="C71" s="4">
        <v>46022</v>
      </c>
      <c r="D71" s="3">
        <v>0.24376999999999999</v>
      </c>
      <c r="E71" s="3"/>
      <c r="F71" s="3" t="s">
        <v>531</v>
      </c>
      <c r="G71" s="3" t="s">
        <v>532</v>
      </c>
    </row>
    <row r="72" spans="1:7" ht="21" customHeight="1">
      <c r="A72" s="4">
        <v>46023</v>
      </c>
      <c r="B72" s="3">
        <v>4.5659999999999999E-2</v>
      </c>
      <c r="C72" s="4">
        <v>46023</v>
      </c>
      <c r="D72" s="3">
        <v>0.26201000000000002</v>
      </c>
      <c r="E72" s="3"/>
      <c r="F72" s="3" t="s">
        <v>533</v>
      </c>
      <c r="G72" s="3" t="s">
        <v>534</v>
      </c>
    </row>
    <row r="73" spans="1:7" ht="21" customHeight="1">
      <c r="A73" s="4">
        <v>46024</v>
      </c>
      <c r="B73" s="3">
        <v>0.30292999999999998</v>
      </c>
      <c r="C73" s="4">
        <v>46024</v>
      </c>
      <c r="D73" s="3">
        <v>0.51773000000000002</v>
      </c>
      <c r="E73" s="3"/>
      <c r="F73" s="3" t="s">
        <v>535</v>
      </c>
      <c r="G73" s="3" t="s">
        <v>536</v>
      </c>
    </row>
    <row r="74" spans="1:7" ht="21" customHeight="1">
      <c r="A74" s="4">
        <v>46025</v>
      </c>
      <c r="B74" s="3">
        <v>0.24278</v>
      </c>
      <c r="C74" s="4">
        <v>46025</v>
      </c>
      <c r="D74" s="3">
        <v>0.50848000000000004</v>
      </c>
      <c r="E74" s="3"/>
      <c r="F74" s="3" t="s">
        <v>537</v>
      </c>
      <c r="G74" s="3" t="s">
        <v>538</v>
      </c>
    </row>
    <row r="75" spans="1:7" ht="21" customHeight="1">
      <c r="A75" s="4">
        <v>46026</v>
      </c>
      <c r="B75" s="3">
        <v>0.11754000000000001</v>
      </c>
      <c r="C75" s="4">
        <v>46026</v>
      </c>
      <c r="D75" s="3">
        <v>0.49653000000000003</v>
      </c>
      <c r="E75" s="3"/>
      <c r="F75" s="3" t="s">
        <v>539</v>
      </c>
      <c r="G75" s="3" t="s">
        <v>540</v>
      </c>
    </row>
    <row r="76" spans="1:7" ht="21" customHeight="1">
      <c r="A76" s="4">
        <v>46027</v>
      </c>
      <c r="B76" s="3">
        <v>7.8520000000000006E-2</v>
      </c>
      <c r="C76" s="4">
        <v>46027</v>
      </c>
      <c r="D76" s="3">
        <v>0.38811000000000001</v>
      </c>
      <c r="E76" s="3"/>
      <c r="F76" s="3" t="s">
        <v>541</v>
      </c>
      <c r="G76" s="3" t="s">
        <v>542</v>
      </c>
    </row>
    <row r="77" spans="1:7" ht="21" customHeight="1">
      <c r="A77" s="4">
        <v>46028</v>
      </c>
      <c r="B77" s="3">
        <v>5.2159999999999998E-2</v>
      </c>
      <c r="C77" s="4">
        <v>46028</v>
      </c>
      <c r="D77" s="3">
        <v>0.39474999999999999</v>
      </c>
      <c r="E77" s="3"/>
      <c r="F77" s="3" t="s">
        <v>543</v>
      </c>
      <c r="G77" s="3" t="s">
        <v>544</v>
      </c>
    </row>
    <row r="78" spans="1:7" ht="21" customHeight="1">
      <c r="A78" s="4">
        <v>46029</v>
      </c>
      <c r="B78" s="3">
        <v>4.0419999999999998E-2</v>
      </c>
      <c r="C78" s="4">
        <v>46029</v>
      </c>
      <c r="D78" s="3">
        <v>0.34725</v>
      </c>
      <c r="E78" s="3"/>
      <c r="F78" s="3" t="s">
        <v>545</v>
      </c>
      <c r="G78" s="3" t="s">
        <v>546</v>
      </c>
    </row>
    <row r="79" spans="1:7" ht="21" customHeight="1">
      <c r="A79" s="4">
        <v>46030</v>
      </c>
      <c r="B79" s="3">
        <v>4.1340000000000002E-2</v>
      </c>
      <c r="C79" s="4">
        <v>46030</v>
      </c>
      <c r="D79" s="3">
        <v>0.49724000000000002</v>
      </c>
      <c r="E79" s="3"/>
      <c r="F79" s="3" t="s">
        <v>547</v>
      </c>
      <c r="G79" s="3" t="s">
        <v>548</v>
      </c>
    </row>
    <row r="80" spans="1:7" ht="21" customHeight="1">
      <c r="A80" s="4">
        <v>46031</v>
      </c>
      <c r="B80" s="3">
        <v>3.8159999999999999E-2</v>
      </c>
      <c r="C80" s="4">
        <v>46031</v>
      </c>
      <c r="D80" s="3">
        <v>0.49201</v>
      </c>
      <c r="E80" s="3"/>
      <c r="F80" s="3" t="s">
        <v>549</v>
      </c>
      <c r="G80" s="3" t="s">
        <v>550</v>
      </c>
    </row>
    <row r="81" spans="1:7" ht="21" customHeight="1">
      <c r="A81" s="4">
        <v>46032</v>
      </c>
      <c r="B81" s="3">
        <v>3.9079999999999997E-2</v>
      </c>
      <c r="C81" s="4">
        <v>46032</v>
      </c>
      <c r="D81" s="3">
        <v>0.45369999999999999</v>
      </c>
      <c r="E81" s="3"/>
      <c r="F81" s="3" t="s">
        <v>551</v>
      </c>
      <c r="G81" s="3" t="s">
        <v>552</v>
      </c>
    </row>
    <row r="82" spans="1:7" ht="21" customHeight="1">
      <c r="A82" s="4">
        <v>46033</v>
      </c>
      <c r="B82" s="3">
        <v>3.703E-2</v>
      </c>
      <c r="C82" s="4">
        <v>46033</v>
      </c>
      <c r="D82" s="3">
        <v>0.56347000000000003</v>
      </c>
      <c r="E82" s="3"/>
      <c r="F82" s="3" t="s">
        <v>553</v>
      </c>
      <c r="G82" s="3" t="s">
        <v>554</v>
      </c>
    </row>
    <row r="83" spans="1:7" ht="21" customHeight="1">
      <c r="A83" s="4">
        <v>46034</v>
      </c>
      <c r="B83" s="3">
        <v>3.7100000000000001E-2</v>
      </c>
      <c r="C83" s="4">
        <v>46034</v>
      </c>
      <c r="D83" s="3">
        <v>0.66185000000000005</v>
      </c>
      <c r="E83" s="3"/>
      <c r="F83" s="3" t="s">
        <v>555</v>
      </c>
      <c r="G83" s="3" t="s">
        <v>449</v>
      </c>
    </row>
    <row r="84" spans="1:7" ht="21" customHeight="1">
      <c r="A84" s="4">
        <v>46035</v>
      </c>
      <c r="B84" s="3">
        <v>4.6080000000000003E-2</v>
      </c>
      <c r="C84" s="4">
        <v>46035</v>
      </c>
      <c r="D84" s="3">
        <v>0.52698999999999996</v>
      </c>
      <c r="E84" s="3"/>
      <c r="F84" s="3" t="s">
        <v>556</v>
      </c>
      <c r="G84" s="3" t="s">
        <v>557</v>
      </c>
    </row>
    <row r="85" spans="1:7" ht="21" customHeight="1">
      <c r="A85" s="4">
        <v>46036</v>
      </c>
      <c r="B85" s="3">
        <v>5.4559999999999997E-2</v>
      </c>
      <c r="C85" s="4">
        <v>46036</v>
      </c>
      <c r="D85" s="3">
        <v>0.95072999999999996</v>
      </c>
      <c r="E85" s="3"/>
      <c r="F85" s="3" t="s">
        <v>558</v>
      </c>
      <c r="G85" s="3" t="s">
        <v>559</v>
      </c>
    </row>
    <row r="86" spans="1:7" ht="21" customHeight="1">
      <c r="A86" s="4">
        <v>46037</v>
      </c>
      <c r="B86" s="3">
        <v>5.074E-2</v>
      </c>
      <c r="C86" s="4">
        <v>46037</v>
      </c>
      <c r="D86" s="3">
        <v>1.0064200000000001</v>
      </c>
      <c r="E86" s="3"/>
      <c r="F86" s="3" t="s">
        <v>560</v>
      </c>
      <c r="G86" s="3" t="s">
        <v>561</v>
      </c>
    </row>
    <row r="87" spans="1:7" ht="21" customHeight="1">
      <c r="A87" s="4">
        <v>46038</v>
      </c>
      <c r="B87" s="3">
        <v>6.1490000000000003E-2</v>
      </c>
      <c r="C87" s="4">
        <v>46038</v>
      </c>
      <c r="D87" s="3">
        <v>1.0170300000000001</v>
      </c>
      <c r="E87" s="3"/>
      <c r="F87" s="3" t="s">
        <v>562</v>
      </c>
      <c r="G87" s="3" t="s">
        <v>563</v>
      </c>
    </row>
    <row r="88" spans="1:7" ht="21" customHeight="1">
      <c r="A88" s="4">
        <v>46039</v>
      </c>
      <c r="B88" s="3">
        <v>6.5089999999999995E-2</v>
      </c>
      <c r="C88" s="4">
        <v>46039</v>
      </c>
      <c r="D88" s="3">
        <v>0.92451000000000005</v>
      </c>
      <c r="E88" s="3"/>
      <c r="F88" s="3" t="s">
        <v>564</v>
      </c>
      <c r="G88" s="3" t="s">
        <v>565</v>
      </c>
    </row>
    <row r="89" spans="1:7" ht="21" customHeight="1">
      <c r="A89" s="4">
        <v>46040</v>
      </c>
      <c r="B89" s="3">
        <v>5.1380000000000002E-2</v>
      </c>
      <c r="C89" s="4">
        <v>46040</v>
      </c>
      <c r="D89" s="3">
        <v>0.92471999999999999</v>
      </c>
      <c r="E89" s="3"/>
      <c r="F89" s="3" t="s">
        <v>566</v>
      </c>
      <c r="G89" s="3" t="s">
        <v>567</v>
      </c>
    </row>
    <row r="90" spans="1:7" ht="21" customHeight="1">
      <c r="A90" s="4">
        <v>46041</v>
      </c>
      <c r="B90" s="3">
        <v>4.2259999999999999E-2</v>
      </c>
      <c r="C90" s="4">
        <v>46041</v>
      </c>
      <c r="D90" s="3">
        <v>0.86817</v>
      </c>
      <c r="E90" s="3"/>
      <c r="F90" s="3" t="s">
        <v>568</v>
      </c>
      <c r="G90" s="3" t="s">
        <v>569</v>
      </c>
    </row>
    <row r="91" spans="1:7" ht="21" customHeight="1">
      <c r="A91" s="4">
        <v>46042</v>
      </c>
      <c r="B91" s="3">
        <v>4.0140000000000002E-2</v>
      </c>
      <c r="C91" s="4">
        <v>46042</v>
      </c>
      <c r="D91" s="3">
        <v>1.08382</v>
      </c>
      <c r="E91" s="3"/>
      <c r="F91" s="3" t="s">
        <v>570</v>
      </c>
      <c r="G91" s="3" t="s">
        <v>536</v>
      </c>
    </row>
    <row r="92" spans="1:7" ht="21" customHeight="1">
      <c r="A92" s="4">
        <v>46043</v>
      </c>
      <c r="B92" s="3">
        <v>3.9510000000000003E-2</v>
      </c>
      <c r="C92" s="4">
        <v>46043</v>
      </c>
      <c r="D92" s="3">
        <v>1.96946</v>
      </c>
      <c r="E92" s="3"/>
      <c r="F92" s="3" t="s">
        <v>571</v>
      </c>
      <c r="G92" s="3" t="s">
        <v>548</v>
      </c>
    </row>
    <row r="93" spans="1:7" ht="21" customHeight="1">
      <c r="A93" s="4">
        <v>46044</v>
      </c>
      <c r="B93" s="3">
        <v>3.4630000000000001E-2</v>
      </c>
      <c r="C93" s="4">
        <v>46044</v>
      </c>
      <c r="D93" s="3">
        <v>2.5386500000000001</v>
      </c>
      <c r="E93" s="3"/>
      <c r="F93" s="3" t="s">
        <v>572</v>
      </c>
      <c r="G93" s="3" t="s">
        <v>573</v>
      </c>
    </row>
    <row r="94" spans="1:7" ht="21" customHeight="1">
      <c r="A94" s="4">
        <v>46045</v>
      </c>
      <c r="B94" s="3">
        <v>3.2649999999999998E-2</v>
      </c>
      <c r="C94" s="4">
        <v>46045</v>
      </c>
      <c r="D94" s="3">
        <v>2.7267399999999999</v>
      </c>
      <c r="E94" s="3"/>
      <c r="F94" s="3" t="s">
        <v>574</v>
      </c>
      <c r="G94" s="3" t="s">
        <v>575</v>
      </c>
    </row>
    <row r="95" spans="1:7" ht="21" customHeight="1">
      <c r="A95" s="4">
        <v>46046</v>
      </c>
      <c r="B95" s="3">
        <v>3.5409999999999997E-2</v>
      </c>
      <c r="C95" s="4">
        <v>46046</v>
      </c>
      <c r="D95" s="3">
        <v>3.2794599999999998</v>
      </c>
      <c r="E95" s="3"/>
      <c r="F95" s="3" t="s">
        <v>576</v>
      </c>
      <c r="G95" s="3" t="s">
        <v>550</v>
      </c>
    </row>
    <row r="96" spans="1:7" ht="21" customHeight="1">
      <c r="A96" s="4">
        <v>46047</v>
      </c>
      <c r="B96" s="3">
        <v>3.9079999999999997E-2</v>
      </c>
      <c r="C96" s="4">
        <v>46047</v>
      </c>
      <c r="D96" s="3">
        <v>2.9959600000000002</v>
      </c>
      <c r="E96" s="3"/>
      <c r="F96" s="3" t="s">
        <v>577</v>
      </c>
      <c r="G96" s="3" t="s">
        <v>578</v>
      </c>
    </row>
    <row r="97" spans="1:7" ht="21" customHeight="1">
      <c r="A97" s="4">
        <v>46048</v>
      </c>
      <c r="B97" s="3">
        <v>4.6149999999999997E-2</v>
      </c>
      <c r="C97" s="4">
        <v>46048</v>
      </c>
      <c r="D97" s="3">
        <v>2.6498300000000001</v>
      </c>
      <c r="E97" s="3"/>
      <c r="F97" s="3" t="s">
        <v>579</v>
      </c>
      <c r="G97" s="3" t="s">
        <v>580</v>
      </c>
    </row>
    <row r="98" spans="1:7" ht="21" customHeight="1">
      <c r="A98" s="4">
        <v>46049</v>
      </c>
      <c r="B98" s="3">
        <v>8.9120000000000005E-2</v>
      </c>
      <c r="C98" s="4">
        <v>46049</v>
      </c>
      <c r="D98" s="3">
        <v>3.1516700000000002</v>
      </c>
      <c r="E98" s="3"/>
      <c r="F98" s="3" t="s">
        <v>581</v>
      </c>
      <c r="G98" s="3" t="s">
        <v>582</v>
      </c>
    </row>
    <row r="99" spans="1:7" ht="21" customHeight="1">
      <c r="A99" s="4">
        <v>46050</v>
      </c>
      <c r="B99" s="3">
        <v>9.4640000000000002E-2</v>
      </c>
      <c r="C99" s="4">
        <v>46050</v>
      </c>
      <c r="D99" s="3">
        <v>3.8273100000000002</v>
      </c>
      <c r="E99" s="3"/>
      <c r="F99" s="3" t="s">
        <v>583</v>
      </c>
      <c r="G99" s="3" t="s">
        <v>584</v>
      </c>
    </row>
    <row r="100" spans="1:7" ht="21" customHeight="1">
      <c r="A100" s="4">
        <v>46051</v>
      </c>
      <c r="B100" s="3">
        <v>4.5580000000000002E-2</v>
      </c>
      <c r="C100" s="4">
        <v>46051</v>
      </c>
      <c r="D100" s="3">
        <v>3.4607600000000001</v>
      </c>
      <c r="E100" s="3"/>
      <c r="F100" s="3" t="s">
        <v>585</v>
      </c>
      <c r="G100" s="3" t="s">
        <v>586</v>
      </c>
    </row>
    <row r="101" spans="1:7" ht="21" customHeight="1">
      <c r="A101" s="4">
        <v>46052</v>
      </c>
      <c r="B101" s="3">
        <v>4.0500000000000001E-2</v>
      </c>
      <c r="C101" s="4">
        <v>46052</v>
      </c>
      <c r="D101" s="3">
        <v>4.7328099999999997</v>
      </c>
      <c r="E101" s="3"/>
      <c r="F101" s="3" t="s">
        <v>587</v>
      </c>
      <c r="G101" s="3" t="s">
        <v>414</v>
      </c>
    </row>
    <row r="102" spans="1:7" ht="21" customHeight="1">
      <c r="A102" s="4">
        <v>46053</v>
      </c>
      <c r="B102" s="3">
        <v>4.2549999999999998E-2</v>
      </c>
      <c r="C102" s="4">
        <v>46053</v>
      </c>
      <c r="D102" s="3">
        <v>5.3140200000000002</v>
      </c>
      <c r="E102" s="3"/>
      <c r="F102" s="3" t="s">
        <v>588</v>
      </c>
      <c r="G102" s="3" t="s">
        <v>589</v>
      </c>
    </row>
    <row r="103" spans="1:7" ht="21" customHeight="1">
      <c r="A103" s="4">
        <v>46054</v>
      </c>
      <c r="B103" s="3">
        <v>4.24E-2</v>
      </c>
      <c r="C103" s="4">
        <v>46054</v>
      </c>
      <c r="D103" s="3">
        <v>4.8802500000000002</v>
      </c>
      <c r="E103" s="3"/>
      <c r="F103" s="3" t="s">
        <v>590</v>
      </c>
      <c r="G103" s="3" t="s">
        <v>591</v>
      </c>
    </row>
    <row r="104" spans="1:7" ht="21" customHeight="1">
      <c r="A104" s="4">
        <v>46055</v>
      </c>
      <c r="B104" s="3">
        <v>4.2119999999999998E-2</v>
      </c>
      <c r="C104" s="4">
        <v>46055</v>
      </c>
      <c r="D104" s="3">
        <v>5.3779899999999996</v>
      </c>
      <c r="E104" s="3"/>
      <c r="F104" s="3" t="s">
        <v>592</v>
      </c>
      <c r="G104" s="3" t="s">
        <v>593</v>
      </c>
    </row>
    <row r="105" spans="1:7" ht="21" customHeight="1">
      <c r="A105" s="4">
        <v>46056</v>
      </c>
      <c r="B105" s="3">
        <v>4.0500000000000001E-2</v>
      </c>
      <c r="C105" s="4">
        <v>46056</v>
      </c>
      <c r="D105" s="3">
        <v>6.9134700000000002</v>
      </c>
      <c r="E105" s="3"/>
      <c r="F105" s="3" t="s">
        <v>594</v>
      </c>
      <c r="G105" s="3" t="s">
        <v>595</v>
      </c>
    </row>
    <row r="106" spans="1:7" ht="21" customHeight="1">
      <c r="A106" s="4">
        <v>46057</v>
      </c>
      <c r="B106" s="3">
        <v>3.6540000000000003E-2</v>
      </c>
      <c r="C106" s="4">
        <v>46057</v>
      </c>
      <c r="D106" s="3">
        <v>23.649930000000001</v>
      </c>
      <c r="E106" s="3"/>
      <c r="F106" s="3" t="s">
        <v>596</v>
      </c>
      <c r="G106" s="3" t="s">
        <v>597</v>
      </c>
    </row>
    <row r="107" spans="1:7" ht="21" customHeight="1">
      <c r="A107" s="4">
        <v>46058</v>
      </c>
      <c r="B107" s="3">
        <v>3.993E-2</v>
      </c>
      <c r="C107" s="4">
        <v>46058</v>
      </c>
      <c r="D107" s="3">
        <v>28.005870000000002</v>
      </c>
      <c r="E107" s="3"/>
      <c r="F107" s="3" t="s">
        <v>598</v>
      </c>
      <c r="G107" s="3" t="s">
        <v>599</v>
      </c>
    </row>
    <row r="108" spans="1:7" ht="21" customHeight="1">
      <c r="A108" s="4">
        <v>46059</v>
      </c>
      <c r="B108" s="3">
        <v>4.0140000000000002E-2</v>
      </c>
      <c r="C108" s="4">
        <v>46059</v>
      </c>
      <c r="D108" s="3">
        <v>31.973490000000002</v>
      </c>
      <c r="E108" s="3"/>
      <c r="F108" s="3" t="s">
        <v>600</v>
      </c>
      <c r="G108" s="3" t="s">
        <v>601</v>
      </c>
    </row>
    <row r="109" spans="1:7" ht="21" customHeight="1">
      <c r="A109" s="4">
        <v>46060</v>
      </c>
      <c r="B109" s="3">
        <v>0.04</v>
      </c>
      <c r="C109" s="4">
        <v>46060</v>
      </c>
      <c r="D109" s="3">
        <v>42.076520000000002</v>
      </c>
      <c r="E109" s="3"/>
      <c r="F109" s="3" t="s">
        <v>602</v>
      </c>
      <c r="G109" s="3" t="s">
        <v>603</v>
      </c>
    </row>
    <row r="110" spans="1:7" ht="21" customHeight="1">
      <c r="A110" s="4">
        <v>46061</v>
      </c>
      <c r="B110" s="3">
        <v>3.7670000000000002E-2</v>
      </c>
      <c r="C110" s="4">
        <v>46061</v>
      </c>
      <c r="D110" s="3">
        <v>42.396000000000001</v>
      </c>
      <c r="E110" s="3"/>
      <c r="F110" s="3" t="s">
        <v>604</v>
      </c>
      <c r="G110" s="3" t="s">
        <v>565</v>
      </c>
    </row>
    <row r="111" spans="1:7" ht="21" customHeight="1">
      <c r="A111" s="4">
        <v>46062</v>
      </c>
      <c r="B111" s="3">
        <v>4.113E-2</v>
      </c>
      <c r="C111" s="4">
        <v>46062</v>
      </c>
      <c r="D111" s="3">
        <v>33.878140000000002</v>
      </c>
      <c r="E111" s="3"/>
      <c r="F111" s="3" t="s">
        <v>605</v>
      </c>
      <c r="G111" s="3" t="s">
        <v>606</v>
      </c>
    </row>
    <row r="112" spans="1:7" ht="21" customHeight="1">
      <c r="A112" s="4">
        <v>46063</v>
      </c>
      <c r="B112" s="3">
        <v>0.39906000000000003</v>
      </c>
      <c r="C112" s="4">
        <v>46063</v>
      </c>
      <c r="D112" s="3">
        <v>27.096060000000001</v>
      </c>
      <c r="E112" s="3"/>
      <c r="F112" s="3" t="s">
        <v>607</v>
      </c>
      <c r="G112" s="3" t="s">
        <v>608</v>
      </c>
    </row>
    <row r="113" spans="1:7" ht="21" customHeight="1">
      <c r="A113" s="4">
        <v>46064</v>
      </c>
      <c r="B113" s="3">
        <v>0.32605000000000001</v>
      </c>
      <c r="C113" s="4">
        <v>46064</v>
      </c>
      <c r="D113" s="3">
        <v>26.247109999999999</v>
      </c>
      <c r="E113" s="3"/>
      <c r="F113" s="3" t="s">
        <v>609</v>
      </c>
      <c r="G113" s="3" t="s">
        <v>610</v>
      </c>
    </row>
    <row r="114" spans="1:7" ht="21" customHeight="1">
      <c r="A114" s="4">
        <v>46065</v>
      </c>
      <c r="B114" s="3">
        <v>0.32654</v>
      </c>
      <c r="C114" s="4">
        <v>46065</v>
      </c>
      <c r="D114" s="3">
        <v>26.932009999999998</v>
      </c>
      <c r="E114" s="3"/>
      <c r="F114" s="3" t="s">
        <v>611</v>
      </c>
      <c r="G114" s="3" t="s">
        <v>612</v>
      </c>
    </row>
    <row r="115" spans="1:7" ht="21" customHeight="1">
      <c r="A115" s="4">
        <v>46066</v>
      </c>
      <c r="B115" s="3">
        <v>0.32286999999999999</v>
      </c>
      <c r="C115" s="4">
        <v>46066</v>
      </c>
      <c r="D115" s="3">
        <v>31.881609999999998</v>
      </c>
      <c r="E115" s="3"/>
      <c r="F115" s="3" t="s">
        <v>613</v>
      </c>
      <c r="G115" s="3" t="s">
        <v>614</v>
      </c>
    </row>
    <row r="116" spans="1:7" ht="21" customHeight="1">
      <c r="A116" s="4">
        <v>46067</v>
      </c>
      <c r="B116" s="3">
        <v>0.21881999999999999</v>
      </c>
      <c r="C116" s="4">
        <v>46067</v>
      </c>
      <c r="D116" s="3">
        <v>47.389420000000001</v>
      </c>
      <c r="E116" s="3"/>
      <c r="F116" s="3" t="s">
        <v>615</v>
      </c>
      <c r="G116" s="3" t="s">
        <v>616</v>
      </c>
    </row>
    <row r="117" spans="1:7" ht="21" customHeight="1">
      <c r="A117" s="4">
        <v>46068</v>
      </c>
      <c r="B117" s="3">
        <v>0.17458000000000001</v>
      </c>
      <c r="C117" s="4">
        <v>46068</v>
      </c>
      <c r="D117" s="3">
        <v>56.859929999999999</v>
      </c>
      <c r="E117" s="3"/>
      <c r="F117" s="3" t="s">
        <v>617</v>
      </c>
      <c r="G117" s="3" t="s">
        <v>618</v>
      </c>
    </row>
    <row r="118" spans="1:7" ht="21" customHeight="1">
      <c r="A118" s="4">
        <v>46069</v>
      </c>
      <c r="B118" s="3">
        <v>0.12305000000000001</v>
      </c>
      <c r="C118" s="4">
        <v>46069</v>
      </c>
      <c r="D118" s="3">
        <v>59.408969999999997</v>
      </c>
      <c r="E118" s="3"/>
      <c r="F118" s="3" t="s">
        <v>619</v>
      </c>
      <c r="G118" s="3" t="s">
        <v>620</v>
      </c>
    </row>
    <row r="119" spans="1:7" ht="21" customHeight="1">
      <c r="A119" s="4">
        <v>46070</v>
      </c>
      <c r="B119" s="3">
        <v>0.12051000000000001</v>
      </c>
      <c r="C119" s="4">
        <v>46070</v>
      </c>
      <c r="D119" s="3">
        <v>73.318399999999997</v>
      </c>
      <c r="E119" s="3"/>
      <c r="F119" s="3" t="s">
        <v>621</v>
      </c>
      <c r="G119" s="3" t="s">
        <v>622</v>
      </c>
    </row>
    <row r="120" spans="1:7" ht="21" customHeight="1">
      <c r="A120" s="4">
        <v>46071</v>
      </c>
      <c r="B120" s="3">
        <v>0.13033</v>
      </c>
      <c r="C120" s="4">
        <v>46071</v>
      </c>
      <c r="D120" s="3">
        <v>76.367159999999998</v>
      </c>
      <c r="E120" s="3"/>
      <c r="F120" s="3" t="s">
        <v>623</v>
      </c>
      <c r="G120" s="3" t="s">
        <v>620</v>
      </c>
    </row>
    <row r="121" spans="1:7" ht="21" customHeight="1">
      <c r="A121" s="4">
        <v>46072</v>
      </c>
      <c r="B121" s="3">
        <v>0.13725999999999999</v>
      </c>
      <c r="C121" s="4">
        <v>46072</v>
      </c>
      <c r="D121" s="3">
        <v>57.686680000000003</v>
      </c>
      <c r="E121" s="3"/>
      <c r="F121" s="3" t="s">
        <v>624</v>
      </c>
      <c r="G121" s="3" t="s">
        <v>625</v>
      </c>
    </row>
    <row r="122" spans="1:7" ht="21" customHeight="1">
      <c r="A122" s="4">
        <v>46073</v>
      </c>
      <c r="B122" s="3">
        <v>0.13245000000000001</v>
      </c>
      <c r="C122" s="4">
        <v>46073</v>
      </c>
      <c r="D122" s="3">
        <v>51.397039999999997</v>
      </c>
      <c r="E122" s="3"/>
      <c r="F122" s="3" t="s">
        <v>626</v>
      </c>
      <c r="G122" s="3" t="s">
        <v>627</v>
      </c>
    </row>
    <row r="123" spans="1:7" ht="21" customHeight="1">
      <c r="A123" s="4">
        <v>46074</v>
      </c>
      <c r="B123" s="3">
        <v>0.12573999999999999</v>
      </c>
      <c r="C123" s="4">
        <v>46074</v>
      </c>
      <c r="D123" s="3">
        <v>63.29898</v>
      </c>
      <c r="E123" s="3"/>
      <c r="F123" s="3" t="s">
        <v>628</v>
      </c>
      <c r="G123" s="3" t="s">
        <v>629</v>
      </c>
    </row>
    <row r="124" spans="1:7" ht="21" customHeight="1">
      <c r="A124" s="4">
        <v>46075</v>
      </c>
      <c r="B124" s="3">
        <v>0.12842000000000001</v>
      </c>
      <c r="C124" s="4">
        <v>46075</v>
      </c>
      <c r="D124" s="3">
        <v>65.058729999999997</v>
      </c>
      <c r="E124" s="3"/>
      <c r="F124" s="3" t="s">
        <v>630</v>
      </c>
      <c r="G124" s="3" t="s">
        <v>631</v>
      </c>
    </row>
    <row r="125" spans="1:7" ht="21" customHeight="1">
      <c r="A125" s="4">
        <v>46076</v>
      </c>
      <c r="B125" s="3">
        <v>0.12439</v>
      </c>
      <c r="C125" s="4">
        <v>46076</v>
      </c>
      <c r="D125" s="3">
        <v>52.528930000000003</v>
      </c>
      <c r="E125" s="3"/>
      <c r="F125" s="3" t="s">
        <v>632</v>
      </c>
      <c r="G125" s="3" t="s">
        <v>633</v>
      </c>
    </row>
    <row r="126" spans="1:7" ht="21" customHeight="1">
      <c r="A126" s="4">
        <v>46077</v>
      </c>
      <c r="B126" s="3">
        <v>0.20426</v>
      </c>
      <c r="C126" s="4">
        <v>46077</v>
      </c>
      <c r="D126" s="3">
        <v>46.181550000000001</v>
      </c>
      <c r="E126" s="3"/>
      <c r="F126" s="3" t="s">
        <v>634</v>
      </c>
      <c r="G126" s="3" t="s">
        <v>635</v>
      </c>
    </row>
    <row r="127" spans="1:7" ht="21" customHeight="1">
      <c r="A127" s="4">
        <v>46078</v>
      </c>
      <c r="B127" s="3">
        <v>0.16822000000000001</v>
      </c>
      <c r="C127" s="4">
        <v>46078</v>
      </c>
      <c r="D127" s="3">
        <v>48.111989999999999</v>
      </c>
      <c r="E127" s="3"/>
      <c r="F127" s="3" t="s">
        <v>636</v>
      </c>
      <c r="G127" s="3" t="s">
        <v>637</v>
      </c>
    </row>
    <row r="128" spans="1:7" ht="21" customHeight="1">
      <c r="A128" s="4">
        <v>46079</v>
      </c>
      <c r="B128" s="3">
        <v>0.14602000000000001</v>
      </c>
      <c r="C128" s="4">
        <v>46079</v>
      </c>
      <c r="D128" s="3">
        <v>47.294989999999999</v>
      </c>
      <c r="E128" s="3"/>
      <c r="F128" s="3" t="s">
        <v>638</v>
      </c>
      <c r="G128" s="3" t="s">
        <v>639</v>
      </c>
    </row>
    <row r="129" spans="1:7" ht="21" customHeight="1">
      <c r="A129" s="4">
        <v>46080</v>
      </c>
      <c r="B129" s="3">
        <v>0.25868999999999998</v>
      </c>
      <c r="C129" s="4">
        <v>46080</v>
      </c>
      <c r="D129" s="3">
        <v>50.709739999999996</v>
      </c>
      <c r="E129" s="3"/>
      <c r="F129" s="3" t="s">
        <v>640</v>
      </c>
      <c r="G129" s="3" t="s">
        <v>641</v>
      </c>
    </row>
    <row r="130" spans="1:7" ht="21" customHeight="1">
      <c r="A130" s="4">
        <v>46081</v>
      </c>
      <c r="B130" s="3">
        <v>0.35524</v>
      </c>
      <c r="C130" s="4">
        <v>46081</v>
      </c>
      <c r="D130" s="3">
        <v>67.125380000000007</v>
      </c>
      <c r="E130" s="3"/>
      <c r="F130" s="3" t="s">
        <v>642</v>
      </c>
      <c r="G130" s="3" t="s">
        <v>643</v>
      </c>
    </row>
    <row r="131" spans="1:7" ht="21" customHeight="1">
      <c r="A131" s="4">
        <v>46082</v>
      </c>
      <c r="B131" s="3">
        <v>0.24809</v>
      </c>
      <c r="C131" s="4">
        <v>46082</v>
      </c>
      <c r="D131" s="3">
        <v>87.574169999999995</v>
      </c>
      <c r="E131" s="3"/>
      <c r="F131" s="3" t="s">
        <v>644</v>
      </c>
      <c r="G131" s="3" t="s">
        <v>645</v>
      </c>
    </row>
    <row r="132" spans="1:7" ht="21" customHeight="1">
      <c r="A132" s="4">
        <v>46083</v>
      </c>
      <c r="B132" s="3">
        <v>0.21854000000000001</v>
      </c>
      <c r="C132" s="4">
        <v>46083</v>
      </c>
      <c r="D132" s="3">
        <v>100</v>
      </c>
      <c r="E132" s="3"/>
      <c r="F132" s="3" t="s">
        <v>646</v>
      </c>
      <c r="G132" s="3" t="s">
        <v>647</v>
      </c>
    </row>
    <row r="133" spans="1:7" ht="21" customHeight="1">
      <c r="A133" s="4">
        <v>46084</v>
      </c>
      <c r="B133" s="3">
        <v>0.20072999999999999</v>
      </c>
      <c r="C133" s="4">
        <v>46084</v>
      </c>
      <c r="D133" s="3">
        <v>74.760300000000001</v>
      </c>
      <c r="E133" s="3"/>
      <c r="F133" s="3" t="s">
        <v>648</v>
      </c>
      <c r="G133" s="3" t="s">
        <v>649</v>
      </c>
    </row>
    <row r="134" spans="1:7" ht="21" customHeight="1">
      <c r="A134" s="4">
        <v>46085</v>
      </c>
      <c r="B134" s="3">
        <v>0.76666999999999996</v>
      </c>
      <c r="C134" s="4">
        <v>46085</v>
      </c>
      <c r="D134" s="3">
        <v>71.067419999999998</v>
      </c>
      <c r="E134" s="3"/>
      <c r="F134" s="3" t="s">
        <v>650</v>
      </c>
      <c r="G134" s="3" t="s">
        <v>651</v>
      </c>
    </row>
    <row r="135" spans="1:7" ht="21" customHeight="1">
      <c r="A135" s="4">
        <v>46086</v>
      </c>
      <c r="B135" s="3">
        <v>0.44330999999999998</v>
      </c>
      <c r="C135" s="4">
        <v>46086</v>
      </c>
      <c r="D135" s="3">
        <v>71.803629999999998</v>
      </c>
      <c r="E135" s="3"/>
      <c r="F135" s="3" t="s">
        <v>652</v>
      </c>
      <c r="G135" s="3" t="s">
        <v>653</v>
      </c>
    </row>
    <row r="136" spans="1:7" ht="21" customHeight="1">
      <c r="A136" s="4">
        <v>46087</v>
      </c>
      <c r="B136" s="3">
        <v>0.49052000000000001</v>
      </c>
      <c r="C136" s="4">
        <v>46087</v>
      </c>
      <c r="D136" s="3">
        <v>82.477059999999994</v>
      </c>
      <c r="E136" s="3"/>
      <c r="F136" s="3" t="s">
        <v>654</v>
      </c>
      <c r="G136" s="3" t="s">
        <v>655</v>
      </c>
    </row>
    <row r="137" spans="1:7" ht="21" customHeight="1">
      <c r="A137" s="4">
        <v>46088</v>
      </c>
      <c r="B137" s="3">
        <v>0.40366000000000002</v>
      </c>
      <c r="C137" s="4">
        <v>46088</v>
      </c>
      <c r="D137" s="3">
        <v>79.691509999999994</v>
      </c>
      <c r="E137" s="3"/>
      <c r="F137" s="3" t="s">
        <v>656</v>
      </c>
      <c r="G137" s="3" t="s">
        <v>657</v>
      </c>
    </row>
    <row r="138" spans="1:7" ht="21" customHeight="1">
      <c r="A138" s="4">
        <v>46089</v>
      </c>
      <c r="B138" s="3">
        <v>0.36732999999999999</v>
      </c>
      <c r="C138" s="4">
        <v>46089</v>
      </c>
      <c r="D138" s="3">
        <v>56.90184</v>
      </c>
      <c r="E138" s="3"/>
      <c r="F138" s="3" t="s">
        <v>658</v>
      </c>
      <c r="G138" s="3" t="s">
        <v>659</v>
      </c>
    </row>
    <row r="139" spans="1:7" ht="21" customHeight="1">
      <c r="A139" s="4">
        <v>46090</v>
      </c>
      <c r="B139" s="3">
        <v>0.33100000000000002</v>
      </c>
      <c r="C139" s="4">
        <v>46090</v>
      </c>
      <c r="D139" s="3">
        <v>39.454039999999999</v>
      </c>
      <c r="E139" s="3"/>
      <c r="F139" s="3" t="s">
        <v>660</v>
      </c>
      <c r="G139" s="3" t="s">
        <v>661</v>
      </c>
    </row>
    <row r="140" spans="1:7" ht="21" customHeight="1">
      <c r="A140" s="4">
        <v>46091</v>
      </c>
      <c r="B140" s="3">
        <v>0.40407999999999999</v>
      </c>
      <c r="C140" s="4">
        <v>46091</v>
      </c>
      <c r="D140" s="3">
        <v>30.620509999999999</v>
      </c>
      <c r="E140" s="3"/>
      <c r="F140" s="3" t="s">
        <v>662</v>
      </c>
      <c r="G140" s="3" t="s">
        <v>663</v>
      </c>
    </row>
    <row r="141" spans="1:7" ht="21" customHeight="1">
      <c r="A141" s="4">
        <v>46092</v>
      </c>
      <c r="B141" s="3">
        <v>0.44988</v>
      </c>
      <c r="C141" s="4">
        <v>46092</v>
      </c>
      <c r="D141" s="3">
        <v>28.369240000000001</v>
      </c>
      <c r="E141" s="3"/>
      <c r="F141" s="3" t="s">
        <v>664</v>
      </c>
      <c r="G141" s="3" t="s">
        <v>665</v>
      </c>
    </row>
    <row r="142" spans="1:7" ht="21" customHeight="1">
      <c r="A142" s="4">
        <v>46093</v>
      </c>
      <c r="B142" s="3">
        <v>0.38705000000000001</v>
      </c>
      <c r="C142" s="4">
        <v>46093</v>
      </c>
      <c r="D142" s="3">
        <v>26.77291</v>
      </c>
      <c r="E142" s="3"/>
      <c r="F142" s="3" t="s">
        <v>666</v>
      </c>
      <c r="G142" s="3" t="s">
        <v>667</v>
      </c>
    </row>
    <row r="143" spans="1:7" ht="21" customHeight="1">
      <c r="A143" s="4">
        <v>46094</v>
      </c>
      <c r="B143" s="3">
        <v>0.58028999999999997</v>
      </c>
      <c r="C143" s="4">
        <v>46094</v>
      </c>
      <c r="D143" s="3">
        <v>28.730139999999999</v>
      </c>
      <c r="E143" s="3"/>
      <c r="F143" s="3" t="s">
        <v>668</v>
      </c>
      <c r="G143" s="3" t="s">
        <v>669</v>
      </c>
    </row>
    <row r="144" spans="1:7" ht="21" customHeight="1">
      <c r="A144" s="4">
        <v>46095</v>
      </c>
      <c r="B144" s="3">
        <v>0.53003</v>
      </c>
      <c r="C144" s="4">
        <v>46095</v>
      </c>
      <c r="D144" s="3">
        <v>39.138019999999997</v>
      </c>
      <c r="E144" s="3"/>
      <c r="F144" s="3" t="s">
        <v>670</v>
      </c>
      <c r="G144" s="3" t="s">
        <v>671</v>
      </c>
    </row>
    <row r="145" spans="1:7" ht="21" customHeight="1">
      <c r="A145" s="4">
        <v>46096</v>
      </c>
      <c r="B145" s="3">
        <v>0.47271000000000002</v>
      </c>
      <c r="C145" s="4">
        <v>46096</v>
      </c>
      <c r="D145" s="3">
        <v>39.28631</v>
      </c>
      <c r="E145" s="3"/>
      <c r="F145" s="3" t="s">
        <v>672</v>
      </c>
      <c r="G145" s="3" t="s">
        <v>673</v>
      </c>
    </row>
    <row r="146" spans="1:7" ht="21" customHeight="1">
      <c r="A146" s="4">
        <v>46097</v>
      </c>
      <c r="B146" s="3">
        <v>0.37898999999999999</v>
      </c>
      <c r="C146" s="4">
        <v>46097</v>
      </c>
      <c r="D146" s="3">
        <v>27.524889999999999</v>
      </c>
      <c r="E146" s="3"/>
      <c r="F146" s="3" t="s">
        <v>674</v>
      </c>
      <c r="G146" s="3" t="s">
        <v>675</v>
      </c>
    </row>
    <row r="147" spans="1:7" ht="21" customHeight="1">
      <c r="A147" s="4">
        <v>46098</v>
      </c>
      <c r="B147" s="3">
        <v>0.34308</v>
      </c>
      <c r="C147" s="4">
        <v>46098</v>
      </c>
      <c r="D147" s="3">
        <v>23.402550000000002</v>
      </c>
      <c r="E147" s="3"/>
      <c r="F147" s="3" t="s">
        <v>676</v>
      </c>
      <c r="G147" s="3" t="s">
        <v>677</v>
      </c>
    </row>
    <row r="148" spans="1:7" ht="21" customHeight="1">
      <c r="A148" s="4">
        <v>46099</v>
      </c>
      <c r="B148" s="3">
        <v>0.45284999999999997</v>
      </c>
      <c r="C148" s="4">
        <v>46099</v>
      </c>
      <c r="D148" s="3">
        <v>25.498950000000001</v>
      </c>
      <c r="E148" s="3"/>
      <c r="F148" s="3" t="s">
        <v>678</v>
      </c>
      <c r="G148" s="3" t="s">
        <v>679</v>
      </c>
    </row>
    <row r="149" spans="1:7" ht="21" customHeight="1">
      <c r="A149" s="4">
        <v>46100</v>
      </c>
      <c r="B149" s="3">
        <v>0.59972999999999999</v>
      </c>
      <c r="C149" s="4">
        <v>46100</v>
      </c>
      <c r="D149" s="3">
        <v>25.04327</v>
      </c>
      <c r="E149" s="3"/>
      <c r="F149" s="3" t="s">
        <v>680</v>
      </c>
      <c r="G149" s="3" t="s">
        <v>681</v>
      </c>
    </row>
    <row r="150" spans="1:7" ht="21" customHeight="1">
      <c r="A150" s="4">
        <v>46101</v>
      </c>
      <c r="B150" s="3">
        <v>0.65097000000000005</v>
      </c>
      <c r="C150" s="4">
        <v>46101</v>
      </c>
      <c r="D150" s="3">
        <v>25.653390000000002</v>
      </c>
      <c r="E150" s="3"/>
      <c r="F150" s="3" t="s">
        <v>682</v>
      </c>
      <c r="G150" s="3" t="s">
        <v>683</v>
      </c>
    </row>
    <row r="151" spans="1:7" ht="21" customHeight="1">
      <c r="A151" s="4">
        <v>46102</v>
      </c>
      <c r="B151" s="3">
        <v>1.07647</v>
      </c>
      <c r="C151" s="4">
        <v>46102</v>
      </c>
      <c r="D151" s="3">
        <v>30.572099999999999</v>
      </c>
      <c r="E151" s="3"/>
      <c r="F151" s="3" t="s">
        <v>684</v>
      </c>
      <c r="G151" s="3" t="s">
        <v>685</v>
      </c>
    </row>
    <row r="152" spans="1:7" ht="21" customHeight="1">
      <c r="A152" s="4">
        <v>46103</v>
      </c>
      <c r="B152" s="3">
        <v>1.22045</v>
      </c>
      <c r="C152" s="4">
        <v>46103</v>
      </c>
      <c r="D152" s="3">
        <v>31.382459999999998</v>
      </c>
      <c r="E152" s="3"/>
      <c r="F152" s="3" t="s">
        <v>686</v>
      </c>
      <c r="G152" s="3" t="s">
        <v>687</v>
      </c>
    </row>
    <row r="153" spans="1:7" ht="21" customHeight="1">
      <c r="A153" s="4">
        <v>46104</v>
      </c>
      <c r="B153" s="3">
        <v>0.92266999999999999</v>
      </c>
      <c r="C153" s="4">
        <v>46104</v>
      </c>
      <c r="D153" s="3">
        <v>23.91067</v>
      </c>
      <c r="E153" s="3"/>
      <c r="F153" s="3" t="s">
        <v>688</v>
      </c>
      <c r="G153" s="3" t="s">
        <v>689</v>
      </c>
    </row>
    <row r="154" spans="1:7" ht="21" customHeight="1">
      <c r="A154" s="4">
        <v>46105</v>
      </c>
      <c r="B154" s="3">
        <v>1.39114</v>
      </c>
      <c r="C154" s="4">
        <v>46105</v>
      </c>
      <c r="D154" s="3">
        <v>19.74522</v>
      </c>
      <c r="E154" s="3"/>
      <c r="F154" s="3" t="s">
        <v>690</v>
      </c>
      <c r="G154" s="3" t="s">
        <v>691</v>
      </c>
    </row>
    <row r="155" spans="1:7" ht="21" customHeight="1">
      <c r="A155" s="4">
        <v>46106</v>
      </c>
      <c r="B155" s="3">
        <v>1.9013199999999999</v>
      </c>
      <c r="C155" s="4">
        <v>46106</v>
      </c>
      <c r="D155" s="3">
        <v>21.614879999999999</v>
      </c>
      <c r="E155" s="3"/>
      <c r="F155" s="3" t="s">
        <v>692</v>
      </c>
      <c r="G155" s="3" t="s">
        <v>693</v>
      </c>
    </row>
    <row r="156" spans="1:7" ht="21" customHeight="1">
      <c r="A156" s="4">
        <v>46107</v>
      </c>
      <c r="B156" s="3">
        <v>1.2421500000000001</v>
      </c>
      <c r="C156" s="4">
        <v>46107</v>
      </c>
      <c r="D156" s="3">
        <v>18.570419999999999</v>
      </c>
      <c r="E156" s="3"/>
      <c r="F156" s="3" t="s">
        <v>694</v>
      </c>
      <c r="G156" s="3" t="s">
        <v>695</v>
      </c>
    </row>
    <row r="157" spans="1:7" ht="21" customHeight="1">
      <c r="A157" s="4">
        <v>46108</v>
      </c>
      <c r="B157" s="3">
        <v>1.5585199999999999</v>
      </c>
      <c r="C157" s="4">
        <v>46108</v>
      </c>
      <c r="D157" s="3">
        <v>16.723669999999998</v>
      </c>
      <c r="E157" s="3"/>
      <c r="F157" s="3" t="s">
        <v>696</v>
      </c>
      <c r="G157" s="3" t="s">
        <v>697</v>
      </c>
    </row>
    <row r="158" spans="1:7" ht="21" customHeight="1">
      <c r="A158" s="4">
        <v>46109</v>
      </c>
      <c r="B158" s="3">
        <v>2.8555199999999998</v>
      </c>
      <c r="C158" s="4">
        <v>46109</v>
      </c>
      <c r="D158" s="3">
        <v>21.329319999999999</v>
      </c>
      <c r="E158" s="3"/>
      <c r="F158" s="3" t="s">
        <v>698</v>
      </c>
      <c r="G158" s="3" t="s">
        <v>699</v>
      </c>
    </row>
    <row r="159" spans="1:7" ht="21" customHeight="1">
      <c r="A159" s="4">
        <v>46110</v>
      </c>
      <c r="B159" s="3">
        <v>2.4416799999999999</v>
      </c>
      <c r="C159" s="4">
        <v>46110</v>
      </c>
      <c r="D159" s="3">
        <v>20.661950000000001</v>
      </c>
      <c r="E159" s="3"/>
      <c r="F159" s="3" t="s">
        <v>700</v>
      </c>
      <c r="G159" s="3" t="s">
        <v>701</v>
      </c>
    </row>
    <row r="160" spans="1:7" ht="21" customHeight="1">
      <c r="A160" s="4">
        <v>46111</v>
      </c>
      <c r="B160" s="3">
        <v>3.0401400000000001</v>
      </c>
      <c r="C160" s="4">
        <v>46111</v>
      </c>
      <c r="D160" s="3">
        <v>16.503990000000002</v>
      </c>
      <c r="E160" s="3"/>
      <c r="F160" s="3" t="s">
        <v>702</v>
      </c>
      <c r="G160" s="3" t="s">
        <v>703</v>
      </c>
    </row>
    <row r="161" spans="1:7" ht="21" customHeight="1">
      <c r="A161" s="4">
        <v>46112</v>
      </c>
      <c r="B161" s="3">
        <v>4.0430299999999999</v>
      </c>
      <c r="C161" s="4">
        <v>46112</v>
      </c>
      <c r="D161" s="3">
        <v>13.79358</v>
      </c>
      <c r="E161" s="3"/>
      <c r="F161" s="3" t="s">
        <v>704</v>
      </c>
      <c r="G161" s="3" t="s">
        <v>705</v>
      </c>
    </row>
    <row r="162" spans="1:7" ht="21" customHeight="1">
      <c r="A162" s="4">
        <v>46113</v>
      </c>
      <c r="B162" s="3">
        <v>3.28851</v>
      </c>
      <c r="C162" s="4">
        <v>46113</v>
      </c>
      <c r="D162" s="3">
        <v>13.5464</v>
      </c>
      <c r="E162" s="3"/>
      <c r="F162" s="3" t="s">
        <v>706</v>
      </c>
      <c r="G162" s="3" t="s">
        <v>707</v>
      </c>
    </row>
    <row r="163" spans="1:7" ht="21" customHeight="1">
      <c r="A163" s="4">
        <v>46114</v>
      </c>
      <c r="B163" s="3">
        <v>2.8704999999999998</v>
      </c>
      <c r="C163" s="4">
        <v>46114</v>
      </c>
      <c r="D163" s="3">
        <v>12.698869999999999</v>
      </c>
      <c r="E163" s="3"/>
      <c r="F163" s="3" t="s">
        <v>708</v>
      </c>
      <c r="G163" s="3" t="s">
        <v>709</v>
      </c>
    </row>
    <row r="164" spans="1:7" ht="21" customHeight="1">
      <c r="A164" s="4">
        <v>46115</v>
      </c>
      <c r="B164" s="3">
        <v>2.8754499999999998</v>
      </c>
      <c r="C164" s="4">
        <v>46115</v>
      </c>
      <c r="D164" s="3">
        <v>14.10712</v>
      </c>
      <c r="E164" s="3"/>
      <c r="F164" s="3" t="s">
        <v>710</v>
      </c>
      <c r="G164" s="3" t="s">
        <v>711</v>
      </c>
    </row>
    <row r="165" spans="1:7" ht="21" customHeight="1">
      <c r="A165" s="4">
        <v>46116</v>
      </c>
      <c r="B165" s="3">
        <v>4.19895</v>
      </c>
      <c r="C165" s="4">
        <v>46116</v>
      </c>
      <c r="D165" s="3">
        <v>17.050640000000001</v>
      </c>
      <c r="E165" s="3"/>
      <c r="F165" s="3" t="s">
        <v>712</v>
      </c>
      <c r="G165" s="3" t="s">
        <v>713</v>
      </c>
    </row>
    <row r="166" spans="1:7" ht="21" customHeight="1">
      <c r="A166" s="4">
        <v>46117</v>
      </c>
      <c r="B166" s="3">
        <v>4.3880299999999997</v>
      </c>
      <c r="C166" s="4">
        <v>46117</v>
      </c>
      <c r="D166" s="3">
        <v>17.67362</v>
      </c>
      <c r="E166" s="3"/>
      <c r="F166" s="3" t="s">
        <v>714</v>
      </c>
      <c r="G166" s="3" t="s">
        <v>715</v>
      </c>
    </row>
    <row r="167" spans="1:7" ht="21" customHeight="1">
      <c r="A167" s="4">
        <v>46118</v>
      </c>
      <c r="B167" s="3">
        <v>5.8333899999999996</v>
      </c>
      <c r="C167" s="4">
        <v>46118</v>
      </c>
      <c r="D167" s="3">
        <v>13.68225</v>
      </c>
      <c r="E167" s="3"/>
      <c r="F167" s="3" t="s">
        <v>716</v>
      </c>
      <c r="G167" s="3" t="s">
        <v>717</v>
      </c>
    </row>
    <row r="168" spans="1:7" ht="21" customHeight="1">
      <c r="A168" s="4">
        <v>46119</v>
      </c>
      <c r="B168" s="3">
        <v>5.69238</v>
      </c>
      <c r="C168" s="4">
        <v>46119</v>
      </c>
      <c r="D168" s="3">
        <v>11.29068</v>
      </c>
      <c r="E168" s="3"/>
      <c r="F168" s="3" t="s">
        <v>718</v>
      </c>
      <c r="G168" s="3" t="s">
        <v>719</v>
      </c>
    </row>
    <row r="169" spans="1:7" ht="21" customHeight="1">
      <c r="A169" s="4">
        <v>46120</v>
      </c>
      <c r="B169" s="3">
        <v>12.675330000000001</v>
      </c>
      <c r="C169" s="4">
        <v>46120</v>
      </c>
      <c r="D169" s="3">
        <v>11.31973</v>
      </c>
      <c r="E169" s="3"/>
      <c r="F169" s="3" t="s">
        <v>720</v>
      </c>
      <c r="G169" s="3" t="s">
        <v>721</v>
      </c>
    </row>
    <row r="170" spans="1:7" ht="21" customHeight="1">
      <c r="A170" s="4">
        <v>46121</v>
      </c>
      <c r="B170" s="3">
        <v>18.14676</v>
      </c>
      <c r="C170" s="4">
        <v>46121</v>
      </c>
      <c r="D170" s="3">
        <v>12.225020000000001</v>
      </c>
      <c r="E170" s="3"/>
      <c r="F170" s="3" t="s">
        <v>722</v>
      </c>
      <c r="G170" s="3" t="s">
        <v>723</v>
      </c>
    </row>
    <row r="171" spans="1:7" ht="21" customHeight="1">
      <c r="A171" s="4">
        <v>46122</v>
      </c>
      <c r="B171" s="3">
        <v>19.359300000000001</v>
      </c>
      <c r="C171" s="4">
        <v>46122</v>
      </c>
      <c r="D171" s="3">
        <v>12.56598</v>
      </c>
      <c r="E171" s="3"/>
      <c r="F171" s="3" t="s">
        <v>724</v>
      </c>
      <c r="G171" s="3" t="s">
        <v>725</v>
      </c>
    </row>
    <row r="172" spans="1:7" ht="21" customHeight="1">
      <c r="A172" s="4">
        <v>46123</v>
      </c>
      <c r="B172" s="3">
        <v>24.88466</v>
      </c>
      <c r="C172" s="4">
        <v>46123</v>
      </c>
      <c r="D172" s="3">
        <v>16.567810000000001</v>
      </c>
      <c r="E172" s="3"/>
      <c r="F172" s="3" t="s">
        <v>726</v>
      </c>
      <c r="G172" s="3" t="s">
        <v>727</v>
      </c>
    </row>
    <row r="173" spans="1:7" ht="21" customHeight="1">
      <c r="A173" s="4">
        <v>46124</v>
      </c>
      <c r="B173" s="3">
        <v>25.795459999999999</v>
      </c>
      <c r="C173" s="4">
        <v>46124</v>
      </c>
      <c r="D173" s="3">
        <v>12.862069999999999</v>
      </c>
      <c r="E173" s="3"/>
      <c r="F173" s="3" t="s">
        <v>728</v>
      </c>
      <c r="G173" s="3" t="s">
        <v>729</v>
      </c>
    </row>
    <row r="174" spans="1:7" ht="21" customHeight="1">
      <c r="A174" s="4">
        <v>46125</v>
      </c>
      <c r="B174" s="3">
        <v>26.217639999999999</v>
      </c>
      <c r="C174" s="4">
        <v>46125</v>
      </c>
      <c r="D174" s="3">
        <v>10.19364</v>
      </c>
      <c r="E174" s="3"/>
      <c r="F174" s="3" t="s">
        <v>730</v>
      </c>
      <c r="G174" s="3" t="s">
        <v>731</v>
      </c>
    </row>
    <row r="175" spans="1:7" ht="21" customHeight="1">
      <c r="A175" s="4">
        <v>46126</v>
      </c>
      <c r="B175" s="3">
        <v>21.197790000000001</v>
      </c>
      <c r="C175" s="4">
        <v>46126</v>
      </c>
      <c r="D175" s="3">
        <v>8.7196499999999997</v>
      </c>
      <c r="E175" s="3"/>
      <c r="F175" s="3" t="s">
        <v>732</v>
      </c>
      <c r="G175" s="3" t="s">
        <v>733</v>
      </c>
    </row>
    <row r="176" spans="1:7" ht="21" customHeight="1">
      <c r="A176" s="4">
        <v>46127</v>
      </c>
      <c r="B176" s="3">
        <v>19.442419999999998</v>
      </c>
      <c r="C176" s="4">
        <v>46127</v>
      </c>
      <c r="D176" s="3">
        <v>8.2273599999999991</v>
      </c>
      <c r="E176" s="3"/>
      <c r="F176" s="3" t="s">
        <v>734</v>
      </c>
      <c r="G176" s="3" t="s">
        <v>735</v>
      </c>
    </row>
    <row r="177" spans="1:7" ht="21" customHeight="1">
      <c r="A177" s="4">
        <v>46128</v>
      </c>
      <c r="B177" s="3">
        <v>16.309259999999998</v>
      </c>
      <c r="C177" s="4">
        <v>46128</v>
      </c>
      <c r="D177" s="3">
        <v>8.2129399999999997</v>
      </c>
      <c r="E177" s="3"/>
      <c r="F177" s="3" t="s">
        <v>736</v>
      </c>
      <c r="G177" s="3" t="s">
        <v>737</v>
      </c>
    </row>
    <row r="178" spans="1:7" ht="21" customHeight="1">
      <c r="A178" s="4">
        <v>46129</v>
      </c>
      <c r="B178" s="3">
        <v>19.141459999999999</v>
      </c>
      <c r="C178" s="4">
        <v>46129</v>
      </c>
      <c r="D178" s="3">
        <v>8.5869099999999996</v>
      </c>
      <c r="E178" s="3"/>
      <c r="F178" s="3" t="s">
        <v>738</v>
      </c>
      <c r="G178" s="3" t="s">
        <v>739</v>
      </c>
    </row>
    <row r="179" spans="1:7" ht="21" customHeight="1">
      <c r="A179" s="4">
        <v>46130</v>
      </c>
      <c r="B179" s="3">
        <v>20.221959999999999</v>
      </c>
      <c r="C179" s="4">
        <v>46130</v>
      </c>
      <c r="D179" s="3">
        <v>9.5969499999999996</v>
      </c>
      <c r="E179" s="3"/>
      <c r="F179" s="3" t="s">
        <v>740</v>
      </c>
      <c r="G179" s="3" t="s">
        <v>741</v>
      </c>
    </row>
    <row r="180" spans="1:7" ht="21" customHeight="1">
      <c r="A180" s="4">
        <v>46131</v>
      </c>
      <c r="B180" s="3">
        <v>17.358450000000001</v>
      </c>
      <c r="C180" s="4">
        <v>46131</v>
      </c>
      <c r="D180" s="3">
        <v>8.95594</v>
      </c>
      <c r="E180" s="3"/>
      <c r="F180" s="3" t="s">
        <v>742</v>
      </c>
      <c r="G180" s="3" t="s">
        <v>743</v>
      </c>
    </row>
    <row r="181" spans="1:7" ht="21" customHeight="1">
      <c r="A181" s="4">
        <v>46132</v>
      </c>
      <c r="B181" s="3">
        <v>13.340009999999999</v>
      </c>
      <c r="C181" s="4">
        <v>46132</v>
      </c>
      <c r="D181" s="3">
        <v>7.3948099999999997</v>
      </c>
      <c r="E181" s="3"/>
      <c r="F181" s="3" t="s">
        <v>744</v>
      </c>
      <c r="G181" s="3" t="s">
        <v>745</v>
      </c>
    </row>
    <row r="182" spans="1:7" ht="21" customHeight="1">
      <c r="A182" s="4">
        <v>46133</v>
      </c>
      <c r="B182" s="3">
        <v>10.154059999999999</v>
      </c>
      <c r="C182" s="4">
        <v>46133</v>
      </c>
      <c r="D182" s="3">
        <v>6.5754000000000001</v>
      </c>
      <c r="E182" s="3"/>
      <c r="F182" s="3" t="s">
        <v>746</v>
      </c>
      <c r="G182" s="3" t="s">
        <v>747</v>
      </c>
    </row>
    <row r="183" spans="1:7" ht="21" customHeight="1">
      <c r="A183" s="4">
        <v>46134</v>
      </c>
      <c r="B183" s="3">
        <v>10.277749999999999</v>
      </c>
      <c r="C183" s="4">
        <v>46134</v>
      </c>
      <c r="D183" s="3">
        <v>7.1036000000000001</v>
      </c>
      <c r="E183" s="3"/>
      <c r="F183" s="3" t="s">
        <v>748</v>
      </c>
      <c r="G183" s="3" t="s">
        <v>749</v>
      </c>
    </row>
    <row r="184" spans="1:7" ht="21" customHeight="1">
      <c r="A184" s="4">
        <v>46135</v>
      </c>
      <c r="B184" s="3">
        <v>9.5081000000000007</v>
      </c>
      <c r="C184" s="4">
        <v>46135</v>
      </c>
      <c r="D184" s="3">
        <v>6.4146700000000001</v>
      </c>
      <c r="E184" s="3"/>
      <c r="F184" s="3" t="s">
        <v>750</v>
      </c>
      <c r="G184" s="3" t="s">
        <v>751</v>
      </c>
    </row>
    <row r="185" spans="1:7" ht="21" customHeight="1">
      <c r="A185" s="4">
        <v>46136</v>
      </c>
      <c r="B185" s="3">
        <v>10.5421</v>
      </c>
      <c r="C185" s="4">
        <v>46136</v>
      </c>
      <c r="D185" s="3">
        <v>6.8841999999999999</v>
      </c>
      <c r="E185" s="3"/>
      <c r="F185" s="3" t="s">
        <v>752</v>
      </c>
      <c r="G185" s="3" t="s">
        <v>753</v>
      </c>
    </row>
    <row r="186" spans="1:7" ht="21" customHeight="1">
      <c r="A186" s="4">
        <v>46137</v>
      </c>
      <c r="B186" s="3">
        <v>13.21116</v>
      </c>
      <c r="C186" s="4">
        <v>46137</v>
      </c>
      <c r="D186" s="3">
        <v>8.4806799999999996</v>
      </c>
      <c r="E186" s="3"/>
      <c r="F186" s="3" t="s">
        <v>754</v>
      </c>
      <c r="G186" s="3" t="s">
        <v>755</v>
      </c>
    </row>
    <row r="187" spans="1:7" ht="21" customHeight="1">
      <c r="A187" s="4">
        <v>46138</v>
      </c>
      <c r="B187" s="3">
        <v>11.087260000000001</v>
      </c>
      <c r="C187" s="4">
        <v>46138</v>
      </c>
      <c r="D187" s="3">
        <v>7.5165899999999999</v>
      </c>
      <c r="E187" s="3"/>
      <c r="F187" s="3" t="s">
        <v>756</v>
      </c>
      <c r="G187" s="3" t="s">
        <v>757</v>
      </c>
    </row>
    <row r="188" spans="1:7" ht="21" customHeight="1">
      <c r="A188" s="4">
        <v>46139</v>
      </c>
      <c r="B188" s="3">
        <v>9.4515600000000006</v>
      </c>
      <c r="C188" s="4">
        <v>46139</v>
      </c>
      <c r="D188" s="3">
        <v>6.1583800000000002</v>
      </c>
      <c r="E188" s="3"/>
      <c r="F188" s="3" t="s">
        <v>758</v>
      </c>
      <c r="G188" s="3" t="s">
        <v>759</v>
      </c>
    </row>
    <row r="189" spans="1:7" ht="21" customHeight="1">
      <c r="A189" s="4">
        <v>46140</v>
      </c>
      <c r="B189" s="3">
        <v>7.9877500000000001</v>
      </c>
      <c r="C189" s="4">
        <v>46140</v>
      </c>
      <c r="D189" s="3">
        <v>5.6142700000000003</v>
      </c>
      <c r="E189" s="3"/>
      <c r="F189" s="3" t="s">
        <v>760</v>
      </c>
      <c r="G189" s="3" t="s">
        <v>761</v>
      </c>
    </row>
    <row r="190" spans="1:7" ht="21" customHeight="1">
      <c r="A190" s="4">
        <v>46141</v>
      </c>
      <c r="B190" s="3">
        <v>8.4674600000000009</v>
      </c>
      <c r="C190" s="4">
        <v>46141</v>
      </c>
      <c r="D190" s="3">
        <v>8.3426399999999994</v>
      </c>
      <c r="E190" s="3"/>
      <c r="F190" s="3" t="s">
        <v>762</v>
      </c>
      <c r="G190" s="3" t="s">
        <v>763</v>
      </c>
    </row>
    <row r="191" spans="1:7" ht="21" customHeight="1">
      <c r="A191" s="4">
        <v>46142</v>
      </c>
      <c r="B191" s="3">
        <v>8.7327999999999992</v>
      </c>
      <c r="C191" s="4">
        <v>46142</v>
      </c>
      <c r="D191" s="3">
        <v>8.5453499999999991</v>
      </c>
      <c r="E191" s="3"/>
      <c r="F191" s="3" t="s">
        <v>764</v>
      </c>
      <c r="G191" s="3" t="s">
        <v>765</v>
      </c>
    </row>
    <row r="192" spans="1:7" ht="21" customHeight="1">
      <c r="A192" s="4">
        <v>46143</v>
      </c>
      <c r="B192" s="3">
        <v>11.887589999999999</v>
      </c>
      <c r="C192" s="4">
        <v>46143</v>
      </c>
      <c r="D192" s="3">
        <v>11.077859999999999</v>
      </c>
      <c r="E192" s="3"/>
      <c r="F192" s="3" t="s">
        <v>766</v>
      </c>
      <c r="G192" s="3" t="s">
        <v>767</v>
      </c>
    </row>
    <row r="193" spans="1:7" ht="21" customHeight="1">
      <c r="A193" s="4">
        <v>46144</v>
      </c>
      <c r="B193" s="3">
        <v>11.21392</v>
      </c>
      <c r="C193" s="4">
        <v>46144</v>
      </c>
      <c r="D193" s="3">
        <v>10.41367</v>
      </c>
      <c r="E193" s="3"/>
      <c r="F193" s="3" t="s">
        <v>768</v>
      </c>
      <c r="G193" s="3" t="s">
        <v>769</v>
      </c>
    </row>
    <row r="194" spans="1:7" ht="21" customHeight="1">
      <c r="A194" s="4">
        <v>46145</v>
      </c>
      <c r="B194" s="3">
        <v>10.629960000000001</v>
      </c>
      <c r="C194" s="4">
        <v>46145</v>
      </c>
      <c r="D194" s="3">
        <v>10.46209</v>
      </c>
      <c r="E194" s="3"/>
      <c r="F194" s="3" t="s">
        <v>770</v>
      </c>
      <c r="G194" s="3" t="s">
        <v>771</v>
      </c>
    </row>
    <row r="195" spans="1:7" ht="21" customHeight="1">
      <c r="A195" s="4">
        <v>46146</v>
      </c>
      <c r="B195" s="3">
        <v>8.8201599999999996</v>
      </c>
      <c r="C195" s="4">
        <v>46146</v>
      </c>
      <c r="D195" s="3">
        <v>7.56677</v>
      </c>
      <c r="E195" s="3"/>
      <c r="F195" s="3" t="s">
        <v>772</v>
      </c>
      <c r="G195" s="3" t="s">
        <v>773</v>
      </c>
    </row>
    <row r="196" spans="1:7" ht="21" customHeight="1">
      <c r="A196" s="4">
        <v>46147</v>
      </c>
      <c r="B196" s="3">
        <v>7.6250099999999996</v>
      </c>
      <c r="C196" s="4">
        <v>46147</v>
      </c>
      <c r="D196" s="3">
        <v>6.8745200000000004</v>
      </c>
      <c r="E196" s="3"/>
      <c r="F196" s="3" t="s">
        <v>774</v>
      </c>
      <c r="G196" s="3" t="s">
        <v>775</v>
      </c>
    </row>
    <row r="197" spans="1:7" ht="21" customHeight="1">
      <c r="A197" s="4">
        <v>46148</v>
      </c>
      <c r="B197" s="3">
        <v>4.9815399999999999</v>
      </c>
      <c r="C197" s="4">
        <v>46148</v>
      </c>
      <c r="D197" s="3">
        <v>4.3829399999999996</v>
      </c>
      <c r="E197" s="3"/>
      <c r="F197" s="3" t="s">
        <v>776</v>
      </c>
      <c r="G197" s="3" t="s">
        <v>777</v>
      </c>
    </row>
    <row r="198" spans="1:7" ht="21" customHeight="1">
      <c r="A198" s="4">
        <v>46149</v>
      </c>
      <c r="B198" s="3">
        <v>4.0107999999999997</v>
      </c>
      <c r="C198" s="4">
        <v>46149</v>
      </c>
      <c r="D198" s="3">
        <v>3.6166800000000001</v>
      </c>
      <c r="E198" s="3"/>
      <c r="F198" s="3" t="s">
        <v>778</v>
      </c>
      <c r="G198" s="3" t="s">
        <v>779</v>
      </c>
    </row>
    <row r="199" spans="1:7" ht="21" customHeight="1">
      <c r="A199" s="4">
        <v>46150</v>
      </c>
      <c r="B199" s="3">
        <v>4.4818199999999999</v>
      </c>
      <c r="C199" s="4">
        <v>46150</v>
      </c>
      <c r="D199" s="3">
        <v>6.0712999999999999</v>
      </c>
      <c r="E199" s="3"/>
      <c r="F199" s="3" t="s">
        <v>780</v>
      </c>
      <c r="G199" s="3" t="s">
        <v>781</v>
      </c>
    </row>
    <row r="200" spans="1:7" ht="21" customHeight="1">
      <c r="A200" s="4">
        <v>46151</v>
      </c>
      <c r="B200" s="3">
        <v>6.64297</v>
      </c>
      <c r="C200" s="4">
        <v>46151</v>
      </c>
      <c r="D200" s="3">
        <v>10.249129999999999</v>
      </c>
      <c r="E200" s="3"/>
      <c r="F200" s="3" t="s">
        <v>782</v>
      </c>
      <c r="G200" s="3" t="s">
        <v>783</v>
      </c>
    </row>
    <row r="201" spans="1:7" ht="21" customHeight="1">
      <c r="A201" s="4">
        <v>46152</v>
      </c>
      <c r="B201" s="3">
        <v>6.5110099999999997</v>
      </c>
      <c r="C201" s="4">
        <v>46152</v>
      </c>
      <c r="D201" s="3">
        <v>6.4649900000000002</v>
      </c>
      <c r="E201" s="3"/>
      <c r="F201" s="3" t="s">
        <v>784</v>
      </c>
      <c r="G201" s="3" t="s">
        <v>785</v>
      </c>
    </row>
    <row r="202" spans="1:7" ht="21" customHeight="1">
      <c r="A202" s="4">
        <v>46153</v>
      </c>
      <c r="B202" s="3">
        <v>4.4212499999999997</v>
      </c>
      <c r="C202" s="4">
        <v>46153</v>
      </c>
      <c r="D202" s="3">
        <v>4.2880799999999999</v>
      </c>
      <c r="E202" s="3"/>
      <c r="F202" s="3" t="s">
        <v>786</v>
      </c>
      <c r="G202" s="3" t="s">
        <v>787</v>
      </c>
    </row>
    <row r="203" spans="1:7" ht="21" customHeight="1">
      <c r="A203" s="4">
        <v>46154</v>
      </c>
      <c r="B203" s="3">
        <v>3.4007499999999999</v>
      </c>
      <c r="C203" s="4">
        <v>46154</v>
      </c>
      <c r="D203" s="3">
        <v>3.36598</v>
      </c>
      <c r="E203" s="3"/>
      <c r="F203" s="3" t="s">
        <v>788</v>
      </c>
      <c r="G203" s="3" t="s">
        <v>789</v>
      </c>
    </row>
    <row r="204" spans="1:7" ht="21" customHeight="1">
      <c r="A204" s="4">
        <v>46155</v>
      </c>
      <c r="B204" s="3">
        <v>3.3888099999999999</v>
      </c>
      <c r="C204" s="4">
        <v>46155</v>
      </c>
      <c r="D204" s="3">
        <v>3.1953499999999999</v>
      </c>
      <c r="E204" s="3"/>
      <c r="F204" s="3" t="s">
        <v>790</v>
      </c>
      <c r="G204" s="3" t="s">
        <v>791</v>
      </c>
    </row>
    <row r="205" spans="1:7" ht="21" customHeight="1">
      <c r="A205" s="4">
        <v>46156</v>
      </c>
      <c r="B205" s="3">
        <v>2.81975</v>
      </c>
      <c r="C205" s="4">
        <v>46156</v>
      </c>
      <c r="D205" s="3">
        <v>2.71557</v>
      </c>
      <c r="E205" s="3"/>
      <c r="F205" s="3" t="s">
        <v>792</v>
      </c>
      <c r="G205" s="3" t="s">
        <v>793</v>
      </c>
    </row>
    <row r="206" spans="1:7" ht="21" customHeight="1">
      <c r="A206" s="4">
        <v>46157</v>
      </c>
      <c r="B206" s="3">
        <v>3.0522200000000002</v>
      </c>
      <c r="C206" s="4">
        <v>46157</v>
      </c>
      <c r="D206" s="3">
        <v>3.0975999999999999</v>
      </c>
      <c r="E206" s="3"/>
      <c r="F206" s="3" t="s">
        <v>794</v>
      </c>
      <c r="G206" s="3" t="s">
        <v>795</v>
      </c>
    </row>
    <row r="207" spans="1:7" ht="21" customHeight="1">
      <c r="A207" s="4">
        <v>46158</v>
      </c>
      <c r="B207" s="3">
        <v>4.0673500000000002</v>
      </c>
      <c r="C207" s="4">
        <v>46158</v>
      </c>
      <c r="D207" s="3">
        <v>3.8571399999999998</v>
      </c>
      <c r="E207" s="3"/>
      <c r="F207" s="3" t="s">
        <v>796</v>
      </c>
      <c r="G207" s="3" t="s">
        <v>797</v>
      </c>
    </row>
    <row r="208" spans="1:7" ht="21" customHeight="1">
      <c r="A208" s="4">
        <v>46159</v>
      </c>
      <c r="B208" s="3">
        <v>4.1959099999999996</v>
      </c>
      <c r="C208" s="4">
        <v>46159</v>
      </c>
      <c r="D208" s="3">
        <v>3.5519400000000001</v>
      </c>
      <c r="E208" s="3"/>
      <c r="F208" s="3" t="s">
        <v>798</v>
      </c>
      <c r="G208" s="3" t="s">
        <v>799</v>
      </c>
    </row>
    <row r="209" spans="1:7" ht="21" customHeight="1">
      <c r="A209" s="4">
        <v>46160</v>
      </c>
      <c r="B209" s="3">
        <v>2.8304200000000002</v>
      </c>
      <c r="C209" s="4">
        <v>46160</v>
      </c>
      <c r="D209" s="3">
        <v>2.5496099999999999</v>
      </c>
      <c r="E209" s="3"/>
      <c r="F209" s="3" t="s">
        <v>800</v>
      </c>
      <c r="G209" s="3" t="s">
        <v>801</v>
      </c>
    </row>
    <row r="210" spans="1:7" ht="21" customHeight="1">
      <c r="A210" s="4">
        <v>46161</v>
      </c>
      <c r="B210" s="3">
        <v>2.25501</v>
      </c>
      <c r="C210" s="4">
        <v>46161</v>
      </c>
      <c r="D210" s="3">
        <v>2.2968500000000001</v>
      </c>
      <c r="E210" s="3"/>
      <c r="F210" s="3" t="s">
        <v>802</v>
      </c>
      <c r="G210" s="3" t="s">
        <v>803</v>
      </c>
    </row>
    <row r="211" spans="1:7" ht="21" customHeight="1">
      <c r="A211" s="4">
        <v>46162</v>
      </c>
      <c r="B211" s="3">
        <v>2.2496399999999999</v>
      </c>
      <c r="C211" s="4">
        <v>46162</v>
      </c>
      <c r="D211" s="3">
        <v>2.4086699999999999</v>
      </c>
      <c r="E211" s="3"/>
      <c r="F211" s="3" t="s">
        <v>804</v>
      </c>
      <c r="G211" s="3" t="s">
        <v>805</v>
      </c>
    </row>
    <row r="212" spans="1:7" ht="21" customHeight="1">
      <c r="A212" s="4">
        <v>46163</v>
      </c>
      <c r="B212" s="3">
        <v>1.99681</v>
      </c>
      <c r="C212" s="4">
        <v>46163</v>
      </c>
      <c r="D212" s="3">
        <v>2.2193100000000001</v>
      </c>
      <c r="E212" s="3"/>
      <c r="F212" s="3" t="s">
        <v>806</v>
      </c>
      <c r="G212" s="3" t="s">
        <v>807</v>
      </c>
    </row>
    <row r="213" spans="1:7" ht="21" customHeight="1">
      <c r="A213" s="4">
        <v>46164</v>
      </c>
      <c r="B213" s="3">
        <v>2.6618499999999998</v>
      </c>
      <c r="C213" s="4">
        <v>46164</v>
      </c>
      <c r="D213" s="3">
        <v>2.30463</v>
      </c>
      <c r="E213" s="3"/>
      <c r="F213" s="3" t="s">
        <v>808</v>
      </c>
      <c r="G213" s="3" t="s">
        <v>809</v>
      </c>
    </row>
    <row r="214" spans="1:7" ht="21" customHeight="1">
      <c r="A214" s="4">
        <v>46165</v>
      </c>
      <c r="B214" s="3">
        <v>3.1150600000000002</v>
      </c>
      <c r="C214" s="4">
        <v>46165</v>
      </c>
      <c r="D214" s="3">
        <v>2.9541900000000001</v>
      </c>
      <c r="E214" s="3"/>
      <c r="F214" s="3" t="s">
        <v>810</v>
      </c>
      <c r="G214" s="3" t="s">
        <v>811</v>
      </c>
    </row>
    <row r="215" spans="1:7" ht="21" customHeight="1">
      <c r="A215" s="4">
        <v>46166</v>
      </c>
      <c r="B215" s="3">
        <v>5.8813800000000001</v>
      </c>
      <c r="C215" s="4">
        <v>46166</v>
      </c>
      <c r="D215" s="3">
        <v>3.2301299999999999</v>
      </c>
      <c r="E215" s="3"/>
      <c r="F215" s="3" t="s">
        <v>812</v>
      </c>
      <c r="G215" s="3" t="s">
        <v>813</v>
      </c>
    </row>
    <row r="216" spans="1:7" ht="21" customHeight="1">
      <c r="A216" s="4">
        <v>46167</v>
      </c>
      <c r="B216" s="3">
        <v>4.7106199999999996</v>
      </c>
      <c r="C216" s="4">
        <v>46167</v>
      </c>
      <c r="D216" s="3">
        <v>2.96366</v>
      </c>
      <c r="E216" s="3"/>
      <c r="F216" s="3" t="s">
        <v>814</v>
      </c>
      <c r="G216" s="3" t="s">
        <v>815</v>
      </c>
    </row>
    <row r="217" spans="1:7" ht="21" customHeight="1">
      <c r="A217" s="4">
        <v>46168</v>
      </c>
      <c r="B217" s="3">
        <v>2.5305900000000001</v>
      </c>
      <c r="C217" s="4">
        <v>46168</v>
      </c>
      <c r="D217" s="3">
        <v>2.1424799999999999</v>
      </c>
      <c r="E217" s="3"/>
      <c r="F217" s="3" t="s">
        <v>816</v>
      </c>
      <c r="G217" s="3" t="s">
        <v>817</v>
      </c>
    </row>
    <row r="218" spans="1:7" ht="21" customHeight="1">
      <c r="A218" s="4">
        <v>46169</v>
      </c>
      <c r="B218" s="3">
        <v>3.27982</v>
      </c>
      <c r="C218" s="4">
        <v>46169</v>
      </c>
      <c r="D218" s="3">
        <v>1.91821</v>
      </c>
      <c r="E218" s="3"/>
      <c r="F218" s="3" t="s">
        <v>818</v>
      </c>
      <c r="G218" s="3" t="s">
        <v>819</v>
      </c>
    </row>
    <row r="219" spans="1:7" ht="21" customHeight="1">
      <c r="A219" s="4">
        <v>46170</v>
      </c>
      <c r="B219" s="3">
        <v>3.08304</v>
      </c>
      <c r="C219" s="4">
        <v>46170</v>
      </c>
      <c r="D219" s="3">
        <v>1.6311800000000001</v>
      </c>
      <c r="E219" s="3"/>
      <c r="F219" s="3" t="s">
        <v>820</v>
      </c>
      <c r="G219" s="3" t="s">
        <v>821</v>
      </c>
    </row>
    <row r="220" spans="1:7" ht="21" customHeight="1">
      <c r="A220" s="4">
        <v>46171</v>
      </c>
      <c r="B220" s="3">
        <v>3.4891000000000001</v>
      </c>
      <c r="C220" s="4">
        <v>46171</v>
      </c>
      <c r="D220" s="3">
        <v>1.6412800000000001</v>
      </c>
      <c r="E220" s="3"/>
      <c r="F220" s="3" t="s">
        <v>822</v>
      </c>
      <c r="G220" s="3" t="s">
        <v>823</v>
      </c>
    </row>
    <row r="221" spans="1:7" ht="21" customHeight="1">
      <c r="A221" s="4">
        <v>46172</v>
      </c>
      <c r="B221" s="3">
        <v>5.13089</v>
      </c>
      <c r="C221" s="4">
        <v>46172</v>
      </c>
      <c r="D221" s="3">
        <v>2.1791700000000001</v>
      </c>
      <c r="E221" s="3"/>
      <c r="F221" s="3" t="s">
        <v>824</v>
      </c>
      <c r="G221" s="3" t="s">
        <v>825</v>
      </c>
    </row>
    <row r="222" spans="1:7" ht="21" customHeight="1">
      <c r="A222" s="4">
        <v>46173</v>
      </c>
      <c r="B222" s="3">
        <v>4.8500699999999997</v>
      </c>
      <c r="C222" s="4">
        <v>46173</v>
      </c>
      <c r="D222" s="3">
        <v>2.0276299999999998</v>
      </c>
      <c r="E222" s="3"/>
      <c r="F222" s="3" t="s">
        <v>826</v>
      </c>
      <c r="G222" s="3" t="s">
        <v>827</v>
      </c>
    </row>
    <row r="223" spans="1:7" ht="21" customHeight="1">
      <c r="A223" s="4">
        <v>46174</v>
      </c>
      <c r="B223" s="3">
        <v>2.4534799999999999</v>
      </c>
      <c r="C223" s="4">
        <v>46174</v>
      </c>
      <c r="D223" s="3">
        <v>1.44967</v>
      </c>
      <c r="E223" s="3"/>
      <c r="F223" s="3" t="s">
        <v>828</v>
      </c>
      <c r="G223" s="3" t="s">
        <v>829</v>
      </c>
    </row>
    <row r="224" spans="1:7" ht="21" customHeight="1">
      <c r="A224" s="4">
        <v>46175</v>
      </c>
      <c r="B224" s="3">
        <v>2.2576900000000002</v>
      </c>
      <c r="C224" s="4">
        <v>46175</v>
      </c>
      <c r="D224" s="3">
        <v>1.5196400000000001</v>
      </c>
      <c r="E224" s="3"/>
      <c r="F224" s="3" t="s">
        <v>830</v>
      </c>
      <c r="G224" s="3" t="s">
        <v>831</v>
      </c>
    </row>
    <row r="225" spans="1:7" ht="21" customHeight="1">
      <c r="A225" s="4">
        <v>46176</v>
      </c>
      <c r="B225" s="3">
        <v>2.5254300000000001</v>
      </c>
      <c r="C225" s="4">
        <v>46176</v>
      </c>
      <c r="D225" s="3">
        <v>2.0981000000000001</v>
      </c>
      <c r="E225" s="3"/>
      <c r="F225" s="3" t="s">
        <v>832</v>
      </c>
      <c r="G225" s="3" t="s">
        <v>833</v>
      </c>
    </row>
    <row r="226" spans="1:7" ht="21" customHeight="1">
      <c r="A226" s="4">
        <v>46177</v>
      </c>
      <c r="B226" s="3">
        <v>1.5072700000000001</v>
      </c>
      <c r="C226" s="4">
        <v>46177</v>
      </c>
      <c r="D226" s="3">
        <v>1.2743100000000001</v>
      </c>
      <c r="E226" s="3"/>
      <c r="F226" s="3" t="s">
        <v>834</v>
      </c>
      <c r="G226" s="3" t="s">
        <v>835</v>
      </c>
    </row>
    <row r="227" spans="1:7" ht="21" customHeight="1">
      <c r="A227" s="4">
        <v>46178</v>
      </c>
      <c r="B227" s="3">
        <v>1.56891</v>
      </c>
      <c r="C227" s="4">
        <v>46178</v>
      </c>
      <c r="D227" s="3">
        <v>1.3356600000000001</v>
      </c>
      <c r="E227" s="3"/>
      <c r="F227" s="3" t="s">
        <v>836</v>
      </c>
      <c r="G227" s="3" t="s">
        <v>837</v>
      </c>
    </row>
    <row r="228" spans="1:7" ht="21" customHeight="1">
      <c r="A228" s="4">
        <v>46179</v>
      </c>
      <c r="B228" s="3">
        <v>2.2133099999999999</v>
      </c>
      <c r="C228" s="4">
        <v>46179</v>
      </c>
      <c r="D228" s="3">
        <v>1.5841700000000001</v>
      </c>
      <c r="E228" s="3"/>
      <c r="F228" s="3" t="s">
        <v>838</v>
      </c>
      <c r="G228" s="3" t="s">
        <v>839</v>
      </c>
    </row>
    <row r="229" spans="1:7" ht="21" customHeight="1">
      <c r="A229" s="4">
        <v>46180</v>
      </c>
      <c r="B229" s="3">
        <v>1.91079</v>
      </c>
      <c r="C229" s="4">
        <v>46180</v>
      </c>
      <c r="D229" s="3">
        <v>1.46288</v>
      </c>
      <c r="E229" s="3"/>
      <c r="F229" s="3" t="s">
        <v>840</v>
      </c>
      <c r="G229" s="3" t="s">
        <v>841</v>
      </c>
    </row>
    <row r="230" spans="1:7" ht="21" customHeight="1">
      <c r="A230" s="4">
        <v>46181</v>
      </c>
      <c r="B230" s="3">
        <v>1.1173200000000001</v>
      </c>
      <c r="C230" s="4">
        <v>46181</v>
      </c>
      <c r="D230" s="3">
        <v>1.04254</v>
      </c>
      <c r="E230" s="3"/>
      <c r="F230" s="3" t="s">
        <v>842</v>
      </c>
      <c r="G230" s="3" t="s">
        <v>843</v>
      </c>
    </row>
    <row r="231" spans="1:7" ht="21" customHeight="1">
      <c r="A231" s="4">
        <v>46182</v>
      </c>
      <c r="B231" s="3">
        <v>0.81303999999999998</v>
      </c>
      <c r="C231" s="4">
        <v>46182</v>
      </c>
      <c r="D231" s="3">
        <v>1.0529999999999999</v>
      </c>
      <c r="E231" s="3"/>
      <c r="F231" s="3" t="s">
        <v>844</v>
      </c>
      <c r="G231" s="3" t="s">
        <v>845</v>
      </c>
    </row>
    <row r="232" spans="1:7" ht="21" customHeight="1">
      <c r="A232" s="4">
        <v>46183</v>
      </c>
      <c r="B232" s="3">
        <v>0.70935000000000004</v>
      </c>
      <c r="C232" s="4">
        <v>46183</v>
      </c>
      <c r="D232" s="3">
        <v>1.02685</v>
      </c>
      <c r="E232" s="3"/>
      <c r="F232" s="3" t="s">
        <v>846</v>
      </c>
      <c r="G232" s="3" t="s">
        <v>847</v>
      </c>
    </row>
    <row r="233" spans="1:7" ht="21" customHeight="1">
      <c r="A233" s="4">
        <v>46184</v>
      </c>
      <c r="B233" s="3">
        <v>0.66191999999999995</v>
      </c>
      <c r="C233" s="4">
        <v>46184</v>
      </c>
      <c r="D233" s="3">
        <v>0.93015999999999999</v>
      </c>
      <c r="E233" s="3"/>
      <c r="F233" s="3" t="s">
        <v>848</v>
      </c>
      <c r="G233" s="3" t="s">
        <v>849</v>
      </c>
    </row>
    <row r="234" spans="1:7" ht="21" customHeight="1">
      <c r="A234" s="4">
        <v>46185</v>
      </c>
      <c r="B234" s="3">
        <v>0.67188999999999999</v>
      </c>
      <c r="C234" s="4">
        <v>46185</v>
      </c>
      <c r="D234" s="3">
        <v>0.88082000000000005</v>
      </c>
      <c r="E234" s="3"/>
      <c r="F234" s="3" t="s">
        <v>850</v>
      </c>
      <c r="G234" s="3" t="s">
        <v>851</v>
      </c>
    </row>
    <row r="235" spans="1:7" ht="21" customHeight="1">
      <c r="A235" s="4">
        <v>46186</v>
      </c>
      <c r="B235" s="3">
        <v>1.0652299999999999</v>
      </c>
      <c r="C235" s="4">
        <v>46186</v>
      </c>
      <c r="D235" s="3">
        <v>1.2495000000000001</v>
      </c>
      <c r="E235" s="3"/>
      <c r="F235" s="3" t="s">
        <v>852</v>
      </c>
      <c r="G235" s="3" t="s">
        <v>853</v>
      </c>
    </row>
    <row r="236" spans="1:7" ht="21" customHeight="1">
      <c r="A236" s="4">
        <v>46187</v>
      </c>
      <c r="B236" s="3">
        <v>1.0685500000000001</v>
      </c>
      <c r="C236" s="4">
        <v>46187</v>
      </c>
      <c r="D236" s="3">
        <v>1.15584</v>
      </c>
      <c r="E236" s="3"/>
      <c r="F236" s="3" t="s">
        <v>854</v>
      </c>
      <c r="G236" s="3" t="s">
        <v>855</v>
      </c>
    </row>
    <row r="237" spans="1:7" ht="21" customHeight="1">
      <c r="A237" s="4">
        <v>46188</v>
      </c>
      <c r="B237" s="3">
        <v>0.61187999999999998</v>
      </c>
      <c r="C237" s="4">
        <v>46188</v>
      </c>
      <c r="D237" s="3">
        <v>0.84350000000000003</v>
      </c>
      <c r="E237" s="3"/>
      <c r="F237" s="3" t="s">
        <v>856</v>
      </c>
      <c r="G237" s="3" t="s">
        <v>857</v>
      </c>
    </row>
    <row r="238" spans="1:7" ht="21" customHeight="1">
      <c r="A238" s="4">
        <v>46189</v>
      </c>
      <c r="B238" s="3">
        <v>0.52</v>
      </c>
      <c r="C238" s="4">
        <v>46189</v>
      </c>
      <c r="D238" s="3">
        <v>0.88117999999999996</v>
      </c>
      <c r="E238" s="3"/>
      <c r="F238" s="3" t="s">
        <v>858</v>
      </c>
      <c r="G238" s="3" t="s">
        <v>859</v>
      </c>
    </row>
    <row r="239" spans="1:7" ht="21" customHeight="1">
      <c r="A239" s="4">
        <v>46190</v>
      </c>
      <c r="B239" s="3">
        <v>0.47171999999999997</v>
      </c>
      <c r="C239" s="4">
        <v>46190</v>
      </c>
      <c r="D239" s="3">
        <v>0.89348000000000005</v>
      </c>
      <c r="E239" s="3"/>
      <c r="F239" s="3" t="s">
        <v>860</v>
      </c>
      <c r="G239" s="3" t="s">
        <v>861</v>
      </c>
    </row>
    <row r="240" spans="1:7" ht="21" customHeight="1">
      <c r="A240" s="4">
        <v>46191</v>
      </c>
      <c r="B240" s="3">
        <v>0.48443999999999998</v>
      </c>
      <c r="C240" s="4">
        <v>46191</v>
      </c>
      <c r="D240" s="3">
        <v>0.90774999999999995</v>
      </c>
      <c r="E240" s="3"/>
      <c r="F240" s="3" t="s">
        <v>862</v>
      </c>
      <c r="G240" s="3" t="s">
        <v>863</v>
      </c>
    </row>
    <row r="241" spans="1:7" ht="21" customHeight="1">
      <c r="A241" s="4">
        <v>46192</v>
      </c>
      <c r="B241" s="3">
        <v>0.57201999999999997</v>
      </c>
      <c r="C241" s="4">
        <v>46192</v>
      </c>
      <c r="D241" s="3">
        <v>0.94571000000000005</v>
      </c>
      <c r="E241" s="3"/>
      <c r="F241" s="3" t="s">
        <v>864</v>
      </c>
      <c r="G241" s="3" t="s">
        <v>865</v>
      </c>
    </row>
    <row r="242" spans="1:7" ht="21" customHeight="1">
      <c r="A242" s="4">
        <v>46193</v>
      </c>
      <c r="B242" s="3">
        <v>0.96833000000000002</v>
      </c>
      <c r="C242" s="4">
        <v>46193</v>
      </c>
      <c r="D242" s="3">
        <v>1.2438400000000001</v>
      </c>
      <c r="E242" s="3"/>
      <c r="F242" s="3" t="s">
        <v>866</v>
      </c>
      <c r="G242" s="3" t="s">
        <v>867</v>
      </c>
    </row>
    <row r="243" spans="1:7" ht="21" customHeight="1">
      <c r="A243" s="4">
        <v>46194</v>
      </c>
      <c r="B243" s="3">
        <v>0.80032000000000003</v>
      </c>
      <c r="C243" s="4">
        <v>46194</v>
      </c>
      <c r="D243" s="3">
        <v>1.0608500000000001</v>
      </c>
      <c r="E243" s="3"/>
      <c r="F243" s="3" t="s">
        <v>868</v>
      </c>
      <c r="G243" s="3" t="s">
        <v>869</v>
      </c>
    </row>
    <row r="244" spans="1:7" ht="21" customHeight="1">
      <c r="A244" s="4">
        <v>46195</v>
      </c>
      <c r="B244" s="3">
        <v>0.59697</v>
      </c>
      <c r="C244" s="4">
        <v>46195</v>
      </c>
      <c r="D244" s="3">
        <v>0.74970999999999999</v>
      </c>
      <c r="E244" s="3"/>
      <c r="F244" s="3" t="s">
        <v>870</v>
      </c>
      <c r="G244" s="3" t="s">
        <v>871</v>
      </c>
    </row>
    <row r="245" spans="1:7" ht="21" customHeight="1">
      <c r="A245" s="4">
        <v>46196</v>
      </c>
      <c r="B245" s="3">
        <v>0.51271999999999995</v>
      </c>
      <c r="C245" s="4">
        <v>46196</v>
      </c>
      <c r="D245" s="3">
        <v>0.74809000000000003</v>
      </c>
      <c r="E245" s="3"/>
      <c r="F245" s="3" t="s">
        <v>872</v>
      </c>
      <c r="G245" s="3" t="s">
        <v>873</v>
      </c>
    </row>
    <row r="246" spans="1:7" ht="21" customHeight="1">
      <c r="A246" s="4">
        <v>46197</v>
      </c>
      <c r="B246" s="3">
        <v>0.47964000000000001</v>
      </c>
      <c r="C246" s="4">
        <v>46197</v>
      </c>
      <c r="D246" s="3">
        <v>0.75756000000000001</v>
      </c>
      <c r="E246" s="3"/>
      <c r="F246" s="3" t="s">
        <v>874</v>
      </c>
      <c r="G246" s="3" t="s">
        <v>875</v>
      </c>
    </row>
    <row r="247" spans="1:7" ht="21" customHeight="1">
      <c r="A247" s="4">
        <v>46198</v>
      </c>
      <c r="B247" s="3">
        <v>0.45129000000000002</v>
      </c>
      <c r="C247" s="4">
        <v>46198</v>
      </c>
      <c r="D247" s="3">
        <v>0.71352000000000004</v>
      </c>
      <c r="E247" s="3"/>
      <c r="F247" s="3" t="s">
        <v>876</v>
      </c>
      <c r="G247" s="3" t="s">
        <v>877</v>
      </c>
    </row>
    <row r="248" spans="1:7" ht="21" customHeight="1">
      <c r="A248" s="4">
        <v>46199</v>
      </c>
      <c r="B248" s="3">
        <v>0.52424000000000004</v>
      </c>
      <c r="C248" s="4">
        <v>46199</v>
      </c>
      <c r="D248" s="3">
        <v>0.80293000000000003</v>
      </c>
      <c r="E248" s="3"/>
      <c r="F248" s="3" t="s">
        <v>878</v>
      </c>
      <c r="G248" s="3" t="s">
        <v>879</v>
      </c>
    </row>
    <row r="249" spans="1:7" ht="21" customHeight="1">
      <c r="A249" s="4">
        <v>46200</v>
      </c>
      <c r="B249" s="3">
        <v>0.78186999999999995</v>
      </c>
      <c r="C249" s="4">
        <v>46200</v>
      </c>
      <c r="D249" s="3">
        <v>1.14666</v>
      </c>
      <c r="E249" s="3"/>
      <c r="F249" s="3" t="s">
        <v>880</v>
      </c>
      <c r="G249" s="3" t="s">
        <v>881</v>
      </c>
    </row>
    <row r="250" spans="1:7" ht="21" customHeight="1">
      <c r="A250" s="4">
        <v>46201</v>
      </c>
      <c r="B250" s="3">
        <v>0.73748000000000002</v>
      </c>
      <c r="C250" s="4">
        <v>46201</v>
      </c>
      <c r="D250" s="3">
        <v>0.99334999999999996</v>
      </c>
      <c r="E250" s="3"/>
      <c r="F250" s="3" t="s">
        <v>882</v>
      </c>
      <c r="G250" s="3" t="s">
        <v>883</v>
      </c>
    </row>
    <row r="251" spans="1:7" ht="21" customHeight="1">
      <c r="A251" s="4">
        <v>46202</v>
      </c>
      <c r="B251" s="3">
        <v>0.47992000000000001</v>
      </c>
      <c r="C251" s="4">
        <v>46202</v>
      </c>
      <c r="D251" s="3">
        <v>0.68857000000000002</v>
      </c>
      <c r="E251" s="3"/>
      <c r="F251" s="3" t="s">
        <v>884</v>
      </c>
      <c r="G251" s="3" t="s">
        <v>885</v>
      </c>
    </row>
    <row r="252" spans="1:7" ht="21" customHeight="1">
      <c r="A252" s="4">
        <v>46203</v>
      </c>
      <c r="B252" s="3">
        <v>0.40817999999999999</v>
      </c>
      <c r="C252" s="4">
        <v>46203</v>
      </c>
      <c r="D252" s="3">
        <v>0.88224000000000002</v>
      </c>
      <c r="E252" s="3"/>
      <c r="F252" s="3" t="s">
        <v>886</v>
      </c>
      <c r="G252" s="3" t="s">
        <v>887</v>
      </c>
    </row>
    <row r="253" spans="1:7" ht="21" customHeight="1">
      <c r="A253" s="4">
        <v>46204</v>
      </c>
      <c r="B253" s="3">
        <v>0.43228</v>
      </c>
      <c r="C253" s="4">
        <v>46204</v>
      </c>
      <c r="D253" s="3">
        <v>0.73423000000000005</v>
      </c>
      <c r="E253" s="3"/>
      <c r="F253" s="3" t="s">
        <v>888</v>
      </c>
      <c r="G253" s="3" t="s">
        <v>889</v>
      </c>
    </row>
    <row r="254" spans="1:7" ht="21" customHeight="1">
      <c r="A254" s="4">
        <v>46205</v>
      </c>
      <c r="B254" s="3">
        <v>0.41885</v>
      </c>
      <c r="C254" s="4">
        <v>46205</v>
      </c>
      <c r="D254" s="3">
        <v>0.68255999999999994</v>
      </c>
      <c r="E254" s="3"/>
      <c r="F254" s="3" t="s">
        <v>890</v>
      </c>
      <c r="G254" s="3" t="s">
        <v>891</v>
      </c>
    </row>
    <row r="255" spans="1:7" ht="21" customHeight="1">
      <c r="A255" s="4">
        <v>46206</v>
      </c>
      <c r="B255" s="3">
        <v>0.51724000000000003</v>
      </c>
      <c r="C255" s="4">
        <v>46206</v>
      </c>
      <c r="D255" s="3">
        <v>0.78017000000000003</v>
      </c>
      <c r="E255" s="3"/>
      <c r="F255" s="3" t="s">
        <v>892</v>
      </c>
      <c r="G255" s="3" t="s">
        <v>893</v>
      </c>
    </row>
    <row r="256" spans="1:7" ht="21" customHeight="1">
      <c r="A256" s="4">
        <v>46207</v>
      </c>
      <c r="B256" s="3">
        <v>0.71401999999999999</v>
      </c>
      <c r="C256" s="4">
        <v>46207</v>
      </c>
      <c r="D256" s="3">
        <v>0.86973</v>
      </c>
      <c r="E256" s="3"/>
      <c r="F256" s="3" t="s">
        <v>894</v>
      </c>
      <c r="G256" s="3" t="s">
        <v>895</v>
      </c>
    </row>
    <row r="257" spans="1:7" ht="21" customHeight="1">
      <c r="A257" s="4">
        <v>46208</v>
      </c>
      <c r="B257" s="3">
        <v>0.82257999999999998</v>
      </c>
      <c r="C257" s="4">
        <v>46208</v>
      </c>
      <c r="D257" s="3">
        <v>0.95942000000000005</v>
      </c>
      <c r="E257" s="3"/>
      <c r="F257" s="3" t="s">
        <v>896</v>
      </c>
      <c r="G257" s="3" t="s">
        <v>897</v>
      </c>
    </row>
    <row r="258" spans="1:7" ht="21" customHeight="1">
      <c r="A258" s="4">
        <v>46209</v>
      </c>
      <c r="B258" s="3">
        <v>0.52219000000000004</v>
      </c>
      <c r="C258" s="4">
        <v>46209</v>
      </c>
      <c r="D258" s="3">
        <v>0.68871000000000004</v>
      </c>
      <c r="E258" s="3"/>
      <c r="F258" s="3" t="s">
        <v>898</v>
      </c>
      <c r="G258" s="3" t="s">
        <v>899</v>
      </c>
    </row>
    <row r="259" spans="1:7" ht="21" customHeight="1">
      <c r="A259" s="4">
        <v>46210</v>
      </c>
      <c r="B259" s="3">
        <v>0.47221999999999997</v>
      </c>
      <c r="C259" s="4">
        <v>46210</v>
      </c>
      <c r="D259" s="3">
        <v>0.72341999999999995</v>
      </c>
      <c r="E259" s="3"/>
      <c r="F259" s="3" t="s">
        <v>900</v>
      </c>
      <c r="G259" s="3" t="s">
        <v>901</v>
      </c>
    </row>
    <row r="260" spans="1:7" ht="21" customHeight="1">
      <c r="A260" s="4">
        <v>46211</v>
      </c>
      <c r="B260" s="3">
        <v>0.46600000000000003</v>
      </c>
      <c r="C260" s="4">
        <v>46211</v>
      </c>
      <c r="D260" s="3">
        <v>0.81699999999999995</v>
      </c>
      <c r="E260" s="3"/>
      <c r="F260" s="3" t="s">
        <v>902</v>
      </c>
      <c r="G260" s="3" t="s">
        <v>903</v>
      </c>
    </row>
    <row r="261" spans="1:7" ht="21" customHeight="1">
      <c r="A261" s="4">
        <v>46212</v>
      </c>
      <c r="B261" s="3">
        <v>0.41921000000000003</v>
      </c>
      <c r="C261" s="4">
        <v>46212</v>
      </c>
      <c r="D261" s="3">
        <v>0.82018000000000002</v>
      </c>
      <c r="E261" s="3"/>
      <c r="F261" s="3" t="s">
        <v>904</v>
      </c>
      <c r="G261" s="3" t="s">
        <v>905</v>
      </c>
    </row>
    <row r="262" spans="1:7" ht="21" customHeight="1">
      <c r="A262" s="4">
        <v>46213</v>
      </c>
      <c r="B262" s="3">
        <v>0.45766000000000001</v>
      </c>
      <c r="C262" s="4">
        <v>46213</v>
      </c>
      <c r="D262" s="3">
        <v>0.93637999999999999</v>
      </c>
      <c r="E262" s="3"/>
      <c r="F262" s="3" t="s">
        <v>906</v>
      </c>
      <c r="G262" s="3" t="s">
        <v>907</v>
      </c>
    </row>
    <row r="263" spans="1:7" ht="21" customHeight="1">
      <c r="A263" s="4">
        <v>46214</v>
      </c>
      <c r="B263" s="3">
        <v>0.62778999999999996</v>
      </c>
      <c r="C263" s="4">
        <v>46214</v>
      </c>
      <c r="D263" s="3">
        <v>1.20949</v>
      </c>
      <c r="E263" s="3"/>
      <c r="F263" s="3" t="s">
        <v>908</v>
      </c>
      <c r="G263" s="3" t="s">
        <v>909</v>
      </c>
    </row>
    <row r="264" spans="1:7" ht="21" customHeight="1">
      <c r="A264" s="4">
        <v>46215</v>
      </c>
      <c r="B264" s="3">
        <v>0.59633000000000003</v>
      </c>
      <c r="C264" s="4">
        <v>46215</v>
      </c>
      <c r="D264" s="3">
        <v>1.0570999999999999</v>
      </c>
      <c r="E264" s="3"/>
      <c r="F264" s="3" t="s">
        <v>910</v>
      </c>
      <c r="G264" s="3" t="s">
        <v>911</v>
      </c>
    </row>
    <row r="265" spans="1:7" ht="21" customHeight="1">
      <c r="A265" s="4">
        <v>46216</v>
      </c>
      <c r="B265" s="3">
        <v>0.35954999999999998</v>
      </c>
      <c r="C265" s="4">
        <v>46216</v>
      </c>
      <c r="D265" s="3">
        <v>0.75233000000000005</v>
      </c>
      <c r="E265" s="3"/>
      <c r="F265" s="3" t="s">
        <v>912</v>
      </c>
      <c r="G265" s="3" t="s">
        <v>913</v>
      </c>
    </row>
    <row r="266" spans="1:7" ht="21" customHeight="1">
      <c r="A266" s="4">
        <v>46217</v>
      </c>
      <c r="B266" s="3">
        <v>0.33035999999999999</v>
      </c>
      <c r="C266" s="4">
        <v>46217</v>
      </c>
      <c r="D266" s="3">
        <v>0.69557000000000002</v>
      </c>
      <c r="E266" s="3"/>
      <c r="F266" s="3" t="s">
        <v>914</v>
      </c>
      <c r="G266" s="3" t="s">
        <v>915</v>
      </c>
    </row>
    <row r="267" spans="1:7" ht="21" customHeight="1">
      <c r="A267" s="4">
        <v>46218</v>
      </c>
      <c r="B267" s="3">
        <v>0.32421</v>
      </c>
      <c r="C267" s="4">
        <v>46218</v>
      </c>
      <c r="D267" s="3">
        <v>0.82555000000000001</v>
      </c>
      <c r="E267" s="3"/>
      <c r="F267" s="3" t="s">
        <v>916</v>
      </c>
      <c r="G267" s="3" t="s">
        <v>917</v>
      </c>
    </row>
    <row r="268" spans="1:7" ht="21" customHeight="1">
      <c r="A268" s="4">
        <v>46219</v>
      </c>
      <c r="B268" s="3">
        <v>0.36768000000000001</v>
      </c>
      <c r="C268" s="4">
        <v>46219</v>
      </c>
      <c r="D268" s="3">
        <v>1.0078400000000001</v>
      </c>
      <c r="E268" s="3"/>
      <c r="F268" s="3" t="s">
        <v>918</v>
      </c>
      <c r="G268" s="3" t="s">
        <v>919</v>
      </c>
    </row>
    <row r="269" spans="1:7" ht="21" customHeight="1">
      <c r="A269" s="4">
        <v>46220</v>
      </c>
      <c r="B269" s="3">
        <v>0.55166000000000004</v>
      </c>
      <c r="C269" s="4">
        <v>46220</v>
      </c>
      <c r="D269" s="3">
        <v>1.64001</v>
      </c>
      <c r="E269" s="3"/>
      <c r="F269" s="3" t="s">
        <v>920</v>
      </c>
      <c r="G269" s="3" t="s">
        <v>921</v>
      </c>
    </row>
    <row r="270" spans="1:7" ht="21" customHeight="1">
      <c r="A270" s="4">
        <v>46221</v>
      </c>
      <c r="B270" s="3">
        <v>0.55498000000000003</v>
      </c>
      <c r="C270" s="4">
        <v>46221</v>
      </c>
      <c r="D270" s="3">
        <v>1.1726700000000001</v>
      </c>
      <c r="E270" s="3"/>
      <c r="F270" s="3" t="s">
        <v>922</v>
      </c>
      <c r="G270" s="3" t="s">
        <v>923</v>
      </c>
    </row>
    <row r="271" spans="1:7" ht="21" customHeight="1">
      <c r="A271" s="4">
        <v>46222</v>
      </c>
      <c r="B271" s="3">
        <v>0.46372999999999998</v>
      </c>
      <c r="C271" s="4">
        <v>46222</v>
      </c>
      <c r="D271" s="3">
        <v>1.1834800000000001</v>
      </c>
      <c r="E271" s="3"/>
      <c r="F271" s="3" t="s">
        <v>924</v>
      </c>
      <c r="G271" s="3" t="s">
        <v>925</v>
      </c>
    </row>
    <row r="272" spans="1:7" ht="21" customHeight="1">
      <c r="A272" s="4">
        <v>46223</v>
      </c>
      <c r="B272" s="3">
        <v>0.31635999999999997</v>
      </c>
      <c r="C272" s="4">
        <v>46223</v>
      </c>
      <c r="D272" s="3">
        <v>0.95999000000000001</v>
      </c>
      <c r="E272" s="3"/>
      <c r="F272" s="3" t="s">
        <v>926</v>
      </c>
      <c r="G272" s="3" t="s">
        <v>927</v>
      </c>
    </row>
    <row r="273" spans="1:7" ht="21" customHeight="1">
      <c r="A273" s="4">
        <v>46224</v>
      </c>
      <c r="B273" s="3">
        <v>0.30336000000000002</v>
      </c>
      <c r="C273" s="4">
        <v>46224</v>
      </c>
      <c r="D273" s="3">
        <v>0.85148999999999997</v>
      </c>
      <c r="E273" s="3"/>
      <c r="F273" s="3" t="s">
        <v>928</v>
      </c>
      <c r="G273" s="3" t="s">
        <v>929</v>
      </c>
    </row>
    <row r="274" spans="1:7" ht="21" customHeight="1">
      <c r="A274" s="4">
        <v>46225</v>
      </c>
      <c r="B274" s="3">
        <v>0.29770000000000002</v>
      </c>
      <c r="C274" s="4">
        <v>46225</v>
      </c>
      <c r="D274" s="3">
        <v>1.24603</v>
      </c>
      <c r="E274" s="3"/>
      <c r="F274" s="3" t="s">
        <v>930</v>
      </c>
      <c r="G274" s="3" t="s">
        <v>931</v>
      </c>
    </row>
    <row r="275" spans="1:7" ht="21" customHeight="1">
      <c r="A275" s="4">
        <v>46226</v>
      </c>
      <c r="B275" s="3">
        <v>0.29269000000000001</v>
      </c>
      <c r="C275" s="4">
        <v>46226</v>
      </c>
      <c r="D275" s="3">
        <v>1.35036</v>
      </c>
      <c r="E275" s="3"/>
      <c r="F275" s="3" t="s">
        <v>932</v>
      </c>
      <c r="G275" s="3" t="s">
        <v>933</v>
      </c>
    </row>
    <row r="276" spans="1:7" ht="21" customHeight="1">
      <c r="A276" s="4">
        <v>46227</v>
      </c>
      <c r="B276" s="3">
        <v>0.29572999999999999</v>
      </c>
      <c r="C276" s="4">
        <v>46227</v>
      </c>
      <c r="D276" s="3">
        <v>1.6563399999999999</v>
      </c>
      <c r="E276" s="3"/>
      <c r="F276" s="3" t="s">
        <v>934</v>
      </c>
      <c r="G276" s="3" t="s">
        <v>935</v>
      </c>
    </row>
    <row r="277" spans="1:7" ht="21" customHeight="1">
      <c r="A277" s="4">
        <v>46228</v>
      </c>
      <c r="B277" s="3">
        <v>0.44224999999999998</v>
      </c>
      <c r="C277" s="4">
        <v>46228</v>
      </c>
      <c r="D277" s="3">
        <v>1.9491000000000001</v>
      </c>
      <c r="E277" s="3"/>
      <c r="F277" s="3" t="s">
        <v>936</v>
      </c>
      <c r="G277" s="3" t="s">
        <v>937</v>
      </c>
    </row>
    <row r="278" spans="1:7" ht="21" customHeight="1">
      <c r="A278" s="4">
        <v>46229</v>
      </c>
      <c r="B278" s="3">
        <v>0.44203999999999999</v>
      </c>
      <c r="C278" s="4">
        <v>46229</v>
      </c>
      <c r="D278" s="3">
        <v>1.8716299999999999</v>
      </c>
      <c r="E278" s="3"/>
      <c r="F278" s="3" t="s">
        <v>938</v>
      </c>
      <c r="G278" s="3" t="s">
        <v>939</v>
      </c>
    </row>
    <row r="279" spans="1:7" ht="21" customHeight="1">
      <c r="A279" s="4">
        <v>46230</v>
      </c>
      <c r="B279" s="3">
        <v>0.31106</v>
      </c>
      <c r="C279" s="4">
        <v>46230</v>
      </c>
      <c r="D279" s="3">
        <v>1.2290700000000001</v>
      </c>
      <c r="E279" s="3"/>
      <c r="F279" s="3" t="s">
        <v>940</v>
      </c>
      <c r="G279" s="3" t="s">
        <v>941</v>
      </c>
    </row>
    <row r="280" spans="1:7" ht="21" customHeight="1">
      <c r="A280" s="4">
        <v>46231</v>
      </c>
      <c r="B280" s="3">
        <v>0.27254</v>
      </c>
      <c r="C280" s="4">
        <v>46231</v>
      </c>
      <c r="D280" s="3">
        <v>1.1371899999999999</v>
      </c>
      <c r="E280" s="3"/>
      <c r="F280" s="3" t="s">
        <v>942</v>
      </c>
      <c r="G280" s="3" t="s">
        <v>943</v>
      </c>
    </row>
    <row r="281" spans="1:7" ht="21" customHeight="1">
      <c r="A281" s="4">
        <v>46232</v>
      </c>
      <c r="B281" s="3">
        <v>0.26604</v>
      </c>
      <c r="C281" s="4">
        <v>46232</v>
      </c>
      <c r="D281" s="3">
        <v>1.14927</v>
      </c>
      <c r="E281" s="3"/>
      <c r="F281" s="3" t="s">
        <v>944</v>
      </c>
      <c r="G281" s="3" t="s">
        <v>945</v>
      </c>
    </row>
    <row r="282" spans="1:7" ht="21" customHeight="1">
      <c r="A282" s="4">
        <v>46233</v>
      </c>
      <c r="B282" s="3">
        <v>0.29720999999999997</v>
      </c>
      <c r="C282" s="4">
        <v>46233</v>
      </c>
      <c r="D282" s="3">
        <v>1.1935899999999999</v>
      </c>
      <c r="E282" s="3"/>
      <c r="F282" s="3" t="s">
        <v>946</v>
      </c>
      <c r="G282" s="3" t="s">
        <v>947</v>
      </c>
    </row>
    <row r="283" spans="1:7" ht="21" customHeight="1">
      <c r="A283" s="4">
        <v>46234</v>
      </c>
      <c r="B283" s="3">
        <v>0.31347000000000003</v>
      </c>
      <c r="C283" s="4">
        <v>46234</v>
      </c>
      <c r="D283" s="3">
        <v>1.22801</v>
      </c>
      <c r="E283" s="3"/>
      <c r="F283" s="3" t="s">
        <v>948</v>
      </c>
      <c r="G283" s="3" t="s">
        <v>949</v>
      </c>
    </row>
    <row r="284" spans="1:7" ht="21" customHeight="1">
      <c r="A284" s="4">
        <v>46235</v>
      </c>
      <c r="B284" s="3">
        <v>0.41871000000000003</v>
      </c>
      <c r="C284" s="4">
        <v>46235</v>
      </c>
      <c r="D284" s="3">
        <v>1.66913</v>
      </c>
      <c r="E284" s="3"/>
      <c r="F284" s="3" t="s">
        <v>950</v>
      </c>
      <c r="G284" s="3" t="s">
        <v>951</v>
      </c>
    </row>
    <row r="285" spans="1:7" ht="21" customHeight="1">
      <c r="A285" s="4">
        <v>46236</v>
      </c>
      <c r="B285" s="3">
        <v>0.40853</v>
      </c>
      <c r="C285" s="4">
        <v>46236</v>
      </c>
      <c r="D285" s="3">
        <v>1.5533600000000001</v>
      </c>
      <c r="E285" s="3"/>
      <c r="F285" s="3" t="s">
        <v>952</v>
      </c>
      <c r="G285" s="3" t="s">
        <v>953</v>
      </c>
    </row>
    <row r="286" spans="1:7" ht="21" customHeight="1">
      <c r="A286" s="4">
        <v>46237</v>
      </c>
      <c r="B286" s="3">
        <v>0.28576000000000001</v>
      </c>
      <c r="C286" s="4">
        <v>46237</v>
      </c>
      <c r="D286" s="3">
        <v>1.12503</v>
      </c>
      <c r="E286" s="3"/>
      <c r="F286" s="3" t="s">
        <v>954</v>
      </c>
      <c r="G286" s="3" t="s">
        <v>955</v>
      </c>
    </row>
    <row r="287" spans="1:7" ht="21" customHeight="1">
      <c r="A287" s="4">
        <v>46238</v>
      </c>
      <c r="B287" s="3">
        <v>0.26823000000000002</v>
      </c>
      <c r="C287" s="4">
        <v>46238</v>
      </c>
      <c r="D287" s="3">
        <v>1.07944</v>
      </c>
      <c r="E287" s="3"/>
      <c r="F287" s="3" t="s">
        <v>956</v>
      </c>
      <c r="G287" s="3" t="s">
        <v>957</v>
      </c>
    </row>
    <row r="288" spans="1:7" ht="21" customHeight="1">
      <c r="A288" s="4">
        <v>46239</v>
      </c>
      <c r="B288" s="3">
        <v>0.91320000000000001</v>
      </c>
      <c r="C288" s="4">
        <v>46239</v>
      </c>
      <c r="D288" s="3">
        <v>1.01081</v>
      </c>
      <c r="E288" s="3"/>
      <c r="F288" s="3" t="s">
        <v>958</v>
      </c>
      <c r="G288" s="3" t="s">
        <v>959</v>
      </c>
    </row>
    <row r="289" spans="1:7" ht="21" customHeight="1">
      <c r="A289" s="4">
        <v>46240</v>
      </c>
      <c r="B289" s="3">
        <v>0.92535000000000001</v>
      </c>
      <c r="C289" s="4">
        <v>46240</v>
      </c>
      <c r="D289" s="3">
        <v>1.22052</v>
      </c>
      <c r="E289" s="3"/>
      <c r="F289" s="3" t="s">
        <v>960</v>
      </c>
      <c r="G289" s="3" t="s">
        <v>961</v>
      </c>
    </row>
    <row r="290" spans="1:7" ht="21" customHeight="1">
      <c r="A290" s="4">
        <v>46241</v>
      </c>
      <c r="B290" s="3">
        <v>0.98563999999999996</v>
      </c>
      <c r="C290" s="4">
        <v>46241</v>
      </c>
      <c r="D290" s="3">
        <v>1.3035000000000001</v>
      </c>
      <c r="E290" s="3"/>
      <c r="F290" s="3" t="s">
        <v>962</v>
      </c>
      <c r="G290" s="3" t="s">
        <v>963</v>
      </c>
    </row>
    <row r="291" spans="1:7" ht="21" customHeight="1">
      <c r="A291" s="4">
        <v>46242</v>
      </c>
      <c r="B291" s="3">
        <v>1.29318</v>
      </c>
      <c r="C291" s="4">
        <v>46242</v>
      </c>
      <c r="D291" s="3">
        <v>1.54678</v>
      </c>
      <c r="E291" s="3"/>
      <c r="F291" s="3" t="s">
        <v>964</v>
      </c>
      <c r="G291" s="3" t="s">
        <v>965</v>
      </c>
    </row>
    <row r="292" spans="1:7" ht="21" customHeight="1">
      <c r="A292" s="4">
        <v>46243</v>
      </c>
      <c r="B292" s="3">
        <v>1.22525</v>
      </c>
      <c r="C292" s="4">
        <v>46243</v>
      </c>
      <c r="D292" s="3">
        <v>1.4170100000000001</v>
      </c>
      <c r="E292" s="3"/>
      <c r="F292" s="3" t="s">
        <v>966</v>
      </c>
      <c r="G292" s="3" t="s">
        <v>967</v>
      </c>
    </row>
    <row r="293" spans="1:7" ht="21" customHeight="1">
      <c r="A293" s="4">
        <v>46244</v>
      </c>
      <c r="B293" s="3">
        <v>0.60650999999999999</v>
      </c>
      <c r="C293" s="4">
        <v>46244</v>
      </c>
      <c r="D293" s="3">
        <v>0.96762000000000004</v>
      </c>
      <c r="E293" s="3"/>
      <c r="F293" s="3" t="s">
        <v>968</v>
      </c>
      <c r="G293" s="3" t="s">
        <v>969</v>
      </c>
    </row>
    <row r="294" spans="1:7" ht="21" customHeight="1">
      <c r="A294" s="4">
        <v>46245</v>
      </c>
      <c r="B294" s="3">
        <v>0.50021000000000004</v>
      </c>
      <c r="C294" s="4">
        <v>46245</v>
      </c>
      <c r="D294" s="3">
        <v>0.84865999999999997</v>
      </c>
      <c r="E294" s="3"/>
      <c r="F294" s="3" t="s">
        <v>970</v>
      </c>
      <c r="G294" s="3" t="s">
        <v>971</v>
      </c>
    </row>
    <row r="295" spans="1:7" ht="21" customHeight="1">
      <c r="A295" s="4">
        <v>46246</v>
      </c>
      <c r="B295" s="3">
        <v>0.50239999999999996</v>
      </c>
      <c r="C295" s="4">
        <v>46246</v>
      </c>
      <c r="D295" s="3">
        <v>0.84350000000000003</v>
      </c>
      <c r="E295" s="3"/>
      <c r="F295" s="3" t="s">
        <v>972</v>
      </c>
      <c r="G295" s="3" t="s">
        <v>973</v>
      </c>
    </row>
    <row r="296" spans="1:7" ht="21" customHeight="1">
      <c r="A296" s="4">
        <v>46247</v>
      </c>
      <c r="B296" s="3">
        <v>0.44591999999999998</v>
      </c>
      <c r="C296" s="4">
        <v>46247</v>
      </c>
      <c r="D296" s="3">
        <v>0.85602</v>
      </c>
      <c r="E296" s="3"/>
      <c r="F296" s="3" t="s">
        <v>974</v>
      </c>
      <c r="G296" s="3" t="s">
        <v>975</v>
      </c>
    </row>
    <row r="297" spans="1:7" ht="21" customHeight="1">
      <c r="A297" s="4">
        <v>46248</v>
      </c>
      <c r="B297" s="3">
        <v>0.50339</v>
      </c>
      <c r="C297" s="4">
        <v>46248</v>
      </c>
      <c r="D297" s="3">
        <v>0.97667000000000004</v>
      </c>
      <c r="E297" s="3"/>
      <c r="F297" s="3" t="s">
        <v>976</v>
      </c>
      <c r="G297" s="3" t="s">
        <v>977</v>
      </c>
    </row>
    <row r="298" spans="1:7" ht="21" customHeight="1">
      <c r="A298" s="4">
        <v>46249</v>
      </c>
      <c r="B298" s="3">
        <v>0.78724000000000005</v>
      </c>
      <c r="C298" s="4">
        <v>46249</v>
      </c>
      <c r="D298" s="3">
        <v>1.35029</v>
      </c>
      <c r="E298" s="3"/>
      <c r="F298" s="3" t="s">
        <v>978</v>
      </c>
      <c r="G298" s="3" t="s">
        <v>979</v>
      </c>
    </row>
    <row r="299" spans="1:7" ht="21" customHeight="1">
      <c r="A299" s="4">
        <v>46250</v>
      </c>
      <c r="B299" s="3">
        <v>0.94628000000000001</v>
      </c>
      <c r="C299" s="4">
        <v>46250</v>
      </c>
      <c r="D299" s="3">
        <v>1.47455</v>
      </c>
      <c r="E299" s="3"/>
      <c r="F299" s="3" t="s">
        <v>980</v>
      </c>
      <c r="G299" s="3" t="s">
        <v>981</v>
      </c>
    </row>
    <row r="300" spans="1:7" ht="21" customHeight="1">
      <c r="A300" s="4">
        <v>46251</v>
      </c>
      <c r="B300" s="3">
        <v>0.79530000000000001</v>
      </c>
      <c r="C300" s="4">
        <v>46251</v>
      </c>
      <c r="D300" s="3">
        <v>1.26349</v>
      </c>
      <c r="E300" s="3"/>
      <c r="F300" s="3" t="s">
        <v>982</v>
      </c>
      <c r="G300" s="3" t="s">
        <v>983</v>
      </c>
    </row>
    <row r="301" spans="1:7" ht="21" customHeight="1">
      <c r="A301" s="4">
        <v>46252</v>
      </c>
      <c r="B301" s="3">
        <v>0.38485000000000003</v>
      </c>
      <c r="C301" s="4">
        <v>46252</v>
      </c>
      <c r="D301" s="3">
        <v>0.81233</v>
      </c>
      <c r="E301" s="3"/>
      <c r="F301" s="3" t="s">
        <v>984</v>
      </c>
      <c r="G301" s="3" t="s">
        <v>985</v>
      </c>
    </row>
    <row r="302" spans="1:7" ht="21" customHeight="1">
      <c r="A302" s="4">
        <v>46253</v>
      </c>
      <c r="B302" s="3">
        <v>0.33799000000000001</v>
      </c>
      <c r="C302" s="4">
        <v>46253</v>
      </c>
      <c r="D302" s="3">
        <v>0.70440000000000003</v>
      </c>
      <c r="E302" s="3"/>
      <c r="F302" s="3" t="s">
        <v>986</v>
      </c>
      <c r="G302" s="3" t="s">
        <v>987</v>
      </c>
    </row>
    <row r="303" spans="1:7" ht="21" customHeight="1">
      <c r="A303" s="4">
        <v>46254</v>
      </c>
      <c r="B303" s="3">
        <v>0.32089000000000001</v>
      </c>
      <c r="C303" s="4">
        <v>46254</v>
      </c>
      <c r="D303" s="3">
        <v>0.61789000000000005</v>
      </c>
      <c r="E303" s="3"/>
      <c r="F303" s="3" t="s">
        <v>988</v>
      </c>
      <c r="G303" s="3" t="s">
        <v>989</v>
      </c>
    </row>
    <row r="304" spans="1:7" ht="21" customHeight="1">
      <c r="A304" s="4">
        <v>46255</v>
      </c>
      <c r="B304" s="3">
        <v>0.38124999999999998</v>
      </c>
      <c r="C304" s="4">
        <v>46255</v>
      </c>
      <c r="D304" s="3">
        <v>0.68920999999999999</v>
      </c>
      <c r="E304" s="3"/>
      <c r="F304" s="3" t="s">
        <v>990</v>
      </c>
      <c r="G304" s="3" t="s">
        <v>991</v>
      </c>
    </row>
    <row r="305" spans="1:7" ht="21" customHeight="1">
      <c r="A305" s="4">
        <v>46256</v>
      </c>
      <c r="B305" s="3">
        <v>0.61358000000000001</v>
      </c>
      <c r="C305" s="4">
        <v>46256</v>
      </c>
      <c r="D305" s="3">
        <v>1.1879299999999999</v>
      </c>
      <c r="E305" s="3"/>
      <c r="F305" s="3" t="s">
        <v>992</v>
      </c>
      <c r="G305" s="3" t="s">
        <v>993</v>
      </c>
    </row>
    <row r="306" spans="1:7" ht="21" customHeight="1">
      <c r="A306" s="4">
        <v>46257</v>
      </c>
      <c r="B306" s="3">
        <v>0.69733999999999996</v>
      </c>
      <c r="C306" s="4">
        <v>46257</v>
      </c>
      <c r="D306" s="3">
        <v>1.02261</v>
      </c>
      <c r="E306" s="3"/>
      <c r="F306" s="3" t="s">
        <v>994</v>
      </c>
      <c r="G306" s="3" t="s">
        <v>995</v>
      </c>
    </row>
    <row r="307" spans="1:7" ht="21" customHeight="1">
      <c r="A307" s="4">
        <v>46258</v>
      </c>
      <c r="B307" s="3">
        <v>0.34710999999999997</v>
      </c>
      <c r="C307" s="4">
        <v>46258</v>
      </c>
      <c r="D307" s="3">
        <v>0.66412000000000004</v>
      </c>
      <c r="E307" s="3"/>
      <c r="F307" s="3" t="s">
        <v>996</v>
      </c>
      <c r="G307" s="3" t="s">
        <v>997</v>
      </c>
    </row>
    <row r="308" spans="1:7" ht="21" customHeight="1">
      <c r="A308" s="4">
        <v>46259</v>
      </c>
      <c r="B308" s="3">
        <v>0.28038999999999997</v>
      </c>
      <c r="C308" s="4">
        <v>46259</v>
      </c>
      <c r="D308" s="3">
        <v>0.65407999999999999</v>
      </c>
      <c r="E308" s="3"/>
      <c r="F308" s="3" t="s">
        <v>998</v>
      </c>
      <c r="G308" s="3" t="s">
        <v>999</v>
      </c>
    </row>
    <row r="309" spans="1:7" ht="21" customHeight="1">
      <c r="A309" s="4">
        <v>46260</v>
      </c>
      <c r="B309" s="3">
        <v>0.27013999999999999</v>
      </c>
      <c r="C309" s="4">
        <v>46260</v>
      </c>
      <c r="D309" s="3">
        <v>0.69437000000000004</v>
      </c>
      <c r="E309" s="3"/>
      <c r="F309" s="3" t="s">
        <v>1000</v>
      </c>
      <c r="G309" s="3" t="s">
        <v>1001</v>
      </c>
    </row>
    <row r="310" spans="1:7" ht="21" customHeight="1">
      <c r="A310" s="4">
        <v>46261</v>
      </c>
      <c r="B310" s="3">
        <v>0.26738000000000001</v>
      </c>
      <c r="C310" s="4">
        <v>46261</v>
      </c>
      <c r="D310" s="3">
        <v>0.62051000000000001</v>
      </c>
      <c r="E310" s="3"/>
      <c r="F310" s="3" t="s">
        <v>1002</v>
      </c>
      <c r="G310" s="3" t="s">
        <v>1003</v>
      </c>
    </row>
    <row r="311" spans="1:7" ht="21" customHeight="1">
      <c r="A311" s="4">
        <v>46262</v>
      </c>
      <c r="B311" s="3">
        <v>0.3322</v>
      </c>
      <c r="C311" s="4">
        <v>46262</v>
      </c>
      <c r="D311" s="3">
        <v>0.67676999999999998</v>
      </c>
      <c r="E311" s="3"/>
      <c r="F311" s="3" t="s">
        <v>1004</v>
      </c>
      <c r="G311" s="3" t="s">
        <v>1005</v>
      </c>
    </row>
    <row r="312" spans="1:7" ht="21" customHeight="1">
      <c r="A312" s="4">
        <v>46263</v>
      </c>
      <c r="B312" s="3">
        <v>0.47051999999999999</v>
      </c>
      <c r="C312" s="4">
        <v>46263</v>
      </c>
      <c r="D312" s="3">
        <v>0.80208999999999997</v>
      </c>
      <c r="E312" s="3"/>
      <c r="F312" s="3" t="s">
        <v>1006</v>
      </c>
      <c r="G312" s="3" t="s">
        <v>1007</v>
      </c>
    </row>
    <row r="313" spans="1:7" ht="21" customHeight="1">
      <c r="A313" s="4">
        <v>46264</v>
      </c>
      <c r="B313" s="3">
        <v>0.40767999999999999</v>
      </c>
      <c r="C313" s="4">
        <v>46264</v>
      </c>
      <c r="D313" s="3">
        <v>0.78744999999999998</v>
      </c>
      <c r="E313" s="3"/>
      <c r="F313" s="3" t="s">
        <v>1008</v>
      </c>
      <c r="G313" s="3" t="s">
        <v>1009</v>
      </c>
    </row>
    <row r="314" spans="1:7" ht="21" customHeight="1">
      <c r="A314" s="4">
        <v>46265</v>
      </c>
      <c r="B314" s="3">
        <v>0.23458999999999999</v>
      </c>
      <c r="C314" s="4">
        <v>46265</v>
      </c>
      <c r="D314" s="3">
        <v>0.53986000000000001</v>
      </c>
      <c r="E314" s="3"/>
      <c r="F314" s="3" t="s">
        <v>1010</v>
      </c>
      <c r="G314" s="3" t="s">
        <v>1011</v>
      </c>
    </row>
    <row r="315" spans="1:7" ht="21" customHeight="1">
      <c r="A315" s="4">
        <v>46266</v>
      </c>
      <c r="B315" s="3">
        <v>0.19819000000000001</v>
      </c>
      <c r="C315" s="4">
        <v>46266</v>
      </c>
      <c r="D315" s="3">
        <v>0.49249999999999999</v>
      </c>
      <c r="E315" s="3"/>
      <c r="F315" s="3" t="s">
        <v>1012</v>
      </c>
      <c r="G315" s="3" t="s">
        <v>1013</v>
      </c>
    </row>
    <row r="316" spans="1:7" ht="21" customHeight="1">
      <c r="A316" s="4">
        <v>46267</v>
      </c>
      <c r="B316" s="3">
        <v>0.17967</v>
      </c>
      <c r="C316" s="4">
        <v>46267</v>
      </c>
      <c r="D316" s="3">
        <v>0.46111999999999997</v>
      </c>
      <c r="E316" s="3"/>
      <c r="F316" s="3" t="s">
        <v>1014</v>
      </c>
      <c r="G316" s="3" t="s">
        <v>1015</v>
      </c>
    </row>
    <row r="317" spans="1:7" ht="21" customHeight="1">
      <c r="A317" s="4">
        <v>46268</v>
      </c>
      <c r="B317" s="3">
        <v>0.18575</v>
      </c>
      <c r="C317" s="4">
        <v>46268</v>
      </c>
      <c r="D317" s="3">
        <v>0.48692000000000002</v>
      </c>
      <c r="E317" s="3"/>
      <c r="F317" s="3" t="s">
        <v>1016</v>
      </c>
      <c r="G317" s="3" t="s">
        <v>1017</v>
      </c>
    </row>
    <row r="318" spans="1:7" ht="21" customHeight="1">
      <c r="A318" s="4">
        <v>46269</v>
      </c>
      <c r="B318" s="3">
        <v>0.22921</v>
      </c>
      <c r="C318" s="4">
        <v>46269</v>
      </c>
      <c r="D318" s="3">
        <v>0.55449000000000004</v>
      </c>
      <c r="E318" s="3"/>
      <c r="F318" s="3" t="s">
        <v>1018</v>
      </c>
      <c r="G318" s="3" t="s">
        <v>1019</v>
      </c>
    </row>
    <row r="319" spans="1:7" ht="21" customHeight="1">
      <c r="A319" s="4">
        <v>46270</v>
      </c>
      <c r="B319" s="3">
        <v>0.33650999999999998</v>
      </c>
      <c r="C319" s="4">
        <v>46270</v>
      </c>
      <c r="D319" s="3">
        <v>0.74172000000000005</v>
      </c>
      <c r="E319" s="3"/>
      <c r="F319" s="3" t="s">
        <v>1020</v>
      </c>
      <c r="G319" s="3" t="s">
        <v>1021</v>
      </c>
    </row>
    <row r="320" spans="1:7" ht="21" customHeight="1">
      <c r="A320" s="4">
        <v>46271</v>
      </c>
      <c r="B320" s="3">
        <v>0.33432000000000001</v>
      </c>
      <c r="C320" s="4">
        <v>46271</v>
      </c>
      <c r="D320" s="3">
        <v>0.77615000000000001</v>
      </c>
      <c r="E320" s="3"/>
      <c r="F320" s="3" t="s">
        <v>1022</v>
      </c>
      <c r="G320" s="3" t="s">
        <v>1023</v>
      </c>
    </row>
    <row r="321" spans="1:7" ht="21" customHeight="1">
      <c r="A321" s="4">
        <v>46272</v>
      </c>
      <c r="B321" s="3">
        <v>0.20221</v>
      </c>
      <c r="C321" s="4">
        <v>46272</v>
      </c>
      <c r="D321" s="3">
        <v>0.56566000000000005</v>
      </c>
      <c r="E321" s="3"/>
      <c r="F321" s="3" t="s">
        <v>1024</v>
      </c>
      <c r="G321" s="3" t="s">
        <v>1025</v>
      </c>
    </row>
    <row r="322" spans="1:7" ht="21" customHeight="1">
      <c r="A322" s="4">
        <v>46273</v>
      </c>
      <c r="B322" s="3">
        <v>0.18340999999999999</v>
      </c>
      <c r="C322" s="4">
        <v>46273</v>
      </c>
      <c r="D322" s="3">
        <v>0.61528000000000005</v>
      </c>
      <c r="E322" s="3"/>
      <c r="F322" s="3" t="s">
        <v>1026</v>
      </c>
      <c r="G322" s="3" t="s">
        <v>1027</v>
      </c>
    </row>
    <row r="323" spans="1:7" ht="21" customHeight="1">
      <c r="A323" s="4">
        <v>46274</v>
      </c>
      <c r="B323" s="3">
        <v>0.22356000000000001</v>
      </c>
      <c r="C323" s="4">
        <v>46274</v>
      </c>
      <c r="D323" s="3">
        <v>0.76554</v>
      </c>
      <c r="E323" s="3"/>
      <c r="F323" s="3" t="s">
        <v>1028</v>
      </c>
      <c r="G323" s="3" t="s">
        <v>1029</v>
      </c>
    </row>
    <row r="324" spans="1:7" ht="21" customHeight="1">
      <c r="A324" s="4">
        <v>46275</v>
      </c>
      <c r="B324" s="3">
        <v>0.18334</v>
      </c>
      <c r="C324" s="4">
        <v>46275</v>
      </c>
      <c r="D324" s="3">
        <v>0.50897000000000003</v>
      </c>
      <c r="E324" s="3"/>
      <c r="F324" s="3" t="s">
        <v>1030</v>
      </c>
      <c r="G324" s="3" t="s">
        <v>1031</v>
      </c>
    </row>
    <row r="325" spans="1:7" ht="21" customHeight="1">
      <c r="A325" s="4">
        <v>46276</v>
      </c>
      <c r="B325" s="3">
        <v>0.21783</v>
      </c>
      <c r="C325" s="4">
        <v>46276</v>
      </c>
      <c r="D325" s="3">
        <v>0.54593999999999998</v>
      </c>
      <c r="E325" s="3"/>
      <c r="F325" s="3" t="s">
        <v>1032</v>
      </c>
      <c r="G325" s="3" t="s">
        <v>1033</v>
      </c>
    </row>
    <row r="326" spans="1:7" ht="21" customHeight="1">
      <c r="A326" s="4">
        <v>46277</v>
      </c>
      <c r="B326" s="3">
        <v>0.30506</v>
      </c>
      <c r="C326" s="4">
        <v>46277</v>
      </c>
      <c r="D326" s="3">
        <v>0.72843999999999998</v>
      </c>
      <c r="E326" s="3"/>
      <c r="F326" s="3" t="s">
        <v>1034</v>
      </c>
      <c r="G326" s="3" t="s">
        <v>1035</v>
      </c>
    </row>
    <row r="327" spans="1:7" ht="21" customHeight="1">
      <c r="A327" s="4">
        <v>46278</v>
      </c>
      <c r="B327" s="3">
        <v>0.34533999999999998</v>
      </c>
      <c r="C327" s="4">
        <v>46278</v>
      </c>
      <c r="D327" s="3">
        <v>0.65790000000000004</v>
      </c>
      <c r="E327" s="3"/>
      <c r="F327" s="3" t="s">
        <v>1036</v>
      </c>
      <c r="G327" s="3" t="s">
        <v>1037</v>
      </c>
    </row>
    <row r="328" spans="1:7" ht="21" customHeight="1">
      <c r="A328" s="4">
        <v>46279</v>
      </c>
      <c r="B328" s="3">
        <v>0.21196999999999999</v>
      </c>
      <c r="C328" s="4">
        <v>46279</v>
      </c>
      <c r="D328" s="3">
        <v>0.46571000000000001</v>
      </c>
      <c r="E328" s="3"/>
      <c r="F328" s="3" t="s">
        <v>1038</v>
      </c>
      <c r="G328" s="3" t="s">
        <v>1039</v>
      </c>
    </row>
    <row r="329" spans="1:7" ht="21" customHeight="1">
      <c r="A329" s="4">
        <v>46280</v>
      </c>
      <c r="B329" s="3">
        <v>0.17591999999999999</v>
      </c>
      <c r="C329" s="4">
        <v>46280</v>
      </c>
      <c r="D329" s="3">
        <v>0.44352000000000003</v>
      </c>
      <c r="E329" s="3"/>
      <c r="F329" s="3" t="s">
        <v>1040</v>
      </c>
      <c r="G329" s="3" t="s">
        <v>1041</v>
      </c>
    </row>
    <row r="330" spans="1:7" ht="21" customHeight="1">
      <c r="A330" s="4">
        <v>46281</v>
      </c>
      <c r="B330" s="3">
        <v>0.17133000000000001</v>
      </c>
      <c r="C330" s="4">
        <v>46281</v>
      </c>
      <c r="D330" s="3">
        <v>0.59640000000000004</v>
      </c>
      <c r="E330" s="3"/>
      <c r="F330" s="3" t="s">
        <v>1042</v>
      </c>
      <c r="G330" s="3" t="s">
        <v>1043</v>
      </c>
    </row>
    <row r="331" spans="1:7" ht="21" customHeight="1">
      <c r="A331" s="3"/>
      <c r="B331" s="3"/>
      <c r="C331" s="3"/>
      <c r="D331" s="3"/>
      <c r="E331" s="3"/>
      <c r="F331" s="3" t="s">
        <v>1044</v>
      </c>
      <c r="G331" s="3" t="s">
        <v>1045</v>
      </c>
    </row>
    <row r="332" spans="1:7" ht="21" customHeight="1">
      <c r="A332" s="3"/>
      <c r="B332" s="3"/>
      <c r="C332" s="3"/>
      <c r="D332" s="3"/>
      <c r="E332" s="3"/>
      <c r="F332" s="3" t="s">
        <v>1046</v>
      </c>
      <c r="G332" s="3" t="s">
        <v>1047</v>
      </c>
    </row>
    <row r="333" spans="1:7" ht="21" customHeight="1">
      <c r="A333" s="3"/>
      <c r="B333" s="3"/>
      <c r="C333" s="3"/>
      <c r="D333" s="3"/>
      <c r="E333" s="3"/>
      <c r="F333" s="3" t="s">
        <v>1048</v>
      </c>
      <c r="G333" s="3" t="s">
        <v>1049</v>
      </c>
    </row>
    <row r="334" spans="1:7" ht="21" customHeight="1">
      <c r="A334" s="3"/>
      <c r="B334" s="3"/>
      <c r="C334" s="3"/>
      <c r="D334" s="3"/>
      <c r="E334" s="3"/>
      <c r="F334" s="3" t="s">
        <v>1050</v>
      </c>
      <c r="G334" s="3" t="s">
        <v>1051</v>
      </c>
    </row>
    <row r="335" spans="1:7" ht="21" customHeight="1">
      <c r="A335" s="3"/>
      <c r="B335" s="3"/>
      <c r="C335" s="3"/>
      <c r="D335" s="3"/>
      <c r="E335" s="3"/>
      <c r="F335" s="3" t="s">
        <v>1052</v>
      </c>
      <c r="G335" s="3" t="s">
        <v>1053</v>
      </c>
    </row>
    <row r="336" spans="1:7" ht="21" customHeight="1">
      <c r="A336" s="3"/>
      <c r="B336" s="3"/>
      <c r="C336" s="3"/>
      <c r="D336" s="3"/>
      <c r="E336" s="3"/>
      <c r="F336" s="3" t="s">
        <v>1054</v>
      </c>
      <c r="G336" s="3" t="s">
        <v>1055</v>
      </c>
    </row>
    <row r="337" spans="1:7" ht="21" customHeight="1">
      <c r="A337" s="3"/>
      <c r="B337" s="3"/>
      <c r="C337" s="3"/>
      <c r="D337" s="3"/>
      <c r="E337" s="3"/>
      <c r="F337" s="3" t="s">
        <v>1056</v>
      </c>
      <c r="G337" s="3" t="s">
        <v>1057</v>
      </c>
    </row>
    <row r="338" spans="1:7" ht="21" customHeight="1">
      <c r="A338" s="3"/>
      <c r="B338" s="3"/>
      <c r="C338" s="3"/>
      <c r="D338" s="3"/>
      <c r="E338" s="3"/>
      <c r="F338" s="3" t="s">
        <v>1058</v>
      </c>
      <c r="G338" s="3" t="s">
        <v>1059</v>
      </c>
    </row>
    <row r="339" spans="1:7" ht="21" customHeight="1">
      <c r="A339" s="3"/>
      <c r="B339" s="3"/>
      <c r="C339" s="3"/>
      <c r="D339" s="3"/>
      <c r="E339" s="3"/>
      <c r="F339" s="3" t="s">
        <v>1060</v>
      </c>
      <c r="G339" s="3" t="s">
        <v>1061</v>
      </c>
    </row>
    <row r="340" spans="1:7" ht="21" customHeight="1">
      <c r="A340" s="3"/>
      <c r="B340" s="3"/>
      <c r="C340" s="3"/>
      <c r="D340" s="3"/>
      <c r="E340" s="3"/>
      <c r="F340" s="3" t="s">
        <v>1062</v>
      </c>
      <c r="G340" s="3" t="s">
        <v>1063</v>
      </c>
    </row>
    <row r="341" spans="1:7" ht="21" customHeight="1">
      <c r="A341" s="3"/>
      <c r="B341" s="3"/>
      <c r="C341" s="3"/>
      <c r="D341" s="3"/>
      <c r="E341" s="3"/>
      <c r="F341" s="3" t="s">
        <v>1064</v>
      </c>
      <c r="G341" s="3" t="s">
        <v>1065</v>
      </c>
    </row>
    <row r="342" spans="1:7" ht="21" customHeight="1">
      <c r="A342" s="3"/>
      <c r="B342" s="3"/>
      <c r="C342" s="3"/>
      <c r="D342" s="3"/>
      <c r="E342" s="3"/>
      <c r="F342" s="3" t="s">
        <v>1066</v>
      </c>
      <c r="G342" s="3" t="s">
        <v>1067</v>
      </c>
    </row>
    <row r="343" spans="1:7" ht="21" customHeight="1">
      <c r="A343" s="3"/>
      <c r="B343" s="3"/>
      <c r="C343" s="3"/>
      <c r="D343" s="3"/>
      <c r="E343" s="3"/>
      <c r="F343" s="3" t="s">
        <v>1068</v>
      </c>
      <c r="G343" s="3" t="s">
        <v>1069</v>
      </c>
    </row>
    <row r="344" spans="1:7" ht="21" customHeight="1">
      <c r="A344" s="3"/>
      <c r="B344" s="3"/>
      <c r="C344" s="3"/>
      <c r="D344" s="3"/>
      <c r="E344" s="3"/>
      <c r="F344" s="3" t="s">
        <v>1070</v>
      </c>
      <c r="G344" s="3" t="s">
        <v>1071</v>
      </c>
    </row>
    <row r="345" spans="1:7" ht="21" customHeight="1">
      <c r="A345" s="3"/>
      <c r="B345" s="3"/>
      <c r="C345" s="3"/>
      <c r="D345" s="3"/>
      <c r="E345" s="3"/>
      <c r="F345" s="3" t="s">
        <v>1072</v>
      </c>
      <c r="G345" s="3" t="s">
        <v>1073</v>
      </c>
    </row>
    <row r="346" spans="1:7" ht="21" customHeight="1">
      <c r="A346" s="3"/>
      <c r="B346" s="3"/>
      <c r="C346" s="3"/>
      <c r="D346" s="3"/>
      <c r="E346" s="3"/>
      <c r="F346" s="3" t="s">
        <v>1074</v>
      </c>
      <c r="G346" s="3" t="s">
        <v>1075</v>
      </c>
    </row>
    <row r="347" spans="1:7" ht="21" customHeight="1">
      <c r="A347" s="3"/>
      <c r="B347" s="3"/>
      <c r="C347" s="3"/>
      <c r="D347" s="3"/>
      <c r="E347" s="3"/>
      <c r="F347" s="3" t="s">
        <v>1076</v>
      </c>
      <c r="G347" s="3" t="s">
        <v>1077</v>
      </c>
    </row>
    <row r="348" spans="1:7" ht="21" customHeight="1">
      <c r="A348" s="3"/>
      <c r="B348" s="3"/>
      <c r="C348" s="3"/>
      <c r="D348" s="3"/>
      <c r="E348" s="3"/>
      <c r="F348" s="3" t="s">
        <v>1078</v>
      </c>
      <c r="G348" s="3" t="s">
        <v>1079</v>
      </c>
    </row>
    <row r="349" spans="1:7" ht="21" customHeight="1">
      <c r="A349" s="3"/>
      <c r="B349" s="3"/>
      <c r="C349" s="3"/>
      <c r="D349" s="3"/>
      <c r="E349" s="3"/>
      <c r="F349" s="3" t="s">
        <v>1080</v>
      </c>
      <c r="G349" s="3" t="s">
        <v>1081</v>
      </c>
    </row>
    <row r="350" spans="1:7" ht="21" customHeight="1">
      <c r="A350" s="3"/>
      <c r="B350" s="3"/>
      <c r="C350" s="3"/>
      <c r="D350" s="3"/>
      <c r="E350" s="3"/>
      <c r="F350" s="3" t="s">
        <v>1082</v>
      </c>
      <c r="G350" s="3" t="s">
        <v>1083</v>
      </c>
    </row>
    <row r="351" spans="1:7" ht="21" customHeight="1">
      <c r="A351" s="3"/>
      <c r="B351" s="3"/>
      <c r="C351" s="3"/>
      <c r="D351" s="3"/>
      <c r="E351" s="3"/>
      <c r="F351" s="3" t="s">
        <v>1084</v>
      </c>
      <c r="G351" s="3" t="s">
        <v>1085</v>
      </c>
    </row>
    <row r="352" spans="1:7" ht="21" customHeight="1">
      <c r="A352" s="3"/>
      <c r="B352" s="3"/>
      <c r="C352" s="3"/>
      <c r="D352" s="3"/>
      <c r="E352" s="3"/>
      <c r="F352" s="3" t="s">
        <v>1086</v>
      </c>
      <c r="G352" s="3" t="s">
        <v>1087</v>
      </c>
    </row>
    <row r="353" spans="1:7" ht="21" customHeight="1">
      <c r="A353" s="3"/>
      <c r="B353" s="3"/>
      <c r="C353" s="3"/>
      <c r="D353" s="3"/>
      <c r="E353" s="3"/>
      <c r="F353" s="3" t="s">
        <v>1088</v>
      </c>
      <c r="G353" s="3" t="s">
        <v>1089</v>
      </c>
    </row>
    <row r="354" spans="1:7" ht="21" customHeight="1">
      <c r="A354" s="3"/>
      <c r="B354" s="3"/>
      <c r="C354" s="3"/>
      <c r="D354" s="3"/>
      <c r="E354" s="3"/>
      <c r="F354" s="3" t="s">
        <v>1090</v>
      </c>
      <c r="G354" s="3" t="s">
        <v>1091</v>
      </c>
    </row>
    <row r="355" spans="1:7" ht="21" customHeight="1">
      <c r="A355" s="3"/>
      <c r="B355" s="3"/>
      <c r="C355" s="3"/>
      <c r="D355" s="3"/>
      <c r="E355" s="3"/>
      <c r="F355" s="3" t="s">
        <v>1092</v>
      </c>
      <c r="G355" s="3" t="s">
        <v>1093</v>
      </c>
    </row>
    <row r="356" spans="1:7" ht="21" customHeight="1">
      <c r="A356" s="3"/>
      <c r="B356" s="3"/>
      <c r="C356" s="3"/>
      <c r="D356" s="3"/>
      <c r="E356" s="3"/>
      <c r="F356" s="3" t="s">
        <v>1094</v>
      </c>
      <c r="G356" s="3" t="s">
        <v>1095</v>
      </c>
    </row>
    <row r="357" spans="1:7" ht="21" customHeight="1">
      <c r="A357" s="3"/>
      <c r="B357" s="3"/>
      <c r="C357" s="3"/>
      <c r="D357" s="3"/>
      <c r="E357" s="3"/>
      <c r="F357" s="3" t="s">
        <v>1096</v>
      </c>
      <c r="G357" s="3" t="s">
        <v>1097</v>
      </c>
    </row>
    <row r="358" spans="1:7" ht="21" customHeight="1">
      <c r="A358" s="3"/>
      <c r="B358" s="3"/>
      <c r="C358" s="3"/>
      <c r="D358" s="3"/>
      <c r="E358" s="3"/>
      <c r="F358" s="3" t="s">
        <v>1098</v>
      </c>
      <c r="G358" s="3" t="s">
        <v>1099</v>
      </c>
    </row>
    <row r="359" spans="1:7" ht="21" customHeight="1">
      <c r="A359" s="3"/>
      <c r="B359" s="3"/>
      <c r="C359" s="3"/>
      <c r="D359" s="3"/>
      <c r="E359" s="3"/>
      <c r="F359" s="3" t="s">
        <v>1100</v>
      </c>
      <c r="G359" s="3" t="s">
        <v>1101</v>
      </c>
    </row>
    <row r="360" spans="1:7" ht="21" customHeight="1">
      <c r="A360" s="3"/>
      <c r="B360" s="3"/>
      <c r="C360" s="3"/>
      <c r="D360" s="3"/>
      <c r="E360" s="3"/>
      <c r="F360" s="3" t="s">
        <v>1102</v>
      </c>
      <c r="G360" s="3" t="s">
        <v>1103</v>
      </c>
    </row>
    <row r="361" spans="1:7" ht="21" customHeight="1">
      <c r="A361" s="3"/>
      <c r="B361" s="3"/>
      <c r="C361" s="3"/>
      <c r="D361" s="3"/>
      <c r="E361" s="3"/>
      <c r="F361" s="3" t="s">
        <v>1104</v>
      </c>
      <c r="G361" s="3" t="s">
        <v>1105</v>
      </c>
    </row>
    <row r="362" spans="1:7" ht="21" customHeight="1">
      <c r="A362" s="3"/>
      <c r="B362" s="3"/>
      <c r="C362" s="3"/>
      <c r="D362" s="3"/>
      <c r="E362" s="3"/>
      <c r="F362" s="3" t="s">
        <v>1106</v>
      </c>
      <c r="G362" s="3" t="s">
        <v>1107</v>
      </c>
    </row>
    <row r="363" spans="1:7" ht="21" customHeight="1">
      <c r="A363" s="3"/>
      <c r="B363" s="3"/>
      <c r="C363" s="3"/>
      <c r="D363" s="3"/>
      <c r="E363" s="3"/>
      <c r="F363" s="3" t="s">
        <v>1108</v>
      </c>
      <c r="G363" s="3" t="s">
        <v>1109</v>
      </c>
    </row>
    <row r="364" spans="1:7" ht="21" customHeight="1">
      <c r="A364" s="3"/>
      <c r="B364" s="3"/>
      <c r="C364" s="3"/>
      <c r="D364" s="3"/>
      <c r="E364" s="3"/>
      <c r="F364" s="3" t="s">
        <v>1110</v>
      </c>
      <c r="G364" s="3" t="s">
        <v>1111</v>
      </c>
    </row>
    <row r="365" spans="1:7" ht="21" customHeight="1">
      <c r="A365" s="3"/>
      <c r="B365" s="3"/>
      <c r="C365" s="3"/>
      <c r="D365" s="3"/>
      <c r="E365" s="3"/>
      <c r="F365" s="3" t="s">
        <v>1112</v>
      </c>
      <c r="G365" s="3" t="s">
        <v>1113</v>
      </c>
    </row>
    <row r="366" spans="1:7" ht="21" customHeight="1">
      <c r="A366" s="3"/>
      <c r="B366" s="3"/>
      <c r="C366" s="3"/>
      <c r="D366" s="3"/>
      <c r="E366" s="3"/>
      <c r="F366" s="3" t="s">
        <v>1114</v>
      </c>
      <c r="G366" s="3" t="s">
        <v>1115</v>
      </c>
    </row>
    <row r="367" spans="1:7" ht="21" customHeight="1">
      <c r="A367" s="3"/>
      <c r="B367" s="3"/>
      <c r="C367" s="3"/>
      <c r="D367" s="3"/>
      <c r="E367" s="3"/>
      <c r="F367" s="3" t="s">
        <v>1116</v>
      </c>
      <c r="G367" s="3" t="s">
        <v>1117</v>
      </c>
    </row>
    <row r="368" spans="1:7" ht="21" customHeight="1">
      <c r="A368" s="3"/>
      <c r="B368" s="3"/>
      <c r="C368" s="3"/>
      <c r="D368" s="3"/>
      <c r="E368" s="3"/>
      <c r="F368" s="3" t="s">
        <v>1118</v>
      </c>
      <c r="G368" s="3" t="s">
        <v>1119</v>
      </c>
    </row>
    <row r="369" spans="1:7" ht="21" customHeight="1">
      <c r="A369" s="3"/>
      <c r="B369" s="3"/>
      <c r="C369" s="3"/>
      <c r="D369" s="3"/>
      <c r="E369" s="3"/>
      <c r="F369" s="3" t="s">
        <v>1120</v>
      </c>
      <c r="G369" s="3" t="s">
        <v>1121</v>
      </c>
    </row>
    <row r="370" spans="1:7" ht="21" customHeight="1">
      <c r="A370" s="3"/>
      <c r="B370" s="3"/>
      <c r="C370" s="3"/>
      <c r="D370" s="3"/>
      <c r="E370" s="3"/>
      <c r="F370" s="3" t="s">
        <v>1122</v>
      </c>
      <c r="G370" s="3" t="s">
        <v>1123</v>
      </c>
    </row>
    <row r="371" spans="1:7" ht="21" customHeight="1">
      <c r="A371" s="3"/>
      <c r="B371" s="3"/>
      <c r="C371" s="3"/>
      <c r="D371" s="3"/>
      <c r="E371" s="3"/>
      <c r="F371" s="3" t="s">
        <v>1124</v>
      </c>
      <c r="G371" s="3" t="s">
        <v>1125</v>
      </c>
    </row>
    <row r="372" spans="1:7" ht="21" customHeight="1">
      <c r="A372" s="3"/>
      <c r="B372" s="3"/>
      <c r="C372" s="3"/>
      <c r="D372" s="3"/>
      <c r="E372" s="3"/>
      <c r="F372" s="3" t="s">
        <v>1126</v>
      </c>
      <c r="G372" s="3" t="s">
        <v>1127</v>
      </c>
    </row>
    <row r="373" spans="1:7" ht="21" customHeight="1">
      <c r="A373" s="3"/>
      <c r="B373" s="3"/>
      <c r="C373" s="3"/>
      <c r="D373" s="3"/>
      <c r="E373" s="3"/>
      <c r="F373" s="3" t="s">
        <v>1128</v>
      </c>
      <c r="G373" s="3" t="s">
        <v>1129</v>
      </c>
    </row>
    <row r="374" spans="1:7" ht="21" customHeight="1">
      <c r="A374" s="3"/>
      <c r="B374" s="3"/>
      <c r="C374" s="3"/>
      <c r="D374" s="3"/>
      <c r="E374" s="3"/>
      <c r="F374" s="3" t="s">
        <v>1130</v>
      </c>
      <c r="G374" s="3" t="s">
        <v>1131</v>
      </c>
    </row>
    <row r="375" spans="1:7" ht="21" customHeight="1">
      <c r="A375" s="3"/>
      <c r="B375" s="3"/>
      <c r="C375" s="3"/>
      <c r="D375" s="3"/>
      <c r="E375" s="3"/>
      <c r="F375" s="3" t="s">
        <v>1132</v>
      </c>
      <c r="G375" s="3" t="s">
        <v>1133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6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8" style="2" customWidth="1"/>
    <col min="2" max="2" width="13" style="2" customWidth="1"/>
    <col min="3" max="3" width="75" style="2" customWidth="1"/>
    <col min="4" max="4" width="13" style="2" customWidth="1"/>
    <col min="5" max="5" width="18" style="2" customWidth="1"/>
    <col min="6" max="7" width="13" style="2" customWidth="1"/>
    <col min="8" max="8" width="60" style="2" customWidth="1"/>
    <col min="9" max="9" width="15" style="2" customWidth="1"/>
    <col min="10" max="16384" width="9" style="2"/>
  </cols>
  <sheetData>
    <row r="1" spans="1:9" ht="36" customHeight="1">
      <c r="A1" s="1" t="s">
        <v>2</v>
      </c>
      <c r="B1" s="1" t="s">
        <v>1</v>
      </c>
      <c r="C1" s="1" t="s">
        <v>1134</v>
      </c>
      <c r="D1" s="1" t="s">
        <v>1135</v>
      </c>
      <c r="E1" s="1" t="s">
        <v>109</v>
      </c>
      <c r="F1" s="1" t="s">
        <v>110</v>
      </c>
      <c r="G1" s="1" t="s">
        <v>1136</v>
      </c>
      <c r="H1" s="1" t="s">
        <v>1137</v>
      </c>
      <c r="I1" s="1" t="s">
        <v>34</v>
      </c>
    </row>
    <row r="2" spans="1:9" ht="21" customHeight="1">
      <c r="A2" s="3" t="s">
        <v>66</v>
      </c>
      <c r="B2" s="3" t="s">
        <v>65</v>
      </c>
      <c r="C2" s="3" t="s">
        <v>67</v>
      </c>
      <c r="D2" s="3" t="s">
        <v>1138</v>
      </c>
      <c r="E2" s="4">
        <v>46023</v>
      </c>
      <c r="F2" s="4">
        <v>46053</v>
      </c>
      <c r="G2" s="7">
        <v>12</v>
      </c>
      <c r="H2" s="3" t="s">
        <v>1139</v>
      </c>
      <c r="I2" s="3" t="s">
        <v>45</v>
      </c>
    </row>
    <row r="3" spans="1:9" ht="21" customHeight="1">
      <c r="A3" s="3" t="s">
        <v>66</v>
      </c>
      <c r="B3" s="3" t="s">
        <v>65</v>
      </c>
      <c r="C3" s="3" t="s">
        <v>67</v>
      </c>
      <c r="D3" s="3" t="s">
        <v>1140</v>
      </c>
      <c r="E3" s="4">
        <v>46023</v>
      </c>
      <c r="F3" s="4">
        <v>46053</v>
      </c>
      <c r="G3" s="7">
        <v>93</v>
      </c>
      <c r="H3" s="3" t="s">
        <v>1139</v>
      </c>
      <c r="I3" s="3" t="s">
        <v>45</v>
      </c>
    </row>
    <row r="4" spans="1:9" ht="21" customHeight="1">
      <c r="A4" s="3" t="s">
        <v>66</v>
      </c>
      <c r="B4" s="3" t="s">
        <v>65</v>
      </c>
      <c r="C4" s="3" t="s">
        <v>67</v>
      </c>
      <c r="D4" s="3" t="s">
        <v>1141</v>
      </c>
      <c r="E4" s="4">
        <v>46023</v>
      </c>
      <c r="F4" s="4">
        <v>46053</v>
      </c>
      <c r="G4" s="7">
        <v>250</v>
      </c>
      <c r="H4" s="3" t="s">
        <v>1139</v>
      </c>
      <c r="I4" s="3" t="s">
        <v>45</v>
      </c>
    </row>
    <row r="5" spans="1:9" ht="21" customHeight="1">
      <c r="A5" s="3" t="s">
        <v>66</v>
      </c>
      <c r="B5" s="3" t="s">
        <v>65</v>
      </c>
      <c r="C5" s="3" t="s">
        <v>69</v>
      </c>
      <c r="D5" s="3" t="s">
        <v>1142</v>
      </c>
      <c r="E5" s="4">
        <v>46054</v>
      </c>
      <c r="F5" s="4">
        <v>46081</v>
      </c>
      <c r="G5" s="7">
        <v>12</v>
      </c>
      <c r="H5" s="3" t="s">
        <v>1139</v>
      </c>
      <c r="I5" s="3" t="s">
        <v>45</v>
      </c>
    </row>
    <row r="6" spans="1:9" ht="21" customHeight="1">
      <c r="A6" s="3" t="s">
        <v>66</v>
      </c>
      <c r="B6" s="3" t="s">
        <v>65</v>
      </c>
      <c r="C6" s="3" t="s">
        <v>69</v>
      </c>
      <c r="D6" s="3" t="s">
        <v>1143</v>
      </c>
      <c r="E6" s="4">
        <v>46054</v>
      </c>
      <c r="F6" s="4">
        <v>46081</v>
      </c>
      <c r="G6" s="7">
        <v>84</v>
      </c>
      <c r="H6" s="3" t="s">
        <v>1139</v>
      </c>
      <c r="I6" s="3" t="s">
        <v>45</v>
      </c>
    </row>
    <row r="7" spans="1:9" ht="21" customHeight="1">
      <c r="A7" s="3" t="s">
        <v>66</v>
      </c>
      <c r="B7" s="3" t="s">
        <v>65</v>
      </c>
      <c r="C7" s="3" t="s">
        <v>69</v>
      </c>
      <c r="D7" s="3" t="s">
        <v>1144</v>
      </c>
      <c r="E7" s="4">
        <v>46054</v>
      </c>
      <c r="F7" s="4">
        <v>46081</v>
      </c>
      <c r="G7" s="7">
        <v>254</v>
      </c>
      <c r="H7" s="3" t="s">
        <v>1139</v>
      </c>
      <c r="I7" s="3" t="s">
        <v>45</v>
      </c>
    </row>
    <row r="8" spans="1:9" ht="21" customHeight="1">
      <c r="A8" s="3" t="s">
        <v>66</v>
      </c>
      <c r="B8" s="3" t="s">
        <v>65</v>
      </c>
      <c r="C8" s="3" t="s">
        <v>70</v>
      </c>
      <c r="D8" s="3" t="s">
        <v>1145</v>
      </c>
      <c r="E8" s="4">
        <v>46082</v>
      </c>
      <c r="F8" s="4">
        <v>46112</v>
      </c>
      <c r="G8" s="7">
        <v>12</v>
      </c>
      <c r="H8" s="3" t="s">
        <v>1139</v>
      </c>
      <c r="I8" s="3" t="s">
        <v>45</v>
      </c>
    </row>
    <row r="9" spans="1:9" ht="21" customHeight="1">
      <c r="A9" s="3" t="s">
        <v>66</v>
      </c>
      <c r="B9" s="3" t="s">
        <v>65</v>
      </c>
      <c r="C9" s="3" t="s">
        <v>70</v>
      </c>
      <c r="D9" s="3" t="s">
        <v>1146</v>
      </c>
      <c r="E9" s="4">
        <v>46082</v>
      </c>
      <c r="F9" s="4">
        <v>46112</v>
      </c>
      <c r="G9" s="7">
        <v>93</v>
      </c>
      <c r="H9" s="3" t="s">
        <v>1139</v>
      </c>
      <c r="I9" s="3" t="s">
        <v>45</v>
      </c>
    </row>
    <row r="10" spans="1:9" ht="21" customHeight="1">
      <c r="A10" s="3" t="s">
        <v>66</v>
      </c>
      <c r="B10" s="3" t="s">
        <v>65</v>
      </c>
      <c r="C10" s="3" t="s">
        <v>70</v>
      </c>
      <c r="D10" s="3" t="s">
        <v>1147</v>
      </c>
      <c r="E10" s="4">
        <v>46082</v>
      </c>
      <c r="F10" s="4">
        <v>46112</v>
      </c>
      <c r="G10" s="7">
        <v>254</v>
      </c>
      <c r="H10" s="3" t="s">
        <v>1139</v>
      </c>
      <c r="I10" s="3" t="s">
        <v>45</v>
      </c>
    </row>
    <row r="11" spans="1:9" ht="21" customHeight="1">
      <c r="A11" s="3" t="s">
        <v>66</v>
      </c>
      <c r="B11" s="3" t="s">
        <v>65</v>
      </c>
      <c r="C11" s="3" t="s">
        <v>72</v>
      </c>
      <c r="D11" s="3" t="s">
        <v>1148</v>
      </c>
      <c r="E11" s="4">
        <v>46113</v>
      </c>
      <c r="F11" s="4">
        <v>46142</v>
      </c>
      <c r="G11" s="7">
        <v>12</v>
      </c>
      <c r="H11" s="3" t="s">
        <v>1139</v>
      </c>
      <c r="I11" s="3" t="s">
        <v>45</v>
      </c>
    </row>
    <row r="12" spans="1:9" ht="21" customHeight="1">
      <c r="A12" s="3" t="s">
        <v>66</v>
      </c>
      <c r="B12" s="3" t="s">
        <v>65</v>
      </c>
      <c r="C12" s="3" t="s">
        <v>72</v>
      </c>
      <c r="D12" s="3" t="s">
        <v>1149</v>
      </c>
      <c r="E12" s="4">
        <v>46113</v>
      </c>
      <c r="F12" s="4">
        <v>46142</v>
      </c>
      <c r="G12" s="7">
        <v>90</v>
      </c>
      <c r="H12" s="3" t="s">
        <v>1139</v>
      </c>
      <c r="I12" s="3" t="s">
        <v>45</v>
      </c>
    </row>
    <row r="13" spans="1:9" ht="21" customHeight="1">
      <c r="A13" s="3" t="s">
        <v>66</v>
      </c>
      <c r="B13" s="3" t="s">
        <v>65</v>
      </c>
      <c r="C13" s="3" t="s">
        <v>72</v>
      </c>
      <c r="D13" s="3" t="s">
        <v>1150</v>
      </c>
      <c r="E13" s="4">
        <v>46113</v>
      </c>
      <c r="F13" s="4">
        <v>46142</v>
      </c>
      <c r="G13" s="7">
        <v>254</v>
      </c>
      <c r="H13" s="3" t="s">
        <v>1139</v>
      </c>
      <c r="I13" s="3" t="s">
        <v>45</v>
      </c>
    </row>
    <row r="14" spans="1:9" ht="21" customHeight="1">
      <c r="A14" s="3" t="s">
        <v>66</v>
      </c>
      <c r="B14" s="3" t="s">
        <v>65</v>
      </c>
      <c r="C14" s="3" t="s">
        <v>73</v>
      </c>
      <c r="D14" s="3" t="s">
        <v>1151</v>
      </c>
      <c r="E14" s="4">
        <v>46143</v>
      </c>
      <c r="F14" s="4">
        <v>46173</v>
      </c>
      <c r="G14" s="7">
        <v>12</v>
      </c>
      <c r="H14" s="3" t="s">
        <v>1139</v>
      </c>
      <c r="I14" s="3" t="s">
        <v>45</v>
      </c>
    </row>
    <row r="15" spans="1:9" ht="21" customHeight="1">
      <c r="A15" s="3" t="s">
        <v>66</v>
      </c>
      <c r="B15" s="3" t="s">
        <v>65</v>
      </c>
      <c r="C15" s="3" t="s">
        <v>73</v>
      </c>
      <c r="D15" s="3" t="s">
        <v>1152</v>
      </c>
      <c r="E15" s="4">
        <v>46143</v>
      </c>
      <c r="F15" s="4">
        <v>46173</v>
      </c>
      <c r="G15" s="7">
        <v>93</v>
      </c>
      <c r="H15" s="3" t="s">
        <v>1139</v>
      </c>
      <c r="I15" s="3" t="s">
        <v>45</v>
      </c>
    </row>
    <row r="16" spans="1:9" ht="21" customHeight="1">
      <c r="A16" s="3" t="s">
        <v>66</v>
      </c>
      <c r="B16" s="3" t="s">
        <v>65</v>
      </c>
      <c r="C16" s="3" t="s">
        <v>73</v>
      </c>
      <c r="D16" s="3" t="s">
        <v>1153</v>
      </c>
      <c r="E16" s="4">
        <v>46143</v>
      </c>
      <c r="F16" s="4">
        <v>46173</v>
      </c>
      <c r="G16" s="7">
        <v>254</v>
      </c>
      <c r="H16" s="3" t="s">
        <v>1139</v>
      </c>
      <c r="I16" s="3" t="s">
        <v>45</v>
      </c>
    </row>
    <row r="17" spans="1:9" ht="21" customHeight="1">
      <c r="A17" s="3" t="s">
        <v>66</v>
      </c>
      <c r="B17" s="3" t="s">
        <v>65</v>
      </c>
      <c r="C17" s="3" t="s">
        <v>74</v>
      </c>
      <c r="D17" s="3" t="s">
        <v>1154</v>
      </c>
      <c r="E17" s="4">
        <v>46174</v>
      </c>
      <c r="F17" s="4">
        <v>46203</v>
      </c>
      <c r="G17" s="7">
        <v>12</v>
      </c>
      <c r="H17" s="3" t="s">
        <v>1139</v>
      </c>
      <c r="I17" s="3" t="s">
        <v>45</v>
      </c>
    </row>
    <row r="18" spans="1:9" ht="21" customHeight="1">
      <c r="A18" s="3" t="s">
        <v>66</v>
      </c>
      <c r="B18" s="3" t="s">
        <v>65</v>
      </c>
      <c r="C18" s="3" t="s">
        <v>74</v>
      </c>
      <c r="D18" s="3" t="s">
        <v>1155</v>
      </c>
      <c r="E18" s="4">
        <v>46174</v>
      </c>
      <c r="F18" s="4">
        <v>46203</v>
      </c>
      <c r="G18" s="7">
        <v>90</v>
      </c>
      <c r="H18" s="3" t="s">
        <v>1139</v>
      </c>
      <c r="I18" s="3" t="s">
        <v>45</v>
      </c>
    </row>
    <row r="19" spans="1:9" ht="21" customHeight="1">
      <c r="A19" s="3" t="s">
        <v>66</v>
      </c>
      <c r="B19" s="3" t="s">
        <v>65</v>
      </c>
      <c r="C19" s="3" t="s">
        <v>74</v>
      </c>
      <c r="D19" s="3" t="s">
        <v>1156</v>
      </c>
      <c r="E19" s="4">
        <v>46174</v>
      </c>
      <c r="F19" s="4">
        <v>46203</v>
      </c>
      <c r="G19" s="7">
        <v>254</v>
      </c>
      <c r="H19" s="3" t="s">
        <v>1139</v>
      </c>
      <c r="I19" s="3" t="s">
        <v>45</v>
      </c>
    </row>
    <row r="20" spans="1:9" ht="21" customHeight="1">
      <c r="A20" s="3" t="s">
        <v>66</v>
      </c>
      <c r="B20" s="3" t="s">
        <v>65</v>
      </c>
      <c r="C20" s="3" t="s">
        <v>75</v>
      </c>
      <c r="D20" s="3" t="s">
        <v>1157</v>
      </c>
      <c r="E20" s="4">
        <v>46204</v>
      </c>
      <c r="F20" s="4">
        <v>46234</v>
      </c>
      <c r="G20" s="7">
        <v>12</v>
      </c>
      <c r="H20" s="3" t="s">
        <v>1139</v>
      </c>
      <c r="I20" s="3" t="s">
        <v>45</v>
      </c>
    </row>
    <row r="21" spans="1:9" ht="21" customHeight="1">
      <c r="A21" s="3" t="s">
        <v>66</v>
      </c>
      <c r="B21" s="3" t="s">
        <v>65</v>
      </c>
      <c r="C21" s="3" t="s">
        <v>75</v>
      </c>
      <c r="D21" s="3" t="s">
        <v>1158</v>
      </c>
      <c r="E21" s="4">
        <v>46204</v>
      </c>
      <c r="F21" s="4">
        <v>46234</v>
      </c>
      <c r="G21" s="7">
        <v>93</v>
      </c>
      <c r="H21" s="3" t="s">
        <v>1139</v>
      </c>
      <c r="I21" s="3" t="s">
        <v>45</v>
      </c>
    </row>
    <row r="22" spans="1:9" ht="21" customHeight="1">
      <c r="A22" s="3" t="s">
        <v>66</v>
      </c>
      <c r="B22" s="3" t="s">
        <v>65</v>
      </c>
      <c r="C22" s="3" t="s">
        <v>75</v>
      </c>
      <c r="D22" s="3" t="s">
        <v>1159</v>
      </c>
      <c r="E22" s="4">
        <v>46204</v>
      </c>
      <c r="F22" s="4">
        <v>46234</v>
      </c>
      <c r="G22" s="7">
        <v>255</v>
      </c>
      <c r="H22" s="3" t="s">
        <v>1139</v>
      </c>
      <c r="I22" s="3" t="s">
        <v>45</v>
      </c>
    </row>
    <row r="23" spans="1:9" ht="21" customHeight="1">
      <c r="A23" s="3" t="s">
        <v>66</v>
      </c>
      <c r="B23" s="3" t="s">
        <v>65</v>
      </c>
      <c r="C23" s="3" t="s">
        <v>76</v>
      </c>
      <c r="D23" s="3" t="s">
        <v>1160</v>
      </c>
      <c r="E23" s="4">
        <v>46235</v>
      </c>
      <c r="F23" s="4">
        <v>46265</v>
      </c>
      <c r="G23" s="7">
        <v>12</v>
      </c>
      <c r="H23" s="3" t="s">
        <v>1139</v>
      </c>
      <c r="I23" s="3" t="s">
        <v>45</v>
      </c>
    </row>
    <row r="24" spans="1:9" ht="21" customHeight="1">
      <c r="A24" s="3" t="s">
        <v>66</v>
      </c>
      <c r="B24" s="3" t="s">
        <v>65</v>
      </c>
      <c r="C24" s="3" t="s">
        <v>76</v>
      </c>
      <c r="D24" s="3" t="s">
        <v>1161</v>
      </c>
      <c r="E24" s="4">
        <v>46235</v>
      </c>
      <c r="F24" s="4">
        <v>46265</v>
      </c>
      <c r="G24" s="7">
        <v>93</v>
      </c>
      <c r="H24" s="3" t="s">
        <v>1139</v>
      </c>
      <c r="I24" s="3" t="s">
        <v>45</v>
      </c>
    </row>
    <row r="25" spans="1:9" ht="21" customHeight="1">
      <c r="A25" s="3" t="s">
        <v>66</v>
      </c>
      <c r="B25" s="3" t="s">
        <v>65</v>
      </c>
      <c r="C25" s="3" t="s">
        <v>76</v>
      </c>
      <c r="D25" s="3" t="s">
        <v>1162</v>
      </c>
      <c r="E25" s="4">
        <v>46235</v>
      </c>
      <c r="F25" s="4">
        <v>46265</v>
      </c>
      <c r="G25" s="7">
        <v>255</v>
      </c>
      <c r="H25" s="3" t="s">
        <v>1139</v>
      </c>
      <c r="I25" s="3" t="s">
        <v>45</v>
      </c>
    </row>
    <row r="26" spans="1:9" ht="21" customHeight="1">
      <c r="A26" s="3" t="s">
        <v>66</v>
      </c>
      <c r="B26" s="3" t="s">
        <v>65</v>
      </c>
      <c r="C26" s="3" t="s">
        <v>77</v>
      </c>
      <c r="D26" s="3" t="s">
        <v>1163</v>
      </c>
      <c r="E26" s="4">
        <v>46266</v>
      </c>
      <c r="F26" s="4">
        <v>46276</v>
      </c>
      <c r="G26" s="7">
        <v>12</v>
      </c>
      <c r="H26" s="3" t="s">
        <v>1139</v>
      </c>
      <c r="I26" s="3" t="s">
        <v>45</v>
      </c>
    </row>
    <row r="27" spans="1:9" ht="21" customHeight="1">
      <c r="A27" s="3" t="s">
        <v>66</v>
      </c>
      <c r="B27" s="3" t="s">
        <v>65</v>
      </c>
      <c r="C27" s="3" t="s">
        <v>77</v>
      </c>
      <c r="D27" s="3" t="s">
        <v>1164</v>
      </c>
      <c r="E27" s="4">
        <v>46266</v>
      </c>
      <c r="F27" s="4">
        <v>46276</v>
      </c>
      <c r="G27" s="7">
        <v>33</v>
      </c>
      <c r="H27" s="3" t="s">
        <v>1139</v>
      </c>
      <c r="I27" s="3" t="s">
        <v>45</v>
      </c>
    </row>
    <row r="28" spans="1:9" ht="21" customHeight="1">
      <c r="A28" s="3" t="s">
        <v>66</v>
      </c>
      <c r="B28" s="3" t="s">
        <v>65</v>
      </c>
      <c r="C28" s="3" t="s">
        <v>77</v>
      </c>
      <c r="D28" s="3" t="s">
        <v>1165</v>
      </c>
      <c r="E28" s="4">
        <v>46266</v>
      </c>
      <c r="F28" s="4">
        <v>46276</v>
      </c>
      <c r="G28" s="7">
        <v>255</v>
      </c>
      <c r="H28" s="3" t="s">
        <v>1139</v>
      </c>
      <c r="I28" s="3" t="s">
        <v>45</v>
      </c>
    </row>
    <row r="29" spans="1:9" ht="21" customHeight="1">
      <c r="A29" s="3" t="s">
        <v>66</v>
      </c>
      <c r="B29" s="3" t="s">
        <v>65</v>
      </c>
      <c r="C29" s="3" t="s">
        <v>98</v>
      </c>
      <c r="D29" s="3" t="s">
        <v>1166</v>
      </c>
      <c r="E29" s="4">
        <v>46023</v>
      </c>
      <c r="F29" s="4">
        <v>46265</v>
      </c>
      <c r="G29" s="7">
        <v>57</v>
      </c>
      <c r="H29" s="3" t="s">
        <v>1139</v>
      </c>
      <c r="I29" s="3" t="s">
        <v>45</v>
      </c>
    </row>
    <row r="30" spans="1:9" ht="21" customHeight="1">
      <c r="A30" s="3" t="s">
        <v>66</v>
      </c>
      <c r="B30" s="3" t="s">
        <v>65</v>
      </c>
      <c r="C30" s="3" t="s">
        <v>98</v>
      </c>
      <c r="D30" s="3" t="s">
        <v>1167</v>
      </c>
      <c r="E30" s="4">
        <v>46023</v>
      </c>
      <c r="F30" s="4">
        <v>46265</v>
      </c>
      <c r="G30" s="7">
        <v>49</v>
      </c>
      <c r="H30" s="3" t="s">
        <v>1139</v>
      </c>
      <c r="I30" s="3" t="s">
        <v>45</v>
      </c>
    </row>
    <row r="31" spans="1:9" ht="21" customHeight="1">
      <c r="A31" s="3" t="s">
        <v>66</v>
      </c>
      <c r="B31" s="3" t="s">
        <v>65</v>
      </c>
      <c r="C31" s="3" t="s">
        <v>98</v>
      </c>
      <c r="D31" s="3" t="s">
        <v>1168</v>
      </c>
      <c r="E31" s="4">
        <v>46023</v>
      </c>
      <c r="F31" s="4">
        <v>46265</v>
      </c>
      <c r="G31" s="7">
        <v>56</v>
      </c>
      <c r="H31" s="3" t="s">
        <v>1139</v>
      </c>
      <c r="I31" s="3" t="s">
        <v>45</v>
      </c>
    </row>
    <row r="32" spans="1:9" ht="21" customHeight="1">
      <c r="A32" s="3" t="s">
        <v>66</v>
      </c>
      <c r="B32" s="3" t="s">
        <v>65</v>
      </c>
      <c r="C32" s="3" t="s">
        <v>98</v>
      </c>
      <c r="D32" s="3" t="s">
        <v>1169</v>
      </c>
      <c r="E32" s="4">
        <v>46023</v>
      </c>
      <c r="F32" s="4">
        <v>46265</v>
      </c>
      <c r="G32" s="7">
        <v>15</v>
      </c>
      <c r="H32" s="3" t="s">
        <v>1139</v>
      </c>
      <c r="I32" s="3" t="s">
        <v>45</v>
      </c>
    </row>
    <row r="33" spans="1:9" ht="21" customHeight="1">
      <c r="A33" s="3" t="s">
        <v>66</v>
      </c>
      <c r="B33" s="3" t="s">
        <v>65</v>
      </c>
      <c r="C33" s="3" t="s">
        <v>98</v>
      </c>
      <c r="D33" s="3" t="s">
        <v>1170</v>
      </c>
      <c r="E33" s="4">
        <v>46023</v>
      </c>
      <c r="F33" s="4">
        <v>46265</v>
      </c>
      <c r="G33" s="7">
        <v>14</v>
      </c>
      <c r="H33" s="3" t="s">
        <v>1139</v>
      </c>
      <c r="I33" s="3" t="s">
        <v>45</v>
      </c>
    </row>
    <row r="34" spans="1:9" ht="21" customHeight="1">
      <c r="A34" s="3" t="s">
        <v>66</v>
      </c>
      <c r="B34" s="3" t="s">
        <v>65</v>
      </c>
      <c r="C34" s="3" t="s">
        <v>98</v>
      </c>
      <c r="D34" s="3" t="s">
        <v>1171</v>
      </c>
      <c r="E34" s="4">
        <v>46023</v>
      </c>
      <c r="F34" s="4">
        <v>46265</v>
      </c>
      <c r="G34" s="7">
        <v>8</v>
      </c>
      <c r="H34" s="3" t="s">
        <v>1139</v>
      </c>
      <c r="I34" s="3" t="s">
        <v>45</v>
      </c>
    </row>
    <row r="35" spans="1:9" ht="21" customHeight="1">
      <c r="A35" s="3" t="s">
        <v>66</v>
      </c>
      <c r="B35" s="3" t="s">
        <v>65</v>
      </c>
      <c r="C35" s="3" t="s">
        <v>98</v>
      </c>
      <c r="D35" s="3" t="s">
        <v>1172</v>
      </c>
      <c r="E35" s="4">
        <v>46023</v>
      </c>
      <c r="F35" s="4">
        <v>46265</v>
      </c>
      <c r="G35" s="7">
        <v>8</v>
      </c>
      <c r="H35" s="3" t="s">
        <v>1139</v>
      </c>
      <c r="I35" s="3" t="s">
        <v>45</v>
      </c>
    </row>
    <row r="36" spans="1:9" ht="21" customHeight="1">
      <c r="A36" s="3" t="s">
        <v>66</v>
      </c>
      <c r="B36" s="3" t="s">
        <v>65</v>
      </c>
      <c r="C36" s="3" t="s">
        <v>98</v>
      </c>
      <c r="D36" s="3" t="s">
        <v>1173</v>
      </c>
      <c r="E36" s="4">
        <v>46023</v>
      </c>
      <c r="F36" s="4">
        <v>46265</v>
      </c>
      <c r="G36" s="7">
        <v>8</v>
      </c>
      <c r="H36" s="3" t="s">
        <v>1139</v>
      </c>
      <c r="I36" s="3" t="s">
        <v>45</v>
      </c>
    </row>
    <row r="37" spans="1:9" ht="21" customHeight="1">
      <c r="A37" s="3" t="s">
        <v>66</v>
      </c>
      <c r="B37" s="3" t="s">
        <v>65</v>
      </c>
      <c r="C37" s="3" t="s">
        <v>98</v>
      </c>
      <c r="D37" s="3" t="s">
        <v>1174</v>
      </c>
      <c r="E37" s="4">
        <v>46023</v>
      </c>
      <c r="F37" s="4">
        <v>46265</v>
      </c>
      <c r="G37" s="7">
        <v>8</v>
      </c>
      <c r="H37" s="3" t="s">
        <v>1139</v>
      </c>
      <c r="I37" s="3" t="s">
        <v>45</v>
      </c>
    </row>
    <row r="38" spans="1:9" ht="21" customHeight="1">
      <c r="A38" s="3" t="s">
        <v>66</v>
      </c>
      <c r="B38" s="3" t="s">
        <v>65</v>
      </c>
      <c r="C38" s="3" t="s">
        <v>1175</v>
      </c>
      <c r="D38" s="3" t="s">
        <v>1176</v>
      </c>
      <c r="E38" s="4">
        <v>46023</v>
      </c>
      <c r="F38" s="4">
        <v>46265</v>
      </c>
      <c r="G38" s="7">
        <v>1</v>
      </c>
      <c r="H38" s="3" t="s">
        <v>1139</v>
      </c>
      <c r="I38" s="3" t="s">
        <v>45</v>
      </c>
    </row>
    <row r="39" spans="1:9" ht="21" customHeight="1">
      <c r="A39" s="3" t="s">
        <v>66</v>
      </c>
      <c r="B39" s="3" t="s">
        <v>65</v>
      </c>
      <c r="C39" s="3" t="s">
        <v>1175</v>
      </c>
      <c r="D39" s="3" t="s">
        <v>1177</v>
      </c>
      <c r="E39" s="4">
        <v>46023</v>
      </c>
      <c r="F39" s="4">
        <v>46265</v>
      </c>
      <c r="G39" s="7">
        <v>1</v>
      </c>
      <c r="H39" s="3" t="s">
        <v>1139</v>
      </c>
      <c r="I39" s="3" t="s">
        <v>45</v>
      </c>
    </row>
    <row r="40" spans="1:9" ht="21" customHeight="1">
      <c r="A40" s="3" t="s">
        <v>66</v>
      </c>
      <c r="B40" s="3" t="s">
        <v>65</v>
      </c>
      <c r="C40" s="3" t="s">
        <v>1175</v>
      </c>
      <c r="D40" s="3" t="s">
        <v>1178</v>
      </c>
      <c r="E40" s="4">
        <v>46023</v>
      </c>
      <c r="F40" s="4">
        <v>46265</v>
      </c>
      <c r="G40" s="7">
        <v>40</v>
      </c>
      <c r="H40" s="3" t="s">
        <v>1139</v>
      </c>
      <c r="I40" s="3" t="s">
        <v>45</v>
      </c>
    </row>
    <row r="41" spans="1:9" ht="21" customHeight="1">
      <c r="A41" s="3" t="s">
        <v>66</v>
      </c>
      <c r="B41" s="3" t="s">
        <v>65</v>
      </c>
      <c r="C41" s="3" t="s">
        <v>1175</v>
      </c>
      <c r="D41" s="3" t="s">
        <v>1179</v>
      </c>
      <c r="E41" s="4">
        <v>46023</v>
      </c>
      <c r="F41" s="4">
        <v>46265</v>
      </c>
      <c r="G41" s="7">
        <v>3</v>
      </c>
      <c r="H41" s="3" t="s">
        <v>1139</v>
      </c>
      <c r="I41" s="3" t="s">
        <v>45</v>
      </c>
    </row>
    <row r="42" spans="1:9" ht="21" customHeight="1">
      <c r="A42" s="3" t="s">
        <v>66</v>
      </c>
      <c r="B42" s="3" t="s">
        <v>65</v>
      </c>
      <c r="C42" s="3" t="s">
        <v>1175</v>
      </c>
      <c r="D42" s="3" t="s">
        <v>1180</v>
      </c>
      <c r="E42" s="4">
        <v>46023</v>
      </c>
      <c r="F42" s="4">
        <v>46265</v>
      </c>
      <c r="G42" s="7">
        <v>5</v>
      </c>
      <c r="H42" s="3" t="s">
        <v>1139</v>
      </c>
      <c r="I42" s="3" t="s">
        <v>45</v>
      </c>
    </row>
    <row r="43" spans="1:9" ht="21" customHeight="1">
      <c r="A43" s="3" t="s">
        <v>66</v>
      </c>
      <c r="B43" s="3" t="s">
        <v>65</v>
      </c>
      <c r="C43" s="3" t="s">
        <v>1181</v>
      </c>
      <c r="D43" s="3" t="s">
        <v>1182</v>
      </c>
      <c r="E43" s="4">
        <v>46023</v>
      </c>
      <c r="F43" s="4">
        <v>46265</v>
      </c>
      <c r="G43" s="7">
        <v>1</v>
      </c>
      <c r="H43" s="3" t="s">
        <v>1139</v>
      </c>
      <c r="I43" s="3" t="s">
        <v>45</v>
      </c>
    </row>
    <row r="44" spans="1:9" ht="21" customHeight="1">
      <c r="A44" s="3" t="s">
        <v>66</v>
      </c>
      <c r="B44" s="3" t="s">
        <v>65</v>
      </c>
      <c r="C44" s="3" t="s">
        <v>1181</v>
      </c>
      <c r="D44" s="3" t="s">
        <v>1183</v>
      </c>
      <c r="E44" s="4">
        <v>46023</v>
      </c>
      <c r="F44" s="4">
        <v>46265</v>
      </c>
      <c r="G44" s="7">
        <v>1</v>
      </c>
      <c r="H44" s="3" t="s">
        <v>1139</v>
      </c>
      <c r="I44" s="3" t="s">
        <v>45</v>
      </c>
    </row>
    <row r="45" spans="1:9" ht="21" customHeight="1">
      <c r="A45" s="3" t="s">
        <v>66</v>
      </c>
      <c r="B45" s="3" t="s">
        <v>65</v>
      </c>
      <c r="C45" s="3" t="s">
        <v>1181</v>
      </c>
      <c r="D45" s="3" t="s">
        <v>1184</v>
      </c>
      <c r="E45" s="4">
        <v>46023</v>
      </c>
      <c r="F45" s="4">
        <v>46265</v>
      </c>
      <c r="G45" s="7">
        <v>40</v>
      </c>
      <c r="H45" s="3" t="s">
        <v>1139</v>
      </c>
      <c r="I45" s="3" t="s">
        <v>45</v>
      </c>
    </row>
    <row r="46" spans="1:9" ht="21" customHeight="1">
      <c r="A46" s="3" t="s">
        <v>66</v>
      </c>
      <c r="B46" s="3" t="s">
        <v>65</v>
      </c>
      <c r="C46" s="3" t="s">
        <v>1181</v>
      </c>
      <c r="D46" s="3" t="s">
        <v>1185</v>
      </c>
      <c r="E46" s="4">
        <v>46023</v>
      </c>
      <c r="F46" s="4">
        <v>46265</v>
      </c>
      <c r="G46" s="7">
        <v>3</v>
      </c>
      <c r="H46" s="3" t="s">
        <v>1139</v>
      </c>
      <c r="I46" s="3" t="s">
        <v>45</v>
      </c>
    </row>
    <row r="47" spans="1:9" ht="21" customHeight="1">
      <c r="A47" s="3" t="s">
        <v>66</v>
      </c>
      <c r="B47" s="3" t="s">
        <v>65</v>
      </c>
      <c r="C47" s="3" t="s">
        <v>1181</v>
      </c>
      <c r="D47" s="3" t="s">
        <v>1186</v>
      </c>
      <c r="E47" s="4">
        <v>46023</v>
      </c>
      <c r="F47" s="4">
        <v>46265</v>
      </c>
      <c r="G47" s="7">
        <v>5</v>
      </c>
      <c r="H47" s="3" t="s">
        <v>1139</v>
      </c>
      <c r="I47" s="3" t="s">
        <v>45</v>
      </c>
    </row>
    <row r="48" spans="1:9" ht="21" customHeight="1">
      <c r="A48" s="3" t="s">
        <v>66</v>
      </c>
      <c r="B48" s="3" t="s">
        <v>65</v>
      </c>
      <c r="C48" s="3" t="s">
        <v>1187</v>
      </c>
      <c r="D48" s="3" t="s">
        <v>1188</v>
      </c>
      <c r="E48" s="4">
        <v>46023</v>
      </c>
      <c r="F48" s="4">
        <v>46203</v>
      </c>
      <c r="G48" s="7">
        <v>1</v>
      </c>
      <c r="H48" s="3" t="s">
        <v>1139</v>
      </c>
      <c r="I48" s="3" t="s">
        <v>45</v>
      </c>
    </row>
    <row r="49" spans="1:9" ht="21" customHeight="1">
      <c r="A49" s="3" t="s">
        <v>66</v>
      </c>
      <c r="B49" s="3" t="s">
        <v>65</v>
      </c>
      <c r="C49" s="3" t="s">
        <v>1187</v>
      </c>
      <c r="D49" s="3" t="s">
        <v>1189</v>
      </c>
      <c r="E49" s="4">
        <v>46023</v>
      </c>
      <c r="F49" s="4">
        <v>46203</v>
      </c>
      <c r="G49" s="7">
        <v>1</v>
      </c>
      <c r="H49" s="3" t="s">
        <v>1139</v>
      </c>
      <c r="I49" s="3" t="s">
        <v>45</v>
      </c>
    </row>
    <row r="50" spans="1:9" ht="21" customHeight="1">
      <c r="A50" s="3" t="s">
        <v>66</v>
      </c>
      <c r="B50" s="3" t="s">
        <v>65</v>
      </c>
      <c r="C50" s="3" t="s">
        <v>1187</v>
      </c>
      <c r="D50" s="3" t="s">
        <v>1190</v>
      </c>
      <c r="E50" s="4">
        <v>46023</v>
      </c>
      <c r="F50" s="4">
        <v>46203</v>
      </c>
      <c r="G50" s="7">
        <v>40</v>
      </c>
      <c r="H50" s="3" t="s">
        <v>1139</v>
      </c>
      <c r="I50" s="3" t="s">
        <v>45</v>
      </c>
    </row>
    <row r="51" spans="1:9" ht="21" customHeight="1">
      <c r="A51" s="3" t="s">
        <v>66</v>
      </c>
      <c r="B51" s="3" t="s">
        <v>65</v>
      </c>
      <c r="C51" s="3" t="s">
        <v>1187</v>
      </c>
      <c r="D51" s="3" t="s">
        <v>1191</v>
      </c>
      <c r="E51" s="4">
        <v>46023</v>
      </c>
      <c r="F51" s="4">
        <v>46203</v>
      </c>
      <c r="G51" s="7">
        <v>3</v>
      </c>
      <c r="H51" s="3" t="s">
        <v>1139</v>
      </c>
      <c r="I51" s="3" t="s">
        <v>45</v>
      </c>
    </row>
    <row r="52" spans="1:9" ht="21" customHeight="1">
      <c r="A52" s="3" t="s">
        <v>66</v>
      </c>
      <c r="B52" s="3" t="s">
        <v>65</v>
      </c>
      <c r="C52" s="3" t="s">
        <v>1187</v>
      </c>
      <c r="D52" s="3" t="s">
        <v>1192</v>
      </c>
      <c r="E52" s="4">
        <v>46023</v>
      </c>
      <c r="F52" s="4">
        <v>46203</v>
      </c>
      <c r="G52" s="7">
        <v>5</v>
      </c>
      <c r="H52" s="3" t="s">
        <v>1139</v>
      </c>
      <c r="I52" s="3" t="s">
        <v>45</v>
      </c>
    </row>
    <row r="53" spans="1:9" ht="21" customHeight="1">
      <c r="A53" s="3" t="s">
        <v>40</v>
      </c>
      <c r="B53" s="3" t="s">
        <v>39</v>
      </c>
      <c r="C53" s="3" t="s">
        <v>43</v>
      </c>
      <c r="D53" s="3" t="s">
        <v>1193</v>
      </c>
      <c r="E53" s="4">
        <v>45962</v>
      </c>
      <c r="F53" s="4">
        <v>45991</v>
      </c>
      <c r="G53" s="7">
        <v>9</v>
      </c>
      <c r="H53" s="3" t="s">
        <v>1139</v>
      </c>
      <c r="I53" s="3" t="s">
        <v>45</v>
      </c>
    </row>
    <row r="54" spans="1:9" ht="21" customHeight="1">
      <c r="A54" s="3" t="s">
        <v>40</v>
      </c>
      <c r="B54" s="3" t="s">
        <v>39</v>
      </c>
      <c r="C54" s="3" t="s">
        <v>43</v>
      </c>
      <c r="D54" s="3" t="s">
        <v>1194</v>
      </c>
      <c r="E54" s="4">
        <v>45962</v>
      </c>
      <c r="F54" s="4">
        <v>45991</v>
      </c>
      <c r="G54" s="7">
        <v>90</v>
      </c>
      <c r="H54" s="3" t="s">
        <v>1139</v>
      </c>
      <c r="I54" s="3" t="s">
        <v>45</v>
      </c>
    </row>
    <row r="55" spans="1:9" ht="21" customHeight="1">
      <c r="A55" s="3" t="s">
        <v>40</v>
      </c>
      <c r="B55" s="3" t="s">
        <v>39</v>
      </c>
      <c r="C55" s="3" t="s">
        <v>43</v>
      </c>
      <c r="D55" s="3" t="s">
        <v>1195</v>
      </c>
      <c r="E55" s="4">
        <v>45962</v>
      </c>
      <c r="F55" s="4">
        <v>45991</v>
      </c>
      <c r="G55" s="7">
        <v>250</v>
      </c>
      <c r="H55" s="3" t="s">
        <v>1139</v>
      </c>
      <c r="I55" s="3" t="s">
        <v>45</v>
      </c>
    </row>
    <row r="56" spans="1:9" ht="21" customHeight="1">
      <c r="A56" s="3" t="s">
        <v>40</v>
      </c>
      <c r="B56" s="3" t="s">
        <v>39</v>
      </c>
      <c r="C56" s="3" t="s">
        <v>54</v>
      </c>
      <c r="D56" s="3" t="s">
        <v>1196</v>
      </c>
      <c r="E56" s="4">
        <v>45992</v>
      </c>
      <c r="F56" s="4">
        <v>46022</v>
      </c>
      <c r="G56" s="7">
        <v>9</v>
      </c>
      <c r="H56" s="3" t="s">
        <v>1139</v>
      </c>
      <c r="I56" s="3" t="s">
        <v>45</v>
      </c>
    </row>
    <row r="57" spans="1:9" ht="21" customHeight="1">
      <c r="A57" s="3" t="s">
        <v>40</v>
      </c>
      <c r="B57" s="3" t="s">
        <v>39</v>
      </c>
      <c r="C57" s="3" t="s">
        <v>54</v>
      </c>
      <c r="D57" s="3" t="s">
        <v>1197</v>
      </c>
      <c r="E57" s="4">
        <v>45992</v>
      </c>
      <c r="F57" s="4">
        <v>46022</v>
      </c>
      <c r="G57" s="7">
        <v>93</v>
      </c>
      <c r="H57" s="3" t="s">
        <v>1139</v>
      </c>
      <c r="I57" s="3" t="s">
        <v>45</v>
      </c>
    </row>
    <row r="58" spans="1:9" ht="21" customHeight="1">
      <c r="A58" s="3" t="s">
        <v>40</v>
      </c>
      <c r="B58" s="3" t="s">
        <v>39</v>
      </c>
      <c r="C58" s="3" t="s">
        <v>54</v>
      </c>
      <c r="D58" s="3" t="s">
        <v>1198</v>
      </c>
      <c r="E58" s="4">
        <v>45992</v>
      </c>
      <c r="F58" s="4">
        <v>46022</v>
      </c>
      <c r="G58" s="7">
        <v>248</v>
      </c>
      <c r="H58" s="3" t="s">
        <v>1139</v>
      </c>
      <c r="I58" s="3" t="s">
        <v>45</v>
      </c>
    </row>
    <row r="59" spans="1:9" ht="21" customHeight="1">
      <c r="A59" s="3" t="s">
        <v>40</v>
      </c>
      <c r="B59" s="3" t="s">
        <v>39</v>
      </c>
      <c r="C59" s="3" t="s">
        <v>55</v>
      </c>
      <c r="D59" s="3" t="s">
        <v>1199</v>
      </c>
      <c r="E59" s="4">
        <v>46023</v>
      </c>
      <c r="F59" s="4">
        <v>46053</v>
      </c>
      <c r="G59" s="7">
        <v>9</v>
      </c>
      <c r="H59" s="3" t="s">
        <v>1139</v>
      </c>
      <c r="I59" s="3" t="s">
        <v>45</v>
      </c>
    </row>
    <row r="60" spans="1:9" ht="21" customHeight="1">
      <c r="A60" s="3" t="s">
        <v>40</v>
      </c>
      <c r="B60" s="3" t="s">
        <v>39</v>
      </c>
      <c r="C60" s="3" t="s">
        <v>55</v>
      </c>
      <c r="D60" s="3" t="s">
        <v>1200</v>
      </c>
      <c r="E60" s="4">
        <v>46023</v>
      </c>
      <c r="F60" s="4">
        <v>46053</v>
      </c>
      <c r="G60" s="7">
        <v>93</v>
      </c>
      <c r="H60" s="3" t="s">
        <v>1139</v>
      </c>
      <c r="I60" s="3" t="s">
        <v>45</v>
      </c>
    </row>
    <row r="61" spans="1:9" ht="21" customHeight="1">
      <c r="A61" s="3" t="s">
        <v>40</v>
      </c>
      <c r="B61" s="3" t="s">
        <v>39</v>
      </c>
      <c r="C61" s="3" t="s">
        <v>55</v>
      </c>
      <c r="D61" s="3" t="s">
        <v>1201</v>
      </c>
      <c r="E61" s="4">
        <v>46023</v>
      </c>
      <c r="F61" s="4">
        <v>46053</v>
      </c>
      <c r="G61" s="7">
        <v>249</v>
      </c>
      <c r="H61" s="3" t="s">
        <v>1139</v>
      </c>
      <c r="I61" s="3" t="s">
        <v>45</v>
      </c>
    </row>
    <row r="62" spans="1:9" ht="21" customHeight="1">
      <c r="A62" s="3" t="s">
        <v>40</v>
      </c>
      <c r="B62" s="3" t="s">
        <v>39</v>
      </c>
      <c r="C62" s="3" t="s">
        <v>56</v>
      </c>
      <c r="D62" s="3" t="s">
        <v>1202</v>
      </c>
      <c r="E62" s="4">
        <v>46054</v>
      </c>
      <c r="F62" s="4">
        <v>46081</v>
      </c>
      <c r="G62" s="7">
        <v>9</v>
      </c>
      <c r="H62" s="3" t="s">
        <v>1139</v>
      </c>
      <c r="I62" s="3" t="s">
        <v>45</v>
      </c>
    </row>
    <row r="63" spans="1:9" ht="21" customHeight="1">
      <c r="A63" s="3" t="s">
        <v>40</v>
      </c>
      <c r="B63" s="3" t="s">
        <v>39</v>
      </c>
      <c r="C63" s="3" t="s">
        <v>56</v>
      </c>
      <c r="D63" s="3" t="s">
        <v>1203</v>
      </c>
      <c r="E63" s="4">
        <v>46054</v>
      </c>
      <c r="F63" s="4">
        <v>46081</v>
      </c>
      <c r="G63" s="7">
        <v>84</v>
      </c>
      <c r="H63" s="3" t="s">
        <v>1139</v>
      </c>
      <c r="I63" s="3" t="s">
        <v>45</v>
      </c>
    </row>
    <row r="64" spans="1:9" ht="21" customHeight="1">
      <c r="A64" s="3" t="s">
        <v>40</v>
      </c>
      <c r="B64" s="3" t="s">
        <v>39</v>
      </c>
      <c r="C64" s="3" t="s">
        <v>56</v>
      </c>
      <c r="D64" s="3" t="s">
        <v>1204</v>
      </c>
      <c r="E64" s="4">
        <v>46054</v>
      </c>
      <c r="F64" s="4">
        <v>46081</v>
      </c>
      <c r="G64" s="7">
        <v>254</v>
      </c>
      <c r="H64" s="3" t="s">
        <v>1139</v>
      </c>
      <c r="I64" s="3" t="s">
        <v>45</v>
      </c>
    </row>
    <row r="65" spans="1:9" ht="21" customHeight="1">
      <c r="A65" s="3" t="s">
        <v>40</v>
      </c>
      <c r="B65" s="3" t="s">
        <v>39</v>
      </c>
      <c r="C65" s="3" t="s">
        <v>58</v>
      </c>
      <c r="D65" s="3" t="s">
        <v>1205</v>
      </c>
      <c r="E65" s="4">
        <v>46082</v>
      </c>
      <c r="F65" s="4">
        <v>46112</v>
      </c>
      <c r="G65" s="7">
        <v>9</v>
      </c>
      <c r="H65" s="3" t="s">
        <v>1139</v>
      </c>
      <c r="I65" s="3" t="s">
        <v>45</v>
      </c>
    </row>
    <row r="66" spans="1:9" ht="21" customHeight="1">
      <c r="A66" s="3" t="s">
        <v>40</v>
      </c>
      <c r="B66" s="3" t="s">
        <v>39</v>
      </c>
      <c r="C66" s="3" t="s">
        <v>58</v>
      </c>
      <c r="D66" s="3" t="s">
        <v>1206</v>
      </c>
      <c r="E66" s="4">
        <v>46082</v>
      </c>
      <c r="F66" s="4">
        <v>46112</v>
      </c>
      <c r="G66" s="7">
        <v>93</v>
      </c>
      <c r="H66" s="3" t="s">
        <v>1139</v>
      </c>
      <c r="I66" s="3" t="s">
        <v>45</v>
      </c>
    </row>
    <row r="67" spans="1:9" ht="21" customHeight="1">
      <c r="A67" s="3" t="s">
        <v>40</v>
      </c>
      <c r="B67" s="3" t="s">
        <v>39</v>
      </c>
      <c r="C67" s="3" t="s">
        <v>58</v>
      </c>
      <c r="D67" s="3" t="s">
        <v>1207</v>
      </c>
      <c r="E67" s="4">
        <v>46082</v>
      </c>
      <c r="F67" s="4">
        <v>46112</v>
      </c>
      <c r="G67" s="7">
        <v>254</v>
      </c>
      <c r="H67" s="3" t="s">
        <v>1139</v>
      </c>
      <c r="I67" s="3" t="s">
        <v>45</v>
      </c>
    </row>
    <row r="68" spans="1:9" ht="21" customHeight="1">
      <c r="A68" s="3" t="s">
        <v>40</v>
      </c>
      <c r="B68" s="3" t="s">
        <v>39</v>
      </c>
      <c r="C68" s="3" t="s">
        <v>59</v>
      </c>
      <c r="D68" s="3" t="s">
        <v>1208</v>
      </c>
      <c r="E68" s="4">
        <v>46113</v>
      </c>
      <c r="F68" s="4">
        <v>46142</v>
      </c>
      <c r="G68" s="7">
        <v>9</v>
      </c>
      <c r="H68" s="3" t="s">
        <v>1139</v>
      </c>
      <c r="I68" s="3" t="s">
        <v>45</v>
      </c>
    </row>
    <row r="69" spans="1:9" ht="21" customHeight="1">
      <c r="A69" s="3" t="s">
        <v>40</v>
      </c>
      <c r="B69" s="3" t="s">
        <v>39</v>
      </c>
      <c r="C69" s="3" t="s">
        <v>59</v>
      </c>
      <c r="D69" s="3" t="s">
        <v>1209</v>
      </c>
      <c r="E69" s="4">
        <v>46113</v>
      </c>
      <c r="F69" s="4">
        <v>46142</v>
      </c>
      <c r="G69" s="7">
        <v>90</v>
      </c>
      <c r="H69" s="3" t="s">
        <v>1139</v>
      </c>
      <c r="I69" s="3" t="s">
        <v>45</v>
      </c>
    </row>
    <row r="70" spans="1:9" ht="21" customHeight="1">
      <c r="A70" s="3" t="s">
        <v>40</v>
      </c>
      <c r="B70" s="3" t="s">
        <v>39</v>
      </c>
      <c r="C70" s="3" t="s">
        <v>59</v>
      </c>
      <c r="D70" s="3" t="s">
        <v>1210</v>
      </c>
      <c r="E70" s="4">
        <v>46113</v>
      </c>
      <c r="F70" s="4">
        <v>46142</v>
      </c>
      <c r="G70" s="7">
        <v>254</v>
      </c>
      <c r="H70" s="3" t="s">
        <v>1139</v>
      </c>
      <c r="I70" s="3" t="s">
        <v>45</v>
      </c>
    </row>
    <row r="71" spans="1:9" ht="21" customHeight="1">
      <c r="A71" s="3" t="s">
        <v>40</v>
      </c>
      <c r="B71" s="3" t="s">
        <v>39</v>
      </c>
      <c r="C71" s="3" t="s">
        <v>60</v>
      </c>
      <c r="D71" s="3" t="s">
        <v>1211</v>
      </c>
      <c r="E71" s="4">
        <v>46143</v>
      </c>
      <c r="F71" s="4">
        <v>46173</v>
      </c>
      <c r="G71" s="7">
        <v>9</v>
      </c>
      <c r="H71" s="3" t="s">
        <v>1139</v>
      </c>
      <c r="I71" s="3" t="s">
        <v>45</v>
      </c>
    </row>
    <row r="72" spans="1:9" ht="21" customHeight="1">
      <c r="A72" s="3" t="s">
        <v>40</v>
      </c>
      <c r="B72" s="3" t="s">
        <v>39</v>
      </c>
      <c r="C72" s="3" t="s">
        <v>60</v>
      </c>
      <c r="D72" s="3" t="s">
        <v>1212</v>
      </c>
      <c r="E72" s="4">
        <v>46143</v>
      </c>
      <c r="F72" s="4">
        <v>46173</v>
      </c>
      <c r="G72" s="7">
        <v>93</v>
      </c>
      <c r="H72" s="3" t="s">
        <v>1139</v>
      </c>
      <c r="I72" s="3" t="s">
        <v>45</v>
      </c>
    </row>
    <row r="73" spans="1:9" ht="21" customHeight="1">
      <c r="A73" s="3" t="s">
        <v>40</v>
      </c>
      <c r="B73" s="3" t="s">
        <v>39</v>
      </c>
      <c r="C73" s="3" t="s">
        <v>60</v>
      </c>
      <c r="D73" s="3" t="s">
        <v>1213</v>
      </c>
      <c r="E73" s="4">
        <v>46143</v>
      </c>
      <c r="F73" s="4">
        <v>46173</v>
      </c>
      <c r="G73" s="7">
        <v>254</v>
      </c>
      <c r="H73" s="3" t="s">
        <v>1139</v>
      </c>
      <c r="I73" s="3" t="s">
        <v>45</v>
      </c>
    </row>
    <row r="74" spans="1:9" ht="21" customHeight="1">
      <c r="A74" s="3" t="s">
        <v>40</v>
      </c>
      <c r="B74" s="3" t="s">
        <v>39</v>
      </c>
      <c r="C74" s="3" t="s">
        <v>61</v>
      </c>
      <c r="D74" s="3" t="s">
        <v>1214</v>
      </c>
      <c r="E74" s="4">
        <v>46174</v>
      </c>
      <c r="F74" s="4">
        <v>46203</v>
      </c>
      <c r="G74" s="7">
        <v>9</v>
      </c>
      <c r="H74" s="3" t="s">
        <v>1139</v>
      </c>
      <c r="I74" s="3" t="s">
        <v>45</v>
      </c>
    </row>
    <row r="75" spans="1:9" ht="21" customHeight="1">
      <c r="A75" s="3" t="s">
        <v>40</v>
      </c>
      <c r="B75" s="3" t="s">
        <v>39</v>
      </c>
      <c r="C75" s="3" t="s">
        <v>61</v>
      </c>
      <c r="D75" s="3" t="s">
        <v>1215</v>
      </c>
      <c r="E75" s="4">
        <v>46174</v>
      </c>
      <c r="F75" s="4">
        <v>46203</v>
      </c>
      <c r="G75" s="7">
        <v>90</v>
      </c>
      <c r="H75" s="3" t="s">
        <v>1139</v>
      </c>
      <c r="I75" s="3" t="s">
        <v>45</v>
      </c>
    </row>
    <row r="76" spans="1:9" ht="21" customHeight="1">
      <c r="A76" s="3" t="s">
        <v>40</v>
      </c>
      <c r="B76" s="3" t="s">
        <v>39</v>
      </c>
      <c r="C76" s="3" t="s">
        <v>61</v>
      </c>
      <c r="D76" s="3" t="s">
        <v>1216</v>
      </c>
      <c r="E76" s="4">
        <v>46174</v>
      </c>
      <c r="F76" s="4">
        <v>46203</v>
      </c>
      <c r="G76" s="7">
        <v>254</v>
      </c>
      <c r="H76" s="3" t="s">
        <v>1139</v>
      </c>
      <c r="I76" s="3" t="s">
        <v>45</v>
      </c>
    </row>
    <row r="77" spans="1:9" ht="21" customHeight="1">
      <c r="A77" s="3" t="s">
        <v>40</v>
      </c>
      <c r="B77" s="3" t="s">
        <v>39</v>
      </c>
      <c r="C77" s="3" t="s">
        <v>62</v>
      </c>
      <c r="D77" s="3" t="s">
        <v>1217</v>
      </c>
      <c r="E77" s="4">
        <v>46204</v>
      </c>
      <c r="F77" s="4">
        <v>46234</v>
      </c>
      <c r="G77" s="7">
        <v>9</v>
      </c>
      <c r="H77" s="3" t="s">
        <v>1139</v>
      </c>
      <c r="I77" s="3" t="s">
        <v>45</v>
      </c>
    </row>
    <row r="78" spans="1:9" ht="21" customHeight="1">
      <c r="A78" s="3" t="s">
        <v>40</v>
      </c>
      <c r="B78" s="3" t="s">
        <v>39</v>
      </c>
      <c r="C78" s="3" t="s">
        <v>62</v>
      </c>
      <c r="D78" s="3" t="s">
        <v>1218</v>
      </c>
      <c r="E78" s="4">
        <v>46204</v>
      </c>
      <c r="F78" s="4">
        <v>46234</v>
      </c>
      <c r="G78" s="7">
        <v>93</v>
      </c>
      <c r="H78" s="3" t="s">
        <v>1139</v>
      </c>
      <c r="I78" s="3" t="s">
        <v>45</v>
      </c>
    </row>
    <row r="79" spans="1:9" ht="21" customHeight="1">
      <c r="A79" s="3" t="s">
        <v>40</v>
      </c>
      <c r="B79" s="3" t="s">
        <v>39</v>
      </c>
      <c r="C79" s="3" t="s">
        <v>62</v>
      </c>
      <c r="D79" s="3" t="s">
        <v>1219</v>
      </c>
      <c r="E79" s="4">
        <v>46204</v>
      </c>
      <c r="F79" s="4">
        <v>46234</v>
      </c>
      <c r="G79" s="7">
        <v>255</v>
      </c>
      <c r="H79" s="3" t="s">
        <v>1139</v>
      </c>
      <c r="I79" s="3" t="s">
        <v>45</v>
      </c>
    </row>
    <row r="80" spans="1:9" ht="21" customHeight="1">
      <c r="A80" s="3" t="s">
        <v>40</v>
      </c>
      <c r="B80" s="3" t="s">
        <v>39</v>
      </c>
      <c r="C80" s="3" t="s">
        <v>63</v>
      </c>
      <c r="D80" s="3" t="s">
        <v>1220</v>
      </c>
      <c r="E80" s="4">
        <v>46235</v>
      </c>
      <c r="F80" s="4">
        <v>46265</v>
      </c>
      <c r="G80" s="7">
        <v>9</v>
      </c>
      <c r="H80" s="3" t="s">
        <v>1139</v>
      </c>
      <c r="I80" s="3" t="s">
        <v>45</v>
      </c>
    </row>
    <row r="81" spans="1:9" ht="21" customHeight="1">
      <c r="A81" s="3" t="s">
        <v>40</v>
      </c>
      <c r="B81" s="3" t="s">
        <v>39</v>
      </c>
      <c r="C81" s="3" t="s">
        <v>63</v>
      </c>
      <c r="D81" s="3" t="s">
        <v>1221</v>
      </c>
      <c r="E81" s="4">
        <v>46235</v>
      </c>
      <c r="F81" s="4">
        <v>46265</v>
      </c>
      <c r="G81" s="7">
        <v>93</v>
      </c>
      <c r="H81" s="3" t="s">
        <v>1139</v>
      </c>
      <c r="I81" s="3" t="s">
        <v>45</v>
      </c>
    </row>
    <row r="82" spans="1:9" ht="21" customHeight="1">
      <c r="A82" s="3" t="s">
        <v>40</v>
      </c>
      <c r="B82" s="3" t="s">
        <v>39</v>
      </c>
      <c r="C82" s="3" t="s">
        <v>63</v>
      </c>
      <c r="D82" s="3" t="s">
        <v>1222</v>
      </c>
      <c r="E82" s="4">
        <v>46235</v>
      </c>
      <c r="F82" s="4">
        <v>46265</v>
      </c>
      <c r="G82" s="7">
        <v>255</v>
      </c>
      <c r="H82" s="3" t="s">
        <v>1139</v>
      </c>
      <c r="I82" s="3" t="s">
        <v>45</v>
      </c>
    </row>
    <row r="83" spans="1:9" ht="21" customHeight="1">
      <c r="A83" s="3" t="s">
        <v>40</v>
      </c>
      <c r="B83" s="3" t="s">
        <v>39</v>
      </c>
      <c r="C83" s="3" t="s">
        <v>64</v>
      </c>
      <c r="D83" s="3" t="s">
        <v>1223</v>
      </c>
      <c r="E83" s="4">
        <v>46266</v>
      </c>
      <c r="F83" s="4">
        <v>46276</v>
      </c>
      <c r="G83" s="7">
        <v>9</v>
      </c>
      <c r="H83" s="3" t="s">
        <v>1139</v>
      </c>
      <c r="I83" s="3" t="s">
        <v>45</v>
      </c>
    </row>
    <row r="84" spans="1:9" ht="21" customHeight="1">
      <c r="A84" s="3" t="s">
        <v>40</v>
      </c>
      <c r="B84" s="3" t="s">
        <v>39</v>
      </c>
      <c r="C84" s="3" t="s">
        <v>64</v>
      </c>
      <c r="D84" s="3" t="s">
        <v>1224</v>
      </c>
      <c r="E84" s="4">
        <v>46266</v>
      </c>
      <c r="F84" s="4">
        <v>46276</v>
      </c>
      <c r="G84" s="7">
        <v>33</v>
      </c>
      <c r="H84" s="3" t="s">
        <v>1139</v>
      </c>
      <c r="I84" s="3" t="s">
        <v>45</v>
      </c>
    </row>
    <row r="85" spans="1:9" ht="21" customHeight="1">
      <c r="A85" s="3" t="s">
        <v>40</v>
      </c>
      <c r="B85" s="3" t="s">
        <v>39</v>
      </c>
      <c r="C85" s="3" t="s">
        <v>64</v>
      </c>
      <c r="D85" s="3" t="s">
        <v>1225</v>
      </c>
      <c r="E85" s="4">
        <v>46266</v>
      </c>
      <c r="F85" s="4">
        <v>46276</v>
      </c>
      <c r="G85" s="7">
        <v>255</v>
      </c>
      <c r="H85" s="3" t="s">
        <v>1139</v>
      </c>
      <c r="I85" s="3" t="s">
        <v>45</v>
      </c>
    </row>
    <row r="86" spans="1:9" ht="21" customHeight="1">
      <c r="A86" s="3" t="s">
        <v>40</v>
      </c>
      <c r="B86" s="3" t="s">
        <v>39</v>
      </c>
      <c r="C86" s="3" t="s">
        <v>1226</v>
      </c>
      <c r="D86" s="3" t="s">
        <v>1227</v>
      </c>
      <c r="E86" s="4">
        <v>45962</v>
      </c>
      <c r="F86" s="4">
        <v>46265</v>
      </c>
      <c r="G86" s="7">
        <v>1</v>
      </c>
      <c r="H86" s="3" t="s">
        <v>1139</v>
      </c>
      <c r="I86" s="3" t="s">
        <v>45</v>
      </c>
    </row>
    <row r="87" spans="1:9" ht="21" customHeight="1">
      <c r="A87" s="3" t="s">
        <v>40</v>
      </c>
      <c r="B87" s="3" t="s">
        <v>39</v>
      </c>
      <c r="C87" s="3" t="s">
        <v>1226</v>
      </c>
      <c r="D87" s="3" t="s">
        <v>1228</v>
      </c>
      <c r="E87" s="4">
        <v>45962</v>
      </c>
      <c r="F87" s="4">
        <v>46265</v>
      </c>
      <c r="G87" s="7">
        <v>1</v>
      </c>
      <c r="H87" s="3" t="s">
        <v>1139</v>
      </c>
      <c r="I87" s="3" t="s">
        <v>45</v>
      </c>
    </row>
    <row r="88" spans="1:9" ht="21" customHeight="1">
      <c r="A88" s="3" t="s">
        <v>40</v>
      </c>
      <c r="B88" s="3" t="s">
        <v>39</v>
      </c>
      <c r="C88" s="3" t="s">
        <v>1226</v>
      </c>
      <c r="D88" s="3" t="s">
        <v>1229</v>
      </c>
      <c r="E88" s="4">
        <v>45962</v>
      </c>
      <c r="F88" s="4">
        <v>46265</v>
      </c>
      <c r="G88" s="7">
        <v>40</v>
      </c>
      <c r="H88" s="3" t="s">
        <v>1139</v>
      </c>
      <c r="I88" s="3" t="s">
        <v>45</v>
      </c>
    </row>
    <row r="89" spans="1:9" ht="21" customHeight="1">
      <c r="A89" s="3" t="s">
        <v>40</v>
      </c>
      <c r="B89" s="3" t="s">
        <v>39</v>
      </c>
      <c r="C89" s="3" t="s">
        <v>1226</v>
      </c>
      <c r="D89" s="3" t="s">
        <v>1230</v>
      </c>
      <c r="E89" s="4">
        <v>45962</v>
      </c>
      <c r="F89" s="4">
        <v>46265</v>
      </c>
      <c r="G89" s="7">
        <v>3</v>
      </c>
      <c r="H89" s="3" t="s">
        <v>1139</v>
      </c>
      <c r="I89" s="3" t="s">
        <v>45</v>
      </c>
    </row>
    <row r="90" spans="1:9" ht="21" customHeight="1">
      <c r="A90" s="3" t="s">
        <v>40</v>
      </c>
      <c r="B90" s="3" t="s">
        <v>39</v>
      </c>
      <c r="C90" s="3" t="s">
        <v>1226</v>
      </c>
      <c r="D90" s="3" t="s">
        <v>1231</v>
      </c>
      <c r="E90" s="4">
        <v>45962</v>
      </c>
      <c r="F90" s="4">
        <v>46265</v>
      </c>
      <c r="G90" s="7">
        <v>5</v>
      </c>
      <c r="H90" s="3" t="s">
        <v>1139</v>
      </c>
      <c r="I90" s="3" t="s">
        <v>45</v>
      </c>
    </row>
    <row r="91" spans="1:9" ht="21" customHeight="1">
      <c r="A91" s="3" t="s">
        <v>40</v>
      </c>
      <c r="B91" s="3" t="s">
        <v>39</v>
      </c>
      <c r="C91" s="3" t="s">
        <v>108</v>
      </c>
      <c r="D91" s="3" t="s">
        <v>1232</v>
      </c>
      <c r="E91" s="4">
        <v>45962</v>
      </c>
      <c r="F91" s="4">
        <v>46265</v>
      </c>
      <c r="G91" s="7">
        <v>79</v>
      </c>
      <c r="H91" s="3" t="s">
        <v>1139</v>
      </c>
      <c r="I91" s="3" t="s">
        <v>45</v>
      </c>
    </row>
    <row r="92" spans="1:9" ht="21" customHeight="1">
      <c r="A92" s="3" t="s">
        <v>40</v>
      </c>
      <c r="B92" s="3" t="s">
        <v>39</v>
      </c>
      <c r="C92" s="3" t="s">
        <v>108</v>
      </c>
      <c r="D92" s="3" t="s">
        <v>1233</v>
      </c>
      <c r="E92" s="4">
        <v>45962</v>
      </c>
      <c r="F92" s="4">
        <v>46265</v>
      </c>
      <c r="G92" s="7">
        <v>54</v>
      </c>
      <c r="H92" s="3" t="s">
        <v>1139</v>
      </c>
      <c r="I92" s="3" t="s">
        <v>45</v>
      </c>
    </row>
    <row r="93" spans="1:9" ht="21" customHeight="1">
      <c r="A93" s="3" t="s">
        <v>40</v>
      </c>
      <c r="B93" s="3" t="s">
        <v>39</v>
      </c>
      <c r="C93" s="3" t="s">
        <v>108</v>
      </c>
      <c r="D93" s="3" t="s">
        <v>1234</v>
      </c>
      <c r="E93" s="4">
        <v>45962</v>
      </c>
      <c r="F93" s="4">
        <v>46265</v>
      </c>
      <c r="G93" s="7">
        <v>79</v>
      </c>
      <c r="H93" s="3" t="s">
        <v>1139</v>
      </c>
      <c r="I93" s="3" t="s">
        <v>45</v>
      </c>
    </row>
    <row r="94" spans="1:9" ht="21" customHeight="1">
      <c r="A94" s="3" t="s">
        <v>40</v>
      </c>
      <c r="B94" s="3" t="s">
        <v>39</v>
      </c>
      <c r="C94" s="3" t="s">
        <v>108</v>
      </c>
      <c r="D94" s="3" t="s">
        <v>1235</v>
      </c>
      <c r="E94" s="4">
        <v>45962</v>
      </c>
      <c r="F94" s="4">
        <v>46265</v>
      </c>
      <c r="G94" s="7">
        <v>17</v>
      </c>
      <c r="H94" s="3" t="s">
        <v>1139</v>
      </c>
      <c r="I94" s="3" t="s">
        <v>45</v>
      </c>
    </row>
    <row r="95" spans="1:9" ht="21" customHeight="1">
      <c r="A95" s="3" t="s">
        <v>40</v>
      </c>
      <c r="B95" s="3" t="s">
        <v>39</v>
      </c>
      <c r="C95" s="3" t="s">
        <v>108</v>
      </c>
      <c r="D95" s="3" t="s">
        <v>1236</v>
      </c>
      <c r="E95" s="4">
        <v>45962</v>
      </c>
      <c r="F95" s="4">
        <v>46265</v>
      </c>
      <c r="G95" s="7">
        <v>17</v>
      </c>
      <c r="H95" s="3" t="s">
        <v>1139</v>
      </c>
      <c r="I95" s="3" t="s">
        <v>45</v>
      </c>
    </row>
    <row r="96" spans="1:9" ht="21" customHeight="1">
      <c r="A96" s="3" t="s">
        <v>40</v>
      </c>
      <c r="B96" s="3" t="s">
        <v>39</v>
      </c>
      <c r="C96" s="3" t="s">
        <v>108</v>
      </c>
      <c r="D96" s="3" t="s">
        <v>1237</v>
      </c>
      <c r="E96" s="4">
        <v>45962</v>
      </c>
      <c r="F96" s="4">
        <v>46265</v>
      </c>
      <c r="G96" s="7">
        <v>8</v>
      </c>
      <c r="H96" s="3" t="s">
        <v>1139</v>
      </c>
      <c r="I96" s="3" t="s">
        <v>45</v>
      </c>
    </row>
    <row r="97" spans="1:9" ht="21" customHeight="1">
      <c r="A97" s="3" t="s">
        <v>40</v>
      </c>
      <c r="B97" s="3" t="s">
        <v>39</v>
      </c>
      <c r="C97" s="3" t="s">
        <v>108</v>
      </c>
      <c r="D97" s="3" t="s">
        <v>1238</v>
      </c>
      <c r="E97" s="4">
        <v>45962</v>
      </c>
      <c r="F97" s="4">
        <v>46265</v>
      </c>
      <c r="G97" s="7">
        <v>10</v>
      </c>
      <c r="H97" s="3" t="s">
        <v>1139</v>
      </c>
      <c r="I97" s="3" t="s">
        <v>45</v>
      </c>
    </row>
    <row r="98" spans="1:9" ht="21" customHeight="1">
      <c r="A98" s="3" t="s">
        <v>40</v>
      </c>
      <c r="B98" s="3" t="s">
        <v>39</v>
      </c>
      <c r="C98" s="3" t="s">
        <v>108</v>
      </c>
      <c r="D98" s="3" t="s">
        <v>1239</v>
      </c>
      <c r="E98" s="4">
        <v>45962</v>
      </c>
      <c r="F98" s="4">
        <v>46265</v>
      </c>
      <c r="G98" s="7">
        <v>10</v>
      </c>
      <c r="H98" s="3" t="s">
        <v>1139</v>
      </c>
      <c r="I98" s="3" t="s">
        <v>45</v>
      </c>
    </row>
    <row r="99" spans="1:9" ht="21" customHeight="1">
      <c r="A99" s="3" t="s">
        <v>40</v>
      </c>
      <c r="B99" s="3" t="s">
        <v>39</v>
      </c>
      <c r="C99" s="3" t="s">
        <v>108</v>
      </c>
      <c r="D99" s="3" t="s">
        <v>1240</v>
      </c>
      <c r="E99" s="4">
        <v>45962</v>
      </c>
      <c r="F99" s="4">
        <v>46265</v>
      </c>
      <c r="G99" s="7">
        <v>10</v>
      </c>
      <c r="H99" s="3" t="s">
        <v>1139</v>
      </c>
      <c r="I99" s="3" t="s">
        <v>45</v>
      </c>
    </row>
    <row r="100" spans="1:9" ht="21" customHeight="1">
      <c r="A100" s="3" t="s">
        <v>40</v>
      </c>
      <c r="B100" s="3" t="s">
        <v>39</v>
      </c>
      <c r="C100" s="3" t="s">
        <v>1241</v>
      </c>
      <c r="D100" s="3" t="s">
        <v>1242</v>
      </c>
      <c r="E100" s="4">
        <v>45962</v>
      </c>
      <c r="F100" s="4">
        <v>46265</v>
      </c>
      <c r="G100" s="7">
        <v>1</v>
      </c>
      <c r="H100" s="3" t="s">
        <v>1139</v>
      </c>
      <c r="I100" s="3" t="s">
        <v>45</v>
      </c>
    </row>
    <row r="101" spans="1:9" ht="21" customHeight="1">
      <c r="A101" s="3" t="s">
        <v>40</v>
      </c>
      <c r="B101" s="3" t="s">
        <v>39</v>
      </c>
      <c r="C101" s="3" t="s">
        <v>1241</v>
      </c>
      <c r="D101" s="3" t="s">
        <v>1243</v>
      </c>
      <c r="E101" s="4">
        <v>45962</v>
      </c>
      <c r="F101" s="4">
        <v>46265</v>
      </c>
      <c r="G101" s="7">
        <v>1</v>
      </c>
      <c r="H101" s="3" t="s">
        <v>1139</v>
      </c>
      <c r="I101" s="3" t="s">
        <v>45</v>
      </c>
    </row>
    <row r="102" spans="1:9" ht="21" customHeight="1">
      <c r="A102" s="3" t="s">
        <v>40</v>
      </c>
      <c r="B102" s="3" t="s">
        <v>39</v>
      </c>
      <c r="C102" s="3" t="s">
        <v>1241</v>
      </c>
      <c r="D102" s="3" t="s">
        <v>1244</v>
      </c>
      <c r="E102" s="4">
        <v>45962</v>
      </c>
      <c r="F102" s="4">
        <v>46265</v>
      </c>
      <c r="G102" s="7">
        <v>40</v>
      </c>
      <c r="H102" s="3" t="s">
        <v>1139</v>
      </c>
      <c r="I102" s="3" t="s">
        <v>45</v>
      </c>
    </row>
    <row r="103" spans="1:9" ht="21" customHeight="1">
      <c r="A103" s="3" t="s">
        <v>40</v>
      </c>
      <c r="B103" s="3" t="s">
        <v>39</v>
      </c>
      <c r="C103" s="3" t="s">
        <v>1241</v>
      </c>
      <c r="D103" s="3" t="s">
        <v>1245</v>
      </c>
      <c r="E103" s="4">
        <v>45962</v>
      </c>
      <c r="F103" s="4">
        <v>46265</v>
      </c>
      <c r="G103" s="7">
        <v>3</v>
      </c>
      <c r="H103" s="3" t="s">
        <v>1139</v>
      </c>
      <c r="I103" s="3" t="s">
        <v>45</v>
      </c>
    </row>
    <row r="104" spans="1:9" ht="21" customHeight="1">
      <c r="A104" s="3" t="s">
        <v>40</v>
      </c>
      <c r="B104" s="3" t="s">
        <v>39</v>
      </c>
      <c r="C104" s="3" t="s">
        <v>1241</v>
      </c>
      <c r="D104" s="3" t="s">
        <v>1246</v>
      </c>
      <c r="E104" s="4">
        <v>45962</v>
      </c>
      <c r="F104" s="4">
        <v>46265</v>
      </c>
      <c r="G104" s="7">
        <v>5</v>
      </c>
      <c r="H104" s="3" t="s">
        <v>1139</v>
      </c>
      <c r="I104" s="3" t="s">
        <v>45</v>
      </c>
    </row>
    <row r="105" spans="1:9" ht="21" customHeight="1">
      <c r="A105" s="3" t="s">
        <v>40</v>
      </c>
      <c r="B105" s="3" t="s">
        <v>39</v>
      </c>
      <c r="C105" s="3" t="s">
        <v>1247</v>
      </c>
      <c r="D105" s="3" t="s">
        <v>1248</v>
      </c>
      <c r="E105" s="4">
        <v>45962</v>
      </c>
      <c r="F105" s="4">
        <v>46203</v>
      </c>
      <c r="G105" s="7">
        <v>1</v>
      </c>
      <c r="H105" s="3" t="s">
        <v>1139</v>
      </c>
      <c r="I105" s="3" t="s">
        <v>45</v>
      </c>
    </row>
    <row r="106" spans="1:9" ht="21" customHeight="1">
      <c r="A106" s="3" t="s">
        <v>40</v>
      </c>
      <c r="B106" s="3" t="s">
        <v>39</v>
      </c>
      <c r="C106" s="3" t="s">
        <v>1247</v>
      </c>
      <c r="D106" s="3" t="s">
        <v>1249</v>
      </c>
      <c r="E106" s="4">
        <v>45962</v>
      </c>
      <c r="F106" s="4">
        <v>46203</v>
      </c>
      <c r="G106" s="7">
        <v>1</v>
      </c>
      <c r="H106" s="3" t="s">
        <v>1139</v>
      </c>
      <c r="I106" s="3" t="s">
        <v>45</v>
      </c>
    </row>
    <row r="107" spans="1:9" ht="21" customHeight="1">
      <c r="A107" s="3" t="s">
        <v>40</v>
      </c>
      <c r="B107" s="3" t="s">
        <v>39</v>
      </c>
      <c r="C107" s="3" t="s">
        <v>1247</v>
      </c>
      <c r="D107" s="3" t="s">
        <v>1250</v>
      </c>
      <c r="E107" s="4">
        <v>45962</v>
      </c>
      <c r="F107" s="4">
        <v>46203</v>
      </c>
      <c r="G107" s="7">
        <v>40</v>
      </c>
      <c r="H107" s="3" t="s">
        <v>1139</v>
      </c>
      <c r="I107" s="3" t="s">
        <v>45</v>
      </c>
    </row>
    <row r="108" spans="1:9" ht="21" customHeight="1">
      <c r="A108" s="3" t="s">
        <v>40</v>
      </c>
      <c r="B108" s="3" t="s">
        <v>39</v>
      </c>
      <c r="C108" s="3" t="s">
        <v>1247</v>
      </c>
      <c r="D108" s="3" t="s">
        <v>1251</v>
      </c>
      <c r="E108" s="4">
        <v>45962</v>
      </c>
      <c r="F108" s="4">
        <v>46203</v>
      </c>
      <c r="G108" s="7">
        <v>3</v>
      </c>
      <c r="H108" s="3" t="s">
        <v>1139</v>
      </c>
      <c r="I108" s="3" t="s">
        <v>45</v>
      </c>
    </row>
    <row r="109" spans="1:9" ht="21" customHeight="1">
      <c r="A109" s="3" t="s">
        <v>40</v>
      </c>
      <c r="B109" s="3" t="s">
        <v>39</v>
      </c>
      <c r="C109" s="3" t="s">
        <v>1247</v>
      </c>
      <c r="D109" s="3" t="s">
        <v>1252</v>
      </c>
      <c r="E109" s="4">
        <v>45962</v>
      </c>
      <c r="F109" s="4">
        <v>46203</v>
      </c>
      <c r="G109" s="7">
        <v>5</v>
      </c>
      <c r="H109" s="3" t="s">
        <v>1139</v>
      </c>
      <c r="I109" s="3" t="s">
        <v>45</v>
      </c>
    </row>
    <row r="110" spans="1:9" ht="21" customHeight="1">
      <c r="A110" s="3" t="s">
        <v>79</v>
      </c>
      <c r="B110" s="3" t="s">
        <v>78</v>
      </c>
      <c r="C110" s="3" t="s">
        <v>84</v>
      </c>
      <c r="D110" s="3" t="s">
        <v>1253</v>
      </c>
      <c r="E110" s="4">
        <v>43313</v>
      </c>
      <c r="F110" s="4">
        <v>43343</v>
      </c>
      <c r="G110" s="3">
        <v>8</v>
      </c>
      <c r="H110" s="3" t="s">
        <v>1139</v>
      </c>
      <c r="I110" s="3" t="s">
        <v>45</v>
      </c>
    </row>
    <row r="111" spans="1:9" ht="21" customHeight="1">
      <c r="A111" s="3" t="s">
        <v>79</v>
      </c>
      <c r="B111" s="3" t="s">
        <v>78</v>
      </c>
      <c r="C111" s="3" t="s">
        <v>84</v>
      </c>
      <c r="D111" s="3" t="s">
        <v>1254</v>
      </c>
      <c r="E111" s="4">
        <v>43313</v>
      </c>
      <c r="F111" s="4">
        <v>43343</v>
      </c>
      <c r="G111" s="3">
        <v>93</v>
      </c>
      <c r="H111" s="3" t="s">
        <v>1139</v>
      </c>
      <c r="I111" s="3" t="s">
        <v>45</v>
      </c>
    </row>
    <row r="112" spans="1:9" ht="21" customHeight="1">
      <c r="A112" s="3" t="s">
        <v>79</v>
      </c>
      <c r="B112" s="3" t="s">
        <v>78</v>
      </c>
      <c r="C112" s="3" t="s">
        <v>84</v>
      </c>
      <c r="D112" s="3" t="s">
        <v>1255</v>
      </c>
      <c r="E112" s="4">
        <v>43313</v>
      </c>
      <c r="F112" s="4">
        <v>43343</v>
      </c>
      <c r="G112" s="3">
        <v>247</v>
      </c>
      <c r="H112" s="3" t="s">
        <v>1139</v>
      </c>
      <c r="I112" s="3" t="s">
        <v>45</v>
      </c>
    </row>
    <row r="113" spans="1:9" ht="21" customHeight="1">
      <c r="A113" s="3" t="s">
        <v>79</v>
      </c>
      <c r="B113" s="3" t="s">
        <v>78</v>
      </c>
      <c r="C113" s="3" t="s">
        <v>85</v>
      </c>
      <c r="D113" s="3" t="s">
        <v>1256</v>
      </c>
      <c r="E113" s="4">
        <v>43344</v>
      </c>
      <c r="F113" s="4">
        <v>43373</v>
      </c>
      <c r="G113" s="3">
        <v>8</v>
      </c>
      <c r="H113" s="3" t="s">
        <v>1139</v>
      </c>
      <c r="I113" s="3" t="s">
        <v>45</v>
      </c>
    </row>
    <row r="114" spans="1:9" ht="21" customHeight="1">
      <c r="A114" s="3" t="s">
        <v>79</v>
      </c>
      <c r="B114" s="3" t="s">
        <v>78</v>
      </c>
      <c r="C114" s="3" t="s">
        <v>85</v>
      </c>
      <c r="D114" s="3" t="s">
        <v>1257</v>
      </c>
      <c r="E114" s="4">
        <v>43344</v>
      </c>
      <c r="F114" s="4">
        <v>43373</v>
      </c>
      <c r="G114" s="3">
        <v>90</v>
      </c>
      <c r="H114" s="3" t="s">
        <v>1139</v>
      </c>
      <c r="I114" s="3" t="s">
        <v>45</v>
      </c>
    </row>
    <row r="115" spans="1:9" ht="21" customHeight="1">
      <c r="A115" s="3" t="s">
        <v>79</v>
      </c>
      <c r="B115" s="3" t="s">
        <v>78</v>
      </c>
      <c r="C115" s="3" t="s">
        <v>85</v>
      </c>
      <c r="D115" s="3" t="s">
        <v>1258</v>
      </c>
      <c r="E115" s="4">
        <v>43344</v>
      </c>
      <c r="F115" s="4">
        <v>43373</v>
      </c>
      <c r="G115" s="3">
        <v>247</v>
      </c>
      <c r="H115" s="3" t="s">
        <v>1139</v>
      </c>
      <c r="I115" s="3" t="s">
        <v>45</v>
      </c>
    </row>
    <row r="116" spans="1:9" ht="21" customHeight="1">
      <c r="A116" s="3" t="s">
        <v>79</v>
      </c>
      <c r="B116" s="3" t="s">
        <v>78</v>
      </c>
      <c r="C116" s="3" t="s">
        <v>86</v>
      </c>
      <c r="D116" s="3" t="s">
        <v>1259</v>
      </c>
      <c r="E116" s="4">
        <v>43374</v>
      </c>
      <c r="F116" s="4">
        <v>43404</v>
      </c>
      <c r="G116" s="3">
        <v>8</v>
      </c>
      <c r="H116" s="3" t="s">
        <v>1139</v>
      </c>
      <c r="I116" s="3" t="s">
        <v>45</v>
      </c>
    </row>
    <row r="117" spans="1:9" ht="21" customHeight="1">
      <c r="A117" s="3" t="s">
        <v>79</v>
      </c>
      <c r="B117" s="3" t="s">
        <v>78</v>
      </c>
      <c r="C117" s="3" t="s">
        <v>86</v>
      </c>
      <c r="D117" s="3" t="s">
        <v>1260</v>
      </c>
      <c r="E117" s="4">
        <v>43374</v>
      </c>
      <c r="F117" s="4">
        <v>43404</v>
      </c>
      <c r="G117" s="3">
        <v>93</v>
      </c>
      <c r="H117" s="3" t="s">
        <v>1139</v>
      </c>
      <c r="I117" s="3" t="s">
        <v>45</v>
      </c>
    </row>
    <row r="118" spans="1:9" ht="21" customHeight="1">
      <c r="A118" s="3" t="s">
        <v>79</v>
      </c>
      <c r="B118" s="3" t="s">
        <v>78</v>
      </c>
      <c r="C118" s="3" t="s">
        <v>86</v>
      </c>
      <c r="D118" s="3" t="s">
        <v>1261</v>
      </c>
      <c r="E118" s="4">
        <v>43374</v>
      </c>
      <c r="F118" s="4">
        <v>43404</v>
      </c>
      <c r="G118" s="3">
        <v>247</v>
      </c>
      <c r="H118" s="3" t="s">
        <v>1139</v>
      </c>
      <c r="I118" s="3" t="s">
        <v>45</v>
      </c>
    </row>
    <row r="119" spans="1:9" ht="21" customHeight="1">
      <c r="A119" s="3" t="s">
        <v>79</v>
      </c>
      <c r="B119" s="3" t="s">
        <v>78</v>
      </c>
      <c r="C119" s="3" t="s">
        <v>87</v>
      </c>
      <c r="D119" s="3" t="s">
        <v>1262</v>
      </c>
      <c r="E119" s="4">
        <v>43405</v>
      </c>
      <c r="F119" s="4">
        <v>43434</v>
      </c>
      <c r="G119" s="3">
        <v>8</v>
      </c>
      <c r="H119" s="3" t="s">
        <v>1139</v>
      </c>
      <c r="I119" s="3" t="s">
        <v>45</v>
      </c>
    </row>
    <row r="120" spans="1:9" ht="21" customHeight="1">
      <c r="A120" s="3" t="s">
        <v>79</v>
      </c>
      <c r="B120" s="3" t="s">
        <v>78</v>
      </c>
      <c r="C120" s="3" t="s">
        <v>87</v>
      </c>
      <c r="D120" s="3" t="s">
        <v>1263</v>
      </c>
      <c r="E120" s="4">
        <v>43405</v>
      </c>
      <c r="F120" s="4">
        <v>43434</v>
      </c>
      <c r="G120" s="3">
        <v>90</v>
      </c>
      <c r="H120" s="3" t="s">
        <v>1139</v>
      </c>
      <c r="I120" s="3" t="s">
        <v>45</v>
      </c>
    </row>
    <row r="121" spans="1:9" ht="21" customHeight="1">
      <c r="A121" s="3" t="s">
        <v>79</v>
      </c>
      <c r="B121" s="3" t="s">
        <v>78</v>
      </c>
      <c r="C121" s="3" t="s">
        <v>87</v>
      </c>
      <c r="D121" s="3" t="s">
        <v>1264</v>
      </c>
      <c r="E121" s="4">
        <v>43405</v>
      </c>
      <c r="F121" s="4">
        <v>43434</v>
      </c>
      <c r="G121" s="3">
        <v>247</v>
      </c>
      <c r="H121" s="3" t="s">
        <v>1139</v>
      </c>
      <c r="I121" s="3" t="s">
        <v>45</v>
      </c>
    </row>
    <row r="122" spans="1:9" ht="21" customHeight="1">
      <c r="A122" s="3" t="s">
        <v>79</v>
      </c>
      <c r="B122" s="3" t="s">
        <v>78</v>
      </c>
      <c r="C122" s="3" t="s">
        <v>88</v>
      </c>
      <c r="D122" s="3" t="s">
        <v>1265</v>
      </c>
      <c r="E122" s="4">
        <v>43435</v>
      </c>
      <c r="F122" s="4">
        <v>43465</v>
      </c>
      <c r="G122" s="3">
        <v>8</v>
      </c>
      <c r="H122" s="3" t="s">
        <v>1139</v>
      </c>
      <c r="I122" s="3" t="s">
        <v>45</v>
      </c>
    </row>
    <row r="123" spans="1:9" ht="21" customHeight="1">
      <c r="A123" s="3" t="s">
        <v>79</v>
      </c>
      <c r="B123" s="3" t="s">
        <v>78</v>
      </c>
      <c r="C123" s="3" t="s">
        <v>88</v>
      </c>
      <c r="D123" s="3" t="s">
        <v>1266</v>
      </c>
      <c r="E123" s="4">
        <v>43435</v>
      </c>
      <c r="F123" s="4">
        <v>43465</v>
      </c>
      <c r="G123" s="3">
        <v>93</v>
      </c>
      <c r="H123" s="3" t="s">
        <v>1139</v>
      </c>
      <c r="I123" s="3" t="s">
        <v>45</v>
      </c>
    </row>
    <row r="124" spans="1:9" ht="21" customHeight="1">
      <c r="A124" s="3" t="s">
        <v>79</v>
      </c>
      <c r="B124" s="3" t="s">
        <v>78</v>
      </c>
      <c r="C124" s="3" t="s">
        <v>88</v>
      </c>
      <c r="D124" s="3" t="s">
        <v>1267</v>
      </c>
      <c r="E124" s="4">
        <v>43435</v>
      </c>
      <c r="F124" s="4">
        <v>43465</v>
      </c>
      <c r="G124" s="3">
        <v>247</v>
      </c>
      <c r="H124" s="3" t="s">
        <v>1139</v>
      </c>
      <c r="I124" s="3" t="s">
        <v>45</v>
      </c>
    </row>
    <row r="125" spans="1:9" ht="21" customHeight="1">
      <c r="A125" s="3" t="s">
        <v>79</v>
      </c>
      <c r="B125" s="3" t="s">
        <v>78</v>
      </c>
      <c r="C125" s="3" t="s">
        <v>89</v>
      </c>
      <c r="D125" s="3" t="s">
        <v>1268</v>
      </c>
      <c r="E125" s="4">
        <v>43466</v>
      </c>
      <c r="F125" s="4">
        <v>43496</v>
      </c>
      <c r="G125" s="3">
        <v>8</v>
      </c>
      <c r="H125" s="3" t="s">
        <v>1139</v>
      </c>
      <c r="I125" s="3" t="s">
        <v>45</v>
      </c>
    </row>
    <row r="126" spans="1:9" ht="21" customHeight="1">
      <c r="A126" s="3" t="s">
        <v>79</v>
      </c>
      <c r="B126" s="3" t="s">
        <v>78</v>
      </c>
      <c r="C126" s="3" t="s">
        <v>89</v>
      </c>
      <c r="D126" s="3" t="s">
        <v>1269</v>
      </c>
      <c r="E126" s="4">
        <v>43466</v>
      </c>
      <c r="F126" s="4">
        <v>43496</v>
      </c>
      <c r="G126" s="3">
        <v>93</v>
      </c>
      <c r="H126" s="3" t="s">
        <v>1139</v>
      </c>
      <c r="I126" s="3" t="s">
        <v>45</v>
      </c>
    </row>
    <row r="127" spans="1:9" ht="21" customHeight="1">
      <c r="A127" s="3" t="s">
        <v>79</v>
      </c>
      <c r="B127" s="3" t="s">
        <v>78</v>
      </c>
      <c r="C127" s="3" t="s">
        <v>89</v>
      </c>
      <c r="D127" s="3" t="s">
        <v>1270</v>
      </c>
      <c r="E127" s="4">
        <v>43466</v>
      </c>
      <c r="F127" s="4">
        <v>43496</v>
      </c>
      <c r="G127" s="3">
        <v>247</v>
      </c>
      <c r="H127" s="3" t="s">
        <v>1139</v>
      </c>
      <c r="I127" s="3" t="s">
        <v>45</v>
      </c>
    </row>
    <row r="128" spans="1:9" ht="21" customHeight="1">
      <c r="A128" s="3" t="s">
        <v>79</v>
      </c>
      <c r="B128" s="3" t="s">
        <v>78</v>
      </c>
      <c r="C128" s="3" t="s">
        <v>90</v>
      </c>
      <c r="D128" s="3" t="s">
        <v>1271</v>
      </c>
      <c r="E128" s="4">
        <v>43497</v>
      </c>
      <c r="F128" s="4">
        <v>43524</v>
      </c>
      <c r="G128" s="3">
        <v>8</v>
      </c>
      <c r="H128" s="3" t="s">
        <v>1139</v>
      </c>
      <c r="I128" s="3" t="s">
        <v>45</v>
      </c>
    </row>
    <row r="129" spans="1:9" ht="21" customHeight="1">
      <c r="A129" s="3" t="s">
        <v>79</v>
      </c>
      <c r="B129" s="3" t="s">
        <v>78</v>
      </c>
      <c r="C129" s="3" t="s">
        <v>90</v>
      </c>
      <c r="D129" s="3" t="s">
        <v>1272</v>
      </c>
      <c r="E129" s="4">
        <v>43497</v>
      </c>
      <c r="F129" s="4">
        <v>43524</v>
      </c>
      <c r="G129" s="3">
        <v>84</v>
      </c>
      <c r="H129" s="3" t="s">
        <v>1139</v>
      </c>
      <c r="I129" s="3" t="s">
        <v>45</v>
      </c>
    </row>
    <row r="130" spans="1:9" ht="21" customHeight="1">
      <c r="A130" s="3" t="s">
        <v>79</v>
      </c>
      <c r="B130" s="3" t="s">
        <v>78</v>
      </c>
      <c r="C130" s="3" t="s">
        <v>90</v>
      </c>
      <c r="D130" s="3" t="s">
        <v>1273</v>
      </c>
      <c r="E130" s="4">
        <v>43497</v>
      </c>
      <c r="F130" s="4">
        <v>43524</v>
      </c>
      <c r="G130" s="3">
        <v>246</v>
      </c>
      <c r="H130" s="3" t="s">
        <v>1139</v>
      </c>
      <c r="I130" s="3" t="s">
        <v>45</v>
      </c>
    </row>
    <row r="131" spans="1:9" ht="21" customHeight="1">
      <c r="A131" s="3" t="s">
        <v>79</v>
      </c>
      <c r="B131" s="3" t="s">
        <v>78</v>
      </c>
      <c r="C131" s="3" t="s">
        <v>1274</v>
      </c>
      <c r="D131" s="3" t="s">
        <v>1275</v>
      </c>
      <c r="E131" s="4"/>
      <c r="F131" s="4"/>
      <c r="G131" s="3">
        <v>2</v>
      </c>
      <c r="H131" s="3" t="s">
        <v>1276</v>
      </c>
      <c r="I131" s="3" t="s">
        <v>45</v>
      </c>
    </row>
    <row r="132" spans="1:9" ht="21" customHeight="1">
      <c r="A132" s="3" t="s">
        <v>79</v>
      </c>
      <c r="B132" s="3" t="s">
        <v>78</v>
      </c>
      <c r="C132" s="3" t="s">
        <v>1274</v>
      </c>
      <c r="D132" s="3" t="s">
        <v>1277</v>
      </c>
      <c r="E132" s="4"/>
      <c r="F132" s="4"/>
      <c r="G132" s="3">
        <v>2</v>
      </c>
      <c r="H132" s="3" t="s">
        <v>1276</v>
      </c>
      <c r="I132" s="3" t="s">
        <v>45</v>
      </c>
    </row>
    <row r="133" spans="1:9" ht="21" customHeight="1">
      <c r="A133" s="3" t="s">
        <v>79</v>
      </c>
      <c r="B133" s="3" t="s">
        <v>78</v>
      </c>
      <c r="C133" s="3" t="s">
        <v>1274</v>
      </c>
      <c r="D133" s="3" t="s">
        <v>1278</v>
      </c>
      <c r="E133" s="4">
        <v>43144</v>
      </c>
      <c r="F133" s="4">
        <v>46058</v>
      </c>
      <c r="G133" s="3">
        <v>204</v>
      </c>
      <c r="H133" s="3" t="s">
        <v>1276</v>
      </c>
      <c r="I133" s="3" t="s">
        <v>45</v>
      </c>
    </row>
    <row r="134" spans="1:9" ht="21" customHeight="1">
      <c r="A134" s="3" t="s">
        <v>79</v>
      </c>
      <c r="B134" s="3" t="s">
        <v>78</v>
      </c>
      <c r="C134" s="3" t="s">
        <v>1274</v>
      </c>
      <c r="D134" s="3" t="s">
        <v>1279</v>
      </c>
      <c r="E134" s="4">
        <v>43144</v>
      </c>
      <c r="F134" s="4">
        <v>46058</v>
      </c>
      <c r="G134" s="3">
        <v>204</v>
      </c>
      <c r="H134" s="3" t="s">
        <v>1276</v>
      </c>
      <c r="I134" s="3" t="s">
        <v>45</v>
      </c>
    </row>
    <row r="135" spans="1:9" ht="21" customHeight="1">
      <c r="A135" s="3" t="s">
        <v>79</v>
      </c>
      <c r="B135" s="3" t="s">
        <v>78</v>
      </c>
      <c r="C135" s="3" t="s">
        <v>1274</v>
      </c>
      <c r="D135" s="3" t="s">
        <v>1280</v>
      </c>
      <c r="E135" s="4"/>
      <c r="F135" s="4"/>
      <c r="G135" s="3">
        <v>18</v>
      </c>
      <c r="H135" s="3" t="s">
        <v>1276</v>
      </c>
      <c r="I135" s="3" t="s">
        <v>45</v>
      </c>
    </row>
    <row r="136" spans="1:9" ht="21" customHeight="1">
      <c r="A136" s="3" t="s">
        <v>79</v>
      </c>
      <c r="B136" s="3" t="s">
        <v>78</v>
      </c>
      <c r="C136" s="3" t="s">
        <v>1274</v>
      </c>
      <c r="D136" s="3" t="s">
        <v>1281</v>
      </c>
      <c r="E136" s="4"/>
      <c r="F136" s="4"/>
      <c r="G136" s="3">
        <v>18</v>
      </c>
      <c r="H136" s="3" t="s">
        <v>1276</v>
      </c>
      <c r="I136" s="3" t="s">
        <v>45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05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7" width="18" style="2" customWidth="1"/>
    <col min="18" max="18" width="95" style="2" customWidth="1"/>
    <col min="19" max="16384" width="9" style="2"/>
  </cols>
  <sheetData>
    <row r="1" spans="1:18" ht="36" customHeight="1">
      <c r="A1" s="1" t="s">
        <v>1</v>
      </c>
      <c r="B1" s="1" t="s">
        <v>34</v>
      </c>
      <c r="C1" s="1" t="s">
        <v>0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24</v>
      </c>
    </row>
    <row r="2" spans="1:18" ht="21" customHeight="1">
      <c r="A2" s="3" t="s">
        <v>78</v>
      </c>
      <c r="B2" s="3" t="s">
        <v>45</v>
      </c>
      <c r="C2" s="4">
        <v>43144</v>
      </c>
      <c r="D2" s="3">
        <v>15</v>
      </c>
      <c r="E2" s="3" t="s">
        <v>1296</v>
      </c>
      <c r="F2" s="3">
        <v>15</v>
      </c>
      <c r="G2" s="3" t="s">
        <v>1297</v>
      </c>
      <c r="H2" s="3">
        <v>3238</v>
      </c>
      <c r="I2" s="3" t="s">
        <v>1297</v>
      </c>
      <c r="J2" s="3" t="s">
        <v>1298</v>
      </c>
      <c r="K2" s="3">
        <v>21524000</v>
      </c>
      <c r="L2" s="3" t="s">
        <v>1299</v>
      </c>
      <c r="M2" s="3">
        <v>3239</v>
      </c>
      <c r="N2" s="3" t="s">
        <v>1300</v>
      </c>
      <c r="O2" s="3">
        <v>21524000</v>
      </c>
      <c r="P2" s="3">
        <v>3239</v>
      </c>
      <c r="Q2" s="3">
        <v>10</v>
      </c>
      <c r="R2" s="3" t="s">
        <v>83</v>
      </c>
    </row>
    <row r="3" spans="1:18" ht="21" customHeight="1">
      <c r="A3" s="3" t="s">
        <v>78</v>
      </c>
      <c r="B3" s="3" t="s">
        <v>45</v>
      </c>
      <c r="C3" s="4">
        <v>43151</v>
      </c>
      <c r="D3" s="3">
        <v>35</v>
      </c>
      <c r="E3" s="3" t="s">
        <v>1301</v>
      </c>
      <c r="F3" s="3">
        <v>40</v>
      </c>
      <c r="G3" s="3" t="s">
        <v>1296</v>
      </c>
      <c r="H3" s="3">
        <v>8477</v>
      </c>
      <c r="I3" s="3" t="s">
        <v>1302</v>
      </c>
      <c r="J3" s="3" t="s">
        <v>1303</v>
      </c>
      <c r="K3" s="3">
        <v>46692700</v>
      </c>
      <c r="L3" s="3" t="s">
        <v>1304</v>
      </c>
      <c r="M3" s="3">
        <v>6846</v>
      </c>
      <c r="N3" s="3" t="s">
        <v>1305</v>
      </c>
      <c r="O3" s="3">
        <v>68216700</v>
      </c>
      <c r="P3" s="3">
        <v>10085</v>
      </c>
      <c r="Q3" s="3">
        <v>8</v>
      </c>
      <c r="R3" s="3" t="s">
        <v>83</v>
      </c>
    </row>
    <row r="4" spans="1:18" ht="21" customHeight="1">
      <c r="A4" s="3" t="s">
        <v>78</v>
      </c>
      <c r="B4" s="3" t="s">
        <v>45</v>
      </c>
      <c r="C4" s="4">
        <v>43152</v>
      </c>
      <c r="D4" s="3">
        <v>12</v>
      </c>
      <c r="E4" s="3" t="s">
        <v>1296</v>
      </c>
      <c r="F4" s="3">
        <v>12</v>
      </c>
      <c r="G4" s="3" t="s">
        <v>1297</v>
      </c>
      <c r="H4" s="3">
        <v>2740</v>
      </c>
      <c r="I4" s="3" t="s">
        <v>1297</v>
      </c>
      <c r="J4" s="3" t="s">
        <v>1298</v>
      </c>
      <c r="K4" s="3">
        <v>21636000</v>
      </c>
      <c r="L4" s="3" t="s">
        <v>1306</v>
      </c>
      <c r="M4" s="3">
        <v>2740</v>
      </c>
      <c r="N4" s="3" t="s">
        <v>1307</v>
      </c>
      <c r="O4" s="3">
        <v>89852700</v>
      </c>
      <c r="P4" s="3">
        <v>12825</v>
      </c>
      <c r="Q4" s="3">
        <v>10</v>
      </c>
      <c r="R4" s="3" t="s">
        <v>83</v>
      </c>
    </row>
    <row r="5" spans="1:18" ht="21" customHeight="1">
      <c r="A5" s="3" t="s">
        <v>78</v>
      </c>
      <c r="B5" s="3" t="s">
        <v>45</v>
      </c>
      <c r="C5" s="4">
        <v>43155</v>
      </c>
      <c r="D5" s="3">
        <v>2</v>
      </c>
      <c r="E5" s="3" t="s">
        <v>1308</v>
      </c>
      <c r="F5" s="3">
        <v>5</v>
      </c>
      <c r="G5" s="3" t="s">
        <v>1309</v>
      </c>
      <c r="H5" s="3">
        <v>1332</v>
      </c>
      <c r="I5" s="3" t="s">
        <v>1308</v>
      </c>
      <c r="J5" s="3" t="s">
        <v>1310</v>
      </c>
      <c r="K5" s="3">
        <v>6420000</v>
      </c>
      <c r="L5" s="3" t="s">
        <v>1311</v>
      </c>
      <c r="M5" s="3">
        <v>1212</v>
      </c>
      <c r="N5" s="3" t="s">
        <v>1312</v>
      </c>
      <c r="O5" s="3">
        <v>96272700</v>
      </c>
      <c r="P5" s="3">
        <v>14037</v>
      </c>
      <c r="Q5" s="3">
        <v>17</v>
      </c>
      <c r="R5" s="3" t="s">
        <v>83</v>
      </c>
    </row>
    <row r="6" spans="1:18" ht="21" customHeight="1">
      <c r="A6" s="3" t="s">
        <v>78</v>
      </c>
      <c r="B6" s="3" t="s">
        <v>45</v>
      </c>
      <c r="C6" s="4">
        <v>43156</v>
      </c>
      <c r="D6" s="3">
        <v>2</v>
      </c>
      <c r="E6" s="3" t="s">
        <v>1308</v>
      </c>
      <c r="F6" s="3">
        <v>2</v>
      </c>
      <c r="G6" s="3" t="s">
        <v>1309</v>
      </c>
      <c r="H6" s="3">
        <v>207</v>
      </c>
      <c r="I6" s="3" t="s">
        <v>1308</v>
      </c>
      <c r="J6" s="3" t="s">
        <v>1298</v>
      </c>
      <c r="K6" s="3">
        <v>1559000</v>
      </c>
      <c r="L6" s="3" t="s">
        <v>1313</v>
      </c>
      <c r="M6" s="3">
        <v>207</v>
      </c>
      <c r="N6" s="3" t="s">
        <v>1314</v>
      </c>
      <c r="O6" s="3">
        <v>97831700</v>
      </c>
      <c r="P6" s="3">
        <v>14244</v>
      </c>
      <c r="Q6" s="3">
        <v>34</v>
      </c>
      <c r="R6" s="3" t="s">
        <v>83</v>
      </c>
    </row>
    <row r="7" spans="1:18" ht="21" customHeight="1">
      <c r="A7" s="3" t="s">
        <v>78</v>
      </c>
      <c r="B7" s="3" t="s">
        <v>45</v>
      </c>
      <c r="C7" s="4">
        <v>43158</v>
      </c>
      <c r="D7" s="3">
        <v>10</v>
      </c>
      <c r="E7" s="3" t="s">
        <v>1296</v>
      </c>
      <c r="F7" s="3">
        <v>10</v>
      </c>
      <c r="G7" s="3" t="s">
        <v>1297</v>
      </c>
      <c r="H7" s="3">
        <v>1750</v>
      </c>
      <c r="I7" s="3" t="s">
        <v>1297</v>
      </c>
      <c r="J7" s="3" t="s">
        <v>1315</v>
      </c>
      <c r="K7" s="3">
        <v>12106000</v>
      </c>
      <c r="L7" s="3" t="s">
        <v>1316</v>
      </c>
      <c r="M7" s="3">
        <v>1354</v>
      </c>
      <c r="N7" s="3" t="s">
        <v>1317</v>
      </c>
      <c r="O7" s="3">
        <v>109937700</v>
      </c>
      <c r="P7" s="3">
        <v>15598</v>
      </c>
      <c r="Q7" s="3">
        <v>17</v>
      </c>
      <c r="R7" s="3" t="s">
        <v>83</v>
      </c>
    </row>
    <row r="8" spans="1:18" ht="21" customHeight="1">
      <c r="A8" s="3" t="s">
        <v>78</v>
      </c>
      <c r="B8" s="3" t="s">
        <v>45</v>
      </c>
      <c r="C8" s="4">
        <v>43159</v>
      </c>
      <c r="D8" s="3">
        <v>831</v>
      </c>
      <c r="E8" s="3" t="s">
        <v>1318</v>
      </c>
      <c r="F8" s="3">
        <v>4188</v>
      </c>
      <c r="G8" s="3" t="s">
        <v>1319</v>
      </c>
      <c r="H8" s="3">
        <v>761215</v>
      </c>
      <c r="I8" s="3" t="s">
        <v>1320</v>
      </c>
      <c r="J8" s="3" t="s">
        <v>1321</v>
      </c>
      <c r="K8" s="3">
        <v>779250900</v>
      </c>
      <c r="L8" s="3" t="s">
        <v>1322</v>
      </c>
      <c r="M8" s="3">
        <v>131350</v>
      </c>
      <c r="N8" s="3" t="s">
        <v>1323</v>
      </c>
      <c r="O8" s="3">
        <v>889188600</v>
      </c>
      <c r="P8" s="3">
        <v>146948</v>
      </c>
      <c r="Q8" s="3">
        <v>2</v>
      </c>
      <c r="R8" s="3" t="s">
        <v>83</v>
      </c>
    </row>
    <row r="9" spans="1:18" ht="21" customHeight="1">
      <c r="A9" s="3" t="s">
        <v>78</v>
      </c>
      <c r="B9" s="3" t="s">
        <v>45</v>
      </c>
      <c r="C9" s="4">
        <v>43160</v>
      </c>
      <c r="D9" s="3">
        <v>884</v>
      </c>
      <c r="E9" s="3" t="s">
        <v>1324</v>
      </c>
      <c r="F9" s="3">
        <v>4274</v>
      </c>
      <c r="G9" s="3" t="s">
        <v>1319</v>
      </c>
      <c r="H9" s="3">
        <v>782367</v>
      </c>
      <c r="I9" s="3" t="s">
        <v>1325</v>
      </c>
      <c r="J9" s="3" t="s">
        <v>1326</v>
      </c>
      <c r="K9" s="3">
        <v>1385057900</v>
      </c>
      <c r="L9" s="3" t="s">
        <v>1327</v>
      </c>
      <c r="M9" s="3">
        <v>167097</v>
      </c>
      <c r="N9" s="3" t="s">
        <v>1328</v>
      </c>
      <c r="O9" s="3">
        <v>2274246500</v>
      </c>
      <c r="P9" s="3">
        <v>314045</v>
      </c>
      <c r="Q9" s="3">
        <v>2</v>
      </c>
      <c r="R9" s="3" t="s">
        <v>83</v>
      </c>
    </row>
    <row r="10" spans="1:18" ht="21" customHeight="1">
      <c r="A10" s="3" t="s">
        <v>78</v>
      </c>
      <c r="B10" s="3" t="s">
        <v>45</v>
      </c>
      <c r="C10" s="4">
        <v>43161</v>
      </c>
      <c r="D10" s="3">
        <v>830</v>
      </c>
      <c r="E10" s="3" t="s">
        <v>1324</v>
      </c>
      <c r="F10" s="3">
        <v>4101</v>
      </c>
      <c r="G10" s="3" t="s">
        <v>1329</v>
      </c>
      <c r="H10" s="3">
        <v>746023</v>
      </c>
      <c r="I10" s="3" t="s">
        <v>1330</v>
      </c>
      <c r="J10" s="3" t="s">
        <v>1331</v>
      </c>
      <c r="K10" s="3">
        <v>658080114</v>
      </c>
      <c r="L10" s="3" t="s">
        <v>1332</v>
      </c>
      <c r="M10" s="3">
        <v>78782</v>
      </c>
      <c r="N10" s="3" t="s">
        <v>1333</v>
      </c>
      <c r="O10" s="3">
        <v>2932326614</v>
      </c>
      <c r="P10" s="3">
        <v>392827</v>
      </c>
      <c r="Q10" s="3">
        <v>2</v>
      </c>
      <c r="R10" s="3" t="s">
        <v>83</v>
      </c>
    </row>
    <row r="11" spans="1:18" ht="21" customHeight="1">
      <c r="A11" s="3" t="s">
        <v>78</v>
      </c>
      <c r="B11" s="3" t="s">
        <v>45</v>
      </c>
      <c r="C11" s="4">
        <v>43162</v>
      </c>
      <c r="D11" s="3">
        <v>830</v>
      </c>
      <c r="E11" s="3" t="s">
        <v>1334</v>
      </c>
      <c r="F11" s="3">
        <v>3950</v>
      </c>
      <c r="G11" s="3" t="s">
        <v>1335</v>
      </c>
      <c r="H11" s="3">
        <v>688338</v>
      </c>
      <c r="I11" s="3" t="s">
        <v>1319</v>
      </c>
      <c r="J11" s="3" t="s">
        <v>1319</v>
      </c>
      <c r="K11" s="3">
        <v>1292433216</v>
      </c>
      <c r="L11" s="3" t="s">
        <v>1336</v>
      </c>
      <c r="M11" s="3">
        <v>154014</v>
      </c>
      <c r="N11" s="3" t="s">
        <v>1337</v>
      </c>
      <c r="O11" s="3">
        <v>4224759830</v>
      </c>
      <c r="P11" s="3">
        <v>546841</v>
      </c>
      <c r="Q11" s="3">
        <v>2</v>
      </c>
      <c r="R11" s="3" t="s">
        <v>83</v>
      </c>
    </row>
    <row r="12" spans="1:18" ht="21" customHeight="1">
      <c r="A12" s="3" t="s">
        <v>78</v>
      </c>
      <c r="B12" s="3" t="s">
        <v>45</v>
      </c>
      <c r="C12" s="4">
        <v>43163</v>
      </c>
      <c r="D12" s="3">
        <v>833</v>
      </c>
      <c r="E12" s="3" t="s">
        <v>1318</v>
      </c>
      <c r="F12" s="3">
        <v>3861</v>
      </c>
      <c r="G12" s="3" t="s">
        <v>1338</v>
      </c>
      <c r="H12" s="3">
        <v>667081</v>
      </c>
      <c r="I12" s="3" t="s">
        <v>1319</v>
      </c>
      <c r="J12" s="3" t="s">
        <v>1338</v>
      </c>
      <c r="K12" s="3">
        <v>1167919900</v>
      </c>
      <c r="L12" s="3" t="s">
        <v>1339</v>
      </c>
      <c r="M12" s="3">
        <v>139732</v>
      </c>
      <c r="N12" s="3" t="s">
        <v>1340</v>
      </c>
      <c r="O12" s="3">
        <v>5392679730</v>
      </c>
      <c r="P12" s="3">
        <v>686573</v>
      </c>
      <c r="Q12" s="3">
        <v>2</v>
      </c>
      <c r="R12" s="3" t="s">
        <v>83</v>
      </c>
    </row>
    <row r="13" spans="1:18" ht="21" customHeight="1">
      <c r="A13" s="3" t="s">
        <v>78</v>
      </c>
      <c r="B13" s="3" t="s">
        <v>45</v>
      </c>
      <c r="C13" s="4">
        <v>43164</v>
      </c>
      <c r="D13" s="3">
        <v>751</v>
      </c>
      <c r="E13" s="3" t="s">
        <v>1341</v>
      </c>
      <c r="F13" s="3">
        <v>3710</v>
      </c>
      <c r="G13" s="3" t="s">
        <v>1342</v>
      </c>
      <c r="H13" s="3">
        <v>625077</v>
      </c>
      <c r="I13" s="3" t="s">
        <v>1343</v>
      </c>
      <c r="J13" s="3" t="s">
        <v>1344</v>
      </c>
      <c r="K13" s="3">
        <v>385233100</v>
      </c>
      <c r="L13" s="3" t="s">
        <v>1345</v>
      </c>
      <c r="M13" s="3">
        <v>50835</v>
      </c>
      <c r="N13" s="3" t="s">
        <v>1346</v>
      </c>
      <c r="O13" s="3">
        <v>5777912830</v>
      </c>
      <c r="P13" s="3">
        <v>737408</v>
      </c>
      <c r="Q13" s="3">
        <v>2</v>
      </c>
      <c r="R13" s="3" t="s">
        <v>83</v>
      </c>
    </row>
    <row r="14" spans="1:18" ht="21" customHeight="1">
      <c r="A14" s="3" t="s">
        <v>78</v>
      </c>
      <c r="B14" s="3" t="s">
        <v>45</v>
      </c>
      <c r="C14" s="4">
        <v>43165</v>
      </c>
      <c r="D14" s="3">
        <v>766</v>
      </c>
      <c r="E14" s="3" t="s">
        <v>1347</v>
      </c>
      <c r="F14" s="3">
        <v>3711</v>
      </c>
      <c r="G14" s="3" t="s">
        <v>1319</v>
      </c>
      <c r="H14" s="3">
        <v>623848</v>
      </c>
      <c r="I14" s="3" t="s">
        <v>1348</v>
      </c>
      <c r="J14" s="3" t="s">
        <v>1349</v>
      </c>
      <c r="K14" s="3">
        <v>359487700</v>
      </c>
      <c r="L14" s="3" t="s">
        <v>1350</v>
      </c>
      <c r="M14" s="3">
        <v>47876</v>
      </c>
      <c r="N14" s="3" t="s">
        <v>1351</v>
      </c>
      <c r="O14" s="3">
        <v>6137400530</v>
      </c>
      <c r="P14" s="3">
        <v>785284</v>
      </c>
      <c r="Q14" s="3">
        <v>2</v>
      </c>
      <c r="R14" s="3" t="s">
        <v>83</v>
      </c>
    </row>
    <row r="15" spans="1:18" ht="21" customHeight="1">
      <c r="A15" s="3" t="s">
        <v>78</v>
      </c>
      <c r="B15" s="3" t="s">
        <v>45</v>
      </c>
      <c r="C15" s="4">
        <v>43166</v>
      </c>
      <c r="D15" s="3">
        <v>666</v>
      </c>
      <c r="E15" s="3" t="s">
        <v>1352</v>
      </c>
      <c r="F15" s="3">
        <v>3095</v>
      </c>
      <c r="G15" s="3" t="s">
        <v>1353</v>
      </c>
      <c r="H15" s="3">
        <v>507066</v>
      </c>
      <c r="I15" s="3" t="s">
        <v>1354</v>
      </c>
      <c r="J15" s="3" t="s">
        <v>1355</v>
      </c>
      <c r="K15" s="3">
        <v>303065600</v>
      </c>
      <c r="L15" s="3" t="s">
        <v>1356</v>
      </c>
      <c r="M15" s="3">
        <v>40047</v>
      </c>
      <c r="N15" s="3" t="s">
        <v>1357</v>
      </c>
      <c r="O15" s="3">
        <v>6440466130</v>
      </c>
      <c r="P15" s="3">
        <v>825331</v>
      </c>
      <c r="Q15" s="3">
        <v>3</v>
      </c>
      <c r="R15" s="3" t="s">
        <v>83</v>
      </c>
    </row>
    <row r="16" spans="1:18" ht="21" customHeight="1">
      <c r="A16" s="3" t="s">
        <v>78</v>
      </c>
      <c r="B16" s="3" t="s">
        <v>45</v>
      </c>
      <c r="C16" s="4">
        <v>43167</v>
      </c>
      <c r="D16" s="3">
        <v>579</v>
      </c>
      <c r="E16" s="3" t="s">
        <v>1358</v>
      </c>
      <c r="F16" s="3">
        <v>2390</v>
      </c>
      <c r="G16" s="3" t="s">
        <v>1359</v>
      </c>
      <c r="H16" s="3">
        <v>353463</v>
      </c>
      <c r="I16" s="3" t="s">
        <v>1360</v>
      </c>
      <c r="J16" s="3" t="s">
        <v>1361</v>
      </c>
      <c r="K16" s="3">
        <v>265183900</v>
      </c>
      <c r="L16" s="3" t="s">
        <v>1362</v>
      </c>
      <c r="M16" s="3">
        <v>35210</v>
      </c>
      <c r="N16" s="3" t="s">
        <v>1363</v>
      </c>
      <c r="O16" s="3">
        <v>6705650030</v>
      </c>
      <c r="P16" s="3">
        <v>860541</v>
      </c>
      <c r="Q16" s="3">
        <v>3</v>
      </c>
      <c r="R16" s="3" t="s">
        <v>83</v>
      </c>
    </row>
    <row r="17" spans="1:18" ht="21" customHeight="1">
      <c r="A17" s="3" t="s">
        <v>78</v>
      </c>
      <c r="B17" s="3" t="s">
        <v>45</v>
      </c>
      <c r="C17" s="4">
        <v>43168</v>
      </c>
      <c r="D17" s="3">
        <v>622</v>
      </c>
      <c r="E17" s="3" t="s">
        <v>1364</v>
      </c>
      <c r="F17" s="3">
        <v>2552</v>
      </c>
      <c r="G17" s="3" t="s">
        <v>1347</v>
      </c>
      <c r="H17" s="3">
        <v>381358</v>
      </c>
      <c r="I17" s="3" t="s">
        <v>1365</v>
      </c>
      <c r="J17" s="3" t="s">
        <v>1366</v>
      </c>
      <c r="K17" s="3">
        <v>407934330</v>
      </c>
      <c r="L17" s="3" t="s">
        <v>1367</v>
      </c>
      <c r="M17" s="3">
        <v>48732</v>
      </c>
      <c r="N17" s="3" t="s">
        <v>1368</v>
      </c>
      <c r="O17" s="3">
        <v>7113584360</v>
      </c>
      <c r="P17" s="3">
        <v>909273</v>
      </c>
      <c r="Q17" s="3">
        <v>3</v>
      </c>
      <c r="R17" s="3" t="s">
        <v>83</v>
      </c>
    </row>
    <row r="18" spans="1:18" ht="21" customHeight="1">
      <c r="A18" s="3" t="s">
        <v>78</v>
      </c>
      <c r="B18" s="3" t="s">
        <v>45</v>
      </c>
      <c r="C18" s="4">
        <v>43169</v>
      </c>
      <c r="D18" s="3">
        <v>699</v>
      </c>
      <c r="E18" s="3" t="s">
        <v>1369</v>
      </c>
      <c r="F18" s="3">
        <v>2874</v>
      </c>
      <c r="G18" s="3" t="s">
        <v>1370</v>
      </c>
      <c r="H18" s="3">
        <v>447386</v>
      </c>
      <c r="I18" s="3" t="s">
        <v>1371</v>
      </c>
      <c r="J18" s="3" t="s">
        <v>1372</v>
      </c>
      <c r="K18" s="3">
        <v>966023320</v>
      </c>
      <c r="L18" s="3" t="s">
        <v>1373</v>
      </c>
      <c r="M18" s="3">
        <v>114883</v>
      </c>
      <c r="N18" s="3" t="s">
        <v>1374</v>
      </c>
      <c r="O18" s="3">
        <v>8079607680</v>
      </c>
      <c r="P18" s="3">
        <v>1024156</v>
      </c>
      <c r="Q18" s="3">
        <v>3</v>
      </c>
      <c r="R18" s="3" t="s">
        <v>83</v>
      </c>
    </row>
    <row r="19" spans="1:18" ht="21" customHeight="1">
      <c r="A19" s="3" t="s">
        <v>78</v>
      </c>
      <c r="B19" s="3" t="s">
        <v>45</v>
      </c>
      <c r="C19" s="4">
        <v>43170</v>
      </c>
      <c r="D19" s="3">
        <v>694</v>
      </c>
      <c r="E19" s="3" t="s">
        <v>1369</v>
      </c>
      <c r="F19" s="3">
        <v>2800</v>
      </c>
      <c r="G19" s="3" t="s">
        <v>1375</v>
      </c>
      <c r="H19" s="3">
        <v>436289</v>
      </c>
      <c r="I19" s="3" t="s">
        <v>1341</v>
      </c>
      <c r="J19" s="3" t="s">
        <v>1376</v>
      </c>
      <c r="K19" s="3">
        <v>830372600</v>
      </c>
      <c r="L19" s="3" t="s">
        <v>1377</v>
      </c>
      <c r="M19" s="3">
        <v>99324</v>
      </c>
      <c r="N19" s="3" t="s">
        <v>1378</v>
      </c>
      <c r="O19" s="3">
        <v>8909980280</v>
      </c>
      <c r="P19" s="3">
        <v>1123480</v>
      </c>
      <c r="Q19" s="3">
        <v>3</v>
      </c>
      <c r="R19" s="3" t="s">
        <v>83</v>
      </c>
    </row>
    <row r="20" spans="1:18" ht="21" customHeight="1">
      <c r="A20" s="3" t="s">
        <v>78</v>
      </c>
      <c r="B20" s="3" t="s">
        <v>45</v>
      </c>
      <c r="C20" s="4">
        <v>43171</v>
      </c>
      <c r="D20" s="3">
        <v>640</v>
      </c>
      <c r="E20" s="3" t="s">
        <v>1379</v>
      </c>
      <c r="F20" s="3">
        <v>2625</v>
      </c>
      <c r="G20" s="3" t="s">
        <v>1380</v>
      </c>
      <c r="H20" s="3">
        <v>396136</v>
      </c>
      <c r="I20" s="3" t="s">
        <v>1341</v>
      </c>
      <c r="J20" s="3" t="s">
        <v>1381</v>
      </c>
      <c r="K20" s="3">
        <v>226544100</v>
      </c>
      <c r="L20" s="3" t="s">
        <v>1382</v>
      </c>
      <c r="M20" s="3">
        <v>30094</v>
      </c>
      <c r="N20" s="3" t="s">
        <v>1383</v>
      </c>
      <c r="O20" s="3">
        <v>9136524380</v>
      </c>
      <c r="P20" s="3">
        <v>1153574</v>
      </c>
      <c r="Q20" s="3">
        <v>2</v>
      </c>
      <c r="R20" s="3" t="s">
        <v>83</v>
      </c>
    </row>
    <row r="21" spans="1:18" ht="21" customHeight="1">
      <c r="A21" s="3" t="s">
        <v>78</v>
      </c>
      <c r="B21" s="3" t="s">
        <v>45</v>
      </c>
      <c r="C21" s="4">
        <v>43172</v>
      </c>
      <c r="D21" s="3">
        <v>655</v>
      </c>
      <c r="E21" s="3" t="s">
        <v>1384</v>
      </c>
      <c r="F21" s="3">
        <v>2633</v>
      </c>
      <c r="G21" s="3" t="s">
        <v>1385</v>
      </c>
      <c r="H21" s="3">
        <v>393671</v>
      </c>
      <c r="I21" s="3" t="s">
        <v>1341</v>
      </c>
      <c r="J21" s="3" t="s">
        <v>1349</v>
      </c>
      <c r="K21" s="3">
        <v>225956300</v>
      </c>
      <c r="L21" s="3" t="s">
        <v>1386</v>
      </c>
      <c r="M21" s="3">
        <v>30183</v>
      </c>
      <c r="N21" s="3" t="s">
        <v>1387</v>
      </c>
      <c r="O21" s="3">
        <v>9362480680</v>
      </c>
      <c r="P21" s="3">
        <v>1183757</v>
      </c>
      <c r="Q21" s="3">
        <v>2</v>
      </c>
      <c r="R21" s="3" t="s">
        <v>83</v>
      </c>
    </row>
    <row r="22" spans="1:18" ht="21" customHeight="1">
      <c r="A22" s="3" t="s">
        <v>78</v>
      </c>
      <c r="B22" s="3" t="s">
        <v>45</v>
      </c>
      <c r="C22" s="4">
        <v>43173</v>
      </c>
      <c r="D22" s="3">
        <v>510</v>
      </c>
      <c r="E22" s="3" t="s">
        <v>1388</v>
      </c>
      <c r="F22" s="3">
        <v>1838</v>
      </c>
      <c r="G22" s="3" t="s">
        <v>1389</v>
      </c>
      <c r="H22" s="3">
        <v>252176</v>
      </c>
      <c r="I22" s="3" t="s">
        <v>1390</v>
      </c>
      <c r="J22" s="3" t="s">
        <v>1390</v>
      </c>
      <c r="K22" s="3">
        <v>172606900</v>
      </c>
      <c r="L22" s="3" t="s">
        <v>1391</v>
      </c>
      <c r="M22" s="3">
        <v>22905</v>
      </c>
      <c r="N22" s="3" t="s">
        <v>1392</v>
      </c>
      <c r="O22" s="3">
        <v>9535087580</v>
      </c>
      <c r="P22" s="3">
        <v>1206662</v>
      </c>
      <c r="Q22" s="3">
        <v>4</v>
      </c>
      <c r="R22" s="3" t="s">
        <v>83</v>
      </c>
    </row>
    <row r="23" spans="1:18" ht="21" customHeight="1">
      <c r="A23" s="3" t="s">
        <v>78</v>
      </c>
      <c r="B23" s="3" t="s">
        <v>45</v>
      </c>
      <c r="C23" s="4">
        <v>43174</v>
      </c>
      <c r="D23" s="3">
        <v>521</v>
      </c>
      <c r="E23" s="3" t="s">
        <v>1393</v>
      </c>
      <c r="F23" s="3">
        <v>1758</v>
      </c>
      <c r="G23" s="3" t="s">
        <v>1394</v>
      </c>
      <c r="H23" s="3">
        <v>243851</v>
      </c>
      <c r="I23" s="3" t="s">
        <v>1395</v>
      </c>
      <c r="J23" s="3" t="s">
        <v>1355</v>
      </c>
      <c r="K23" s="3">
        <v>145160300</v>
      </c>
      <c r="L23" s="3" t="s">
        <v>1396</v>
      </c>
      <c r="M23" s="3">
        <v>19352</v>
      </c>
      <c r="N23" s="3" t="s">
        <v>1397</v>
      </c>
      <c r="O23" s="3">
        <v>9680247880</v>
      </c>
      <c r="P23" s="3">
        <v>1226014</v>
      </c>
      <c r="Q23" s="3">
        <v>4</v>
      </c>
      <c r="R23" s="3" t="s">
        <v>83</v>
      </c>
    </row>
    <row r="24" spans="1:18" ht="21" customHeight="1">
      <c r="A24" s="3" t="s">
        <v>78</v>
      </c>
      <c r="B24" s="3" t="s">
        <v>45</v>
      </c>
      <c r="C24" s="4">
        <v>43175</v>
      </c>
      <c r="D24" s="3">
        <v>538</v>
      </c>
      <c r="E24" s="3" t="s">
        <v>1398</v>
      </c>
      <c r="F24" s="3">
        <v>1896</v>
      </c>
      <c r="G24" s="3" t="s">
        <v>1399</v>
      </c>
      <c r="H24" s="3">
        <v>264749</v>
      </c>
      <c r="I24" s="3" t="s">
        <v>1400</v>
      </c>
      <c r="J24" s="3" t="s">
        <v>1361</v>
      </c>
      <c r="K24" s="3">
        <v>222310818</v>
      </c>
      <c r="L24" s="3" t="s">
        <v>1401</v>
      </c>
      <c r="M24" s="3">
        <v>26541</v>
      </c>
      <c r="N24" s="3" t="s">
        <v>1402</v>
      </c>
      <c r="O24" s="3">
        <v>9902558698</v>
      </c>
      <c r="P24" s="3">
        <v>1252555</v>
      </c>
      <c r="Q24" s="3">
        <v>3</v>
      </c>
      <c r="R24" s="3" t="s">
        <v>83</v>
      </c>
    </row>
    <row r="25" spans="1:18" ht="21" customHeight="1">
      <c r="A25" s="3" t="s">
        <v>78</v>
      </c>
      <c r="B25" s="3" t="s">
        <v>45</v>
      </c>
      <c r="C25" s="4">
        <v>43176</v>
      </c>
      <c r="D25" s="3">
        <v>584</v>
      </c>
      <c r="E25" s="3" t="s">
        <v>1403</v>
      </c>
      <c r="F25" s="3">
        <v>2026</v>
      </c>
      <c r="G25" s="3" t="s">
        <v>1389</v>
      </c>
      <c r="H25" s="3">
        <v>283848</v>
      </c>
      <c r="I25" s="3" t="s">
        <v>1393</v>
      </c>
      <c r="J25" s="3" t="s">
        <v>1404</v>
      </c>
      <c r="K25" s="3">
        <v>464907224</v>
      </c>
      <c r="L25" s="3" t="s">
        <v>1405</v>
      </c>
      <c r="M25" s="3">
        <v>55314</v>
      </c>
      <c r="N25" s="3" t="s">
        <v>1406</v>
      </c>
      <c r="O25" s="3">
        <v>10367465922</v>
      </c>
      <c r="P25" s="3">
        <v>1307869</v>
      </c>
      <c r="Q25" s="3">
        <v>3</v>
      </c>
      <c r="R25" s="3" t="s">
        <v>83</v>
      </c>
    </row>
    <row r="26" spans="1:18" ht="21" customHeight="1">
      <c r="A26" s="3" t="s">
        <v>78</v>
      </c>
      <c r="B26" s="3" t="s">
        <v>45</v>
      </c>
      <c r="C26" s="4">
        <v>43177</v>
      </c>
      <c r="D26" s="3">
        <v>588</v>
      </c>
      <c r="E26" s="3" t="s">
        <v>1393</v>
      </c>
      <c r="F26" s="3">
        <v>1953</v>
      </c>
      <c r="G26" s="3" t="s">
        <v>1389</v>
      </c>
      <c r="H26" s="3">
        <v>277233</v>
      </c>
      <c r="I26" s="3" t="s">
        <v>1407</v>
      </c>
      <c r="J26" s="3" t="s">
        <v>1408</v>
      </c>
      <c r="K26" s="3">
        <v>383090300</v>
      </c>
      <c r="L26" s="3" t="s">
        <v>1409</v>
      </c>
      <c r="M26" s="3">
        <v>45707</v>
      </c>
      <c r="N26" s="3" t="s">
        <v>1410</v>
      </c>
      <c r="O26" s="3">
        <v>10750556222</v>
      </c>
      <c r="P26" s="3">
        <v>1353576</v>
      </c>
      <c r="Q26" s="3">
        <v>3</v>
      </c>
      <c r="R26" s="3" t="s">
        <v>83</v>
      </c>
    </row>
    <row r="27" spans="1:18" ht="21" customHeight="1">
      <c r="A27" s="3" t="s">
        <v>78</v>
      </c>
      <c r="B27" s="3" t="s">
        <v>45</v>
      </c>
      <c r="C27" s="4">
        <v>43178</v>
      </c>
      <c r="D27" s="3">
        <v>546</v>
      </c>
      <c r="E27" s="3" t="s">
        <v>1394</v>
      </c>
      <c r="F27" s="3">
        <v>1784</v>
      </c>
      <c r="G27" s="3" t="s">
        <v>1411</v>
      </c>
      <c r="H27" s="3">
        <v>251702</v>
      </c>
      <c r="I27" s="3" t="s">
        <v>1407</v>
      </c>
      <c r="J27" s="3" t="s">
        <v>1412</v>
      </c>
      <c r="K27" s="3">
        <v>112879100</v>
      </c>
      <c r="L27" s="3" t="s">
        <v>1413</v>
      </c>
      <c r="M27" s="3">
        <v>15005</v>
      </c>
      <c r="N27" s="3" t="s">
        <v>1414</v>
      </c>
      <c r="O27" s="3">
        <v>10863435322</v>
      </c>
      <c r="P27" s="3">
        <v>1368581</v>
      </c>
      <c r="Q27" s="3">
        <v>3</v>
      </c>
      <c r="R27" s="3" t="s">
        <v>83</v>
      </c>
    </row>
    <row r="28" spans="1:18" ht="21" customHeight="1">
      <c r="A28" s="3" t="s">
        <v>78</v>
      </c>
      <c r="B28" s="3" t="s">
        <v>45</v>
      </c>
      <c r="C28" s="4">
        <v>43179</v>
      </c>
      <c r="D28" s="3">
        <v>528</v>
      </c>
      <c r="E28" s="3" t="s">
        <v>1388</v>
      </c>
      <c r="F28" s="3">
        <v>1762</v>
      </c>
      <c r="G28" s="3" t="s">
        <v>1411</v>
      </c>
      <c r="H28" s="3">
        <v>248907</v>
      </c>
      <c r="I28" s="3" t="s">
        <v>1407</v>
      </c>
      <c r="J28" s="3" t="s">
        <v>1415</v>
      </c>
      <c r="K28" s="3">
        <v>107330500</v>
      </c>
      <c r="L28" s="3" t="s">
        <v>1416</v>
      </c>
      <c r="M28" s="3">
        <v>14371</v>
      </c>
      <c r="N28" s="3" t="s">
        <v>1417</v>
      </c>
      <c r="O28" s="3">
        <v>10970765822</v>
      </c>
      <c r="P28" s="3">
        <v>1382952</v>
      </c>
      <c r="Q28" s="3">
        <v>3</v>
      </c>
      <c r="R28" s="3" t="s">
        <v>83</v>
      </c>
    </row>
    <row r="29" spans="1:18" ht="21" customHeight="1">
      <c r="A29" s="3" t="s">
        <v>78</v>
      </c>
      <c r="B29" s="3" t="s">
        <v>45</v>
      </c>
      <c r="C29" s="4">
        <v>43180</v>
      </c>
      <c r="D29" s="3">
        <v>514</v>
      </c>
      <c r="E29" s="3" t="s">
        <v>1418</v>
      </c>
      <c r="F29" s="3">
        <v>1236</v>
      </c>
      <c r="G29" s="3" t="s">
        <v>1349</v>
      </c>
      <c r="H29" s="3">
        <v>162452</v>
      </c>
      <c r="I29" s="3" t="s">
        <v>1419</v>
      </c>
      <c r="J29" s="3" t="s">
        <v>1355</v>
      </c>
      <c r="K29" s="3">
        <v>93969300</v>
      </c>
      <c r="L29" s="3" t="s">
        <v>1420</v>
      </c>
      <c r="M29" s="3">
        <v>12838</v>
      </c>
      <c r="N29" s="3" t="s">
        <v>1421</v>
      </c>
      <c r="O29" s="3">
        <v>11064735122</v>
      </c>
      <c r="P29" s="3">
        <v>1395790</v>
      </c>
      <c r="Q29" s="3">
        <v>4</v>
      </c>
      <c r="R29" s="3" t="s">
        <v>83</v>
      </c>
    </row>
    <row r="30" spans="1:18" ht="21" customHeight="1">
      <c r="A30" s="3" t="s">
        <v>78</v>
      </c>
      <c r="B30" s="3" t="s">
        <v>45</v>
      </c>
      <c r="C30" s="4">
        <v>43181</v>
      </c>
      <c r="D30" s="3">
        <v>430</v>
      </c>
      <c r="E30" s="3" t="s">
        <v>1344</v>
      </c>
      <c r="F30" s="3">
        <v>941</v>
      </c>
      <c r="G30" s="3" t="s">
        <v>1422</v>
      </c>
      <c r="H30" s="3">
        <v>123948</v>
      </c>
      <c r="I30" s="3" t="s">
        <v>1423</v>
      </c>
      <c r="J30" s="3" t="s">
        <v>1424</v>
      </c>
      <c r="K30" s="3">
        <v>76009000</v>
      </c>
      <c r="L30" s="3" t="s">
        <v>1425</v>
      </c>
      <c r="M30" s="3">
        <v>10268</v>
      </c>
      <c r="N30" s="3" t="s">
        <v>1426</v>
      </c>
      <c r="O30" s="3">
        <v>11140744122</v>
      </c>
      <c r="P30" s="3">
        <v>1406058</v>
      </c>
      <c r="Q30" s="3">
        <v>5</v>
      </c>
      <c r="R30" s="3" t="s">
        <v>83</v>
      </c>
    </row>
    <row r="31" spans="1:18" ht="21" customHeight="1">
      <c r="A31" s="3" t="s">
        <v>78</v>
      </c>
      <c r="B31" s="3" t="s">
        <v>45</v>
      </c>
      <c r="C31" s="4">
        <v>43182</v>
      </c>
      <c r="D31" s="3">
        <v>459</v>
      </c>
      <c r="E31" s="3" t="s">
        <v>1427</v>
      </c>
      <c r="F31" s="3">
        <v>989</v>
      </c>
      <c r="G31" s="3" t="s">
        <v>1428</v>
      </c>
      <c r="H31" s="3">
        <v>129747</v>
      </c>
      <c r="I31" s="3" t="s">
        <v>1429</v>
      </c>
      <c r="J31" s="3" t="s">
        <v>1430</v>
      </c>
      <c r="K31" s="3">
        <v>106478776</v>
      </c>
      <c r="L31" s="3" t="s">
        <v>1431</v>
      </c>
      <c r="M31" s="3">
        <v>12799</v>
      </c>
      <c r="N31" s="3" t="s">
        <v>1432</v>
      </c>
      <c r="O31" s="3">
        <v>11247222898</v>
      </c>
      <c r="P31" s="3">
        <v>1418857</v>
      </c>
      <c r="Q31" s="3">
        <v>5</v>
      </c>
      <c r="R31" s="3" t="s">
        <v>83</v>
      </c>
    </row>
    <row r="32" spans="1:18" ht="21" customHeight="1">
      <c r="A32" s="3" t="s">
        <v>78</v>
      </c>
      <c r="B32" s="3" t="s">
        <v>45</v>
      </c>
      <c r="C32" s="4">
        <v>43183</v>
      </c>
      <c r="D32" s="3">
        <v>466</v>
      </c>
      <c r="E32" s="3" t="s">
        <v>1381</v>
      </c>
      <c r="F32" s="3">
        <v>954</v>
      </c>
      <c r="G32" s="3" t="s">
        <v>1433</v>
      </c>
      <c r="H32" s="3">
        <v>124435</v>
      </c>
      <c r="I32" s="3" t="s">
        <v>1434</v>
      </c>
      <c r="J32" s="3" t="s">
        <v>1435</v>
      </c>
      <c r="K32" s="3">
        <v>211182487</v>
      </c>
      <c r="L32" s="3" t="s">
        <v>1436</v>
      </c>
      <c r="M32" s="3">
        <v>25371</v>
      </c>
      <c r="N32" s="3" t="s">
        <v>1437</v>
      </c>
      <c r="O32" s="3">
        <v>11458405385</v>
      </c>
      <c r="P32" s="3">
        <v>1444228</v>
      </c>
      <c r="Q32" s="3">
        <v>4</v>
      </c>
      <c r="R32" s="3" t="s">
        <v>83</v>
      </c>
    </row>
    <row r="33" spans="1:18" ht="21" customHeight="1">
      <c r="A33" s="3" t="s">
        <v>78</v>
      </c>
      <c r="B33" s="3" t="s">
        <v>45</v>
      </c>
      <c r="C33" s="4">
        <v>43184</v>
      </c>
      <c r="D33" s="3">
        <v>458</v>
      </c>
      <c r="E33" s="3" t="s">
        <v>1381</v>
      </c>
      <c r="F33" s="3">
        <v>929</v>
      </c>
      <c r="G33" s="3" t="s">
        <v>1433</v>
      </c>
      <c r="H33" s="3">
        <v>120650</v>
      </c>
      <c r="I33" s="3" t="s">
        <v>1434</v>
      </c>
      <c r="J33" s="3" t="s">
        <v>1438</v>
      </c>
      <c r="K33" s="3">
        <v>181230800</v>
      </c>
      <c r="L33" s="3" t="s">
        <v>1439</v>
      </c>
      <c r="M33" s="3">
        <v>22029</v>
      </c>
      <c r="N33" s="3" t="s">
        <v>1440</v>
      </c>
      <c r="O33" s="3">
        <v>11639636185</v>
      </c>
      <c r="P33" s="3">
        <v>1466257</v>
      </c>
      <c r="Q33" s="3">
        <v>6</v>
      </c>
      <c r="R33" s="3" t="s">
        <v>83</v>
      </c>
    </row>
    <row r="34" spans="1:18" ht="21" customHeight="1">
      <c r="A34" s="3" t="s">
        <v>78</v>
      </c>
      <c r="B34" s="3" t="s">
        <v>45</v>
      </c>
      <c r="C34" s="4">
        <v>43185</v>
      </c>
      <c r="D34" s="3">
        <v>448</v>
      </c>
      <c r="E34" s="3" t="s">
        <v>1441</v>
      </c>
      <c r="F34" s="3">
        <v>974</v>
      </c>
      <c r="G34" s="3" t="s">
        <v>1442</v>
      </c>
      <c r="H34" s="3">
        <v>128034</v>
      </c>
      <c r="I34" s="3" t="s">
        <v>1443</v>
      </c>
      <c r="J34" s="3" t="s">
        <v>1444</v>
      </c>
      <c r="K34" s="3">
        <v>57450800</v>
      </c>
      <c r="L34" s="3" t="s">
        <v>1445</v>
      </c>
      <c r="M34" s="3">
        <v>7874</v>
      </c>
      <c r="N34" s="3" t="s">
        <v>1446</v>
      </c>
      <c r="O34" s="3">
        <v>11697086985</v>
      </c>
      <c r="P34" s="3">
        <v>1474131</v>
      </c>
      <c r="Q34" s="3">
        <v>5</v>
      </c>
      <c r="R34" s="3" t="s">
        <v>83</v>
      </c>
    </row>
    <row r="35" spans="1:18" ht="21" customHeight="1">
      <c r="A35" s="3" t="s">
        <v>78</v>
      </c>
      <c r="B35" s="3" t="s">
        <v>45</v>
      </c>
      <c r="C35" s="4">
        <v>43186</v>
      </c>
      <c r="D35" s="3">
        <v>458</v>
      </c>
      <c r="E35" s="3" t="s">
        <v>1447</v>
      </c>
      <c r="F35" s="3">
        <v>999</v>
      </c>
      <c r="G35" s="3" t="s">
        <v>1448</v>
      </c>
      <c r="H35" s="3">
        <v>131915</v>
      </c>
      <c r="I35" s="3" t="s">
        <v>1433</v>
      </c>
      <c r="J35" s="3" t="s">
        <v>1449</v>
      </c>
      <c r="K35" s="3">
        <v>61363300</v>
      </c>
      <c r="L35" s="3" t="s">
        <v>1450</v>
      </c>
      <c r="M35" s="3">
        <v>8590</v>
      </c>
      <c r="N35" s="3" t="s">
        <v>1451</v>
      </c>
      <c r="O35" s="3">
        <v>11758450285</v>
      </c>
      <c r="P35" s="3">
        <v>1482721</v>
      </c>
      <c r="Q35" s="3">
        <v>5</v>
      </c>
      <c r="R35" s="3" t="s">
        <v>83</v>
      </c>
    </row>
    <row r="36" spans="1:18" ht="21" customHeight="1">
      <c r="A36" s="3" t="s">
        <v>78</v>
      </c>
      <c r="B36" s="3" t="s">
        <v>45</v>
      </c>
      <c r="C36" s="4">
        <v>43187</v>
      </c>
      <c r="D36" s="3">
        <v>126</v>
      </c>
      <c r="E36" s="3" t="s">
        <v>1452</v>
      </c>
      <c r="F36" s="3">
        <v>170</v>
      </c>
      <c r="G36" s="3" t="s">
        <v>1453</v>
      </c>
      <c r="H36" s="3">
        <v>20388</v>
      </c>
      <c r="I36" s="3" t="s">
        <v>1454</v>
      </c>
      <c r="J36" s="3" t="s">
        <v>1359</v>
      </c>
      <c r="K36" s="3">
        <v>16493000</v>
      </c>
      <c r="L36" s="3" t="s">
        <v>1455</v>
      </c>
      <c r="M36" s="3">
        <v>2808</v>
      </c>
      <c r="N36" s="3" t="s">
        <v>1456</v>
      </c>
      <c r="O36" s="3">
        <v>11774943285</v>
      </c>
      <c r="P36" s="3">
        <v>1485529</v>
      </c>
      <c r="Q36" s="3">
        <v>9</v>
      </c>
      <c r="R36" s="3" t="s">
        <v>83</v>
      </c>
    </row>
    <row r="37" spans="1:18" ht="21" customHeight="1">
      <c r="A37" s="3" t="s">
        <v>78</v>
      </c>
      <c r="B37" s="3" t="s">
        <v>45</v>
      </c>
      <c r="C37" s="4">
        <v>43188</v>
      </c>
      <c r="D37" s="3">
        <v>114</v>
      </c>
      <c r="E37" s="3" t="s">
        <v>1457</v>
      </c>
      <c r="F37" s="3">
        <v>153</v>
      </c>
      <c r="G37" s="3" t="s">
        <v>1458</v>
      </c>
      <c r="H37" s="3">
        <v>18544</v>
      </c>
      <c r="I37" s="3" t="s">
        <v>1454</v>
      </c>
      <c r="J37" s="3" t="s">
        <v>1331</v>
      </c>
      <c r="K37" s="3">
        <v>13376800</v>
      </c>
      <c r="L37" s="3" t="s">
        <v>1459</v>
      </c>
      <c r="M37" s="3">
        <v>1960</v>
      </c>
      <c r="N37" s="3" t="s">
        <v>1460</v>
      </c>
      <c r="O37" s="3">
        <v>11788320085</v>
      </c>
      <c r="P37" s="3">
        <v>1487489</v>
      </c>
      <c r="Q37" s="3">
        <v>8</v>
      </c>
      <c r="R37" s="3" t="s">
        <v>83</v>
      </c>
    </row>
    <row r="38" spans="1:18" ht="21" customHeight="1">
      <c r="A38" s="3" t="s">
        <v>78</v>
      </c>
      <c r="B38" s="3" t="s">
        <v>45</v>
      </c>
      <c r="C38" s="4">
        <v>43189</v>
      </c>
      <c r="D38" s="3">
        <v>124</v>
      </c>
      <c r="E38" s="3" t="s">
        <v>1461</v>
      </c>
      <c r="F38" s="3">
        <v>167</v>
      </c>
      <c r="G38" s="3" t="s">
        <v>1458</v>
      </c>
      <c r="H38" s="3">
        <v>20206</v>
      </c>
      <c r="I38" s="3" t="s">
        <v>1454</v>
      </c>
      <c r="J38" s="3" t="s">
        <v>1462</v>
      </c>
      <c r="K38" s="3">
        <v>17562900</v>
      </c>
      <c r="L38" s="3" t="s">
        <v>1463</v>
      </c>
      <c r="M38" s="3">
        <v>2407</v>
      </c>
      <c r="N38" s="3" t="s">
        <v>1464</v>
      </c>
      <c r="O38" s="3">
        <v>11805882985</v>
      </c>
      <c r="P38" s="3">
        <v>1489896</v>
      </c>
      <c r="Q38" s="3">
        <v>7</v>
      </c>
      <c r="R38" s="3" t="s">
        <v>83</v>
      </c>
    </row>
    <row r="39" spans="1:18" ht="21" customHeight="1">
      <c r="A39" s="3" t="s">
        <v>78</v>
      </c>
      <c r="B39" s="3" t="s">
        <v>45</v>
      </c>
      <c r="C39" s="4">
        <v>43190</v>
      </c>
      <c r="D39" s="3">
        <v>92</v>
      </c>
      <c r="E39" s="3" t="s">
        <v>1465</v>
      </c>
      <c r="F39" s="3">
        <v>129</v>
      </c>
      <c r="G39" s="3" t="s">
        <v>1454</v>
      </c>
      <c r="H39" s="3">
        <v>14818</v>
      </c>
      <c r="I39" s="3" t="s">
        <v>1466</v>
      </c>
      <c r="J39" s="3" t="s">
        <v>1467</v>
      </c>
      <c r="K39" s="3">
        <v>28178300</v>
      </c>
      <c r="L39" s="3" t="s">
        <v>1468</v>
      </c>
      <c r="M39" s="3">
        <v>3561</v>
      </c>
      <c r="N39" s="3" t="s">
        <v>1469</v>
      </c>
      <c r="O39" s="3">
        <v>11834061285</v>
      </c>
      <c r="P39" s="3">
        <v>1493457</v>
      </c>
      <c r="Q39" s="3">
        <v>9</v>
      </c>
      <c r="R39" s="3" t="s">
        <v>83</v>
      </c>
    </row>
    <row r="40" spans="1:18" ht="21" customHeight="1">
      <c r="A40" s="3" t="s">
        <v>78</v>
      </c>
      <c r="B40" s="3" t="s">
        <v>45</v>
      </c>
      <c r="C40" s="4">
        <v>43191</v>
      </c>
      <c r="D40" s="3">
        <v>88</v>
      </c>
      <c r="E40" s="3" t="s">
        <v>1465</v>
      </c>
      <c r="F40" s="3">
        <v>126</v>
      </c>
      <c r="G40" s="3" t="s">
        <v>1454</v>
      </c>
      <c r="H40" s="3">
        <v>14495</v>
      </c>
      <c r="I40" s="3" t="s">
        <v>1466</v>
      </c>
      <c r="J40" s="3" t="s">
        <v>1470</v>
      </c>
      <c r="K40" s="3">
        <v>21765300</v>
      </c>
      <c r="L40" s="3" t="s">
        <v>1471</v>
      </c>
      <c r="M40" s="3">
        <v>2747</v>
      </c>
      <c r="N40" s="3" t="s">
        <v>1472</v>
      </c>
      <c r="O40" s="3">
        <v>11855826585</v>
      </c>
      <c r="P40" s="3">
        <v>1496204</v>
      </c>
      <c r="Q40" s="3">
        <v>10</v>
      </c>
      <c r="R40" s="3" t="s">
        <v>83</v>
      </c>
    </row>
    <row r="41" spans="1:18" ht="21" customHeight="1">
      <c r="A41" s="3" t="s">
        <v>78</v>
      </c>
      <c r="B41" s="3" t="s">
        <v>45</v>
      </c>
      <c r="C41" s="4">
        <v>43192</v>
      </c>
      <c r="D41" s="3">
        <v>112</v>
      </c>
      <c r="E41" s="3" t="s">
        <v>1452</v>
      </c>
      <c r="F41" s="3">
        <v>166</v>
      </c>
      <c r="G41" s="3" t="s">
        <v>1453</v>
      </c>
      <c r="H41" s="3">
        <v>20679</v>
      </c>
      <c r="I41" s="3" t="s">
        <v>1473</v>
      </c>
      <c r="J41" s="3" t="s">
        <v>1355</v>
      </c>
      <c r="K41" s="3">
        <v>11350700</v>
      </c>
      <c r="L41" s="3" t="s">
        <v>1474</v>
      </c>
      <c r="M41" s="3">
        <v>1626</v>
      </c>
      <c r="N41" s="3" t="s">
        <v>1475</v>
      </c>
      <c r="O41" s="3">
        <v>11867177285</v>
      </c>
      <c r="P41" s="3">
        <v>1497830</v>
      </c>
      <c r="Q41" s="3">
        <v>9</v>
      </c>
      <c r="R41" s="3" t="s">
        <v>83</v>
      </c>
    </row>
    <row r="42" spans="1:18" ht="21" customHeight="1">
      <c r="A42" s="3" t="s">
        <v>78</v>
      </c>
      <c r="B42" s="3" t="s">
        <v>45</v>
      </c>
      <c r="C42" s="4">
        <v>43193</v>
      </c>
      <c r="D42" s="3">
        <v>105</v>
      </c>
      <c r="E42" s="3" t="s">
        <v>1476</v>
      </c>
      <c r="F42" s="3">
        <v>151</v>
      </c>
      <c r="G42" s="3" t="s">
        <v>1458</v>
      </c>
      <c r="H42" s="3">
        <v>18787</v>
      </c>
      <c r="I42" s="3" t="s">
        <v>1454</v>
      </c>
      <c r="J42" s="3" t="s">
        <v>1381</v>
      </c>
      <c r="K42" s="3">
        <v>9955600</v>
      </c>
      <c r="L42" s="3" t="s">
        <v>1477</v>
      </c>
      <c r="M42" s="3">
        <v>1423</v>
      </c>
      <c r="N42" s="3" t="s">
        <v>1478</v>
      </c>
      <c r="O42" s="3">
        <v>11877132885</v>
      </c>
      <c r="P42" s="3">
        <v>1499253</v>
      </c>
      <c r="Q42" s="3">
        <v>12</v>
      </c>
      <c r="R42" s="3" t="s">
        <v>83</v>
      </c>
    </row>
    <row r="43" spans="1:18" ht="21" customHeight="1">
      <c r="A43" s="3" t="s">
        <v>78</v>
      </c>
      <c r="B43" s="3" t="s">
        <v>45</v>
      </c>
      <c r="C43" s="4">
        <v>43194</v>
      </c>
      <c r="D43" s="3">
        <v>94</v>
      </c>
      <c r="E43" s="3" t="s">
        <v>1479</v>
      </c>
      <c r="F43" s="3">
        <v>135</v>
      </c>
      <c r="G43" s="3" t="s">
        <v>1473</v>
      </c>
      <c r="H43" s="3">
        <v>16482</v>
      </c>
      <c r="I43" s="3" t="s">
        <v>1301</v>
      </c>
      <c r="J43" s="3" t="s">
        <v>1381</v>
      </c>
      <c r="K43" s="3">
        <v>8643100</v>
      </c>
      <c r="L43" s="3" t="s">
        <v>1480</v>
      </c>
      <c r="M43" s="3">
        <v>1251</v>
      </c>
      <c r="N43" s="3" t="s">
        <v>1481</v>
      </c>
      <c r="O43" s="3">
        <v>11885775985</v>
      </c>
      <c r="P43" s="3">
        <v>1500504</v>
      </c>
      <c r="Q43" s="3">
        <v>10</v>
      </c>
      <c r="R43" s="3" t="s">
        <v>83</v>
      </c>
    </row>
    <row r="44" spans="1:18" ht="21" customHeight="1">
      <c r="A44" s="3" t="s">
        <v>78</v>
      </c>
      <c r="B44" s="3" t="s">
        <v>45</v>
      </c>
      <c r="C44" s="4">
        <v>43195</v>
      </c>
      <c r="D44" s="3">
        <v>23</v>
      </c>
      <c r="E44" s="3" t="s">
        <v>1482</v>
      </c>
      <c r="F44" s="3">
        <v>30</v>
      </c>
      <c r="G44" s="3" t="s">
        <v>1296</v>
      </c>
      <c r="H44" s="3">
        <v>3799</v>
      </c>
      <c r="I44" s="3" t="s">
        <v>1297</v>
      </c>
      <c r="J44" s="3" t="s">
        <v>1483</v>
      </c>
      <c r="K44" s="3">
        <v>3569400</v>
      </c>
      <c r="L44" s="3" t="s">
        <v>1484</v>
      </c>
      <c r="M44" s="3">
        <v>535</v>
      </c>
      <c r="N44" s="3" t="s">
        <v>1485</v>
      </c>
      <c r="O44" s="3">
        <v>11889345385</v>
      </c>
      <c r="P44" s="3">
        <v>1501039</v>
      </c>
      <c r="Q44" s="3">
        <v>17</v>
      </c>
      <c r="R44" s="3" t="s">
        <v>83</v>
      </c>
    </row>
    <row r="45" spans="1:18" ht="21" customHeight="1">
      <c r="A45" s="3" t="s">
        <v>78</v>
      </c>
      <c r="B45" s="3" t="s">
        <v>45</v>
      </c>
      <c r="C45" s="4">
        <v>43196</v>
      </c>
      <c r="D45" s="3">
        <v>24</v>
      </c>
      <c r="E45" s="3" t="s">
        <v>1482</v>
      </c>
      <c r="F45" s="3">
        <v>31</v>
      </c>
      <c r="G45" s="3" t="s">
        <v>1296</v>
      </c>
      <c r="H45" s="3">
        <v>3860</v>
      </c>
      <c r="I45" s="3" t="s">
        <v>1297</v>
      </c>
      <c r="J45" s="3" t="s">
        <v>1486</v>
      </c>
      <c r="K45" s="3">
        <v>3406900</v>
      </c>
      <c r="L45" s="3" t="s">
        <v>1487</v>
      </c>
      <c r="M45" s="3">
        <v>436</v>
      </c>
      <c r="N45" s="3" t="s">
        <v>1488</v>
      </c>
      <c r="O45" s="3">
        <v>11892752285</v>
      </c>
      <c r="P45" s="3">
        <v>1501475</v>
      </c>
      <c r="Q45" s="3">
        <v>17</v>
      </c>
      <c r="R45" s="3" t="s">
        <v>83</v>
      </c>
    </row>
    <row r="46" spans="1:18" ht="21" customHeight="1">
      <c r="A46" s="3" t="s">
        <v>78</v>
      </c>
      <c r="B46" s="3" t="s">
        <v>45</v>
      </c>
      <c r="C46" s="4">
        <v>43197</v>
      </c>
      <c r="D46" s="3">
        <v>23</v>
      </c>
      <c r="E46" s="3" t="s">
        <v>1482</v>
      </c>
      <c r="F46" s="3">
        <v>29</v>
      </c>
      <c r="G46" s="3" t="s">
        <v>1297</v>
      </c>
      <c r="H46" s="3">
        <v>3729</v>
      </c>
      <c r="I46" s="3" t="s">
        <v>1297</v>
      </c>
      <c r="J46" s="3" t="s">
        <v>1489</v>
      </c>
      <c r="K46" s="3">
        <v>3520700</v>
      </c>
      <c r="L46" s="3" t="s">
        <v>1490</v>
      </c>
      <c r="M46" s="3">
        <v>411</v>
      </c>
      <c r="N46" s="3" t="s">
        <v>1491</v>
      </c>
      <c r="O46" s="3">
        <v>11896272985</v>
      </c>
      <c r="P46" s="3">
        <v>1501886</v>
      </c>
      <c r="Q46" s="3">
        <v>22</v>
      </c>
      <c r="R46" s="3" t="s">
        <v>83</v>
      </c>
    </row>
    <row r="47" spans="1:18" ht="21" customHeight="1">
      <c r="A47" s="3" t="s">
        <v>78</v>
      </c>
      <c r="B47" s="3" t="s">
        <v>45</v>
      </c>
      <c r="C47" s="4">
        <v>43198</v>
      </c>
      <c r="D47" s="3">
        <v>18</v>
      </c>
      <c r="E47" s="3" t="s">
        <v>1302</v>
      </c>
      <c r="F47" s="3">
        <v>25</v>
      </c>
      <c r="G47" s="3" t="s">
        <v>1297</v>
      </c>
      <c r="H47" s="3">
        <v>3020</v>
      </c>
      <c r="I47" s="3" t="s">
        <v>1297</v>
      </c>
      <c r="J47" s="3" t="s">
        <v>1492</v>
      </c>
      <c r="K47" s="3">
        <v>4806400</v>
      </c>
      <c r="L47" s="3" t="s">
        <v>1493</v>
      </c>
      <c r="M47" s="3">
        <v>565</v>
      </c>
      <c r="N47" s="3" t="s">
        <v>1494</v>
      </c>
      <c r="O47" s="3">
        <v>11901079385</v>
      </c>
      <c r="P47" s="3">
        <v>1502451</v>
      </c>
      <c r="Q47" s="3">
        <v>17</v>
      </c>
      <c r="R47" s="3" t="s">
        <v>83</v>
      </c>
    </row>
    <row r="48" spans="1:18" ht="21" customHeight="1">
      <c r="A48" s="3" t="s">
        <v>78</v>
      </c>
      <c r="B48" s="3" t="s">
        <v>45</v>
      </c>
      <c r="C48" s="4">
        <v>43199</v>
      </c>
      <c r="D48" s="3">
        <v>25</v>
      </c>
      <c r="E48" s="3" t="s">
        <v>1466</v>
      </c>
      <c r="F48" s="3">
        <v>32</v>
      </c>
      <c r="G48" s="3" t="s">
        <v>1296</v>
      </c>
      <c r="H48" s="3">
        <v>4447</v>
      </c>
      <c r="I48" s="3" t="s">
        <v>1296</v>
      </c>
      <c r="J48" s="3" t="s">
        <v>1443</v>
      </c>
      <c r="K48" s="3">
        <v>1608600</v>
      </c>
      <c r="L48" s="3" t="s">
        <v>1495</v>
      </c>
      <c r="M48" s="3">
        <v>218</v>
      </c>
      <c r="N48" s="3" t="s">
        <v>1496</v>
      </c>
      <c r="O48" s="3">
        <v>11902687985</v>
      </c>
      <c r="P48" s="3">
        <v>1502669</v>
      </c>
      <c r="Q48" s="3">
        <v>23</v>
      </c>
      <c r="R48" s="3" t="s">
        <v>83</v>
      </c>
    </row>
    <row r="49" spans="1:18" ht="21" customHeight="1">
      <c r="A49" s="3" t="s">
        <v>78</v>
      </c>
      <c r="B49" s="3" t="s">
        <v>45</v>
      </c>
      <c r="C49" s="4">
        <v>43200</v>
      </c>
      <c r="D49" s="3">
        <v>25</v>
      </c>
      <c r="E49" s="3" t="s">
        <v>1466</v>
      </c>
      <c r="F49" s="3">
        <v>32</v>
      </c>
      <c r="G49" s="3" t="s">
        <v>1296</v>
      </c>
      <c r="H49" s="3">
        <v>4391</v>
      </c>
      <c r="I49" s="3" t="s">
        <v>1296</v>
      </c>
      <c r="J49" s="3" t="s">
        <v>1434</v>
      </c>
      <c r="K49" s="3">
        <v>1341700</v>
      </c>
      <c r="L49" s="3" t="s">
        <v>1497</v>
      </c>
      <c r="M49" s="3">
        <v>186</v>
      </c>
      <c r="N49" s="3" t="s">
        <v>1498</v>
      </c>
      <c r="O49" s="3">
        <v>11904029685</v>
      </c>
      <c r="P49" s="3">
        <v>1502855</v>
      </c>
      <c r="Q49" s="3">
        <v>25</v>
      </c>
      <c r="R49" s="3" t="s">
        <v>83</v>
      </c>
    </row>
    <row r="50" spans="1:18" ht="21" customHeight="1">
      <c r="A50" s="3" t="s">
        <v>78</v>
      </c>
      <c r="B50" s="3" t="s">
        <v>45</v>
      </c>
      <c r="C50" s="4">
        <v>43201</v>
      </c>
      <c r="D50" s="3">
        <v>26</v>
      </c>
      <c r="E50" s="3" t="s">
        <v>1466</v>
      </c>
      <c r="F50" s="3">
        <v>28</v>
      </c>
      <c r="G50" s="3" t="s">
        <v>1296</v>
      </c>
      <c r="H50" s="3">
        <v>3843</v>
      </c>
      <c r="I50" s="3" t="s">
        <v>1297</v>
      </c>
      <c r="J50" s="3" t="s">
        <v>1499</v>
      </c>
      <c r="K50" s="3">
        <v>1558100</v>
      </c>
      <c r="L50" s="3" t="s">
        <v>1500</v>
      </c>
      <c r="M50" s="3">
        <v>206</v>
      </c>
      <c r="N50" s="3" t="s">
        <v>1501</v>
      </c>
      <c r="O50" s="3">
        <v>11905587785</v>
      </c>
      <c r="P50" s="3">
        <v>1503061</v>
      </c>
      <c r="Q50" s="3">
        <v>29</v>
      </c>
      <c r="R50" s="3" t="s">
        <v>83</v>
      </c>
    </row>
    <row r="51" spans="1:18" ht="21" customHeight="1">
      <c r="A51" s="3" t="s">
        <v>78</v>
      </c>
      <c r="B51" s="3" t="s">
        <v>45</v>
      </c>
      <c r="C51" s="4">
        <v>43202</v>
      </c>
      <c r="D51" s="3">
        <v>3</v>
      </c>
      <c r="E51" s="3" t="s">
        <v>1297</v>
      </c>
      <c r="F51" s="3">
        <v>4</v>
      </c>
      <c r="G51" s="3" t="s">
        <v>1309</v>
      </c>
      <c r="H51" s="3">
        <v>245</v>
      </c>
      <c r="I51" s="3" t="s">
        <v>1308</v>
      </c>
      <c r="J51" s="3" t="s">
        <v>1388</v>
      </c>
      <c r="K51" s="3">
        <v>181500</v>
      </c>
      <c r="L51" s="3" t="s">
        <v>1502</v>
      </c>
      <c r="M51" s="3">
        <v>24</v>
      </c>
      <c r="N51" s="3" t="s">
        <v>1503</v>
      </c>
      <c r="O51" s="3">
        <v>11905769285</v>
      </c>
      <c r="P51" s="3">
        <v>1503085</v>
      </c>
      <c r="Q51" s="3">
        <v>62</v>
      </c>
      <c r="R51" s="3" t="s">
        <v>83</v>
      </c>
    </row>
    <row r="52" spans="1:18" ht="21" customHeight="1">
      <c r="A52" s="3" t="s">
        <v>78</v>
      </c>
      <c r="B52" s="3" t="s">
        <v>45</v>
      </c>
      <c r="C52" s="4">
        <v>43203</v>
      </c>
      <c r="D52" s="3">
        <v>5</v>
      </c>
      <c r="E52" s="3" t="s">
        <v>1297</v>
      </c>
      <c r="F52" s="3">
        <v>7</v>
      </c>
      <c r="G52" s="3" t="s">
        <v>1309</v>
      </c>
      <c r="H52" s="3">
        <v>799</v>
      </c>
      <c r="I52" s="3" t="s">
        <v>1308</v>
      </c>
      <c r="J52" s="3" t="s">
        <v>1470</v>
      </c>
      <c r="K52" s="3">
        <v>1083100</v>
      </c>
      <c r="L52" s="3" t="s">
        <v>1504</v>
      </c>
      <c r="M52" s="3">
        <v>152</v>
      </c>
      <c r="N52" s="3" t="s">
        <v>1505</v>
      </c>
      <c r="O52" s="3">
        <v>11906852385</v>
      </c>
      <c r="P52" s="3">
        <v>1503237</v>
      </c>
      <c r="Q52" s="3">
        <v>36</v>
      </c>
      <c r="R52" s="3" t="s">
        <v>83</v>
      </c>
    </row>
    <row r="53" spans="1:18" ht="21" customHeight="1">
      <c r="A53" s="3" t="s">
        <v>78</v>
      </c>
      <c r="B53" s="3" t="s">
        <v>45</v>
      </c>
      <c r="C53" s="4">
        <v>43204</v>
      </c>
      <c r="D53" s="3">
        <v>7</v>
      </c>
      <c r="E53" s="3" t="s">
        <v>1297</v>
      </c>
      <c r="F53" s="3">
        <v>9</v>
      </c>
      <c r="G53" s="3" t="s">
        <v>1309</v>
      </c>
      <c r="H53" s="3">
        <v>820</v>
      </c>
      <c r="I53" s="3" t="s">
        <v>1308</v>
      </c>
      <c r="J53" s="3" t="s">
        <v>1506</v>
      </c>
      <c r="K53" s="3">
        <v>1532600</v>
      </c>
      <c r="L53" s="3" t="s">
        <v>1507</v>
      </c>
      <c r="M53" s="3">
        <v>170</v>
      </c>
      <c r="N53" s="3" t="s">
        <v>1508</v>
      </c>
      <c r="O53" s="3">
        <v>11908384985</v>
      </c>
      <c r="P53" s="3">
        <v>1503407</v>
      </c>
      <c r="Q53" s="3">
        <v>40</v>
      </c>
      <c r="R53" s="3" t="s">
        <v>83</v>
      </c>
    </row>
    <row r="54" spans="1:18" ht="21" customHeight="1">
      <c r="A54" s="3" t="s">
        <v>78</v>
      </c>
      <c r="B54" s="3" t="s">
        <v>45</v>
      </c>
      <c r="C54" s="4">
        <v>43205</v>
      </c>
      <c r="D54" s="3">
        <v>4</v>
      </c>
      <c r="E54" s="3" t="s">
        <v>1297</v>
      </c>
      <c r="F54" s="3">
        <v>6</v>
      </c>
      <c r="G54" s="3" t="s">
        <v>1309</v>
      </c>
      <c r="H54" s="3">
        <v>696</v>
      </c>
      <c r="I54" s="3" t="s">
        <v>1308</v>
      </c>
      <c r="J54" s="3" t="s">
        <v>1509</v>
      </c>
      <c r="K54" s="3">
        <v>958700</v>
      </c>
      <c r="L54" s="3" t="s">
        <v>1510</v>
      </c>
      <c r="M54" s="3">
        <v>107</v>
      </c>
      <c r="N54" s="3" t="s">
        <v>1511</v>
      </c>
      <c r="O54" s="3">
        <v>11909343685</v>
      </c>
      <c r="P54" s="3">
        <v>1503514</v>
      </c>
      <c r="Q54" s="3">
        <v>44</v>
      </c>
      <c r="R54" s="3" t="s">
        <v>83</v>
      </c>
    </row>
    <row r="55" spans="1:18" ht="21" customHeight="1">
      <c r="A55" s="3" t="s">
        <v>78</v>
      </c>
      <c r="B55" s="3" t="s">
        <v>45</v>
      </c>
      <c r="C55" s="4">
        <v>43206</v>
      </c>
      <c r="D55" s="3">
        <v>5</v>
      </c>
      <c r="E55" s="3" t="s">
        <v>1297</v>
      </c>
      <c r="F55" s="3">
        <v>8</v>
      </c>
      <c r="G55" s="3" t="s">
        <v>1309</v>
      </c>
      <c r="H55" s="3">
        <v>1338</v>
      </c>
      <c r="I55" s="3" t="s">
        <v>1308</v>
      </c>
      <c r="J55" s="3" t="s">
        <v>1428</v>
      </c>
      <c r="K55" s="3">
        <v>534000</v>
      </c>
      <c r="L55" s="3" t="s">
        <v>1512</v>
      </c>
      <c r="M55" s="3">
        <v>76</v>
      </c>
      <c r="N55" s="3" t="s">
        <v>1513</v>
      </c>
      <c r="O55" s="3">
        <v>11909877685</v>
      </c>
      <c r="P55" s="3">
        <v>1503590</v>
      </c>
      <c r="Q55" s="3">
        <v>39</v>
      </c>
      <c r="R55" s="3" t="s">
        <v>83</v>
      </c>
    </row>
    <row r="56" spans="1:18" ht="21" customHeight="1">
      <c r="A56" s="3" t="s">
        <v>78</v>
      </c>
      <c r="B56" s="3" t="s">
        <v>45</v>
      </c>
      <c r="C56" s="4">
        <v>43207</v>
      </c>
      <c r="D56" s="3">
        <v>4</v>
      </c>
      <c r="E56" s="3" t="s">
        <v>1297</v>
      </c>
      <c r="F56" s="3">
        <v>6</v>
      </c>
      <c r="G56" s="3" t="s">
        <v>1309</v>
      </c>
      <c r="H56" s="3">
        <v>1044</v>
      </c>
      <c r="I56" s="3" t="s">
        <v>1308</v>
      </c>
      <c r="J56" s="3" t="s">
        <v>1514</v>
      </c>
      <c r="K56" s="3">
        <v>395000</v>
      </c>
      <c r="L56" s="3" t="s">
        <v>1515</v>
      </c>
      <c r="M56" s="3">
        <v>46</v>
      </c>
      <c r="N56" s="3" t="s">
        <v>1516</v>
      </c>
      <c r="O56" s="3">
        <v>11910272685</v>
      </c>
      <c r="P56" s="3">
        <v>1503636</v>
      </c>
      <c r="Q56" s="3">
        <v>56</v>
      </c>
      <c r="R56" s="3" t="s">
        <v>83</v>
      </c>
    </row>
    <row r="57" spans="1:18" ht="21" customHeight="1">
      <c r="A57" s="3" t="s">
        <v>78</v>
      </c>
      <c r="B57" s="3" t="s">
        <v>45</v>
      </c>
      <c r="C57" s="4">
        <v>43208</v>
      </c>
      <c r="D57" s="3">
        <v>5</v>
      </c>
      <c r="E57" s="3" t="s">
        <v>1297</v>
      </c>
      <c r="F57" s="3">
        <v>7</v>
      </c>
      <c r="G57" s="3" t="s">
        <v>1309</v>
      </c>
      <c r="H57" s="3">
        <v>1218</v>
      </c>
      <c r="I57" s="3" t="s">
        <v>1308</v>
      </c>
      <c r="J57" s="3" t="s">
        <v>1448</v>
      </c>
      <c r="K57" s="3">
        <v>535600</v>
      </c>
      <c r="L57" s="3" t="s">
        <v>1517</v>
      </c>
      <c r="M57" s="3">
        <v>75</v>
      </c>
      <c r="N57" s="3" t="s">
        <v>1518</v>
      </c>
      <c r="O57" s="3">
        <v>11910808285</v>
      </c>
      <c r="P57" s="3">
        <v>1503711</v>
      </c>
      <c r="Q57" s="3">
        <v>50</v>
      </c>
      <c r="R57" s="3" t="s">
        <v>83</v>
      </c>
    </row>
    <row r="58" spans="1:18" ht="21" customHeight="1">
      <c r="A58" s="3" t="s">
        <v>78</v>
      </c>
      <c r="B58" s="3" t="s">
        <v>45</v>
      </c>
      <c r="C58" s="4">
        <v>43209</v>
      </c>
      <c r="D58" s="3">
        <v>1</v>
      </c>
      <c r="E58" s="3" t="s">
        <v>1308</v>
      </c>
      <c r="F58" s="3">
        <v>3</v>
      </c>
      <c r="G58" s="3" t="s">
        <v>1309</v>
      </c>
      <c r="H58" s="3">
        <v>600</v>
      </c>
      <c r="I58" s="3" t="s">
        <v>1308</v>
      </c>
      <c r="J58" s="3" t="s">
        <v>1519</v>
      </c>
      <c r="K58" s="3">
        <v>247500</v>
      </c>
      <c r="L58" s="3" t="s">
        <v>1520</v>
      </c>
      <c r="M58" s="3">
        <v>30</v>
      </c>
      <c r="N58" s="3" t="s">
        <v>1521</v>
      </c>
      <c r="O58" s="3">
        <v>11911055785</v>
      </c>
      <c r="P58" s="3">
        <v>1503741</v>
      </c>
      <c r="Q58" s="3">
        <v>77</v>
      </c>
      <c r="R58" s="3" t="s">
        <v>83</v>
      </c>
    </row>
    <row r="59" spans="1:18" ht="21" customHeight="1">
      <c r="A59" s="3" t="s">
        <v>78</v>
      </c>
      <c r="B59" s="3" t="s">
        <v>45</v>
      </c>
      <c r="C59" s="4">
        <v>43210</v>
      </c>
      <c r="D59" s="3">
        <v>3</v>
      </c>
      <c r="E59" s="3" t="s">
        <v>1308</v>
      </c>
      <c r="F59" s="3">
        <v>5</v>
      </c>
      <c r="G59" s="3" t="s">
        <v>1309</v>
      </c>
      <c r="H59" s="3">
        <v>965</v>
      </c>
      <c r="I59" s="3" t="s">
        <v>1308</v>
      </c>
      <c r="J59" s="3" t="s">
        <v>1522</v>
      </c>
      <c r="K59" s="3">
        <v>361500</v>
      </c>
      <c r="L59" s="3" t="s">
        <v>1523</v>
      </c>
      <c r="M59" s="3">
        <v>35</v>
      </c>
      <c r="N59" s="3" t="s">
        <v>1524</v>
      </c>
      <c r="O59" s="3">
        <v>11911417285</v>
      </c>
      <c r="P59" s="3">
        <v>1503776</v>
      </c>
      <c r="Q59" s="3">
        <v>81</v>
      </c>
      <c r="R59" s="3" t="s">
        <v>83</v>
      </c>
    </row>
    <row r="60" spans="1:18" ht="21" customHeight="1">
      <c r="A60" s="3" t="s">
        <v>78</v>
      </c>
      <c r="B60" s="3" t="s">
        <v>45</v>
      </c>
      <c r="C60" s="4">
        <v>43211</v>
      </c>
      <c r="D60" s="3">
        <v>2</v>
      </c>
      <c r="E60" s="3" t="s">
        <v>1308</v>
      </c>
      <c r="F60" s="3">
        <v>4</v>
      </c>
      <c r="G60" s="3" t="s">
        <v>1309</v>
      </c>
      <c r="H60" s="3">
        <v>427</v>
      </c>
      <c r="I60" s="3" t="s">
        <v>1308</v>
      </c>
      <c r="J60" s="3" t="s">
        <v>1462</v>
      </c>
      <c r="K60" s="3">
        <v>464000</v>
      </c>
      <c r="L60" s="3" t="s">
        <v>1525</v>
      </c>
      <c r="M60" s="3">
        <v>51</v>
      </c>
      <c r="N60" s="3" t="s">
        <v>1526</v>
      </c>
      <c r="O60" s="3">
        <v>11911881285</v>
      </c>
      <c r="P60" s="3">
        <v>1503827</v>
      </c>
      <c r="Q60" s="3">
        <v>76</v>
      </c>
      <c r="R60" s="3" t="s">
        <v>83</v>
      </c>
    </row>
    <row r="61" spans="1:18" ht="21" customHeight="1">
      <c r="A61" s="3" t="s">
        <v>78</v>
      </c>
      <c r="B61" s="3" t="s">
        <v>45</v>
      </c>
      <c r="C61" s="4">
        <v>43212</v>
      </c>
      <c r="D61" s="3">
        <v>4</v>
      </c>
      <c r="E61" s="3" t="s">
        <v>1297</v>
      </c>
      <c r="F61" s="3">
        <v>4</v>
      </c>
      <c r="G61" s="3" t="s">
        <v>1309</v>
      </c>
      <c r="H61" s="3">
        <v>492</v>
      </c>
      <c r="I61" s="3" t="s">
        <v>1308</v>
      </c>
      <c r="J61" s="3" t="s">
        <v>1344</v>
      </c>
      <c r="K61" s="3">
        <v>344900</v>
      </c>
      <c r="L61" s="3" t="s">
        <v>1527</v>
      </c>
      <c r="M61" s="3">
        <v>40</v>
      </c>
      <c r="N61" s="3" t="s">
        <v>1528</v>
      </c>
      <c r="O61" s="3">
        <v>11912226185</v>
      </c>
      <c r="P61" s="3">
        <v>1503867</v>
      </c>
      <c r="Q61" s="3">
        <v>77</v>
      </c>
      <c r="R61" s="3" t="s">
        <v>83</v>
      </c>
    </row>
    <row r="62" spans="1:18" ht="21" customHeight="1">
      <c r="A62" s="3" t="s">
        <v>78</v>
      </c>
      <c r="B62" s="3" t="s">
        <v>45</v>
      </c>
      <c r="C62" s="4">
        <v>43213</v>
      </c>
      <c r="D62" s="3">
        <v>4</v>
      </c>
      <c r="E62" s="3" t="s">
        <v>1297</v>
      </c>
      <c r="F62" s="3">
        <v>5</v>
      </c>
      <c r="G62" s="3" t="s">
        <v>1309</v>
      </c>
      <c r="H62" s="3">
        <v>806</v>
      </c>
      <c r="I62" s="3" t="s">
        <v>1308</v>
      </c>
      <c r="J62" s="3" t="s">
        <v>1529</v>
      </c>
      <c r="K62" s="3">
        <v>181500</v>
      </c>
      <c r="L62" s="3" t="s">
        <v>1530</v>
      </c>
      <c r="M62" s="3">
        <v>23</v>
      </c>
      <c r="N62" s="3" t="s">
        <v>1531</v>
      </c>
      <c r="O62" s="3">
        <v>11912407685</v>
      </c>
      <c r="P62" s="3">
        <v>1503890</v>
      </c>
      <c r="Q62" s="3">
        <v>67</v>
      </c>
      <c r="R62" s="3" t="s">
        <v>83</v>
      </c>
    </row>
    <row r="63" spans="1:18" ht="21" customHeight="1">
      <c r="A63" s="3" t="s">
        <v>78</v>
      </c>
      <c r="B63" s="3" t="s">
        <v>45</v>
      </c>
      <c r="C63" s="4">
        <v>43214</v>
      </c>
      <c r="D63" s="3">
        <v>4</v>
      </c>
      <c r="E63" s="3" t="s">
        <v>1297</v>
      </c>
      <c r="F63" s="3">
        <v>6</v>
      </c>
      <c r="G63" s="3" t="s">
        <v>1309</v>
      </c>
      <c r="H63" s="3">
        <v>997</v>
      </c>
      <c r="I63" s="3" t="s">
        <v>1308</v>
      </c>
      <c r="J63" s="3" t="s">
        <v>1532</v>
      </c>
      <c r="K63" s="3">
        <v>339500</v>
      </c>
      <c r="L63" s="3" t="s">
        <v>1533</v>
      </c>
      <c r="M63" s="3">
        <v>40</v>
      </c>
      <c r="N63" s="3" t="s">
        <v>1534</v>
      </c>
      <c r="O63" s="3">
        <v>11912747185</v>
      </c>
      <c r="P63" s="3">
        <v>1503930</v>
      </c>
      <c r="Q63" s="3">
        <v>71</v>
      </c>
      <c r="R63" s="3" t="s">
        <v>83</v>
      </c>
    </row>
    <row r="64" spans="1:18" ht="21" customHeight="1">
      <c r="A64" s="3" t="s">
        <v>78</v>
      </c>
      <c r="B64" s="3" t="s">
        <v>45</v>
      </c>
      <c r="C64" s="4">
        <v>43215</v>
      </c>
      <c r="D64" s="3">
        <v>3</v>
      </c>
      <c r="E64" s="3" t="s">
        <v>1297</v>
      </c>
      <c r="F64" s="3">
        <v>3</v>
      </c>
      <c r="G64" s="3" t="s">
        <v>1309</v>
      </c>
      <c r="H64" s="3">
        <v>220</v>
      </c>
      <c r="I64" s="3" t="s">
        <v>1308</v>
      </c>
      <c r="J64" s="3" t="s">
        <v>1535</v>
      </c>
      <c r="K64" s="3">
        <v>684000</v>
      </c>
      <c r="L64" s="3" t="s">
        <v>1536</v>
      </c>
      <c r="M64" s="3">
        <v>130</v>
      </c>
      <c r="N64" s="3" t="s">
        <v>1537</v>
      </c>
      <c r="O64" s="3">
        <v>11913431185</v>
      </c>
      <c r="P64" s="3">
        <v>1504060</v>
      </c>
      <c r="Q64" s="3">
        <v>33</v>
      </c>
      <c r="R64" s="3" t="s">
        <v>83</v>
      </c>
    </row>
    <row r="65" spans="1:18" ht="21" customHeight="1">
      <c r="A65" s="3" t="s">
        <v>78</v>
      </c>
      <c r="B65" s="3" t="s">
        <v>45</v>
      </c>
      <c r="C65" s="4">
        <v>43217</v>
      </c>
      <c r="D65" s="3">
        <v>1</v>
      </c>
      <c r="E65" s="3" t="s">
        <v>1308</v>
      </c>
      <c r="F65" s="3">
        <v>1</v>
      </c>
      <c r="G65" s="3" t="s">
        <v>1309</v>
      </c>
      <c r="H65" s="3">
        <v>135</v>
      </c>
      <c r="I65" s="3" t="s">
        <v>1308</v>
      </c>
      <c r="J65" s="3" t="s">
        <v>1538</v>
      </c>
      <c r="K65" s="3">
        <v>540000</v>
      </c>
      <c r="L65" s="3" t="s">
        <v>1539</v>
      </c>
      <c r="M65" s="3">
        <v>90</v>
      </c>
      <c r="N65" s="3" t="s">
        <v>1540</v>
      </c>
      <c r="O65" s="3">
        <v>11913971185</v>
      </c>
      <c r="P65" s="3">
        <v>1504150</v>
      </c>
      <c r="Q65" s="3">
        <v>44</v>
      </c>
      <c r="R65" s="3" t="s">
        <v>83</v>
      </c>
    </row>
    <row r="66" spans="1:18" ht="21" customHeight="1">
      <c r="A66" s="3" t="s">
        <v>78</v>
      </c>
      <c r="B66" s="3" t="s">
        <v>45</v>
      </c>
      <c r="C66" s="4">
        <v>43218</v>
      </c>
      <c r="D66" s="3">
        <v>1</v>
      </c>
      <c r="E66" s="3" t="s">
        <v>1308</v>
      </c>
      <c r="F66" s="3">
        <v>1</v>
      </c>
      <c r="G66" s="3" t="s">
        <v>1309</v>
      </c>
      <c r="H66" s="3">
        <v>40</v>
      </c>
      <c r="I66" s="3" t="s">
        <v>1308</v>
      </c>
      <c r="J66" s="3" t="s">
        <v>1541</v>
      </c>
      <c r="K66" s="3">
        <v>84000</v>
      </c>
      <c r="L66" s="3" t="s">
        <v>1542</v>
      </c>
      <c r="M66" s="3">
        <v>14</v>
      </c>
      <c r="N66" s="3" t="s">
        <v>1543</v>
      </c>
      <c r="O66" s="3">
        <v>11914055185</v>
      </c>
      <c r="P66" s="3">
        <v>1504164</v>
      </c>
      <c r="Q66" s="3">
        <v>75</v>
      </c>
      <c r="R66" s="3" t="s">
        <v>83</v>
      </c>
    </row>
    <row r="67" spans="1:18" ht="21" customHeight="1">
      <c r="A67" s="3" t="s">
        <v>78</v>
      </c>
      <c r="B67" s="3" t="s">
        <v>45</v>
      </c>
      <c r="C67" s="4">
        <v>43219</v>
      </c>
      <c r="D67" s="3">
        <v>1</v>
      </c>
      <c r="E67" s="3" t="s">
        <v>1308</v>
      </c>
      <c r="F67" s="3">
        <v>1</v>
      </c>
      <c r="G67" s="3" t="s">
        <v>1309</v>
      </c>
      <c r="H67" s="3">
        <v>40</v>
      </c>
      <c r="I67" s="3" t="s">
        <v>1308</v>
      </c>
      <c r="J67" s="3" t="s">
        <v>1544</v>
      </c>
      <c r="K67" s="3">
        <v>54000</v>
      </c>
      <c r="L67" s="3" t="s">
        <v>1545</v>
      </c>
      <c r="M67" s="3">
        <v>9</v>
      </c>
      <c r="N67" s="3" t="s">
        <v>1546</v>
      </c>
      <c r="O67" s="3">
        <v>11914109185</v>
      </c>
      <c r="P67" s="3">
        <v>1504173</v>
      </c>
      <c r="Q67" s="3">
        <v>77</v>
      </c>
      <c r="R67" s="3" t="s">
        <v>83</v>
      </c>
    </row>
    <row r="68" spans="1:18" ht="21" customHeight="1">
      <c r="A68" s="3" t="s">
        <v>78</v>
      </c>
      <c r="B68" s="3" t="s">
        <v>45</v>
      </c>
      <c r="C68" s="4">
        <v>43220</v>
      </c>
      <c r="D68" s="3">
        <v>2</v>
      </c>
      <c r="E68" s="3" t="s">
        <v>1308</v>
      </c>
      <c r="F68" s="3">
        <v>2</v>
      </c>
      <c r="G68" s="3" t="s">
        <v>1309</v>
      </c>
      <c r="H68" s="3">
        <v>99</v>
      </c>
      <c r="I68" s="3" t="s">
        <v>1308</v>
      </c>
      <c r="J68" s="3" t="s">
        <v>1547</v>
      </c>
      <c r="K68" s="3">
        <v>272000</v>
      </c>
      <c r="L68" s="3" t="s">
        <v>1548</v>
      </c>
      <c r="M68" s="3">
        <v>33</v>
      </c>
      <c r="N68" s="3" t="s">
        <v>1549</v>
      </c>
      <c r="O68" s="3">
        <v>11914381185</v>
      </c>
      <c r="P68" s="3">
        <v>1504206</v>
      </c>
      <c r="Q68" s="3">
        <v>61</v>
      </c>
      <c r="R68" s="3" t="s">
        <v>83</v>
      </c>
    </row>
    <row r="69" spans="1:18" ht="21" customHeight="1">
      <c r="A69" s="3" t="s">
        <v>78</v>
      </c>
      <c r="B69" s="3" t="s">
        <v>45</v>
      </c>
      <c r="C69" s="4">
        <v>43221</v>
      </c>
      <c r="D69" s="3">
        <v>1</v>
      </c>
      <c r="E69" s="3" t="s">
        <v>1308</v>
      </c>
      <c r="F69" s="3">
        <v>1</v>
      </c>
      <c r="G69" s="3" t="s">
        <v>1309</v>
      </c>
      <c r="H69" s="3">
        <v>40</v>
      </c>
      <c r="I69" s="3" t="s">
        <v>1308</v>
      </c>
      <c r="J69" s="3" t="s">
        <v>1550</v>
      </c>
      <c r="K69" s="3">
        <v>308000</v>
      </c>
      <c r="L69" s="3" t="s">
        <v>1551</v>
      </c>
      <c r="M69" s="3">
        <v>39</v>
      </c>
      <c r="N69" s="3" t="s">
        <v>1552</v>
      </c>
      <c r="O69" s="3">
        <v>11914689185</v>
      </c>
      <c r="P69" s="3">
        <v>1504245</v>
      </c>
      <c r="Q69" s="3">
        <v>68</v>
      </c>
      <c r="R69" s="3" t="s">
        <v>83</v>
      </c>
    </row>
    <row r="70" spans="1:18" ht="21" customHeight="1">
      <c r="A70" s="3" t="s">
        <v>78</v>
      </c>
      <c r="B70" s="3" t="s">
        <v>45</v>
      </c>
      <c r="C70" s="4">
        <v>43227</v>
      </c>
      <c r="D70" s="3">
        <v>1</v>
      </c>
      <c r="E70" s="3" t="s">
        <v>1308</v>
      </c>
      <c r="F70" s="3">
        <v>1</v>
      </c>
      <c r="G70" s="3" t="s">
        <v>1309</v>
      </c>
      <c r="H70" s="3">
        <v>59</v>
      </c>
      <c r="I70" s="3" t="s">
        <v>1308</v>
      </c>
      <c r="J70" s="3" t="s">
        <v>1553</v>
      </c>
      <c r="K70" s="3">
        <v>139000</v>
      </c>
      <c r="L70" s="3" t="s">
        <v>1554</v>
      </c>
      <c r="M70" s="3">
        <v>14</v>
      </c>
      <c r="N70" s="3" t="s">
        <v>1555</v>
      </c>
      <c r="O70" s="3">
        <v>11914828185</v>
      </c>
      <c r="P70" s="3">
        <v>1504259</v>
      </c>
      <c r="Q70" s="3">
        <v>70</v>
      </c>
      <c r="R70" s="3" t="s">
        <v>83</v>
      </c>
    </row>
    <row r="71" spans="1:18" ht="21" customHeight="1">
      <c r="A71" s="3" t="s">
        <v>78</v>
      </c>
      <c r="B71" s="3" t="s">
        <v>45</v>
      </c>
      <c r="C71" s="4">
        <v>43228</v>
      </c>
      <c r="D71" s="3">
        <v>1</v>
      </c>
      <c r="E71" s="3" t="s">
        <v>1308</v>
      </c>
      <c r="F71" s="3">
        <v>1</v>
      </c>
      <c r="G71" s="3" t="s">
        <v>1309</v>
      </c>
      <c r="H71" s="3">
        <v>59</v>
      </c>
      <c r="I71" s="3" t="s">
        <v>1308</v>
      </c>
      <c r="J71" s="3" t="s">
        <v>1556</v>
      </c>
      <c r="K71" s="3">
        <v>20000</v>
      </c>
      <c r="L71" s="3" t="s">
        <v>1557</v>
      </c>
      <c r="M71" s="3">
        <v>2</v>
      </c>
      <c r="N71" s="3" t="s">
        <v>1558</v>
      </c>
      <c r="O71" s="3">
        <v>11914848185</v>
      </c>
      <c r="P71" s="3">
        <v>1504261</v>
      </c>
      <c r="Q71" s="3">
        <v>89</v>
      </c>
      <c r="R71" s="3" t="s">
        <v>83</v>
      </c>
    </row>
    <row r="72" spans="1:18" ht="21" customHeight="1">
      <c r="A72" s="3" t="s">
        <v>78</v>
      </c>
      <c r="B72" s="3" t="s">
        <v>45</v>
      </c>
      <c r="C72" s="4">
        <v>43229</v>
      </c>
      <c r="D72" s="3">
        <v>1</v>
      </c>
      <c r="E72" s="3" t="s">
        <v>1308</v>
      </c>
      <c r="F72" s="3">
        <v>1</v>
      </c>
      <c r="G72" s="3" t="s">
        <v>1309</v>
      </c>
      <c r="H72" s="3">
        <v>59</v>
      </c>
      <c r="I72" s="3" t="s">
        <v>1308</v>
      </c>
      <c r="J72" s="3" t="s">
        <v>1559</v>
      </c>
      <c r="K72" s="3">
        <v>60000</v>
      </c>
      <c r="L72" s="3" t="s">
        <v>1560</v>
      </c>
      <c r="M72" s="3">
        <v>6</v>
      </c>
      <c r="N72" s="3" t="s">
        <v>1561</v>
      </c>
      <c r="O72" s="3">
        <v>11914908185</v>
      </c>
      <c r="P72" s="3">
        <v>1504267</v>
      </c>
      <c r="Q72" s="3">
        <v>88</v>
      </c>
      <c r="R72" s="3" t="s">
        <v>83</v>
      </c>
    </row>
    <row r="73" spans="1:18" ht="21" customHeight="1">
      <c r="A73" s="3" t="s">
        <v>78</v>
      </c>
      <c r="B73" s="3" t="s">
        <v>45</v>
      </c>
      <c r="C73" s="4">
        <v>43230</v>
      </c>
      <c r="D73" s="3">
        <v>1</v>
      </c>
      <c r="E73" s="3" t="s">
        <v>1308</v>
      </c>
      <c r="F73" s="3">
        <v>1</v>
      </c>
      <c r="G73" s="3" t="s">
        <v>1309</v>
      </c>
      <c r="H73" s="3">
        <v>32</v>
      </c>
      <c r="I73" s="3" t="s">
        <v>1308</v>
      </c>
      <c r="J73" s="3" t="s">
        <v>1298</v>
      </c>
      <c r="K73" s="3">
        <v>288000</v>
      </c>
      <c r="L73" s="3" t="s">
        <v>1562</v>
      </c>
      <c r="M73" s="3">
        <v>32</v>
      </c>
      <c r="N73" s="3" t="s">
        <v>1563</v>
      </c>
      <c r="O73" s="3">
        <v>11915196185</v>
      </c>
      <c r="P73" s="3">
        <v>1504299</v>
      </c>
      <c r="Q73" s="3">
        <v>46</v>
      </c>
      <c r="R73" s="3" t="s">
        <v>83</v>
      </c>
    </row>
    <row r="74" spans="1:18" ht="21" customHeight="1">
      <c r="A74" s="3" t="s">
        <v>78</v>
      </c>
      <c r="B74" s="3" t="s">
        <v>45</v>
      </c>
      <c r="C74" s="4">
        <v>43234</v>
      </c>
      <c r="D74" s="3">
        <v>1</v>
      </c>
      <c r="E74" s="3" t="s">
        <v>1308</v>
      </c>
      <c r="F74" s="3">
        <v>1</v>
      </c>
      <c r="G74" s="3" t="s">
        <v>1309</v>
      </c>
      <c r="H74" s="3">
        <v>59</v>
      </c>
      <c r="I74" s="3" t="s">
        <v>1308</v>
      </c>
      <c r="J74" s="3" t="s">
        <v>1564</v>
      </c>
      <c r="K74" s="3">
        <v>10000</v>
      </c>
      <c r="L74" s="3" t="s">
        <v>1565</v>
      </c>
      <c r="M74" s="3">
        <v>1</v>
      </c>
      <c r="N74" s="3" t="s">
        <v>1566</v>
      </c>
      <c r="O74" s="3">
        <v>11915206185</v>
      </c>
      <c r="P74" s="3">
        <v>1504300</v>
      </c>
      <c r="Q74" s="3">
        <v>92</v>
      </c>
      <c r="R74" s="3" t="s">
        <v>83</v>
      </c>
    </row>
    <row r="75" spans="1:18" ht="21" customHeight="1">
      <c r="A75" s="3" t="s">
        <v>78</v>
      </c>
      <c r="B75" s="3" t="s">
        <v>45</v>
      </c>
      <c r="C75" s="4">
        <v>43235</v>
      </c>
      <c r="D75" s="3">
        <v>1</v>
      </c>
      <c r="E75" s="3" t="s">
        <v>1308</v>
      </c>
      <c r="F75" s="3">
        <v>1</v>
      </c>
      <c r="G75" s="3" t="s">
        <v>1309</v>
      </c>
      <c r="H75" s="3">
        <v>154</v>
      </c>
      <c r="I75" s="3" t="s">
        <v>1308</v>
      </c>
      <c r="J75" s="3" t="s">
        <v>1567</v>
      </c>
      <c r="K75" s="3">
        <v>315000</v>
      </c>
      <c r="L75" s="3" t="s">
        <v>1568</v>
      </c>
      <c r="M75" s="3">
        <v>45</v>
      </c>
      <c r="N75" s="3" t="s">
        <v>1569</v>
      </c>
      <c r="O75" s="3">
        <v>11915521185</v>
      </c>
      <c r="P75" s="3">
        <v>1504345</v>
      </c>
      <c r="Q75" s="3">
        <v>50</v>
      </c>
      <c r="R75" s="3" t="s">
        <v>83</v>
      </c>
    </row>
    <row r="76" spans="1:18" ht="21" customHeight="1">
      <c r="A76" s="3" t="s">
        <v>78</v>
      </c>
      <c r="B76" s="3" t="s">
        <v>45</v>
      </c>
      <c r="C76" s="4">
        <v>43236</v>
      </c>
      <c r="D76" s="3">
        <v>1</v>
      </c>
      <c r="E76" s="3" t="s">
        <v>1308</v>
      </c>
      <c r="F76" s="3">
        <v>1</v>
      </c>
      <c r="G76" s="3" t="s">
        <v>1309</v>
      </c>
      <c r="H76" s="3">
        <v>59</v>
      </c>
      <c r="I76" s="3" t="s">
        <v>1308</v>
      </c>
      <c r="J76" s="3" t="s">
        <v>1556</v>
      </c>
      <c r="K76" s="3">
        <v>20000</v>
      </c>
      <c r="L76" s="3" t="s">
        <v>1570</v>
      </c>
      <c r="M76" s="3">
        <v>2</v>
      </c>
      <c r="N76" s="3" t="s">
        <v>1571</v>
      </c>
      <c r="O76" s="3">
        <v>11915541185</v>
      </c>
      <c r="P76" s="3">
        <v>1504347</v>
      </c>
      <c r="Q76" s="3">
        <v>97</v>
      </c>
      <c r="R76" s="3" t="s">
        <v>83</v>
      </c>
    </row>
    <row r="77" spans="1:18" ht="21" customHeight="1">
      <c r="A77" s="3" t="s">
        <v>78</v>
      </c>
      <c r="B77" s="3" t="s">
        <v>45</v>
      </c>
      <c r="C77" s="4">
        <v>43239</v>
      </c>
      <c r="D77" s="3">
        <v>1</v>
      </c>
      <c r="E77" s="3" t="s">
        <v>1308</v>
      </c>
      <c r="F77" s="3">
        <v>1</v>
      </c>
      <c r="G77" s="3" t="s">
        <v>1309</v>
      </c>
      <c r="H77" s="3">
        <v>103</v>
      </c>
      <c r="I77" s="3" t="s">
        <v>1308</v>
      </c>
      <c r="J77" s="3" t="s">
        <v>1326</v>
      </c>
      <c r="K77" s="3">
        <v>110000</v>
      </c>
      <c r="L77" s="3" t="s">
        <v>1572</v>
      </c>
      <c r="M77" s="3">
        <v>22</v>
      </c>
      <c r="N77" s="3" t="s">
        <v>1573</v>
      </c>
      <c r="O77" s="3">
        <v>11915651185</v>
      </c>
      <c r="P77" s="3">
        <v>1504369</v>
      </c>
      <c r="Q77" s="3">
        <v>72</v>
      </c>
      <c r="R77" s="3" t="s">
        <v>83</v>
      </c>
    </row>
    <row r="78" spans="1:18" ht="21" customHeight="1">
      <c r="A78" s="3" t="s">
        <v>78</v>
      </c>
      <c r="B78" s="3" t="s">
        <v>45</v>
      </c>
      <c r="C78" s="4">
        <v>43241</v>
      </c>
      <c r="D78" s="3">
        <v>1</v>
      </c>
      <c r="E78" s="3" t="s">
        <v>1308</v>
      </c>
      <c r="F78" s="3">
        <v>1</v>
      </c>
      <c r="G78" s="3" t="s">
        <v>1309</v>
      </c>
      <c r="H78" s="3">
        <v>59</v>
      </c>
      <c r="I78" s="3" t="s">
        <v>1308</v>
      </c>
      <c r="J78" s="3" t="s">
        <v>1433</v>
      </c>
      <c r="K78" s="3">
        <v>30000</v>
      </c>
      <c r="L78" s="3" t="s">
        <v>1574</v>
      </c>
      <c r="M78" s="3">
        <v>3</v>
      </c>
      <c r="N78" s="3" t="s">
        <v>1575</v>
      </c>
      <c r="O78" s="3">
        <v>11915681185</v>
      </c>
      <c r="P78" s="3">
        <v>1504372</v>
      </c>
      <c r="Q78" s="3">
        <v>94</v>
      </c>
      <c r="R78" s="3" t="s">
        <v>83</v>
      </c>
    </row>
    <row r="79" spans="1:18" ht="21" customHeight="1">
      <c r="A79" s="3" t="s">
        <v>78</v>
      </c>
      <c r="B79" s="3" t="s">
        <v>45</v>
      </c>
      <c r="C79" s="4">
        <v>43242</v>
      </c>
      <c r="D79" s="3">
        <v>2</v>
      </c>
      <c r="E79" s="3" t="s">
        <v>1308</v>
      </c>
      <c r="F79" s="3">
        <v>2</v>
      </c>
      <c r="G79" s="3" t="s">
        <v>1309</v>
      </c>
      <c r="H79" s="3">
        <v>261</v>
      </c>
      <c r="I79" s="3" t="s">
        <v>1308</v>
      </c>
      <c r="J79" s="3" t="s">
        <v>1576</v>
      </c>
      <c r="K79" s="3">
        <v>292000</v>
      </c>
      <c r="L79" s="3" t="s">
        <v>1577</v>
      </c>
      <c r="M79" s="3">
        <v>47</v>
      </c>
      <c r="N79" s="3" t="s">
        <v>1578</v>
      </c>
      <c r="O79" s="3">
        <v>11915973185</v>
      </c>
      <c r="P79" s="3">
        <v>1504419</v>
      </c>
      <c r="Q79" s="3">
        <v>51</v>
      </c>
      <c r="R79" s="3" t="s">
        <v>83</v>
      </c>
    </row>
    <row r="80" spans="1:18" ht="21" customHeight="1">
      <c r="A80" s="3" t="s">
        <v>78</v>
      </c>
      <c r="B80" s="3" t="s">
        <v>45</v>
      </c>
      <c r="C80" s="4">
        <v>43243</v>
      </c>
      <c r="D80" s="3">
        <v>1</v>
      </c>
      <c r="E80" s="3" t="s">
        <v>1308</v>
      </c>
      <c r="F80" s="3">
        <v>1</v>
      </c>
      <c r="G80" s="3" t="s">
        <v>1309</v>
      </c>
      <c r="H80" s="3">
        <v>59</v>
      </c>
      <c r="I80" s="3" t="s">
        <v>1308</v>
      </c>
      <c r="J80" s="3" t="s">
        <v>1559</v>
      </c>
      <c r="K80" s="3">
        <v>60000</v>
      </c>
      <c r="L80" s="3" t="s">
        <v>1579</v>
      </c>
      <c r="M80" s="3">
        <v>6</v>
      </c>
      <c r="N80" s="3" t="s">
        <v>1580</v>
      </c>
      <c r="O80" s="3">
        <v>11916033185</v>
      </c>
      <c r="P80" s="3">
        <v>1504425</v>
      </c>
      <c r="Q80" s="3">
        <v>82</v>
      </c>
      <c r="R80" s="3" t="s">
        <v>83</v>
      </c>
    </row>
    <row r="81" spans="1:18" ht="21" customHeight="1">
      <c r="A81" s="3" t="s">
        <v>78</v>
      </c>
      <c r="B81" s="3" t="s">
        <v>45</v>
      </c>
      <c r="C81" s="4">
        <v>43249</v>
      </c>
      <c r="D81" s="3">
        <v>1</v>
      </c>
      <c r="E81" s="3" t="s">
        <v>1308</v>
      </c>
      <c r="F81" s="3">
        <v>1</v>
      </c>
      <c r="G81" s="3" t="s">
        <v>1309</v>
      </c>
      <c r="H81" s="3">
        <v>59</v>
      </c>
      <c r="I81" s="3" t="s">
        <v>1308</v>
      </c>
      <c r="J81" s="3" t="s">
        <v>1564</v>
      </c>
      <c r="K81" s="3">
        <v>10000</v>
      </c>
      <c r="L81" s="3" t="s">
        <v>1565</v>
      </c>
      <c r="M81" s="3">
        <v>1</v>
      </c>
      <c r="N81" s="3" t="s">
        <v>1566</v>
      </c>
      <c r="O81" s="3">
        <v>11916043185</v>
      </c>
      <c r="P81" s="3">
        <v>1504426</v>
      </c>
      <c r="Q81" s="3">
        <v>94</v>
      </c>
      <c r="R81" s="3" t="s">
        <v>83</v>
      </c>
    </row>
    <row r="82" spans="1:18" ht="21" customHeight="1">
      <c r="A82" s="3" t="s">
        <v>78</v>
      </c>
      <c r="B82" s="3" t="s">
        <v>45</v>
      </c>
      <c r="C82" s="4">
        <v>43250</v>
      </c>
      <c r="D82" s="3">
        <v>1</v>
      </c>
      <c r="E82" s="3" t="s">
        <v>1308</v>
      </c>
      <c r="F82" s="3">
        <v>1</v>
      </c>
      <c r="G82" s="3" t="s">
        <v>1309</v>
      </c>
      <c r="H82" s="3">
        <v>64</v>
      </c>
      <c r="I82" s="3" t="s">
        <v>1308</v>
      </c>
      <c r="J82" s="3" t="s">
        <v>1581</v>
      </c>
      <c r="K82" s="3">
        <v>450000</v>
      </c>
      <c r="L82" s="3" t="s">
        <v>1582</v>
      </c>
      <c r="M82" s="3">
        <v>50</v>
      </c>
      <c r="N82" s="3" t="s">
        <v>1583</v>
      </c>
      <c r="O82" s="3">
        <v>11916493185</v>
      </c>
      <c r="P82" s="3">
        <v>1504476</v>
      </c>
      <c r="Q82" s="3">
        <v>50</v>
      </c>
      <c r="R82" s="3" t="s">
        <v>83</v>
      </c>
    </row>
    <row r="83" spans="1:18" ht="21" customHeight="1">
      <c r="A83" s="3" t="s">
        <v>78</v>
      </c>
      <c r="B83" s="3" t="s">
        <v>45</v>
      </c>
      <c r="C83" s="4">
        <v>43251</v>
      </c>
      <c r="D83" s="3">
        <v>1</v>
      </c>
      <c r="E83" s="3" t="s">
        <v>1308</v>
      </c>
      <c r="F83" s="3">
        <v>1</v>
      </c>
      <c r="G83" s="3" t="s">
        <v>1309</v>
      </c>
      <c r="H83" s="3">
        <v>90</v>
      </c>
      <c r="I83" s="3" t="s">
        <v>1308</v>
      </c>
      <c r="J83" s="3" t="s">
        <v>1584</v>
      </c>
      <c r="K83" s="3">
        <v>490000</v>
      </c>
      <c r="L83" s="3" t="s">
        <v>1585</v>
      </c>
      <c r="M83" s="3">
        <v>70</v>
      </c>
      <c r="N83" s="3" t="s">
        <v>1586</v>
      </c>
      <c r="O83" s="3">
        <v>11916983185</v>
      </c>
      <c r="P83" s="3">
        <v>1504546</v>
      </c>
      <c r="Q83" s="3">
        <v>52</v>
      </c>
      <c r="R83" s="3" t="s">
        <v>83</v>
      </c>
    </row>
    <row r="84" spans="1:18" ht="21" customHeight="1">
      <c r="A84" s="3" t="s">
        <v>78</v>
      </c>
      <c r="B84" s="3" t="s">
        <v>45</v>
      </c>
      <c r="C84" s="4">
        <v>43255</v>
      </c>
      <c r="D84" s="3">
        <v>1</v>
      </c>
      <c r="E84" s="3" t="s">
        <v>1308</v>
      </c>
      <c r="F84" s="3">
        <v>1</v>
      </c>
      <c r="G84" s="3" t="s">
        <v>1309</v>
      </c>
      <c r="H84" s="3">
        <v>114</v>
      </c>
      <c r="I84" s="3" t="s">
        <v>1308</v>
      </c>
      <c r="J84" s="3" t="s">
        <v>1298</v>
      </c>
      <c r="K84" s="3">
        <v>800000</v>
      </c>
      <c r="L84" s="3" t="s">
        <v>1587</v>
      </c>
      <c r="M84" s="3">
        <v>114</v>
      </c>
      <c r="N84" s="3" t="s">
        <v>1588</v>
      </c>
      <c r="O84" s="3">
        <v>11917783185</v>
      </c>
      <c r="P84" s="3">
        <v>1504660</v>
      </c>
      <c r="Q84" s="3">
        <v>35</v>
      </c>
      <c r="R84" s="3" t="s">
        <v>83</v>
      </c>
    </row>
    <row r="85" spans="1:18" ht="21" customHeight="1">
      <c r="A85" s="3" t="s">
        <v>78</v>
      </c>
      <c r="B85" s="3" t="s">
        <v>45</v>
      </c>
      <c r="C85" s="4">
        <v>43274</v>
      </c>
      <c r="D85" s="3">
        <v>1</v>
      </c>
      <c r="E85" s="3" t="s">
        <v>1308</v>
      </c>
      <c r="F85" s="3">
        <v>1</v>
      </c>
      <c r="G85" s="3" t="s">
        <v>1309</v>
      </c>
      <c r="H85" s="3">
        <v>413</v>
      </c>
      <c r="I85" s="3" t="s">
        <v>1308</v>
      </c>
      <c r="J85" s="3" t="s">
        <v>1371</v>
      </c>
      <c r="K85" s="3">
        <v>384000</v>
      </c>
      <c r="L85" s="3" t="s">
        <v>1589</v>
      </c>
      <c r="M85" s="3">
        <v>60</v>
      </c>
      <c r="N85" s="3" t="s">
        <v>1590</v>
      </c>
      <c r="O85" s="3">
        <v>11918167185</v>
      </c>
      <c r="P85" s="3">
        <v>1504720</v>
      </c>
      <c r="Q85" s="3">
        <v>53</v>
      </c>
      <c r="R85" s="3" t="s">
        <v>83</v>
      </c>
    </row>
    <row r="86" spans="1:18" ht="21" customHeight="1">
      <c r="A86" s="3" t="s">
        <v>78</v>
      </c>
      <c r="B86" s="3" t="s">
        <v>45</v>
      </c>
      <c r="C86" s="4">
        <v>43275</v>
      </c>
      <c r="D86" s="3">
        <v>1</v>
      </c>
      <c r="E86" s="3" t="s">
        <v>1308</v>
      </c>
      <c r="F86" s="3">
        <v>1</v>
      </c>
      <c r="G86" s="3" t="s">
        <v>1309</v>
      </c>
      <c r="H86" s="3">
        <v>841</v>
      </c>
      <c r="I86" s="3" t="s">
        <v>1308</v>
      </c>
      <c r="J86" s="3" t="s">
        <v>1415</v>
      </c>
      <c r="K86" s="3">
        <v>317000</v>
      </c>
      <c r="L86" s="3" t="s">
        <v>1591</v>
      </c>
      <c r="M86" s="3">
        <v>49</v>
      </c>
      <c r="N86" s="3" t="s">
        <v>1592</v>
      </c>
      <c r="O86" s="3">
        <v>11918484185</v>
      </c>
      <c r="P86" s="3">
        <v>1504769</v>
      </c>
      <c r="Q86" s="3">
        <v>45</v>
      </c>
      <c r="R86" s="3" t="s">
        <v>83</v>
      </c>
    </row>
    <row r="87" spans="1:18" ht="21" customHeight="1">
      <c r="A87" s="3" t="s">
        <v>78</v>
      </c>
      <c r="B87" s="3" t="s">
        <v>45</v>
      </c>
      <c r="C87" s="4">
        <v>43278</v>
      </c>
      <c r="D87" s="3">
        <v>1</v>
      </c>
      <c r="E87" s="3" t="s">
        <v>1308</v>
      </c>
      <c r="F87" s="3">
        <v>1</v>
      </c>
      <c r="G87" s="3" t="s">
        <v>1309</v>
      </c>
      <c r="H87" s="3">
        <v>97</v>
      </c>
      <c r="I87" s="3" t="s">
        <v>1308</v>
      </c>
      <c r="J87" s="3" t="s">
        <v>1298</v>
      </c>
      <c r="K87" s="3">
        <v>1261000</v>
      </c>
      <c r="L87" s="3" t="s">
        <v>1593</v>
      </c>
      <c r="M87" s="3">
        <v>97</v>
      </c>
      <c r="N87" s="3" t="s">
        <v>1594</v>
      </c>
      <c r="O87" s="3">
        <v>11919745185</v>
      </c>
      <c r="P87" s="3">
        <v>1504866</v>
      </c>
      <c r="Q87" s="3">
        <v>39</v>
      </c>
      <c r="R87" s="3" t="s">
        <v>83</v>
      </c>
    </row>
    <row r="88" spans="1:18" ht="21" customHeight="1">
      <c r="A88" s="3" t="s">
        <v>78</v>
      </c>
      <c r="B88" s="3" t="s">
        <v>45</v>
      </c>
      <c r="C88" s="4">
        <v>43284</v>
      </c>
      <c r="D88" s="3">
        <v>1</v>
      </c>
      <c r="E88" s="3" t="s">
        <v>1308</v>
      </c>
      <c r="F88" s="3">
        <v>1</v>
      </c>
      <c r="G88" s="3" t="s">
        <v>1309</v>
      </c>
      <c r="H88" s="3">
        <v>72</v>
      </c>
      <c r="I88" s="3" t="s">
        <v>1308</v>
      </c>
      <c r="J88" s="3" t="s">
        <v>1308</v>
      </c>
      <c r="K88" s="3">
        <v>0</v>
      </c>
      <c r="L88" s="3" t="s">
        <v>1595</v>
      </c>
      <c r="M88" s="3">
        <v>0</v>
      </c>
      <c r="N88" s="3" t="s">
        <v>1595</v>
      </c>
      <c r="O88" s="3">
        <v>11919745185</v>
      </c>
      <c r="P88" s="3">
        <v>1504866</v>
      </c>
      <c r="Q88" s="3">
        <v>118</v>
      </c>
      <c r="R88" s="3" t="s">
        <v>83</v>
      </c>
    </row>
    <row r="89" spans="1:18" ht="21" customHeight="1">
      <c r="A89" s="3" t="s">
        <v>78</v>
      </c>
      <c r="B89" s="3" t="s">
        <v>45</v>
      </c>
      <c r="C89" s="4">
        <v>43285</v>
      </c>
      <c r="D89" s="3">
        <v>1</v>
      </c>
      <c r="E89" s="3" t="s">
        <v>1308</v>
      </c>
      <c r="F89" s="3">
        <v>1</v>
      </c>
      <c r="G89" s="3" t="s">
        <v>1309</v>
      </c>
      <c r="H89" s="3">
        <v>158</v>
      </c>
      <c r="I89" s="3" t="s">
        <v>1308</v>
      </c>
      <c r="J89" s="3" t="s">
        <v>1298</v>
      </c>
      <c r="K89" s="3">
        <v>1264000</v>
      </c>
      <c r="L89" s="3" t="s">
        <v>1596</v>
      </c>
      <c r="M89" s="3">
        <v>158</v>
      </c>
      <c r="N89" s="3" t="s">
        <v>1597</v>
      </c>
      <c r="O89" s="3">
        <v>11921009185</v>
      </c>
      <c r="P89" s="3">
        <v>1505024</v>
      </c>
      <c r="Q89" s="3">
        <v>32</v>
      </c>
      <c r="R89" s="3" t="s">
        <v>83</v>
      </c>
    </row>
    <row r="90" spans="1:18" ht="21" customHeight="1">
      <c r="A90" s="3" t="s">
        <v>78</v>
      </c>
      <c r="B90" s="3" t="s">
        <v>45</v>
      </c>
      <c r="C90" s="4">
        <v>43286</v>
      </c>
      <c r="D90" s="3">
        <v>1</v>
      </c>
      <c r="E90" s="3" t="s">
        <v>1308</v>
      </c>
      <c r="F90" s="3">
        <v>1</v>
      </c>
      <c r="G90" s="3" t="s">
        <v>1309</v>
      </c>
      <c r="H90" s="3">
        <v>72</v>
      </c>
      <c r="I90" s="3" t="s">
        <v>1308</v>
      </c>
      <c r="J90" s="3" t="s">
        <v>1308</v>
      </c>
      <c r="K90" s="3">
        <v>0</v>
      </c>
      <c r="L90" s="3" t="s">
        <v>1598</v>
      </c>
      <c r="M90" s="3">
        <v>0</v>
      </c>
      <c r="N90" s="3" t="s">
        <v>1599</v>
      </c>
      <c r="O90" s="3">
        <v>11921009185</v>
      </c>
      <c r="P90" s="3">
        <v>1505024</v>
      </c>
      <c r="Q90" s="3">
        <v>108</v>
      </c>
      <c r="R90" s="3" t="s">
        <v>83</v>
      </c>
    </row>
    <row r="91" spans="1:18" ht="21" customHeight="1">
      <c r="A91" s="3" t="s">
        <v>78</v>
      </c>
      <c r="B91" s="3" t="s">
        <v>45</v>
      </c>
      <c r="C91" s="4">
        <v>43287</v>
      </c>
      <c r="D91" s="3">
        <v>1</v>
      </c>
      <c r="E91" s="3" t="s">
        <v>1308</v>
      </c>
      <c r="F91" s="3">
        <v>1</v>
      </c>
      <c r="G91" s="3" t="s">
        <v>1309</v>
      </c>
      <c r="H91" s="3">
        <v>123</v>
      </c>
      <c r="I91" s="3" t="s">
        <v>1308</v>
      </c>
      <c r="J91" s="3" t="s">
        <v>1308</v>
      </c>
      <c r="K91" s="3">
        <v>0</v>
      </c>
      <c r="L91" s="3" t="s">
        <v>1595</v>
      </c>
      <c r="M91" s="3">
        <v>0</v>
      </c>
      <c r="N91" s="3" t="s">
        <v>1595</v>
      </c>
      <c r="O91" s="3">
        <v>11921009185</v>
      </c>
      <c r="P91" s="3">
        <v>1505024</v>
      </c>
      <c r="Q91" s="3">
        <v>103</v>
      </c>
      <c r="R91" s="3" t="s">
        <v>83</v>
      </c>
    </row>
    <row r="92" spans="1:18" ht="21" customHeight="1">
      <c r="A92" s="3" t="s">
        <v>78</v>
      </c>
      <c r="B92" s="3" t="s">
        <v>45</v>
      </c>
      <c r="C92" s="4">
        <v>43288</v>
      </c>
      <c r="D92" s="3">
        <v>1</v>
      </c>
      <c r="E92" s="3" t="s">
        <v>1308</v>
      </c>
      <c r="F92" s="3">
        <v>1</v>
      </c>
      <c r="G92" s="3" t="s">
        <v>1309</v>
      </c>
      <c r="H92" s="3">
        <v>83</v>
      </c>
      <c r="I92" s="3" t="s">
        <v>1308</v>
      </c>
      <c r="J92" s="3" t="s">
        <v>1298</v>
      </c>
      <c r="K92" s="3">
        <v>913000</v>
      </c>
      <c r="L92" s="3" t="s">
        <v>1600</v>
      </c>
      <c r="M92" s="3">
        <v>83</v>
      </c>
      <c r="N92" s="3" t="s">
        <v>1601</v>
      </c>
      <c r="O92" s="3">
        <v>11921922185</v>
      </c>
      <c r="P92" s="3">
        <v>1505107</v>
      </c>
      <c r="Q92" s="3">
        <v>41</v>
      </c>
      <c r="R92" s="3" t="s">
        <v>83</v>
      </c>
    </row>
    <row r="93" spans="1:18" ht="21" customHeight="1">
      <c r="A93" s="3" t="s">
        <v>78</v>
      </c>
      <c r="B93" s="3" t="s">
        <v>45</v>
      </c>
      <c r="C93" s="4">
        <v>43291</v>
      </c>
      <c r="D93" s="3">
        <v>2</v>
      </c>
      <c r="E93" s="3" t="s">
        <v>1308</v>
      </c>
      <c r="F93" s="3">
        <v>3</v>
      </c>
      <c r="G93" s="3" t="s">
        <v>1309</v>
      </c>
      <c r="H93" s="3">
        <v>141</v>
      </c>
      <c r="I93" s="3" t="s">
        <v>1308</v>
      </c>
      <c r="J93" s="3" t="s">
        <v>1298</v>
      </c>
      <c r="K93" s="3">
        <v>725000</v>
      </c>
      <c r="L93" s="3" t="s">
        <v>1602</v>
      </c>
      <c r="M93" s="3">
        <v>141</v>
      </c>
      <c r="N93" s="3" t="s">
        <v>1603</v>
      </c>
      <c r="O93" s="3">
        <v>11922647185</v>
      </c>
      <c r="P93" s="3">
        <v>1505248</v>
      </c>
      <c r="Q93" s="3">
        <v>37</v>
      </c>
      <c r="R93" s="3" t="s">
        <v>83</v>
      </c>
    </row>
    <row r="94" spans="1:18" ht="21" customHeight="1">
      <c r="A94" s="3" t="s">
        <v>78</v>
      </c>
      <c r="B94" s="3" t="s">
        <v>45</v>
      </c>
      <c r="C94" s="4">
        <v>43300</v>
      </c>
      <c r="D94" s="3">
        <v>1</v>
      </c>
      <c r="E94" s="3" t="s">
        <v>1308</v>
      </c>
      <c r="F94" s="3">
        <v>1</v>
      </c>
      <c r="G94" s="3" t="s">
        <v>1309</v>
      </c>
      <c r="H94" s="3">
        <v>273</v>
      </c>
      <c r="I94" s="3" t="s">
        <v>1308</v>
      </c>
      <c r="J94" s="3" t="s">
        <v>1604</v>
      </c>
      <c r="K94" s="3">
        <v>1188000</v>
      </c>
      <c r="L94" s="3" t="s">
        <v>1605</v>
      </c>
      <c r="M94" s="3">
        <v>198</v>
      </c>
      <c r="N94" s="3" t="s">
        <v>1606</v>
      </c>
      <c r="O94" s="3">
        <v>11923835185</v>
      </c>
      <c r="P94" s="3">
        <v>1505446</v>
      </c>
      <c r="Q94" s="3">
        <v>34</v>
      </c>
      <c r="R94" s="3" t="s">
        <v>83</v>
      </c>
    </row>
    <row r="95" spans="1:18" ht="21" customHeight="1">
      <c r="A95" s="3" t="s">
        <v>78</v>
      </c>
      <c r="B95" s="3" t="s">
        <v>45</v>
      </c>
      <c r="C95" s="4">
        <v>43308</v>
      </c>
      <c r="D95" s="3">
        <v>1</v>
      </c>
      <c r="E95" s="3" t="s">
        <v>1308</v>
      </c>
      <c r="F95" s="3">
        <v>1</v>
      </c>
      <c r="G95" s="3" t="s">
        <v>1309</v>
      </c>
      <c r="H95" s="3">
        <v>123</v>
      </c>
      <c r="I95" s="3" t="s">
        <v>1308</v>
      </c>
      <c r="J95" s="3" t="s">
        <v>1607</v>
      </c>
      <c r="K95" s="3">
        <v>440000</v>
      </c>
      <c r="L95" s="3" t="s">
        <v>1608</v>
      </c>
      <c r="M95" s="3">
        <v>44</v>
      </c>
      <c r="N95" s="3" t="s">
        <v>1609</v>
      </c>
      <c r="O95" s="3">
        <v>11924275185</v>
      </c>
      <c r="P95" s="3">
        <v>1505490</v>
      </c>
      <c r="Q95" s="3">
        <v>50</v>
      </c>
      <c r="R95" s="3" t="s">
        <v>83</v>
      </c>
    </row>
    <row r="96" spans="1:18" ht="21" customHeight="1">
      <c r="A96" s="3" t="s">
        <v>78</v>
      </c>
      <c r="B96" s="3" t="s">
        <v>45</v>
      </c>
      <c r="C96" s="4">
        <v>43323</v>
      </c>
      <c r="D96" s="3">
        <v>1</v>
      </c>
      <c r="E96" s="3" t="s">
        <v>1308</v>
      </c>
      <c r="F96" s="3">
        <v>1</v>
      </c>
      <c r="G96" s="3" t="s">
        <v>1309</v>
      </c>
      <c r="H96" s="3">
        <v>202</v>
      </c>
      <c r="I96" s="3" t="s">
        <v>1308</v>
      </c>
      <c r="J96" s="3" t="s">
        <v>1610</v>
      </c>
      <c r="K96" s="3">
        <v>543000</v>
      </c>
      <c r="L96" s="3" t="s">
        <v>1611</v>
      </c>
      <c r="M96" s="3">
        <v>70</v>
      </c>
      <c r="N96" s="3" t="s">
        <v>1612</v>
      </c>
      <c r="O96" s="3">
        <v>11924818185</v>
      </c>
      <c r="P96" s="3">
        <v>1505560</v>
      </c>
      <c r="Q96" s="3">
        <v>40</v>
      </c>
      <c r="R96" s="3" t="s">
        <v>83</v>
      </c>
    </row>
    <row r="97" spans="1:18" ht="21" customHeight="1">
      <c r="A97" s="3" t="s">
        <v>78</v>
      </c>
      <c r="B97" s="3" t="s">
        <v>45</v>
      </c>
      <c r="C97" s="4">
        <v>43360</v>
      </c>
      <c r="D97" s="3">
        <v>1</v>
      </c>
      <c r="E97" s="3" t="s">
        <v>1308</v>
      </c>
      <c r="F97" s="3">
        <v>1</v>
      </c>
      <c r="G97" s="3" t="s">
        <v>1309</v>
      </c>
      <c r="H97" s="3">
        <v>160</v>
      </c>
      <c r="I97" s="3" t="s">
        <v>1308</v>
      </c>
      <c r="J97" s="3" t="s">
        <v>1613</v>
      </c>
      <c r="K97" s="3">
        <v>972000</v>
      </c>
      <c r="L97" s="3" t="s">
        <v>1614</v>
      </c>
      <c r="M97" s="3">
        <v>162</v>
      </c>
      <c r="N97" s="3" t="s">
        <v>1615</v>
      </c>
      <c r="O97" s="3">
        <v>11925790185</v>
      </c>
      <c r="P97" s="3">
        <v>1505722</v>
      </c>
      <c r="Q97" s="3">
        <v>34</v>
      </c>
      <c r="R97" s="3" t="s">
        <v>83</v>
      </c>
    </row>
    <row r="98" spans="1:18" ht="21" customHeight="1">
      <c r="A98" s="3" t="s">
        <v>78</v>
      </c>
      <c r="B98" s="3" t="s">
        <v>45</v>
      </c>
      <c r="C98" s="4">
        <v>43390</v>
      </c>
      <c r="D98" s="3">
        <v>1</v>
      </c>
      <c r="E98" s="3" t="s">
        <v>1308</v>
      </c>
      <c r="F98" s="3">
        <v>1</v>
      </c>
      <c r="G98" s="3" t="s">
        <v>1309</v>
      </c>
      <c r="H98" s="3">
        <v>293</v>
      </c>
      <c r="I98" s="3" t="s">
        <v>1308</v>
      </c>
      <c r="J98" s="3" t="s">
        <v>1556</v>
      </c>
      <c r="K98" s="3">
        <v>90000</v>
      </c>
      <c r="L98" s="3" t="s">
        <v>1616</v>
      </c>
      <c r="M98" s="3">
        <v>10</v>
      </c>
      <c r="N98" s="3" t="s">
        <v>1617</v>
      </c>
      <c r="O98" s="3">
        <v>11925880185</v>
      </c>
      <c r="P98" s="3">
        <v>1505732</v>
      </c>
      <c r="Q98" s="3">
        <v>78</v>
      </c>
      <c r="R98" s="3" t="s">
        <v>83</v>
      </c>
    </row>
    <row r="99" spans="1:18" ht="21" customHeight="1">
      <c r="A99" s="3" t="s">
        <v>78</v>
      </c>
      <c r="B99" s="3" t="s">
        <v>45</v>
      </c>
      <c r="C99" s="4">
        <v>43397</v>
      </c>
      <c r="D99" s="3">
        <v>1</v>
      </c>
      <c r="E99" s="3" t="s">
        <v>1308</v>
      </c>
      <c r="F99" s="3">
        <v>1</v>
      </c>
      <c r="G99" s="3" t="s">
        <v>1309</v>
      </c>
      <c r="H99" s="3">
        <v>106</v>
      </c>
      <c r="I99" s="3" t="s">
        <v>1308</v>
      </c>
      <c r="J99" s="3" t="s">
        <v>1618</v>
      </c>
      <c r="K99" s="3">
        <v>700000</v>
      </c>
      <c r="L99" s="3" t="s">
        <v>1619</v>
      </c>
      <c r="M99" s="3">
        <v>100</v>
      </c>
      <c r="N99" s="3" t="s">
        <v>1620</v>
      </c>
      <c r="O99" s="3">
        <v>11926580185</v>
      </c>
      <c r="P99" s="3">
        <v>1505832</v>
      </c>
      <c r="Q99" s="3">
        <v>48</v>
      </c>
      <c r="R99" s="3" t="s">
        <v>83</v>
      </c>
    </row>
    <row r="100" spans="1:18" ht="21" customHeight="1">
      <c r="A100" s="3" t="s">
        <v>78</v>
      </c>
      <c r="B100" s="3" t="s">
        <v>45</v>
      </c>
      <c r="C100" s="4">
        <v>43402</v>
      </c>
      <c r="D100" s="3">
        <v>1</v>
      </c>
      <c r="E100" s="3" t="s">
        <v>1308</v>
      </c>
      <c r="F100" s="3">
        <v>1</v>
      </c>
      <c r="G100" s="3" t="s">
        <v>1309</v>
      </c>
      <c r="H100" s="3">
        <v>92</v>
      </c>
      <c r="I100" s="3" t="s">
        <v>1308</v>
      </c>
      <c r="J100" s="3" t="s">
        <v>1621</v>
      </c>
      <c r="K100" s="3">
        <v>140000</v>
      </c>
      <c r="L100" s="3" t="s">
        <v>1622</v>
      </c>
      <c r="M100" s="3">
        <v>20</v>
      </c>
      <c r="N100" s="3" t="s">
        <v>1623</v>
      </c>
      <c r="O100" s="3">
        <v>11926720185</v>
      </c>
      <c r="P100" s="3">
        <v>1505852</v>
      </c>
      <c r="Q100" s="3">
        <v>66</v>
      </c>
      <c r="R100" s="3" t="s">
        <v>83</v>
      </c>
    </row>
    <row r="101" spans="1:18" ht="21" customHeight="1">
      <c r="A101" s="3" t="s">
        <v>78</v>
      </c>
      <c r="B101" s="3" t="s">
        <v>45</v>
      </c>
      <c r="C101" s="4">
        <v>43418</v>
      </c>
      <c r="D101" s="3">
        <v>1</v>
      </c>
      <c r="E101" s="3" t="s">
        <v>1308</v>
      </c>
      <c r="F101" s="3">
        <v>1</v>
      </c>
      <c r="G101" s="3" t="s">
        <v>1309</v>
      </c>
      <c r="H101" s="3">
        <v>85</v>
      </c>
      <c r="I101" s="3" t="s">
        <v>1308</v>
      </c>
      <c r="J101" s="3" t="s">
        <v>1308</v>
      </c>
      <c r="K101" s="3">
        <v>0</v>
      </c>
      <c r="L101" s="3" t="s">
        <v>1595</v>
      </c>
      <c r="M101" s="3">
        <v>0</v>
      </c>
      <c r="N101" s="3" t="s">
        <v>1595</v>
      </c>
      <c r="O101" s="3">
        <v>11926720185</v>
      </c>
      <c r="P101" s="3">
        <v>1505852</v>
      </c>
      <c r="Q101" s="3">
        <v>123</v>
      </c>
      <c r="R101" s="3" t="s">
        <v>83</v>
      </c>
    </row>
    <row r="102" spans="1:18" ht="21" customHeight="1">
      <c r="A102" s="3" t="s">
        <v>78</v>
      </c>
      <c r="B102" s="3" t="s">
        <v>45</v>
      </c>
      <c r="C102" s="4">
        <v>43441</v>
      </c>
      <c r="D102" s="3">
        <v>1</v>
      </c>
      <c r="E102" s="3" t="s">
        <v>1308</v>
      </c>
      <c r="F102" s="3">
        <v>2</v>
      </c>
      <c r="G102" s="3" t="s">
        <v>1309</v>
      </c>
      <c r="H102" s="3">
        <v>174</v>
      </c>
      <c r="I102" s="3" t="s">
        <v>1308</v>
      </c>
      <c r="J102" s="3" t="s">
        <v>1624</v>
      </c>
      <c r="K102" s="3">
        <v>870000</v>
      </c>
      <c r="L102" s="3" t="s">
        <v>1625</v>
      </c>
      <c r="M102" s="3">
        <v>145</v>
      </c>
      <c r="N102" s="3" t="s">
        <v>1626</v>
      </c>
      <c r="O102" s="3">
        <v>11927590185</v>
      </c>
      <c r="P102" s="3">
        <v>1505997</v>
      </c>
      <c r="Q102" s="3">
        <v>44</v>
      </c>
      <c r="R102" s="3" t="s">
        <v>83</v>
      </c>
    </row>
    <row r="103" spans="1:18" ht="21" customHeight="1">
      <c r="A103" s="3" t="s">
        <v>78</v>
      </c>
      <c r="B103" s="3" t="s">
        <v>45</v>
      </c>
      <c r="C103" s="4">
        <v>43447</v>
      </c>
      <c r="D103" s="3">
        <v>1</v>
      </c>
      <c r="E103" s="3" t="s">
        <v>1308</v>
      </c>
      <c r="F103" s="3">
        <v>1</v>
      </c>
      <c r="G103" s="3" t="s">
        <v>1309</v>
      </c>
      <c r="H103" s="3">
        <v>413</v>
      </c>
      <c r="I103" s="3" t="s">
        <v>1308</v>
      </c>
      <c r="J103" s="3" t="s">
        <v>1627</v>
      </c>
      <c r="K103" s="3">
        <v>80000</v>
      </c>
      <c r="L103" s="3" t="s">
        <v>1628</v>
      </c>
      <c r="M103" s="3">
        <v>16</v>
      </c>
      <c r="N103" s="3" t="s">
        <v>1629</v>
      </c>
      <c r="O103" s="3">
        <v>11927670185</v>
      </c>
      <c r="P103" s="3">
        <v>1506013</v>
      </c>
      <c r="Q103" s="3">
        <v>84</v>
      </c>
      <c r="R103" s="3" t="s">
        <v>83</v>
      </c>
    </row>
    <row r="104" spans="1:18" ht="21" customHeight="1">
      <c r="A104" s="3" t="s">
        <v>78</v>
      </c>
      <c r="B104" s="3" t="s">
        <v>45</v>
      </c>
      <c r="C104" s="4">
        <v>43448</v>
      </c>
      <c r="D104" s="3">
        <v>1</v>
      </c>
      <c r="E104" s="3" t="s">
        <v>1308</v>
      </c>
      <c r="F104" s="3">
        <v>1</v>
      </c>
      <c r="G104" s="3" t="s">
        <v>1309</v>
      </c>
      <c r="H104" s="3">
        <v>413</v>
      </c>
      <c r="I104" s="3" t="s">
        <v>1308</v>
      </c>
      <c r="J104" s="3" t="s">
        <v>1630</v>
      </c>
      <c r="K104" s="3">
        <v>1070000</v>
      </c>
      <c r="L104" s="3" t="s">
        <v>1631</v>
      </c>
      <c r="M104" s="3">
        <v>214</v>
      </c>
      <c r="N104" s="3" t="s">
        <v>1632</v>
      </c>
      <c r="O104" s="3">
        <v>11928740185</v>
      </c>
      <c r="P104" s="3">
        <v>1506227</v>
      </c>
      <c r="Q104" s="3">
        <v>46</v>
      </c>
      <c r="R104" s="3" t="s">
        <v>83</v>
      </c>
    </row>
    <row r="105" spans="1:18" ht="21" customHeight="1">
      <c r="A105" s="3" t="s">
        <v>78</v>
      </c>
      <c r="B105" s="3" t="s">
        <v>45</v>
      </c>
      <c r="C105" s="4">
        <v>43449</v>
      </c>
      <c r="D105" s="3">
        <v>1</v>
      </c>
      <c r="E105" s="3" t="s">
        <v>1308</v>
      </c>
      <c r="F105" s="3">
        <v>1</v>
      </c>
      <c r="G105" s="3" t="s">
        <v>1309</v>
      </c>
      <c r="H105" s="3">
        <v>42</v>
      </c>
      <c r="I105" s="3" t="s">
        <v>1308</v>
      </c>
      <c r="J105" s="3" t="s">
        <v>1298</v>
      </c>
      <c r="K105" s="3">
        <v>462000</v>
      </c>
      <c r="L105" s="3" t="s">
        <v>1633</v>
      </c>
      <c r="M105" s="3">
        <v>42</v>
      </c>
      <c r="N105" s="3" t="s">
        <v>1634</v>
      </c>
      <c r="O105" s="3">
        <v>11929202185</v>
      </c>
      <c r="P105" s="3">
        <v>1506269</v>
      </c>
      <c r="Q105" s="3">
        <v>67</v>
      </c>
      <c r="R105" s="3" t="s">
        <v>83</v>
      </c>
    </row>
    <row r="106" spans="1:18" ht="21" customHeight="1">
      <c r="A106" s="3" t="s">
        <v>78</v>
      </c>
      <c r="B106" s="3" t="s">
        <v>45</v>
      </c>
      <c r="C106" s="4">
        <v>43487</v>
      </c>
      <c r="D106" s="3">
        <v>4</v>
      </c>
      <c r="E106" s="3" t="s">
        <v>1297</v>
      </c>
      <c r="F106" s="3">
        <v>4</v>
      </c>
      <c r="G106" s="3" t="s">
        <v>1309</v>
      </c>
      <c r="H106" s="3">
        <v>522</v>
      </c>
      <c r="I106" s="3" t="s">
        <v>1308</v>
      </c>
      <c r="J106" s="3" t="s">
        <v>1635</v>
      </c>
      <c r="K106" s="3">
        <v>1745000</v>
      </c>
      <c r="L106" s="3" t="s">
        <v>1636</v>
      </c>
      <c r="M106" s="3">
        <v>240</v>
      </c>
      <c r="N106" s="3" t="s">
        <v>1637</v>
      </c>
      <c r="O106" s="3">
        <v>11930947185</v>
      </c>
      <c r="P106" s="3">
        <v>1506509</v>
      </c>
      <c r="Q106" s="3">
        <v>29</v>
      </c>
      <c r="R106" s="3" t="s">
        <v>83</v>
      </c>
    </row>
    <row r="107" spans="1:18" ht="21" customHeight="1">
      <c r="A107" s="3" t="s">
        <v>78</v>
      </c>
      <c r="B107" s="3" t="s">
        <v>45</v>
      </c>
      <c r="C107" s="4">
        <v>43539</v>
      </c>
      <c r="D107" s="3">
        <v>1</v>
      </c>
      <c r="E107" s="3" t="s">
        <v>1308</v>
      </c>
      <c r="F107" s="3">
        <v>1</v>
      </c>
      <c r="G107" s="3" t="s">
        <v>1309</v>
      </c>
      <c r="H107" s="3">
        <v>169</v>
      </c>
      <c r="I107" s="3" t="s">
        <v>1308</v>
      </c>
      <c r="J107" s="3" t="s">
        <v>1638</v>
      </c>
      <c r="K107" s="3">
        <v>1050000</v>
      </c>
      <c r="L107" s="3" t="s">
        <v>1639</v>
      </c>
      <c r="M107" s="3">
        <v>150</v>
      </c>
      <c r="N107" s="3" t="s">
        <v>1640</v>
      </c>
      <c r="O107" s="3">
        <v>11931997185</v>
      </c>
      <c r="P107" s="3">
        <v>1506659</v>
      </c>
      <c r="Q107" s="3">
        <v>34</v>
      </c>
      <c r="R107" s="3" t="s">
        <v>83</v>
      </c>
    </row>
    <row r="108" spans="1:18" ht="21" customHeight="1">
      <c r="A108" s="3" t="s">
        <v>78</v>
      </c>
      <c r="B108" s="3" t="s">
        <v>45</v>
      </c>
      <c r="C108" s="4">
        <v>43559</v>
      </c>
      <c r="D108" s="3">
        <v>1</v>
      </c>
      <c r="E108" s="3" t="s">
        <v>1308</v>
      </c>
      <c r="F108" s="3">
        <v>1</v>
      </c>
      <c r="G108" s="3" t="s">
        <v>1309</v>
      </c>
      <c r="H108" s="3">
        <v>22</v>
      </c>
      <c r="I108" s="3" t="s">
        <v>1308</v>
      </c>
      <c r="J108" s="3" t="s">
        <v>1298</v>
      </c>
      <c r="K108" s="3">
        <v>176000</v>
      </c>
      <c r="L108" s="3" t="s">
        <v>1641</v>
      </c>
      <c r="M108" s="3">
        <v>22</v>
      </c>
      <c r="N108" s="3" t="s">
        <v>1573</v>
      </c>
      <c r="O108" s="3">
        <v>11932173185</v>
      </c>
      <c r="P108" s="3">
        <v>1506681</v>
      </c>
      <c r="Q108" s="3">
        <v>63</v>
      </c>
      <c r="R108" s="3" t="s">
        <v>83</v>
      </c>
    </row>
    <row r="109" spans="1:18" ht="21" customHeight="1">
      <c r="A109" s="3" t="s">
        <v>78</v>
      </c>
      <c r="B109" s="3" t="s">
        <v>45</v>
      </c>
      <c r="C109" s="4">
        <v>43576</v>
      </c>
      <c r="D109" s="3">
        <v>1</v>
      </c>
      <c r="E109" s="3" t="s">
        <v>1308</v>
      </c>
      <c r="F109" s="3">
        <v>1</v>
      </c>
      <c r="G109" s="3" t="s">
        <v>1309</v>
      </c>
      <c r="H109" s="3">
        <v>174</v>
      </c>
      <c r="I109" s="3" t="s">
        <v>1308</v>
      </c>
      <c r="J109" s="3" t="s">
        <v>1298</v>
      </c>
      <c r="K109" s="3">
        <v>1740000</v>
      </c>
      <c r="L109" s="3" t="s">
        <v>1642</v>
      </c>
      <c r="M109" s="3">
        <v>174</v>
      </c>
      <c r="N109" s="3" t="s">
        <v>1643</v>
      </c>
      <c r="O109" s="3">
        <v>11933913185</v>
      </c>
      <c r="P109" s="3">
        <v>1506855</v>
      </c>
      <c r="Q109" s="3">
        <v>44</v>
      </c>
      <c r="R109" s="3" t="s">
        <v>83</v>
      </c>
    </row>
    <row r="110" spans="1:18" ht="21" customHeight="1">
      <c r="A110" s="3" t="s">
        <v>78</v>
      </c>
      <c r="B110" s="3" t="s">
        <v>45</v>
      </c>
      <c r="C110" s="4">
        <v>43638</v>
      </c>
      <c r="D110" s="3">
        <v>1</v>
      </c>
      <c r="E110" s="3" t="s">
        <v>1308</v>
      </c>
      <c r="F110" s="3">
        <v>1</v>
      </c>
      <c r="G110" s="3" t="s">
        <v>1309</v>
      </c>
      <c r="H110" s="3">
        <v>55</v>
      </c>
      <c r="I110" s="3" t="s">
        <v>1308</v>
      </c>
      <c r="J110" s="3" t="s">
        <v>1644</v>
      </c>
      <c r="K110" s="3">
        <v>336000</v>
      </c>
      <c r="L110" s="3" t="s">
        <v>1645</v>
      </c>
      <c r="M110" s="3">
        <v>56</v>
      </c>
      <c r="N110" s="3" t="s">
        <v>1646</v>
      </c>
      <c r="O110" s="3">
        <v>11934249185</v>
      </c>
      <c r="P110" s="3">
        <v>1506911</v>
      </c>
      <c r="Q110" s="3">
        <v>59</v>
      </c>
      <c r="R110" s="3" t="s">
        <v>83</v>
      </c>
    </row>
    <row r="111" spans="1:18" ht="21" customHeight="1">
      <c r="A111" s="3" t="s">
        <v>78</v>
      </c>
      <c r="B111" s="3" t="s">
        <v>45</v>
      </c>
      <c r="C111" s="4">
        <v>43777</v>
      </c>
      <c r="D111" s="3">
        <v>1</v>
      </c>
      <c r="E111" s="3" t="s">
        <v>1308</v>
      </c>
      <c r="F111" s="3">
        <v>1</v>
      </c>
      <c r="G111" s="3" t="s">
        <v>1309</v>
      </c>
      <c r="H111" s="3">
        <v>170</v>
      </c>
      <c r="I111" s="3" t="s">
        <v>1308</v>
      </c>
      <c r="J111" s="3" t="s">
        <v>1308</v>
      </c>
      <c r="K111" s="3">
        <v>0</v>
      </c>
      <c r="L111" s="3" t="s">
        <v>1595</v>
      </c>
      <c r="M111" s="3">
        <v>0</v>
      </c>
      <c r="N111" s="3" t="s">
        <v>1595</v>
      </c>
      <c r="O111" s="3">
        <v>11934249185</v>
      </c>
      <c r="P111" s="3">
        <v>1506911</v>
      </c>
      <c r="Q111" s="3">
        <v>158</v>
      </c>
      <c r="R111" s="3" t="s">
        <v>83</v>
      </c>
    </row>
    <row r="112" spans="1:18" ht="21" customHeight="1">
      <c r="A112" s="3" t="s">
        <v>78</v>
      </c>
      <c r="B112" s="3" t="s">
        <v>45</v>
      </c>
      <c r="C112" s="4">
        <v>43852</v>
      </c>
      <c r="D112" s="3">
        <v>1</v>
      </c>
      <c r="E112" s="3" t="s">
        <v>1308</v>
      </c>
      <c r="F112" s="3">
        <v>1</v>
      </c>
      <c r="G112" s="3" t="s">
        <v>1309</v>
      </c>
      <c r="H112" s="3">
        <v>118</v>
      </c>
      <c r="I112" s="3" t="s">
        <v>1308</v>
      </c>
      <c r="J112" s="3" t="s">
        <v>1308</v>
      </c>
      <c r="K112" s="3">
        <v>0</v>
      </c>
      <c r="L112" s="3" t="s">
        <v>1595</v>
      </c>
      <c r="M112" s="3">
        <v>0</v>
      </c>
      <c r="N112" s="3" t="s">
        <v>1595</v>
      </c>
      <c r="O112" s="3">
        <v>11934249185</v>
      </c>
      <c r="P112" s="3">
        <v>1506911</v>
      </c>
      <c r="Q112" s="3">
        <v>103</v>
      </c>
      <c r="R112" s="3" t="s">
        <v>83</v>
      </c>
    </row>
    <row r="113" spans="1:18" ht="21" customHeight="1">
      <c r="A113" s="3" t="s">
        <v>78</v>
      </c>
      <c r="B113" s="3" t="s">
        <v>45</v>
      </c>
      <c r="C113" s="4">
        <v>43895</v>
      </c>
      <c r="D113" s="3">
        <v>47</v>
      </c>
      <c r="E113" s="3" t="s">
        <v>1458</v>
      </c>
      <c r="F113" s="3">
        <v>49</v>
      </c>
      <c r="G113" s="3" t="s">
        <v>1466</v>
      </c>
      <c r="H113" s="3">
        <v>8382</v>
      </c>
      <c r="I113" s="3" t="s">
        <v>1466</v>
      </c>
      <c r="J113" s="3" t="s">
        <v>1647</v>
      </c>
      <c r="K113" s="3">
        <v>505000</v>
      </c>
      <c r="L113" s="3" t="s">
        <v>1648</v>
      </c>
      <c r="M113" s="3">
        <v>101</v>
      </c>
      <c r="N113" s="3" t="s">
        <v>1649</v>
      </c>
      <c r="O113" s="3">
        <v>11934754185</v>
      </c>
      <c r="P113" s="3">
        <v>1507012</v>
      </c>
      <c r="Q113" s="3">
        <v>33</v>
      </c>
      <c r="R113" s="3" t="s">
        <v>83</v>
      </c>
    </row>
    <row r="114" spans="1:18" ht="21" customHeight="1">
      <c r="A114" s="3" t="s">
        <v>78</v>
      </c>
      <c r="B114" s="3" t="s">
        <v>45</v>
      </c>
      <c r="C114" s="4">
        <v>43896</v>
      </c>
      <c r="D114" s="3">
        <v>31</v>
      </c>
      <c r="E114" s="3" t="s">
        <v>1301</v>
      </c>
      <c r="F114" s="3">
        <v>33</v>
      </c>
      <c r="G114" s="3" t="s">
        <v>1302</v>
      </c>
      <c r="H114" s="3">
        <v>5588</v>
      </c>
      <c r="I114" s="3" t="s">
        <v>1482</v>
      </c>
      <c r="J114" s="3" t="s">
        <v>1650</v>
      </c>
      <c r="K114" s="3">
        <v>400000</v>
      </c>
      <c r="L114" s="3" t="s">
        <v>1651</v>
      </c>
      <c r="M114" s="3">
        <v>80</v>
      </c>
      <c r="N114" s="3" t="s">
        <v>1652</v>
      </c>
      <c r="O114" s="3">
        <v>11935154185</v>
      </c>
      <c r="P114" s="3">
        <v>1507092</v>
      </c>
      <c r="Q114" s="3">
        <v>38</v>
      </c>
      <c r="R114" s="3" t="s">
        <v>83</v>
      </c>
    </row>
    <row r="115" spans="1:18" ht="21" customHeight="1">
      <c r="A115" s="3" t="s">
        <v>78</v>
      </c>
      <c r="B115" s="3" t="s">
        <v>45</v>
      </c>
      <c r="C115" s="4">
        <v>43897</v>
      </c>
      <c r="D115" s="3">
        <v>45</v>
      </c>
      <c r="E115" s="3" t="s">
        <v>1473</v>
      </c>
      <c r="F115" s="3">
        <v>46</v>
      </c>
      <c r="G115" s="3" t="s">
        <v>1482</v>
      </c>
      <c r="H115" s="3">
        <v>6714</v>
      </c>
      <c r="I115" s="3" t="s">
        <v>1482</v>
      </c>
      <c r="J115" s="3" t="s">
        <v>1653</v>
      </c>
      <c r="K115" s="3">
        <v>510000</v>
      </c>
      <c r="L115" s="3" t="s">
        <v>1654</v>
      </c>
      <c r="M115" s="3">
        <v>102</v>
      </c>
      <c r="N115" s="3" t="s">
        <v>1655</v>
      </c>
      <c r="O115" s="3">
        <v>11935664185</v>
      </c>
      <c r="P115" s="3">
        <v>1507194</v>
      </c>
      <c r="Q115" s="3">
        <v>41</v>
      </c>
      <c r="R115" s="3" t="s">
        <v>83</v>
      </c>
    </row>
    <row r="116" spans="1:18" ht="21" customHeight="1">
      <c r="A116" s="3" t="s">
        <v>78</v>
      </c>
      <c r="B116" s="3" t="s">
        <v>45</v>
      </c>
      <c r="C116" s="4">
        <v>43898</v>
      </c>
      <c r="D116" s="3">
        <v>45</v>
      </c>
      <c r="E116" s="3" t="s">
        <v>1473</v>
      </c>
      <c r="F116" s="3">
        <v>46</v>
      </c>
      <c r="G116" s="3" t="s">
        <v>1482</v>
      </c>
      <c r="H116" s="3">
        <v>7311</v>
      </c>
      <c r="I116" s="3" t="s">
        <v>1482</v>
      </c>
      <c r="J116" s="3" t="s">
        <v>1465</v>
      </c>
      <c r="K116" s="3">
        <v>570000</v>
      </c>
      <c r="L116" s="3" t="s">
        <v>1656</v>
      </c>
      <c r="M116" s="3">
        <v>114</v>
      </c>
      <c r="N116" s="3" t="s">
        <v>1657</v>
      </c>
      <c r="O116" s="3">
        <v>11936234185</v>
      </c>
      <c r="P116" s="3">
        <v>1507308</v>
      </c>
      <c r="Q116" s="3">
        <v>37</v>
      </c>
      <c r="R116" s="3" t="s">
        <v>83</v>
      </c>
    </row>
    <row r="117" spans="1:18" ht="21" customHeight="1">
      <c r="A117" s="3" t="s">
        <v>78</v>
      </c>
      <c r="B117" s="3" t="s">
        <v>45</v>
      </c>
      <c r="C117" s="4">
        <v>43899</v>
      </c>
      <c r="D117" s="3">
        <v>32</v>
      </c>
      <c r="E117" s="3" t="s">
        <v>1454</v>
      </c>
      <c r="F117" s="3">
        <v>32</v>
      </c>
      <c r="G117" s="3" t="s">
        <v>1482</v>
      </c>
      <c r="H117" s="3">
        <v>5172</v>
      </c>
      <c r="I117" s="3" t="s">
        <v>1482</v>
      </c>
      <c r="J117" s="3" t="s">
        <v>1658</v>
      </c>
      <c r="K117" s="3">
        <v>295000</v>
      </c>
      <c r="L117" s="3" t="s">
        <v>1659</v>
      </c>
      <c r="M117" s="3">
        <v>59</v>
      </c>
      <c r="N117" s="3" t="s">
        <v>1660</v>
      </c>
      <c r="O117" s="3">
        <v>11936529185</v>
      </c>
      <c r="P117" s="3">
        <v>1507367</v>
      </c>
      <c r="Q117" s="3">
        <v>37</v>
      </c>
      <c r="R117" s="3" t="s">
        <v>83</v>
      </c>
    </row>
    <row r="118" spans="1:18" ht="21" customHeight="1">
      <c r="A118" s="3" t="s">
        <v>78</v>
      </c>
      <c r="B118" s="3" t="s">
        <v>45</v>
      </c>
      <c r="C118" s="4">
        <v>43900</v>
      </c>
      <c r="D118" s="3">
        <v>37</v>
      </c>
      <c r="E118" s="3" t="s">
        <v>1473</v>
      </c>
      <c r="F118" s="3">
        <v>38</v>
      </c>
      <c r="G118" s="3" t="s">
        <v>1482</v>
      </c>
      <c r="H118" s="3">
        <v>6348</v>
      </c>
      <c r="I118" s="3" t="s">
        <v>1482</v>
      </c>
      <c r="J118" s="3" t="s">
        <v>1661</v>
      </c>
      <c r="K118" s="3">
        <v>400000</v>
      </c>
      <c r="L118" s="3" t="s">
        <v>1662</v>
      </c>
      <c r="M118" s="3">
        <v>80</v>
      </c>
      <c r="N118" s="3" t="s">
        <v>1663</v>
      </c>
      <c r="O118" s="3">
        <v>11936929185</v>
      </c>
      <c r="P118" s="3">
        <v>1507447</v>
      </c>
      <c r="Q118" s="3">
        <v>36</v>
      </c>
      <c r="R118" s="3" t="s">
        <v>83</v>
      </c>
    </row>
    <row r="119" spans="1:18" ht="21" customHeight="1">
      <c r="A119" s="3" t="s">
        <v>78</v>
      </c>
      <c r="B119" s="3" t="s">
        <v>45</v>
      </c>
      <c r="C119" s="4">
        <v>43901</v>
      </c>
      <c r="D119" s="3">
        <v>32</v>
      </c>
      <c r="E119" s="3" t="s">
        <v>1454</v>
      </c>
      <c r="F119" s="3">
        <v>32</v>
      </c>
      <c r="G119" s="3" t="s">
        <v>1482</v>
      </c>
      <c r="H119" s="3">
        <v>4975</v>
      </c>
      <c r="I119" s="3" t="s">
        <v>1302</v>
      </c>
      <c r="J119" s="3" t="s">
        <v>1658</v>
      </c>
      <c r="K119" s="3">
        <v>275000</v>
      </c>
      <c r="L119" s="3" t="s">
        <v>1664</v>
      </c>
      <c r="M119" s="3">
        <v>55</v>
      </c>
      <c r="N119" s="3" t="s">
        <v>1665</v>
      </c>
      <c r="O119" s="3">
        <v>11937204185</v>
      </c>
      <c r="P119" s="3">
        <v>1507502</v>
      </c>
      <c r="Q119" s="3">
        <v>44</v>
      </c>
      <c r="R119" s="3" t="s">
        <v>83</v>
      </c>
    </row>
    <row r="120" spans="1:18" ht="21" customHeight="1">
      <c r="A120" s="3" t="s">
        <v>78</v>
      </c>
      <c r="B120" s="3" t="s">
        <v>45</v>
      </c>
      <c r="C120" s="4">
        <v>43902</v>
      </c>
      <c r="D120" s="3">
        <v>3</v>
      </c>
      <c r="E120" s="3" t="s">
        <v>1297</v>
      </c>
      <c r="F120" s="3">
        <v>5</v>
      </c>
      <c r="G120" s="3" t="s">
        <v>1297</v>
      </c>
      <c r="H120" s="3">
        <v>373</v>
      </c>
      <c r="I120" s="3" t="s">
        <v>1308</v>
      </c>
      <c r="J120" s="3" t="s">
        <v>1666</v>
      </c>
      <c r="K120" s="3">
        <v>65000</v>
      </c>
      <c r="L120" s="3" t="s">
        <v>1667</v>
      </c>
      <c r="M120" s="3">
        <v>13</v>
      </c>
      <c r="N120" s="3" t="s">
        <v>1668</v>
      </c>
      <c r="O120" s="3">
        <v>11937269185</v>
      </c>
      <c r="P120" s="3">
        <v>1507515</v>
      </c>
      <c r="Q120" s="3">
        <v>63</v>
      </c>
      <c r="R120" s="3" t="s">
        <v>83</v>
      </c>
    </row>
    <row r="121" spans="1:18" ht="21" customHeight="1">
      <c r="A121" s="3" t="s">
        <v>78</v>
      </c>
      <c r="B121" s="3" t="s">
        <v>45</v>
      </c>
      <c r="C121" s="4">
        <v>43903</v>
      </c>
      <c r="D121" s="3">
        <v>4</v>
      </c>
      <c r="E121" s="3" t="s">
        <v>1297</v>
      </c>
      <c r="F121" s="3">
        <v>6</v>
      </c>
      <c r="G121" s="3" t="s">
        <v>1297</v>
      </c>
      <c r="H121" s="3">
        <v>563</v>
      </c>
      <c r="I121" s="3" t="s">
        <v>1308</v>
      </c>
      <c r="J121" s="3" t="s">
        <v>1669</v>
      </c>
      <c r="K121" s="3">
        <v>75000</v>
      </c>
      <c r="L121" s="3" t="s">
        <v>1670</v>
      </c>
      <c r="M121" s="3">
        <v>15</v>
      </c>
      <c r="N121" s="3" t="s">
        <v>1671</v>
      </c>
      <c r="O121" s="3">
        <v>11937344185</v>
      </c>
      <c r="P121" s="3">
        <v>1507530</v>
      </c>
      <c r="Q121" s="3">
        <v>66</v>
      </c>
      <c r="R121" s="3" t="s">
        <v>83</v>
      </c>
    </row>
    <row r="122" spans="1:18" ht="21" customHeight="1">
      <c r="A122" s="3" t="s">
        <v>78</v>
      </c>
      <c r="B122" s="3" t="s">
        <v>45</v>
      </c>
      <c r="C122" s="4">
        <v>43904</v>
      </c>
      <c r="D122" s="3">
        <v>5</v>
      </c>
      <c r="E122" s="3" t="s">
        <v>1297</v>
      </c>
      <c r="F122" s="3">
        <v>6</v>
      </c>
      <c r="G122" s="3" t="s">
        <v>1297</v>
      </c>
      <c r="H122" s="3">
        <v>557</v>
      </c>
      <c r="I122" s="3" t="s">
        <v>1308</v>
      </c>
      <c r="J122" s="3" t="s">
        <v>1556</v>
      </c>
      <c r="K122" s="3">
        <v>95000</v>
      </c>
      <c r="L122" s="3" t="s">
        <v>1672</v>
      </c>
      <c r="M122" s="3">
        <v>19</v>
      </c>
      <c r="N122" s="3" t="s">
        <v>1673</v>
      </c>
      <c r="O122" s="3">
        <v>11937439185</v>
      </c>
      <c r="P122" s="3">
        <v>1507549</v>
      </c>
      <c r="Q122" s="3">
        <v>66</v>
      </c>
      <c r="R122" s="3" t="s">
        <v>83</v>
      </c>
    </row>
    <row r="123" spans="1:18" ht="21" customHeight="1">
      <c r="A123" s="3" t="s">
        <v>78</v>
      </c>
      <c r="B123" s="3" t="s">
        <v>45</v>
      </c>
      <c r="C123" s="4">
        <v>43905</v>
      </c>
      <c r="D123" s="3">
        <v>4</v>
      </c>
      <c r="E123" s="3" t="s">
        <v>1297</v>
      </c>
      <c r="F123" s="3">
        <v>7</v>
      </c>
      <c r="G123" s="3" t="s">
        <v>1297</v>
      </c>
      <c r="H123" s="3">
        <v>552</v>
      </c>
      <c r="I123" s="3" t="s">
        <v>1308</v>
      </c>
      <c r="J123" s="3" t="s">
        <v>1674</v>
      </c>
      <c r="K123" s="3">
        <v>55000</v>
      </c>
      <c r="L123" s="3" t="s">
        <v>1675</v>
      </c>
      <c r="M123" s="3">
        <v>11</v>
      </c>
      <c r="N123" s="3" t="s">
        <v>1676</v>
      </c>
      <c r="O123" s="3">
        <v>11937494185</v>
      </c>
      <c r="P123" s="3">
        <v>1507560</v>
      </c>
      <c r="Q123" s="3">
        <v>71</v>
      </c>
      <c r="R123" s="3" t="s">
        <v>83</v>
      </c>
    </row>
    <row r="124" spans="1:18" ht="21" customHeight="1">
      <c r="A124" s="3" t="s">
        <v>78</v>
      </c>
      <c r="B124" s="3" t="s">
        <v>45</v>
      </c>
      <c r="C124" s="4">
        <v>43906</v>
      </c>
      <c r="D124" s="3">
        <v>5</v>
      </c>
      <c r="E124" s="3" t="s">
        <v>1297</v>
      </c>
      <c r="F124" s="3">
        <v>9</v>
      </c>
      <c r="G124" s="3" t="s">
        <v>1297</v>
      </c>
      <c r="H124" s="3">
        <v>725</v>
      </c>
      <c r="I124" s="3" t="s">
        <v>1297</v>
      </c>
      <c r="J124" s="3" t="s">
        <v>1677</v>
      </c>
      <c r="K124" s="3">
        <v>110000</v>
      </c>
      <c r="L124" s="3" t="s">
        <v>1678</v>
      </c>
      <c r="M124" s="3">
        <v>22</v>
      </c>
      <c r="N124" s="3" t="s">
        <v>1679</v>
      </c>
      <c r="O124" s="3">
        <v>11937604185</v>
      </c>
      <c r="P124" s="3">
        <v>1507582</v>
      </c>
      <c r="Q124" s="3">
        <v>59</v>
      </c>
      <c r="R124" s="3" t="s">
        <v>83</v>
      </c>
    </row>
    <row r="125" spans="1:18" ht="21" customHeight="1">
      <c r="A125" s="3" t="s">
        <v>78</v>
      </c>
      <c r="B125" s="3" t="s">
        <v>45</v>
      </c>
      <c r="C125" s="4">
        <v>43907</v>
      </c>
      <c r="D125" s="3">
        <v>2</v>
      </c>
      <c r="E125" s="3" t="s">
        <v>1308</v>
      </c>
      <c r="F125" s="3">
        <v>2</v>
      </c>
      <c r="G125" s="3" t="s">
        <v>1309</v>
      </c>
      <c r="H125" s="3">
        <v>225</v>
      </c>
      <c r="I125" s="3" t="s">
        <v>1308</v>
      </c>
      <c r="J125" s="3" t="s">
        <v>1458</v>
      </c>
      <c r="K125" s="3">
        <v>10000</v>
      </c>
      <c r="L125" s="3" t="s">
        <v>1680</v>
      </c>
      <c r="M125" s="3">
        <v>2</v>
      </c>
      <c r="N125" s="3" t="s">
        <v>1681</v>
      </c>
      <c r="O125" s="3">
        <v>11937614185</v>
      </c>
      <c r="P125" s="3">
        <v>1507584</v>
      </c>
      <c r="Q125" s="3">
        <v>85</v>
      </c>
      <c r="R125" s="3" t="s">
        <v>83</v>
      </c>
    </row>
    <row r="126" spans="1:18" ht="21" customHeight="1">
      <c r="A126" s="3" t="s">
        <v>78</v>
      </c>
      <c r="B126" s="3" t="s">
        <v>45</v>
      </c>
      <c r="C126" s="4">
        <v>43908</v>
      </c>
      <c r="D126" s="3">
        <v>4</v>
      </c>
      <c r="E126" s="3" t="s">
        <v>1297</v>
      </c>
      <c r="F126" s="3">
        <v>7</v>
      </c>
      <c r="G126" s="3" t="s">
        <v>1297</v>
      </c>
      <c r="H126" s="3">
        <v>490</v>
      </c>
      <c r="I126" s="3" t="s">
        <v>1308</v>
      </c>
      <c r="J126" s="3" t="s">
        <v>1452</v>
      </c>
      <c r="K126" s="3">
        <v>60000</v>
      </c>
      <c r="L126" s="3" t="s">
        <v>1682</v>
      </c>
      <c r="M126" s="3">
        <v>12</v>
      </c>
      <c r="N126" s="3" t="s">
        <v>1683</v>
      </c>
      <c r="O126" s="3">
        <v>11937674185</v>
      </c>
      <c r="P126" s="3">
        <v>1507596</v>
      </c>
      <c r="Q126" s="3">
        <v>65</v>
      </c>
      <c r="R126" s="3" t="s">
        <v>83</v>
      </c>
    </row>
    <row r="127" spans="1:18" ht="21" customHeight="1">
      <c r="A127" s="3" t="s">
        <v>78</v>
      </c>
      <c r="B127" s="3" t="s">
        <v>45</v>
      </c>
      <c r="C127" s="4">
        <v>44014</v>
      </c>
      <c r="D127" s="3">
        <v>29</v>
      </c>
      <c r="E127" s="3" t="s">
        <v>1301</v>
      </c>
      <c r="F127" s="3">
        <v>35</v>
      </c>
      <c r="G127" s="3" t="s">
        <v>1302</v>
      </c>
      <c r="H127" s="3">
        <v>4422</v>
      </c>
      <c r="I127" s="3" t="s">
        <v>1296</v>
      </c>
      <c r="J127" s="3" t="s">
        <v>1684</v>
      </c>
      <c r="K127" s="3">
        <v>819000</v>
      </c>
      <c r="L127" s="3" t="s">
        <v>1685</v>
      </c>
      <c r="M127" s="3">
        <v>135</v>
      </c>
      <c r="N127" s="3" t="s">
        <v>1686</v>
      </c>
      <c r="O127" s="3">
        <v>11938493185</v>
      </c>
      <c r="P127" s="3">
        <v>1507731</v>
      </c>
      <c r="Q127" s="3">
        <v>24</v>
      </c>
      <c r="R127" s="3" t="s">
        <v>83</v>
      </c>
    </row>
    <row r="128" spans="1:18" ht="21" customHeight="1">
      <c r="A128" s="3" t="s">
        <v>78</v>
      </c>
      <c r="B128" s="3" t="s">
        <v>45</v>
      </c>
      <c r="C128" s="4">
        <v>44015</v>
      </c>
      <c r="D128" s="3">
        <v>26</v>
      </c>
      <c r="E128" s="3" t="s">
        <v>1466</v>
      </c>
      <c r="F128" s="3">
        <v>32</v>
      </c>
      <c r="G128" s="3" t="s">
        <v>1296</v>
      </c>
      <c r="H128" s="3">
        <v>3696</v>
      </c>
      <c r="I128" s="3" t="s">
        <v>1296</v>
      </c>
      <c r="J128" s="3" t="s">
        <v>1674</v>
      </c>
      <c r="K128" s="3">
        <v>448000</v>
      </c>
      <c r="L128" s="3" t="s">
        <v>1687</v>
      </c>
      <c r="M128" s="3">
        <v>74</v>
      </c>
      <c r="N128" s="3" t="s">
        <v>1688</v>
      </c>
      <c r="O128" s="3">
        <v>11938941185</v>
      </c>
      <c r="P128" s="3">
        <v>1507805</v>
      </c>
      <c r="Q128" s="3">
        <v>40</v>
      </c>
      <c r="R128" s="3" t="s">
        <v>83</v>
      </c>
    </row>
    <row r="129" spans="1:18" ht="21" customHeight="1">
      <c r="A129" s="3" t="s">
        <v>78</v>
      </c>
      <c r="B129" s="3" t="s">
        <v>45</v>
      </c>
      <c r="C129" s="4">
        <v>44016</v>
      </c>
      <c r="D129" s="3">
        <v>24</v>
      </c>
      <c r="E129" s="3" t="s">
        <v>1482</v>
      </c>
      <c r="F129" s="3">
        <v>28</v>
      </c>
      <c r="G129" s="3" t="s">
        <v>1296</v>
      </c>
      <c r="H129" s="3">
        <v>3016</v>
      </c>
      <c r="I129" s="3" t="s">
        <v>1297</v>
      </c>
      <c r="J129" s="3" t="s">
        <v>1422</v>
      </c>
      <c r="K129" s="3">
        <v>1039000</v>
      </c>
      <c r="L129" s="3" t="s">
        <v>1689</v>
      </c>
      <c r="M129" s="3">
        <v>169</v>
      </c>
      <c r="N129" s="3" t="s">
        <v>1690</v>
      </c>
      <c r="O129" s="3">
        <v>11939980185</v>
      </c>
      <c r="P129" s="3">
        <v>1507974</v>
      </c>
      <c r="Q129" s="3">
        <v>34</v>
      </c>
      <c r="R129" s="3" t="s">
        <v>83</v>
      </c>
    </row>
    <row r="130" spans="1:18" ht="21" customHeight="1">
      <c r="A130" s="3" t="s">
        <v>78</v>
      </c>
      <c r="B130" s="3" t="s">
        <v>45</v>
      </c>
      <c r="C130" s="4">
        <v>44017</v>
      </c>
      <c r="D130" s="3">
        <v>27</v>
      </c>
      <c r="E130" s="3" t="s">
        <v>1466</v>
      </c>
      <c r="F130" s="3">
        <v>28</v>
      </c>
      <c r="G130" s="3" t="s">
        <v>1296</v>
      </c>
      <c r="H130" s="3">
        <v>3368</v>
      </c>
      <c r="I130" s="3" t="s">
        <v>1297</v>
      </c>
      <c r="J130" s="3" t="s">
        <v>1691</v>
      </c>
      <c r="K130" s="3">
        <v>538000</v>
      </c>
      <c r="L130" s="3" t="s">
        <v>1692</v>
      </c>
      <c r="M130" s="3">
        <v>89</v>
      </c>
      <c r="N130" s="3" t="s">
        <v>1693</v>
      </c>
      <c r="O130" s="3">
        <v>11940518185</v>
      </c>
      <c r="P130" s="3">
        <v>1508063</v>
      </c>
      <c r="Q130" s="3">
        <v>42</v>
      </c>
      <c r="R130" s="3" t="s">
        <v>83</v>
      </c>
    </row>
    <row r="131" spans="1:18" ht="21" customHeight="1">
      <c r="A131" s="3" t="s">
        <v>78</v>
      </c>
      <c r="B131" s="3" t="s">
        <v>45</v>
      </c>
      <c r="C131" s="4">
        <v>44018</v>
      </c>
      <c r="D131" s="3">
        <v>21</v>
      </c>
      <c r="E131" s="3" t="s">
        <v>1482</v>
      </c>
      <c r="F131" s="3">
        <v>23</v>
      </c>
      <c r="G131" s="3" t="s">
        <v>1296</v>
      </c>
      <c r="H131" s="3">
        <v>2699</v>
      </c>
      <c r="I131" s="3" t="s">
        <v>1296</v>
      </c>
      <c r="J131" s="3" t="s">
        <v>1457</v>
      </c>
      <c r="K131" s="3">
        <v>365000</v>
      </c>
      <c r="L131" s="3" t="s">
        <v>1694</v>
      </c>
      <c r="M131" s="3">
        <v>59</v>
      </c>
      <c r="N131" s="3" t="s">
        <v>1695</v>
      </c>
      <c r="O131" s="3">
        <v>11940883185</v>
      </c>
      <c r="P131" s="3">
        <v>1508122</v>
      </c>
      <c r="Q131" s="3">
        <v>35</v>
      </c>
      <c r="R131" s="3" t="s">
        <v>83</v>
      </c>
    </row>
    <row r="132" spans="1:18" ht="21" customHeight="1">
      <c r="A132" s="3" t="s">
        <v>78</v>
      </c>
      <c r="B132" s="3" t="s">
        <v>45</v>
      </c>
      <c r="C132" s="4">
        <v>44019</v>
      </c>
      <c r="D132" s="3">
        <v>20</v>
      </c>
      <c r="E132" s="3" t="s">
        <v>1482</v>
      </c>
      <c r="F132" s="3">
        <v>24</v>
      </c>
      <c r="G132" s="3" t="s">
        <v>1296</v>
      </c>
      <c r="H132" s="3">
        <v>2605</v>
      </c>
      <c r="I132" s="3" t="s">
        <v>1296</v>
      </c>
      <c r="J132" s="3" t="s">
        <v>1461</v>
      </c>
      <c r="K132" s="3">
        <v>365000</v>
      </c>
      <c r="L132" s="3" t="s">
        <v>1595</v>
      </c>
      <c r="M132" s="3">
        <v>60</v>
      </c>
      <c r="N132" s="3" t="s">
        <v>1696</v>
      </c>
      <c r="O132" s="3">
        <v>11941248185</v>
      </c>
      <c r="P132" s="3">
        <v>1508182</v>
      </c>
      <c r="Q132" s="3">
        <v>42</v>
      </c>
      <c r="R132" s="3" t="s">
        <v>83</v>
      </c>
    </row>
    <row r="133" spans="1:18" ht="21" customHeight="1">
      <c r="A133" s="3" t="s">
        <v>78</v>
      </c>
      <c r="B133" s="3" t="s">
        <v>45</v>
      </c>
      <c r="C133" s="4">
        <v>44020</v>
      </c>
      <c r="D133" s="3">
        <v>2</v>
      </c>
      <c r="E133" s="3" t="s">
        <v>1308</v>
      </c>
      <c r="F133" s="3">
        <v>2</v>
      </c>
      <c r="G133" s="3" t="s">
        <v>1309</v>
      </c>
      <c r="H133" s="3">
        <v>112</v>
      </c>
      <c r="I133" s="3" t="s">
        <v>1308</v>
      </c>
      <c r="J133" s="3" t="s">
        <v>1669</v>
      </c>
      <c r="K133" s="3">
        <v>27000</v>
      </c>
      <c r="L133" s="3" t="s">
        <v>1697</v>
      </c>
      <c r="M133" s="3">
        <v>3</v>
      </c>
      <c r="N133" s="3" t="s">
        <v>1698</v>
      </c>
      <c r="O133" s="3">
        <v>11941275185</v>
      </c>
      <c r="P133" s="3">
        <v>1508185</v>
      </c>
      <c r="Q133" s="3">
        <v>112</v>
      </c>
      <c r="R133" s="3" t="s">
        <v>83</v>
      </c>
    </row>
    <row r="134" spans="1:18" ht="21" customHeight="1">
      <c r="A134" s="3" t="s">
        <v>78</v>
      </c>
      <c r="B134" s="3" t="s">
        <v>45</v>
      </c>
      <c r="C134" s="4">
        <v>44036</v>
      </c>
      <c r="D134" s="3">
        <v>1</v>
      </c>
      <c r="E134" s="3" t="s">
        <v>1308</v>
      </c>
      <c r="F134" s="3">
        <v>2</v>
      </c>
      <c r="G134" s="3" t="s">
        <v>1309</v>
      </c>
      <c r="H134" s="3">
        <v>152</v>
      </c>
      <c r="I134" s="3" t="s">
        <v>1308</v>
      </c>
      <c r="J134" s="3" t="s">
        <v>1308</v>
      </c>
      <c r="K134" s="3">
        <v>0</v>
      </c>
      <c r="L134" s="3" t="s">
        <v>1595</v>
      </c>
      <c r="M134" s="3">
        <v>0</v>
      </c>
      <c r="N134" s="3" t="s">
        <v>1595</v>
      </c>
      <c r="O134" s="3">
        <v>11941275185</v>
      </c>
      <c r="P134" s="3">
        <v>1508185</v>
      </c>
      <c r="Q134" s="3">
        <v>147</v>
      </c>
      <c r="R134" s="3" t="s">
        <v>83</v>
      </c>
    </row>
    <row r="135" spans="1:18" ht="21" customHeight="1">
      <c r="A135" s="3" t="s">
        <v>78</v>
      </c>
      <c r="B135" s="3" t="s">
        <v>45</v>
      </c>
      <c r="C135" s="4">
        <v>44314</v>
      </c>
      <c r="D135" s="3">
        <v>8</v>
      </c>
      <c r="E135" s="3" t="s">
        <v>1297</v>
      </c>
      <c r="F135" s="3">
        <v>8</v>
      </c>
      <c r="G135" s="3" t="s">
        <v>1297</v>
      </c>
      <c r="H135" s="3">
        <v>1095</v>
      </c>
      <c r="I135" s="3" t="s">
        <v>1297</v>
      </c>
      <c r="J135" s="3" t="s">
        <v>1658</v>
      </c>
      <c r="K135" s="3">
        <v>82000</v>
      </c>
      <c r="L135" s="3" t="s">
        <v>1699</v>
      </c>
      <c r="M135" s="3">
        <v>12</v>
      </c>
      <c r="N135" s="3" t="s">
        <v>1700</v>
      </c>
      <c r="O135" s="3">
        <v>11941357185</v>
      </c>
      <c r="P135" s="3">
        <v>1508197</v>
      </c>
      <c r="Q135" s="3">
        <v>83</v>
      </c>
      <c r="R135" s="3" t="s">
        <v>83</v>
      </c>
    </row>
    <row r="136" spans="1:18" ht="21" customHeight="1">
      <c r="A136" s="3" t="s">
        <v>78</v>
      </c>
      <c r="B136" s="3" t="s">
        <v>45</v>
      </c>
      <c r="C136" s="4">
        <v>44315</v>
      </c>
      <c r="D136" s="3">
        <v>7</v>
      </c>
      <c r="E136" s="3" t="s">
        <v>1297</v>
      </c>
      <c r="F136" s="3">
        <v>7</v>
      </c>
      <c r="G136" s="3" t="s">
        <v>1297</v>
      </c>
      <c r="H136" s="3">
        <v>842</v>
      </c>
      <c r="I136" s="3" t="s">
        <v>1308</v>
      </c>
      <c r="J136" s="3" t="s">
        <v>1479</v>
      </c>
      <c r="K136" s="3">
        <v>114500</v>
      </c>
      <c r="L136" s="3" t="s">
        <v>1701</v>
      </c>
      <c r="M136" s="3">
        <v>16</v>
      </c>
      <c r="N136" s="3" t="s">
        <v>1702</v>
      </c>
      <c r="O136" s="3">
        <v>11941471685</v>
      </c>
      <c r="P136" s="3">
        <v>1508213</v>
      </c>
      <c r="Q136" s="3">
        <v>61</v>
      </c>
      <c r="R136" s="3" t="s">
        <v>83</v>
      </c>
    </row>
    <row r="137" spans="1:18" ht="21" customHeight="1">
      <c r="A137" s="3" t="s">
        <v>78</v>
      </c>
      <c r="B137" s="3" t="s">
        <v>45</v>
      </c>
      <c r="C137" s="4">
        <v>44316</v>
      </c>
      <c r="D137" s="3">
        <v>14</v>
      </c>
      <c r="E137" s="3" t="s">
        <v>1296</v>
      </c>
      <c r="F137" s="3">
        <v>19</v>
      </c>
      <c r="G137" s="3" t="s">
        <v>1296</v>
      </c>
      <c r="H137" s="3">
        <v>2671</v>
      </c>
      <c r="I137" s="3" t="s">
        <v>1297</v>
      </c>
      <c r="J137" s="3" t="s">
        <v>1465</v>
      </c>
      <c r="K137" s="3">
        <v>312000</v>
      </c>
      <c r="L137" s="3" t="s">
        <v>1703</v>
      </c>
      <c r="M137" s="3">
        <v>44</v>
      </c>
      <c r="N137" s="3" t="s">
        <v>1704</v>
      </c>
      <c r="O137" s="3">
        <v>11941783685</v>
      </c>
      <c r="P137" s="3">
        <v>1508257</v>
      </c>
      <c r="Q137" s="3">
        <v>54</v>
      </c>
      <c r="R137" s="3" t="s">
        <v>83</v>
      </c>
    </row>
    <row r="138" spans="1:18" ht="21" customHeight="1">
      <c r="A138" s="3" t="s">
        <v>78</v>
      </c>
      <c r="B138" s="3" t="s">
        <v>45</v>
      </c>
      <c r="C138" s="4">
        <v>44317</v>
      </c>
      <c r="D138" s="3">
        <v>13</v>
      </c>
      <c r="E138" s="3" t="s">
        <v>1296</v>
      </c>
      <c r="F138" s="3">
        <v>18</v>
      </c>
      <c r="G138" s="3" t="s">
        <v>1297</v>
      </c>
      <c r="H138" s="3">
        <v>2570</v>
      </c>
      <c r="I138" s="3" t="s">
        <v>1297</v>
      </c>
      <c r="J138" s="3" t="s">
        <v>1476</v>
      </c>
      <c r="K138" s="3">
        <v>380500</v>
      </c>
      <c r="L138" s="3" t="s">
        <v>1705</v>
      </c>
      <c r="M138" s="3">
        <v>54</v>
      </c>
      <c r="N138" s="3" t="s">
        <v>1706</v>
      </c>
      <c r="O138" s="3">
        <v>11942164185</v>
      </c>
      <c r="P138" s="3">
        <v>1508311</v>
      </c>
      <c r="Q138" s="3">
        <v>47</v>
      </c>
      <c r="R138" s="3" t="s">
        <v>83</v>
      </c>
    </row>
    <row r="139" spans="1:18" ht="21" customHeight="1">
      <c r="A139" s="3" t="s">
        <v>78</v>
      </c>
      <c r="B139" s="3" t="s">
        <v>45</v>
      </c>
      <c r="C139" s="4">
        <v>44318</v>
      </c>
      <c r="D139" s="3">
        <v>12</v>
      </c>
      <c r="E139" s="3" t="s">
        <v>1296</v>
      </c>
      <c r="F139" s="3">
        <v>16</v>
      </c>
      <c r="G139" s="3" t="s">
        <v>1297</v>
      </c>
      <c r="H139" s="3">
        <v>2075</v>
      </c>
      <c r="I139" s="3" t="s">
        <v>1297</v>
      </c>
      <c r="J139" s="3" t="s">
        <v>1457</v>
      </c>
      <c r="K139" s="3">
        <v>310000</v>
      </c>
      <c r="L139" s="3" t="s">
        <v>1707</v>
      </c>
      <c r="M139" s="3">
        <v>45</v>
      </c>
      <c r="N139" s="3" t="s">
        <v>1708</v>
      </c>
      <c r="O139" s="3">
        <v>11942474185</v>
      </c>
      <c r="P139" s="3">
        <v>1508356</v>
      </c>
      <c r="Q139" s="3">
        <v>43</v>
      </c>
      <c r="R139" s="3" t="s">
        <v>83</v>
      </c>
    </row>
    <row r="140" spans="1:18" ht="21" customHeight="1">
      <c r="A140" s="3" t="s">
        <v>78</v>
      </c>
      <c r="B140" s="3" t="s">
        <v>45</v>
      </c>
      <c r="C140" s="4">
        <v>44319</v>
      </c>
      <c r="D140" s="3">
        <v>11</v>
      </c>
      <c r="E140" s="3" t="s">
        <v>1296</v>
      </c>
      <c r="F140" s="3">
        <v>12</v>
      </c>
      <c r="G140" s="3" t="s">
        <v>1297</v>
      </c>
      <c r="H140" s="3">
        <v>1713</v>
      </c>
      <c r="I140" s="3" t="s">
        <v>1297</v>
      </c>
      <c r="J140" s="3" t="s">
        <v>1661</v>
      </c>
      <c r="K140" s="3">
        <v>158000</v>
      </c>
      <c r="L140" s="3" t="s">
        <v>1709</v>
      </c>
      <c r="M140" s="3">
        <v>23</v>
      </c>
      <c r="N140" s="3" t="s">
        <v>1710</v>
      </c>
      <c r="O140" s="3">
        <v>11942632185</v>
      </c>
      <c r="P140" s="3">
        <v>1508379</v>
      </c>
      <c r="Q140" s="3">
        <v>50</v>
      </c>
      <c r="R140" s="3" t="s">
        <v>83</v>
      </c>
    </row>
    <row r="141" spans="1:18" ht="21" customHeight="1">
      <c r="A141" s="3" t="s">
        <v>78</v>
      </c>
      <c r="B141" s="3" t="s">
        <v>45</v>
      </c>
      <c r="C141" s="4">
        <v>44320</v>
      </c>
      <c r="D141" s="3">
        <v>10</v>
      </c>
      <c r="E141" s="3" t="s">
        <v>1296</v>
      </c>
      <c r="F141" s="3">
        <v>11</v>
      </c>
      <c r="G141" s="3" t="s">
        <v>1297</v>
      </c>
      <c r="H141" s="3">
        <v>1546</v>
      </c>
      <c r="I141" s="3" t="s">
        <v>1297</v>
      </c>
      <c r="J141" s="3" t="s">
        <v>1476</v>
      </c>
      <c r="K141" s="3">
        <v>218000</v>
      </c>
      <c r="L141" s="3" t="s">
        <v>1711</v>
      </c>
      <c r="M141" s="3">
        <v>32</v>
      </c>
      <c r="N141" s="3" t="s">
        <v>1712</v>
      </c>
      <c r="O141" s="3">
        <v>11942850185</v>
      </c>
      <c r="P141" s="3">
        <v>1508411</v>
      </c>
      <c r="Q141" s="3">
        <v>47</v>
      </c>
      <c r="R141" s="3" t="s">
        <v>83</v>
      </c>
    </row>
    <row r="142" spans="1:18" ht="21" customHeight="1">
      <c r="A142" s="3" t="s">
        <v>78</v>
      </c>
      <c r="B142" s="3" t="s">
        <v>45</v>
      </c>
      <c r="C142" s="4">
        <v>44321</v>
      </c>
      <c r="D142" s="3">
        <v>8</v>
      </c>
      <c r="E142" s="3" t="s">
        <v>1297</v>
      </c>
      <c r="F142" s="3">
        <v>8</v>
      </c>
      <c r="G142" s="3" t="s">
        <v>1297</v>
      </c>
      <c r="H142" s="3">
        <v>1052</v>
      </c>
      <c r="I142" s="3" t="s">
        <v>1308</v>
      </c>
      <c r="J142" s="3" t="s">
        <v>1529</v>
      </c>
      <c r="K142" s="3">
        <v>206000</v>
      </c>
      <c r="L142" s="3" t="s">
        <v>1713</v>
      </c>
      <c r="M142" s="3">
        <v>30</v>
      </c>
      <c r="N142" s="3" t="s">
        <v>1714</v>
      </c>
      <c r="O142" s="3">
        <v>11943056185</v>
      </c>
      <c r="P142" s="3">
        <v>1508441</v>
      </c>
      <c r="Q142" s="3">
        <v>71</v>
      </c>
      <c r="R142" s="3" t="s">
        <v>83</v>
      </c>
    </row>
    <row r="143" spans="1:18" ht="21" customHeight="1">
      <c r="A143" s="3" t="s">
        <v>78</v>
      </c>
      <c r="B143" s="3" t="s">
        <v>45</v>
      </c>
      <c r="C143" s="4">
        <v>44322</v>
      </c>
      <c r="D143" s="3">
        <v>1</v>
      </c>
      <c r="E143" s="3" t="s">
        <v>1308</v>
      </c>
      <c r="F143" s="3">
        <v>1</v>
      </c>
      <c r="G143" s="3" t="s">
        <v>1309</v>
      </c>
      <c r="H143" s="3">
        <v>126</v>
      </c>
      <c r="I143" s="3" t="s">
        <v>1308</v>
      </c>
      <c r="J143" s="3" t="s">
        <v>1308</v>
      </c>
      <c r="K143" s="3">
        <v>0</v>
      </c>
      <c r="L143" s="3" t="s">
        <v>1715</v>
      </c>
      <c r="M143" s="3">
        <v>0</v>
      </c>
      <c r="N143" s="3" t="s">
        <v>1716</v>
      </c>
      <c r="O143" s="3">
        <v>11943056185</v>
      </c>
      <c r="P143" s="3">
        <v>1508441</v>
      </c>
      <c r="Q143" s="3">
        <v>114</v>
      </c>
      <c r="R143" s="3" t="s">
        <v>83</v>
      </c>
    </row>
    <row r="144" spans="1:18" ht="21" customHeight="1">
      <c r="A144" s="3" t="s">
        <v>78</v>
      </c>
      <c r="B144" s="3" t="s">
        <v>45</v>
      </c>
      <c r="C144" s="4">
        <v>44323</v>
      </c>
      <c r="D144" s="3">
        <v>9</v>
      </c>
      <c r="E144" s="3" t="s">
        <v>1297</v>
      </c>
      <c r="F144" s="3">
        <v>9</v>
      </c>
      <c r="G144" s="3" t="s">
        <v>1297</v>
      </c>
      <c r="H144" s="3">
        <v>1297</v>
      </c>
      <c r="I144" s="3" t="s">
        <v>1297</v>
      </c>
      <c r="J144" s="3" t="s">
        <v>1650</v>
      </c>
      <c r="K144" s="3">
        <v>122000</v>
      </c>
      <c r="L144" s="3" t="s">
        <v>1717</v>
      </c>
      <c r="M144" s="3">
        <v>18</v>
      </c>
      <c r="N144" s="3" t="s">
        <v>1718</v>
      </c>
      <c r="O144" s="3">
        <v>11943178185</v>
      </c>
      <c r="P144" s="3">
        <v>1508459</v>
      </c>
      <c r="Q144" s="3">
        <v>64</v>
      </c>
      <c r="R144" s="3" t="s">
        <v>83</v>
      </c>
    </row>
    <row r="145" spans="1:18" ht="21" customHeight="1">
      <c r="A145" s="3" t="s">
        <v>78</v>
      </c>
      <c r="B145" s="3" t="s">
        <v>45</v>
      </c>
      <c r="C145" s="4">
        <v>44324</v>
      </c>
      <c r="D145" s="3">
        <v>4</v>
      </c>
      <c r="E145" s="3" t="s">
        <v>1297</v>
      </c>
      <c r="F145" s="3">
        <v>4</v>
      </c>
      <c r="G145" s="3" t="s">
        <v>1309</v>
      </c>
      <c r="H145" s="3">
        <v>545</v>
      </c>
      <c r="I145" s="3" t="s">
        <v>1308</v>
      </c>
      <c r="J145" s="3" t="s">
        <v>1666</v>
      </c>
      <c r="K145" s="3">
        <v>131500</v>
      </c>
      <c r="L145" s="3" t="s">
        <v>1719</v>
      </c>
      <c r="M145" s="3">
        <v>19</v>
      </c>
      <c r="N145" s="3" t="s">
        <v>1720</v>
      </c>
      <c r="O145" s="3">
        <v>11943309685</v>
      </c>
      <c r="P145" s="3">
        <v>1508478</v>
      </c>
      <c r="Q145" s="3">
        <v>57</v>
      </c>
      <c r="R145" s="3" t="s">
        <v>83</v>
      </c>
    </row>
    <row r="146" spans="1:18" ht="21" customHeight="1">
      <c r="A146" s="3" t="s">
        <v>78</v>
      </c>
      <c r="B146" s="3" t="s">
        <v>45</v>
      </c>
      <c r="C146" s="4">
        <v>44325</v>
      </c>
      <c r="D146" s="3">
        <v>6</v>
      </c>
      <c r="E146" s="3" t="s">
        <v>1297</v>
      </c>
      <c r="F146" s="3">
        <v>6</v>
      </c>
      <c r="G146" s="3" t="s">
        <v>1309</v>
      </c>
      <c r="H146" s="3">
        <v>791</v>
      </c>
      <c r="I146" s="3" t="s">
        <v>1308</v>
      </c>
      <c r="J146" s="3" t="s">
        <v>1674</v>
      </c>
      <c r="K146" s="3">
        <v>111500</v>
      </c>
      <c r="L146" s="3" t="s">
        <v>1721</v>
      </c>
      <c r="M146" s="3">
        <v>16</v>
      </c>
      <c r="N146" s="3" t="s">
        <v>1722</v>
      </c>
      <c r="O146" s="3">
        <v>11943421185</v>
      </c>
      <c r="P146" s="3">
        <v>1508494</v>
      </c>
      <c r="Q146" s="3">
        <v>62</v>
      </c>
      <c r="R146" s="3" t="s">
        <v>83</v>
      </c>
    </row>
    <row r="147" spans="1:18" ht="21" customHeight="1">
      <c r="A147" s="3" t="s">
        <v>78</v>
      </c>
      <c r="B147" s="3" t="s">
        <v>45</v>
      </c>
      <c r="C147" s="4">
        <v>44326</v>
      </c>
      <c r="D147" s="3">
        <v>10</v>
      </c>
      <c r="E147" s="3" t="s">
        <v>1296</v>
      </c>
      <c r="F147" s="3">
        <v>10</v>
      </c>
      <c r="G147" s="3" t="s">
        <v>1297</v>
      </c>
      <c r="H147" s="3">
        <v>1427</v>
      </c>
      <c r="I147" s="3" t="s">
        <v>1297</v>
      </c>
      <c r="J147" s="3" t="s">
        <v>1433</v>
      </c>
      <c r="K147" s="3">
        <v>506000</v>
      </c>
      <c r="L147" s="3" t="s">
        <v>1723</v>
      </c>
      <c r="M147" s="3">
        <v>73</v>
      </c>
      <c r="N147" s="3" t="s">
        <v>1724</v>
      </c>
      <c r="O147" s="3">
        <v>11943927185</v>
      </c>
      <c r="P147" s="3">
        <v>1508567</v>
      </c>
      <c r="Q147" s="3">
        <v>41</v>
      </c>
      <c r="R147" s="3" t="s">
        <v>83</v>
      </c>
    </row>
    <row r="148" spans="1:18" ht="21" customHeight="1">
      <c r="A148" s="3" t="s">
        <v>78</v>
      </c>
      <c r="B148" s="3" t="s">
        <v>45</v>
      </c>
      <c r="C148" s="4">
        <v>44327</v>
      </c>
      <c r="D148" s="3">
        <v>10</v>
      </c>
      <c r="E148" s="3" t="s">
        <v>1296</v>
      </c>
      <c r="F148" s="3">
        <v>10</v>
      </c>
      <c r="G148" s="3" t="s">
        <v>1297</v>
      </c>
      <c r="H148" s="3">
        <v>1428</v>
      </c>
      <c r="I148" s="3" t="s">
        <v>1297</v>
      </c>
      <c r="J148" s="3" t="s">
        <v>1457</v>
      </c>
      <c r="K148" s="3">
        <v>227000</v>
      </c>
      <c r="L148" s="3" t="s">
        <v>1725</v>
      </c>
      <c r="M148" s="3">
        <v>32</v>
      </c>
      <c r="N148" s="3" t="s">
        <v>1726</v>
      </c>
      <c r="O148" s="3">
        <v>11944154185</v>
      </c>
      <c r="P148" s="3">
        <v>1508599</v>
      </c>
      <c r="Q148" s="3">
        <v>53</v>
      </c>
      <c r="R148" s="3" t="s">
        <v>83</v>
      </c>
    </row>
    <row r="149" spans="1:18" ht="21" customHeight="1">
      <c r="A149" s="3" t="s">
        <v>78</v>
      </c>
      <c r="B149" s="3" t="s">
        <v>45</v>
      </c>
      <c r="C149" s="4">
        <v>44328</v>
      </c>
      <c r="D149" s="3">
        <v>1</v>
      </c>
      <c r="E149" s="3" t="s">
        <v>1308</v>
      </c>
      <c r="F149" s="3">
        <v>1</v>
      </c>
      <c r="G149" s="3" t="s">
        <v>1309</v>
      </c>
      <c r="H149" s="3">
        <v>91</v>
      </c>
      <c r="I149" s="3" t="s">
        <v>1308</v>
      </c>
      <c r="J149" s="3" t="s">
        <v>1727</v>
      </c>
      <c r="K149" s="3">
        <v>168000</v>
      </c>
      <c r="L149" s="3" t="s">
        <v>1728</v>
      </c>
      <c r="M149" s="3">
        <v>24</v>
      </c>
      <c r="N149" s="3" t="s">
        <v>1729</v>
      </c>
      <c r="O149" s="3">
        <v>11944322185</v>
      </c>
      <c r="P149" s="3">
        <v>1508623</v>
      </c>
      <c r="Q149" s="3">
        <v>75</v>
      </c>
      <c r="R149" s="3" t="s">
        <v>83</v>
      </c>
    </row>
    <row r="150" spans="1:18" ht="21" customHeight="1">
      <c r="A150" s="3" t="s">
        <v>78</v>
      </c>
      <c r="B150" s="3" t="s">
        <v>45</v>
      </c>
      <c r="C150" s="4">
        <v>44329</v>
      </c>
      <c r="D150" s="3">
        <v>1</v>
      </c>
      <c r="E150" s="3" t="s">
        <v>1308</v>
      </c>
      <c r="F150" s="3">
        <v>1</v>
      </c>
      <c r="G150" s="3" t="s">
        <v>1309</v>
      </c>
      <c r="H150" s="3">
        <v>91</v>
      </c>
      <c r="I150" s="3" t="s">
        <v>1308</v>
      </c>
      <c r="J150" s="3" t="s">
        <v>1489</v>
      </c>
      <c r="K150" s="3">
        <v>70000</v>
      </c>
      <c r="L150" s="3" t="s">
        <v>1730</v>
      </c>
      <c r="M150" s="3">
        <v>10</v>
      </c>
      <c r="N150" s="3" t="s">
        <v>1731</v>
      </c>
      <c r="O150" s="3">
        <v>11944392185</v>
      </c>
      <c r="P150" s="3">
        <v>1508633</v>
      </c>
      <c r="Q150" s="3">
        <v>74</v>
      </c>
      <c r="R150" s="3" t="s">
        <v>83</v>
      </c>
    </row>
    <row r="151" spans="1:18" ht="21" customHeight="1">
      <c r="A151" s="3" t="s">
        <v>78</v>
      </c>
      <c r="B151" s="3" t="s">
        <v>45</v>
      </c>
      <c r="C151" s="4">
        <v>44330</v>
      </c>
      <c r="D151" s="3">
        <v>1</v>
      </c>
      <c r="E151" s="3" t="s">
        <v>1308</v>
      </c>
      <c r="F151" s="3">
        <v>1</v>
      </c>
      <c r="G151" s="3" t="s">
        <v>1309</v>
      </c>
      <c r="H151" s="3">
        <v>91</v>
      </c>
      <c r="I151" s="3" t="s">
        <v>1308</v>
      </c>
      <c r="J151" s="3" t="s">
        <v>1732</v>
      </c>
      <c r="K151" s="3">
        <v>175000</v>
      </c>
      <c r="L151" s="3" t="s">
        <v>1733</v>
      </c>
      <c r="M151" s="3">
        <v>25</v>
      </c>
      <c r="N151" s="3" t="s">
        <v>1734</v>
      </c>
      <c r="O151" s="3">
        <v>11944567185</v>
      </c>
      <c r="P151" s="3">
        <v>1508658</v>
      </c>
      <c r="Q151" s="3">
        <v>63</v>
      </c>
      <c r="R151" s="3" t="s">
        <v>83</v>
      </c>
    </row>
    <row r="152" spans="1:18" ht="21" customHeight="1">
      <c r="A152" s="3" t="s">
        <v>78</v>
      </c>
      <c r="B152" s="3" t="s">
        <v>45</v>
      </c>
      <c r="C152" s="4">
        <v>44331</v>
      </c>
      <c r="D152" s="3">
        <v>1</v>
      </c>
      <c r="E152" s="3" t="s">
        <v>1308</v>
      </c>
      <c r="F152" s="3">
        <v>1</v>
      </c>
      <c r="G152" s="3" t="s">
        <v>1309</v>
      </c>
      <c r="H152" s="3">
        <v>91</v>
      </c>
      <c r="I152" s="3" t="s">
        <v>1308</v>
      </c>
      <c r="J152" s="3" t="s">
        <v>1735</v>
      </c>
      <c r="K152" s="3">
        <v>21000</v>
      </c>
      <c r="L152" s="3" t="s">
        <v>1736</v>
      </c>
      <c r="M152" s="3">
        <v>3</v>
      </c>
      <c r="N152" s="3" t="s">
        <v>1737</v>
      </c>
      <c r="O152" s="3">
        <v>11944588185</v>
      </c>
      <c r="P152" s="3">
        <v>1508661</v>
      </c>
      <c r="Q152" s="3">
        <v>111</v>
      </c>
      <c r="R152" s="3" t="s">
        <v>83</v>
      </c>
    </row>
    <row r="153" spans="1:18" ht="21" customHeight="1">
      <c r="A153" s="3" t="s">
        <v>78</v>
      </c>
      <c r="B153" s="3" t="s">
        <v>45</v>
      </c>
      <c r="C153" s="4">
        <v>44464</v>
      </c>
      <c r="D153" s="3">
        <v>1</v>
      </c>
      <c r="E153" s="3" t="s">
        <v>1308</v>
      </c>
      <c r="F153" s="3">
        <v>1</v>
      </c>
      <c r="G153" s="3" t="s">
        <v>1309</v>
      </c>
      <c r="H153" s="3">
        <v>210</v>
      </c>
      <c r="I153" s="3" t="s">
        <v>1308</v>
      </c>
      <c r="J153" s="3" t="s">
        <v>1381</v>
      </c>
      <c r="K153" s="3">
        <v>144000</v>
      </c>
      <c r="L153" s="3" t="s">
        <v>1738</v>
      </c>
      <c r="M153" s="3">
        <v>16</v>
      </c>
      <c r="N153" s="3" t="s">
        <v>1629</v>
      </c>
      <c r="O153" s="3">
        <v>11944732185</v>
      </c>
      <c r="P153" s="3">
        <v>1508677</v>
      </c>
      <c r="Q153" s="3">
        <v>66</v>
      </c>
      <c r="R153" s="3" t="s">
        <v>83</v>
      </c>
    </row>
    <row r="154" spans="1:18" ht="21" customHeight="1">
      <c r="A154" s="3" t="s">
        <v>78</v>
      </c>
      <c r="B154" s="3" t="s">
        <v>45</v>
      </c>
      <c r="C154" s="4">
        <v>44482</v>
      </c>
      <c r="D154" s="3">
        <v>1</v>
      </c>
      <c r="E154" s="3" t="s">
        <v>1308</v>
      </c>
      <c r="F154" s="3">
        <v>1</v>
      </c>
      <c r="G154" s="3" t="s">
        <v>1309</v>
      </c>
      <c r="H154" s="3">
        <v>203</v>
      </c>
      <c r="I154" s="3" t="s">
        <v>1308</v>
      </c>
      <c r="J154" s="3" t="s">
        <v>1653</v>
      </c>
      <c r="K154" s="3">
        <v>20000</v>
      </c>
      <c r="L154" s="3" t="s">
        <v>1739</v>
      </c>
      <c r="M154" s="3">
        <v>3</v>
      </c>
      <c r="N154" s="3" t="s">
        <v>1575</v>
      </c>
      <c r="O154" s="3">
        <v>11944752185</v>
      </c>
      <c r="P154" s="3">
        <v>1508680</v>
      </c>
      <c r="Q154" s="3">
        <v>80</v>
      </c>
      <c r="R154" s="3" t="s">
        <v>83</v>
      </c>
    </row>
    <row r="155" spans="1:18" ht="21" customHeight="1">
      <c r="A155" s="3" t="s">
        <v>78</v>
      </c>
      <c r="B155" s="3" t="s">
        <v>45</v>
      </c>
      <c r="C155" s="4">
        <v>44483</v>
      </c>
      <c r="D155" s="3">
        <v>19</v>
      </c>
      <c r="E155" s="3" t="s">
        <v>1482</v>
      </c>
      <c r="F155" s="3">
        <v>19</v>
      </c>
      <c r="G155" s="3" t="s">
        <v>1297</v>
      </c>
      <c r="H155" s="3">
        <v>2476</v>
      </c>
      <c r="I155" s="3" t="s">
        <v>1297</v>
      </c>
      <c r="J155" s="3" t="s">
        <v>1661</v>
      </c>
      <c r="K155" s="3">
        <v>190600</v>
      </c>
      <c r="L155" s="3" t="s">
        <v>1740</v>
      </c>
      <c r="M155" s="3">
        <v>31</v>
      </c>
      <c r="N155" s="3" t="s">
        <v>1741</v>
      </c>
      <c r="O155" s="3">
        <v>11944942785</v>
      </c>
      <c r="P155" s="3">
        <v>1508711</v>
      </c>
      <c r="Q155" s="3">
        <v>52</v>
      </c>
      <c r="R155" s="3" t="s">
        <v>83</v>
      </c>
    </row>
    <row r="156" spans="1:18" ht="21" customHeight="1">
      <c r="A156" s="3" t="s">
        <v>78</v>
      </c>
      <c r="B156" s="3" t="s">
        <v>45</v>
      </c>
      <c r="C156" s="4">
        <v>44484</v>
      </c>
      <c r="D156" s="3">
        <v>14</v>
      </c>
      <c r="E156" s="3" t="s">
        <v>1302</v>
      </c>
      <c r="F156" s="3">
        <v>17</v>
      </c>
      <c r="G156" s="3" t="s">
        <v>1297</v>
      </c>
      <c r="H156" s="3">
        <v>2154</v>
      </c>
      <c r="I156" s="3" t="s">
        <v>1297</v>
      </c>
      <c r="J156" s="3" t="s">
        <v>1647</v>
      </c>
      <c r="K156" s="3">
        <v>157470</v>
      </c>
      <c r="L156" s="3" t="s">
        <v>1742</v>
      </c>
      <c r="M156" s="3">
        <v>26</v>
      </c>
      <c r="N156" s="3" t="s">
        <v>1743</v>
      </c>
      <c r="O156" s="3">
        <v>11945100255</v>
      </c>
      <c r="P156" s="3">
        <v>1508737</v>
      </c>
      <c r="Q156" s="3">
        <v>55</v>
      </c>
      <c r="R156" s="3" t="s">
        <v>83</v>
      </c>
    </row>
    <row r="157" spans="1:18" ht="21" customHeight="1">
      <c r="A157" s="3" t="s">
        <v>78</v>
      </c>
      <c r="B157" s="3" t="s">
        <v>45</v>
      </c>
      <c r="C157" s="4">
        <v>44485</v>
      </c>
      <c r="D157" s="3">
        <v>20</v>
      </c>
      <c r="E157" s="3" t="s">
        <v>1302</v>
      </c>
      <c r="F157" s="3">
        <v>20</v>
      </c>
      <c r="G157" s="3" t="s">
        <v>1297</v>
      </c>
      <c r="H157" s="3">
        <v>2706</v>
      </c>
      <c r="I157" s="3" t="s">
        <v>1297</v>
      </c>
      <c r="J157" s="3" t="s">
        <v>1653</v>
      </c>
      <c r="K157" s="3">
        <v>279000</v>
      </c>
      <c r="L157" s="3" t="s">
        <v>1744</v>
      </c>
      <c r="M157" s="3">
        <v>41</v>
      </c>
      <c r="N157" s="3" t="s">
        <v>1745</v>
      </c>
      <c r="O157" s="3">
        <v>11945379255</v>
      </c>
      <c r="P157" s="3">
        <v>1508778</v>
      </c>
      <c r="Q157" s="3">
        <v>50</v>
      </c>
      <c r="R157" s="3" t="s">
        <v>83</v>
      </c>
    </row>
    <row r="158" spans="1:18" ht="21" customHeight="1">
      <c r="A158" s="3" t="s">
        <v>78</v>
      </c>
      <c r="B158" s="3" t="s">
        <v>45</v>
      </c>
      <c r="C158" s="4">
        <v>44486</v>
      </c>
      <c r="D158" s="3">
        <v>21</v>
      </c>
      <c r="E158" s="3" t="s">
        <v>1482</v>
      </c>
      <c r="F158" s="3">
        <v>22</v>
      </c>
      <c r="G158" s="3" t="s">
        <v>1297</v>
      </c>
      <c r="H158" s="3">
        <v>2657</v>
      </c>
      <c r="I158" s="3" t="s">
        <v>1297</v>
      </c>
      <c r="J158" s="3" t="s">
        <v>1674</v>
      </c>
      <c r="K158" s="3">
        <v>334100</v>
      </c>
      <c r="L158" s="3" t="s">
        <v>1746</v>
      </c>
      <c r="M158" s="3">
        <v>52</v>
      </c>
      <c r="N158" s="3" t="s">
        <v>1747</v>
      </c>
      <c r="O158" s="3">
        <v>11945713355</v>
      </c>
      <c r="P158" s="3">
        <v>1508830</v>
      </c>
      <c r="Q158" s="3">
        <v>46</v>
      </c>
      <c r="R158" s="3" t="s">
        <v>83</v>
      </c>
    </row>
    <row r="159" spans="1:18" ht="21" customHeight="1">
      <c r="A159" s="3" t="s">
        <v>78</v>
      </c>
      <c r="B159" s="3" t="s">
        <v>45</v>
      </c>
      <c r="C159" s="4">
        <v>44487</v>
      </c>
      <c r="D159" s="3">
        <v>13</v>
      </c>
      <c r="E159" s="3" t="s">
        <v>1302</v>
      </c>
      <c r="F159" s="3">
        <v>14</v>
      </c>
      <c r="G159" s="3" t="s">
        <v>1297</v>
      </c>
      <c r="H159" s="3">
        <v>2470</v>
      </c>
      <c r="I159" s="3" t="s">
        <v>1297</v>
      </c>
      <c r="J159" s="3" t="s">
        <v>1650</v>
      </c>
      <c r="K159" s="3">
        <v>225000</v>
      </c>
      <c r="L159" s="3" t="s">
        <v>1748</v>
      </c>
      <c r="M159" s="3">
        <v>34</v>
      </c>
      <c r="N159" s="3" t="s">
        <v>1749</v>
      </c>
      <c r="O159" s="3">
        <v>11945938355</v>
      </c>
      <c r="P159" s="3">
        <v>1508864</v>
      </c>
      <c r="Q159" s="3">
        <v>41</v>
      </c>
      <c r="R159" s="3" t="s">
        <v>83</v>
      </c>
    </row>
    <row r="160" spans="1:18" ht="21" customHeight="1">
      <c r="A160" s="3" t="s">
        <v>78</v>
      </c>
      <c r="B160" s="3" t="s">
        <v>45</v>
      </c>
      <c r="C160" s="4">
        <v>44488</v>
      </c>
      <c r="D160" s="3">
        <v>17</v>
      </c>
      <c r="E160" s="3" t="s">
        <v>1302</v>
      </c>
      <c r="F160" s="3">
        <v>19</v>
      </c>
      <c r="G160" s="3" t="s">
        <v>1297</v>
      </c>
      <c r="H160" s="3">
        <v>2761</v>
      </c>
      <c r="I160" s="3" t="s">
        <v>1297</v>
      </c>
      <c r="J160" s="3" t="s">
        <v>1658</v>
      </c>
      <c r="K160" s="3">
        <v>192500</v>
      </c>
      <c r="L160" s="3" t="s">
        <v>1750</v>
      </c>
      <c r="M160" s="3">
        <v>29</v>
      </c>
      <c r="N160" s="3" t="s">
        <v>1751</v>
      </c>
      <c r="O160" s="3">
        <v>11946130855</v>
      </c>
      <c r="P160" s="3">
        <v>1508893</v>
      </c>
      <c r="Q160" s="3">
        <v>45</v>
      </c>
      <c r="R160" s="3" t="s">
        <v>83</v>
      </c>
    </row>
    <row r="161" spans="1:18" ht="21" customHeight="1">
      <c r="A161" s="3" t="s">
        <v>78</v>
      </c>
      <c r="B161" s="3" t="s">
        <v>45</v>
      </c>
      <c r="C161" s="4">
        <v>44489</v>
      </c>
      <c r="D161" s="3">
        <v>9</v>
      </c>
      <c r="E161" s="3" t="s">
        <v>1296</v>
      </c>
      <c r="F161" s="3">
        <v>10</v>
      </c>
      <c r="G161" s="3" t="s">
        <v>1297</v>
      </c>
      <c r="H161" s="3">
        <v>1466</v>
      </c>
      <c r="I161" s="3" t="s">
        <v>1297</v>
      </c>
      <c r="J161" s="3" t="s">
        <v>1661</v>
      </c>
      <c r="K161" s="3">
        <v>110000</v>
      </c>
      <c r="L161" s="3" t="s">
        <v>1752</v>
      </c>
      <c r="M161" s="3">
        <v>19</v>
      </c>
      <c r="N161" s="3" t="s">
        <v>1753</v>
      </c>
      <c r="O161" s="3">
        <v>11946240855</v>
      </c>
      <c r="P161" s="3">
        <v>1508912</v>
      </c>
      <c r="Q161" s="3">
        <v>66</v>
      </c>
      <c r="R161" s="3" t="s">
        <v>83</v>
      </c>
    </row>
    <row r="162" spans="1:18" ht="21" customHeight="1">
      <c r="A162" s="3" t="s">
        <v>78</v>
      </c>
      <c r="B162" s="3" t="s">
        <v>45</v>
      </c>
      <c r="C162" s="4">
        <v>44490</v>
      </c>
      <c r="D162" s="3">
        <v>8</v>
      </c>
      <c r="E162" s="3" t="s">
        <v>1296</v>
      </c>
      <c r="F162" s="3">
        <v>9</v>
      </c>
      <c r="G162" s="3" t="s">
        <v>1297</v>
      </c>
      <c r="H162" s="3">
        <v>1276</v>
      </c>
      <c r="I162" s="3" t="s">
        <v>1297</v>
      </c>
      <c r="J162" s="3" t="s">
        <v>1647</v>
      </c>
      <c r="K162" s="3">
        <v>116000</v>
      </c>
      <c r="L162" s="3" t="s">
        <v>1754</v>
      </c>
      <c r="M162" s="3">
        <v>15</v>
      </c>
      <c r="N162" s="3" t="s">
        <v>1755</v>
      </c>
      <c r="O162" s="3">
        <v>11946356855</v>
      </c>
      <c r="P162" s="3">
        <v>1508927</v>
      </c>
      <c r="Q162" s="3">
        <v>73</v>
      </c>
      <c r="R162" s="3" t="s">
        <v>83</v>
      </c>
    </row>
    <row r="163" spans="1:18" ht="21" customHeight="1">
      <c r="A163" s="3" t="s">
        <v>78</v>
      </c>
      <c r="B163" s="3" t="s">
        <v>45</v>
      </c>
      <c r="C163" s="4">
        <v>44491</v>
      </c>
      <c r="D163" s="3">
        <v>8</v>
      </c>
      <c r="E163" s="3" t="s">
        <v>1297</v>
      </c>
      <c r="F163" s="3">
        <v>9</v>
      </c>
      <c r="G163" s="3" t="s">
        <v>1297</v>
      </c>
      <c r="H163" s="3">
        <v>1787</v>
      </c>
      <c r="I163" s="3" t="s">
        <v>1297</v>
      </c>
      <c r="J163" s="3" t="s">
        <v>1473</v>
      </c>
      <c r="K163" s="3">
        <v>95000</v>
      </c>
      <c r="L163" s="3" t="s">
        <v>1756</v>
      </c>
      <c r="M163" s="3">
        <v>15</v>
      </c>
      <c r="N163" s="3" t="s">
        <v>1595</v>
      </c>
      <c r="O163" s="3">
        <v>11946451855</v>
      </c>
      <c r="P163" s="3">
        <v>1508942</v>
      </c>
      <c r="Q163" s="3">
        <v>77</v>
      </c>
      <c r="R163" s="3" t="s">
        <v>83</v>
      </c>
    </row>
    <row r="164" spans="1:18" ht="21" customHeight="1">
      <c r="A164" s="3" t="s">
        <v>78</v>
      </c>
      <c r="B164" s="3" t="s">
        <v>45</v>
      </c>
      <c r="C164" s="4">
        <v>44492</v>
      </c>
      <c r="D164" s="3">
        <v>7</v>
      </c>
      <c r="E164" s="3" t="s">
        <v>1297</v>
      </c>
      <c r="F164" s="3">
        <v>7</v>
      </c>
      <c r="G164" s="3" t="s">
        <v>1309</v>
      </c>
      <c r="H164" s="3">
        <v>867</v>
      </c>
      <c r="I164" s="3" t="s">
        <v>1308</v>
      </c>
      <c r="J164" s="3" t="s">
        <v>1653</v>
      </c>
      <c r="K164" s="3">
        <v>89000</v>
      </c>
      <c r="L164" s="3" t="s">
        <v>1757</v>
      </c>
      <c r="M164" s="3">
        <v>13</v>
      </c>
      <c r="N164" s="3" t="s">
        <v>1758</v>
      </c>
      <c r="O164" s="3">
        <v>11946540855</v>
      </c>
      <c r="P164" s="3">
        <v>1508955</v>
      </c>
      <c r="Q164" s="3">
        <v>98</v>
      </c>
      <c r="R164" s="3" t="s">
        <v>83</v>
      </c>
    </row>
    <row r="165" spans="1:18" ht="21" customHeight="1">
      <c r="A165" s="3" t="s">
        <v>78</v>
      </c>
      <c r="B165" s="3" t="s">
        <v>45</v>
      </c>
      <c r="C165" s="4">
        <v>44493</v>
      </c>
      <c r="D165" s="3">
        <v>7</v>
      </c>
      <c r="E165" s="3" t="s">
        <v>1297</v>
      </c>
      <c r="F165" s="3">
        <v>7</v>
      </c>
      <c r="G165" s="3" t="s">
        <v>1309</v>
      </c>
      <c r="H165" s="3">
        <v>728</v>
      </c>
      <c r="I165" s="3" t="s">
        <v>1308</v>
      </c>
      <c r="J165" s="3" t="s">
        <v>1476</v>
      </c>
      <c r="K165" s="3">
        <v>97600</v>
      </c>
      <c r="L165" s="3" t="s">
        <v>1759</v>
      </c>
      <c r="M165" s="3">
        <v>15</v>
      </c>
      <c r="N165" s="3" t="s">
        <v>1671</v>
      </c>
      <c r="O165" s="3">
        <v>11946638455</v>
      </c>
      <c r="P165" s="3">
        <v>1508970</v>
      </c>
      <c r="Q165" s="3">
        <v>83</v>
      </c>
      <c r="R165" s="3" t="s">
        <v>83</v>
      </c>
    </row>
    <row r="166" spans="1:18" ht="21" customHeight="1">
      <c r="A166" s="3" t="s">
        <v>78</v>
      </c>
      <c r="B166" s="3" t="s">
        <v>45</v>
      </c>
      <c r="C166" s="4">
        <v>44494</v>
      </c>
      <c r="D166" s="3">
        <v>16</v>
      </c>
      <c r="E166" s="3" t="s">
        <v>1302</v>
      </c>
      <c r="F166" s="3">
        <v>17</v>
      </c>
      <c r="G166" s="3" t="s">
        <v>1297</v>
      </c>
      <c r="H166" s="3">
        <v>2898</v>
      </c>
      <c r="I166" s="3" t="s">
        <v>1297</v>
      </c>
      <c r="J166" s="3" t="s">
        <v>1760</v>
      </c>
      <c r="K166" s="3">
        <v>171000</v>
      </c>
      <c r="L166" s="3" t="s">
        <v>1761</v>
      </c>
      <c r="M166" s="3">
        <v>28</v>
      </c>
      <c r="N166" s="3" t="s">
        <v>1762</v>
      </c>
      <c r="O166" s="3">
        <v>11946809455</v>
      </c>
      <c r="P166" s="3">
        <v>1508998</v>
      </c>
      <c r="Q166" s="3">
        <v>54</v>
      </c>
      <c r="R166" s="3" t="s">
        <v>83</v>
      </c>
    </row>
    <row r="167" spans="1:18" ht="21" customHeight="1">
      <c r="A167" s="3" t="s">
        <v>78</v>
      </c>
      <c r="B167" s="3" t="s">
        <v>45</v>
      </c>
      <c r="C167" s="4">
        <v>44495</v>
      </c>
      <c r="D167" s="3">
        <v>15</v>
      </c>
      <c r="E167" s="3" t="s">
        <v>1302</v>
      </c>
      <c r="F167" s="3">
        <v>16</v>
      </c>
      <c r="G167" s="3" t="s">
        <v>1297</v>
      </c>
      <c r="H167" s="3">
        <v>2488</v>
      </c>
      <c r="I167" s="3" t="s">
        <v>1297</v>
      </c>
      <c r="J167" s="3" t="s">
        <v>1658</v>
      </c>
      <c r="K167" s="3">
        <v>194300</v>
      </c>
      <c r="L167" s="3" t="s">
        <v>1763</v>
      </c>
      <c r="M167" s="3">
        <v>27</v>
      </c>
      <c r="N167" s="3" t="s">
        <v>1764</v>
      </c>
      <c r="O167" s="3">
        <v>11947003755</v>
      </c>
      <c r="P167" s="3">
        <v>1509025</v>
      </c>
      <c r="Q167" s="3">
        <v>55</v>
      </c>
      <c r="R167" s="3" t="s">
        <v>83</v>
      </c>
    </row>
    <row r="168" spans="1:18" ht="21" customHeight="1">
      <c r="A168" s="3" t="s">
        <v>78</v>
      </c>
      <c r="B168" s="3" t="s">
        <v>45</v>
      </c>
      <c r="C168" s="4">
        <v>44496</v>
      </c>
      <c r="D168" s="3">
        <v>6</v>
      </c>
      <c r="E168" s="3" t="s">
        <v>1297</v>
      </c>
      <c r="F168" s="3">
        <v>7</v>
      </c>
      <c r="G168" s="3" t="s">
        <v>1309</v>
      </c>
      <c r="H168" s="3">
        <v>1249</v>
      </c>
      <c r="I168" s="3" t="s">
        <v>1297</v>
      </c>
      <c r="J168" s="3" t="s">
        <v>1458</v>
      </c>
      <c r="K168" s="3">
        <v>82000</v>
      </c>
      <c r="L168" s="3" t="s">
        <v>1765</v>
      </c>
      <c r="M168" s="3">
        <v>11</v>
      </c>
      <c r="N168" s="3" t="s">
        <v>1766</v>
      </c>
      <c r="O168" s="3">
        <v>11947085755</v>
      </c>
      <c r="P168" s="3">
        <v>1509036</v>
      </c>
      <c r="Q168" s="3">
        <v>75</v>
      </c>
      <c r="R168" s="3" t="s">
        <v>83</v>
      </c>
    </row>
    <row r="169" spans="1:18" ht="21" customHeight="1">
      <c r="A169" s="3" t="s">
        <v>78</v>
      </c>
      <c r="B169" s="3" t="s">
        <v>45</v>
      </c>
      <c r="C169" s="4">
        <v>44497</v>
      </c>
      <c r="D169" s="3">
        <v>4</v>
      </c>
      <c r="E169" s="3" t="s">
        <v>1297</v>
      </c>
      <c r="F169" s="3">
        <v>5</v>
      </c>
      <c r="G169" s="3" t="s">
        <v>1309</v>
      </c>
      <c r="H169" s="3">
        <v>1157</v>
      </c>
      <c r="I169" s="3" t="s">
        <v>1297</v>
      </c>
      <c r="J169" s="3" t="s">
        <v>1647</v>
      </c>
      <c r="K169" s="3">
        <v>96000</v>
      </c>
      <c r="L169" s="3" t="s">
        <v>1767</v>
      </c>
      <c r="M169" s="3">
        <v>14</v>
      </c>
      <c r="N169" s="3" t="s">
        <v>1768</v>
      </c>
      <c r="O169" s="3">
        <v>11947181755</v>
      </c>
      <c r="P169" s="3">
        <v>1509050</v>
      </c>
      <c r="Q169" s="3">
        <v>80</v>
      </c>
      <c r="R169" s="3" t="s">
        <v>83</v>
      </c>
    </row>
    <row r="170" spans="1:18" ht="21" customHeight="1">
      <c r="A170" s="3" t="s">
        <v>78</v>
      </c>
      <c r="B170" s="3" t="s">
        <v>45</v>
      </c>
      <c r="C170" s="4">
        <v>44498</v>
      </c>
      <c r="D170" s="3">
        <v>7</v>
      </c>
      <c r="E170" s="3" t="s">
        <v>1297</v>
      </c>
      <c r="F170" s="3">
        <v>9</v>
      </c>
      <c r="G170" s="3" t="s">
        <v>1297</v>
      </c>
      <c r="H170" s="3">
        <v>1617</v>
      </c>
      <c r="I170" s="3" t="s">
        <v>1297</v>
      </c>
      <c r="J170" s="3" t="s">
        <v>1650</v>
      </c>
      <c r="K170" s="3">
        <v>164300</v>
      </c>
      <c r="L170" s="3" t="s">
        <v>1769</v>
      </c>
      <c r="M170" s="3">
        <v>23</v>
      </c>
      <c r="N170" s="3" t="s">
        <v>1770</v>
      </c>
      <c r="O170" s="3">
        <v>11947346055</v>
      </c>
      <c r="P170" s="3">
        <v>1509073</v>
      </c>
      <c r="Q170" s="3">
        <v>67</v>
      </c>
      <c r="R170" s="3" t="s">
        <v>83</v>
      </c>
    </row>
    <row r="171" spans="1:18" ht="21" customHeight="1">
      <c r="A171" s="3" t="s">
        <v>78</v>
      </c>
      <c r="B171" s="3" t="s">
        <v>45</v>
      </c>
      <c r="C171" s="4">
        <v>44499</v>
      </c>
      <c r="D171" s="3">
        <v>2</v>
      </c>
      <c r="E171" s="3" t="s">
        <v>1308</v>
      </c>
      <c r="F171" s="3">
        <v>3</v>
      </c>
      <c r="G171" s="3" t="s">
        <v>1309</v>
      </c>
      <c r="H171" s="3">
        <v>340</v>
      </c>
      <c r="I171" s="3" t="s">
        <v>1308</v>
      </c>
      <c r="J171" s="3" t="s">
        <v>1452</v>
      </c>
      <c r="K171" s="3">
        <v>54000</v>
      </c>
      <c r="L171" s="3" t="s">
        <v>1771</v>
      </c>
      <c r="M171" s="3">
        <v>8</v>
      </c>
      <c r="N171" s="3" t="s">
        <v>1772</v>
      </c>
      <c r="O171" s="3">
        <v>11947400055</v>
      </c>
      <c r="P171" s="3">
        <v>1509081</v>
      </c>
      <c r="Q171" s="3">
        <v>107</v>
      </c>
      <c r="R171" s="3" t="s">
        <v>83</v>
      </c>
    </row>
    <row r="172" spans="1:18" ht="21" customHeight="1">
      <c r="A172" s="3" t="s">
        <v>78</v>
      </c>
      <c r="B172" s="3" t="s">
        <v>45</v>
      </c>
      <c r="C172" s="4">
        <v>44500</v>
      </c>
      <c r="D172" s="3">
        <v>2</v>
      </c>
      <c r="E172" s="3" t="s">
        <v>1308</v>
      </c>
      <c r="F172" s="3">
        <v>2</v>
      </c>
      <c r="G172" s="3" t="s">
        <v>1309</v>
      </c>
      <c r="H172" s="3">
        <v>299</v>
      </c>
      <c r="I172" s="3" t="s">
        <v>1308</v>
      </c>
      <c r="J172" s="3" t="s">
        <v>1760</v>
      </c>
      <c r="K172" s="3">
        <v>17000</v>
      </c>
      <c r="L172" s="3" t="s">
        <v>1773</v>
      </c>
      <c r="M172" s="3">
        <v>3</v>
      </c>
      <c r="N172" s="3" t="s">
        <v>1774</v>
      </c>
      <c r="O172" s="3">
        <v>11947417055</v>
      </c>
      <c r="P172" s="3">
        <v>1509084</v>
      </c>
      <c r="Q172" s="3">
        <v>101</v>
      </c>
      <c r="R172" s="3" t="s">
        <v>83</v>
      </c>
    </row>
    <row r="173" spans="1:18" ht="21" customHeight="1">
      <c r="A173" s="3" t="s">
        <v>78</v>
      </c>
      <c r="B173" s="3" t="s">
        <v>45</v>
      </c>
      <c r="C173" s="4">
        <v>44501</v>
      </c>
      <c r="D173" s="3">
        <v>5</v>
      </c>
      <c r="E173" s="3" t="s">
        <v>1297</v>
      </c>
      <c r="F173" s="3">
        <v>6</v>
      </c>
      <c r="G173" s="3" t="s">
        <v>1309</v>
      </c>
      <c r="H173" s="3">
        <v>1246</v>
      </c>
      <c r="I173" s="3" t="s">
        <v>1297</v>
      </c>
      <c r="J173" s="3" t="s">
        <v>1760</v>
      </c>
      <c r="K173" s="3">
        <v>107000</v>
      </c>
      <c r="L173" s="3" t="s">
        <v>1775</v>
      </c>
      <c r="M173" s="3">
        <v>13</v>
      </c>
      <c r="N173" s="3" t="s">
        <v>1776</v>
      </c>
      <c r="O173" s="3">
        <v>11947524055</v>
      </c>
      <c r="P173" s="3">
        <v>1509097</v>
      </c>
      <c r="Q173" s="3">
        <v>61</v>
      </c>
      <c r="R173" s="3" t="s">
        <v>83</v>
      </c>
    </row>
    <row r="174" spans="1:18" ht="21" customHeight="1">
      <c r="A174" s="3" t="s">
        <v>78</v>
      </c>
      <c r="B174" s="3" t="s">
        <v>45</v>
      </c>
      <c r="C174" s="4">
        <v>44502</v>
      </c>
      <c r="D174" s="3">
        <v>5</v>
      </c>
      <c r="E174" s="3" t="s">
        <v>1297</v>
      </c>
      <c r="F174" s="3">
        <v>6</v>
      </c>
      <c r="G174" s="3" t="s">
        <v>1309</v>
      </c>
      <c r="H174" s="3">
        <v>1323</v>
      </c>
      <c r="I174" s="3" t="s">
        <v>1297</v>
      </c>
      <c r="J174" s="3" t="s">
        <v>1760</v>
      </c>
      <c r="K174" s="3">
        <v>105000</v>
      </c>
      <c r="L174" s="3" t="s">
        <v>1777</v>
      </c>
      <c r="M174" s="3">
        <v>13</v>
      </c>
      <c r="N174" s="3" t="s">
        <v>1595</v>
      </c>
      <c r="O174" s="3">
        <v>11947629055</v>
      </c>
      <c r="P174" s="3">
        <v>1509110</v>
      </c>
      <c r="Q174" s="3">
        <v>65</v>
      </c>
      <c r="R174" s="3" t="s">
        <v>83</v>
      </c>
    </row>
    <row r="175" spans="1:18" ht="21" customHeight="1">
      <c r="A175" s="3" t="s">
        <v>78</v>
      </c>
      <c r="B175" s="3" t="s">
        <v>45</v>
      </c>
      <c r="C175" s="4">
        <v>44504</v>
      </c>
      <c r="D175" s="3">
        <v>1</v>
      </c>
      <c r="E175" s="3" t="s">
        <v>1308</v>
      </c>
      <c r="F175" s="3">
        <v>1</v>
      </c>
      <c r="G175" s="3" t="s">
        <v>1309</v>
      </c>
      <c r="H175" s="3">
        <v>8</v>
      </c>
      <c r="I175" s="3" t="s">
        <v>1308</v>
      </c>
      <c r="J175" s="3" t="s">
        <v>1298</v>
      </c>
      <c r="K175" s="3">
        <v>72000</v>
      </c>
      <c r="L175" s="3" t="s">
        <v>1778</v>
      </c>
      <c r="M175" s="3">
        <v>8</v>
      </c>
      <c r="N175" s="3" t="s">
        <v>1779</v>
      </c>
      <c r="O175" s="3">
        <v>11947701055</v>
      </c>
      <c r="P175" s="3">
        <v>1509118</v>
      </c>
      <c r="Q175" s="3">
        <v>79</v>
      </c>
      <c r="R175" s="3" t="s">
        <v>83</v>
      </c>
    </row>
    <row r="176" spans="1:18" ht="21" customHeight="1">
      <c r="A176" s="3" t="s">
        <v>78</v>
      </c>
      <c r="B176" s="3" t="s">
        <v>45</v>
      </c>
      <c r="C176" s="4">
        <v>44508</v>
      </c>
      <c r="D176" s="3">
        <v>1</v>
      </c>
      <c r="E176" s="3" t="s">
        <v>1308</v>
      </c>
      <c r="F176" s="3">
        <v>1</v>
      </c>
      <c r="G176" s="3" t="s">
        <v>1309</v>
      </c>
      <c r="H176" s="3">
        <v>279</v>
      </c>
      <c r="I176" s="3" t="s">
        <v>1308</v>
      </c>
      <c r="J176" s="3" t="s">
        <v>1454</v>
      </c>
      <c r="K176" s="3">
        <v>14000</v>
      </c>
      <c r="L176" s="3" t="s">
        <v>1780</v>
      </c>
      <c r="M176" s="3">
        <v>2</v>
      </c>
      <c r="N176" s="3" t="s">
        <v>1781</v>
      </c>
      <c r="O176" s="3">
        <v>11947715055</v>
      </c>
      <c r="P176" s="3">
        <v>1509120</v>
      </c>
      <c r="Q176" s="3">
        <v>92</v>
      </c>
      <c r="R176" s="3" t="s">
        <v>83</v>
      </c>
    </row>
    <row r="177" spans="1:18" ht="21" customHeight="1">
      <c r="A177" s="3" t="s">
        <v>78</v>
      </c>
      <c r="B177" s="3" t="s">
        <v>45</v>
      </c>
      <c r="C177" s="4">
        <v>44509</v>
      </c>
      <c r="D177" s="3">
        <v>3</v>
      </c>
      <c r="E177" s="3" t="s">
        <v>1297</v>
      </c>
      <c r="F177" s="3">
        <v>4</v>
      </c>
      <c r="G177" s="3" t="s">
        <v>1309</v>
      </c>
      <c r="H177" s="3">
        <v>603</v>
      </c>
      <c r="I177" s="3" t="s">
        <v>1308</v>
      </c>
      <c r="J177" s="3" t="s">
        <v>1461</v>
      </c>
      <c r="K177" s="3">
        <v>114000</v>
      </c>
      <c r="L177" s="3" t="s">
        <v>1782</v>
      </c>
      <c r="M177" s="3">
        <v>14</v>
      </c>
      <c r="N177" s="3" t="s">
        <v>1783</v>
      </c>
      <c r="O177" s="3">
        <v>11947829055</v>
      </c>
      <c r="P177" s="3">
        <v>1509134</v>
      </c>
      <c r="Q177" s="3">
        <v>84</v>
      </c>
      <c r="R177" s="3" t="s">
        <v>83</v>
      </c>
    </row>
    <row r="178" spans="1:18" ht="21" customHeight="1">
      <c r="A178" s="3" t="s">
        <v>78</v>
      </c>
      <c r="B178" s="3" t="s">
        <v>45</v>
      </c>
      <c r="C178" s="4">
        <v>44516</v>
      </c>
      <c r="D178" s="3">
        <v>1</v>
      </c>
      <c r="E178" s="3" t="s">
        <v>1308</v>
      </c>
      <c r="F178" s="3">
        <v>1</v>
      </c>
      <c r="G178" s="3" t="s">
        <v>1309</v>
      </c>
      <c r="H178" s="3">
        <v>279</v>
      </c>
      <c r="I178" s="3" t="s">
        <v>1308</v>
      </c>
      <c r="J178" s="3" t="s">
        <v>1650</v>
      </c>
      <c r="K178" s="3">
        <v>24000</v>
      </c>
      <c r="L178" s="3" t="s">
        <v>1784</v>
      </c>
      <c r="M178" s="3">
        <v>4</v>
      </c>
      <c r="N178" s="3" t="s">
        <v>1785</v>
      </c>
      <c r="O178" s="3">
        <v>11947853055</v>
      </c>
      <c r="P178" s="3">
        <v>1509138</v>
      </c>
      <c r="Q178" s="3">
        <v>106</v>
      </c>
      <c r="R178" s="3" t="s">
        <v>83</v>
      </c>
    </row>
    <row r="179" spans="1:18" ht="21" customHeight="1">
      <c r="A179" s="3" t="s">
        <v>78</v>
      </c>
      <c r="B179" s="3" t="s">
        <v>45</v>
      </c>
      <c r="C179" s="4">
        <v>44523</v>
      </c>
      <c r="D179" s="3">
        <v>1</v>
      </c>
      <c r="E179" s="3" t="s">
        <v>1308</v>
      </c>
      <c r="F179" s="3">
        <v>1</v>
      </c>
      <c r="G179" s="3" t="s">
        <v>1309</v>
      </c>
      <c r="H179" s="3">
        <v>8</v>
      </c>
      <c r="I179" s="3" t="s">
        <v>1308</v>
      </c>
      <c r="J179" s="3" t="s">
        <v>1298</v>
      </c>
      <c r="K179" s="3">
        <v>72000</v>
      </c>
      <c r="L179" s="3" t="s">
        <v>1778</v>
      </c>
      <c r="M179" s="3">
        <v>8</v>
      </c>
      <c r="N179" s="3" t="s">
        <v>1779</v>
      </c>
      <c r="O179" s="3">
        <v>11947925055</v>
      </c>
      <c r="P179" s="3">
        <v>1509146</v>
      </c>
      <c r="Q179" s="3">
        <v>100</v>
      </c>
      <c r="R179" s="3" t="s">
        <v>83</v>
      </c>
    </row>
    <row r="180" spans="1:18" ht="21" customHeight="1">
      <c r="A180" s="3" t="s">
        <v>78</v>
      </c>
      <c r="B180" s="3" t="s">
        <v>45</v>
      </c>
      <c r="C180" s="4">
        <v>44770</v>
      </c>
      <c r="D180" s="3">
        <v>1</v>
      </c>
      <c r="E180" s="3" t="s">
        <v>1308</v>
      </c>
      <c r="F180" s="3">
        <v>1</v>
      </c>
      <c r="G180" s="3" t="s">
        <v>1309</v>
      </c>
      <c r="H180" s="3">
        <v>184</v>
      </c>
      <c r="I180" s="3" t="s">
        <v>1308</v>
      </c>
      <c r="J180" s="3" t="s">
        <v>1786</v>
      </c>
      <c r="K180" s="3">
        <v>400000</v>
      </c>
      <c r="L180" s="3" t="s">
        <v>1787</v>
      </c>
      <c r="M180" s="3">
        <v>50</v>
      </c>
      <c r="N180" s="3" t="s">
        <v>1788</v>
      </c>
      <c r="O180" s="3">
        <v>11948325055</v>
      </c>
      <c r="P180" s="3">
        <v>1509196</v>
      </c>
      <c r="Q180" s="3">
        <v>40</v>
      </c>
      <c r="R180" s="3" t="s">
        <v>83</v>
      </c>
    </row>
    <row r="181" spans="1:18" ht="21" customHeight="1">
      <c r="A181" s="3" t="s">
        <v>78</v>
      </c>
      <c r="B181" s="3" t="s">
        <v>45</v>
      </c>
      <c r="C181" s="4">
        <v>44779</v>
      </c>
      <c r="D181" s="3">
        <v>1</v>
      </c>
      <c r="E181" s="3" t="s">
        <v>1308</v>
      </c>
      <c r="F181" s="3">
        <v>1</v>
      </c>
      <c r="G181" s="3" t="s">
        <v>1309</v>
      </c>
      <c r="H181" s="3">
        <v>53</v>
      </c>
      <c r="I181" s="3" t="s">
        <v>1308</v>
      </c>
      <c r="J181" s="3" t="s">
        <v>1618</v>
      </c>
      <c r="K181" s="3">
        <v>250000</v>
      </c>
      <c r="L181" s="3" t="s">
        <v>1789</v>
      </c>
      <c r="M181" s="3">
        <v>50</v>
      </c>
      <c r="N181" s="3" t="s">
        <v>1788</v>
      </c>
      <c r="O181" s="3">
        <v>11948575055</v>
      </c>
      <c r="P181" s="3">
        <v>1509246</v>
      </c>
      <c r="Q181" s="3">
        <v>44</v>
      </c>
      <c r="R181" s="3" t="s">
        <v>83</v>
      </c>
    </row>
    <row r="182" spans="1:18" ht="21" customHeight="1">
      <c r="A182" s="3" t="s">
        <v>78</v>
      </c>
      <c r="B182" s="3" t="s">
        <v>45</v>
      </c>
      <c r="C182" s="4">
        <v>44884</v>
      </c>
      <c r="D182" s="3">
        <v>1</v>
      </c>
      <c r="E182" s="3" t="s">
        <v>1308</v>
      </c>
      <c r="F182" s="3">
        <v>1</v>
      </c>
      <c r="G182" s="3" t="s">
        <v>1309</v>
      </c>
      <c r="H182" s="3">
        <v>413</v>
      </c>
      <c r="I182" s="3" t="s">
        <v>1308</v>
      </c>
      <c r="J182" s="3" t="s">
        <v>1790</v>
      </c>
      <c r="K182" s="3">
        <v>550000</v>
      </c>
      <c r="L182" s="3" t="s">
        <v>1791</v>
      </c>
      <c r="M182" s="3">
        <v>110</v>
      </c>
      <c r="N182" s="3" t="s">
        <v>1792</v>
      </c>
      <c r="O182" s="3">
        <v>11949125055</v>
      </c>
      <c r="P182" s="3">
        <v>1509356</v>
      </c>
      <c r="Q182" s="3">
        <v>35</v>
      </c>
      <c r="R182" s="3" t="s">
        <v>83</v>
      </c>
    </row>
    <row r="183" spans="1:18" ht="21" customHeight="1">
      <c r="A183" s="3" t="s">
        <v>78</v>
      </c>
      <c r="B183" s="3" t="s">
        <v>45</v>
      </c>
      <c r="C183" s="4">
        <v>45302</v>
      </c>
      <c r="D183" s="3">
        <v>1</v>
      </c>
      <c r="E183" s="3" t="s">
        <v>1308</v>
      </c>
      <c r="F183" s="3">
        <v>1</v>
      </c>
      <c r="G183" s="3" t="s">
        <v>1309</v>
      </c>
      <c r="H183" s="3">
        <v>40</v>
      </c>
      <c r="I183" s="3" t="s">
        <v>1308</v>
      </c>
      <c r="J183" s="3" t="s">
        <v>1793</v>
      </c>
      <c r="K183" s="3">
        <v>49000</v>
      </c>
      <c r="L183" s="3" t="s">
        <v>1794</v>
      </c>
      <c r="M183" s="3">
        <v>7</v>
      </c>
      <c r="N183" s="3" t="s">
        <v>1795</v>
      </c>
      <c r="O183" s="3">
        <v>11949174055</v>
      </c>
      <c r="P183" s="3">
        <v>1509363</v>
      </c>
      <c r="Q183" s="3">
        <v>74</v>
      </c>
      <c r="R183" s="3" t="s">
        <v>83</v>
      </c>
    </row>
    <row r="184" spans="1:18" ht="21" customHeight="1">
      <c r="A184" s="3" t="s">
        <v>78</v>
      </c>
      <c r="B184" s="3" t="s">
        <v>45</v>
      </c>
      <c r="C184" s="4">
        <v>45304</v>
      </c>
      <c r="D184" s="3">
        <v>1</v>
      </c>
      <c r="E184" s="3" t="s">
        <v>1308</v>
      </c>
      <c r="F184" s="3">
        <v>1</v>
      </c>
      <c r="G184" s="3" t="s">
        <v>1309</v>
      </c>
      <c r="H184" s="3">
        <v>40</v>
      </c>
      <c r="I184" s="3" t="s">
        <v>1308</v>
      </c>
      <c r="J184" s="3" t="s">
        <v>1796</v>
      </c>
      <c r="K184" s="3">
        <v>169000</v>
      </c>
      <c r="L184" s="3" t="s">
        <v>1797</v>
      </c>
      <c r="M184" s="3">
        <v>16</v>
      </c>
      <c r="N184" s="3" t="s">
        <v>1629</v>
      </c>
      <c r="O184" s="3">
        <v>11949343055</v>
      </c>
      <c r="P184" s="3">
        <v>1509379</v>
      </c>
      <c r="Q184" s="3">
        <v>71</v>
      </c>
      <c r="R184" s="3" t="s">
        <v>83</v>
      </c>
    </row>
    <row r="185" spans="1:18" ht="21" customHeight="1">
      <c r="A185" s="3" t="s">
        <v>78</v>
      </c>
      <c r="B185" s="3" t="s">
        <v>45</v>
      </c>
      <c r="C185" s="4">
        <v>45306</v>
      </c>
      <c r="D185" s="3">
        <v>1</v>
      </c>
      <c r="E185" s="3" t="s">
        <v>1308</v>
      </c>
      <c r="F185" s="3">
        <v>1</v>
      </c>
      <c r="G185" s="3" t="s">
        <v>1309</v>
      </c>
      <c r="H185" s="3">
        <v>40</v>
      </c>
      <c r="I185" s="3" t="s">
        <v>1308</v>
      </c>
      <c r="J185" s="3" t="s">
        <v>1798</v>
      </c>
      <c r="K185" s="3">
        <v>93000</v>
      </c>
      <c r="L185" s="3" t="s">
        <v>1799</v>
      </c>
      <c r="M185" s="3">
        <v>10</v>
      </c>
      <c r="N185" s="3" t="s">
        <v>1617</v>
      </c>
      <c r="O185" s="3">
        <v>11949436055</v>
      </c>
      <c r="P185" s="3">
        <v>1509389</v>
      </c>
      <c r="Q185" s="3">
        <v>66</v>
      </c>
      <c r="R185" s="3" t="s">
        <v>83</v>
      </c>
    </row>
    <row r="186" spans="1:18" ht="21" customHeight="1">
      <c r="A186" s="3" t="s">
        <v>78</v>
      </c>
      <c r="B186" s="3" t="s">
        <v>45</v>
      </c>
      <c r="C186" s="4">
        <v>45310</v>
      </c>
      <c r="D186" s="3">
        <v>1</v>
      </c>
      <c r="E186" s="3" t="s">
        <v>1308</v>
      </c>
      <c r="F186" s="3">
        <v>1</v>
      </c>
      <c r="G186" s="3" t="s">
        <v>1309</v>
      </c>
      <c r="H186" s="3">
        <v>40</v>
      </c>
      <c r="I186" s="3" t="s">
        <v>1308</v>
      </c>
      <c r="J186" s="3" t="s">
        <v>1800</v>
      </c>
      <c r="K186" s="3">
        <v>9000</v>
      </c>
      <c r="L186" s="3" t="s">
        <v>1801</v>
      </c>
      <c r="M186" s="3">
        <v>1</v>
      </c>
      <c r="N186" s="3" t="s">
        <v>1566</v>
      </c>
      <c r="O186" s="3">
        <v>11949445055</v>
      </c>
      <c r="P186" s="3">
        <v>1509390</v>
      </c>
      <c r="Q186" s="3">
        <v>99</v>
      </c>
      <c r="R186" s="3" t="s">
        <v>83</v>
      </c>
    </row>
    <row r="187" spans="1:18" ht="21" customHeight="1">
      <c r="A187" s="3" t="s">
        <v>78</v>
      </c>
      <c r="B187" s="3" t="s">
        <v>45</v>
      </c>
      <c r="C187" s="4">
        <v>45313</v>
      </c>
      <c r="D187" s="3">
        <v>1</v>
      </c>
      <c r="E187" s="3" t="s">
        <v>1308</v>
      </c>
      <c r="F187" s="3">
        <v>1</v>
      </c>
      <c r="G187" s="3" t="s">
        <v>1309</v>
      </c>
      <c r="H187" s="3">
        <v>40</v>
      </c>
      <c r="I187" s="3" t="s">
        <v>1308</v>
      </c>
      <c r="J187" s="3" t="s">
        <v>1793</v>
      </c>
      <c r="K187" s="3">
        <v>66000</v>
      </c>
      <c r="L187" s="3" t="s">
        <v>1802</v>
      </c>
      <c r="M187" s="3">
        <v>7</v>
      </c>
      <c r="N187" s="3" t="s">
        <v>1795</v>
      </c>
      <c r="O187" s="3">
        <v>11949511055</v>
      </c>
      <c r="P187" s="3">
        <v>1509397</v>
      </c>
      <c r="Q187" s="3">
        <v>83</v>
      </c>
      <c r="R187" s="3" t="s">
        <v>83</v>
      </c>
    </row>
    <row r="188" spans="1:18" ht="21" customHeight="1">
      <c r="A188" s="3" t="s">
        <v>78</v>
      </c>
      <c r="B188" s="3" t="s">
        <v>45</v>
      </c>
      <c r="C188" s="4">
        <v>45320</v>
      </c>
      <c r="D188" s="3">
        <v>1</v>
      </c>
      <c r="E188" s="3" t="s">
        <v>1308</v>
      </c>
      <c r="F188" s="3">
        <v>1</v>
      </c>
      <c r="G188" s="3" t="s">
        <v>1309</v>
      </c>
      <c r="H188" s="3">
        <v>40</v>
      </c>
      <c r="I188" s="3" t="s">
        <v>1308</v>
      </c>
      <c r="J188" s="3" t="s">
        <v>1803</v>
      </c>
      <c r="K188" s="3">
        <v>30000</v>
      </c>
      <c r="L188" s="3" t="s">
        <v>1574</v>
      </c>
      <c r="M188" s="3">
        <v>3</v>
      </c>
      <c r="N188" s="3" t="s">
        <v>1575</v>
      </c>
      <c r="O188" s="3">
        <v>11949541055</v>
      </c>
      <c r="P188" s="3">
        <v>1509400</v>
      </c>
      <c r="Q188" s="3">
        <v>94</v>
      </c>
      <c r="R188" s="3" t="s">
        <v>83</v>
      </c>
    </row>
    <row r="189" spans="1:18" ht="21" customHeight="1">
      <c r="A189" s="3" t="s">
        <v>78</v>
      </c>
      <c r="B189" s="3" t="s">
        <v>45</v>
      </c>
      <c r="C189" s="4">
        <v>45595</v>
      </c>
      <c r="D189" s="3">
        <v>3</v>
      </c>
      <c r="E189" s="3" t="s">
        <v>1308</v>
      </c>
      <c r="F189" s="3">
        <v>3</v>
      </c>
      <c r="G189" s="3" t="s">
        <v>1309</v>
      </c>
      <c r="H189" s="3">
        <v>525</v>
      </c>
      <c r="I189" s="3" t="s">
        <v>1308</v>
      </c>
      <c r="J189" s="3" t="s">
        <v>1804</v>
      </c>
      <c r="K189" s="3">
        <v>2905000</v>
      </c>
      <c r="L189" s="3" t="s">
        <v>1805</v>
      </c>
      <c r="M189" s="3">
        <v>415</v>
      </c>
      <c r="N189" s="3" t="s">
        <v>1806</v>
      </c>
      <c r="O189" s="3">
        <v>11952446055</v>
      </c>
      <c r="P189" s="3">
        <v>1509815</v>
      </c>
      <c r="Q189" s="3">
        <v>28</v>
      </c>
      <c r="R189" s="3" t="s">
        <v>83</v>
      </c>
    </row>
    <row r="190" spans="1:18" ht="21" customHeight="1">
      <c r="A190" s="3" t="s">
        <v>78</v>
      </c>
      <c r="B190" s="3" t="s">
        <v>45</v>
      </c>
      <c r="C190" s="4">
        <v>45627</v>
      </c>
      <c r="D190" s="3">
        <v>1</v>
      </c>
      <c r="E190" s="3" t="s">
        <v>1308</v>
      </c>
      <c r="F190" s="3">
        <v>1</v>
      </c>
      <c r="G190" s="3" t="s">
        <v>1309</v>
      </c>
      <c r="H190" s="3">
        <v>45</v>
      </c>
      <c r="I190" s="3" t="s">
        <v>1308</v>
      </c>
      <c r="J190" s="3" t="s">
        <v>1807</v>
      </c>
      <c r="K190" s="3">
        <v>375000</v>
      </c>
      <c r="L190" s="3" t="s">
        <v>1808</v>
      </c>
      <c r="M190" s="3">
        <v>25</v>
      </c>
      <c r="N190" s="3" t="s">
        <v>1809</v>
      </c>
      <c r="O190" s="3">
        <v>11952821055</v>
      </c>
      <c r="P190" s="3">
        <v>1509840</v>
      </c>
      <c r="Q190" s="3">
        <v>99</v>
      </c>
      <c r="R190" s="3" t="s">
        <v>83</v>
      </c>
    </row>
    <row r="191" spans="1:18" ht="21" customHeight="1">
      <c r="A191" s="3" t="s">
        <v>78</v>
      </c>
      <c r="B191" s="3" t="s">
        <v>45</v>
      </c>
      <c r="C191" s="4">
        <v>45673</v>
      </c>
      <c r="D191" s="3">
        <v>27</v>
      </c>
      <c r="E191" s="3" t="s">
        <v>1482</v>
      </c>
      <c r="F191" s="3">
        <v>48</v>
      </c>
      <c r="G191" s="3" t="s">
        <v>1302</v>
      </c>
      <c r="H191" s="3">
        <v>5849</v>
      </c>
      <c r="I191" s="3" t="s">
        <v>1302</v>
      </c>
      <c r="J191" s="3" t="s">
        <v>1810</v>
      </c>
      <c r="K191" s="3">
        <v>3867700</v>
      </c>
      <c r="L191" s="3" t="s">
        <v>1811</v>
      </c>
      <c r="M191" s="3">
        <v>416</v>
      </c>
      <c r="N191" s="3" t="s">
        <v>1812</v>
      </c>
      <c r="O191" s="3">
        <v>11956688755</v>
      </c>
      <c r="P191" s="3">
        <v>1510256</v>
      </c>
      <c r="Q191" s="3">
        <v>26</v>
      </c>
      <c r="R191" s="3" t="s">
        <v>83</v>
      </c>
    </row>
    <row r="192" spans="1:18" ht="21" customHeight="1">
      <c r="A192" s="3" t="s">
        <v>78</v>
      </c>
      <c r="B192" s="3" t="s">
        <v>45</v>
      </c>
      <c r="C192" s="4">
        <v>45674</v>
      </c>
      <c r="D192" s="3">
        <v>25</v>
      </c>
      <c r="E192" s="3" t="s">
        <v>1302</v>
      </c>
      <c r="F192" s="3">
        <v>45</v>
      </c>
      <c r="G192" s="3" t="s">
        <v>1302</v>
      </c>
      <c r="H192" s="3">
        <v>5574</v>
      </c>
      <c r="I192" s="3" t="s">
        <v>1302</v>
      </c>
      <c r="J192" s="3" t="s">
        <v>1627</v>
      </c>
      <c r="K192" s="3">
        <v>2031200</v>
      </c>
      <c r="L192" s="3" t="s">
        <v>1813</v>
      </c>
      <c r="M192" s="3">
        <v>218</v>
      </c>
      <c r="N192" s="3" t="s">
        <v>1814</v>
      </c>
      <c r="O192" s="3">
        <v>11958719955</v>
      </c>
      <c r="P192" s="3">
        <v>1510474</v>
      </c>
      <c r="Q192" s="3">
        <v>36</v>
      </c>
      <c r="R192" s="3" t="s">
        <v>83</v>
      </c>
    </row>
    <row r="193" spans="1:18" ht="21" customHeight="1">
      <c r="A193" s="3" t="s">
        <v>78</v>
      </c>
      <c r="B193" s="3" t="s">
        <v>45</v>
      </c>
      <c r="C193" s="4">
        <v>45675</v>
      </c>
      <c r="D193" s="3">
        <v>27</v>
      </c>
      <c r="E193" s="3" t="s">
        <v>1302</v>
      </c>
      <c r="F193" s="3">
        <v>41</v>
      </c>
      <c r="G193" s="3" t="s">
        <v>1296</v>
      </c>
      <c r="H193" s="3">
        <v>5124</v>
      </c>
      <c r="I193" s="3" t="s">
        <v>1296</v>
      </c>
      <c r="J193" s="3" t="s">
        <v>1522</v>
      </c>
      <c r="K193" s="3">
        <v>1727000</v>
      </c>
      <c r="L193" s="3" t="s">
        <v>1815</v>
      </c>
      <c r="M193" s="3">
        <v>183</v>
      </c>
      <c r="N193" s="3" t="s">
        <v>1816</v>
      </c>
      <c r="O193" s="3">
        <v>11960446955</v>
      </c>
      <c r="P193" s="3">
        <v>1510657</v>
      </c>
      <c r="Q193" s="3">
        <v>41</v>
      </c>
      <c r="R193" s="3" t="s">
        <v>83</v>
      </c>
    </row>
    <row r="194" spans="1:18" ht="21" customHeight="1">
      <c r="A194" s="3" t="s">
        <v>78</v>
      </c>
      <c r="B194" s="3" t="s">
        <v>45</v>
      </c>
      <c r="C194" s="4">
        <v>45676</v>
      </c>
      <c r="D194" s="3">
        <v>26</v>
      </c>
      <c r="E194" s="3" t="s">
        <v>1302</v>
      </c>
      <c r="F194" s="3">
        <v>36</v>
      </c>
      <c r="G194" s="3" t="s">
        <v>1296</v>
      </c>
      <c r="H194" s="3">
        <v>4560</v>
      </c>
      <c r="I194" s="3" t="s">
        <v>1296</v>
      </c>
      <c r="J194" s="3" t="s">
        <v>1556</v>
      </c>
      <c r="K194" s="3">
        <v>1471000</v>
      </c>
      <c r="L194" s="3" t="s">
        <v>1817</v>
      </c>
      <c r="M194" s="3">
        <v>156</v>
      </c>
      <c r="N194" s="3" t="s">
        <v>1818</v>
      </c>
      <c r="O194" s="3">
        <v>11961917955</v>
      </c>
      <c r="P194" s="3">
        <v>1510813</v>
      </c>
      <c r="Q194" s="3">
        <v>37</v>
      </c>
      <c r="R194" s="3" t="s">
        <v>83</v>
      </c>
    </row>
    <row r="195" spans="1:18" ht="21" customHeight="1">
      <c r="A195" s="3" t="s">
        <v>78</v>
      </c>
      <c r="B195" s="3" t="s">
        <v>45</v>
      </c>
      <c r="C195" s="4">
        <v>45677</v>
      </c>
      <c r="D195" s="3">
        <v>24</v>
      </c>
      <c r="E195" s="3" t="s">
        <v>1482</v>
      </c>
      <c r="F195" s="3">
        <v>39</v>
      </c>
      <c r="G195" s="3" t="s">
        <v>1302</v>
      </c>
      <c r="H195" s="3">
        <v>4884</v>
      </c>
      <c r="I195" s="3" t="s">
        <v>1302</v>
      </c>
      <c r="J195" s="3" t="s">
        <v>1529</v>
      </c>
      <c r="K195" s="3">
        <v>1281400</v>
      </c>
      <c r="L195" s="3" t="s">
        <v>1819</v>
      </c>
      <c r="M195" s="3">
        <v>140</v>
      </c>
      <c r="N195" s="3" t="s">
        <v>1820</v>
      </c>
      <c r="O195" s="3">
        <v>11963199355</v>
      </c>
      <c r="P195" s="3">
        <v>1510953</v>
      </c>
      <c r="Q195" s="3">
        <v>37</v>
      </c>
      <c r="R195" s="3" t="s">
        <v>83</v>
      </c>
    </row>
    <row r="196" spans="1:18" ht="21" customHeight="1">
      <c r="A196" s="3" t="s">
        <v>78</v>
      </c>
      <c r="B196" s="3" t="s">
        <v>45</v>
      </c>
      <c r="C196" s="4">
        <v>45680</v>
      </c>
      <c r="D196" s="3">
        <v>1</v>
      </c>
      <c r="E196" s="3" t="s">
        <v>1308</v>
      </c>
      <c r="F196" s="3">
        <v>1</v>
      </c>
      <c r="G196" s="3" t="s">
        <v>1309</v>
      </c>
      <c r="H196" s="3">
        <v>48</v>
      </c>
      <c r="I196" s="3" t="s">
        <v>1308</v>
      </c>
      <c r="J196" s="3" t="s">
        <v>1821</v>
      </c>
      <c r="K196" s="3">
        <v>515000</v>
      </c>
      <c r="L196" s="3" t="s">
        <v>1822</v>
      </c>
      <c r="M196" s="3">
        <v>47</v>
      </c>
      <c r="N196" s="3" t="s">
        <v>1823</v>
      </c>
      <c r="O196" s="3">
        <v>11963714355</v>
      </c>
      <c r="P196" s="3">
        <v>1511000</v>
      </c>
      <c r="Q196" s="3">
        <v>62</v>
      </c>
      <c r="R196" s="3" t="s">
        <v>83</v>
      </c>
    </row>
    <row r="197" spans="1:18" ht="21" customHeight="1">
      <c r="A197" s="3" t="s">
        <v>78</v>
      </c>
      <c r="B197" s="3" t="s">
        <v>45</v>
      </c>
      <c r="C197" s="4">
        <v>45883</v>
      </c>
      <c r="D197" s="3">
        <v>1</v>
      </c>
      <c r="E197" s="3" t="s">
        <v>1308</v>
      </c>
      <c r="F197" s="3">
        <v>1</v>
      </c>
      <c r="G197" s="3" t="s">
        <v>1309</v>
      </c>
      <c r="H197" s="3">
        <v>165</v>
      </c>
      <c r="I197" s="3" t="s">
        <v>1308</v>
      </c>
      <c r="J197" s="3" t="s">
        <v>1824</v>
      </c>
      <c r="K197" s="3">
        <v>600000</v>
      </c>
      <c r="L197" s="3" t="s">
        <v>1825</v>
      </c>
      <c r="M197" s="3">
        <v>100</v>
      </c>
      <c r="N197" s="3" t="s">
        <v>1620</v>
      </c>
      <c r="O197" s="3">
        <v>11964314355</v>
      </c>
      <c r="P197" s="3">
        <v>1511100</v>
      </c>
      <c r="Q197" s="3">
        <v>66</v>
      </c>
      <c r="R197" s="3" t="s">
        <v>83</v>
      </c>
    </row>
    <row r="198" spans="1:18" ht="21" customHeight="1">
      <c r="A198" s="3" t="s">
        <v>78</v>
      </c>
      <c r="B198" s="3" t="s">
        <v>45</v>
      </c>
      <c r="C198" s="4">
        <v>45889</v>
      </c>
      <c r="D198" s="3">
        <v>1</v>
      </c>
      <c r="E198" s="3" t="s">
        <v>1308</v>
      </c>
      <c r="F198" s="3">
        <v>1</v>
      </c>
      <c r="G198" s="3" t="s">
        <v>1309</v>
      </c>
      <c r="H198" s="3">
        <v>60</v>
      </c>
      <c r="I198" s="3" t="s">
        <v>1308</v>
      </c>
      <c r="J198" s="3" t="s">
        <v>1298</v>
      </c>
      <c r="K198" s="3">
        <v>720000</v>
      </c>
      <c r="L198" s="3" t="s">
        <v>1826</v>
      </c>
      <c r="M198" s="3">
        <v>60</v>
      </c>
      <c r="N198" s="3" t="s">
        <v>1590</v>
      </c>
      <c r="O198" s="3">
        <v>11965034355</v>
      </c>
      <c r="P198" s="3">
        <v>1511160</v>
      </c>
      <c r="Q198" s="3">
        <v>65</v>
      </c>
      <c r="R198" s="3" t="s">
        <v>83</v>
      </c>
    </row>
    <row r="199" spans="1:18" ht="21" customHeight="1">
      <c r="A199" s="3" t="s">
        <v>78</v>
      </c>
      <c r="B199" s="3" t="s">
        <v>45</v>
      </c>
      <c r="C199" s="4">
        <v>45947</v>
      </c>
      <c r="D199" s="3">
        <v>2</v>
      </c>
      <c r="E199" s="3" t="s">
        <v>1308</v>
      </c>
      <c r="F199" s="3">
        <v>2</v>
      </c>
      <c r="G199" s="3" t="s">
        <v>1309</v>
      </c>
      <c r="H199" s="3">
        <v>93</v>
      </c>
      <c r="I199" s="3" t="s">
        <v>1308</v>
      </c>
      <c r="J199" s="3" t="s">
        <v>1827</v>
      </c>
      <c r="K199" s="3">
        <v>609000</v>
      </c>
      <c r="L199" s="3" t="s">
        <v>1828</v>
      </c>
      <c r="M199" s="3">
        <v>87</v>
      </c>
      <c r="N199" s="3" t="s">
        <v>1829</v>
      </c>
      <c r="O199" s="3">
        <v>11965643355</v>
      </c>
      <c r="P199" s="3">
        <v>1511247</v>
      </c>
      <c r="Q199" s="3">
        <v>62</v>
      </c>
      <c r="R199" s="3" t="s">
        <v>83</v>
      </c>
    </row>
    <row r="200" spans="1:18" ht="21" customHeight="1">
      <c r="A200" s="3" t="s">
        <v>78</v>
      </c>
      <c r="B200" s="3" t="s">
        <v>45</v>
      </c>
      <c r="C200" s="4">
        <v>46049</v>
      </c>
      <c r="D200" s="3">
        <v>1</v>
      </c>
      <c r="E200" s="3" t="s">
        <v>1308</v>
      </c>
      <c r="F200" s="3">
        <v>1</v>
      </c>
      <c r="G200" s="3" t="s">
        <v>1309</v>
      </c>
      <c r="H200" s="3">
        <v>92</v>
      </c>
      <c r="I200" s="3" t="s">
        <v>1308</v>
      </c>
      <c r="J200" s="3" t="s">
        <v>1658</v>
      </c>
      <c r="K200" s="3">
        <v>10000</v>
      </c>
      <c r="L200" s="3" t="s">
        <v>1565</v>
      </c>
      <c r="M200" s="3">
        <v>1</v>
      </c>
      <c r="N200" s="3" t="s">
        <v>1566</v>
      </c>
      <c r="O200" s="3">
        <v>11965653355</v>
      </c>
      <c r="P200" s="3">
        <v>1511248</v>
      </c>
      <c r="Q200" s="3">
        <v>122</v>
      </c>
      <c r="R200" s="3" t="s">
        <v>83</v>
      </c>
    </row>
    <row r="201" spans="1:18" ht="21" customHeight="1">
      <c r="A201" s="3" t="s">
        <v>78</v>
      </c>
      <c r="B201" s="3" t="s">
        <v>45</v>
      </c>
      <c r="C201" s="4">
        <v>46051</v>
      </c>
      <c r="D201" s="3">
        <v>1</v>
      </c>
      <c r="E201" s="3" t="s">
        <v>1308</v>
      </c>
      <c r="F201" s="3">
        <v>1</v>
      </c>
      <c r="G201" s="3" t="s">
        <v>1309</v>
      </c>
      <c r="H201" s="3">
        <v>92</v>
      </c>
      <c r="I201" s="3" t="s">
        <v>1308</v>
      </c>
      <c r="J201" s="3" t="s">
        <v>1735</v>
      </c>
      <c r="K201" s="3">
        <v>24000</v>
      </c>
      <c r="L201" s="3" t="s">
        <v>1784</v>
      </c>
      <c r="M201" s="3">
        <v>3</v>
      </c>
      <c r="N201" s="3" t="s">
        <v>1575</v>
      </c>
      <c r="O201" s="3">
        <v>11965677355</v>
      </c>
      <c r="P201" s="3">
        <v>1511251</v>
      </c>
      <c r="Q201" s="3">
        <v>120</v>
      </c>
      <c r="R201" s="3" t="s">
        <v>83</v>
      </c>
    </row>
    <row r="202" spans="1:18" ht="21" customHeight="1">
      <c r="A202" s="3" t="s">
        <v>78</v>
      </c>
      <c r="B202" s="3" t="s">
        <v>45</v>
      </c>
      <c r="C202" s="4">
        <v>46052</v>
      </c>
      <c r="D202" s="3">
        <v>1</v>
      </c>
      <c r="E202" s="3" t="s">
        <v>1308</v>
      </c>
      <c r="F202" s="3">
        <v>1</v>
      </c>
      <c r="G202" s="3" t="s">
        <v>1309</v>
      </c>
      <c r="H202" s="3">
        <v>92</v>
      </c>
      <c r="I202" s="3" t="s">
        <v>1308</v>
      </c>
      <c r="J202" s="3" t="s">
        <v>1449</v>
      </c>
      <c r="K202" s="3">
        <v>50000</v>
      </c>
      <c r="L202" s="3" t="s">
        <v>1830</v>
      </c>
      <c r="M202" s="3">
        <v>6</v>
      </c>
      <c r="N202" s="3" t="s">
        <v>1575</v>
      </c>
      <c r="O202" s="3">
        <v>11965727355</v>
      </c>
      <c r="P202" s="3">
        <v>1511257</v>
      </c>
      <c r="Q202" s="3">
        <v>116</v>
      </c>
      <c r="R202" s="3" t="s">
        <v>83</v>
      </c>
    </row>
    <row r="203" spans="1:18" ht="21" customHeight="1">
      <c r="A203" s="3" t="s">
        <v>78</v>
      </c>
      <c r="B203" s="3" t="s">
        <v>45</v>
      </c>
      <c r="C203" s="4">
        <v>46055</v>
      </c>
      <c r="D203" s="3">
        <v>1</v>
      </c>
      <c r="E203" s="3" t="s">
        <v>1308</v>
      </c>
      <c r="F203" s="3">
        <v>1</v>
      </c>
      <c r="G203" s="3" t="s">
        <v>1309</v>
      </c>
      <c r="H203" s="3">
        <v>92</v>
      </c>
      <c r="I203" s="3" t="s">
        <v>1308</v>
      </c>
      <c r="J203" s="3" t="s">
        <v>1735</v>
      </c>
      <c r="K203" s="3">
        <v>25000</v>
      </c>
      <c r="L203" s="3" t="s">
        <v>1831</v>
      </c>
      <c r="M203" s="3">
        <v>3</v>
      </c>
      <c r="N203" s="3" t="s">
        <v>1575</v>
      </c>
      <c r="O203" s="3">
        <v>11965752355</v>
      </c>
      <c r="P203" s="3">
        <v>1511260</v>
      </c>
      <c r="Q203" s="3">
        <v>100</v>
      </c>
      <c r="R203" s="3" t="s">
        <v>83</v>
      </c>
    </row>
    <row r="204" spans="1:18" ht="21" customHeight="1">
      <c r="A204" s="3" t="s">
        <v>78</v>
      </c>
      <c r="B204" s="3" t="s">
        <v>45</v>
      </c>
      <c r="C204" s="4">
        <v>46056</v>
      </c>
      <c r="D204" s="3">
        <v>1</v>
      </c>
      <c r="E204" s="3" t="s">
        <v>1308</v>
      </c>
      <c r="F204" s="3">
        <v>1</v>
      </c>
      <c r="G204" s="3" t="s">
        <v>1309</v>
      </c>
      <c r="H204" s="3">
        <v>92</v>
      </c>
      <c r="I204" s="3" t="s">
        <v>1308</v>
      </c>
      <c r="J204" s="3" t="s">
        <v>1658</v>
      </c>
      <c r="K204" s="3">
        <v>10000</v>
      </c>
      <c r="L204" s="3" t="s">
        <v>1832</v>
      </c>
      <c r="M204" s="3">
        <v>1</v>
      </c>
      <c r="N204" s="3" t="s">
        <v>1833</v>
      </c>
      <c r="O204" s="3">
        <v>11965762355</v>
      </c>
      <c r="P204" s="3">
        <v>1511261</v>
      </c>
      <c r="Q204" s="3">
        <v>129</v>
      </c>
      <c r="R204" s="3" t="s">
        <v>83</v>
      </c>
    </row>
    <row r="205" spans="1:18" ht="21" customHeight="1">
      <c r="A205" s="3" t="s">
        <v>78</v>
      </c>
      <c r="B205" s="3" t="s">
        <v>45</v>
      </c>
      <c r="C205" s="4">
        <v>46058</v>
      </c>
      <c r="D205" s="3">
        <v>1</v>
      </c>
      <c r="E205" s="3" t="s">
        <v>1308</v>
      </c>
      <c r="F205" s="3">
        <v>1</v>
      </c>
      <c r="G205" s="3" t="s">
        <v>1309</v>
      </c>
      <c r="H205" s="3">
        <v>92</v>
      </c>
      <c r="I205" s="3" t="s">
        <v>1308</v>
      </c>
      <c r="J205" s="3" t="s">
        <v>1499</v>
      </c>
      <c r="K205" s="3">
        <v>48000</v>
      </c>
      <c r="L205" s="3" t="s">
        <v>1834</v>
      </c>
      <c r="M205" s="3">
        <v>5</v>
      </c>
      <c r="N205" s="3" t="s">
        <v>1835</v>
      </c>
      <c r="O205" s="3">
        <v>11965810355</v>
      </c>
      <c r="P205" s="3">
        <v>1511266</v>
      </c>
      <c r="Q205" s="3">
        <v>107</v>
      </c>
      <c r="R205" s="3" t="s">
        <v>83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4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3.5"/>
  <cols>
    <col min="1" max="1" width="30" style="2" customWidth="1"/>
    <col min="2" max="2" width="115" style="2" customWidth="1"/>
    <col min="3" max="16384" width="9" style="2"/>
  </cols>
  <sheetData>
    <row r="1" spans="1:2" ht="40.049999999999997" customHeight="1">
      <c r="A1" s="1" t="s">
        <v>1836</v>
      </c>
      <c r="B1" s="1" t="s">
        <v>1837</v>
      </c>
    </row>
    <row r="2" spans="1:2" ht="40.049999999999997" customHeight="1">
      <c r="A2" s="6" t="s">
        <v>1838</v>
      </c>
      <c r="B2" s="6" t="s">
        <v>1839</v>
      </c>
    </row>
    <row r="3" spans="1:2" ht="40.049999999999997" customHeight="1">
      <c r="A3" s="6" t="s">
        <v>1840</v>
      </c>
      <c r="B3" s="6" t="s">
        <v>1841</v>
      </c>
    </row>
    <row r="4" spans="1:2" ht="40.049999999999997" customHeight="1">
      <c r="A4" s="6" t="s">
        <v>34</v>
      </c>
      <c r="B4" s="6" t="s">
        <v>45</v>
      </c>
    </row>
    <row r="5" spans="1:2" ht="40.049999999999997" customHeight="1">
      <c r="A5" s="6" t="s">
        <v>1842</v>
      </c>
      <c r="B5" s="6" t="s">
        <v>1843</v>
      </c>
    </row>
    <row r="6" spans="1:2" ht="40.049999999999997" customHeight="1">
      <c r="A6" s="6" t="s">
        <v>4</v>
      </c>
      <c r="B6" s="6" t="s">
        <v>1844</v>
      </c>
    </row>
    <row r="7" spans="1:2" ht="40.049999999999997" customHeight="1">
      <c r="A7" s="6" t="s">
        <v>1845</v>
      </c>
      <c r="B7" s="6" t="s">
        <v>1846</v>
      </c>
    </row>
    <row r="8" spans="1:2" ht="40.049999999999997" customHeight="1">
      <c r="A8" s="6" t="s">
        <v>11</v>
      </c>
      <c r="B8" s="6" t="s">
        <v>1847</v>
      </c>
    </row>
    <row r="9" spans="1:2" ht="40.049999999999997" customHeight="1">
      <c r="A9" s="6" t="s">
        <v>12</v>
      </c>
      <c r="B9" s="6" t="s">
        <v>1848</v>
      </c>
    </row>
    <row r="10" spans="1:2" ht="40.049999999999997" customHeight="1">
      <c r="A10" s="6" t="s">
        <v>13</v>
      </c>
      <c r="B10" s="6" t="s">
        <v>1849</v>
      </c>
    </row>
    <row r="11" spans="1:2" ht="40.049999999999997" customHeight="1">
      <c r="A11" s="6" t="s">
        <v>14</v>
      </c>
      <c r="B11" s="6" t="s">
        <v>1850</v>
      </c>
    </row>
    <row r="12" spans="1:2" ht="40.049999999999997" customHeight="1">
      <c r="A12" s="6" t="s">
        <v>15</v>
      </c>
      <c r="B12" s="6" t="s">
        <v>1851</v>
      </c>
    </row>
    <row r="13" spans="1:2" ht="40.049999999999997" customHeight="1">
      <c r="A13" s="6" t="s">
        <v>26</v>
      </c>
      <c r="B13" s="6" t="s">
        <v>1852</v>
      </c>
    </row>
    <row r="14" spans="1:2" ht="40.049999999999997" customHeight="1">
      <c r="A14" s="6" t="s">
        <v>27</v>
      </c>
      <c r="B14" s="6" t="s">
        <v>1853</v>
      </c>
    </row>
    <row r="15" spans="1:2" ht="40.049999999999997" customHeight="1">
      <c r="A15" s="6" t="s">
        <v>28</v>
      </c>
      <c r="B15" s="6" t="s">
        <v>1854</v>
      </c>
    </row>
    <row r="16" spans="1:2" ht="40.049999999999997" customHeight="1">
      <c r="A16" s="6" t="s">
        <v>29</v>
      </c>
      <c r="B16" s="6" t="s">
        <v>1855</v>
      </c>
    </row>
    <row r="17" spans="1:2" ht="40.049999999999997" customHeight="1">
      <c r="A17" s="6" t="s">
        <v>33</v>
      </c>
      <c r="B17" s="6" t="s">
        <v>1856</v>
      </c>
    </row>
    <row r="18" spans="1:2" ht="40.049999999999997" customHeight="1">
      <c r="A18" s="6" t="s">
        <v>1857</v>
      </c>
      <c r="B18" s="6" t="s">
        <v>1858</v>
      </c>
    </row>
    <row r="19" spans="1:2" ht="40.049999999999997" customHeight="1">
      <c r="A19" s="6" t="s">
        <v>1859</v>
      </c>
      <c r="B19" s="6" t="s">
        <v>1860</v>
      </c>
    </row>
    <row r="20" spans="1:2" ht="40.049999999999997" customHeight="1">
      <c r="A20" s="6" t="s">
        <v>1276</v>
      </c>
      <c r="B20" s="6" t="s">
        <v>1861</v>
      </c>
    </row>
    <row r="21" spans="1:2" ht="40.049999999999997" customHeight="1">
      <c r="A21" s="6" t="s">
        <v>1862</v>
      </c>
      <c r="B21" s="6" t="s">
        <v>1863</v>
      </c>
    </row>
    <row r="22" spans="1:2" ht="40.049999999999997" customHeight="1">
      <c r="A22" s="6" t="s">
        <v>79</v>
      </c>
      <c r="B22" s="6" t="s">
        <v>1864</v>
      </c>
    </row>
    <row r="23" spans="1:2" ht="40.049999999999997" customHeight="1">
      <c r="A23" s="6" t="s">
        <v>1865</v>
      </c>
      <c r="B23" s="6" t="s">
        <v>1866</v>
      </c>
    </row>
    <row r="24" spans="1:2" ht="40.049999999999997" customHeight="1">
      <c r="A24" s="6" t="s">
        <v>1867</v>
      </c>
      <c r="B24" s="6" t="s">
        <v>1868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일별통합</vt:lpstr>
      <vt:lpstr>관광소비</vt:lpstr>
      <vt:lpstr>읍면별방문</vt:lpstr>
      <vt:lpstr>거주지</vt:lpstr>
      <vt:lpstr>검색량</vt:lpstr>
      <vt:lpstr>원본목록</vt:lpstr>
      <vt:lpstr>KOBIS일별</vt:lpstr>
      <vt:lpstr>변수설명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예린 여</cp:lastModifiedBy>
  <dcterms:modified xsi:type="dcterms:W3CDTF">2026-09-22T03:30:44Z</dcterms:modified>
</cp:coreProperties>
</file>